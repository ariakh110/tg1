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c0c460749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" sheetId="1" r:id="R47a64f71a9a4421a"/>
    <x:sheet xmlns:r="http://schemas.openxmlformats.org/officeDocument/2006/relationships" name="Dashboard" sheetId="2" r:id="Rae42e98f10e84560"/>
    <x:sheet xmlns:r="http://schemas.openxmlformats.org/officeDocument/2006/relationships" name="DataDictionary" sheetId="3" r:id="Rb1e517e47d3b4766"/>
    <x:sheet xmlns:r="http://schemas.openxmlformats.org/officeDocument/2006/relationships" name="Lists" sheetId="4" r:id="R2eeba7b2e8e042e5"/>
    <x:sheet xmlns:r="http://schemas.openxmlformats.org/officeDocument/2006/relationships" name="Customers" sheetId="5" r:id="R915fe4589449492e"/>
    <x:sheet xmlns:r="http://schemas.openxmlformats.org/officeDocument/2006/relationships" name="Leads" sheetId="6" r:id="Re33dba7a5dec4a2b"/>
    <x:sheet xmlns:r="http://schemas.openxmlformats.org/officeDocument/2006/relationships" name="Opportunities" sheetId="7" r:id="R8f84bad561994c92"/>
    <x:sheet xmlns:r="http://schemas.openxmlformats.org/officeDocument/2006/relationships" name="FollowUps" sheetId="8" r:id="R8115d4ff4f7a487b"/>
    <x:sheet xmlns:r="http://schemas.openxmlformats.org/officeDocument/2006/relationships" name="Interactions" sheetId="9" r:id="R5cf7a0a567df44f7"/>
    <x:sheet xmlns:r="http://schemas.openxmlformats.org/officeDocument/2006/relationships" name="Orders" sheetId="10" r:id="R15e3eddd68e34cae"/>
    <x:sheet xmlns:r="http://schemas.openxmlformats.org/officeDocument/2006/relationships" name="Products" sheetId="11" r:id="R167a424245974cef"/>
    <x:sheet xmlns:r="http://schemas.openxmlformats.org/officeDocument/2006/relationships" name="Tasks" sheetId="12" r:id="Rcc8459f7379c40c0"/>
    <x:sheet xmlns:r="http://schemas.openxmlformats.org/officeDocument/2006/relationships" name="Users" sheetId="13" r:id="Rd62d4c35fe7846fc"/>
    <x:sheet xmlns:r="http://schemas.openxmlformats.org/officeDocument/2006/relationships" name="Campaigns" sheetId="14" r:id="Rcd4bb1f9329d4efe"/>
    <x:sheet xmlns:r="http://schemas.openxmlformats.org/officeDocument/2006/relationships" name="MessageTemplates" sheetId="15" r:id="Rb622efadc6204ba2"/>
    <x:sheet xmlns:r="http://schemas.openxmlformats.org/officeDocument/2006/relationships" name="Settings" sheetId="16" r:id="R8bb3ecf2ff6047e4"/>
    <x:sheet xmlns:r="http://schemas.openxmlformats.org/officeDocument/2006/relationships" name="ActivityLogs" sheetId="17" r:id="R556ad1a2feb043be"/>
    <x:sheet xmlns:r="http://schemas.openxmlformats.org/officeDocument/2006/relationships" name="DashboardData" sheetId="18" r:id="R9eaf0e2159124cc6"/>
    <x:sheet xmlns:r="http://schemas.openxmlformats.org/officeDocument/2006/relationships" name="PipelineStages" sheetId="19" r:id="R9dd59ca7c37941bf"/>
    <x:sheet xmlns:r="http://schemas.openxmlformats.org/officeDocument/2006/relationships" name="CustomFieldDefinitions" sheetId="20" r:id="R19cc6ce589444db8"/>
    <x:sheet xmlns:r="http://schemas.openxmlformats.org/officeDocument/2006/relationships" name="CustomFieldValues" sheetId="21" r:id="Re1e0901f9cb441d9"/>
    <x:sheet xmlns:r="http://schemas.openxmlformats.org/officeDocument/2006/relationships" name="AutomationRules" sheetId="22" r:id="Rc178f23b00b04b16"/>
    <x:sheet xmlns:r="http://schemas.openxmlformats.org/officeDocument/2006/relationships" name="FollowUpSequences" sheetId="23" r:id="R052c0ab182b946c5"/>
    <x:sheet xmlns:r="http://schemas.openxmlformats.org/officeDocument/2006/relationships" name="ContactChannels" sheetId="24" r:id="Ra3d5057a3cea434a"/>
    <x:sheet xmlns:r="http://schemas.openxmlformats.org/officeDocument/2006/relationships" name="Quotations" sheetId="25" r:id="R77d8311d89e84623"/>
    <x:sheet xmlns:r="http://schemas.openxmlformats.org/officeDocument/2006/relationships" name="QuotationItems" sheetId="26" r:id="R593c84301ec74ed0"/>
    <x:sheet xmlns:r="http://schemas.openxmlformats.org/officeDocument/2006/relationships" name="OrderItems" sheetId="27" r:id="R8bd3d920435b4f80"/>
    <x:sheet xmlns:r="http://schemas.openxmlformats.org/officeDocument/2006/relationships" name="Payments" sheetId="28" r:id="R41021e67cbfe45dd"/>
    <x:sheet xmlns:r="http://schemas.openxmlformats.org/officeDocument/2006/relationships" name="InventoryTransactions" sheetId="29" r:id="Rd86c86ae19d94786"/>
    <x:sheet xmlns:r="http://schemas.openxmlformats.org/officeDocument/2006/relationships" name="Suppliers" sheetId="30" r:id="R5810dfb7643f4ea9"/>
    <x:sheet xmlns:r="http://schemas.openxmlformats.org/officeDocument/2006/relationships" name="SupplierQuotes" sheetId="31" r:id="R3163688537ee41cd"/>
    <x:sheet xmlns:r="http://schemas.openxmlformats.org/officeDocument/2006/relationships" name="Shipments" sheetId="32" r:id="R054d5104254f46ec"/>
    <x:sheet xmlns:r="http://schemas.openxmlformats.org/officeDocument/2006/relationships" name="FailureReasons" sheetId="33" r:id="R191ca485825f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@"/>
    <x:numFmt numFmtId="201" formatCode="yyyy-mm-dd"/>
    <x:numFmt numFmtId="202" formatCode="#,##0"/>
    <x:numFmt numFmtId="203" formatCode="yyyy-mm-dd hh:mm"/>
    <x:numFmt numFmtId="204" formatCode="0"/>
    <x:numFmt numFmtId="205" formatCode="0%"/>
    <x:numFmt numFmtId="206" formatCode="#,##0.00"/>
    <x:numFmt numFmtId="207" formatCode="0.0"/>
  </x:numFmts>
  <x:fonts count="18">
    <x:font>
      <x:sz val="11"/>
      <x:name val="Carlito"/>
    </x:font>
    <x:font>
      <x:b/>
      <x:sz val="10"/>
      <x:color rgb="FFFFFFFF"/>
      <x:name val="Tahoma"/>
    </x:font>
    <x:font>
      <x:sz val="9"/>
      <x:color rgb="FF0F172A"/>
      <x:name val="Tahoma"/>
    </x:font>
    <x:font>
      <x:b/>
      <x:sz val="18"/>
      <x:color rgb="FFFFFFFF"/>
      <x:name val="Tahoma"/>
    </x:font>
    <x:font>
      <x:b/>
      <x:sz val="10"/>
      <x:color rgb="FF2563EB"/>
      <x:name val="Tahoma"/>
    </x:font>
    <x:font>
      <x:sz val="10"/>
      <x:color rgb="FF0F172A"/>
      <x:name val="Tahoma"/>
    </x:font>
    <x:font>
      <x:b/>
      <x:sz val="12"/>
      <x:color rgb="FFFFFFFF"/>
      <x:name val="Tahoma"/>
    </x:font>
    <x:font>
      <x:b/>
      <x:sz val="9"/>
      <x:color rgb="FFD97706"/>
      <x:name val="Tahoma"/>
    </x:font>
    <x:font>
      <x:b/>
      <x:sz val="11"/>
      <x:color rgb="FFFFFFFF"/>
      <x:name val="Tahoma"/>
    </x:font>
    <x:font>
      <x:b/>
      <x:sz val="11"/>
      <x:color rgb="FF2563EB"/>
      <x:name val="Tahoma"/>
    </x:font>
    <x:font>
      <x:b/>
      <x:sz val="16"/>
      <x:color rgb="FF2563EB"/>
      <x:name val="Tahoma"/>
    </x:font>
    <x:font>
      <x:b/>
      <x:sz val="16"/>
      <x:color rgb="FF0F766E"/>
      <x:name val="Tahoma"/>
    </x:font>
    <x:font>
      <x:b/>
      <x:sz val="16"/>
      <x:color rgb="FF7C3AED"/>
      <x:name val="Tahoma"/>
    </x:font>
    <x:font>
      <x:b/>
      <x:sz val="16"/>
      <x:color rgb="FFD97706"/>
      <x:name val="Tahoma"/>
    </x:font>
    <x:font>
      <x:b/>
      <x:sz val="16"/>
      <x:color rgb="FFDC2626"/>
      <x:name val="Tahoma"/>
    </x:font>
    <x:font>
      <x:b/>
      <x:sz val="16"/>
      <x:color rgb="FF16A34A"/>
      <x:name val="Tahoma"/>
    </x:font>
    <x:font>
      <x:b/>
      <x:sz val="9"/>
      <x:color rgb="FF2563EB"/>
      <x:name val="Tahoma"/>
    </x:font>
    <x:font>
      <x:b/>
      <x:sz val="10"/>
      <x:color rgb="FFD97706"/>
      <x:name val="Tahoma"/>
    </x:font>
  </x:fonts>
  <x:fills count="1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475569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7C3AED"/>
      </x:patternFill>
    </x:fill>
    <x:fill>
      <x:patternFill patternType="solid">
        <x:fgColor rgb="FFD97706"/>
      </x:patternFill>
    </x:fill>
    <x:fill>
      <x:patternFill patternType="solid">
        <x:fgColor rgb="FFDC2626"/>
      </x:patternFill>
    </x:fill>
    <x:fill>
      <x:patternFill patternType="solid">
        <x:fgColor rgb="FF16A34A"/>
      </x:patternFill>
    </x:fill>
  </x:fills>
  <x:borders count="69">
    <x:border/>
    <x:border>
      <x:left style="medium">
        <x:color rgb="FF0F172A"/>
      </x:left>
      <x:top style="medium">
        <x:color rgb="FF0F172A"/>
      </x:top>
      <x:bottom style="medium">
        <x:color rgb="FF0F172A"/>
      </x:bottom>
    </x:border>
    <x:border>
      <x:top style="medium">
        <x:color rgb="FF0F172A"/>
      </x:top>
      <x:bottom style="medium">
        <x:color rgb="FF0F172A"/>
      </x:bottom>
    </x:border>
    <x:border>
      <x:right style="medium">
        <x:color rgb="FF0F172A"/>
      </x:right>
      <x:top style="medium">
        <x:color rgb="FF0F172A"/>
      </x:top>
      <x:bottom style="medium">
        <x:color rgb="FF0F172A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2E8F0"/>
      </x:right>
    </x:border>
    <x:border>
      <x:left style="thin">
        <x:color rgb="FFE2E8F0"/>
      </x:left>
      <x:right style="thin">
        <x:color rgb="FFE2E8F0"/>
      </x:right>
    </x:border>
    <x:border>
      <x:left style="thin">
        <x:color rgb="FFE2E8F0"/>
      </x:left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thin">
        <x:color rgb="FF2563EB"/>
      </x:left>
      <x:top style="thin">
        <x:color rgb="FF2563EB"/>
      </x:top>
      <x:bottom style="thin">
        <x:color rgb="FF2563EB"/>
      </x:bottom>
    </x:border>
    <x:border>
      <x:right style="thin">
        <x:color rgb="FF2563EB"/>
      </x:right>
      <x:top style="thin">
        <x:color rgb="FF2563EB"/>
      </x:top>
      <x:bottom style="thin">
        <x:color rgb="FF2563EB"/>
      </x:bottom>
    </x:border>
    <x:border>
      <x:left style="medium">
        <x:color rgb="FF2563EB"/>
      </x:left>
      <x:top style="medium">
        <x:color rgb="FF2563EB"/>
      </x:top>
    </x:border>
    <x:border>
      <x:top style="medium">
        <x:color rgb="FF2563EB"/>
      </x:top>
    </x:border>
    <x:border>
      <x:right style="medium">
        <x:color rgb="FF2563EB"/>
      </x:right>
      <x:top style="medium">
        <x:color rgb="FF2563EB"/>
      </x:top>
    </x:border>
    <x:border>
      <x:left style="medium">
        <x:color rgb="FF2563EB"/>
      </x:left>
      <x:bottom style="medium">
        <x:color rgb="FF2563EB"/>
      </x:bottom>
    </x:border>
    <x:border>
      <x:bottom style="medium">
        <x:color rgb="FF2563EB"/>
      </x:bottom>
    </x:border>
    <x:border>
      <x:right style="medium">
        <x:color rgb="FF2563EB"/>
      </x:right>
      <x:bottom style="medium">
        <x:color rgb="FF2563EB"/>
      </x:bottom>
    </x:border>
    <x:border>
      <x:left style="medium">
        <x:color rgb="FF0F766E"/>
      </x:left>
      <x:top style="medium">
        <x:color rgb="FF0F766E"/>
      </x:top>
    </x:border>
    <x:border>
      <x:top style="medium">
        <x:color rgb="FF0F766E"/>
      </x:top>
    </x:border>
    <x:border>
      <x:right style="medium">
        <x:color rgb="FF0F766E"/>
      </x:right>
      <x:top style="medium">
        <x:color rgb="FF0F766E"/>
      </x:top>
    </x:border>
    <x:border>
      <x:left style="medium">
        <x:color rgb="FF0F766E"/>
      </x:left>
      <x:bottom style="medium">
        <x:color rgb="FF0F766E"/>
      </x:bottom>
    </x:border>
    <x:border>
      <x:bottom style="medium">
        <x:color rgb="FF0F766E"/>
      </x:bottom>
    </x:border>
    <x:border>
      <x:right style="medium">
        <x:color rgb="FF0F766E"/>
      </x:right>
      <x:bottom style="medium">
        <x:color rgb="FF0F766E"/>
      </x:bottom>
    </x:border>
    <x:border>
      <x:left style="medium">
        <x:color rgb="FF7C3AED"/>
      </x:left>
      <x:top style="medium">
        <x:color rgb="FF7C3AED"/>
      </x:top>
    </x:border>
    <x:border>
      <x:top style="medium">
        <x:color rgb="FF7C3AED"/>
      </x:top>
    </x:border>
    <x:border>
      <x:right style="medium">
        <x:color rgb="FF7C3AED"/>
      </x:right>
      <x:top style="medium">
        <x:color rgb="FF7C3AED"/>
      </x:top>
    </x:border>
    <x:border>
      <x:left style="medium">
        <x:color rgb="FF7C3AED"/>
      </x:left>
      <x:bottom style="medium">
        <x:color rgb="FF7C3AED"/>
      </x:bottom>
    </x:border>
    <x:border>
      <x:bottom style="medium">
        <x:color rgb="FF7C3AED"/>
      </x:bottom>
    </x:border>
    <x:border>
      <x:right style="medium">
        <x:color rgb="FF7C3AED"/>
      </x:right>
      <x:bottom style="medium">
        <x:color rgb="FF7C3AED"/>
      </x:bottom>
    </x:border>
    <x:border>
      <x:left style="medium">
        <x:color rgb="FFD97706"/>
      </x:left>
      <x:top style="medium">
        <x:color rgb="FFD97706"/>
      </x:top>
    </x:border>
    <x:border>
      <x:top style="medium">
        <x:color rgb="FFD97706"/>
      </x:top>
    </x:border>
    <x:border>
      <x:right style="medium">
        <x:color rgb="FFD97706"/>
      </x:right>
      <x:top style="medium">
        <x:color rgb="FFD97706"/>
      </x:top>
    </x:border>
    <x:border>
      <x:left style="medium">
        <x:color rgb="FFD97706"/>
      </x:left>
      <x:bottom style="medium">
        <x:color rgb="FFD97706"/>
      </x:bottom>
    </x:border>
    <x:border>
      <x:bottom style="medium">
        <x:color rgb="FFD97706"/>
      </x:bottom>
    </x:border>
    <x:border>
      <x:right style="medium">
        <x:color rgb="FFD97706"/>
      </x:right>
      <x:bottom style="medium">
        <x:color rgb="FFD97706"/>
      </x:bottom>
    </x:border>
    <x:border>
      <x:left style="medium">
        <x:color rgb="FFDC2626"/>
      </x:left>
      <x:top style="medium">
        <x:color rgb="FFDC2626"/>
      </x:top>
    </x:border>
    <x:border>
      <x:top style="medium">
        <x:color rgb="FFDC2626"/>
      </x:top>
    </x:border>
    <x:border>
      <x:right style="medium">
        <x:color rgb="FFDC2626"/>
      </x:right>
      <x:top style="medium">
        <x:color rgb="FFDC2626"/>
      </x:top>
    </x:border>
    <x:border>
      <x:left style="medium">
        <x:color rgb="FFDC2626"/>
      </x:left>
      <x:bottom style="medium">
        <x:color rgb="FFDC2626"/>
      </x:bottom>
    </x:border>
    <x:border>
      <x:bottom style="medium">
        <x:color rgb="FFDC2626"/>
      </x:bottom>
    </x:border>
    <x:border>
      <x:right style="medium">
        <x:color rgb="FFDC2626"/>
      </x:right>
      <x:bottom style="medium">
        <x:color rgb="FFDC2626"/>
      </x:bottom>
    </x:border>
    <x:border>
      <x:left style="medium">
        <x:color rgb="FF16A34A"/>
      </x:left>
      <x:top style="medium">
        <x:color rgb="FF16A34A"/>
      </x:top>
    </x:border>
    <x:border>
      <x:top style="medium">
        <x:color rgb="FF16A34A"/>
      </x:top>
    </x:border>
    <x:border>
      <x:right style="medium">
        <x:color rgb="FF16A34A"/>
      </x:right>
      <x:top style="medium">
        <x:color rgb="FF16A34A"/>
      </x:top>
    </x:border>
    <x:border>
      <x:left style="medium">
        <x:color rgb="FF16A34A"/>
      </x:left>
      <x:bottom style="medium">
        <x:color rgb="FF16A34A"/>
      </x:bottom>
    </x:border>
    <x:border>
      <x:bottom style="medium">
        <x:color rgb="FF16A34A"/>
      </x:bottom>
    </x:border>
    <x:border>
      <x:right style="medium">
        <x:color rgb="FF16A34A"/>
      </x:right>
      <x:bottom style="medium">
        <x:color rgb="FF16A34A"/>
      </x:bottom>
    </x:border>
    <x:border>
      <x:left style="thin">
        <x:color rgb="FFD97706"/>
      </x:left>
      <x:top style="thin">
        <x:color rgb="FFD97706"/>
      </x:top>
    </x:border>
    <x:border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  <x:bottom style="thin">
        <x:color rgb="FFD97706"/>
      </x:bottom>
    </x:border>
    <x:border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</x:borders>
  <x:cellStyleXfs count="1">
    <x:xf numFmtId="0" fontId="0" fillId="0" borderId="0"/>
  </x:cellStyleXfs>
  <x:cellXfs count="5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 wrapText="0"/>
    </x:xf>
    <x:xf numFmtId="200" fontId="2" fillId="0" borderId="0" xfId="0" applyNumberFormat="1" applyFont="1" applyFill="1" applyBorder="1" applyAlignment="1">
      <x:alignment horizontal="right" vertical="center" wrapText="0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 wrapText="0"/>
    </x:xf>
    <x:xf numFmtId="201" fontId="2" fillId="0" borderId="0" xfId="0" applyNumberFormat="1" applyFont="1" applyFill="1" applyBorder="1" applyAlignment="1">
      <x:alignment horizontal="center" vertical="center" wrapText="0"/>
    </x:xf>
    <x:xf numFmtId="202" fontId="2" fillId="0" borderId="0" xfId="0" applyNumberFormat="1" applyFont="1" applyFill="1" applyBorder="1" applyAlignment="1">
      <x:alignment horizontal="center" vertical="center" wrapText="0"/>
    </x:xf>
    <x:xf numFmtId="203" fontId="2" fillId="0" borderId="0" xfId="0" applyNumberFormat="1" applyFont="1" applyFill="1" applyBorder="1" applyAlignment="1">
      <x:alignment horizontal="center" vertical="center" wrapText="0"/>
    </x:xf>
    <x:xf numFmtId="204" fontId="2" fillId="0" borderId="0" xfId="0" applyNumberFormat="1" applyFont="1" applyFill="1" applyBorder="1" applyAlignment="1">
      <x:alignment horizontal="center" vertical="center" wrapText="0"/>
    </x:xf>
    <x:xf numFmtId="200" fontId="2" fillId="0" borderId="4" xfId="0" applyNumberFormat="1" applyFont="1" applyFill="1" applyBorder="1" applyAlignment="1">
      <x:alignment horizontal="right" vertical="center" wrapText="0"/>
    </x:xf>
    <x:xf numFmtId="200" fontId="2" fillId="0" borderId="5" xfId="0" applyNumberFormat="1" applyFont="1" applyFill="1" applyBorder="1" applyAlignment="1">
      <x:alignment horizontal="right" vertical="center" wrapText="0"/>
    </x:xf>
    <x:xf numFmtId="0" fontId="2" fillId="0" borderId="5" xfId="0" applyNumberFormat="1" applyFont="1" applyFill="1" applyBorder="1" applyAlignment="1">
      <x:alignment horizontal="right" vertical="center" wrapText="1"/>
    </x:xf>
    <x:xf numFmtId="201" fontId="2" fillId="0" borderId="5" xfId="0" applyNumberFormat="1" applyFont="1" applyFill="1" applyBorder="1" applyAlignment="1">
      <x:alignment horizontal="center" vertical="center" wrapText="0"/>
    </x:xf>
    <x:xf numFmtId="202" fontId="2" fillId="0" borderId="5" xfId="0" applyNumberFormat="1" applyFont="1" applyFill="1" applyBorder="1" applyAlignment="1">
      <x:alignment horizontal="center" vertical="center" wrapText="0"/>
    </x:xf>
    <x:xf numFmtId="203" fontId="2" fillId="0" borderId="5" xfId="0" applyNumberFormat="1" applyFont="1" applyFill="1" applyBorder="1" applyAlignment="1">
      <x:alignment horizontal="center" vertical="center" wrapText="0"/>
    </x:xf>
    <x:xf numFmtId="204" fontId="2" fillId="0" borderId="5" xfId="0" applyNumberFormat="1" applyFont="1" applyFill="1" applyBorder="1" applyAlignment="1">
      <x:alignment horizontal="center" vertical="center" wrapText="0"/>
    </x:xf>
    <x:xf numFmtId="0" fontId="2" fillId="0" borderId="5" xfId="0" applyNumberFormat="1" applyFont="1" applyFill="1" applyBorder="1" applyAlignment="1">
      <x:alignment horizontal="right" vertical="center" wrapText="0"/>
    </x:xf>
    <x:xf numFmtId="200" fontId="2" fillId="0" borderId="6" xfId="0" applyNumberFormat="1" applyFont="1" applyFill="1" applyBorder="1" applyAlignment="1">
      <x:alignment horizontal="right" vertical="center" wrapText="0"/>
    </x:xf>
    <x:xf numFmtId="200" fontId="2" fillId="0" borderId="7" xfId="0" applyNumberFormat="1" applyFont="1" applyFill="1" applyBorder="1" applyAlignment="1">
      <x:alignment horizontal="right" vertical="center" wrapText="0"/>
    </x:xf>
    <x:xf numFmtId="200" fontId="2" fillId="0" borderId="8" xfId="0" applyNumberFormat="1" applyFont="1" applyFill="1" applyBorder="1" applyAlignment="1">
      <x:alignment horizontal="right" vertical="center" wrapText="0"/>
    </x:xf>
    <x:xf numFmtId="0" fontId="2" fillId="0" borderId="8" xfId="0" applyNumberFormat="1" applyFont="1" applyFill="1" applyBorder="1" applyAlignment="1">
      <x:alignment horizontal="right" vertical="center" wrapText="1"/>
    </x:xf>
    <x:xf numFmtId="201" fontId="2" fillId="0" borderId="8" xfId="0" applyNumberFormat="1" applyFont="1" applyFill="1" applyBorder="1" applyAlignment="1">
      <x:alignment horizontal="center" vertical="center" wrapText="0"/>
    </x:xf>
    <x:xf numFmtId="202" fontId="2" fillId="0" borderId="8" xfId="0" applyNumberFormat="1" applyFont="1" applyFill="1" applyBorder="1" applyAlignment="1">
      <x:alignment horizontal="center" vertical="center" wrapText="0"/>
    </x:xf>
    <x:xf numFmtId="203" fontId="2" fillId="0" borderId="8" xfId="0" applyNumberFormat="1" applyFont="1" applyFill="1" applyBorder="1" applyAlignment="1">
      <x:alignment horizontal="center" vertical="center" wrapText="0"/>
    </x:xf>
    <x:xf numFmtId="204" fontId="2" fillId="0" borderId="8" xfId="0" applyNumberFormat="1" applyFont="1" applyFill="1" applyBorder="1" applyAlignment="1">
      <x:alignment horizontal="center" vertical="center" wrapText="0"/>
    </x:xf>
    <x:xf numFmtId="0" fontId="2" fillId="0" borderId="8" xfId="0" applyNumberFormat="1" applyFont="1" applyFill="1" applyBorder="1" applyAlignment="1">
      <x:alignment horizontal="right" vertical="center" wrapText="0"/>
    </x:xf>
    <x:xf numFmtId="200" fontId="2" fillId="0" borderId="9" xfId="0" applyNumberFormat="1" applyFont="1" applyFill="1" applyBorder="1" applyAlignment="1">
      <x:alignment horizontal="right" vertical="center" wrapText="0"/>
    </x:xf>
    <x:xf numFmtId="200" fontId="2" fillId="0" borderId="10" xfId="0" applyNumberFormat="1" applyFont="1" applyFill="1" applyBorder="1" applyAlignment="1">
      <x:alignment horizontal="right" vertical="center" wrapText="0"/>
    </x:xf>
    <x:xf numFmtId="200" fontId="2" fillId="0" borderId="11" xfId="0" applyNumberFormat="1" applyFont="1" applyFill="1" applyBorder="1" applyAlignment="1">
      <x:alignment horizontal="right" vertical="center" wrapText="0"/>
    </x:xf>
    <x:xf numFmtId="0" fontId="2" fillId="0" borderId="11" xfId="0" applyNumberFormat="1" applyFont="1" applyFill="1" applyBorder="1" applyAlignment="1">
      <x:alignment horizontal="right" vertical="center" wrapText="1"/>
    </x:xf>
    <x:xf numFmtId="201" fontId="2" fillId="0" borderId="11" xfId="0" applyNumberFormat="1" applyFont="1" applyFill="1" applyBorder="1" applyAlignment="1">
      <x:alignment horizontal="center" vertical="center" wrapText="0"/>
    </x:xf>
    <x:xf numFmtId="202" fontId="2" fillId="0" borderId="11" xfId="0" applyNumberFormat="1" applyFont="1" applyFill="1" applyBorder="1" applyAlignment="1">
      <x:alignment horizontal="center" vertical="center" wrapText="0"/>
    </x:xf>
    <x:xf numFmtId="203" fontId="2" fillId="0" borderId="11" xfId="0" applyNumberFormat="1" applyFont="1" applyFill="1" applyBorder="1" applyAlignment="1">
      <x:alignment horizontal="center" vertical="center" wrapText="0"/>
    </x:xf>
    <x:xf numFmtId="204" fontId="2" fillId="0" borderId="11" xfId="0" applyNumberFormat="1" applyFont="1" applyFill="1" applyBorder="1" applyAlignment="1">
      <x:alignment horizontal="center" vertical="center" wrapText="0"/>
    </x:xf>
    <x:xf numFmtId="0" fontId="2" fillId="0" borderId="11" xfId="0" applyNumberFormat="1" applyFont="1" applyFill="1" applyBorder="1" applyAlignment="1">
      <x:alignment horizontal="right" vertical="center" wrapText="0"/>
    </x:xf>
    <x:xf numFmtId="200" fontId="2" fillId="0" borderId="12" xfId="0" applyNumberFormat="1" applyFont="1" applyFill="1" applyBorder="1" applyAlignment="1">
      <x:alignment horizontal="right" vertical="center" wrapText="0"/>
    </x:xf>
    <x:xf numFmtId="200" fontId="2" fillId="0" borderId="6" xfId="0" applyNumberFormat="1" applyFont="1" applyFill="1" applyBorder="1" applyAlignment="1">
      <x:alignment horizontal="righ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9" xfId="0" applyNumberFormat="1" applyFont="1" applyFill="1" applyBorder="1" applyAlignment="1">
      <x:alignment horizontal="righ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2" xfId="0" applyNumberFormat="1" applyFont="1" applyFill="1" applyBorder="1" applyAlignment="1">
      <x:alignment horizontal="righ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0" xfId="0" applyNumberFormat="1" applyFont="1" applyFill="1" applyBorder="1" applyAlignment="1">
      <x:alignment horizontal="center" vertical="center" wrapText="0"/>
    </x:xf>
    <x:xf numFmtId="205" fontId="2" fillId="0" borderId="5" xfId="0" applyNumberFormat="1" applyFont="1" applyFill="1" applyBorder="1" applyAlignment="1">
      <x:alignment horizontal="center" vertical="center" wrapText="0"/>
    </x:xf>
    <x:xf numFmtId="205" fontId="2" fillId="0" borderId="8" xfId="0" applyNumberFormat="1" applyFont="1" applyFill="1" applyBorder="1" applyAlignment="1">
      <x:alignment horizontal="center" vertical="center" wrapText="0"/>
    </x:xf>
    <x:xf numFmtId="205" fontId="2" fillId="0" borderId="11" xfId="0" applyNumberFormat="1" applyFont="1" applyFill="1" applyBorder="1" applyAlignment="1">
      <x:alignment horizontal="center" vertical="center" wrapText="0"/>
    </x:xf>
    <x:xf numFmtId="206" fontId="2" fillId="0" borderId="0" xfId="0" applyNumberFormat="1" applyFont="1" applyFill="1" applyBorder="1" applyAlignment="1">
      <x:alignment horizontal="center" vertical="center" wrapText="0"/>
    </x:xf>
    <x:xf numFmtId="206" fontId="2" fillId="0" borderId="5" xfId="0" applyNumberFormat="1" applyFont="1" applyFill="1" applyBorder="1" applyAlignment="1">
      <x:alignment horizontal="center" vertical="center" wrapText="0"/>
    </x:xf>
    <x:xf numFmtId="206" fontId="2" fillId="0" borderId="8" xfId="0" applyNumberFormat="1" applyFont="1" applyFill="1" applyBorder="1" applyAlignment="1">
      <x:alignment horizontal="center" vertical="center" wrapText="0"/>
    </x:xf>
    <x:xf numFmtId="206" fontId="2" fillId="0" borderId="11" xfId="0" applyNumberFormat="1" applyFont="1" applyFill="1" applyBorder="1" applyAlignment="1">
      <x:alignment horizontal="center" vertical="center" wrapText="0"/>
    </x:xf>
    <x:xf numFmtId="200" fontId="2" fillId="0" borderId="5" xfId="0" applyNumberFormat="1" applyFont="1" applyFill="1" applyBorder="1" applyAlignment="1">
      <x:alignment horizontal="righ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8" xfId="0" applyNumberFormat="1" applyFont="1" applyFill="1" applyBorder="1" applyAlignment="1">
      <x:alignment horizontal="righ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1" xfId="0" applyNumberFormat="1" applyFont="1" applyFill="1" applyBorder="1" applyAlignment="1">
      <x:alignment horizontal="right"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3" xfId="0" applyNumberFormat="1" applyFont="1" applyFill="1" applyBorder="1" applyAlignment="1">
      <x:alignment horizontal="right" vertical="center" wrapText="0"/>
    </x:xf>
    <x:xf numFmtId="200" fontId="2" fillId="0" borderId="14" xfId="0" applyNumberFormat="1" applyFont="1" applyFill="1" applyBorder="1" applyAlignment="1">
      <x:alignment horizontal="right" vertical="center" wrapText="0"/>
    </x:xf>
    <x:xf numFmtId="203" fontId="2" fillId="0" borderId="14" xfId="0" applyNumberFormat="1" applyFont="1" applyFill="1" applyBorder="1" applyAlignment="1">
      <x:alignment horizontal="center" vertical="center" wrapText="0"/>
    </x:xf>
    <x:xf numFmtId="0" fontId="2" fillId="0" borderId="14" xfId="0" applyNumberFormat="1" applyFont="1" applyFill="1" applyBorder="1" applyAlignment="1">
      <x:alignment horizontal="right" vertical="center" wrapText="1"/>
    </x:xf>
    <x:xf numFmtId="200" fontId="2" fillId="0" borderId="15" xfId="0" applyNumberFormat="1" applyFont="1" applyFill="1" applyBorder="1" applyAlignment="1">
      <x:alignment horizontal="right" vertical="center" wrapText="0"/>
    </x:xf>
    <x:xf numFmtId="203" fontId="2" fillId="0" borderId="4" xfId="0" applyNumberFormat="1" applyFont="1" applyFill="1" applyBorder="1" applyAlignment="1">
      <x:alignment horizontal="center" vertical="center" wrapText="0"/>
    </x:xf>
    <x:xf numFmtId="204" fontId="2" fillId="0" borderId="6" xfId="0" applyNumberFormat="1" applyFont="1" applyFill="1" applyBorder="1" applyAlignment="1">
      <x:alignment horizontal="center" vertical="center" wrapText="0"/>
    </x:xf>
    <x:xf numFmtId="203" fontId="2" fillId="0" borderId="10" xfId="0" applyNumberFormat="1" applyFont="1" applyFill="1" applyBorder="1" applyAlignment="1">
      <x:alignment horizontal="center" vertical="center" wrapText="0"/>
    </x:xf>
    <x:xf numFmtId="204" fontId="2" fillId="0" borderId="12" xfId="0" applyNumberFormat="1" applyFont="1" applyFill="1" applyBorder="1" applyAlignment="1">
      <x:alignment horizontal="center" vertical="center" wrapText="0"/>
    </x:xf>
    <x:xf numFmtId="207" fontId="2" fillId="0" borderId="0" xfId="0" applyNumberFormat="1" applyFont="1" applyFill="1" applyBorder="1" applyAlignment="1">
      <x:alignment horizontal="center" vertical="center" wrapText="0"/>
    </x:xf>
    <x:xf numFmtId="207" fontId="2" fillId="0" borderId="5" xfId="0" applyNumberFormat="1" applyFont="1" applyFill="1" applyBorder="1" applyAlignment="1">
      <x:alignment horizontal="center" vertical="center" wrapText="0"/>
    </x:xf>
    <x:xf numFmtId="207" fontId="2" fillId="0" borderId="8" xfId="0" applyNumberFormat="1" applyFont="1" applyFill="1" applyBorder="1" applyAlignment="1">
      <x:alignment horizontal="center" vertical="center" wrapText="0"/>
    </x:xf>
    <x:xf numFmtId="207" fontId="2" fillId="0" borderId="11" xfId="0" applyNumberFormat="1" applyFont="1" applyFill="1" applyBorder="1" applyAlignment="1">
      <x:alignment horizontal="center" vertical="center" wrapText="0"/>
    </x:xf>
    <x:xf numFmtId="204" fontId="2" fillId="0" borderId="9" xfId="0" applyNumberFormat="1" applyFont="1" applyFill="1" applyBorder="1" applyAlignment="1">
      <x:alignment horizontal="center" vertical="center" wrapText="0"/>
    </x:xf>
    <x:xf numFmtId="203" fontId="2" fillId="0" borderId="6" xfId="0" applyNumberFormat="1" applyFont="1" applyFill="1" applyBorder="1" applyAlignment="1">
      <x:alignment horizontal="center" vertical="center" wrapText="0"/>
    </x:xf>
    <x:xf numFmtId="203" fontId="2" fillId="0" borderId="9" xfId="0" applyNumberFormat="1" applyFont="1" applyFill="1" applyBorder="1" applyAlignment="1">
      <x:alignment horizontal="center" vertical="center" wrapText="0"/>
    </x:xf>
    <x:xf numFmtId="203" fontId="2" fillId="0" borderId="12" xfId="0" applyNumberFormat="1" applyFont="1" applyFill="1" applyBorder="1" applyAlignment="1">
      <x:alignment horizontal="center" vertical="center" wrapText="0"/>
    </x:xf>
    <x:xf numFmtId="202" fontId="2" fillId="0" borderId="6" xfId="0" applyNumberFormat="1" applyFont="1" applyFill="1" applyBorder="1" applyAlignment="1">
      <x:alignment horizontal="center" vertical="center" wrapText="0"/>
    </x:xf>
    <x:xf numFmtId="202" fontId="2" fillId="0" borderId="9" xfId="0" applyNumberFormat="1" applyFont="1" applyFill="1" applyBorder="1" applyAlignment="1">
      <x:alignment horizontal="center" vertical="center" wrapText="0"/>
    </x:xf>
    <x:xf numFmtId="202" fontId="2" fillId="0" borderId="12" xfId="0" applyNumberFormat="1" applyFont="1" applyFill="1" applyBorder="1" applyAlignment="1">
      <x:alignment horizontal="center" vertical="center" wrapText="0"/>
    </x:xf>
    <x:xf numFmtId="201" fontId="2" fillId="3" borderId="5" xfId="0" applyNumberFormat="1" applyFont="1" applyFill="1" applyBorder="1" applyAlignment="1">
      <x:alignment horizontal="center" vertical="center" wrapText="0"/>
    </x:xf>
    <x:xf numFmtId="201" fontId="2" fillId="3" borderId="8" xfId="0" applyNumberFormat="1" applyFont="1" applyFill="1" applyBorder="1" applyAlignment="1">
      <x:alignment horizontal="center" vertical="center" wrapText="0"/>
    </x:xf>
    <x:xf numFmtId="201" fontId="2" fillId="3" borderId="11" xfId="0" applyNumberFormat="1" applyFont="1" applyFill="1" applyBorder="1" applyAlignment="1">
      <x:alignment horizontal="center" vertical="center" wrapText="0"/>
    </x:xf>
    <x:xf numFmtId="201" fontId="2" fillId="3" borderId="0" xfId="0" applyNumberFormat="1" applyFont="1" applyFill="1" applyBorder="1" applyAlignment="1">
      <x:alignment horizontal="center" vertical="center" wrapText="0"/>
    </x:xf>
    <x:xf numFmtId="202" fontId="2" fillId="3" borderId="5" xfId="0" applyNumberFormat="1" applyFont="1" applyFill="1" applyBorder="1" applyAlignment="1">
      <x:alignment horizontal="center" vertical="center" wrapText="0"/>
    </x:xf>
    <x:xf numFmtId="202" fontId="2" fillId="3" borderId="8" xfId="0" applyNumberFormat="1" applyFont="1" applyFill="1" applyBorder="1" applyAlignment="1">
      <x:alignment horizontal="center" vertical="center" wrapText="0"/>
    </x:xf>
    <x:xf numFmtId="202" fontId="2" fillId="3" borderId="11" xfId="0" applyNumberFormat="1" applyFont="1" applyFill="1" applyBorder="1" applyAlignment="1">
      <x:alignment horizontal="center" vertical="center" wrapText="0"/>
    </x:xf>
    <x:xf numFmtId="202" fontId="2" fillId="3" borderId="0" xfId="0" applyNumberFormat="1" applyFont="1" applyFill="1" applyBorder="1" applyAlignment="1">
      <x:alignment horizontal="center" vertical="center" wrapText="0"/>
    </x:xf>
    <x:xf numFmtId="203" fontId="2" fillId="3" borderId="5" xfId="0" applyNumberFormat="1" applyFont="1" applyFill="1" applyBorder="1" applyAlignment="1">
      <x:alignment horizontal="center" vertical="center" wrapText="0"/>
    </x:xf>
    <x:xf numFmtId="203" fontId="2" fillId="3" borderId="8" xfId="0" applyNumberFormat="1" applyFont="1" applyFill="1" applyBorder="1" applyAlignment="1">
      <x:alignment horizontal="center" vertical="center" wrapText="0"/>
    </x:xf>
    <x:xf numFmtId="203" fontId="2" fillId="3" borderId="11" xfId="0" applyNumberFormat="1" applyFont="1" applyFill="1" applyBorder="1" applyAlignment="1">
      <x:alignment horizontal="center" vertical="center" wrapText="0"/>
    </x:xf>
    <x:xf numFmtId="203" fontId="2" fillId="3" borderId="0" xfId="0" applyNumberFormat="1" applyFont="1" applyFill="1" applyBorder="1" applyAlignment="1">
      <x:alignment horizontal="center" vertical="center" wrapText="0"/>
    </x:xf>
    <x:xf numFmtId="204" fontId="2" fillId="3" borderId="5" xfId="0" applyNumberFormat="1" applyFont="1" applyFill="1" applyBorder="1" applyAlignment="1">
      <x:alignment horizontal="center" vertical="center" wrapText="0"/>
    </x:xf>
    <x:xf numFmtId="204" fontId="2" fillId="3" borderId="8" xfId="0" applyNumberFormat="1" applyFont="1" applyFill="1" applyBorder="1" applyAlignment="1">
      <x:alignment horizontal="center" vertical="center" wrapText="0"/>
    </x:xf>
    <x:xf numFmtId="204" fontId="2" fillId="3" borderId="11" xfId="0" applyNumberFormat="1" applyFont="1" applyFill="1" applyBorder="1" applyAlignment="1">
      <x:alignment horizontal="center" vertical="center" wrapText="0"/>
    </x:xf>
    <x:xf numFmtId="204" fontId="2" fillId="3" borderId="0" xfId="0" applyNumberFormat="1" applyFont="1" applyFill="1" applyBorder="1" applyAlignment="1">
      <x:alignment horizontal="center" vertical="center" wrapText="0"/>
    </x:xf>
    <x:xf numFmtId="200" fontId="2" fillId="3" borderId="5" xfId="0" applyNumberFormat="1" applyFont="1" applyFill="1" applyBorder="1" applyAlignment="1">
      <x:alignment horizontal="right" vertical="center" wrapText="0"/>
    </x:xf>
    <x:xf numFmtId="200" fontId="2" fillId="3" borderId="8" xfId="0" applyNumberFormat="1" applyFont="1" applyFill="1" applyBorder="1" applyAlignment="1">
      <x:alignment horizontal="right" vertical="center" wrapText="0"/>
    </x:xf>
    <x:xf numFmtId="200" fontId="2" fillId="3" borderId="11" xfId="0" applyNumberFormat="1" applyFont="1" applyFill="1" applyBorder="1" applyAlignment="1">
      <x:alignment horizontal="right" vertical="center" wrapText="0"/>
    </x:xf>
    <x:xf numFmtId="200" fontId="2" fillId="3" borderId="0" xfId="0" applyNumberFormat="1" applyFont="1" applyFill="1" applyBorder="1" applyAlignment="1">
      <x:alignment horizontal="right" vertical="center" wrapText="0"/>
    </x:xf>
    <x:xf numFmtId="205" fontId="2" fillId="3" borderId="5" xfId="0" applyNumberFormat="1" applyFont="1" applyFill="1" applyBorder="1" applyAlignment="1">
      <x:alignment horizontal="center" vertical="center" wrapText="0"/>
    </x:xf>
    <x:xf numFmtId="205" fontId="2" fillId="3" borderId="8" xfId="0" applyNumberFormat="1" applyFont="1" applyFill="1" applyBorder="1" applyAlignment="1">
      <x:alignment horizontal="center" vertical="center" wrapText="0"/>
    </x:xf>
    <x:xf numFmtId="205" fontId="2" fillId="3" borderId="11" xfId="0" applyNumberFormat="1" applyFont="1" applyFill="1" applyBorder="1" applyAlignment="1">
      <x:alignment horizontal="center" vertical="center" wrapText="0"/>
    </x:xf>
    <x:xf numFmtId="205" fontId="2" fillId="3" borderId="0" xfId="0" applyNumberFormat="1" applyFont="1" applyFill="1" applyBorder="1" applyAlignment="1">
      <x:alignment horizontal="center" vertical="center" wrapText="0"/>
    </x:xf>
    <x:xf numFmtId="0" fontId="2" fillId="3" borderId="5" xfId="0" applyNumberFormat="1" applyFont="1" applyFill="1" applyBorder="1" applyAlignment="1">
      <x:alignment horizontal="right" vertical="center" wrapText="0"/>
    </x:xf>
    <x:xf numFmtId="0" fontId="2" fillId="3" borderId="8" xfId="0" applyNumberFormat="1" applyFont="1" applyFill="1" applyBorder="1" applyAlignment="1">
      <x:alignment horizontal="right" vertical="center" wrapText="0"/>
    </x:xf>
    <x:xf numFmtId="0" fontId="2" fillId="3" borderId="11" xfId="0" applyNumberFormat="1" applyFont="1" applyFill="1" applyBorder="1" applyAlignment="1">
      <x:alignment horizontal="right" vertical="center" wrapText="0"/>
    </x:xf>
    <x:xf numFmtId="0" fontId="2" fillId="3" borderId="0" xfId="0" applyNumberFormat="1" applyFont="1" applyFill="1" applyBorder="1" applyAlignment="1">
      <x:alignment horizontal="right" vertical="center" wrapText="0"/>
    </x:xf>
    <x:xf numFmtId="206" fontId="2" fillId="3" borderId="5" xfId="0" applyNumberFormat="1" applyFont="1" applyFill="1" applyBorder="1" applyAlignment="1">
      <x:alignment horizontal="center" vertical="center" wrapText="0"/>
    </x:xf>
    <x:xf numFmtId="206" fontId="2" fillId="3" borderId="8" xfId="0" applyNumberFormat="1" applyFont="1" applyFill="1" applyBorder="1" applyAlignment="1">
      <x:alignment horizontal="center" vertical="center" wrapText="0"/>
    </x:xf>
    <x:xf numFmtId="206" fontId="2" fillId="3" borderId="11" xfId="0" applyNumberFormat="1" applyFont="1" applyFill="1" applyBorder="1" applyAlignment="1">
      <x:alignment horizontal="center" vertical="center" wrapText="0"/>
    </x:xf>
    <x:xf numFmtId="206" fontId="2" fillId="3" borderId="0" xfId="0" applyNumberFormat="1" applyFont="1" applyFill="1" applyBorder="1" applyAlignment="1">
      <x:alignment horizontal="center" vertical="center" wrapText="0"/>
    </x:xf>
    <x:xf numFmtId="202" fontId="2" fillId="3" borderId="6" xfId="0" applyNumberFormat="1" applyFont="1" applyFill="1" applyBorder="1" applyAlignment="1">
      <x:alignment horizontal="center" vertical="center" wrapText="0"/>
    </x:xf>
    <x:xf numFmtId="202" fontId="2" fillId="3" borderId="9" xfId="0" applyNumberFormat="1" applyFont="1" applyFill="1" applyBorder="1" applyAlignment="1">
      <x:alignment horizontal="center" vertical="center" wrapText="0"/>
    </x:xf>
    <x:xf numFmtId="202" fontId="2" fillId="3" borderId="12" xfId="0" applyNumberFormat="1" applyFont="1" applyFill="1" applyBorder="1" applyAlignment="1">
      <x:alignment horizontal="center" vertical="center" wrapText="0"/>
    </x:xf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24" xfId="0" applyNumberFormat="1" applyFont="1" applyFill="1" applyBorder="1"/>
    <x:xf numFmtId="0" fontId="2" fillId="0" borderId="16" xfId="0" applyNumberFormat="1" applyFont="1" applyFill="1" applyBorder="1" applyAlignment="1">
      <x:alignment horizontal="right"/>
    </x:xf>
    <x:xf numFmtId="0" fontId="2" fillId="0" borderId="17" xfId="0" applyNumberFormat="1" applyFont="1" applyFill="1" applyBorder="1" applyAlignment="1">
      <x:alignment horizontal="right"/>
    </x:xf>
    <x:xf numFmtId="0" fontId="2" fillId="0" borderId="18" xfId="0" applyNumberFormat="1" applyFont="1" applyFill="1" applyBorder="1" applyAlignment="1">
      <x:alignment horizontal="right"/>
    </x:xf>
    <x:xf numFmtId="0" fontId="2" fillId="0" borderId="19" xfId="0" applyNumberFormat="1" applyFont="1" applyFill="1" applyBorder="1" applyAlignment="1">
      <x:alignment horizontal="right"/>
    </x:xf>
    <x:xf numFmtId="0" fontId="2" fillId="0" borderId="20" xfId="0" applyNumberFormat="1" applyFont="1" applyFill="1" applyBorder="1" applyAlignment="1">
      <x:alignment horizontal="right"/>
    </x:xf>
    <x:xf numFmtId="0" fontId="2" fillId="0" borderId="21" xfId="0" applyNumberFormat="1" applyFont="1" applyFill="1" applyBorder="1" applyAlignment="1">
      <x:alignment horizontal="right"/>
    </x:xf>
    <x:xf numFmtId="0" fontId="2" fillId="0" borderId="22" xfId="0" applyNumberFormat="1" applyFont="1" applyFill="1" applyBorder="1" applyAlignment="1">
      <x:alignment horizontal="right"/>
    </x:xf>
    <x:xf numFmtId="0" fontId="2" fillId="0" borderId="23" xfId="0" applyNumberFormat="1" applyFont="1" applyFill="1" applyBorder="1" applyAlignment="1">
      <x:alignment horizontal="right"/>
    </x:xf>
    <x:xf numFmtId="0" fontId="2" fillId="0" borderId="24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0" fontId="5" fillId="5" borderId="19" xfId="0" applyNumberFormat="1" applyFont="1" applyFill="1" applyBorder="1"/>
    <x:xf numFmtId="0" fontId="5" fillId="5" borderId="20" xfId="0" applyNumberFormat="1" applyFont="1" applyFill="1" applyBorder="1"/>
    <x:xf numFmtId="0" fontId="5" fillId="5" borderId="21" xfId="0" applyNumberFormat="1" applyFont="1" applyFill="1" applyBorder="1"/>
    <x:xf numFmtId="0" fontId="5" fillId="5" borderId="22" xfId="0" applyNumberFormat="1" applyFont="1" applyFill="1" applyBorder="1"/>
    <x:xf numFmtId="0" fontId="5" fillId="5" borderId="23" xfId="0" applyNumberFormat="1" applyFont="1" applyFill="1" applyBorder="1"/>
    <x:xf numFmtId="0" fontId="5" fillId="5" borderId="24" xfId="0" applyNumberFormat="1" applyFont="1" applyFill="1" applyBorder="1"/>
    <x:xf numFmtId="0" fontId="5" fillId="5" borderId="16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wrapText="1"/>
    </x:xf>
    <x:xf numFmtId="0" fontId="5" fillId="5" borderId="19" xfId="0" applyNumberFormat="1" applyFont="1" applyFill="1" applyBorder="1" applyAlignment="1">
      <x:alignment wrapText="1"/>
    </x:xf>
    <x:xf numFmtId="0" fontId="5" fillId="5" borderId="20" xfId="0" applyNumberFormat="1" applyFont="1" applyFill="1" applyBorder="1" applyAlignment="1">
      <x:alignment wrapText="1"/>
    </x:xf>
    <x:xf numFmtId="0" fontId="5" fillId="5" borderId="21" xfId="0" applyNumberFormat="1" applyFont="1" applyFill="1" applyBorder="1" applyAlignment="1">
      <x:alignment wrapText="1"/>
    </x:xf>
    <x:xf numFmtId="0" fontId="5" fillId="5" borderId="22" xfId="0" applyNumberFormat="1" applyFont="1" applyFill="1" applyBorder="1" applyAlignment="1">
      <x:alignment wrapText="1"/>
    </x:xf>
    <x:xf numFmtId="0" fontId="5" fillId="5" borderId="23" xfId="0" applyNumberFormat="1" applyFont="1" applyFill="1" applyBorder="1" applyAlignment="1">
      <x:alignment wrapText="1"/>
    </x:xf>
    <x:xf numFmtId="0" fontId="5" fillId="5" borderId="24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horizontal="right" wrapText="1"/>
    </x:xf>
    <x:xf numFmtId="0" fontId="5" fillId="5" borderId="17" xfId="0" applyNumberFormat="1" applyFont="1" applyFill="1" applyBorder="1" applyAlignment="1">
      <x:alignment horizontal="right" wrapText="1"/>
    </x:xf>
    <x:xf numFmtId="0" fontId="5" fillId="5" borderId="18" xfId="0" applyNumberFormat="1" applyFont="1" applyFill="1" applyBorder="1" applyAlignment="1">
      <x:alignment horizontal="right" wrapText="1"/>
    </x:xf>
    <x:xf numFmtId="0" fontId="5" fillId="5" borderId="19" xfId="0" applyNumberFormat="1" applyFont="1" applyFill="1" applyBorder="1" applyAlignment="1">
      <x:alignment horizontal="right" wrapText="1"/>
    </x:xf>
    <x:xf numFmtId="0" fontId="5" fillId="5" borderId="20" xfId="0" applyNumberFormat="1" applyFont="1" applyFill="1" applyBorder="1" applyAlignment="1">
      <x:alignment horizontal="right" wrapText="1"/>
    </x:xf>
    <x:xf numFmtId="0" fontId="5" fillId="5" borderId="21" xfId="0" applyNumberFormat="1" applyFont="1" applyFill="1" applyBorder="1" applyAlignment="1">
      <x:alignment horizontal="right" wrapText="1"/>
    </x:xf>
    <x:xf numFmtId="0" fontId="5" fillId="5" borderId="22" xfId="0" applyNumberFormat="1" applyFont="1" applyFill="1" applyBorder="1" applyAlignment="1">
      <x:alignment horizontal="right" wrapText="1"/>
    </x:xf>
    <x:xf numFmtId="0" fontId="5" fillId="5" borderId="23" xfId="0" applyNumberFormat="1" applyFont="1" applyFill="1" applyBorder="1" applyAlignment="1">
      <x:alignment horizontal="right" wrapText="1"/>
    </x:xf>
    <x:xf numFmtId="0" fontId="5" fillId="5" borderId="24" xfId="0" applyNumberFormat="1" applyFont="1" applyFill="1" applyBorder="1" applyAlignment="1">
      <x:alignment horizontal="right" wrapText="1"/>
    </x:xf>
    <x:xf numFmtId="0" fontId="5" fillId="5" borderId="16" xfId="0" applyNumberFormat="1" applyFont="1" applyFill="1" applyBorder="1" applyAlignment="1">
      <x:alignment horizontal="right" vertical="center" wrapText="1"/>
    </x:xf>
    <x:xf numFmtId="0" fontId="5" fillId="5" borderId="17" xfId="0" applyNumberFormat="1" applyFont="1" applyFill="1" applyBorder="1" applyAlignment="1">
      <x:alignment horizontal="right" vertical="center" wrapText="1"/>
    </x:xf>
    <x:xf numFmtId="0" fontId="5" fillId="5" borderId="18" xfId="0" applyNumberFormat="1" applyFont="1" applyFill="1" applyBorder="1" applyAlignment="1">
      <x:alignment horizontal="right" vertical="center" wrapText="1"/>
    </x:xf>
    <x:xf numFmtId="0" fontId="5" fillId="5" borderId="19" xfId="0" applyNumberFormat="1" applyFont="1" applyFill="1" applyBorder="1" applyAlignment="1">
      <x:alignment horizontal="right" vertical="center" wrapText="1"/>
    </x:xf>
    <x:xf numFmtId="0" fontId="5" fillId="5" borderId="20" xfId="0" applyNumberFormat="1" applyFont="1" applyFill="1" applyBorder="1" applyAlignment="1">
      <x:alignment horizontal="right" vertical="center" wrapText="1"/>
    </x:xf>
    <x:xf numFmtId="0" fontId="5" fillId="5" borderId="21" xfId="0" applyNumberFormat="1" applyFont="1" applyFill="1" applyBorder="1" applyAlignment="1">
      <x:alignment horizontal="right" vertical="center" wrapText="1"/>
    </x:xf>
    <x:xf numFmtId="0" fontId="5" fillId="5" borderId="22" xfId="0" applyNumberFormat="1" applyFont="1" applyFill="1" applyBorder="1" applyAlignment="1">
      <x:alignment horizontal="right" vertical="center" wrapText="1"/>
    </x:xf>
    <x:xf numFmtId="0" fontId="5" fillId="5" borderId="23" xfId="0" applyNumberFormat="1" applyFont="1" applyFill="1" applyBorder="1" applyAlignment="1">
      <x:alignment horizontal="right" vertical="center" wrapText="1"/>
    </x:xf>
    <x:xf numFmtId="0" fontId="5" fillId="5" borderId="24" xfId="0" applyNumberFormat="1" applyFont="1" applyFill="1" applyBorder="1" applyAlignment="1">
      <x:alignment horizontal="right" vertical="center" wrapText="1"/>
    </x:xf>
    <x:xf numFmtId="0" fontId="5" fillId="4" borderId="16" xfId="0" applyNumberFormat="1" applyFont="1" applyFill="1" applyBorder="1" applyAlignment="1">
      <x:alignment horizontal="right" vertical="center" wrapText="1"/>
    </x:xf>
    <x:xf numFmtId="0" fontId="5" fillId="4" borderId="19" xfId="0" applyNumberFormat="1" applyFont="1" applyFill="1" applyBorder="1" applyAlignment="1">
      <x:alignment horizontal="right" vertical="center" wrapText="1"/>
    </x:xf>
    <x:xf numFmtId="0" fontId="5" fillId="4" borderId="22" xfId="0" applyNumberFormat="1" applyFont="1" applyFill="1" applyBorder="1" applyAlignment="1">
      <x:alignment horizontal="right" vertical="center" wrapText="1"/>
    </x:xf>
    <x:xf numFmtId="0" fontId="4" fillId="4" borderId="16" xfId="0" applyNumberFormat="1" applyFont="1" applyFill="1" applyBorder="1" applyAlignment="1">
      <x:alignment horizontal="right" vertical="center" wrapText="1"/>
    </x:xf>
    <x:xf numFmtId="0" fontId="4" fillId="4" borderId="19" xfId="0" applyNumberFormat="1" applyFont="1" applyFill="1" applyBorder="1" applyAlignment="1">
      <x:alignment horizontal="right" vertical="center" wrapText="1"/>
    </x:xf>
    <x:xf numFmtId="0" fontId="4" fillId="4" borderId="22" xfId="0" applyNumberFormat="1" applyFont="1" applyFill="1" applyBorder="1" applyAlignment="1">
      <x:alignment horizontal="right" vertical="center" wrapText="1"/>
    </x:xf>
    <x:xf numFmtId="0" fontId="4" fillId="4" borderId="16" xfId="0" applyNumberFormat="1" applyFont="1" applyFill="1" applyBorder="1" applyAlignment="1">
      <x:alignment horizontal="center" vertical="center" wrapText="1"/>
    </x:xf>
    <x:xf numFmtId="0" fontId="4" fillId="4" borderId="19" xfId="0" applyNumberFormat="1" applyFont="1" applyFill="1" applyBorder="1" applyAlignment="1">
      <x:alignment horizontal="center" vertical="center" wrapText="1"/>
    </x:xf>
    <x:xf numFmtId="0" fontId="4" fillId="4" borderId="2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right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24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horizontal="right" wrapText="1"/>
    </x:xf>
    <x:xf numFmtId="0" fontId="2" fillId="0" borderId="17" xfId="0" applyNumberFormat="1" applyFont="1" applyFill="1" applyBorder="1" applyAlignment="1">
      <x:alignment horizontal="right" wrapText="1"/>
    </x:xf>
    <x:xf numFmtId="0" fontId="2" fillId="0" borderId="18" xfId="0" applyNumberFormat="1" applyFont="1" applyFill="1" applyBorder="1" applyAlignment="1">
      <x:alignment horizontal="right" wrapText="1"/>
    </x:xf>
    <x:xf numFmtId="0" fontId="2" fillId="0" borderId="19" xfId="0" applyNumberFormat="1" applyFont="1" applyFill="1" applyBorder="1" applyAlignment="1">
      <x:alignment horizontal="right" wrapText="1"/>
    </x:xf>
    <x:xf numFmtId="0" fontId="2" fillId="0" borderId="20" xfId="0" applyNumberFormat="1" applyFont="1" applyFill="1" applyBorder="1" applyAlignment="1">
      <x:alignment horizontal="right" wrapText="1"/>
    </x:xf>
    <x:xf numFmtId="0" fontId="2" fillId="0" borderId="21" xfId="0" applyNumberFormat="1" applyFont="1" applyFill="1" applyBorder="1" applyAlignment="1">
      <x:alignment horizontal="right" wrapText="1"/>
    </x:xf>
    <x:xf numFmtId="0" fontId="2" fillId="0" borderId="22" xfId="0" applyNumberFormat="1" applyFont="1" applyFill="1" applyBorder="1" applyAlignment="1">
      <x:alignment horizontal="right" wrapText="1"/>
    </x:xf>
    <x:xf numFmtId="0" fontId="2" fillId="0" borderId="23" xfId="0" applyNumberFormat="1" applyFont="1" applyFill="1" applyBorder="1" applyAlignment="1">
      <x:alignment horizontal="right" wrapText="1"/>
    </x:xf>
    <x:xf numFmtId="0" fontId="2" fillId="0" borderId="24" xfId="0" applyNumberFormat="1" applyFont="1" applyFill="1" applyBorder="1" applyAlignment="1">
      <x:alignment horizontal="right" wrapText="1"/>
    </x:xf>
    <x:xf numFmtId="0" fontId="2" fillId="0" borderId="16" xfId="0" applyNumberFormat="1" applyFont="1" applyFill="1" applyBorder="1" applyAlignment="1">
      <x:alignment horizontal="right" vertical="center" wrapText="1"/>
    </x:xf>
    <x:xf numFmtId="0" fontId="2" fillId="0" borderId="17" xfId="0" applyNumberFormat="1" applyFont="1" applyFill="1" applyBorder="1" applyAlignment="1">
      <x:alignment horizontal="right" vertical="center" wrapText="1"/>
    </x:xf>
    <x:xf numFmtId="0" fontId="2" fillId="0" borderId="18" xfId="0" applyNumberFormat="1" applyFont="1" applyFill="1" applyBorder="1" applyAlignment="1">
      <x:alignment horizontal="right" vertical="center" wrapText="1"/>
    </x:xf>
    <x:xf numFmtId="0" fontId="2" fillId="0" borderId="19" xfId="0" applyNumberFormat="1" applyFont="1" applyFill="1" applyBorder="1" applyAlignment="1">
      <x:alignment horizontal="right" vertical="center" wrapText="1"/>
    </x:xf>
    <x:xf numFmtId="0" fontId="2" fillId="0" borderId="20" xfId="0" applyNumberFormat="1" applyFont="1" applyFill="1" applyBorder="1" applyAlignment="1">
      <x:alignment horizontal="right" vertical="center" wrapText="1"/>
    </x:xf>
    <x:xf numFmtId="0" fontId="2" fillId="0" borderId="21" xfId="0" applyNumberFormat="1" applyFont="1" applyFill="1" applyBorder="1" applyAlignment="1">
      <x:alignment horizontal="right" vertical="center" wrapText="1"/>
    </x:xf>
    <x:xf numFmtId="0" fontId="2" fillId="0" borderId="22" xfId="0" applyNumberFormat="1" applyFont="1" applyFill="1" applyBorder="1" applyAlignment="1">
      <x:alignment horizontal="right" vertical="center" wrapText="1"/>
    </x:xf>
    <x:xf numFmtId="0" fontId="2" fillId="0" borderId="23" xfId="0" applyNumberFormat="1" applyFont="1" applyFill="1" applyBorder="1" applyAlignment="1">
      <x:alignment horizontal="right" vertical="center" wrapText="1"/>
    </x:xf>
    <x:xf numFmtId="0" fontId="2" fillId="0" borderId="24" xfId="0" applyNumberFormat="1" applyFont="1" applyFill="1" applyBorder="1" applyAlignment="1">
      <x:alignment horizontal="right" vertical="center" wrapText="1"/>
    </x:xf>
    <x:xf numFmtId="0" fontId="2" fillId="7" borderId="16" xfId="0" applyNumberFormat="1" applyFont="1" applyFill="1" applyBorder="1" applyAlignment="1">
      <x:alignment horizontal="right" vertical="center" wrapText="1"/>
    </x:xf>
    <x:xf numFmtId="0" fontId="2" fillId="7" borderId="19" xfId="0" applyNumberFormat="1" applyFont="1" applyFill="1" applyBorder="1" applyAlignment="1">
      <x:alignment horizontal="right" vertical="center" wrapText="1"/>
    </x:xf>
    <x:xf numFmtId="0" fontId="2" fillId="7" borderId="22" xfId="0" applyNumberFormat="1" applyFont="1" applyFill="1" applyBorder="1" applyAlignment="1">
      <x:alignment horizontal="right" vertical="center" wrapText="1"/>
    </x:xf>
    <x:xf numFmtId="0" fontId="2" fillId="7" borderId="17" xfId="0" applyNumberFormat="1" applyFont="1" applyFill="1" applyBorder="1" applyAlignment="1">
      <x:alignment horizontal="right" vertical="center" wrapText="1"/>
    </x:xf>
    <x:xf numFmtId="0" fontId="2" fillId="7" borderId="20" xfId="0" applyNumberFormat="1" applyFont="1" applyFill="1" applyBorder="1" applyAlignment="1">
      <x:alignment horizontal="right" vertical="center" wrapText="1"/>
    </x:xf>
    <x:xf numFmtId="0" fontId="2" fillId="7" borderId="23" xfId="0" applyNumberFormat="1" applyFont="1" applyFill="1" applyBorder="1" applyAlignment="1">
      <x:alignment horizontal="right" vertical="center" wrapText="1"/>
    </x:xf>
    <x:xf numFmtId="0" fontId="7" fillId="7" borderId="16" xfId="0" applyNumberFormat="1" applyFont="1" applyFill="1" applyBorder="1" applyAlignment="1">
      <x:alignment horizontal="right" vertical="center" wrapText="1"/>
    </x:xf>
    <x:xf numFmtId="0" fontId="7" fillId="7" borderId="19" xfId="0" applyNumberFormat="1" applyFont="1" applyFill="1" applyBorder="1" applyAlignment="1">
      <x:alignment horizontal="right" vertical="center" wrapText="1"/>
    </x:xf>
    <x:xf numFmtId="0" fontId="7" fillId="7" borderId="22" xfId="0" applyNumberFormat="1" applyFont="1" applyFill="1" applyBorder="1" applyAlignment="1">
      <x:alignment horizontal="right" vertical="center" wrapText="1"/>
    </x:xf>
    <x:xf numFmtId="0" fontId="7" fillId="7" borderId="17" xfId="0" applyNumberFormat="1" applyFont="1" applyFill="1" applyBorder="1" applyAlignment="1">
      <x:alignment horizontal="right" vertical="center" wrapText="1"/>
    </x:xf>
    <x:xf numFmtId="0" fontId="7" fillId="7" borderId="20" xfId="0" applyNumberFormat="1" applyFont="1" applyFill="1" applyBorder="1" applyAlignment="1">
      <x:alignment horizontal="right" vertical="center" wrapText="1"/>
    </x:xf>
    <x:xf numFmtId="0" fontId="7" fillId="7" borderId="23" xfId="0" applyNumberFormat="1" applyFont="1" applyFill="1" applyBorder="1" applyAlignment="1">
      <x:alignment horizontal="right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right"/>
    </x:xf>
    <x:xf numFmtId="0" fontId="2" fillId="0" borderId="16" xfId="0" applyNumberFormat="1" applyFont="1" applyFill="1" applyBorder="1" applyAlignment="1">
      <x:alignment horizontal="left"/>
    </x:xf>
    <x:xf numFmtId="0" fontId="2" fillId="0" borderId="17" xfId="0" applyNumberFormat="1" applyFont="1" applyFill="1" applyBorder="1" applyAlignment="1">
      <x:alignment horizontal="left"/>
    </x:xf>
    <x:xf numFmtId="0" fontId="2" fillId="0" borderId="18" xfId="0" applyNumberFormat="1" applyFont="1" applyFill="1" applyBorder="1" applyAlignment="1">
      <x:alignment horizontal="left"/>
    </x:xf>
    <x:xf numFmtId="0" fontId="2" fillId="0" borderId="19" xfId="0" applyNumberFormat="1" applyFont="1" applyFill="1" applyBorder="1" applyAlignment="1">
      <x:alignment horizontal="left"/>
    </x:xf>
    <x:xf numFmtId="0" fontId="2" fillId="0" borderId="20" xfId="0" applyNumberFormat="1" applyFont="1" applyFill="1" applyBorder="1" applyAlignment="1">
      <x:alignment horizontal="left"/>
    </x:xf>
    <x:xf numFmtId="0" fontId="2" fillId="0" borderId="21" xfId="0" applyNumberFormat="1" applyFont="1" applyFill="1" applyBorder="1" applyAlignment="1">
      <x:alignment horizontal="left"/>
    </x:xf>
    <x:xf numFmtId="0" fontId="2" fillId="0" borderId="22" xfId="0" applyNumberFormat="1" applyFont="1" applyFill="1" applyBorder="1" applyAlignment="1">
      <x:alignment horizontal="left"/>
    </x:xf>
    <x:xf numFmtId="0" fontId="2" fillId="0" borderId="23" xfId="0" applyNumberFormat="1" applyFont="1" applyFill="1" applyBorder="1" applyAlignment="1">
      <x:alignment horizontal="left"/>
    </x:xf>
    <x:xf numFmtId="0" fontId="2" fillId="0" borderId="24" xfId="0" applyNumberFormat="1" applyFont="1" applyFill="1" applyBorder="1" applyAlignment="1">
      <x:alignment horizontal="left"/>
    </x:xf>
    <x:xf numFmtId="0" fontId="2" fillId="0" borderId="16" xfId="0" applyNumberFormat="1" applyFont="1" applyFill="1" applyBorder="1" applyAlignment="1">
      <x:alignment horizontal="left" vertical="center"/>
    </x:xf>
    <x:xf numFmtId="0" fontId="2" fillId="0" borderId="17" xfId="0" applyNumberFormat="1" applyFont="1" applyFill="1" applyBorder="1" applyAlignment="1">
      <x:alignment horizontal="left" vertical="center"/>
    </x:xf>
    <x:xf numFmtId="0" fontId="2" fillId="0" borderId="18" xfId="0" applyNumberFormat="1" applyFont="1" applyFill="1" applyBorder="1" applyAlignment="1">
      <x:alignment horizontal="left" vertical="center"/>
    </x:xf>
    <x:xf numFmtId="0" fontId="2" fillId="0" borderId="19" xfId="0" applyNumberFormat="1" applyFont="1" applyFill="1" applyBorder="1" applyAlignment="1">
      <x:alignment horizontal="left" vertical="center"/>
    </x:xf>
    <x:xf numFmtId="0" fontId="2" fillId="0" borderId="20" xfId="0" applyNumberFormat="1" applyFont="1" applyFill="1" applyBorder="1" applyAlignment="1">
      <x:alignment horizontal="left" vertical="center"/>
    </x:xf>
    <x:xf numFmtId="0" fontId="2" fillId="0" borderId="21" xfId="0" applyNumberFormat="1" applyFont="1" applyFill="1" applyBorder="1" applyAlignment="1">
      <x:alignment horizontal="left" vertical="center"/>
    </x:xf>
    <x:xf numFmtId="0" fontId="2" fillId="0" borderId="22" xfId="0" applyNumberFormat="1" applyFont="1" applyFill="1" applyBorder="1" applyAlignment="1">
      <x:alignment horizontal="left" vertical="center"/>
    </x:xf>
    <x:xf numFmtId="0" fontId="2" fillId="0" borderId="23" xfId="0" applyNumberFormat="1" applyFont="1" applyFill="1" applyBorder="1" applyAlignment="1">
      <x:alignment horizontal="left" vertical="center"/>
    </x:xf>
    <x:xf numFmtId="0" fontId="2" fillId="0" borderId="24" xfId="0" applyNumberFormat="1" applyFont="1" applyFill="1" applyBorder="1" applyAlignment="1">
      <x:alignment horizontal="left" vertical="center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horizontal="right" wrapText="1"/>
    </x:xf>
    <x:xf numFmtId="0" fontId="2" fillId="0" borderId="5" xfId="0" applyNumberFormat="1" applyFont="1" applyFill="1" applyBorder="1" applyAlignment="1">
      <x:alignment horizontal="right" wrapText="1"/>
    </x:xf>
    <x:xf numFmtId="0" fontId="2" fillId="0" borderId="6" xfId="0" applyNumberFormat="1" applyFont="1" applyFill="1" applyBorder="1" applyAlignment="1">
      <x:alignment horizontal="right" wrapText="1"/>
    </x:xf>
    <x:xf numFmtId="0" fontId="2" fillId="0" borderId="7" xfId="0" applyNumberFormat="1" applyFont="1" applyFill="1" applyBorder="1" applyAlignment="1">
      <x:alignment horizontal="right" wrapText="1"/>
    </x:xf>
    <x:xf numFmtId="0" fontId="2" fillId="0" borderId="8" xfId="0" applyNumberFormat="1" applyFont="1" applyFill="1" applyBorder="1" applyAlignment="1">
      <x:alignment horizontal="right" wrapText="1"/>
    </x:xf>
    <x:xf numFmtId="0" fontId="2" fillId="0" borderId="9" xfId="0" applyNumberFormat="1" applyFont="1" applyFill="1" applyBorder="1" applyAlignment="1">
      <x:alignment horizontal="right" wrapText="1"/>
    </x:xf>
    <x:xf numFmtId="0" fontId="2" fillId="0" borderId="10" xfId="0" applyNumberFormat="1" applyFont="1" applyFill="1" applyBorder="1" applyAlignment="1">
      <x:alignment horizontal="right" wrapText="1"/>
    </x:xf>
    <x:xf numFmtId="0" fontId="2" fillId="0" borderId="11" xfId="0" applyNumberFormat="1" applyFont="1" applyFill="1" applyBorder="1" applyAlignment="1">
      <x:alignment horizontal="right" wrapText="1"/>
    </x:xf>
    <x:xf numFmtId="0" fontId="2" fillId="0" borderId="12" xfId="0" applyNumberFormat="1" applyFont="1" applyFill="1" applyBorder="1" applyAlignment="1">
      <x:alignment horizontal="right" wrapText="1"/>
    </x:xf>
    <x:xf numFmtId="0" fontId="2" fillId="0" borderId="4" xfId="0" applyNumberFormat="1" applyFont="1" applyFill="1" applyBorder="1" applyAlignment="1">
      <x:alignment horizontal="right" vertical="center" wrapText="1"/>
    </x:xf>
    <x:xf numFmtId="0" fontId="2" fillId="0" borderId="6" xfId="0" applyNumberFormat="1" applyFont="1" applyFill="1" applyBorder="1" applyAlignment="1">
      <x:alignment horizontal="right" vertical="center" wrapText="1"/>
    </x:xf>
    <x:xf numFmtId="0" fontId="2" fillId="0" borderId="7" xfId="0" applyNumberFormat="1" applyFont="1" applyFill="1" applyBorder="1" applyAlignment="1">
      <x:alignment horizontal="right" vertical="center" wrapText="1"/>
    </x:xf>
    <x:xf numFmtId="0" fontId="2" fillId="0" borderId="9" xfId="0" applyNumberFormat="1" applyFont="1" applyFill="1" applyBorder="1" applyAlignment="1">
      <x:alignment horizontal="right" vertical="center" wrapText="1"/>
    </x:xf>
    <x:xf numFmtId="0" fontId="2" fillId="0" borderId="10" xfId="0" applyNumberFormat="1" applyFont="1" applyFill="1" applyBorder="1" applyAlignment="1">
      <x:alignment horizontal="right" vertical="center" wrapText="1"/>
    </x:xf>
    <x:xf numFmtId="0" fontId="2" fillId="0" borderId="12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/>
    <x:xf numFmtId="201" fontId="0" fillId="4" borderId="0" xfId="0" applyNumberFormat="1" applyFont="1" applyFill="1" applyBorder="1"/>
    <x:xf numFmtId="0" fontId="9" fillId="4" borderId="0" xfId="0" applyNumberFormat="1" applyFont="1" applyFill="1" applyBorder="1"/>
    <x:xf numFmtId="201" fontId="9" fillId="4" borderId="0" xfId="0" applyNumberFormat="1" applyFont="1" applyFill="1" applyBorder="1"/>
    <x:xf numFmtId="0" fontId="9" fillId="4" borderId="25" xfId="0" applyNumberFormat="1" applyFont="1" applyFill="1" applyBorder="1"/>
    <x:xf numFmtId="201" fontId="9" fillId="4" borderId="26" xfId="0" applyNumberFormat="1" applyFont="1" applyFill="1" applyBorder="1"/>
    <x:xf numFmtId="0" fontId="9" fillId="4" borderId="25" xfId="0" applyNumberFormat="1" applyFont="1" applyFill="1" applyBorder="1" applyAlignment="1">
      <x:alignment horizontal="center"/>
    </x:xf>
    <x:xf numFmtId="201" fontId="9" fillId="4" borderId="26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27" xfId="0" applyNumberFormat="1" applyFont="1" applyFill="1" applyBorder="1"/>
    <x:xf numFmtId="0" fontId="10" fillId="10" borderId="28" xfId="0" applyNumberFormat="1" applyFont="1" applyFill="1" applyBorder="1"/>
    <x:xf numFmtId="0" fontId="10" fillId="10" borderId="29" xfId="0" applyNumberFormat="1" applyFont="1" applyFill="1" applyBorder="1"/>
    <x:xf numFmtId="0" fontId="10" fillId="10" borderId="30" xfId="0" applyNumberFormat="1" applyFont="1" applyFill="1" applyBorder="1"/>
    <x:xf numFmtId="0" fontId="10" fillId="10" borderId="31" xfId="0" applyNumberFormat="1" applyFont="1" applyFill="1" applyBorder="1"/>
    <x:xf numFmtId="0" fontId="10" fillId="10" borderId="32" xfId="0" applyNumberFormat="1" applyFont="1" applyFill="1" applyBorder="1"/>
    <x:xf numFmtId="0" fontId="10" fillId="10" borderId="27" xfId="0" applyNumberFormat="1" applyFont="1" applyFill="1" applyBorder="1" applyAlignment="1">
      <x:alignment horizontal="center"/>
    </x:xf>
    <x:xf numFmtId="0" fontId="10" fillId="10" borderId="28" xfId="0" applyNumberFormat="1" applyFont="1" applyFill="1" applyBorder="1" applyAlignment="1">
      <x:alignment horizontal="center"/>
    </x:xf>
    <x:xf numFmtId="0" fontId="10" fillId="10" borderId="29" xfId="0" applyNumberFormat="1" applyFont="1" applyFill="1" applyBorder="1" applyAlignment="1">
      <x:alignment horizontal="center"/>
    </x:xf>
    <x:xf numFmtId="0" fontId="10" fillId="10" borderId="30" xfId="0" applyNumberFormat="1" applyFont="1" applyFill="1" applyBorder="1" applyAlignment="1">
      <x:alignment horizontal="center"/>
    </x:xf>
    <x:xf numFmtId="0" fontId="10" fillId="10" borderId="31" xfId="0" applyNumberFormat="1" applyFont="1" applyFill="1" applyBorder="1" applyAlignment="1">
      <x:alignment horizontal="center"/>
    </x:xf>
    <x:xf numFmtId="0" fontId="10" fillId="10" borderId="32" xfId="0" applyNumberFormat="1" applyFont="1" applyFill="1" applyBorder="1" applyAlignment="1">
      <x:alignment horizontal="center"/>
    </x:xf>
    <x:xf numFmtId="0" fontId="10" fillId="10" borderId="27" xfId="0" applyNumberFormat="1" applyFont="1" applyFill="1" applyBorder="1" applyAlignment="1">
      <x:alignment horizontal="center" vertical="center"/>
    </x:xf>
    <x:xf numFmtId="0" fontId="10" fillId="10" borderId="28" xfId="0" applyNumberFormat="1" applyFont="1" applyFill="1" applyBorder="1" applyAlignment="1">
      <x:alignment horizontal="center" vertical="center"/>
    </x:xf>
    <x:xf numFmtId="0" fontId="10" fillId="10" borderId="29" xfId="0" applyNumberFormat="1" applyFont="1" applyFill="1" applyBorder="1" applyAlignment="1">
      <x:alignment horizontal="center" vertical="center"/>
    </x:xf>
    <x:xf numFmtId="0" fontId="10" fillId="10" borderId="30" xfId="0" applyNumberFormat="1" applyFont="1" applyFill="1" applyBorder="1" applyAlignment="1">
      <x:alignment horizontal="center" vertical="center"/>
    </x:xf>
    <x:xf numFmtId="0" fontId="10" fillId="10" borderId="31" xfId="0" applyNumberFormat="1" applyFont="1" applyFill="1" applyBorder="1" applyAlignment="1">
      <x:alignment horizontal="center" vertical="center"/>
    </x:xf>
    <x:xf numFmtId="0" fontId="10" fillId="10" borderId="32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1" fillId="10" borderId="0" xfId="0" applyNumberFormat="1" applyFont="1" applyFill="1" applyBorder="1"/>
    <x:xf numFmtId="0" fontId="11" fillId="10" borderId="33" xfId="0" applyNumberFormat="1" applyFont="1" applyFill="1" applyBorder="1"/>
    <x:xf numFmtId="0" fontId="11" fillId="10" borderId="34" xfId="0" applyNumberFormat="1" applyFont="1" applyFill="1" applyBorder="1"/>
    <x:xf numFmtId="0" fontId="11" fillId="10" borderId="35" xfId="0" applyNumberFormat="1" applyFont="1" applyFill="1" applyBorder="1"/>
    <x:xf numFmtId="0" fontId="11" fillId="10" borderId="36" xfId="0" applyNumberFormat="1" applyFont="1" applyFill="1" applyBorder="1"/>
    <x:xf numFmtId="0" fontId="11" fillId="10" borderId="37" xfId="0" applyNumberFormat="1" applyFont="1" applyFill="1" applyBorder="1"/>
    <x:xf numFmtId="0" fontId="11" fillId="10" borderId="38" xfId="0" applyNumberFormat="1" applyFont="1" applyFill="1" applyBorder="1"/>
    <x:xf numFmtId="0" fontId="11" fillId="10" borderId="33" xfId="0" applyNumberFormat="1" applyFont="1" applyFill="1" applyBorder="1" applyAlignment="1">
      <x:alignment horizontal="center"/>
    </x:xf>
    <x:xf numFmtId="0" fontId="11" fillId="10" borderId="34" xfId="0" applyNumberFormat="1" applyFont="1" applyFill="1" applyBorder="1" applyAlignment="1">
      <x:alignment horizontal="center"/>
    </x:xf>
    <x:xf numFmtId="0" fontId="11" fillId="10" borderId="35" xfId="0" applyNumberFormat="1" applyFont="1" applyFill="1" applyBorder="1" applyAlignment="1">
      <x:alignment horizontal="center"/>
    </x:xf>
    <x:xf numFmtId="0" fontId="11" fillId="10" borderId="36" xfId="0" applyNumberFormat="1" applyFont="1" applyFill="1" applyBorder="1" applyAlignment="1">
      <x:alignment horizontal="center"/>
    </x:xf>
    <x:xf numFmtId="0" fontId="11" fillId="10" borderId="37" xfId="0" applyNumberFormat="1" applyFont="1" applyFill="1" applyBorder="1" applyAlignment="1">
      <x:alignment horizontal="center"/>
    </x:xf>
    <x:xf numFmtId="0" fontId="11" fillId="10" borderId="38" xfId="0" applyNumberFormat="1" applyFont="1" applyFill="1" applyBorder="1" applyAlignment="1">
      <x:alignment horizontal="center"/>
    </x:xf>
    <x:xf numFmtId="0" fontId="11" fillId="10" borderId="33" xfId="0" applyNumberFormat="1" applyFont="1" applyFill="1" applyBorder="1" applyAlignment="1">
      <x:alignment horizontal="center" vertical="center"/>
    </x:xf>
    <x:xf numFmtId="0" fontId="11" fillId="10" borderId="34" xfId="0" applyNumberFormat="1" applyFont="1" applyFill="1" applyBorder="1" applyAlignment="1">
      <x:alignment horizontal="center" vertical="center"/>
    </x:xf>
    <x:xf numFmtId="0" fontId="11" fillId="10" borderId="35" xfId="0" applyNumberFormat="1" applyFont="1" applyFill="1" applyBorder="1" applyAlignment="1">
      <x:alignment horizontal="center" vertical="center"/>
    </x:xf>
    <x:xf numFmtId="0" fontId="11" fillId="10" borderId="36" xfId="0" applyNumberFormat="1" applyFont="1" applyFill="1" applyBorder="1" applyAlignment="1">
      <x:alignment horizontal="center" vertical="center"/>
    </x:xf>
    <x:xf numFmtId="0" fontId="11" fillId="10" borderId="37" xfId="0" applyNumberFormat="1" applyFont="1" applyFill="1" applyBorder="1" applyAlignment="1">
      <x:alignment horizontal="center" vertical="center"/>
    </x:xf>
    <x:xf numFmtId="0" fontId="11" fillId="10" borderId="38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/>
    <x:xf numFmtId="0" fontId="12" fillId="10" borderId="39" xfId="0" applyNumberFormat="1" applyFont="1" applyFill="1" applyBorder="1"/>
    <x:xf numFmtId="0" fontId="12" fillId="10" borderId="40" xfId="0" applyNumberFormat="1" applyFont="1" applyFill="1" applyBorder="1"/>
    <x:xf numFmtId="0" fontId="12" fillId="10" borderId="41" xfId="0" applyNumberFormat="1" applyFont="1" applyFill="1" applyBorder="1"/>
    <x:xf numFmtId="0" fontId="12" fillId="10" borderId="42" xfId="0" applyNumberFormat="1" applyFont="1" applyFill="1" applyBorder="1"/>
    <x:xf numFmtId="0" fontId="12" fillId="10" borderId="43" xfId="0" applyNumberFormat="1" applyFont="1" applyFill="1" applyBorder="1"/>
    <x:xf numFmtId="0" fontId="12" fillId="10" borderId="44" xfId="0" applyNumberFormat="1" applyFont="1" applyFill="1" applyBorder="1"/>
    <x:xf numFmtId="0" fontId="12" fillId="10" borderId="39" xfId="0" applyNumberFormat="1" applyFont="1" applyFill="1" applyBorder="1" applyAlignment="1">
      <x:alignment horizontal="center"/>
    </x:xf>
    <x:xf numFmtId="0" fontId="12" fillId="10" borderId="40" xfId="0" applyNumberFormat="1" applyFont="1" applyFill="1" applyBorder="1" applyAlignment="1">
      <x:alignment horizontal="center"/>
    </x:xf>
    <x:xf numFmtId="0" fontId="12" fillId="10" borderId="41" xfId="0" applyNumberFormat="1" applyFont="1" applyFill="1" applyBorder="1" applyAlignment="1">
      <x:alignment horizontal="center"/>
    </x:xf>
    <x:xf numFmtId="0" fontId="12" fillId="10" borderId="42" xfId="0" applyNumberFormat="1" applyFont="1" applyFill="1" applyBorder="1" applyAlignment="1">
      <x:alignment horizontal="center"/>
    </x:xf>
    <x:xf numFmtId="0" fontId="12" fillId="10" borderId="43" xfId="0" applyNumberFormat="1" applyFont="1" applyFill="1" applyBorder="1" applyAlignment="1">
      <x:alignment horizontal="center"/>
    </x:xf>
    <x:xf numFmtId="0" fontId="12" fillId="10" borderId="44" xfId="0" applyNumberFormat="1" applyFont="1" applyFill="1" applyBorder="1" applyAlignment="1">
      <x:alignment horizontal="center"/>
    </x:xf>
    <x:xf numFmtId="0" fontId="12" fillId="10" borderId="39" xfId="0" applyNumberFormat="1" applyFont="1" applyFill="1" applyBorder="1" applyAlignment="1">
      <x:alignment horizontal="center" vertical="center"/>
    </x:xf>
    <x:xf numFmtId="0" fontId="12" fillId="10" borderId="40" xfId="0" applyNumberFormat="1" applyFont="1" applyFill="1" applyBorder="1" applyAlignment="1">
      <x:alignment horizontal="center" vertical="center"/>
    </x:xf>
    <x:xf numFmtId="0" fontId="12" fillId="10" borderId="41" xfId="0" applyNumberFormat="1" applyFont="1" applyFill="1" applyBorder="1" applyAlignment="1">
      <x:alignment horizontal="center" vertical="center"/>
    </x:xf>
    <x:xf numFmtId="0" fontId="12" fillId="10" borderId="42" xfId="0" applyNumberFormat="1" applyFont="1" applyFill="1" applyBorder="1" applyAlignment="1">
      <x:alignment horizontal="center" vertical="center"/>
    </x:xf>
    <x:xf numFmtId="0" fontId="12" fillId="10" borderId="43" xfId="0" applyNumberFormat="1" applyFont="1" applyFill="1" applyBorder="1" applyAlignment="1">
      <x:alignment horizontal="center" vertical="center"/>
    </x:xf>
    <x:xf numFmtId="0" fontId="12" fillId="10" borderId="44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13" fillId="10" borderId="0" xfId="0" applyNumberFormat="1" applyFont="1" applyFill="1" applyBorder="1"/>
    <x:xf numFmtId="0" fontId="13" fillId="10" borderId="45" xfId="0" applyNumberFormat="1" applyFont="1" applyFill="1" applyBorder="1"/>
    <x:xf numFmtId="0" fontId="13" fillId="10" borderId="46" xfId="0" applyNumberFormat="1" applyFont="1" applyFill="1" applyBorder="1"/>
    <x:xf numFmtId="0" fontId="13" fillId="10" borderId="47" xfId="0" applyNumberFormat="1" applyFont="1" applyFill="1" applyBorder="1"/>
    <x:xf numFmtId="0" fontId="13" fillId="10" borderId="48" xfId="0" applyNumberFormat="1" applyFont="1" applyFill="1" applyBorder="1"/>
    <x:xf numFmtId="0" fontId="13" fillId="10" borderId="49" xfId="0" applyNumberFormat="1" applyFont="1" applyFill="1" applyBorder="1"/>
    <x:xf numFmtId="0" fontId="13" fillId="10" borderId="50" xfId="0" applyNumberFormat="1" applyFont="1" applyFill="1" applyBorder="1"/>
    <x:xf numFmtId="0" fontId="13" fillId="10" borderId="45" xfId="0" applyNumberFormat="1" applyFont="1" applyFill="1" applyBorder="1" applyAlignment="1">
      <x:alignment horizontal="center"/>
    </x:xf>
    <x:xf numFmtId="0" fontId="13" fillId="10" borderId="46" xfId="0" applyNumberFormat="1" applyFont="1" applyFill="1" applyBorder="1" applyAlignment="1">
      <x:alignment horizontal="center"/>
    </x:xf>
    <x:xf numFmtId="0" fontId="13" fillId="10" borderId="47" xfId="0" applyNumberFormat="1" applyFont="1" applyFill="1" applyBorder="1" applyAlignment="1">
      <x:alignment horizontal="center"/>
    </x:xf>
    <x:xf numFmtId="0" fontId="13" fillId="10" borderId="48" xfId="0" applyNumberFormat="1" applyFont="1" applyFill="1" applyBorder="1" applyAlignment="1">
      <x:alignment horizontal="center"/>
    </x:xf>
    <x:xf numFmtId="0" fontId="13" fillId="10" borderId="49" xfId="0" applyNumberFormat="1" applyFont="1" applyFill="1" applyBorder="1" applyAlignment="1">
      <x:alignment horizontal="center"/>
    </x:xf>
    <x:xf numFmtId="0" fontId="13" fillId="10" borderId="50" xfId="0" applyNumberFormat="1" applyFont="1" applyFill="1" applyBorder="1" applyAlignment="1">
      <x:alignment horizontal="center"/>
    </x:xf>
    <x:xf numFmtId="0" fontId="13" fillId="10" borderId="45" xfId="0" applyNumberFormat="1" applyFont="1" applyFill="1" applyBorder="1" applyAlignment="1">
      <x:alignment horizontal="center" vertical="center"/>
    </x:xf>
    <x:xf numFmtId="0" fontId="13" fillId="10" borderId="46" xfId="0" applyNumberFormat="1" applyFont="1" applyFill="1" applyBorder="1" applyAlignment="1">
      <x:alignment horizontal="center" vertical="center"/>
    </x:xf>
    <x:xf numFmtId="0" fontId="13" fillId="10" borderId="47" xfId="0" applyNumberFormat="1" applyFont="1" applyFill="1" applyBorder="1" applyAlignment="1">
      <x:alignment horizontal="center" vertical="center"/>
    </x:xf>
    <x:xf numFmtId="0" fontId="13" fillId="10" borderId="48" xfId="0" applyNumberFormat="1" applyFont="1" applyFill="1" applyBorder="1" applyAlignment="1">
      <x:alignment horizontal="center" vertical="center"/>
    </x:xf>
    <x:xf numFmtId="0" fontId="13" fillId="10" borderId="49" xfId="0" applyNumberFormat="1" applyFont="1" applyFill="1" applyBorder="1" applyAlignment="1">
      <x:alignment horizontal="center" vertical="center"/>
    </x:xf>
    <x:xf numFmtId="0" fontId="13" fillId="10" borderId="5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14" fillId="10" borderId="0" xfId="0" applyNumberFormat="1" applyFont="1" applyFill="1" applyBorder="1"/>
    <x:xf numFmtId="0" fontId="14" fillId="10" borderId="51" xfId="0" applyNumberFormat="1" applyFont="1" applyFill="1" applyBorder="1"/>
    <x:xf numFmtId="0" fontId="14" fillId="10" borderId="52" xfId="0" applyNumberFormat="1" applyFont="1" applyFill="1" applyBorder="1"/>
    <x:xf numFmtId="0" fontId="14" fillId="10" borderId="53" xfId="0" applyNumberFormat="1" applyFont="1" applyFill="1" applyBorder="1"/>
    <x:xf numFmtId="0" fontId="14" fillId="10" borderId="54" xfId="0" applyNumberFormat="1" applyFont="1" applyFill="1" applyBorder="1"/>
    <x:xf numFmtId="0" fontId="14" fillId="10" borderId="55" xfId="0" applyNumberFormat="1" applyFont="1" applyFill="1" applyBorder="1"/>
    <x:xf numFmtId="0" fontId="14" fillId="10" borderId="56" xfId="0" applyNumberFormat="1" applyFont="1" applyFill="1" applyBorder="1"/>
    <x:xf numFmtId="0" fontId="14" fillId="10" borderId="51" xfId="0" applyNumberFormat="1" applyFont="1" applyFill="1" applyBorder="1" applyAlignment="1">
      <x:alignment horizontal="center"/>
    </x:xf>
    <x:xf numFmtId="0" fontId="14" fillId="10" borderId="52" xfId="0" applyNumberFormat="1" applyFont="1" applyFill="1" applyBorder="1" applyAlignment="1">
      <x:alignment horizontal="center"/>
    </x:xf>
    <x:xf numFmtId="0" fontId="14" fillId="10" borderId="53" xfId="0" applyNumberFormat="1" applyFont="1" applyFill="1" applyBorder="1" applyAlignment="1">
      <x:alignment horizontal="center"/>
    </x:xf>
    <x:xf numFmtId="0" fontId="14" fillId="10" borderId="54" xfId="0" applyNumberFormat="1" applyFont="1" applyFill="1" applyBorder="1" applyAlignment="1">
      <x:alignment horizontal="center"/>
    </x:xf>
    <x:xf numFmtId="0" fontId="14" fillId="10" borderId="55" xfId="0" applyNumberFormat="1" applyFont="1" applyFill="1" applyBorder="1" applyAlignment="1">
      <x:alignment horizontal="center"/>
    </x:xf>
    <x:xf numFmtId="0" fontId="14" fillId="10" borderId="56" xfId="0" applyNumberFormat="1" applyFont="1" applyFill="1" applyBorder="1" applyAlignment="1">
      <x:alignment horizontal="center"/>
    </x:xf>
    <x:xf numFmtId="0" fontId="14" fillId="10" borderId="51" xfId="0" applyNumberFormat="1" applyFont="1" applyFill="1" applyBorder="1" applyAlignment="1">
      <x:alignment horizontal="center" vertical="center"/>
    </x:xf>
    <x:xf numFmtId="0" fontId="14" fillId="10" borderId="52" xfId="0" applyNumberFormat="1" applyFont="1" applyFill="1" applyBorder="1" applyAlignment="1">
      <x:alignment horizontal="center" vertical="center"/>
    </x:xf>
    <x:xf numFmtId="0" fontId="14" fillId="10" borderId="53" xfId="0" applyNumberFormat="1" applyFont="1" applyFill="1" applyBorder="1" applyAlignment="1">
      <x:alignment horizontal="center" vertical="center"/>
    </x:xf>
    <x:xf numFmtId="0" fontId="14" fillId="10" borderId="54" xfId="0" applyNumberFormat="1" applyFont="1" applyFill="1" applyBorder="1" applyAlignment="1">
      <x:alignment horizontal="center" vertical="center"/>
    </x:xf>
    <x:xf numFmtId="0" fontId="14" fillId="10" borderId="55" xfId="0" applyNumberFormat="1" applyFont="1" applyFill="1" applyBorder="1" applyAlignment="1">
      <x:alignment horizontal="center" vertical="center"/>
    </x:xf>
    <x:xf numFmtId="0" fontId="14" fillId="10" borderId="56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center"/>
    </x:xf>
    <x:xf numFmtId="0" fontId="1" fillId="14" borderId="0" xfId="0" applyNumberFormat="1" applyFont="1" applyFill="1" applyBorder="1" applyAlignment="1">
      <x:alignment horizontal="center" vertical="center"/>
    </x:xf>
    <x:xf numFmtId="0" fontId="15" fillId="10" borderId="0" xfId="0" applyNumberFormat="1" applyFont="1" applyFill="1" applyBorder="1"/>
    <x:xf numFmtId="0" fontId="15" fillId="10" borderId="57" xfId="0" applyNumberFormat="1" applyFont="1" applyFill="1" applyBorder="1"/>
    <x:xf numFmtId="0" fontId="15" fillId="10" borderId="58" xfId="0" applyNumberFormat="1" applyFont="1" applyFill="1" applyBorder="1"/>
    <x:xf numFmtId="0" fontId="15" fillId="10" borderId="59" xfId="0" applyNumberFormat="1" applyFont="1" applyFill="1" applyBorder="1"/>
    <x:xf numFmtId="0" fontId="15" fillId="10" borderId="60" xfId="0" applyNumberFormat="1" applyFont="1" applyFill="1" applyBorder="1"/>
    <x:xf numFmtId="0" fontId="15" fillId="10" borderId="61" xfId="0" applyNumberFormat="1" applyFont="1" applyFill="1" applyBorder="1"/>
    <x:xf numFmtId="0" fontId="15" fillId="10" borderId="62" xfId="0" applyNumberFormat="1" applyFont="1" applyFill="1" applyBorder="1"/>
    <x:xf numFmtId="0" fontId="15" fillId="10" borderId="57" xfId="0" applyNumberFormat="1" applyFont="1" applyFill="1" applyBorder="1" applyAlignment="1">
      <x:alignment horizontal="center"/>
    </x:xf>
    <x:xf numFmtId="0" fontId="15" fillId="10" borderId="58" xfId="0" applyNumberFormat="1" applyFont="1" applyFill="1" applyBorder="1" applyAlignment="1">
      <x:alignment horizontal="center"/>
    </x:xf>
    <x:xf numFmtId="0" fontId="15" fillId="10" borderId="59" xfId="0" applyNumberFormat="1" applyFont="1" applyFill="1" applyBorder="1" applyAlignment="1">
      <x:alignment horizontal="center"/>
    </x:xf>
    <x:xf numFmtId="0" fontId="15" fillId="10" borderId="60" xfId="0" applyNumberFormat="1" applyFont="1" applyFill="1" applyBorder="1" applyAlignment="1">
      <x:alignment horizontal="center"/>
    </x:xf>
    <x:xf numFmtId="0" fontId="15" fillId="10" borderId="61" xfId="0" applyNumberFormat="1" applyFont="1" applyFill="1" applyBorder="1" applyAlignment="1">
      <x:alignment horizontal="center"/>
    </x:xf>
    <x:xf numFmtId="0" fontId="15" fillId="10" borderId="62" xfId="0" applyNumberFormat="1" applyFont="1" applyFill="1" applyBorder="1" applyAlignment="1">
      <x:alignment horizontal="center"/>
    </x:xf>
    <x:xf numFmtId="0" fontId="15" fillId="10" borderId="57" xfId="0" applyNumberFormat="1" applyFont="1" applyFill="1" applyBorder="1" applyAlignment="1">
      <x:alignment horizontal="center" vertical="center"/>
    </x:xf>
    <x:xf numFmtId="0" fontId="15" fillId="10" borderId="58" xfId="0" applyNumberFormat="1" applyFont="1" applyFill="1" applyBorder="1" applyAlignment="1">
      <x:alignment horizontal="center" vertical="center"/>
    </x:xf>
    <x:xf numFmtId="0" fontId="15" fillId="10" borderId="59" xfId="0" applyNumberFormat="1" applyFont="1" applyFill="1" applyBorder="1" applyAlignment="1">
      <x:alignment horizontal="center" vertical="center"/>
    </x:xf>
    <x:xf numFmtId="0" fontId="15" fillId="10" borderId="60" xfId="0" applyNumberFormat="1" applyFont="1" applyFill="1" applyBorder="1" applyAlignment="1">
      <x:alignment horizontal="center" vertical="center"/>
    </x:xf>
    <x:xf numFmtId="0" fontId="15" fillId="10" borderId="61" xfId="0" applyNumberFormat="1" applyFont="1" applyFill="1" applyBorder="1" applyAlignment="1">
      <x:alignment horizontal="center" vertical="center"/>
    </x:xf>
    <x:xf numFmtId="0" fontId="15" fillId="10" borderId="62" xfId="0" applyNumberFormat="1" applyFont="1" applyFill="1" applyBorder="1" applyAlignment="1">
      <x:alignment horizontal="center" vertical="center"/>
    </x:xf>
    <x:xf numFmtId="202" fontId="10" fillId="10" borderId="27" xfId="0" applyNumberFormat="1" applyFont="1" applyFill="1" applyBorder="1" applyAlignment="1">
      <x:alignment horizontal="center" vertical="center"/>
    </x:xf>
    <x:xf numFmtId="202" fontId="10" fillId="10" borderId="28" xfId="0" applyNumberFormat="1" applyFont="1" applyFill="1" applyBorder="1" applyAlignment="1">
      <x:alignment horizontal="center" vertical="center"/>
    </x:xf>
    <x:xf numFmtId="202" fontId="10" fillId="10" borderId="29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11" fillId="10" borderId="33" xfId="0" applyNumberFormat="1" applyFont="1" applyFill="1" applyBorder="1" applyAlignment="1">
      <x:alignment horizontal="center" vertical="center"/>
    </x:xf>
    <x:xf numFmtId="202" fontId="11" fillId="10" borderId="34" xfId="0" applyNumberFormat="1" applyFont="1" applyFill="1" applyBorder="1" applyAlignment="1">
      <x:alignment horizontal="center" vertical="center"/>
    </x:xf>
    <x:xf numFmtId="202" fontId="11" fillId="10" borderId="35" xfId="0" applyNumberFormat="1" applyFont="1" applyFill="1" applyBorder="1" applyAlignment="1">
      <x:alignment horizontal="center" vertical="center"/>
    </x:xf>
    <x:xf numFmtId="202" fontId="12" fillId="10" borderId="39" xfId="0" applyNumberFormat="1" applyFont="1" applyFill="1" applyBorder="1" applyAlignment="1">
      <x:alignment horizontal="center" vertical="center"/>
    </x:xf>
    <x:xf numFmtId="202" fontId="12" fillId="10" borderId="40" xfId="0" applyNumberFormat="1" applyFont="1" applyFill="1" applyBorder="1" applyAlignment="1">
      <x:alignment horizontal="center" vertical="center"/>
    </x:xf>
    <x:xf numFmtId="202" fontId="12" fillId="10" borderId="41" xfId="0" applyNumberFormat="1" applyFont="1" applyFill="1" applyBorder="1" applyAlignment="1">
      <x:alignment horizontal="center" vertical="center"/>
    </x:xf>
    <x:xf numFmtId="202" fontId="13" fillId="10" borderId="45" xfId="0" applyNumberFormat="1" applyFont="1" applyFill="1" applyBorder="1" applyAlignment="1">
      <x:alignment horizontal="center" vertical="center"/>
    </x:xf>
    <x:xf numFmtId="202" fontId="13" fillId="10" borderId="46" xfId="0" applyNumberFormat="1" applyFont="1" applyFill="1" applyBorder="1" applyAlignment="1">
      <x:alignment horizontal="center" vertical="center"/>
    </x:xf>
    <x:xf numFmtId="202" fontId="13" fillId="10" borderId="47" xfId="0" applyNumberFormat="1" applyFont="1" applyFill="1" applyBorder="1" applyAlignment="1">
      <x:alignment horizontal="center" vertical="center"/>
    </x:xf>
    <x:xf numFmtId="202" fontId="10" fillId="10" borderId="30" xfId="0" applyNumberFormat="1" applyFont="1" applyFill="1" applyBorder="1" applyAlignment="1">
      <x:alignment horizontal="center" vertical="center"/>
    </x:xf>
    <x:xf numFmtId="202" fontId="10" fillId="10" borderId="31" xfId="0" applyNumberFormat="1" applyFont="1" applyFill="1" applyBorder="1" applyAlignment="1">
      <x:alignment horizontal="center" vertical="center"/>
    </x:xf>
    <x:xf numFmtId="202" fontId="10" fillId="10" borderId="32" xfId="0" applyNumberFormat="1" applyFont="1" applyFill="1" applyBorder="1" applyAlignment="1">
      <x:alignment horizontal="center" vertical="center"/>
    </x:xf>
    <x:xf numFmtId="202" fontId="11" fillId="10" borderId="36" xfId="0" applyNumberFormat="1" applyFont="1" applyFill="1" applyBorder="1" applyAlignment="1">
      <x:alignment horizontal="center" vertical="center"/>
    </x:xf>
    <x:xf numFmtId="202" fontId="11" fillId="10" borderId="37" xfId="0" applyNumberFormat="1" applyFont="1" applyFill="1" applyBorder="1" applyAlignment="1">
      <x:alignment horizontal="center" vertical="center"/>
    </x:xf>
    <x:xf numFmtId="202" fontId="11" fillId="10" borderId="38" xfId="0" applyNumberFormat="1" applyFont="1" applyFill="1" applyBorder="1" applyAlignment="1">
      <x:alignment horizontal="center" vertical="center"/>
    </x:xf>
    <x:xf numFmtId="202" fontId="12" fillId="10" borderId="42" xfId="0" applyNumberFormat="1" applyFont="1" applyFill="1" applyBorder="1" applyAlignment="1">
      <x:alignment horizontal="center" vertical="center"/>
    </x:xf>
    <x:xf numFmtId="202" fontId="12" fillId="10" borderId="43" xfId="0" applyNumberFormat="1" applyFont="1" applyFill="1" applyBorder="1" applyAlignment="1">
      <x:alignment horizontal="center" vertical="center"/>
    </x:xf>
    <x:xf numFmtId="202" fontId="12" fillId="10" borderId="44" xfId="0" applyNumberFormat="1" applyFont="1" applyFill="1" applyBorder="1" applyAlignment="1">
      <x:alignment horizontal="center" vertical="center"/>
    </x:xf>
    <x:xf numFmtId="202" fontId="13" fillId="10" borderId="48" xfId="0" applyNumberFormat="1" applyFont="1" applyFill="1" applyBorder="1" applyAlignment="1">
      <x:alignment horizontal="center" vertical="center"/>
    </x:xf>
    <x:xf numFmtId="202" fontId="13" fillId="10" borderId="49" xfId="0" applyNumberFormat="1" applyFont="1" applyFill="1" applyBorder="1" applyAlignment="1">
      <x:alignment horizontal="center" vertical="center"/>
    </x:xf>
    <x:xf numFmtId="202" fontId="13" fillId="10" borderId="50" xfId="0" applyNumberFormat="1" applyFont="1" applyFill="1" applyBorder="1" applyAlignment="1">
      <x:alignment horizontal="center" vertical="center"/>
    </x:xf>
    <x:xf numFmtId="202" fontId="1" fillId="6" borderId="0" xfId="0" applyNumberFormat="1" applyFont="1" applyFill="1" applyBorder="1" applyAlignment="1">
      <x:alignment horizontal="center" vertical="center"/>
    </x:xf>
    <x:xf numFmtId="202" fontId="1" fillId="13" borderId="0" xfId="0" applyNumberFormat="1" applyFont="1" applyFill="1" applyBorder="1" applyAlignment="1">
      <x:alignment horizontal="center" vertical="center"/>
    </x:xf>
    <x:xf numFmtId="202" fontId="1" fillId="14" borderId="0" xfId="0" applyNumberFormat="1" applyFont="1" applyFill="1" applyBorder="1" applyAlignment="1">
      <x:alignment horizontal="center" vertical="center"/>
    </x:xf>
    <x:xf numFmtId="202" fontId="14" fillId="10" borderId="51" xfId="0" applyNumberFormat="1" applyFont="1" applyFill="1" applyBorder="1" applyAlignment="1">
      <x:alignment horizontal="center" vertical="center"/>
    </x:xf>
    <x:xf numFmtId="202" fontId="14" fillId="10" borderId="52" xfId="0" applyNumberFormat="1" applyFont="1" applyFill="1" applyBorder="1" applyAlignment="1">
      <x:alignment horizontal="center" vertical="center"/>
    </x:xf>
    <x:xf numFmtId="202" fontId="14" fillId="10" borderId="53" xfId="0" applyNumberFormat="1" applyFont="1" applyFill="1" applyBorder="1" applyAlignment="1">
      <x:alignment horizontal="center" vertical="center"/>
    </x:xf>
    <x:xf numFmtId="202" fontId="15" fillId="10" borderId="57" xfId="0" applyNumberFormat="1" applyFont="1" applyFill="1" applyBorder="1" applyAlignment="1">
      <x:alignment horizontal="center" vertical="center"/>
    </x:xf>
    <x:xf numFmtId="202" fontId="15" fillId="10" borderId="58" xfId="0" applyNumberFormat="1" applyFont="1" applyFill="1" applyBorder="1" applyAlignment="1">
      <x:alignment horizontal="center" vertical="center"/>
    </x:xf>
    <x:xf numFmtId="202" fontId="15" fillId="10" borderId="59" xfId="0" applyNumberFormat="1" applyFont="1" applyFill="1" applyBorder="1" applyAlignment="1">
      <x:alignment horizontal="center" vertical="center"/>
    </x:xf>
    <x:xf numFmtId="202" fontId="14" fillId="10" borderId="54" xfId="0" applyNumberFormat="1" applyFont="1" applyFill="1" applyBorder="1" applyAlignment="1">
      <x:alignment horizontal="center" vertical="center"/>
    </x:xf>
    <x:xf numFmtId="202" fontId="14" fillId="10" borderId="55" xfId="0" applyNumberFormat="1" applyFont="1" applyFill="1" applyBorder="1" applyAlignment="1">
      <x:alignment horizontal="center" vertical="center"/>
    </x:xf>
    <x:xf numFmtId="202" fontId="14" fillId="10" borderId="56" xfId="0" applyNumberFormat="1" applyFont="1" applyFill="1" applyBorder="1" applyAlignment="1">
      <x:alignment horizontal="center" vertical="center"/>
    </x:xf>
    <x:xf numFmtId="202" fontId="15" fillId="10" borderId="60" xfId="0" applyNumberFormat="1" applyFont="1" applyFill="1" applyBorder="1" applyAlignment="1">
      <x:alignment horizontal="center" vertical="center"/>
    </x:xf>
    <x:xf numFmtId="202" fontId="15" fillId="10" borderId="61" xfId="0" applyNumberFormat="1" applyFont="1" applyFill="1" applyBorder="1" applyAlignment="1">
      <x:alignment horizontal="center" vertical="center"/>
    </x:xf>
    <x:xf numFmtId="202" fontId="15" fillId="10" borderId="62" xfId="0" applyNumberFormat="1" applyFont="1" applyFill="1" applyBorder="1" applyAlignment="1">
      <x:alignment horizontal="center" vertical="center"/>
    </x:xf>
    <x:xf numFmtId="205" fontId="15" fillId="10" borderId="57" xfId="0" applyNumberFormat="1" applyFont="1" applyFill="1" applyBorder="1" applyAlignment="1">
      <x:alignment horizontal="center" vertical="center"/>
    </x:xf>
    <x:xf numFmtId="205" fontId="15" fillId="10" borderId="58" xfId="0" applyNumberFormat="1" applyFont="1" applyFill="1" applyBorder="1" applyAlignment="1">
      <x:alignment horizontal="center" vertical="center"/>
    </x:xf>
    <x:xf numFmtId="205" fontId="15" fillId="10" borderId="59" xfId="0" applyNumberFormat="1" applyFont="1" applyFill="1" applyBorder="1" applyAlignment="1">
      <x:alignment horizontal="center" vertical="center"/>
    </x:xf>
    <x:xf numFmtId="205" fontId="15" fillId="10" borderId="60" xfId="0" applyNumberFormat="1" applyFont="1" applyFill="1" applyBorder="1" applyAlignment="1">
      <x:alignment horizontal="center" vertical="center"/>
    </x:xf>
    <x:xf numFmtId="205" fontId="15" fillId="10" borderId="61" xfId="0" applyNumberFormat="1" applyFont="1" applyFill="1" applyBorder="1" applyAlignment="1">
      <x:alignment horizontal="center" vertical="center"/>
    </x:xf>
    <x:xf numFmtId="205" fontId="15" fillId="10" borderId="62" xfId="0" applyNumberFormat="1" applyFont="1" applyFill="1" applyBorder="1" applyAlignment="1">
      <x:alignment horizontal="center" vertical="center"/>
    </x:xf>
    <x:xf numFmtId="0" fontId="2" fillId="0" borderId="20" xfId="0" applyNumberFormat="1" applyFont="1" applyFill="1" applyBorder="1" applyAlignment="1">
      <x:alignment horizontal="center"/>
    </x:xf>
    <x:xf numFmtId="0" fontId="2" fillId="4" borderId="20" xfId="0" applyNumberFormat="1" applyFont="1" applyFill="1" applyBorder="1" applyAlignment="1">
      <x:alignment horizontal="center"/>
    </x:xf>
    <x:xf numFmtId="0" fontId="16" fillId="4" borderId="20" xfId="0" applyNumberFormat="1" applyFont="1" applyFill="1" applyBorder="1" applyAlignment="1">
      <x:alignment horizontal="center"/>
    </x:xf>
    <x:xf numFmtId="202" fontId="2" fillId="0" borderId="2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7" fillId="7" borderId="0" xfId="0" applyNumberFormat="1" applyFont="1" applyFill="1" applyBorder="1"/>
    <x:xf numFmtId="0" fontId="17" fillId="7" borderId="63" xfId="0" applyNumberFormat="1" applyFont="1" applyFill="1" applyBorder="1"/>
    <x:xf numFmtId="0" fontId="17" fillId="7" borderId="64" xfId="0" applyNumberFormat="1" applyFont="1" applyFill="1" applyBorder="1"/>
    <x:xf numFmtId="0" fontId="17" fillId="7" borderId="65" xfId="0" applyNumberFormat="1" applyFont="1" applyFill="1" applyBorder="1"/>
    <x:xf numFmtId="0" fontId="17" fillId="7" borderId="66" xfId="0" applyNumberFormat="1" applyFont="1" applyFill="1" applyBorder="1"/>
    <x:xf numFmtId="0" fontId="17" fillId="7" borderId="67" xfId="0" applyNumberFormat="1" applyFont="1" applyFill="1" applyBorder="1"/>
    <x:xf numFmtId="0" fontId="17" fillId="7" borderId="68" xfId="0" applyNumberFormat="1" applyFont="1" applyFill="1" applyBorder="1"/>
    <x:xf numFmtId="0" fontId="17" fillId="7" borderId="63" xfId="0" applyNumberFormat="1" applyFont="1" applyFill="1" applyBorder="1" applyAlignment="1">
      <x:alignment wrapText="1"/>
    </x:xf>
    <x:xf numFmtId="0" fontId="17" fillId="7" borderId="64" xfId="0" applyNumberFormat="1" applyFont="1" applyFill="1" applyBorder="1" applyAlignment="1">
      <x:alignment wrapText="1"/>
    </x:xf>
    <x:xf numFmtId="0" fontId="17" fillId="7" borderId="65" xfId="0" applyNumberFormat="1" applyFont="1" applyFill="1" applyBorder="1" applyAlignment="1">
      <x:alignment wrapText="1"/>
    </x:xf>
    <x:xf numFmtId="0" fontId="17" fillId="7" borderId="66" xfId="0" applyNumberFormat="1" applyFont="1" applyFill="1" applyBorder="1" applyAlignment="1">
      <x:alignment wrapText="1"/>
    </x:xf>
    <x:xf numFmtId="0" fontId="17" fillId="7" borderId="67" xfId="0" applyNumberFormat="1" applyFont="1" applyFill="1" applyBorder="1" applyAlignment="1">
      <x:alignment wrapText="1"/>
    </x:xf>
    <x:xf numFmtId="0" fontId="17" fillId="7" borderId="68" xfId="0" applyNumberFormat="1" applyFont="1" applyFill="1" applyBorder="1" applyAlignment="1">
      <x:alignment wrapText="1"/>
    </x:xf>
    <x:xf numFmtId="0" fontId="17" fillId="7" borderId="63" xfId="0" applyNumberFormat="1" applyFont="1" applyFill="1" applyBorder="1" applyAlignment="1">
      <x:alignment horizontal="right" wrapText="1"/>
    </x:xf>
    <x:xf numFmtId="0" fontId="17" fillId="7" borderId="64" xfId="0" applyNumberFormat="1" applyFont="1" applyFill="1" applyBorder="1" applyAlignment="1">
      <x:alignment horizontal="right" wrapText="1"/>
    </x:xf>
    <x:xf numFmtId="0" fontId="17" fillId="7" borderId="65" xfId="0" applyNumberFormat="1" applyFont="1" applyFill="1" applyBorder="1" applyAlignment="1">
      <x:alignment horizontal="right" wrapText="1"/>
    </x:xf>
    <x:xf numFmtId="0" fontId="17" fillId="7" borderId="66" xfId="0" applyNumberFormat="1" applyFont="1" applyFill="1" applyBorder="1" applyAlignment="1">
      <x:alignment horizontal="right" wrapText="1"/>
    </x:xf>
    <x:xf numFmtId="0" fontId="17" fillId="7" borderId="67" xfId="0" applyNumberFormat="1" applyFont="1" applyFill="1" applyBorder="1" applyAlignment="1">
      <x:alignment horizontal="right" wrapText="1"/>
    </x:xf>
    <x:xf numFmtId="0" fontId="17" fillId="7" borderId="68" xfId="0" applyNumberFormat="1" applyFont="1" applyFill="1" applyBorder="1" applyAlignment="1">
      <x:alignment horizontal="right" wrapText="1"/>
    </x:xf>
    <x:xf numFmtId="0" fontId="17" fillId="7" borderId="63" xfId="0" applyNumberFormat="1" applyFont="1" applyFill="1" applyBorder="1" applyAlignment="1">
      <x:alignment horizontal="right" vertical="center" wrapText="1"/>
    </x:xf>
    <x:xf numFmtId="0" fontId="17" fillId="7" borderId="64" xfId="0" applyNumberFormat="1" applyFont="1" applyFill="1" applyBorder="1" applyAlignment="1">
      <x:alignment horizontal="right" vertical="center" wrapText="1"/>
    </x:xf>
    <x:xf numFmtId="0" fontId="17" fillId="7" borderId="65" xfId="0" applyNumberFormat="1" applyFont="1" applyFill="1" applyBorder="1" applyAlignment="1">
      <x:alignment horizontal="right" vertical="center" wrapText="1"/>
    </x:xf>
    <x:xf numFmtId="0" fontId="17" fillId="7" borderId="66" xfId="0" applyNumberFormat="1" applyFont="1" applyFill="1" applyBorder="1" applyAlignment="1">
      <x:alignment horizontal="right" vertical="center" wrapText="1"/>
    </x:xf>
    <x:xf numFmtId="0" fontId="17" fillId="7" borderId="67" xfId="0" applyNumberFormat="1" applyFont="1" applyFill="1" applyBorder="1" applyAlignment="1">
      <x:alignment horizontal="right" vertical="center" wrapText="1"/>
    </x:xf>
    <x:xf numFmtId="0" fontId="17" fillId="7" borderId="68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31"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475569"/>
      </x:font>
      <x:fill>
        <x:patternFill patternType="solid">
          <x:bgColor rgb="FFE2E8F0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2563EB"/>
      </x:font>
      <x:fill>
        <x:patternFill patternType="solid">
          <x:bgColor rgb="FFE0F2FE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475569"/>
      </x:font>
      <x:fill>
        <x:patternFill patternType="solid">
          <x:bgColor rgb="FFE2E8F0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526c652a24b22" /><Relationship Type="http://schemas.openxmlformats.org/officeDocument/2006/relationships/theme" Target="/xl/theme/theme1.xml" Id="R177352f9d3c7496f" /><Relationship Type="http://schemas.microsoft.com/office/2022/11/relationships/FeaturePropertyBag" Target="/xl/featurePropertyBag/featurePropertyBag.xml" Id="R5af9d904806d4dcb" /><Relationship Type="http://schemas.openxmlformats.org/officeDocument/2006/relationships/sharedStrings" Target="/xl/sharedStrings.xml" Id="R653063eb662840ac" /><Relationship Type="http://schemas.openxmlformats.org/officeDocument/2006/relationships/worksheet" Target="/xl/worksheets/sheet1.xml" Id="R47a64f71a9a4421a" /><Relationship Type="http://schemas.openxmlformats.org/officeDocument/2006/relationships/worksheet" Target="/xl/worksheets/sheet2.xml" Id="Rae42e98f10e84560" /><Relationship Type="http://schemas.openxmlformats.org/officeDocument/2006/relationships/worksheet" Target="/xl/worksheets/sheet3.xml" Id="Rb1e517e47d3b4766" /><Relationship Type="http://schemas.openxmlformats.org/officeDocument/2006/relationships/worksheet" Target="/xl/worksheets/sheet4.xml" Id="R2eeba7b2e8e042e5" /><Relationship Type="http://schemas.openxmlformats.org/officeDocument/2006/relationships/worksheet" Target="/xl/worksheets/sheet5.xml" Id="R915fe4589449492e" /><Relationship Type="http://schemas.openxmlformats.org/officeDocument/2006/relationships/worksheet" Target="/xl/worksheets/sheet6.xml" Id="Re33dba7a5dec4a2b" /><Relationship Type="http://schemas.openxmlformats.org/officeDocument/2006/relationships/worksheet" Target="/xl/worksheets/sheet7.xml" Id="R8f84bad561994c92" /><Relationship Type="http://schemas.openxmlformats.org/officeDocument/2006/relationships/worksheet" Target="/xl/worksheets/sheet8.xml" Id="R8115d4ff4f7a487b" /><Relationship Type="http://schemas.openxmlformats.org/officeDocument/2006/relationships/worksheet" Target="/xl/worksheets/sheet9.xml" Id="R5cf7a0a567df44f7" /><Relationship Type="http://schemas.openxmlformats.org/officeDocument/2006/relationships/worksheet" Target="/xl/worksheets/sheet10.xml" Id="R15e3eddd68e34cae" /><Relationship Type="http://schemas.openxmlformats.org/officeDocument/2006/relationships/worksheet" Target="/xl/worksheets/sheet11.xml" Id="R167a424245974cef" /><Relationship Type="http://schemas.openxmlformats.org/officeDocument/2006/relationships/worksheet" Target="/xl/worksheets/sheet12.xml" Id="Rcc8459f7379c40c0" /><Relationship Type="http://schemas.openxmlformats.org/officeDocument/2006/relationships/worksheet" Target="/xl/worksheets/sheet13.xml" Id="Rd62d4c35fe7846fc" /><Relationship Type="http://schemas.openxmlformats.org/officeDocument/2006/relationships/worksheet" Target="/xl/worksheets/sheet14.xml" Id="Rcd4bb1f9329d4efe" /><Relationship Type="http://schemas.openxmlformats.org/officeDocument/2006/relationships/worksheet" Target="/xl/worksheets/sheet15.xml" Id="Rb622efadc6204ba2" /><Relationship Type="http://schemas.openxmlformats.org/officeDocument/2006/relationships/worksheet" Target="/xl/worksheets/sheet16.xml" Id="R8bb3ecf2ff6047e4" /><Relationship Type="http://schemas.openxmlformats.org/officeDocument/2006/relationships/worksheet" Target="/xl/worksheets/sheet17.xml" Id="R556ad1a2feb043be" /><Relationship Type="http://schemas.openxmlformats.org/officeDocument/2006/relationships/worksheet" Target="/xl/worksheets/sheet18.xml" Id="R9eaf0e2159124cc6" /><Relationship Type="http://schemas.openxmlformats.org/officeDocument/2006/relationships/worksheet" Target="/xl/worksheets/sheet19.xml" Id="R9dd59ca7c37941bf" /><Relationship Type="http://schemas.openxmlformats.org/officeDocument/2006/relationships/worksheet" Target="/xl/worksheets/sheet20.xml" Id="R19cc6ce589444db8" /><Relationship Type="http://schemas.openxmlformats.org/officeDocument/2006/relationships/worksheet" Target="/xl/worksheets/sheet21.xml" Id="Re1e0901f9cb441d9" /><Relationship Type="http://schemas.openxmlformats.org/officeDocument/2006/relationships/worksheet" Target="/xl/worksheets/sheet22.xml" Id="Rc178f23b00b04b16" /><Relationship Type="http://schemas.openxmlformats.org/officeDocument/2006/relationships/worksheet" Target="/xl/worksheets/sheet23.xml" Id="R052c0ab182b946c5" /><Relationship Type="http://schemas.openxmlformats.org/officeDocument/2006/relationships/worksheet" Target="/xl/worksheets/sheet24.xml" Id="Ra3d5057a3cea434a" /><Relationship Type="http://schemas.openxmlformats.org/officeDocument/2006/relationships/worksheet" Target="/xl/worksheets/sheet25.xml" Id="R77d8311d89e84623" /><Relationship Type="http://schemas.openxmlformats.org/officeDocument/2006/relationships/worksheet" Target="/xl/worksheets/sheet26.xml" Id="R593c84301ec74ed0" /><Relationship Type="http://schemas.openxmlformats.org/officeDocument/2006/relationships/worksheet" Target="/xl/worksheets/sheet27.xml" Id="R8bd3d920435b4f80" /><Relationship Type="http://schemas.openxmlformats.org/officeDocument/2006/relationships/worksheet" Target="/xl/worksheets/sheet28.xml" Id="R41021e67cbfe45dd" /><Relationship Type="http://schemas.openxmlformats.org/officeDocument/2006/relationships/worksheet" Target="/xl/worksheets/sheet29.xml" Id="Rd86c86ae19d94786" /><Relationship Type="http://schemas.openxmlformats.org/officeDocument/2006/relationships/worksheet" Target="/xl/worksheets/sheet30.xml" Id="R5810dfb7643f4ea9" /><Relationship Type="http://schemas.openxmlformats.org/officeDocument/2006/relationships/worksheet" Target="/xl/worksheets/sheet31.xml" Id="R3163688537ee41cd" /><Relationship Type="http://schemas.openxmlformats.org/officeDocument/2006/relationships/worksheet" Target="/xl/worksheets/sheet32.xml" Id="R054d5104254f46ec" /><Relationship Type="http://schemas.openxmlformats.org/officeDocument/2006/relationships/worksheet" Target="/xl/worksheets/sheet33.xml" Id="R191ca485825f41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05e9d675dc4630" /><Relationship Type="http://schemas.openxmlformats.org/officeDocument/2006/relationships/chart" Target="/xl/drawings/charts/chart2.xml" Id="R3a209836f2ec496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روند فروش شش‌ماهه (ریال)</a:t>
            </a:r>
          </a:p>
        </c:rich>
      </c:tx>
    </c:title>
    <c:plotArea>
      <c:lineChart>
        <c:grouping val="standard"/>
        <c:ser>
          <c:idx val="0"/>
          <c:order val="0"/>
          <c:tx>
            <c:v>فروش (ریال)</c:v>
          </c:tx>
          <c:marker>
            <c:symbol val="none"/>
          </c:marker>
          <c:cat>
            <c:strRef>
              <c:f>'Dashboard'!$A$15:$A$20</c:f>
              <c:strCache>
                <c:ptCount val="0"/>
              </c:strCache>
            </c:strRef>
          </c:cat>
          <c:val>
            <c:numRef>
              <c:f>'Dashboard'!$B$15:$B$20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تعداد فرصت در مراحل قیف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تعداد فرصت</c:v>
          </c:tx>
          <c:cat>
            <c:strRef>
              <c:f>'Dashboard'!$J$15:$J$22</c:f>
              <c:strCache>
                <c:ptCount val="0"/>
              </c:strCache>
            </c:strRef>
          </c:cat>
          <c:val>
            <c:numRef>
              <c:f>'Dashboard'!$K$15:$K$22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05e9d675dc4630"/>
        </a:graphicData>
      </a:graphic>
    </xdr:graphicFrame>
    <xdr:clientData/>
  </xdr:twoCellAnchor>
  <xdr:twoCellAnchor>
    <xdr:from>
      <xdr:col>12</xdr:col>
      <xdr:colOff>0</xdr:colOff>
      <xdr:row>13</xdr:row>
      <xdr:rowOff>0</xdr:rowOff>
    </xdr:from>
    <xdr:to>
      <xdr:col>20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209836f2ec496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1" name="T_DataDictionary" displayName="T_DataDictionary" ref="A1:H360" headerRowCount="1" totalsRowCount="0" totalsRowShown="0">
  <x:tableColumns count="8">
    <x:tableColumn id="1" name="sheet_name"/>
    <x:tableColumn id="2" name="column_key"/>
    <x:tableColumn id="3" name="نام فارسی"/>
    <x:tableColumn id="4" name="نوع داده"/>
    <x:tableColumn id="5" name="اجباری"/>
    <x:tableColumn id="6" name="اعتبارسنجی"/>
    <x:tableColumn id="7" name="رابطه"/>
    <x:tableColumn id="8" name="توضی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0" name="T_Lists" displayName="T_Lists" ref="A1:D26" headerRowCount="1" totalsRowCount="0" totalsRowShown="0">
  <x:tableColumns count="4">
    <x:tableColumn id="1" name="گروه (category)"/>
    <x:tableColumn id="2" name="کد (code)"/>
    <x:tableColumn id="3" name="عنوان فارسی"/>
    <x:tableColumn id="4" name="توضیح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T_Customers" displayName="T_Customers" ref="A1:AA6" headerRowCount="1" totalsRowCount="0" totalsRowShown="0">
  <x:autoFilter ref="A1:AA6"/>
  <x:tableColumns count="27">
    <x:tableColumn id="1" name="شناسه مشتری *&#10;(customer_id)"/>
    <x:tableColumn id="2" name="نوع مشتری *&#10;(customer_type)"/>
    <x:tableColumn id="3" name="نام مشتری/نماینده *&#10;(full_name)"/>
    <x:tableColumn id="4" name="نام فروشگاه/شرکت&#10;(company_name)"/>
    <x:tableColumn id="5" name="موبایل استاندارد&#10;(normalized_mobile)"/>
    <x:tableColumn id="6" name="شماره دوم&#10;(phone_2)"/>
    <x:tableColumn id="7" name="شهر&#10;(city)"/>
    <x:tableColumn id="8" name="منطقه&#10;(region)"/>
    <x:tableColumn id="9" name="آدرس&#10;(address)"/>
    <x:tableColumn id="10" name="چرخه عمر *&#10;(lifecycle_status)"/>
    <x:tableColumn id="11" name="مسئول اصلی *&#10;(owner_user_id)"/>
    <x:tableColumn id="12" name="آخرین خرید&#10;(last_purchase_at)"/>
    <x:tableColumn id="13" name="جمع خرید (ریال)&#10;(total_purchase)"/>
    <x:tableColumn id="14" name="تعداد خرید&#10;(purchase_count)"/>
    <x:tableColumn id="15" name="آخرین ارتباط&#10;(last_interaction_at)"/>
    <x:tableColumn id="16" name="پیگیری بعدی&#10;(next_followup_at)"/>
    <x:tableColumn id="17" name="امتیاز&#10;(customer_score)"/>
    <x:tableColumn id="18" name="گروه امتیازی&#10;(segment)"/>
    <x:tableColumn id="19" name="اولین کانال&#10;(source_first)"/>
    <x:tableColumn id="20" name="علاقه‌مندی&#10;(preferred_products)"/>
    <x:tableColumn id="21" name="برچسب‌ها&#10;(tags)"/>
    <x:tableColumn id="22" name="توضیحات&#10;(notes)"/>
    <x:tableColumn id="23" name="زمان ایجاد *&#10;(created_at)"/>
    <x:tableColumn id="24" name="ایجادکننده *&#10;(created_by)"/>
    <x:tableColumn id="25" name="آخرین تغییر *&#10;(updated_at)"/>
    <x:tableColumn id="26" name="تغییردهنده *&#10;(updated_by)"/>
    <x:tableColumn id="27" name="حذف نرم *&#10;(is_deleted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T_Leads" displayName="T_Leads" ref="A1:Q6" headerRowCount="1" totalsRowCount="0" totalsRowShown="0">
  <x:autoFilter ref="A1:Q6"/>
  <x:tableColumns count="17">
    <x:tableColumn id="1" name="شناسه استعلام *&#10;(lead_id)"/>
    <x:tableColumn id="2" name="مشتری&#10;(customer_id)"/>
    <x:tableColumn id="3" name="کانال ورودی *&#10;(source_channel)"/>
    <x:tableColumn id="4" name="کمپین&#10;(campaign_id)"/>
    <x:tableColumn id="5" name="شناسه پیام بیرونی&#10;(external_message_id)"/>
    <x:tableColumn id="6" name="موضوع *&#10;(subject)"/>
    <x:tableColumn id="7" name="جزئیات&#10;(details)"/>
    <x:tableColumn id="8" name="زمان ورود *&#10;(received_at)"/>
    <x:tableColumn id="9" name="فروشنده *&#10;(assigned_user_id)"/>
    <x:tableColumn id="10" name="نتیجه بررسی *&#10;(qualification_status)"/>
    <x:tableColumn id="11" name="دلیل&#10;(qualification_reason)"/>
    <x:tableColumn id="12" name="فرصت ساخته‌شده&#10;(opportunity_id)"/>
    <x:tableColumn id="13" name="زمان ایجاد *&#10;(created_at)"/>
    <x:tableColumn id="14" name="ایجادکننده *&#10;(created_by)"/>
    <x:tableColumn id="15" name="آخرین تغییر *&#10;(updated_at)"/>
    <x:tableColumn id="16" name="تغییردهنده *&#10;(updated_by)"/>
    <x:tableColumn id="17" name="حذف نرم *&#10;(is_deleted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T_Opportunities" displayName="T_Opportunities" ref="A1:T6" headerRowCount="1" totalsRowCount="0" totalsRowShown="0">
  <x:autoFilter ref="A1:T6"/>
  <x:tableColumns count="20">
    <x:tableColumn id="1" name="شناسه فرصت *&#10;(opportunity_id)"/>
    <x:tableColumn id="2" name="مشتری *&#10;(customer_id)"/>
    <x:tableColumn id="3" name="استعلام اولیه&#10;(lead_id)"/>
    <x:tableColumn id="4" name="عنوان فرصت *&#10;(title)"/>
    <x:tableColumn id="5" name="فرایند *&#10;(pipeline_id)"/>
    <x:tableColumn id="6" name="مرحله قیف *&#10;(stage_code)"/>
    <x:tableColumn id="7" name="مسئول *&#10;(owner_user_id)"/>
    <x:tableColumn id="8" name="ارزش احتمالی (ریال)&#10;(expected_value)"/>
    <x:tableColumn id="9" name="احتمال برد&#10;(probability)"/>
    <x:tableColumn id="10" name="تاریخ پایان مورد انتظار&#10;(expected_close_at)"/>
    <x:tableColumn id="11" name="اقدام بعدی *&#10;(next_action)"/>
    <x:tableColumn id="12" name="پیگیری بعدی *&#10;(next_followup_at)"/>
    <x:tableColumn id="13" name="دلیل باخت&#10;(lost_reason_code)"/>
    <x:tableColumn id="14" name="زمان بسته‌شدن&#10;(closed_at)"/>
    <x:tableColumn id="15" name="آخرین پیش‌فاکتور&#10;(quotation_id)"/>
    <x:tableColumn id="16" name="زمان ایجاد *&#10;(created_at)"/>
    <x:tableColumn id="17" name="ایجادکننده *&#10;(created_by)"/>
    <x:tableColumn id="18" name="آخرین تغییر *&#10;(updated_at)"/>
    <x:tableColumn id="19" name="تغییردهنده *&#10;(updated_by)"/>
    <x:tableColumn id="20" name="حذف نرم *&#10;(is_deleted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T_FollowUps" displayName="T_FollowUps" ref="A1:U6" headerRowCount="1" totalsRowCount="0" totalsRowShown="0">
  <x:autoFilter ref="A1:U6"/>
  <x:tableColumns count="21">
    <x:tableColumn id="1" name="شناسه پیگیری *&#10;(followup_id)"/>
    <x:tableColumn id="2" name="مشتری *&#10;(customer_id)"/>
    <x:tableColumn id="3" name="فرصت&#10;(opportunity_id)"/>
    <x:tableColumn id="4" name="مسئول *&#10;(assigned_user_id)"/>
    <x:tableColumn id="5" name="موعد پیگیری *&#10;(due_at)"/>
    <x:tableColumn id="6" name="روش *&#10;(channel)"/>
    <x:tableColumn id="7" name="هدف *&#10;(purpose)"/>
    <x:tableColumn id="8" name="وضعیت *&#10;(status)"/>
    <x:tableColumn id="9" name="تعداد هشدار&#10;(reminder_count)"/>
    <x:tableColumn id="10" name="آخرین هشدار&#10;(last_reminded_at)"/>
    <x:tableColumn id="11" name="زمان انجام&#10;(completed_at)"/>
    <x:tableColumn id="12" name="نتیجه&#10;(result_code)"/>
    <x:tableColumn id="13" name="شرح نتیجه&#10;(result_note)"/>
    <x:tableColumn id="14" name="پیگیری بعدی&#10;(next_followup_id)"/>
    <x:tableColumn id="15" name="گام توالی&#10;(sequence_step)"/>
    <x:tableColumn id="16" name="کلید یکتا *&#10;(idempotency_key)"/>
    <x:tableColumn id="17" name="زمان ایجاد *&#10;(created_at)"/>
    <x:tableColumn id="18" name="ایجادکننده *&#10;(created_by)"/>
    <x:tableColumn id="19" name="آخرین تغییر *&#10;(updated_at)"/>
    <x:tableColumn id="20" name="تغییردهنده *&#10;(updated_by)"/>
    <x:tableColumn id="21" name="حذف نرم *&#10;(is_deleted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T_Interactions" displayName="T_Interactions" ref="A1:O6" headerRowCount="1" totalsRowCount="0" totalsRowShown="0">
  <x:autoFilter ref="A1:O6"/>
  <x:tableColumns count="15">
    <x:tableColumn id="1" name="شناسه تعامل *&#10;(interaction_id)"/>
    <x:tableColumn id="2" name="مشتری *&#10;(customer_id)"/>
    <x:tableColumn id="3" name="فرصت&#10;(opportunity_id)"/>
    <x:tableColumn id="4" name="فروشنده&#10;(user_id)"/>
    <x:tableColumn id="5" name="نوع تعامل *&#10;(interaction_type)"/>
    <x:tableColumn id="6" name="جهت *&#10;(direction)"/>
    <x:tableColumn id="7" name="زمان *&#10;(occurred_at)"/>
    <x:tableColumn id="8" name="خلاصه *&#10;(summary)"/>
    <x:tableColumn id="9" name="نتیجه&#10;(result_code)"/>
    <x:tableColumn id="10" name="اقدام بعدی&#10;(next_action)"/>
    <x:tableColumn id="11" name="شناسه پیام بیرونی&#10;(external_message_id)"/>
    <x:tableColumn id="12" name="فایل&#10;(attachment_url)"/>
    <x:tableColumn id="13" name="زمان ایجاد *&#10;(created_at)"/>
    <x:tableColumn id="14" name="ایجادکننده *&#10;(created_by)"/>
    <x:tableColumn id="15" name="حذف نرم *&#10;(is_deleted)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6" name="T_Orders" displayName="T_Orders" ref="A1:U4" headerRowCount="1" totalsRowCount="0" totalsRowShown="0">
  <x:autoFilter ref="A1:U4"/>
  <x:tableColumns count="21">
    <x:tableColumn id="1" name="شناسه سفارش *&#10;(order_id)"/>
    <x:tableColumn id="2" name="شماره سفارش *&#10;(order_number)"/>
    <x:tableColumn id="3" name="مشتری *&#10;(customer_id)"/>
    <x:tableColumn id="4" name="فرصت&#10;(opportunity_id)"/>
    <x:tableColumn id="5" name="پیش‌فاکتور&#10;(quotation_id)"/>
    <x:tableColumn id="6" name="فروشنده *&#10;(seller_user_id)"/>
    <x:tableColumn id="7" name="تاریخ سفارش *&#10;(order_at)"/>
    <x:tableColumn id="8" name="جمع اقلام (ریال)&#10;(subtotal)"/>
    <x:tableColumn id="9" name="تخفیف (ریال) *&#10;(discount_amount)"/>
    <x:tableColumn id="10" name="حمل (ریال) *&#10;(shipping_amount)"/>
    <x:tableColumn id="11" name="مبلغ نهایی (ریال)&#10;(final_amount)"/>
    <x:tableColumn id="12" name="وضعیت پرداخت *&#10;(payment_status)"/>
    <x:tableColumn id="13" name="وضعیت سفارش *&#10;(order_status)"/>
    <x:tableColumn id="14" name="موعد تحویل&#10;(delivery_due_at)"/>
    <x:tableColumn id="15" name="تحویل واقعی&#10;(delivered_at)"/>
    <x:tableColumn id="16" name="توضیحات&#10;(notes)"/>
    <x:tableColumn id="17" name="زمان ایجاد *&#10;(created_at)"/>
    <x:tableColumn id="18" name="ایجادکننده *&#10;(created_by)"/>
    <x:tableColumn id="19" name="آخرین تغییر *&#10;(updated_at)"/>
    <x:tableColumn id="20" name="تغییردهنده *&#10;(updated_by)"/>
    <x:tableColumn id="21" name="حذف نرم *&#10;(is_deleted)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7" name="T_Products" displayName="T_Products" ref="A1:O6" headerRowCount="1" totalsRowCount="0" totalsRowShown="0">
  <x:autoFilter ref="A1:O6"/>
  <x:tableColumns count="15">
    <x:tableColumn id="1" name="شناسه محصول *&#10;(product_id)"/>
    <x:tableColumn id="2" name="کد کالا *&#10;(sku)"/>
    <x:tableColumn id="3" name="نام محصول *&#10;(name)"/>
    <x:tableColumn id="4" name="دسته *&#10;(category)"/>
    <x:tableColumn id="5" name="واحد *&#10;(unit)"/>
    <x:tableColumn id="6" name="قیمت فروش (ریال)&#10;(sale_price)"/>
    <x:tableColumn id="7" name="بهای خرید (ریال)&#10;(cost_price)"/>
    <x:tableColumn id="8" name="نقطه سفارش&#10;(reorder_level)"/>
    <x:tableColumn id="9" name="موجودی فعلی&#10;(current_stock)"/>
    <x:tableColumn id="10" name="فعال *&#10;(active)"/>
    <x:tableColumn id="11" name="زمان ایجاد *&#10;(created_at)"/>
    <x:tableColumn id="12" name="ایجادکننده *&#10;(created_by)"/>
    <x:tableColumn id="13" name="آخرین تغییر *&#10;(updated_at)"/>
    <x:tableColumn id="14" name="تغییردهنده *&#10;(updated_by)"/>
    <x:tableColumn id="15" name="حذف نرم *&#10;(is_deleted)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8" name="T_Tasks" displayName="T_Tasks" ref="A1:O3" headerRowCount="1" totalsRowCount="0" totalsRowShown="0">
  <x:autoFilter ref="A1:O3"/>
  <x:tableColumns count="15">
    <x:tableColumn id="1" name="شناسه کار *&#10;(task_id)"/>
    <x:tableColumn id="2" name="نوع مرتبط&#10;(related_type)"/>
    <x:tableColumn id="3" name="شناسه مرتبط&#10;(related_id)"/>
    <x:tableColumn id="4" name="عنوان *&#10;(title)"/>
    <x:tableColumn id="5" name="مسئول *&#10;(assigned_user_id)"/>
    <x:tableColumn id="6" name="اولویت *&#10;(priority)"/>
    <x:tableColumn id="7" name="موعد&#10;(due_at)"/>
    <x:tableColumn id="8" name="وضعیت *&#10;(status)"/>
    <x:tableColumn id="9" name="پایان&#10;(completed_at)"/>
    <x:tableColumn id="10" name="شرح&#10;(notes)"/>
    <x:tableColumn id="11" name="زمان ایجاد *&#10;(created_at)"/>
    <x:tableColumn id="12" name="ایجادکننده *&#10;(created_by)"/>
    <x:tableColumn id="13" name="آخرین تغییر *&#10;(updated_at)"/>
    <x:tableColumn id="14" name="تغییردهنده *&#10;(updated_by)"/>
    <x:tableColumn id="15" name="حذف نرم *&#10;(is_deleted)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" name="T_Users" displayName="T_Users" ref="A1:J4" headerRowCount="1" totalsRowCount="0" totalsRowShown="0">
  <x:autoFilter ref="A1:J4"/>
  <x:tableColumns count="10">
    <x:tableColumn id="1" name="شناسه کاربر *&#10;(user_id)"/>
    <x:tableColumn id="2" name="نام *&#10;(full_name)"/>
    <x:tableColumn id="3" name="نقش *&#10;(role)"/>
    <x:tableColumn id="4" name="شناسه تلگرام&#10;(telegram_user_id)"/>
    <x:tableColumn id="5" name="چت اعلان&#10;(telegram_chat_id)"/>
    <x:tableColumn id="6" name="ایمیل&#10;(email)"/>
    <x:tableColumn id="7" name="فعال *&#10;(active)"/>
    <x:tableColumn id="8" name="دامنه داده *&#10;(data_scope)"/>
    <x:tableColumn id="9" name="زمان ایجاد *&#10;(created_at)"/>
    <x:tableColumn id="10" name="ایجادکننده *&#10;(created_by)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0" name="T_Campaigns" displayName="T_Campaigns" ref="A1:O3" headerRowCount="1" totalsRowCount="0" totalsRowShown="0">
  <x:autoFilter ref="A1:O3"/>
  <x:tableColumns count="15">
    <x:tableColumn id="1" name="شناسه کمپین *&#10;(campaign_id)"/>
    <x:tableColumn id="2" name="نام کمپین *&#10;(name)"/>
    <x:tableColumn id="3" name="کانال *&#10;(channel)"/>
    <x:tableColumn id="4" name="شروع&#10;(start_at)"/>
    <x:tableColumn id="5" name="پایان&#10;(end_at)"/>
    <x:tableColumn id="6" name="بودجه (ریال)&#10;(budget)"/>
    <x:tableColumn id="7" name="کد رهگیری&#10;(tracking_code)"/>
    <x:tableColumn id="8" name="تعداد ورودی&#10;(leads_count)"/>
    <x:tableColumn id="9" name="درآمد برده (ریال)&#10;(won_revenue)"/>
    <x:tableColumn id="10" name="وضعیت *&#10;(status)"/>
    <x:tableColumn id="11" name="زمان ایجاد *&#10;(created_at)"/>
    <x:tableColumn id="12" name="ایجادکننده *&#10;(created_by)"/>
    <x:tableColumn id="13" name="آخرین تغییر *&#10;(updated_at)"/>
    <x:tableColumn id="14" name="تغییردهنده *&#10;(updated_by)"/>
    <x:tableColumn id="15" name="حذف نرم *&#10;(is_deleted)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1" name="T_MessageTemplates" displayName="T_MessageTemplates" ref="A1:K3" headerRowCount="1" totalsRowCount="0" totalsRowShown="0">
  <x:autoFilter ref="A1:K3"/>
  <x:tableColumns count="11">
    <x:tableColumn id="1" name="شناسه قالب *&#10;(template_id)"/>
    <x:tableColumn id="2" name="کد ثابت *&#10;(code)"/>
    <x:tableColumn id="3" name="کانال *&#10;(channel)"/>
    <x:tableColumn id="4" name="هدف *&#10;(purpose)"/>
    <x:tableColumn id="5" name="متن فارسی *&#10;(body_fa)"/>
    <x:tableColumn id="6" name="متغیرها *&#10;(variables)"/>
    <x:tableColumn id="7" name="نیازمند رضایت *&#10;(requires_opt_in)"/>
    <x:tableColumn id="8" name="شناسه رسمی Meta&#10;(official_template_id)"/>
    <x:tableColumn id="9" name="فعال *&#10;(active)"/>
    <x:tableColumn id="10" name="آخرین تغییر *&#10;(updated_at)"/>
    <x:tableColumn id="11" name="تغییردهنده *&#10;(updated_by)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2" name="T_Settings" displayName="T_Settings" ref="A1:H16" headerRowCount="1" totalsRowCount="0" totalsRowShown="0">
  <x:autoFilter ref="A1:H16"/>
  <x:tableColumns count="8">
    <x:tableColumn id="1" name="کلید تنظیم *&#10;(setting_key)"/>
    <x:tableColumn id="2" name="مقدار *&#10;(setting_value)"/>
    <x:tableColumn id="3" name="نوع داده *&#10;(data_type)"/>
    <x:tableColumn id="4" name="گروه *&#10;(category)"/>
    <x:tableColumn id="5" name="قابل تغییر توسط *&#10;(editable_by)"/>
    <x:tableColumn id="6" name="توضیح&#10;(description)"/>
    <x:tableColumn id="7" name="آخرین تغییر *&#10;(updated_at)"/>
    <x:tableColumn id="8" name="تغییردهنده *&#10;(updated_by)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3" name="T_ActivityLogs" displayName="T_ActivityLogs" ref="A1:M2" headerRowCount="1" totalsRowCount="0" totalsRowShown="0">
  <x:autoFilter ref="A1:M2"/>
  <x:tableColumns count="13">
    <x:tableColumn id="1" name="شناسه لاگ *&#10;(log_id)"/>
    <x:tableColumn id="2" name="کلید رویداد *&#10;(event_key)"/>
    <x:tableColumn id="3" name="زمان *&#10;(occurred_at)"/>
    <x:tableColumn id="4" name="نوع عامل *&#10;(actor_type)"/>
    <x:tableColumn id="5" name="عامل *&#10;(actor_id)"/>
    <x:tableColumn id="6" name="عملیات *&#10;(action)"/>
    <x:tableColumn id="7" name="نوع رکورد *&#10;(entity_type)"/>
    <x:tableColumn id="8" name="شناسه رکورد *&#10;(entity_id)"/>
    <x:tableColumn id="9" name="قبل&#10;(before_json)"/>
    <x:tableColumn id="10" name="بعد&#10;(after_json)"/>
    <x:tableColumn id="11" name="نتیجه *&#10;(status)"/>
    <x:tableColumn id="12" name="کد خطا&#10;(error_code)"/>
    <x:tableColumn id="13" name="شناسه زنجیره&#10;(correlation_id)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4" name="T_DashboardData" displayName="T_DashboardData" ref="A1:J3" headerRowCount="1" totalsRowCount="0" totalsRowShown="0">
  <x:autoFilter ref="A1:J3"/>
  <x:tableColumns count="10">
    <x:tableColumn id="1" name="زمان محاسبه *&#10;(snapshot_at)"/>
    <x:tableColumn id="2" name="کد شاخص *&#10;(metric_code)"/>
    <x:tableColumn id="3" name="نوع بُعد&#10;(dimension_type)"/>
    <x:tableColumn id="4" name="مقدار بُعد&#10;(dimension_value)"/>
    <x:tableColumn id="5" name="نوع دوره *&#10;(period_type)"/>
    <x:tableColumn id="6" name="شروع دوره *&#10;(period_start)"/>
    <x:tableColumn id="7" name="پایان دوره *&#10;(period_end)"/>
    <x:tableColumn id="8" name="مقدار شاخص *&#10;(metric_value)"/>
    <x:tableColumn id="9" name="زمان محاسبه *&#10;(calculated_at)"/>
    <x:tableColumn id="10" name="نسخه *&#10;(data_version)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5" name="T_PipelineStages" displayName="T_PipelineStages" ref="A1:K9" headerRowCount="1" totalsRowCount="0" totalsRowShown="0">
  <x:autoFilter ref="A1:K9"/>
  <x:tableColumns count="11">
    <x:tableColumn id="1" name="شناسه فرایند *&#10;(pipeline_id)"/>
    <x:tableColumn id="2" name="کد مرحله *&#10;(stage_code)"/>
    <x:tableColumn id="3" name="عنوان فارسی *&#10;(label_fa)"/>
    <x:tableColumn id="4" name="ترتیب *&#10;(sequence)"/>
    <x:tableColumn id="5" name="احتمال برد *&#10;(probability)"/>
    <x:tableColumn id="6" name="SLA ساعت&#10;(sla_hours)"/>
    <x:tableColumn id="7" name="پیگیری پیش‌فرض (روز)&#10;(default_followup_days)"/>
    <x:tableColumn id="8" name="فیلدهای اجباری&#10;(required_field_keys)"/>
    <x:tableColumn id="9" name="بسته *&#10;(is_closed)"/>
    <x:tableColumn id="10" name="نتیجه نهایی&#10;(outcome)"/>
    <x:tableColumn id="11" name="فعال *&#10;(active)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6" name="T_CustomFieldDefinitions" displayName="T_CustomFieldDefinitions" ref="A1:I4" headerRowCount="1" totalsRowCount="0" totalsRowShown="0">
  <x:autoFilter ref="A1:I4"/>
  <x:tableColumns count="9">
    <x:tableColumn id="1" name="شناسه فیلد *&#10;(field_id)"/>
    <x:tableColumn id="2" name="نوع موجودیت *&#10;(entity_type)"/>
    <x:tableColumn id="3" name="کلید فیلد *&#10;(field_key)"/>
    <x:tableColumn id="4" name="عنوان فارسی *&#10;(label_fa)"/>
    <x:tableColumn id="5" name="نوع داده *&#10;(data_type)"/>
    <x:tableColumn id="6" name="اجباری *&#10;(required)"/>
    <x:tableColumn id="7" name="گزینه‌ها&#10;(options_json)"/>
    <x:tableColumn id="8" name="فعال *&#10;(active)"/>
    <x:tableColumn id="9" name="ترتیب نمایش *&#10;(sort_order)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7" name="T_CustomFieldValues" displayName="T_CustomFieldValues" ref="A1:J4" headerRowCount="1" totalsRowCount="0" totalsRowShown="0">
  <x:autoFilter ref="A1:J4"/>
  <x:tableColumns count="10">
    <x:tableColumn id="1" name="شناسه مقدار *&#10;(value_id)"/>
    <x:tableColumn id="2" name="نوع موجودیت *&#10;(entity_type)"/>
    <x:tableColumn id="3" name="شناسه موجودیت *&#10;(entity_id)"/>
    <x:tableColumn id="4" name="فیلد *&#10;(field_id)"/>
    <x:tableColumn id="5" name="مقدار متنی&#10;(value_text)"/>
    <x:tableColumn id="6" name="مقدار عددی&#10;(value_number)"/>
    <x:tableColumn id="7" name="مقدار تاریخی&#10;(value_date)"/>
    <x:tableColumn id="8" name="مقدار منطقی&#10;(value_boolean)"/>
    <x:tableColumn id="9" name="آخرین تغییر *&#10;(updated_at)"/>
    <x:tableColumn id="10" name="تغییردهنده *&#10;(updated_by)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8" name="T_AutomationRules" displayName="T_AutomationRules" ref="A1:I4" headerRowCount="1" totalsRowCount="0" totalsRowShown="0">
  <x:autoFilter ref="A1:I4"/>
  <x:tableColumns count="9">
    <x:tableColumn id="1" name="شناسه قانون *&#10;(rule_id)"/>
    <x:tableColumn id="2" name="نام قانون *&#10;(name_fa)"/>
    <x:tableColumn id="3" name="رویداد *&#10;(event_code)"/>
    <x:tableColumn id="4" name="شرط&#10;(condition_json)"/>
    <x:tableColumn id="5" name="عمل *&#10;(action_code)"/>
    <x:tableColumn id="6" name="پارامترها&#10;(action_params_json)"/>
    <x:tableColumn id="7" name="تأخیر دقیقه&#10;(delay_minutes)"/>
    <x:tableColumn id="8" name="اولویت *&#10;(priority)"/>
    <x:tableColumn id="9" name="فعال *&#10;(active)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19" name="T_FollowUpSequences" displayName="T_FollowUpSequences" ref="A1:H5" headerRowCount="1" totalsRowCount="0" totalsRowShown="0">
  <x:autoFilter ref="A1:H5"/>
  <x:tableColumns count="8">
    <x:tableColumn id="1" name="شناسه توالی *&#10;(sequence_id)"/>
    <x:tableColumn id="2" name="نام *&#10;(name_fa)"/>
    <x:tableColumn id="3" name="گام *&#10;(step_no)"/>
    <x:tableColumn id="4" name="فاصله روز *&#10;(delay_days)"/>
    <x:tableColumn id="5" name="کانال *&#10;(channel)"/>
    <x:tableColumn id="6" name="قالب پیام&#10;(template_id)"/>
    <x:tableColumn id="7" name="توقف با پاسخ *&#10;(stop_on_reply)"/>
    <x:tableColumn id="8" name="فعال *&#10;(active)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0" name="T_ContactChannels" displayName="T_ContactChannels" ref="A1:H4" headerRowCount="1" totalsRowCount="0" totalsRowShown="0">
  <x:autoFilter ref="A1:H4"/>
  <x:tableColumns count="8">
    <x:tableColumn id="1" name="شناسه کانال *&#10;(channel_id)"/>
    <x:tableColumn id="2" name="مشتری *&#10;(customer_id)"/>
    <x:tableColumn id="3" name="پلتفرم *&#10;(platform)"/>
    <x:tableColumn id="4" name="شناسه پلتفرم *&#10;(platform_user_id)"/>
    <x:tableColumn id="5" name="موبایل استاندارد&#10;(normalized_mobile)"/>
    <x:tableColumn id="6" name="رضایت پیام *&#10;(consent_status)"/>
    <x:tableColumn id="7" name="آخرین پیام&#10;(last_message_at)"/>
    <x:tableColumn id="8" name="فعال *&#10;(active)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1" name="T_Quotations" displayName="T_Quotations" ref="A1:M4" headerRowCount="1" totalsRowCount="0" totalsRowShown="0">
  <x:autoFilter ref="A1:M4"/>
  <x:tableColumns count="13">
    <x:tableColumn id="1" name="شناسه پیش‌فاکتور *&#10;(quotation_id)"/>
    <x:tableColumn id="2" name="شماره پیش‌فاکتور *&#10;(quotation_number)"/>
    <x:tableColumn id="3" name="مشتری *&#10;(customer_id)"/>
    <x:tableColumn id="4" name="فرصت *&#10;(opportunity_id)"/>
    <x:tableColumn id="5" name="تاریخ صدور *&#10;(issued_at)"/>
    <x:tableColumn id="6" name="اعتبار تا *&#10;(valid_until)"/>
    <x:tableColumn id="7" name="جمع اقلام (ریال)&#10;(subtotal)"/>
    <x:tableColumn id="8" name="تخفیف (ریال) *&#10;(discount_amount)"/>
    <x:tableColumn id="9" name="مبلغ نهایی (ریال)&#10;(final_amount)"/>
    <x:tableColumn id="10" name="وضعیت *&#10;(status)"/>
    <x:tableColumn id="11" name="لینک فایل&#10;(file_url)"/>
    <x:tableColumn id="12" name="فروشنده *&#10;(seller_user_id)"/>
    <x:tableColumn id="13" name="زمان ایجاد *&#10;(created_at)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2" name="T_QuotationItems" displayName="T_QuotationItems" ref="A1:I5" headerRowCount="1" totalsRowCount="0" totalsRowShown="0">
  <x:autoFilter ref="A1:I5"/>
  <x:tableColumns count="9">
    <x:tableColumn id="1" name="شناسه قلم *&#10;(item_id)"/>
    <x:tableColumn id="2" name="پیش‌فاکتور *&#10;(quotation_id)"/>
    <x:tableColumn id="3" name="محصول *&#10;(product_id)"/>
    <x:tableColumn id="4" name="شرح&#10;(description)"/>
    <x:tableColumn id="5" name="تعداد *&#10;(qty)"/>
    <x:tableColumn id="6" name="واحد *&#10;(unit)"/>
    <x:tableColumn id="7" name="قیمت واحد (ریال) *&#10;(unit_price)"/>
    <x:tableColumn id="8" name="تخفیف (ریال) *&#10;(discount_amount)"/>
    <x:tableColumn id="9" name="جمع (ریال)&#10;(total)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3" name="T_OrderItems" displayName="T_OrderItems" ref="A1:I5" headerRowCount="1" totalsRowCount="0" totalsRowShown="0">
  <x:autoFilter ref="A1:I5"/>
  <x:tableColumns count="9">
    <x:tableColumn id="1" name="شناسه قلم *&#10;(item_id)"/>
    <x:tableColumn id="2" name="سفارش *&#10;(order_id)"/>
    <x:tableColumn id="3" name="محصول *&#10;(product_id)"/>
    <x:tableColumn id="4" name="شرح&#10;(description)"/>
    <x:tableColumn id="5" name="تعداد *&#10;(qty)"/>
    <x:tableColumn id="6" name="واحد *&#10;(unit)"/>
    <x:tableColumn id="7" name="قیمت واحد (ریال) *&#10;(unit_price)"/>
    <x:tableColumn id="8" name="تخفیف (ریال) *&#10;(discount_amount)"/>
    <x:tableColumn id="9" name="جمع (ریال)&#10;(total)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4" name="T_Payments" displayName="T_Payments" ref="A1:J4" headerRowCount="1" totalsRowCount="0" totalsRowShown="0">
  <x:autoFilter ref="A1:J4"/>
  <x:tableColumns count="10">
    <x:tableColumn id="1" name="شناسه پرداخت *&#10;(payment_id)"/>
    <x:tableColumn id="2" name="سفارش *&#10;(order_id)"/>
    <x:tableColumn id="3" name="مبلغ (ریال) *&#10;(amount)"/>
    <x:tableColumn id="4" name="روش *&#10;(method)"/>
    <x:tableColumn id="5" name="شماره مرجع&#10;(reference)"/>
    <x:tableColumn id="6" name="زمان پرداخت *&#10;(paid_at)"/>
    <x:tableColumn id="7" name="وضعیت *&#10;(status)"/>
    <x:tableColumn id="8" name="رسید&#10;(attachment_url)"/>
    <x:tableColumn id="9" name="زمان ثبت *&#10;(created_at)"/>
    <x:tableColumn id="10" name="ثبت‌کننده *&#10;(created_by)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5" name="T_InventoryTransactions" displayName="T_InventoryTransactions" ref="A1:J8" headerRowCount="1" totalsRowCount="0" totalsRowShown="0">
  <x:autoFilter ref="A1:J8"/>
  <x:tableColumns count="10">
    <x:tableColumn id="1" name="شناسه گردش *&#10;(transaction_id)"/>
    <x:tableColumn id="2" name="محصول *&#10;(product_id)"/>
    <x:tableColumn id="3" name="نوع گردش *&#10;(type)"/>
    <x:tableColumn id="4" name="مقدار با علامت *&#10;(qty_signed)"/>
    <x:tableColumn id="5" name="بهای واحد (ریال)&#10;(unit_cost)"/>
    <x:tableColumn id="6" name="نوع مرتبط&#10;(related_type)"/>
    <x:tableColumn id="7" name="شناسه مرتبط&#10;(related_id)"/>
    <x:tableColumn id="8" name="زمان *&#10;(occurred_at)"/>
    <x:tableColumn id="9" name="توضیحات&#10;(notes)"/>
    <x:tableColumn id="10" name="ثبت‌کننده *&#10;(created_by)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6" name="T_Suppliers" displayName="T_Suppliers" ref="A1:K3" headerRowCount="1" totalsRowCount="0" totalsRowShown="0">
  <x:autoFilter ref="A1:K3"/>
  <x:tableColumns count="11">
    <x:tableColumn id="1" name="شناسه تأمین‌کننده *&#10;(supplier_id)"/>
    <x:tableColumn id="2" name="نام *&#10;(name)"/>
    <x:tableColumn id="3" name="موبایل&#10;(normalized_mobile)"/>
    <x:tableColumn id="4" name="شهر&#10;(city)"/>
    <x:tableColumn id="5" name="دسته‌های تأمین&#10;(categories)"/>
    <x:tableColumn id="6" name="امتیاز&#10;(score)"/>
    <x:tableColumn id="7" name="شرایط پرداخت&#10;(payment_terms)"/>
    <x:tableColumn id="8" name="زمان تأمین روز&#10;(lead_time_days)"/>
    <x:tableColumn id="9" name="وضعیت *&#10;(status)"/>
    <x:tableColumn id="10" name="توضیحات&#10;(notes)"/>
    <x:tableColumn id="11" name="زمان ایجاد *&#10;(created_at)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7" name="T_SupplierQuotes" displayName="T_SupplierQuotes" ref="A1:J3" headerRowCount="1" totalsRowCount="0" totalsRowShown="0">
  <x:autoFilter ref="A1:J3"/>
  <x:tableColumns count="10">
    <x:tableColumn id="1" name="شناسه پیشنهاد خرید *&#10;(supplier_quote_id)"/>
    <x:tableColumn id="2" name="تأمین‌کننده *&#10;(supplier_id)"/>
    <x:tableColumn id="3" name="فرصت فروش&#10;(opportunity_id)"/>
    <x:tableColumn id="4" name="محصول *&#10;(product_id)"/>
    <x:tableColumn id="5" name="مقدار *&#10;(qty)"/>
    <x:tableColumn id="6" name="قیمت واحد (ریال) *&#10;(price)"/>
    <x:tableColumn id="7" name="اعتبار تا&#10;(valid_until)"/>
    <x:tableColumn id="8" name="وضعیت *&#10;(status)"/>
    <x:tableColumn id="9" name="توضیحات&#10;(notes)"/>
    <x:tableColumn id="10" name="زمان ایجاد *&#10;(created_at)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28" name="T_Shipments" displayName="T_Shipments" ref="A1:I3" headerRowCount="1" totalsRowCount="0" totalsRowShown="0">
  <x:autoFilter ref="A1:I3"/>
  <x:tableColumns count="9">
    <x:tableColumn id="1" name="شناسه ارسال *&#10;(shipment_id)"/>
    <x:tableColumn id="2" name="سفارش *&#10;(order_id)"/>
    <x:tableColumn id="3" name="حمل‌کننده&#10;(carrier)"/>
    <x:tableColumn id="4" name="کد رهگیری&#10;(tracking_code)"/>
    <x:tableColumn id="5" name="زمان ارسال&#10;(shipped_at)"/>
    <x:tableColumn id="6" name="زمان تحویل&#10;(delivered_at)"/>
    <x:tableColumn id="7" name="وضعیت *&#10;(status)"/>
    <x:tableColumn id="8" name="هزینه حمل (ریال)&#10;(shipping_cost)"/>
    <x:tableColumn id="9" name="توضیحات&#10;(notes)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29" name="T_FailureReasons" displayName="T_FailureReasons" ref="A1:E8" headerRowCount="1" totalsRowCount="0" totalsRowShown="0">
  <x:autoFilter ref="A1:E8"/>
  <x:tableColumns count="5">
    <x:tableColumn id="1" name="کد دلیل *&#10;(reason_code)"/>
    <x:tableColumn id="2" name="عنوان فارسی *&#10;(label_fa)"/>
    <x:tableColumn id="3" name="گروه *&#10;(category)"/>
    <x:tableColumn id="4" name="فعال *&#10;(active)"/>
    <x:tableColumn id="5" name="ترتیب *&#10;(sort_orde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617f43f53674e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473e775103546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93b4eecf47644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d5d8ed249b742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cd8c13334c34d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22bd232d0d14e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e89be42a8b84d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80d9edb2b9a443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218e9f6cbcc746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239505f81642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9cc6e25d36e42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0c701c25e08144e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4e1d280dac39416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fa9fb00d78b2416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ddeabd8c772c42e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f05e4c9ee35d48e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5929e6f21b3f43e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37fc7e67210445a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4a4767fe2b504e4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0a3306b2bed1471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8511441e47e24b5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3e1cb6ec496c4aa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a81aa740045644f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1d10c92aacee48f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ac5c5dd6c8d346fd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07dc89a1a1be4ad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6.xml" Id="R54c721ab77524ea4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7.xml" Id="R9881b61928bc438e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8.xml" Id="R7e53f0c78de8457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9.xml" Id="R35065d56262843d2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0.xml" Id="R93e8678a6863473c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1.xml" Id="R65eb6652a92d47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44" t="str">
        <x:v>CRM فروشگاهی — قالب اجرایی نسخه ۱</x:v>
      </x:c>
      <x:c r="B1" s="144"/>
      <x:c r="C1" s="144"/>
      <x:c r="D1" s="144"/>
      <x:c r="E1" s="144"/>
      <x:c r="F1" s="144"/>
      <x:c r="G1" s="144"/>
      <x:c r="H1" s="144"/>
    </x:row>
    <x:row r="2">
      <x:c r="A2" s="144"/>
      <x:c r="B2" s="144"/>
      <x:c r="C2" s="144"/>
      <x:c r="D2" s="144"/>
      <x:c r="E2" s="144"/>
      <x:c r="F2" s="144"/>
      <x:c r="G2" s="144"/>
      <x:c r="H2" s="144"/>
    </x:row>
    <x:row r="3">
      <x:c r="A3" s="148" t="str">
        <x:v>این فایل برای مدیر است؛ فروشندگان در نسخه عملیاتی عمدتاً از Telegram Bot استفاده می‌کنند.</x:v>
      </x:c>
      <x:c r="B3" s="148"/>
      <x:c r="C3" s="148"/>
      <x:c r="D3" s="148"/>
      <x:c r="E3" s="148"/>
      <x:c r="F3" s="148"/>
      <x:c r="G3" s="148"/>
      <x:c r="H3" s="148"/>
    </x:row>
    <x:row r="5">
      <x:c r="A5" s="193" t="str">
        <x:v>۱</x:v>
      </x:c>
      <x:c r="B5" s="179" t="str">
        <x:v>ابتدا Settings را تنظیم کنید؛ tenant_id و schema_version را بدون Migration تغییر ندهید.</x:v>
      </x:c>
      <x:c r="C5" s="179"/>
      <x:c r="D5" s="179"/>
      <x:c r="E5" s="179"/>
      <x:c r="F5" s="179"/>
      <x:c r="G5" s="179"/>
      <x:c r="H5" s="180"/>
    </x:row>
    <x:row r="6">
      <x:c r="A6" s="194" t="str">
        <x:v>۲</x:v>
      </x:c>
      <x:c r="B6" s="182" t="str">
        <x:v>کاربران و Telegram ID واقعی را در Users وارد کنید؛ نمونه‌ها را پیش از بهره‌برداری حذف کنید.</x:v>
      </x:c>
      <x:c r="C6" s="182"/>
      <x:c r="D6" s="182"/>
      <x:c r="E6" s="182"/>
      <x:c r="F6" s="182"/>
      <x:c r="G6" s="182"/>
      <x:c r="H6" s="183"/>
    </x:row>
    <x:row r="7">
      <x:c r="A7" s="194" t="str">
        <x:v>۳</x:v>
      </x:c>
      <x:c r="B7" s="182" t="str">
        <x:v>مراحل فروش را در PipelineStages تنظیم کنید؛ stage_code را پس از شروع کار تغییر ندهید.</x:v>
      </x:c>
      <x:c r="C7" s="182"/>
      <x:c r="D7" s="182"/>
      <x:c r="E7" s="182"/>
      <x:c r="F7" s="182"/>
      <x:c r="G7" s="182"/>
      <x:c r="H7" s="183"/>
    </x:row>
    <x:row r="8">
      <x:c r="A8" s="194" t="str">
        <x:v>۴</x:v>
      </x:c>
      <x:c r="B8" s="182" t="str">
        <x:v>مشتری در Customers، هر استعلام در Leads و فرصت واجد شرایط در Opportunities ثبت می‌شود.</x:v>
      </x:c>
      <x:c r="C8" s="182"/>
      <x:c r="D8" s="182"/>
      <x:c r="E8" s="182"/>
      <x:c r="F8" s="182"/>
      <x:c r="G8" s="182"/>
      <x:c r="H8" s="183"/>
    </x:row>
    <x:row r="9">
      <x:c r="A9" s="194" t="str">
        <x:v>۵</x:v>
      </x:c>
      <x:c r="B9" s="182" t="str">
        <x:v>هر فرصت باز باید مسئول، اقدام بعدی و FollowUp باز داشته باشد.</x:v>
      </x:c>
      <x:c r="C9" s="182"/>
      <x:c r="D9" s="182"/>
      <x:c r="E9" s="182"/>
      <x:c r="F9" s="182"/>
      <x:c r="G9" s="182"/>
      <x:c r="H9" s="183"/>
    </x:row>
    <x:row r="10">
      <x:c r="A10" s="195" t="str">
        <x:v>۶</x:v>
      </x:c>
      <x:c r="B10" s="185" t="str">
        <x:v>مبالغ با ریال ذخیره می‌شوند؛ تومان فقط واحد نمایش است.</x:v>
      </x:c>
      <x:c r="C10" s="185"/>
      <x:c r="D10" s="185"/>
      <x:c r="E10" s="185"/>
      <x:c r="F10" s="185"/>
      <x:c r="G10" s="185"/>
      <x:c r="H10" s="186"/>
    </x:row>
    <x:row r="12">
      <x:c r="A12" s="198" t="str">
        <x:v>قواعد مهم داده</x:v>
      </x:c>
      <x:c r="B12" s="198"/>
      <x:c r="C12" s="198"/>
      <x:c r="D12" s="198"/>
      <x:c r="E12" s="198"/>
      <x:c r="F12" s="198"/>
      <x:c r="G12" s="198"/>
      <x:c r="H12" s="198"/>
    </x:row>
    <x:row r="13">
      <x:c r="A13" s="232" t="str">
        <x:v>شناسه</x:v>
      </x:c>
      <x:c r="B13" s="218" t="str">
        <x:v>UUID/کد ثابت؛ شماره ردیف شناسه نیست</x:v>
      </x:c>
      <x:c r="C13" s="218"/>
      <x:c r="D13" s="218"/>
      <x:c r="E13" s="235" t="str">
        <x:v>موبایل</x:v>
      </x:c>
      <x:c r="F13" s="218" t="str">
        <x:v>همیشه +989xxxxxxxxx</x:v>
      </x:c>
      <x:c r="G13" s="218"/>
      <x:c r="H13" s="219"/>
    </x:row>
    <x:row r="14">
      <x:c r="A14" s="233" t="str">
        <x:v>تاریخ</x:v>
      </x:c>
      <x:c r="B14" s="221" t="str">
        <x:v>استاندارد ذخیره؛ شمسی در رابط</x:v>
      </x:c>
      <x:c r="C14" s="221"/>
      <x:c r="D14" s="221"/>
      <x:c r="E14" s="236" t="str">
        <x:v>حذف</x:v>
      </x:c>
      <x:c r="F14" s="221" t="str">
        <x:v>فقط is_deleted=TRUE</x:v>
      </x:c>
      <x:c r="G14" s="221"/>
      <x:c r="H14" s="222"/>
    </x:row>
    <x:row r="15">
      <x:c r="A15" s="233" t="str">
        <x:v>فرصت</x:v>
      </x:c>
      <x:c r="B15" s="221" t="str">
        <x:v>مرحله فروش جدا از پیگیری</x:v>
      </x:c>
      <x:c r="C15" s="221"/>
      <x:c r="D15" s="221"/>
      <x:c r="E15" s="236" t="str">
        <x:v>تکراری</x:v>
      </x:c>
      <x:c r="F15" s="221" t="str">
        <x:v>موبایل و platform_user_id</x:v>
      </x:c>
      <x:c r="G15" s="221"/>
      <x:c r="H15" s="222"/>
    </x:row>
    <x:row r="16">
      <x:c r="A16" s="233" t="str">
        <x:v>موجودی</x:v>
      </x:c>
      <x:c r="B16" s="221" t="str">
        <x:v>فقط InventoryTransactions</x:v>
      </x:c>
      <x:c r="C16" s="221"/>
      <x:c r="D16" s="221"/>
      <x:c r="E16" s="236" t="str">
        <x:v>امنیت</x:v>
      </x:c>
      <x:c r="F16" s="221" t="str">
        <x:v>Token در Sheet ممنوع</x:v>
      </x:c>
      <x:c r="G16" s="221"/>
      <x:c r="H16" s="222"/>
    </x:row>
    <x:row r="17">
      <x:c r="A17" s="233" t="str">
        <x:v>دسترسی</x:v>
      </x:c>
      <x:c r="B17" s="221" t="str">
        <x:v>فروشنده ترجیحاً فقط Bot</x:v>
      </x:c>
      <x:c r="C17" s="221"/>
      <x:c r="D17" s="221"/>
      <x:c r="E17" s="236" t="str">
        <x:v>Backup</x:v>
      </x:c>
      <x:c r="F17" s="221" t="str">
        <x:v>روزانه + تست بازیابی</x:v>
      </x:c>
      <x:c r="G17" s="221"/>
      <x:c r="H17" s="222"/>
    </x:row>
    <x:row r="18">
      <x:c r="A18" s="234" t="str">
        <x:v>ستاره *</x:v>
      </x:c>
      <x:c r="B18" s="224" t="str">
        <x:v>فیلد اجباری</x:v>
      </x:c>
      <x:c r="C18" s="224"/>
      <x:c r="D18" s="224"/>
      <x:c r="E18" s="237" t="str">
        <x:v>آبی روشن</x:v>
      </x:c>
      <x:c r="F18" s="224" t="str">
        <x:v>ستون فرمولی؛ ویرایش نشود</x:v>
      </x:c>
      <x:c r="G18" s="224"/>
      <x:c r="H18" s="225"/>
    </x:row>
    <x:row r="20">
      <x:c r="A20" s="240" t="str">
        <x:v>منابع و محدودیت‌های به‌روز — 2026-07-12</x:v>
      </x:c>
      <x:c r="B20" s="240"/>
      <x:c r="C20" s="240"/>
      <x:c r="D20" s="240"/>
      <x:c r="E20" s="240"/>
      <x:c r="F20" s="240"/>
      <x:c r="G20" s="240"/>
      <x:c r="H20" s="240"/>
    </x:row>
    <x:row r="21">
      <x:c r="A21" s="250" t="str">
        <x:v>Google Sheets limit</x:v>
      </x:c>
      <x:c r="B21" s="251" t="str">
        <x:v>https://support.google.com/drive/answer/37603</x:v>
      </x:c>
      <x:c r="C21" s="251"/>
      <x:c r="D21" s="251"/>
      <x:c r="E21" s="251"/>
      <x:c r="F21" s="251"/>
      <x:c r="G21" s="251"/>
      <x:c r="H21" s="252"/>
    </x:row>
    <x:row r="22">
      <x:c r="A22" s="253" t="str">
        <x:v>Apps Script quotas</x:v>
      </x:c>
      <x:c r="B22" s="254" t="str">
        <x:v>https://developers.google.com/apps-script/guides/services/quotas</x:v>
      </x:c>
      <x:c r="C22" s="254"/>
      <x:c r="D22" s="254"/>
      <x:c r="E22" s="254"/>
      <x:c r="F22" s="254"/>
      <x:c r="G22" s="254"/>
      <x:c r="H22" s="255"/>
    </x:row>
    <x:row r="23">
      <x:c r="A23" s="253" t="str">
        <x:v>Telegram Bot limits</x:v>
      </x:c>
      <x:c r="B23" s="254" t="str">
        <x:v>https://core.telegram.org/bots/faq</x:v>
      </x:c>
      <x:c r="C23" s="254"/>
      <x:c r="D23" s="254"/>
      <x:c r="E23" s="254"/>
      <x:c r="F23" s="254"/>
      <x:c r="G23" s="254"/>
      <x:c r="H23" s="255"/>
    </x:row>
    <x:row r="24">
      <x:c r="A24" s="253" t="str">
        <x:v>AppSheet pricing</x:v>
      </x:c>
      <x:c r="B24" s="254" t="str">
        <x:v>https://about.appsheet.com/pricing/</x:v>
      </x:c>
      <x:c r="C24" s="254"/>
      <x:c r="D24" s="254"/>
      <x:c r="E24" s="254"/>
      <x:c r="F24" s="254"/>
      <x:c r="G24" s="254"/>
      <x:c r="H24" s="255"/>
    </x:row>
    <x:row r="25">
      <x:c r="A25" s="256" t="str">
        <x:v>n8n license</x:v>
      </x:c>
      <x:c r="B25" s="257" t="str">
        <x:v>https://docs.n8n.io/sustainable-use-license/</x:v>
      </x:c>
      <x:c r="C25" s="257"/>
      <x:c r="D25" s="257"/>
      <x:c r="E25" s="257"/>
      <x:c r="F25" s="257"/>
      <x:c r="G25" s="257"/>
      <x:c r="H25" s="258"/>
    </x:row>
  </x:sheetData>
  <x:mergeCells>
    <x:mergeCell ref="A1:H2"/>
    <x:mergeCell ref="A3:H3"/>
    <x:mergeCell ref="B5:H5"/>
    <x:mergeCell ref="B6:H6"/>
    <x:mergeCell ref="B7:H7"/>
    <x:mergeCell ref="B8:H8"/>
    <x:mergeCell ref="B9:H9"/>
    <x:mergeCell ref="B10:H10"/>
    <x:mergeCell ref="A12:H12"/>
    <x:mergeCell ref="B13:D13"/>
    <x:mergeCell ref="F13:H13"/>
    <x:mergeCell ref="B14:D14"/>
    <x:mergeCell ref="F14:H14"/>
    <x:mergeCell ref="B15:D15"/>
    <x:mergeCell ref="F15:H15"/>
    <x:mergeCell ref="B16:D16"/>
    <x:mergeCell ref="F16:H16"/>
    <x:mergeCell ref="B17:D17"/>
    <x:mergeCell ref="F17:H17"/>
    <x:mergeCell ref="B18:D18"/>
    <x:mergeCell ref="F18:H18"/>
    <x:mergeCell ref="A20:H20"/>
    <x:mergeCell ref="B21:H21"/>
    <x:mergeCell ref="B22:H22"/>
    <x:mergeCell ref="B23:H23"/>
    <x:mergeCell ref="B24:H24"/>
    <x:mergeCell ref="B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2" customHeight="1">
      <x:c r="A1" s="144" t="str">
        <x:v>داشبورد مدیریتی CRM فروشگاهی</x:v>
      </x:c>
      <x:c r="B1" s="144"/>
      <x:c r="C1" s="144"/>
      <x:c r="D1" s="144"/>
      <x:c r="E1" s="144"/>
      <x:c r="F1" s="144"/>
      <x:c r="G1" s="144"/>
      <x:c r="H1" s="144"/>
      <x:c r="I1" s="144"/>
      <x:c r="J1" s="144"/>
      <x:c r="K1" s="144"/>
      <x:c r="L1" s="144"/>
      <x:c r="M1" s="144"/>
      <x:c r="N1" s="144"/>
      <x:c r="O1" s="144"/>
      <x:c r="P1" s="144"/>
      <x:c r="Q1" s="144"/>
      <x:c r="R1" s="144"/>
      <x:c r="S1" s="144"/>
      <x:c r="T1" s="144"/>
    </x:row>
    <x:row r="2" ht="22" customHeight="1">
      <x:c r="A2" s="144"/>
      <x:c r="B2" s="144"/>
      <x:c r="C2" s="144"/>
      <x:c r="D2" s="144"/>
      <x:c r="E2" s="144"/>
      <x:c r="F2" s="144"/>
      <x:c r="G2" s="144"/>
      <x:c r="H2" s="144"/>
      <x:c r="I2" s="144"/>
      <x:c r="J2" s="144"/>
      <x:c r="K2" s="144"/>
      <x:c r="L2" s="144"/>
      <x:c r="M2" s="144"/>
      <x:c r="N2" s="144"/>
      <x:c r="O2" s="144"/>
      <x:c r="P2" s="144"/>
      <x:c r="Q2" s="144"/>
      <x:c r="R2" s="144"/>
      <x:c r="S2" s="144"/>
      <x:c r="T2" s="144"/>
    </x:row>
    <x:row r="3" ht="22" customHeight="1">
      <x:c r="A3" s="298" t="str">
        <x:v>تاریخ گزارش</x:v>
      </x:c>
      <x:c r="B3" s="299" t="n">
        <x:v>46215</x:v>
      </x:c>
    </x:row>
    <x:row r="4" ht="22" customHeight="1"/>
    <x:row r="5" ht="22" customHeight="1">
      <x:c r="A5" s="303" t="str">
        <x:v>فروش امروز (ریال)</x:v>
      </x:c>
      <x:c r="B5" s="303"/>
      <x:c r="C5" s="303"/>
      <x:c r="E5" s="326" t="str">
        <x:v>فروش ماه (ریال)</x:v>
      </x:c>
      <x:c r="F5" s="326"/>
      <x:c r="G5" s="326"/>
      <x:c r="I5" s="349" t="str">
        <x:v>مشتری جدید ماه</x:v>
      </x:c>
      <x:c r="J5" s="349"/>
      <x:c r="K5" s="349"/>
      <x:c r="M5" s="372" t="str">
        <x:v>ارزش فرصت باز (ریال)</x:v>
      </x:c>
      <x:c r="N5" s="372"/>
      <x:c r="O5" s="372"/>
    </x:row>
    <x:row r="6" ht="22" customHeight="1">
      <x:c r="A6" s="438" t="n">
        <x:f>SUMIFS('Orders'!$K$2:$K$500,'Orders'!$G$2:$G$500,"&gt;="&amp;$B$3,'Orders'!$G$2:$G$500,"&lt;"&amp;$B$3+1,'Orders'!$M$2:$M$500,"&lt;&gt;cancelled")</x:f>
        <x:v>0</x:v>
      </x:c>
      <x:c r="B6" s="439"/>
      <x:c r="C6" s="440"/>
      <x:c r="D6" s="441"/>
      <x:c r="E6" s="442" t="n">
        <x:f>SUMIFS('Orders'!$K$2:$K$500,'Orders'!$G$2:$G$500,"&gt;="&amp;EOMONTH($B$3,-1)+1,'Orders'!$G$2:$G$500,"&lt;"&amp;EOMONTH($B$3,0)+1,'Orders'!$M$2:$M$500,"&lt;&gt;cancelled")</x:f>
        <x:v>885000000</x:v>
      </x:c>
      <x:c r="F6" s="443"/>
      <x:c r="G6" s="444"/>
      <x:c r="H6" s="441"/>
      <x:c r="I6" s="445" t="n">
        <x:f>COUNTIFS('Customers'!$W$2:$W$500,"&gt;="&amp;EOMONTH($B$3,-1)+1,'Customers'!$W$2:$W$500,"&lt;"&amp;EOMONTH($B$3,0)+1)</x:f>
        <x:v>1</x:v>
      </x:c>
      <x:c r="J6" s="446"/>
      <x:c r="K6" s="447"/>
      <x:c r="L6" s="441"/>
      <x:c r="M6" s="448" t="n">
        <x:f>SUMIFS('Opportunities'!$H$2:$H$500,'Opportunities'!$F$2:$F$500,"&lt;&gt;won",'Opportunities'!$F$2:$F$500,"&lt;&gt;lost")</x:f>
        <x:v>1500000000</x:v>
      </x:c>
      <x:c r="N6" s="449"/>
      <x:c r="O6" s="450"/>
    </x:row>
    <x:row r="7" ht="22" customHeight="1">
      <x:c r="A7" s="451"/>
      <x:c r="B7" s="452"/>
      <x:c r="C7" s="453"/>
      <x:c r="D7" s="441"/>
      <x:c r="E7" s="454"/>
      <x:c r="F7" s="455"/>
      <x:c r="G7" s="456"/>
      <x:c r="H7" s="441"/>
      <x:c r="I7" s="457"/>
      <x:c r="J7" s="458"/>
      <x:c r="K7" s="459"/>
      <x:c r="L7" s="441"/>
      <x:c r="M7" s="460"/>
      <x:c r="N7" s="461"/>
      <x:c r="O7" s="462"/>
    </x:row>
    <x:row r="8" ht="22" customHeight="1">
      <x:c r="A8" s="441"/>
      <x:c r="B8" s="441"/>
      <x:c r="C8" s="441"/>
      <x:c r="D8" s="441"/>
      <x:c r="E8" s="441"/>
      <x:c r="F8" s="441"/>
      <x:c r="G8" s="441"/>
      <x:c r="H8" s="441"/>
      <x:c r="I8" s="441"/>
      <x:c r="J8" s="441"/>
      <x:c r="K8" s="441"/>
      <x:c r="L8" s="441"/>
      <x:c r="M8" s="441"/>
      <x:c r="N8" s="441"/>
      <x:c r="O8" s="441"/>
    </x:row>
    <x:row r="9" ht="22" customHeight="1">
      <x:c r="A9" s="463" t="str">
        <x:v>پیگیری امروز</x:v>
      </x:c>
      <x:c r="B9" s="463"/>
      <x:c r="C9" s="463"/>
      <x:c r="D9" s="441"/>
      <x:c r="E9" s="464" t="str">
        <x:v>پیگیری عقب‌افتاده</x:v>
      </x:c>
      <x:c r="F9" s="464"/>
      <x:c r="G9" s="464"/>
      <x:c r="H9" s="441"/>
      <x:c r="I9" s="465" t="str">
        <x:v>نرخ تبدیل</x:v>
      </x:c>
      <x:c r="J9" s="465"/>
      <x:c r="K9" s="465"/>
      <x:c r="L9" s="441"/>
      <x:c r="M9" s="464" t="str">
        <x:v>مشتری در معرض ریزش</x:v>
      </x:c>
      <x:c r="N9" s="464"/>
      <x:c r="O9" s="464"/>
    </x:row>
    <x:row r="10" ht="22" customHeight="1">
      <x:c r="A10" s="442" t="n">
        <x:f>COUNTIFS('FollowUps'!$E$2:$E$500,"&gt;="&amp;$B$3,'FollowUps'!$E$2:$E$500,"&lt;"&amp;$B$3+1,'FollowUps'!$H$2:$H$500,"open")</x:f>
        <x:v>2</x:v>
      </x:c>
      <x:c r="B10" s="443"/>
      <x:c r="C10" s="444"/>
      <x:c r="D10" s="441"/>
      <x:c r="E10" s="466" t="n">
        <x:f>COUNTIFS('FollowUps'!$E$2:$E$500,"&lt;"&amp;NOW(),'FollowUps'!$H$2:$H$500,"open")</x:f>
        <x:v>0</x:v>
      </x:c>
      <x:c r="F10" s="467"/>
      <x:c r="G10" s="468"/>
      <x:c r="H10" s="441"/>
      <x:c r="I10" s="478" t="n">
        <x:f>IFERROR(COUNTIF('Opportunities'!$F$2:$F$500,"won")/COUNTIF('Leads'!$J$2:$J$500,"converted"),0)</x:f>
        <x:v>0.2</x:v>
      </x:c>
      <x:c r="J10" s="479"/>
      <x:c r="K10" s="480"/>
      <x:c r="L10" s="441"/>
      <x:c r="M10" s="466" t="n">
        <x:f>COUNTIF('Customers'!$J$2:$J$500,"at_risk")</x:f>
        <x:v>1</x:v>
      </x:c>
      <x:c r="N10" s="467"/>
      <x:c r="O10" s="468"/>
    </x:row>
    <x:row r="11" ht="22" customHeight="1">
      <x:c r="A11" s="454"/>
      <x:c r="B11" s="455"/>
      <x:c r="C11" s="456"/>
      <x:c r="D11" s="441"/>
      <x:c r="E11" s="472"/>
      <x:c r="F11" s="473"/>
      <x:c r="G11" s="474"/>
      <x:c r="H11" s="441"/>
      <x:c r="I11" s="481"/>
      <x:c r="J11" s="482"/>
      <x:c r="K11" s="483"/>
      <x:c r="L11" s="441"/>
      <x:c r="M11" s="472"/>
      <x:c r="N11" s="473"/>
      <x:c r="O11" s="474"/>
    </x:row>
    <x:row r="12" ht="22" customHeight="1"/>
    <x:row r="13" ht="22" customHeight="1"/>
    <x:row r="14" ht="22" customHeight="1">
      <x:c r="A14" s="486" t="str">
        <x:v>ماه</x:v>
      </x:c>
      <x:c r="B14" s="486" t="str">
        <x:v>فروش (ریال)</x:v>
      </x:c>
      <x:c r="J14" s="486" t="str">
        <x:v>مرحله قیف</x:v>
      </x:c>
      <x:c r="K14" s="486" t="str">
        <x:v>تعداد فرصت</x:v>
      </x:c>
    </x:row>
    <x:row r="15" ht="22" customHeight="1">
      <x:c r="A15" s="484" t="str">
        <x:f>TEXT(EDATE($B$3,-5),"yyyy-mm")</x:f>
        <x:v>2026-02</x:v>
      </x:c>
      <x:c r="B15" s="487" t="n">
        <x:f>SUMIFS('Orders'!$K$2:$K$500,'Orders'!$G$2:$G$500,"&gt;="&amp;EOMONTH(EDATE($B$3,-5),-1)+1,'Orders'!$G$2:$G$500,"&lt;"&amp;EOMONTH(EDATE($B$3,-5),0)+1,'Orders'!$M$2:$M$500,"&lt;&gt;cancelled")</x:f>
        <x:v>0</x:v>
      </x:c>
      <x:c r="J15" s="484" t="str">
        <x:f>'PipelineStages'!$C$2</x:f>
        <x:v>سرنخ جدید</x:v>
      </x:c>
      <x:c r="K15" s="484" t="n">
        <x:f>COUNTIF('Opportunities'!$F$2:$F$500,'PipelineStages'!$B$2)</x:f>
        <x:v>0</x:v>
      </x:c>
    </x:row>
    <x:row r="16" ht="22" customHeight="1">
      <x:c r="A16" s="484" t="str">
        <x:f>TEXT(EDATE($B$3,-4),"yyyy-mm")</x:f>
        <x:v>2026-03</x:v>
      </x:c>
      <x:c r="B16" s="487" t="n">
        <x:f>SUMIFS('Orders'!$K$2:$K$500,'Orders'!$G$2:$G$500,"&gt;="&amp;EOMONTH(EDATE($B$3,-4),-1)+1,'Orders'!$G$2:$G$500,"&lt;"&amp;EOMONTH(EDATE($B$3,-4),0)+1,'Orders'!$M$2:$M$500,"&lt;&gt;cancelled")</x:f>
        <x:v>0</x:v>
      </x:c>
      <x:c r="J16" s="484" t="str">
        <x:f>'PipelineStages'!$C$3</x:f>
        <x:v>تماس اولیه</x:v>
      </x:c>
      <x:c r="K16" s="484" t="n">
        <x:f>COUNTIF('Opportunities'!$F$2:$F$500,'PipelineStages'!$B$3)</x:f>
        <x:v>0</x:v>
      </x:c>
    </x:row>
    <x:row r="17" ht="22" customHeight="1">
      <x:c r="A17" s="484" t="str">
        <x:f>TEXT(EDATE($B$3,-3),"yyyy-mm")</x:f>
        <x:v>2026-04</x:v>
      </x:c>
      <x:c r="B17" s="487" t="n">
        <x:f>SUMIFS('Orders'!$K$2:$K$500,'Orders'!$G$2:$G$500,"&gt;="&amp;EOMONTH(EDATE($B$3,-3),-1)+1,'Orders'!$G$2:$G$500,"&lt;"&amp;EOMONTH(EDATE($B$3,-3),0)+1,'Orders'!$M$2:$M$500,"&lt;&gt;cancelled")</x:f>
        <x:v>0</x:v>
      </x:c>
      <x:c r="J17" s="484" t="str">
        <x:f>'PipelineStages'!$C$4</x:f>
        <x:v>نیازسنجی</x:v>
      </x:c>
      <x:c r="K17" s="484" t="n">
        <x:f>COUNTIF('Opportunities'!$F$2:$F$500,'PipelineStages'!$B$4)</x:f>
        <x:v>1</x:v>
      </x:c>
    </x:row>
    <x:row r="18" ht="22" customHeight="1">
      <x:c r="A18" s="484" t="str">
        <x:f>TEXT(EDATE($B$3,-2),"yyyy-mm")</x:f>
        <x:v>2026-05</x:v>
      </x:c>
      <x:c r="B18" s="487" t="n">
        <x:f>SUMIFS('Orders'!$K$2:$K$500,'Orders'!$G$2:$G$500,"&gt;="&amp;EOMONTH(EDATE($B$3,-2),-1)+1,'Orders'!$G$2:$G$500,"&lt;"&amp;EOMONTH(EDATE($B$3,-2),0)+1,'Orders'!$M$2:$M$500,"&lt;&gt;cancelled")</x:f>
        <x:v>200000000</x:v>
      </x:c>
      <x:c r="J18" s="484" t="str">
        <x:f>'PipelineStages'!$C$5</x:f>
        <x:v>پیش‌فاکتور ارسال شد</x:v>
      </x:c>
      <x:c r="K18" s="484" t="n">
        <x:f>COUNTIF('Opportunities'!$F$2:$F$500,'PipelineStages'!$B$5)</x:f>
        <x:v>1</x:v>
      </x:c>
    </x:row>
    <x:row r="19" ht="22" customHeight="1">
      <x:c r="A19" s="484" t="str">
        <x:f>TEXT(EDATE($B$3,-1),"yyyy-mm")</x:f>
        <x:v>2026-06</x:v>
      </x:c>
      <x:c r="B19" s="487" t="n">
        <x:f>SUMIFS('Orders'!$K$2:$K$500,'Orders'!$G$2:$G$500,"&gt;="&amp;EOMONTH(EDATE($B$3,-1),-1)+1,'Orders'!$G$2:$G$500,"&lt;"&amp;EOMONTH(EDATE($B$3,-1),0)+1,'Orders'!$M$2:$M$500,"&lt;&gt;cancelled")</x:f>
        <x:v>120000000</x:v>
      </x:c>
      <x:c r="J19" s="484" t="str">
        <x:f>'PipelineStages'!$C$6</x:f>
        <x:v>در انتظار پاسخ</x:v>
      </x:c>
      <x:c r="K19" s="484" t="n">
        <x:f>COUNTIF('Opportunities'!$F$2:$F$500,'PipelineStages'!$B$6)</x:f>
        <x:v>0</x:v>
      </x:c>
    </x:row>
    <x:row r="20" ht="22" customHeight="1">
      <x:c r="A20" s="484" t="str">
        <x:f>TEXT(EDATE($B$3,0),"yyyy-mm")</x:f>
        <x:v>2026-07</x:v>
      </x:c>
      <x:c r="B20" s="487" t="n">
        <x:f>SUMIFS('Orders'!$K$2:$K$500,'Orders'!$G$2:$G$500,"&gt;="&amp;EOMONTH(EDATE($B$3,0),-1)+1,'Orders'!$G$2:$G$500,"&lt;"&amp;EOMONTH(EDATE($B$3,0),0)+1,'Orders'!$M$2:$M$500,"&lt;&gt;cancelled")</x:f>
        <x:v>885000000</x:v>
      </x:c>
      <x:c r="J20" s="484" t="str">
        <x:f>'PipelineStages'!$C$7</x:f>
        <x:v>مذاکره</x:v>
      </x:c>
      <x:c r="K20" s="484" t="n">
        <x:f>COUNTIF('Opportunities'!$F$2:$F$500,'PipelineStages'!$B$7)</x:f>
        <x:v>1</x:v>
      </x:c>
    </x:row>
    <x:row r="21" ht="22" customHeight="1">
      <x:c r="J21" s="484" t="str">
        <x:f>'PipelineStages'!$C$8</x:f>
        <x:v>فروش موفق</x:v>
      </x:c>
      <x:c r="K21" s="484" t="n">
        <x:f>COUNTIF('Opportunities'!$F$2:$F$500,'PipelineStages'!$B$8)</x:f>
        <x:v>1</x:v>
      </x:c>
    </x:row>
    <x:row r="22" ht="22" customHeight="1">
      <x:c r="J22" s="484" t="str">
        <x:f>'PipelineStages'!$C$9</x:f>
        <x:v>فروش ناموفق</x:v>
      </x:c>
      <x:c r="K22" s="484" t="n">
        <x:f>COUNTIF('Opportunities'!$F$2:$F$500,'PipelineStages'!$B$9)</x:f>
        <x:v>1</x:v>
      </x:c>
    </x:row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>
      <x:c r="A30" s="508" t="str">
        <x:v>تعریف فروش: سفارش غیرلغوشده. وصول وجه به‌صورت جداگانه در Payments سنجیده می‌شود. تاریخ B3 قابل تغییر است.</x:v>
      </x:c>
      <x:c r="B30" s="509"/>
      <x:c r="C30" s="509"/>
      <x:c r="D30" s="509"/>
      <x:c r="E30" s="509"/>
      <x:c r="F30" s="509"/>
      <x:c r="G30" s="509"/>
      <x:c r="H30" s="509"/>
      <x:c r="I30" s="509"/>
      <x:c r="J30" s="509"/>
      <x:c r="K30" s="509"/>
      <x:c r="L30" s="509"/>
      <x:c r="M30" s="509"/>
      <x:c r="N30" s="509"/>
      <x:c r="O30" s="509"/>
      <x:c r="P30" s="509"/>
      <x:c r="Q30" s="509"/>
      <x:c r="R30" s="509"/>
      <x:c r="S30" s="509"/>
      <x:c r="T30" s="510"/>
    </x:row>
    <x:row r="31" ht="22" customHeight="1">
      <x:c r="A31" s="511"/>
      <x:c r="B31" s="512"/>
      <x:c r="C31" s="512"/>
      <x:c r="D31" s="512"/>
      <x:c r="E31" s="512"/>
      <x:c r="F31" s="512"/>
      <x:c r="G31" s="512"/>
      <x:c r="H31" s="512"/>
      <x:c r="I31" s="512"/>
      <x:c r="J31" s="512"/>
      <x:c r="K31" s="512"/>
      <x:c r="L31" s="512"/>
      <x:c r="M31" s="512"/>
      <x:c r="N31" s="512"/>
      <x:c r="O31" s="512"/>
      <x:c r="P31" s="512"/>
      <x:c r="Q31" s="512"/>
      <x:c r="R31" s="512"/>
      <x:c r="S31" s="512"/>
      <x:c r="T31" s="513"/>
    </x:row>
    <x:row r="32" ht="22" customHeight="1"/>
    <x:row r="33" ht="22" customHeight="1"/>
    <x:row r="34" ht="22" customHeight="1"/>
    <x:row r="35" ht="22" customHeight="1"/>
  </x:sheetData>
  <x:mergeCells>
    <x:mergeCell ref="A1:T2"/>
    <x:mergeCell ref="A5:C5"/>
    <x:mergeCell ref="A6:C7"/>
    <x:mergeCell ref="E5:G5"/>
    <x:mergeCell ref="E6:G7"/>
    <x:mergeCell ref="I5:K5"/>
    <x:mergeCell ref="I6:K7"/>
    <x:mergeCell ref="M5:O5"/>
    <x:mergeCell ref="M6:O7"/>
    <x:mergeCell ref="A9:C9"/>
    <x:mergeCell ref="A10:C11"/>
    <x:mergeCell ref="E9:G9"/>
    <x:mergeCell ref="E10:G11"/>
    <x:mergeCell ref="I9:K9"/>
    <x:mergeCell ref="I10:K11"/>
    <x:mergeCell ref="M9:O9"/>
    <x:mergeCell ref="M10:O11"/>
    <x:mergeCell ref="A30:T31"/>
  </x:mergeCells>
  <x:pageMargins left="0.7" right="0.7" top="0.75" bottom="0.75" header="0.3" footer="0.3"/>
  <x:drawing xmlns:r="http://schemas.openxmlformats.org/officeDocument/2006/relationships" r:id="R8617f43f53674efe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18" hidden="0" customWidth="1"/>
    <x:col min="5" max="5" width="10" hidden="0" customWidth="1"/>
    <x:col min="6" max="6" width="28" hidden="0" customWidth="1"/>
    <x:col min="7" max="7" width="28" hidden="0" customWidth="1"/>
    <x:col min="8" max="8" width="44" hidden="0" customWidth="1"/>
  </x:cols>
  <x:sheetData>
    <x:row r="1" ht="46" customHeight="1">
      <x:c r="A1" s="12" t="str">
        <x:v>sheet_name</x:v>
      </x:c>
      <x:c r="B1" s="13" t="str">
        <x:v>column_key</x:v>
      </x:c>
      <x:c r="C1" s="13" t="str">
        <x:v>نام فارسی</x:v>
      </x:c>
      <x:c r="D1" s="13" t="str">
        <x:v>نوع داده</x:v>
      </x:c>
      <x:c r="E1" s="13" t="str">
        <x:v>اجباری</x:v>
      </x:c>
      <x:c r="F1" s="13" t="str">
        <x:v>اعتبارسنجی</x:v>
      </x:c>
      <x:c r="G1" s="13" t="str">
        <x:v>رابطه</x:v>
      </x:c>
      <x:c r="H1" s="14" t="str">
        <x:v>توضیح</x:v>
      </x:c>
    </x:row>
    <x:row r="2">
      <x:c r="A2" s="286" t="str">
        <x:v>Customers</x:v>
      </x:c>
      <x:c r="B2" s="30" t="str">
        <x:v>customer_id</x:v>
      </x:c>
      <x:c r="C2" s="30" t="str">
        <x:v>شناسه مشتری</x:v>
      </x:c>
      <x:c r="D2" s="30" t="str">
        <x:v>UUID</x:v>
      </x:c>
      <x:c r="E2" s="30" t="str">
        <x:v>بله</x:v>
      </x:c>
      <x:c r="F2" s="30" t="str"/>
      <x:c r="G2" s="30" t="str"/>
      <x:c r="H2" s="287" t="str">
        <x:v>شناسه یکتای غیرقابل تغییر</x:v>
      </x:c>
    </x:row>
    <x:row r="3">
      <x:c r="A3" s="288" t="str">
        <x:v>Customers</x:v>
      </x:c>
      <x:c r="B3" s="39" t="str">
        <x:v>customer_type</x:v>
      </x:c>
      <x:c r="C3" s="39" t="str">
        <x:v>نوع مشتری</x:v>
      </x:c>
      <x:c r="D3" s="39" t="str">
        <x:v>enum</x:v>
      </x:c>
      <x:c r="E3" s="39" t="str">
        <x:v>بله</x:v>
      </x:c>
      <x:c r="F3" s="39" t="str">
        <x:v>person,company</x:v>
      </x:c>
      <x:c r="G3" s="39" t="str"/>
      <x:c r="H3" s="289" t="str"/>
    </x:row>
    <x:row r="4">
      <x:c r="A4" s="288" t="str">
        <x:v>Customers</x:v>
      </x:c>
      <x:c r="B4" s="39" t="str">
        <x:v>full_name</x:v>
      </x:c>
      <x:c r="C4" s="39" t="str">
        <x:v>نام مشتری/نماینده</x:v>
      </x:c>
      <x:c r="D4" s="39" t="str">
        <x:v>text</x:v>
      </x:c>
      <x:c r="E4" s="39" t="str">
        <x:v>بله</x:v>
      </x:c>
      <x:c r="F4" s="39" t="str"/>
      <x:c r="G4" s="39" t="str"/>
      <x:c r="H4" s="289" t="str"/>
    </x:row>
    <x:row r="5">
      <x:c r="A5" s="288" t="str">
        <x:v>Customers</x:v>
      </x:c>
      <x:c r="B5" s="39" t="str">
        <x:v>company_name</x:v>
      </x:c>
      <x:c r="C5" s="39" t="str">
        <x:v>نام فروشگاه/شرکت</x:v>
      </x:c>
      <x:c r="D5" s="39" t="str">
        <x:v>text</x:v>
      </x:c>
      <x:c r="E5" s="39" t="str">
        <x:v>خیر</x:v>
      </x:c>
      <x:c r="F5" s="39" t="str"/>
      <x:c r="G5" s="39" t="str"/>
      <x:c r="H5" s="289" t="str"/>
    </x:row>
    <x:row r="6">
      <x:c r="A6" s="288" t="str">
        <x:v>Customers</x:v>
      </x:c>
      <x:c r="B6" s="39" t="str">
        <x:v>normalized_mobile</x:v>
      </x:c>
      <x:c r="C6" s="39" t="str">
        <x:v>موبایل استاندارد</x:v>
      </x:c>
      <x:c r="D6" s="39" t="str">
        <x:v>phone</x:v>
      </x:c>
      <x:c r="E6" s="39" t="str">
        <x:v>خیر</x:v>
      </x:c>
      <x:c r="F6" s="39" t="str"/>
      <x:c r="G6" s="39" t="str"/>
      <x:c r="H6" s="289" t="str">
        <x:v>+989xxxxxxxxx</x:v>
      </x:c>
    </x:row>
    <x:row r="7">
      <x:c r="A7" s="288" t="str">
        <x:v>Customers</x:v>
      </x:c>
      <x:c r="B7" s="39" t="str">
        <x:v>phone_2</x:v>
      </x:c>
      <x:c r="C7" s="39" t="str">
        <x:v>شماره دوم</x:v>
      </x:c>
      <x:c r="D7" s="39" t="str">
        <x:v>phone</x:v>
      </x:c>
      <x:c r="E7" s="39" t="str">
        <x:v>خیر</x:v>
      </x:c>
      <x:c r="F7" s="39" t="str"/>
      <x:c r="G7" s="39" t="str"/>
      <x:c r="H7" s="289" t="str"/>
    </x:row>
    <x:row r="8">
      <x:c r="A8" s="288" t="str">
        <x:v>Customers</x:v>
      </x:c>
      <x:c r="B8" s="39" t="str">
        <x:v>city</x:v>
      </x:c>
      <x:c r="C8" s="39" t="str">
        <x:v>شهر</x:v>
      </x:c>
      <x:c r="D8" s="39" t="str">
        <x:v>text</x:v>
      </x:c>
      <x:c r="E8" s="39" t="str">
        <x:v>خیر</x:v>
      </x:c>
      <x:c r="F8" s="39" t="str"/>
      <x:c r="G8" s="39" t="str"/>
      <x:c r="H8" s="289" t="str"/>
    </x:row>
    <x:row r="9">
      <x:c r="A9" s="288" t="str">
        <x:v>Customers</x:v>
      </x:c>
      <x:c r="B9" s="39" t="str">
        <x:v>region</x:v>
      </x:c>
      <x:c r="C9" s="39" t="str">
        <x:v>منطقه</x:v>
      </x:c>
      <x:c r="D9" s="39" t="str">
        <x:v>text</x:v>
      </x:c>
      <x:c r="E9" s="39" t="str">
        <x:v>خیر</x:v>
      </x:c>
      <x:c r="F9" s="39" t="str"/>
      <x:c r="G9" s="39" t="str"/>
      <x:c r="H9" s="289" t="str"/>
    </x:row>
    <x:row r="10">
      <x:c r="A10" s="288" t="str">
        <x:v>Customers</x:v>
      </x:c>
      <x:c r="B10" s="39" t="str">
        <x:v>address</x:v>
      </x:c>
      <x:c r="C10" s="39" t="str">
        <x:v>آدرس</x:v>
      </x:c>
      <x:c r="D10" s="39" t="str">
        <x:v>long text</x:v>
      </x:c>
      <x:c r="E10" s="39" t="str">
        <x:v>خیر</x:v>
      </x:c>
      <x:c r="F10" s="39" t="str"/>
      <x:c r="G10" s="39" t="str"/>
      <x:c r="H10" s="289" t="str"/>
    </x:row>
    <x:row r="11">
      <x:c r="A11" s="288" t="str">
        <x:v>Customers</x:v>
      </x:c>
      <x:c r="B11" s="39" t="str">
        <x:v>lifecycle_status</x:v>
      </x:c>
      <x:c r="C11" s="39" t="str">
        <x:v>چرخه عمر</x:v>
      </x:c>
      <x:c r="D11" s="39" t="str">
        <x:v>enum</x:v>
      </x:c>
      <x:c r="E11" s="39" t="str">
        <x:v>بله</x:v>
      </x:c>
      <x:c r="F11" s="39" t="str">
        <x:v>new,active,loyal,at_risk,inactive</x:v>
      </x:c>
      <x:c r="G11" s="39" t="str"/>
      <x:c r="H11" s="289" t="str"/>
    </x:row>
    <x:row r="12">
      <x:c r="A12" s="288" t="str">
        <x:v>Customers</x:v>
      </x:c>
      <x:c r="B12" s="39" t="str">
        <x:v>owner_user_id</x:v>
      </x:c>
      <x:c r="C12" s="39" t="str">
        <x:v>مسئول اصلی</x:v>
      </x:c>
      <x:c r="D12" s="39" t="str">
        <x:v>FK</x:v>
      </x:c>
      <x:c r="E12" s="39" t="str">
        <x:v>بله</x:v>
      </x:c>
      <x:c r="F12" s="39" t="str"/>
      <x:c r="G12" s="39" t="str">
        <x:v>Users.user_id</x:v>
      </x:c>
      <x:c r="H12" s="289" t="str"/>
    </x:row>
    <x:row r="13">
      <x:c r="A13" s="288" t="str">
        <x:v>Customers</x:v>
      </x:c>
      <x:c r="B13" s="39" t="str">
        <x:v>last_purchase_at</x:v>
      </x:c>
      <x:c r="C13" s="39" t="str">
        <x:v>آخرین خرید</x:v>
      </x:c>
      <x:c r="D13" s="39" t="str">
        <x:v>formula/date</x:v>
      </x:c>
      <x:c r="E13" s="39" t="str">
        <x:v>خیر</x:v>
      </x:c>
      <x:c r="F13" s="39" t="str"/>
      <x:c r="G13" s="39" t="str">
        <x:v>Orders.order_at</x:v>
      </x:c>
      <x:c r="H13" s="289" t="str"/>
    </x:row>
    <x:row r="14">
      <x:c r="A14" s="288" t="str">
        <x:v>Customers</x:v>
      </x:c>
      <x:c r="B14" s="39" t="str">
        <x:v>total_purchase</x:v>
      </x:c>
      <x:c r="C14" s="39" t="str">
        <x:v>جمع خرید (ریال)</x:v>
      </x:c>
      <x:c r="D14" s="39" t="str">
        <x:v>formula/integer</x:v>
      </x:c>
      <x:c r="E14" s="39" t="str">
        <x:v>خیر</x:v>
      </x:c>
      <x:c r="F14" s="39" t="str"/>
      <x:c r="G14" s="39" t="str">
        <x:v>Orders.final_amount</x:v>
      </x:c>
      <x:c r="H14" s="289" t="str"/>
    </x:row>
    <x:row r="15">
      <x:c r="A15" s="288" t="str">
        <x:v>Customers</x:v>
      </x:c>
      <x:c r="B15" s="39" t="str">
        <x:v>purchase_count</x:v>
      </x:c>
      <x:c r="C15" s="39" t="str">
        <x:v>تعداد خرید</x:v>
      </x:c>
      <x:c r="D15" s="39" t="str">
        <x:v>formula/integer</x:v>
      </x:c>
      <x:c r="E15" s="39" t="str">
        <x:v>خیر</x:v>
      </x:c>
      <x:c r="F15" s="39" t="str"/>
      <x:c r="G15" s="39" t="str"/>
      <x:c r="H15" s="289" t="str"/>
    </x:row>
    <x:row r="16">
      <x:c r="A16" s="288" t="str">
        <x:v>Customers</x:v>
      </x:c>
      <x:c r="B16" s="39" t="str">
        <x:v>last_interaction_at</x:v>
      </x:c>
      <x:c r="C16" s="39" t="str">
        <x:v>آخرین ارتباط</x:v>
      </x:c>
      <x:c r="D16" s="39" t="str">
        <x:v>formula/datetime</x:v>
      </x:c>
      <x:c r="E16" s="39" t="str">
        <x:v>خیر</x:v>
      </x:c>
      <x:c r="F16" s="39" t="str"/>
      <x:c r="G16" s="39" t="str">
        <x:v>Interactions.occurred_at</x:v>
      </x:c>
      <x:c r="H16" s="289" t="str"/>
    </x:row>
    <x:row r="17">
      <x:c r="A17" s="288" t="str">
        <x:v>Customers</x:v>
      </x:c>
      <x:c r="B17" s="39" t="str">
        <x:v>next_followup_at</x:v>
      </x:c>
      <x:c r="C17" s="39" t="str">
        <x:v>پیگیری بعدی</x:v>
      </x:c>
      <x:c r="D17" s="39" t="str">
        <x:v>formula/datetime</x:v>
      </x:c>
      <x:c r="E17" s="39" t="str">
        <x:v>خیر</x:v>
      </x:c>
      <x:c r="F17" s="39" t="str"/>
      <x:c r="G17" s="39" t="str">
        <x:v>FollowUps.due_at</x:v>
      </x:c>
      <x:c r="H17" s="289" t="str"/>
    </x:row>
    <x:row r="18">
      <x:c r="A18" s="288" t="str">
        <x:v>Customers</x:v>
      </x:c>
      <x:c r="B18" s="39" t="str">
        <x:v>customer_score</x:v>
      </x:c>
      <x:c r="C18" s="39" t="str">
        <x:v>امتیاز</x:v>
      </x:c>
      <x:c r="D18" s="39" t="str">
        <x:v>integer</x:v>
      </x:c>
      <x:c r="E18" s="39" t="str">
        <x:v>خیر</x:v>
      </x:c>
      <x:c r="F18" s="39" t="str">
        <x:v>0..100</x:v>
      </x:c>
      <x:c r="G18" s="39" t="str"/>
      <x:c r="H18" s="289" t="str"/>
    </x:row>
    <x:row r="19">
      <x:c r="A19" s="288" t="str">
        <x:v>Customers</x:v>
      </x:c>
      <x:c r="B19" s="39" t="str">
        <x:v>segment</x:v>
      </x:c>
      <x:c r="C19" s="39" t="str">
        <x:v>گروه امتیازی</x:v>
      </x:c>
      <x:c r="D19" s="39" t="str">
        <x:v>enum</x:v>
      </x:c>
      <x:c r="E19" s="39" t="str">
        <x:v>خیر</x:v>
      </x:c>
      <x:c r="F19" s="39" t="str">
        <x:v>vip,loyal,active,new,needs_attention,at_risk,inactive</x:v>
      </x:c>
      <x:c r="G19" s="39" t="str"/>
      <x:c r="H19" s="289" t="str"/>
    </x:row>
    <x:row r="20">
      <x:c r="A20" s="288" t="str">
        <x:v>Customers</x:v>
      </x:c>
      <x:c r="B20" s="39" t="str">
        <x:v>source_first</x:v>
      </x:c>
      <x:c r="C20" s="39" t="str">
        <x:v>اولین کانال</x:v>
      </x:c>
      <x:c r="D20" s="39" t="str">
        <x:v>enum</x:v>
      </x:c>
      <x:c r="E20" s="39" t="str">
        <x:v>خیر</x:v>
      </x:c>
      <x:c r="F20" s="39" t="str"/>
      <x:c r="G20" s="39" t="str"/>
      <x:c r="H20" s="289" t="str"/>
    </x:row>
    <x:row r="21">
      <x:c r="A21" s="288" t="str">
        <x:v>Customers</x:v>
      </x:c>
      <x:c r="B21" s="39" t="str">
        <x:v>preferred_products</x:v>
      </x:c>
      <x:c r="C21" s="39" t="str">
        <x:v>علاقه‌مندی</x:v>
      </x:c>
      <x:c r="D21" s="39" t="str">
        <x:v>text/IDs</x:v>
      </x:c>
      <x:c r="E21" s="39" t="str">
        <x:v>خیر</x:v>
      </x:c>
      <x:c r="F21" s="39" t="str"/>
      <x:c r="G21" s="39" t="str">
        <x:v>Products.product_id</x:v>
      </x:c>
      <x:c r="H21" s="289" t="str"/>
    </x:row>
    <x:row r="22">
      <x:c r="A22" s="288" t="str">
        <x:v>Customers</x:v>
      </x:c>
      <x:c r="B22" s="39" t="str">
        <x:v>tags</x:v>
      </x:c>
      <x:c r="C22" s="39" t="str">
        <x:v>برچسب‌ها</x:v>
      </x:c>
      <x:c r="D22" s="39" t="str">
        <x:v>text</x:v>
      </x:c>
      <x:c r="E22" s="39" t="str">
        <x:v>خیر</x:v>
      </x:c>
      <x:c r="F22" s="39" t="str"/>
      <x:c r="G22" s="39" t="str"/>
      <x:c r="H22" s="289" t="str"/>
    </x:row>
    <x:row r="23">
      <x:c r="A23" s="288" t="str">
        <x:v>Customers</x:v>
      </x:c>
      <x:c r="B23" s="39" t="str">
        <x:v>notes</x:v>
      </x:c>
      <x:c r="C23" s="39" t="str">
        <x:v>توضیحات</x:v>
      </x:c>
      <x:c r="D23" s="39" t="str">
        <x:v>long text</x:v>
      </x:c>
      <x:c r="E23" s="39" t="str">
        <x:v>خیر</x:v>
      </x:c>
      <x:c r="F23" s="39" t="str"/>
      <x:c r="G23" s="39" t="str"/>
      <x:c r="H23" s="289" t="str"/>
    </x:row>
    <x:row r="24">
      <x:c r="A24" s="288" t="str">
        <x:v>Customers</x:v>
      </x:c>
      <x:c r="B24" s="39" t="str">
        <x:v>created_at</x:v>
      </x:c>
      <x:c r="C24" s="39" t="str">
        <x:v>زمان ایجاد</x:v>
      </x:c>
      <x:c r="D24" s="39" t="str">
        <x:v>datetime</x:v>
      </x:c>
      <x:c r="E24" s="39" t="str">
        <x:v>بله</x:v>
      </x:c>
      <x:c r="F24" s="39" t="str"/>
      <x:c r="G24" s="39" t="str"/>
      <x:c r="H24" s="289" t="str"/>
    </x:row>
    <x:row r="25">
      <x:c r="A25" s="288" t="str">
        <x:v>Customers</x:v>
      </x:c>
      <x:c r="B25" s="39" t="str">
        <x:v>created_by</x:v>
      </x:c>
      <x:c r="C25" s="39" t="str">
        <x:v>ایجادکننده</x:v>
      </x:c>
      <x:c r="D25" s="39" t="str">
        <x:v>FK</x:v>
      </x:c>
      <x:c r="E25" s="39" t="str">
        <x:v>بله</x:v>
      </x:c>
      <x:c r="F25" s="39" t="str"/>
      <x:c r="G25" s="39" t="str">
        <x:v>Users.user_id</x:v>
      </x:c>
      <x:c r="H25" s="289" t="str"/>
    </x:row>
    <x:row r="26">
      <x:c r="A26" s="288" t="str">
        <x:v>Customers</x:v>
      </x:c>
      <x:c r="B26" s="39" t="str">
        <x:v>updated_at</x:v>
      </x:c>
      <x:c r="C26" s="39" t="str">
        <x:v>آخرین تغییر</x:v>
      </x:c>
      <x:c r="D26" s="39" t="str">
        <x:v>datetime</x:v>
      </x:c>
      <x:c r="E26" s="39" t="str">
        <x:v>بله</x:v>
      </x:c>
      <x:c r="F26" s="39" t="str"/>
      <x:c r="G26" s="39" t="str"/>
      <x:c r="H26" s="289" t="str"/>
    </x:row>
    <x:row r="27">
      <x:c r="A27" s="288" t="str">
        <x:v>Customers</x:v>
      </x:c>
      <x:c r="B27" s="39" t="str">
        <x:v>updated_by</x:v>
      </x:c>
      <x:c r="C27" s="39" t="str">
        <x:v>تغییردهنده</x:v>
      </x:c>
      <x:c r="D27" s="39" t="str">
        <x:v>FK</x:v>
      </x:c>
      <x:c r="E27" s="39" t="str">
        <x:v>بله</x:v>
      </x:c>
      <x:c r="F27" s="39" t="str"/>
      <x:c r="G27" s="39" t="str">
        <x:v>Users.user_id</x:v>
      </x:c>
      <x:c r="H27" s="289" t="str"/>
    </x:row>
    <x:row r="28">
      <x:c r="A28" s="288" t="str">
        <x:v>Customers</x:v>
      </x:c>
      <x:c r="B28" s="39" t="str">
        <x:v>is_deleted</x:v>
      </x:c>
      <x:c r="C28" s="39" t="str">
        <x:v>حذف نرم</x:v>
      </x:c>
      <x:c r="D28" s="39" t="str">
        <x:v>boolean</x:v>
      </x:c>
      <x:c r="E28" s="39" t="str">
        <x:v>بله</x:v>
      </x:c>
      <x:c r="F28" s="39" t="str">
        <x:v>TRUE,FALSE</x:v>
      </x:c>
      <x:c r="G28" s="39" t="str"/>
      <x:c r="H28" s="289" t="str"/>
    </x:row>
    <x:row r="29">
      <x:c r="A29" s="288" t="str">
        <x:v>Leads</x:v>
      </x:c>
      <x:c r="B29" s="39" t="str">
        <x:v>lead_id</x:v>
      </x:c>
      <x:c r="C29" s="39" t="str">
        <x:v>شناسه استعلام</x:v>
      </x:c>
      <x:c r="D29" s="39" t="str">
        <x:v>UUID</x:v>
      </x:c>
      <x:c r="E29" s="39" t="str">
        <x:v>بله</x:v>
      </x:c>
      <x:c r="F29" s="39" t="str"/>
      <x:c r="G29" s="39" t="str"/>
      <x:c r="H29" s="289" t="str"/>
    </x:row>
    <x:row r="30">
      <x:c r="A30" s="288" t="str">
        <x:v>Leads</x:v>
      </x:c>
      <x:c r="B30" s="39" t="str">
        <x:v>customer_id</x:v>
      </x:c>
      <x:c r="C30" s="39" t="str">
        <x:v>مشتری</x:v>
      </x:c>
      <x:c r="D30" s="39" t="str">
        <x:v>FK</x:v>
      </x:c>
      <x:c r="E30" s="39" t="str">
        <x:v>خیر</x:v>
      </x:c>
      <x:c r="F30" s="39" t="str"/>
      <x:c r="G30" s="39" t="str">
        <x:v>Customers.customer_id</x:v>
      </x:c>
      <x:c r="H30" s="289" t="str"/>
    </x:row>
    <x:row r="31">
      <x:c r="A31" s="288" t="str">
        <x:v>Leads</x:v>
      </x:c>
      <x:c r="B31" s="39" t="str">
        <x:v>source_channel</x:v>
      </x:c>
      <x:c r="C31" s="39" t="str">
        <x:v>کانال ورودی</x:v>
      </x:c>
      <x:c r="D31" s="39" t="str">
        <x:v>enum</x:v>
      </x:c>
      <x:c r="E31" s="39" t="str">
        <x:v>بله</x:v>
      </x:c>
      <x:c r="F31" s="39" t="str"/>
      <x:c r="G31" s="39" t="str"/>
      <x:c r="H31" s="289" t="str"/>
    </x:row>
    <x:row r="32">
      <x:c r="A32" s="288" t="str">
        <x:v>Leads</x:v>
      </x:c>
      <x:c r="B32" s="39" t="str">
        <x:v>campaign_id</x:v>
      </x:c>
      <x:c r="C32" s="39" t="str">
        <x:v>کمپین</x:v>
      </x:c>
      <x:c r="D32" s="39" t="str">
        <x:v>FK</x:v>
      </x:c>
      <x:c r="E32" s="39" t="str">
        <x:v>خیر</x:v>
      </x:c>
      <x:c r="F32" s="39" t="str"/>
      <x:c r="G32" s="39" t="str">
        <x:v>Campaigns.campaign_id</x:v>
      </x:c>
      <x:c r="H32" s="289" t="str"/>
    </x:row>
    <x:row r="33">
      <x:c r="A33" s="288" t="str">
        <x:v>Leads</x:v>
      </x:c>
      <x:c r="B33" s="39" t="str">
        <x:v>external_message_id</x:v>
      </x:c>
      <x:c r="C33" s="39" t="str">
        <x:v>شناسه پیام بیرونی</x:v>
      </x:c>
      <x:c r="D33" s="39" t="str">
        <x:v>text</x:v>
      </x:c>
      <x:c r="E33" s="39" t="str">
        <x:v>خیر</x:v>
      </x:c>
      <x:c r="F33" s="39" t="str"/>
      <x:c r="G33" s="39" t="str"/>
      <x:c r="H33" s="289" t="str"/>
    </x:row>
    <x:row r="34">
      <x:c r="A34" s="288" t="str">
        <x:v>Leads</x:v>
      </x:c>
      <x:c r="B34" s="39" t="str">
        <x:v>subject</x:v>
      </x:c>
      <x:c r="C34" s="39" t="str">
        <x:v>موضوع</x:v>
      </x:c>
      <x:c r="D34" s="39" t="str">
        <x:v>text</x:v>
      </x:c>
      <x:c r="E34" s="39" t="str">
        <x:v>بله</x:v>
      </x:c>
      <x:c r="F34" s="39" t="str"/>
      <x:c r="G34" s="39" t="str"/>
      <x:c r="H34" s="289" t="str"/>
    </x:row>
    <x:row r="35">
      <x:c r="A35" s="288" t="str">
        <x:v>Leads</x:v>
      </x:c>
      <x:c r="B35" s="39" t="str">
        <x:v>details</x:v>
      </x:c>
      <x:c r="C35" s="39" t="str">
        <x:v>جزئیات</x:v>
      </x:c>
      <x:c r="D35" s="39" t="str">
        <x:v>long text</x:v>
      </x:c>
      <x:c r="E35" s="39" t="str">
        <x:v>خیر</x:v>
      </x:c>
      <x:c r="F35" s="39" t="str"/>
      <x:c r="G35" s="39" t="str"/>
      <x:c r="H35" s="289" t="str"/>
    </x:row>
    <x:row r="36">
      <x:c r="A36" s="288" t="str">
        <x:v>Leads</x:v>
      </x:c>
      <x:c r="B36" s="39" t="str">
        <x:v>received_at</x:v>
      </x:c>
      <x:c r="C36" s="39" t="str">
        <x:v>زمان ورود</x:v>
      </x:c>
      <x:c r="D36" s="39" t="str">
        <x:v>datetime</x:v>
      </x:c>
      <x:c r="E36" s="39" t="str">
        <x:v>بله</x:v>
      </x:c>
      <x:c r="F36" s="39" t="str"/>
      <x:c r="G36" s="39" t="str"/>
      <x:c r="H36" s="289" t="str"/>
    </x:row>
    <x:row r="37">
      <x:c r="A37" s="288" t="str">
        <x:v>Leads</x:v>
      </x:c>
      <x:c r="B37" s="39" t="str">
        <x:v>assigned_user_id</x:v>
      </x:c>
      <x:c r="C37" s="39" t="str">
        <x:v>فروشنده</x:v>
      </x:c>
      <x:c r="D37" s="39" t="str">
        <x:v>FK</x:v>
      </x:c>
      <x:c r="E37" s="39" t="str">
        <x:v>بله</x:v>
      </x:c>
      <x:c r="F37" s="39" t="str"/>
      <x:c r="G37" s="39" t="str">
        <x:v>Users.user_id</x:v>
      </x:c>
      <x:c r="H37" s="289" t="str"/>
    </x:row>
    <x:row r="38">
      <x:c r="A38" s="288" t="str">
        <x:v>Leads</x:v>
      </x:c>
      <x:c r="B38" s="39" t="str">
        <x:v>qualification_status</x:v>
      </x:c>
      <x:c r="C38" s="39" t="str">
        <x:v>نتیجه بررسی</x:v>
      </x:c>
      <x:c r="D38" s="39" t="str">
        <x:v>enum</x:v>
      </x:c>
      <x:c r="E38" s="39" t="str">
        <x:v>بله</x:v>
      </x:c>
      <x:c r="F38" s="39" t="str">
        <x:v>new,qualified,unqualified,converted</x:v>
      </x:c>
      <x:c r="G38" s="39" t="str"/>
      <x:c r="H38" s="289" t="str"/>
    </x:row>
    <x:row r="39">
      <x:c r="A39" s="288" t="str">
        <x:v>Leads</x:v>
      </x:c>
      <x:c r="B39" s="39" t="str">
        <x:v>qualification_reason</x:v>
      </x:c>
      <x:c r="C39" s="39" t="str">
        <x:v>دلیل</x:v>
      </x:c>
      <x:c r="D39" s="39" t="str">
        <x:v>text</x:v>
      </x:c>
      <x:c r="E39" s="39" t="str">
        <x:v>خیر</x:v>
      </x:c>
      <x:c r="F39" s="39" t="str"/>
      <x:c r="G39" s="39" t="str"/>
      <x:c r="H39" s="289" t="str"/>
    </x:row>
    <x:row r="40">
      <x:c r="A40" s="288" t="str">
        <x:v>Leads</x:v>
      </x:c>
      <x:c r="B40" s="39" t="str">
        <x:v>opportunity_id</x:v>
      </x:c>
      <x:c r="C40" s="39" t="str">
        <x:v>فرصت ساخته‌شده</x:v>
      </x:c>
      <x:c r="D40" s="39" t="str">
        <x:v>FK</x:v>
      </x:c>
      <x:c r="E40" s="39" t="str">
        <x:v>خیر</x:v>
      </x:c>
      <x:c r="F40" s="39" t="str"/>
      <x:c r="G40" s="39" t="str">
        <x:v>Opportunities.opportunity_id</x:v>
      </x:c>
      <x:c r="H40" s="289" t="str"/>
    </x:row>
    <x:row r="41">
      <x:c r="A41" s="288" t="str">
        <x:v>Leads</x:v>
      </x:c>
      <x:c r="B41" s="39" t="str">
        <x:v>created_at</x:v>
      </x:c>
      <x:c r="C41" s="39" t="str">
        <x:v>زمان ایجاد</x:v>
      </x:c>
      <x:c r="D41" s="39" t="str">
        <x:v>datetime</x:v>
      </x:c>
      <x:c r="E41" s="39" t="str">
        <x:v>بله</x:v>
      </x:c>
      <x:c r="F41" s="39" t="str"/>
      <x:c r="G41" s="39" t="str"/>
      <x:c r="H41" s="289" t="str"/>
    </x:row>
    <x:row r="42">
      <x:c r="A42" s="288" t="str">
        <x:v>Leads</x:v>
      </x:c>
      <x:c r="B42" s="39" t="str">
        <x:v>created_by</x:v>
      </x:c>
      <x:c r="C42" s="39" t="str">
        <x:v>ایجادکننده</x:v>
      </x:c>
      <x:c r="D42" s="39" t="str">
        <x:v>FK</x:v>
      </x:c>
      <x:c r="E42" s="39" t="str">
        <x:v>بله</x:v>
      </x:c>
      <x:c r="F42" s="39" t="str"/>
      <x:c r="G42" s="39" t="str">
        <x:v>Users.user_id</x:v>
      </x:c>
      <x:c r="H42" s="289" t="str"/>
    </x:row>
    <x:row r="43">
      <x:c r="A43" s="288" t="str">
        <x:v>Leads</x:v>
      </x:c>
      <x:c r="B43" s="39" t="str">
        <x:v>updated_at</x:v>
      </x:c>
      <x:c r="C43" s="39" t="str">
        <x:v>آخرین تغییر</x:v>
      </x:c>
      <x:c r="D43" s="39" t="str">
        <x:v>datetime</x:v>
      </x:c>
      <x:c r="E43" s="39" t="str">
        <x:v>بله</x:v>
      </x:c>
      <x:c r="F43" s="39" t="str"/>
      <x:c r="G43" s="39" t="str"/>
      <x:c r="H43" s="289" t="str"/>
    </x:row>
    <x:row r="44">
      <x:c r="A44" s="288" t="str">
        <x:v>Leads</x:v>
      </x:c>
      <x:c r="B44" s="39" t="str">
        <x:v>updated_by</x:v>
      </x:c>
      <x:c r="C44" s="39" t="str">
        <x:v>تغییردهنده</x:v>
      </x:c>
      <x:c r="D44" s="39" t="str">
        <x:v>FK</x:v>
      </x:c>
      <x:c r="E44" s="39" t="str">
        <x:v>بله</x:v>
      </x:c>
      <x:c r="F44" s="39" t="str"/>
      <x:c r="G44" s="39" t="str">
        <x:v>Users.user_id</x:v>
      </x:c>
      <x:c r="H44" s="289" t="str"/>
    </x:row>
    <x:row r="45">
      <x:c r="A45" s="288" t="str">
        <x:v>Leads</x:v>
      </x:c>
      <x:c r="B45" s="39" t="str">
        <x:v>is_deleted</x:v>
      </x:c>
      <x:c r="C45" s="39" t="str">
        <x:v>حذف نرم</x:v>
      </x:c>
      <x:c r="D45" s="39" t="str">
        <x:v>boolean</x:v>
      </x:c>
      <x:c r="E45" s="39" t="str">
        <x:v>بله</x:v>
      </x:c>
      <x:c r="F45" s="39" t="str">
        <x:v>TRUE,FALSE</x:v>
      </x:c>
      <x:c r="G45" s="39" t="str"/>
      <x:c r="H45" s="289" t="str"/>
    </x:row>
    <x:row r="46">
      <x:c r="A46" s="288" t="str">
        <x:v>Opportunities</x:v>
      </x:c>
      <x:c r="B46" s="39" t="str">
        <x:v>opportunity_id</x:v>
      </x:c>
      <x:c r="C46" s="39" t="str">
        <x:v>شناسه فرصت</x:v>
      </x:c>
      <x:c r="D46" s="39" t="str">
        <x:v>UUID</x:v>
      </x:c>
      <x:c r="E46" s="39" t="str">
        <x:v>بله</x:v>
      </x:c>
      <x:c r="F46" s="39" t="str"/>
      <x:c r="G46" s="39" t="str"/>
      <x:c r="H46" s="289" t="str"/>
    </x:row>
    <x:row r="47">
      <x:c r="A47" s="288" t="str">
        <x:v>Opportunities</x:v>
      </x:c>
      <x:c r="B47" s="39" t="str">
        <x:v>customer_id</x:v>
      </x:c>
      <x:c r="C47" s="39" t="str">
        <x:v>مشتری</x:v>
      </x:c>
      <x:c r="D47" s="39" t="str">
        <x:v>FK</x:v>
      </x:c>
      <x:c r="E47" s="39" t="str">
        <x:v>بله</x:v>
      </x:c>
      <x:c r="F47" s="39" t="str"/>
      <x:c r="G47" s="39" t="str">
        <x:v>Customers.customer_id</x:v>
      </x:c>
      <x:c r="H47" s="289" t="str"/>
    </x:row>
    <x:row r="48">
      <x:c r="A48" s="288" t="str">
        <x:v>Opportunities</x:v>
      </x:c>
      <x:c r="B48" s="39" t="str">
        <x:v>lead_id</x:v>
      </x:c>
      <x:c r="C48" s="39" t="str">
        <x:v>استعلام اولیه</x:v>
      </x:c>
      <x:c r="D48" s="39" t="str">
        <x:v>FK</x:v>
      </x:c>
      <x:c r="E48" s="39" t="str">
        <x:v>خیر</x:v>
      </x:c>
      <x:c r="F48" s="39" t="str"/>
      <x:c r="G48" s="39" t="str">
        <x:v>Leads.lead_id</x:v>
      </x:c>
      <x:c r="H48" s="289" t="str"/>
    </x:row>
    <x:row r="49">
      <x:c r="A49" s="288" t="str">
        <x:v>Opportunities</x:v>
      </x:c>
      <x:c r="B49" s="39" t="str">
        <x:v>title</x:v>
      </x:c>
      <x:c r="C49" s="39" t="str">
        <x:v>عنوان فرصت</x:v>
      </x:c>
      <x:c r="D49" s="39" t="str">
        <x:v>text</x:v>
      </x:c>
      <x:c r="E49" s="39" t="str">
        <x:v>بله</x:v>
      </x:c>
      <x:c r="F49" s="39" t="str"/>
      <x:c r="G49" s="39" t="str"/>
      <x:c r="H49" s="289" t="str"/>
    </x:row>
    <x:row r="50">
      <x:c r="A50" s="288" t="str">
        <x:v>Opportunities</x:v>
      </x:c>
      <x:c r="B50" s="39" t="str">
        <x:v>pipeline_id</x:v>
      </x:c>
      <x:c r="C50" s="39" t="str">
        <x:v>فرایند</x:v>
      </x:c>
      <x:c r="D50" s="39" t="str">
        <x:v>FK</x:v>
      </x:c>
      <x:c r="E50" s="39" t="str">
        <x:v>بله</x:v>
      </x:c>
      <x:c r="F50" s="39" t="str"/>
      <x:c r="G50" s="39" t="str">
        <x:v>PipelineStages.pipeline_id</x:v>
      </x:c>
      <x:c r="H50" s="289" t="str"/>
    </x:row>
    <x:row r="51">
      <x:c r="A51" s="288" t="str">
        <x:v>Opportunities</x:v>
      </x:c>
      <x:c r="B51" s="39" t="str">
        <x:v>stage_code</x:v>
      </x:c>
      <x:c r="C51" s="39" t="str">
        <x:v>مرحله قیف</x:v>
      </x:c>
      <x:c r="D51" s="39" t="str">
        <x:v>FK</x:v>
      </x:c>
      <x:c r="E51" s="39" t="str">
        <x:v>بله</x:v>
      </x:c>
      <x:c r="F51" s="39" t="str"/>
      <x:c r="G51" s="39" t="str">
        <x:v>PipelineStages.stage_code</x:v>
      </x:c>
      <x:c r="H51" s="289" t="str"/>
    </x:row>
    <x:row r="52">
      <x:c r="A52" s="288" t="str">
        <x:v>Opportunities</x:v>
      </x:c>
      <x:c r="B52" s="39" t="str">
        <x:v>owner_user_id</x:v>
      </x:c>
      <x:c r="C52" s="39" t="str">
        <x:v>مسئول</x:v>
      </x:c>
      <x:c r="D52" s="39" t="str">
        <x:v>FK</x:v>
      </x:c>
      <x:c r="E52" s="39" t="str">
        <x:v>بله</x:v>
      </x:c>
      <x:c r="F52" s="39" t="str"/>
      <x:c r="G52" s="39" t="str">
        <x:v>Users.user_id</x:v>
      </x:c>
      <x:c r="H52" s="289" t="str"/>
    </x:row>
    <x:row r="53">
      <x:c r="A53" s="288" t="str">
        <x:v>Opportunities</x:v>
      </x:c>
      <x:c r="B53" s="39" t="str">
        <x:v>expected_value</x:v>
      </x:c>
      <x:c r="C53" s="39" t="str">
        <x:v>ارزش احتمالی (ریال)</x:v>
      </x:c>
      <x:c r="D53" s="39" t="str">
        <x:v>integer</x:v>
      </x:c>
      <x:c r="E53" s="39" t="str">
        <x:v>خیر</x:v>
      </x:c>
      <x:c r="F53" s="39" t="str"/>
      <x:c r="G53" s="39" t="str"/>
      <x:c r="H53" s="289" t="str"/>
    </x:row>
    <x:row r="54">
      <x:c r="A54" s="288" t="str">
        <x:v>Opportunities</x:v>
      </x:c>
      <x:c r="B54" s="39" t="str">
        <x:v>probability</x:v>
      </x:c>
      <x:c r="C54" s="39" t="str">
        <x:v>احتمال برد</x:v>
      </x:c>
      <x:c r="D54" s="39" t="str">
        <x:v>percent</x:v>
      </x:c>
      <x:c r="E54" s="39" t="str">
        <x:v>خیر</x:v>
      </x:c>
      <x:c r="F54" s="39" t="str"/>
      <x:c r="G54" s="39" t="str"/>
      <x:c r="H54" s="289" t="str"/>
    </x:row>
    <x:row r="55">
      <x:c r="A55" s="288" t="str">
        <x:v>Opportunities</x:v>
      </x:c>
      <x:c r="B55" s="39" t="str">
        <x:v>expected_close_at</x:v>
      </x:c>
      <x:c r="C55" s="39" t="str">
        <x:v>تاریخ پایان مورد انتظار</x:v>
      </x:c>
      <x:c r="D55" s="39" t="str">
        <x:v>date</x:v>
      </x:c>
      <x:c r="E55" s="39" t="str">
        <x:v>خیر</x:v>
      </x:c>
      <x:c r="F55" s="39" t="str"/>
      <x:c r="G55" s="39" t="str"/>
      <x:c r="H55" s="289" t="str"/>
    </x:row>
    <x:row r="56">
      <x:c r="A56" s="288" t="str">
        <x:v>Opportunities</x:v>
      </x:c>
      <x:c r="B56" s="39" t="str">
        <x:v>next_action</x:v>
      </x:c>
      <x:c r="C56" s="39" t="str">
        <x:v>اقدام بعدی</x:v>
      </x:c>
      <x:c r="D56" s="39" t="str">
        <x:v>text</x:v>
      </x:c>
      <x:c r="E56" s="39" t="str">
        <x:v>بله</x:v>
      </x:c>
      <x:c r="F56" s="39" t="str"/>
      <x:c r="G56" s="39" t="str"/>
      <x:c r="H56" s="289" t="str"/>
    </x:row>
    <x:row r="57">
      <x:c r="A57" s="288" t="str">
        <x:v>Opportunities</x:v>
      </x:c>
      <x:c r="B57" s="39" t="str">
        <x:v>next_followup_at</x:v>
      </x:c>
      <x:c r="C57" s="39" t="str">
        <x:v>پیگیری بعدی</x:v>
      </x:c>
      <x:c r="D57" s="39" t="str">
        <x:v>datetime</x:v>
      </x:c>
      <x:c r="E57" s="39" t="str">
        <x:v>بله</x:v>
      </x:c>
      <x:c r="F57" s="39" t="str"/>
      <x:c r="G57" s="39" t="str"/>
      <x:c r="H57" s="289" t="str"/>
    </x:row>
    <x:row r="58">
      <x:c r="A58" s="288" t="str">
        <x:v>Opportunities</x:v>
      </x:c>
      <x:c r="B58" s="39" t="str">
        <x:v>lost_reason_code</x:v>
      </x:c>
      <x:c r="C58" s="39" t="str">
        <x:v>دلیل باخت</x:v>
      </x:c>
      <x:c r="D58" s="39" t="str">
        <x:v>FK</x:v>
      </x:c>
      <x:c r="E58" s="39" t="str">
        <x:v>خیر</x:v>
      </x:c>
      <x:c r="F58" s="39" t="str"/>
      <x:c r="G58" s="39" t="str">
        <x:v>FailureReasons.reason_code</x:v>
      </x:c>
      <x:c r="H58" s="289" t="str"/>
    </x:row>
    <x:row r="59">
      <x:c r="A59" s="288" t="str">
        <x:v>Opportunities</x:v>
      </x:c>
      <x:c r="B59" s="39" t="str">
        <x:v>closed_at</x:v>
      </x:c>
      <x:c r="C59" s="39" t="str">
        <x:v>زمان بسته‌شدن</x:v>
      </x:c>
      <x:c r="D59" s="39" t="str">
        <x:v>datetime</x:v>
      </x:c>
      <x:c r="E59" s="39" t="str">
        <x:v>خیر</x:v>
      </x:c>
      <x:c r="F59" s="39" t="str"/>
      <x:c r="G59" s="39" t="str"/>
      <x:c r="H59" s="289" t="str"/>
    </x:row>
    <x:row r="60">
      <x:c r="A60" s="288" t="str">
        <x:v>Opportunities</x:v>
      </x:c>
      <x:c r="B60" s="39" t="str">
        <x:v>quotation_id</x:v>
      </x:c>
      <x:c r="C60" s="39" t="str">
        <x:v>آخرین پیش‌فاکتور</x:v>
      </x:c>
      <x:c r="D60" s="39" t="str">
        <x:v>FK</x:v>
      </x:c>
      <x:c r="E60" s="39" t="str">
        <x:v>خیر</x:v>
      </x:c>
      <x:c r="F60" s="39" t="str"/>
      <x:c r="G60" s="39" t="str">
        <x:v>Quotations.quotation_id</x:v>
      </x:c>
      <x:c r="H60" s="289" t="str"/>
    </x:row>
    <x:row r="61">
      <x:c r="A61" s="288" t="str">
        <x:v>Opportunities</x:v>
      </x:c>
      <x:c r="B61" s="39" t="str">
        <x:v>created_at</x:v>
      </x:c>
      <x:c r="C61" s="39" t="str">
        <x:v>زمان ایجاد</x:v>
      </x:c>
      <x:c r="D61" s="39" t="str">
        <x:v>datetime</x:v>
      </x:c>
      <x:c r="E61" s="39" t="str">
        <x:v>بله</x:v>
      </x:c>
      <x:c r="F61" s="39" t="str"/>
      <x:c r="G61" s="39" t="str"/>
      <x:c r="H61" s="289" t="str"/>
    </x:row>
    <x:row r="62">
      <x:c r="A62" s="288" t="str">
        <x:v>Opportunities</x:v>
      </x:c>
      <x:c r="B62" s="39" t="str">
        <x:v>created_by</x:v>
      </x:c>
      <x:c r="C62" s="39" t="str">
        <x:v>ایجادکننده</x:v>
      </x:c>
      <x:c r="D62" s="39" t="str">
        <x:v>FK</x:v>
      </x:c>
      <x:c r="E62" s="39" t="str">
        <x:v>بله</x:v>
      </x:c>
      <x:c r="F62" s="39" t="str"/>
      <x:c r="G62" s="39" t="str">
        <x:v>Users.user_id</x:v>
      </x:c>
      <x:c r="H62" s="289" t="str"/>
    </x:row>
    <x:row r="63">
      <x:c r="A63" s="288" t="str">
        <x:v>Opportunities</x:v>
      </x:c>
      <x:c r="B63" s="39" t="str">
        <x:v>updated_at</x:v>
      </x:c>
      <x:c r="C63" s="39" t="str">
        <x:v>آخرین تغییر</x:v>
      </x:c>
      <x:c r="D63" s="39" t="str">
        <x:v>datetime</x:v>
      </x:c>
      <x:c r="E63" s="39" t="str">
        <x:v>بله</x:v>
      </x:c>
      <x:c r="F63" s="39" t="str"/>
      <x:c r="G63" s="39" t="str"/>
      <x:c r="H63" s="289" t="str"/>
    </x:row>
    <x:row r="64">
      <x:c r="A64" s="288" t="str">
        <x:v>Opportunities</x:v>
      </x:c>
      <x:c r="B64" s="39" t="str">
        <x:v>updated_by</x:v>
      </x:c>
      <x:c r="C64" s="39" t="str">
        <x:v>تغییردهنده</x:v>
      </x:c>
      <x:c r="D64" s="39" t="str">
        <x:v>FK</x:v>
      </x:c>
      <x:c r="E64" s="39" t="str">
        <x:v>بله</x:v>
      </x:c>
      <x:c r="F64" s="39" t="str"/>
      <x:c r="G64" s="39" t="str">
        <x:v>Users.user_id</x:v>
      </x:c>
      <x:c r="H64" s="289" t="str"/>
    </x:row>
    <x:row r="65">
      <x:c r="A65" s="288" t="str">
        <x:v>Opportunities</x:v>
      </x:c>
      <x:c r="B65" s="39" t="str">
        <x:v>is_deleted</x:v>
      </x:c>
      <x:c r="C65" s="39" t="str">
        <x:v>حذف نرم</x:v>
      </x:c>
      <x:c r="D65" s="39" t="str">
        <x:v>boolean</x:v>
      </x:c>
      <x:c r="E65" s="39" t="str">
        <x:v>بله</x:v>
      </x:c>
      <x:c r="F65" s="39" t="str">
        <x:v>TRUE,FALSE</x:v>
      </x:c>
      <x:c r="G65" s="39" t="str"/>
      <x:c r="H65" s="289" t="str"/>
    </x:row>
    <x:row r="66">
      <x:c r="A66" s="288" t="str">
        <x:v>FollowUps</x:v>
      </x:c>
      <x:c r="B66" s="39" t="str">
        <x:v>followup_id</x:v>
      </x:c>
      <x:c r="C66" s="39" t="str">
        <x:v>شناسه پیگیری</x:v>
      </x:c>
      <x:c r="D66" s="39" t="str">
        <x:v>UUID</x:v>
      </x:c>
      <x:c r="E66" s="39" t="str">
        <x:v>بله</x:v>
      </x:c>
      <x:c r="F66" s="39" t="str"/>
      <x:c r="G66" s="39" t="str"/>
      <x:c r="H66" s="289" t="str"/>
    </x:row>
    <x:row r="67">
      <x:c r="A67" s="288" t="str">
        <x:v>FollowUps</x:v>
      </x:c>
      <x:c r="B67" s="39" t="str">
        <x:v>customer_id</x:v>
      </x:c>
      <x:c r="C67" s="39" t="str">
        <x:v>مشتری</x:v>
      </x:c>
      <x:c r="D67" s="39" t="str">
        <x:v>FK</x:v>
      </x:c>
      <x:c r="E67" s="39" t="str">
        <x:v>بله</x:v>
      </x:c>
      <x:c r="F67" s="39" t="str"/>
      <x:c r="G67" s="39" t="str">
        <x:v>Customers.customer_id</x:v>
      </x:c>
      <x:c r="H67" s="289" t="str"/>
    </x:row>
    <x:row r="68">
      <x:c r="A68" s="288" t="str">
        <x:v>FollowUps</x:v>
      </x:c>
      <x:c r="B68" s="39" t="str">
        <x:v>opportunity_id</x:v>
      </x:c>
      <x:c r="C68" s="39" t="str">
        <x:v>فرصت</x:v>
      </x:c>
      <x:c r="D68" s="39" t="str">
        <x:v>FK</x:v>
      </x:c>
      <x:c r="E68" s="39" t="str">
        <x:v>خیر</x:v>
      </x:c>
      <x:c r="F68" s="39" t="str"/>
      <x:c r="G68" s="39" t="str">
        <x:v>Opportunities.opportunity_id</x:v>
      </x:c>
      <x:c r="H68" s="289" t="str"/>
    </x:row>
    <x:row r="69">
      <x:c r="A69" s="288" t="str">
        <x:v>FollowUps</x:v>
      </x:c>
      <x:c r="B69" s="39" t="str">
        <x:v>assigned_user_id</x:v>
      </x:c>
      <x:c r="C69" s="39" t="str">
        <x:v>مسئول</x:v>
      </x:c>
      <x:c r="D69" s="39" t="str">
        <x:v>FK</x:v>
      </x:c>
      <x:c r="E69" s="39" t="str">
        <x:v>بله</x:v>
      </x:c>
      <x:c r="F69" s="39" t="str"/>
      <x:c r="G69" s="39" t="str">
        <x:v>Users.user_id</x:v>
      </x:c>
      <x:c r="H69" s="289" t="str"/>
    </x:row>
    <x:row r="70">
      <x:c r="A70" s="288" t="str">
        <x:v>FollowUps</x:v>
      </x:c>
      <x:c r="B70" s="39" t="str">
        <x:v>due_at</x:v>
      </x:c>
      <x:c r="C70" s="39" t="str">
        <x:v>موعد پیگیری</x:v>
      </x:c>
      <x:c r="D70" s="39" t="str">
        <x:v>datetime</x:v>
      </x:c>
      <x:c r="E70" s="39" t="str">
        <x:v>بله</x:v>
      </x:c>
      <x:c r="F70" s="39" t="str"/>
      <x:c r="G70" s="39" t="str"/>
      <x:c r="H70" s="289" t="str"/>
    </x:row>
    <x:row r="71">
      <x:c r="A71" s="288" t="str">
        <x:v>FollowUps</x:v>
      </x:c>
      <x:c r="B71" s="39" t="str">
        <x:v>channel</x:v>
      </x:c>
      <x:c r="C71" s="39" t="str">
        <x:v>روش</x:v>
      </x:c>
      <x:c r="D71" s="39" t="str">
        <x:v>enum</x:v>
      </x:c>
      <x:c r="E71" s="39" t="str">
        <x:v>بله</x:v>
      </x:c>
      <x:c r="F71" s="39" t="str">
        <x:v>call,telegram,whatsapp,instagram,email,meeting</x:v>
      </x:c>
      <x:c r="G71" s="39" t="str"/>
      <x:c r="H71" s="289" t="str"/>
    </x:row>
    <x:row r="72">
      <x:c r="A72" s="288" t="str">
        <x:v>FollowUps</x:v>
      </x:c>
      <x:c r="B72" s="39" t="str">
        <x:v>purpose</x:v>
      </x:c>
      <x:c r="C72" s="39" t="str">
        <x:v>هدف</x:v>
      </x:c>
      <x:c r="D72" s="39" t="str">
        <x:v>text</x:v>
      </x:c>
      <x:c r="E72" s="39" t="str">
        <x:v>بله</x:v>
      </x:c>
      <x:c r="F72" s="39" t="str"/>
      <x:c r="G72" s="39" t="str"/>
      <x:c r="H72" s="289" t="str"/>
    </x:row>
    <x:row r="73">
      <x:c r="A73" s="288" t="str">
        <x:v>FollowUps</x:v>
      </x:c>
      <x:c r="B73" s="39" t="str">
        <x:v>status</x:v>
      </x:c>
      <x:c r="C73" s="39" t="str">
        <x:v>وضعیت</x:v>
      </x:c>
      <x:c r="D73" s="39" t="str">
        <x:v>enum</x:v>
      </x:c>
      <x:c r="E73" s="39" t="str">
        <x:v>بله</x:v>
      </x:c>
      <x:c r="F73" s="39" t="str">
        <x:v>open,done,snoozed,cancelled</x:v>
      </x:c>
      <x:c r="G73" s="39" t="str"/>
      <x:c r="H73" s="289" t="str"/>
    </x:row>
    <x:row r="74">
      <x:c r="A74" s="288" t="str">
        <x:v>FollowUps</x:v>
      </x:c>
      <x:c r="B74" s="39" t="str">
        <x:v>reminder_count</x:v>
      </x:c>
      <x:c r="C74" s="39" t="str">
        <x:v>تعداد هشدار</x:v>
      </x:c>
      <x:c r="D74" s="39" t="str">
        <x:v>integer</x:v>
      </x:c>
      <x:c r="E74" s="39" t="str">
        <x:v>خیر</x:v>
      </x:c>
      <x:c r="F74" s="39" t="str"/>
      <x:c r="G74" s="39" t="str"/>
      <x:c r="H74" s="289" t="str"/>
    </x:row>
    <x:row r="75">
      <x:c r="A75" s="288" t="str">
        <x:v>FollowUps</x:v>
      </x:c>
      <x:c r="B75" s="39" t="str">
        <x:v>last_reminded_at</x:v>
      </x:c>
      <x:c r="C75" s="39" t="str">
        <x:v>آخرین هشدار</x:v>
      </x:c>
      <x:c r="D75" s="39" t="str">
        <x:v>datetime</x:v>
      </x:c>
      <x:c r="E75" s="39" t="str">
        <x:v>خیر</x:v>
      </x:c>
      <x:c r="F75" s="39" t="str"/>
      <x:c r="G75" s="39" t="str"/>
      <x:c r="H75" s="289" t="str"/>
    </x:row>
    <x:row r="76">
      <x:c r="A76" s="288" t="str">
        <x:v>FollowUps</x:v>
      </x:c>
      <x:c r="B76" s="39" t="str">
        <x:v>completed_at</x:v>
      </x:c>
      <x:c r="C76" s="39" t="str">
        <x:v>زمان انجام</x:v>
      </x:c>
      <x:c r="D76" s="39" t="str">
        <x:v>datetime</x:v>
      </x:c>
      <x:c r="E76" s="39" t="str">
        <x:v>خیر</x:v>
      </x:c>
      <x:c r="F76" s="39" t="str"/>
      <x:c r="G76" s="39" t="str"/>
      <x:c r="H76" s="289" t="str"/>
    </x:row>
    <x:row r="77">
      <x:c r="A77" s="288" t="str">
        <x:v>FollowUps</x:v>
      </x:c>
      <x:c r="B77" s="39" t="str">
        <x:v>result_code</x:v>
      </x:c>
      <x:c r="C77" s="39" t="str">
        <x:v>نتیجه</x:v>
      </x:c>
      <x:c r="D77" s="39" t="str">
        <x:v>enum</x:v>
      </x:c>
      <x:c r="E77" s="39" t="str">
        <x:v>خیر</x:v>
      </x:c>
      <x:c r="F77" s="39" t="str"/>
      <x:c r="G77" s="39" t="str"/>
      <x:c r="H77" s="289" t="str"/>
    </x:row>
    <x:row r="78">
      <x:c r="A78" s="288" t="str">
        <x:v>FollowUps</x:v>
      </x:c>
      <x:c r="B78" s="39" t="str">
        <x:v>result_note</x:v>
      </x:c>
      <x:c r="C78" s="39" t="str">
        <x:v>شرح نتیجه</x:v>
      </x:c>
      <x:c r="D78" s="39" t="str">
        <x:v>text</x:v>
      </x:c>
      <x:c r="E78" s="39" t="str">
        <x:v>خیر</x:v>
      </x:c>
      <x:c r="F78" s="39" t="str"/>
      <x:c r="G78" s="39" t="str"/>
      <x:c r="H78" s="289" t="str"/>
    </x:row>
    <x:row r="79">
      <x:c r="A79" s="288" t="str">
        <x:v>FollowUps</x:v>
      </x:c>
      <x:c r="B79" s="39" t="str">
        <x:v>next_followup_id</x:v>
      </x:c>
      <x:c r="C79" s="39" t="str">
        <x:v>پیگیری بعدی</x:v>
      </x:c>
      <x:c r="D79" s="39" t="str">
        <x:v>FK</x:v>
      </x:c>
      <x:c r="E79" s="39" t="str">
        <x:v>خیر</x:v>
      </x:c>
      <x:c r="F79" s="39" t="str"/>
      <x:c r="G79" s="39" t="str">
        <x:v>FollowUps.followup_id</x:v>
      </x:c>
      <x:c r="H79" s="289" t="str"/>
    </x:row>
    <x:row r="80">
      <x:c r="A80" s="288" t="str">
        <x:v>FollowUps</x:v>
      </x:c>
      <x:c r="B80" s="39" t="str">
        <x:v>sequence_step</x:v>
      </x:c>
      <x:c r="C80" s="39" t="str">
        <x:v>گام توالی</x:v>
      </x:c>
      <x:c r="D80" s="39" t="str">
        <x:v>integer</x:v>
      </x:c>
      <x:c r="E80" s="39" t="str">
        <x:v>خیر</x:v>
      </x:c>
      <x:c r="F80" s="39" t="str"/>
      <x:c r="G80" s="39" t="str"/>
      <x:c r="H80" s="289" t="str"/>
    </x:row>
    <x:row r="81">
      <x:c r="A81" s="288" t="str">
        <x:v>FollowUps</x:v>
      </x:c>
      <x:c r="B81" s="39" t="str">
        <x:v>idempotency_key</x:v>
      </x:c>
      <x:c r="C81" s="39" t="str">
        <x:v>کلید یکتا</x:v>
      </x:c>
      <x:c r="D81" s="39" t="str">
        <x:v>text</x:v>
      </x:c>
      <x:c r="E81" s="39" t="str">
        <x:v>بله</x:v>
      </x:c>
      <x:c r="F81" s="39" t="str"/>
      <x:c r="G81" s="39" t="str"/>
      <x:c r="H81" s="289" t="str"/>
    </x:row>
    <x:row r="82">
      <x:c r="A82" s="288" t="str">
        <x:v>FollowUps</x:v>
      </x:c>
      <x:c r="B82" s="39" t="str">
        <x:v>created_at</x:v>
      </x:c>
      <x:c r="C82" s="39" t="str">
        <x:v>زمان ایجاد</x:v>
      </x:c>
      <x:c r="D82" s="39" t="str">
        <x:v>datetime</x:v>
      </x:c>
      <x:c r="E82" s="39" t="str">
        <x:v>بله</x:v>
      </x:c>
      <x:c r="F82" s="39" t="str"/>
      <x:c r="G82" s="39" t="str"/>
      <x:c r="H82" s="289" t="str"/>
    </x:row>
    <x:row r="83">
      <x:c r="A83" s="288" t="str">
        <x:v>FollowUps</x:v>
      </x:c>
      <x:c r="B83" s="39" t="str">
        <x:v>created_by</x:v>
      </x:c>
      <x:c r="C83" s="39" t="str">
        <x:v>ایجادکننده</x:v>
      </x:c>
      <x:c r="D83" s="39" t="str">
        <x:v>FK</x:v>
      </x:c>
      <x:c r="E83" s="39" t="str">
        <x:v>بله</x:v>
      </x:c>
      <x:c r="F83" s="39" t="str"/>
      <x:c r="G83" s="39" t="str">
        <x:v>Users.user_id</x:v>
      </x:c>
      <x:c r="H83" s="289" t="str"/>
    </x:row>
    <x:row r="84">
      <x:c r="A84" s="288" t="str">
        <x:v>FollowUps</x:v>
      </x:c>
      <x:c r="B84" s="39" t="str">
        <x:v>updated_at</x:v>
      </x:c>
      <x:c r="C84" s="39" t="str">
        <x:v>آخرین تغییر</x:v>
      </x:c>
      <x:c r="D84" s="39" t="str">
        <x:v>datetime</x:v>
      </x:c>
      <x:c r="E84" s="39" t="str">
        <x:v>بله</x:v>
      </x:c>
      <x:c r="F84" s="39" t="str"/>
      <x:c r="G84" s="39" t="str"/>
      <x:c r="H84" s="289" t="str"/>
    </x:row>
    <x:row r="85">
      <x:c r="A85" s="288" t="str">
        <x:v>FollowUps</x:v>
      </x:c>
      <x:c r="B85" s="39" t="str">
        <x:v>updated_by</x:v>
      </x:c>
      <x:c r="C85" s="39" t="str">
        <x:v>تغییردهنده</x:v>
      </x:c>
      <x:c r="D85" s="39" t="str">
        <x:v>FK</x:v>
      </x:c>
      <x:c r="E85" s="39" t="str">
        <x:v>بله</x:v>
      </x:c>
      <x:c r="F85" s="39" t="str"/>
      <x:c r="G85" s="39" t="str">
        <x:v>Users.user_id</x:v>
      </x:c>
      <x:c r="H85" s="289" t="str"/>
    </x:row>
    <x:row r="86">
      <x:c r="A86" s="288" t="str">
        <x:v>FollowUps</x:v>
      </x:c>
      <x:c r="B86" s="39" t="str">
        <x:v>is_deleted</x:v>
      </x:c>
      <x:c r="C86" s="39" t="str">
        <x:v>حذف نرم</x:v>
      </x:c>
      <x:c r="D86" s="39" t="str">
        <x:v>boolean</x:v>
      </x:c>
      <x:c r="E86" s="39" t="str">
        <x:v>بله</x:v>
      </x:c>
      <x:c r="F86" s="39" t="str">
        <x:v>TRUE,FALSE</x:v>
      </x:c>
      <x:c r="G86" s="39" t="str"/>
      <x:c r="H86" s="289" t="str"/>
    </x:row>
    <x:row r="87">
      <x:c r="A87" s="288" t="str">
        <x:v>Interactions</x:v>
      </x:c>
      <x:c r="B87" s="39" t="str">
        <x:v>interaction_id</x:v>
      </x:c>
      <x:c r="C87" s="39" t="str">
        <x:v>شناسه تعامل</x:v>
      </x:c>
      <x:c r="D87" s="39" t="str">
        <x:v>UUID</x:v>
      </x:c>
      <x:c r="E87" s="39" t="str">
        <x:v>بله</x:v>
      </x:c>
      <x:c r="F87" s="39" t="str"/>
      <x:c r="G87" s="39" t="str"/>
      <x:c r="H87" s="289" t="str"/>
    </x:row>
    <x:row r="88">
      <x:c r="A88" s="288" t="str">
        <x:v>Interactions</x:v>
      </x:c>
      <x:c r="B88" s="39" t="str">
        <x:v>customer_id</x:v>
      </x:c>
      <x:c r="C88" s="39" t="str">
        <x:v>مشتری</x:v>
      </x:c>
      <x:c r="D88" s="39" t="str">
        <x:v>FK</x:v>
      </x:c>
      <x:c r="E88" s="39" t="str">
        <x:v>بله</x:v>
      </x:c>
      <x:c r="F88" s="39" t="str"/>
      <x:c r="G88" s="39" t="str">
        <x:v>Customers.customer_id</x:v>
      </x:c>
      <x:c r="H88" s="289" t="str"/>
    </x:row>
    <x:row r="89">
      <x:c r="A89" s="288" t="str">
        <x:v>Interactions</x:v>
      </x:c>
      <x:c r="B89" s="39" t="str">
        <x:v>opportunity_id</x:v>
      </x:c>
      <x:c r="C89" s="39" t="str">
        <x:v>فرصت</x:v>
      </x:c>
      <x:c r="D89" s="39" t="str">
        <x:v>FK</x:v>
      </x:c>
      <x:c r="E89" s="39" t="str">
        <x:v>خیر</x:v>
      </x:c>
      <x:c r="F89" s="39" t="str"/>
      <x:c r="G89" s="39" t="str">
        <x:v>Opportunities.opportunity_id</x:v>
      </x:c>
      <x:c r="H89" s="289" t="str"/>
    </x:row>
    <x:row r="90">
      <x:c r="A90" s="288" t="str">
        <x:v>Interactions</x:v>
      </x:c>
      <x:c r="B90" s="39" t="str">
        <x:v>user_id</x:v>
      </x:c>
      <x:c r="C90" s="39" t="str">
        <x:v>فروشنده</x:v>
      </x:c>
      <x:c r="D90" s="39" t="str">
        <x:v>FK</x:v>
      </x:c>
      <x:c r="E90" s="39" t="str">
        <x:v>خیر</x:v>
      </x:c>
      <x:c r="F90" s="39" t="str"/>
      <x:c r="G90" s="39" t="str">
        <x:v>Users.user_id</x:v>
      </x:c>
      <x:c r="H90" s="289" t="str"/>
    </x:row>
    <x:row r="91">
      <x:c r="A91" s="288" t="str">
        <x:v>Interactions</x:v>
      </x:c>
      <x:c r="B91" s="39" t="str">
        <x:v>interaction_type</x:v>
      </x:c>
      <x:c r="C91" s="39" t="str">
        <x:v>نوع تعامل</x:v>
      </x:c>
      <x:c r="D91" s="39" t="str">
        <x:v>enum</x:v>
      </x:c>
      <x:c r="E91" s="39" t="str">
        <x:v>بله</x:v>
      </x:c>
      <x:c r="F91" s="39" t="str">
        <x:v>phone_call,telegram,whatsapp,instagram,meeting,quotation,purchase,complaint,support,note</x:v>
      </x:c>
      <x:c r="G91" s="39" t="str"/>
      <x:c r="H91" s="289" t="str"/>
    </x:row>
    <x:row r="92">
      <x:c r="A92" s="288" t="str">
        <x:v>Interactions</x:v>
      </x:c>
      <x:c r="B92" s="39" t="str">
        <x:v>direction</x:v>
      </x:c>
      <x:c r="C92" s="39" t="str">
        <x:v>جهت</x:v>
      </x:c>
      <x:c r="D92" s="39" t="str">
        <x:v>enum</x:v>
      </x:c>
      <x:c r="E92" s="39" t="str">
        <x:v>بله</x:v>
      </x:c>
      <x:c r="F92" s="39" t="str">
        <x:v>inbound,outbound,internal</x:v>
      </x:c>
      <x:c r="G92" s="39" t="str"/>
      <x:c r="H92" s="289" t="str"/>
    </x:row>
    <x:row r="93">
      <x:c r="A93" s="288" t="str">
        <x:v>Interactions</x:v>
      </x:c>
      <x:c r="B93" s="39" t="str">
        <x:v>occurred_at</x:v>
      </x:c>
      <x:c r="C93" s="39" t="str">
        <x:v>زمان</x:v>
      </x:c>
      <x:c r="D93" s="39" t="str">
        <x:v>datetime</x:v>
      </x:c>
      <x:c r="E93" s="39" t="str">
        <x:v>بله</x:v>
      </x:c>
      <x:c r="F93" s="39" t="str"/>
      <x:c r="G93" s="39" t="str"/>
      <x:c r="H93" s="289" t="str"/>
    </x:row>
    <x:row r="94">
      <x:c r="A94" s="288" t="str">
        <x:v>Interactions</x:v>
      </x:c>
      <x:c r="B94" s="39" t="str">
        <x:v>summary</x:v>
      </x:c>
      <x:c r="C94" s="39" t="str">
        <x:v>خلاصه</x:v>
      </x:c>
      <x:c r="D94" s="39" t="str">
        <x:v>text</x:v>
      </x:c>
      <x:c r="E94" s="39" t="str">
        <x:v>بله</x:v>
      </x:c>
      <x:c r="F94" s="39" t="str"/>
      <x:c r="G94" s="39" t="str"/>
      <x:c r="H94" s="289" t="str"/>
    </x:row>
    <x:row r="95">
      <x:c r="A95" s="288" t="str">
        <x:v>Interactions</x:v>
      </x:c>
      <x:c r="B95" s="39" t="str">
        <x:v>result_code</x:v>
      </x:c>
      <x:c r="C95" s="39" t="str">
        <x:v>نتیجه</x:v>
      </x:c>
      <x:c r="D95" s="39" t="str">
        <x:v>enum</x:v>
      </x:c>
      <x:c r="E95" s="39" t="str">
        <x:v>خیر</x:v>
      </x:c>
      <x:c r="F95" s="39" t="str"/>
      <x:c r="G95" s="39" t="str"/>
      <x:c r="H95" s="289" t="str"/>
    </x:row>
    <x:row r="96">
      <x:c r="A96" s="288" t="str">
        <x:v>Interactions</x:v>
      </x:c>
      <x:c r="B96" s="39" t="str">
        <x:v>next_action</x:v>
      </x:c>
      <x:c r="C96" s="39" t="str">
        <x:v>اقدام بعدی</x:v>
      </x:c>
      <x:c r="D96" s="39" t="str">
        <x:v>text</x:v>
      </x:c>
      <x:c r="E96" s="39" t="str">
        <x:v>خیر</x:v>
      </x:c>
      <x:c r="F96" s="39" t="str"/>
      <x:c r="G96" s="39" t="str"/>
      <x:c r="H96" s="289" t="str"/>
    </x:row>
    <x:row r="97">
      <x:c r="A97" s="288" t="str">
        <x:v>Interactions</x:v>
      </x:c>
      <x:c r="B97" s="39" t="str">
        <x:v>external_message_id</x:v>
      </x:c>
      <x:c r="C97" s="39" t="str">
        <x:v>شناسه پیام بیرونی</x:v>
      </x:c>
      <x:c r="D97" s="39" t="str">
        <x:v>text</x:v>
      </x:c>
      <x:c r="E97" s="39" t="str">
        <x:v>خیر</x:v>
      </x:c>
      <x:c r="F97" s="39" t="str"/>
      <x:c r="G97" s="39" t="str"/>
      <x:c r="H97" s="289" t="str"/>
    </x:row>
    <x:row r="98">
      <x:c r="A98" s="288" t="str">
        <x:v>Interactions</x:v>
      </x:c>
      <x:c r="B98" s="39" t="str">
        <x:v>attachment_url</x:v>
      </x:c>
      <x:c r="C98" s="39" t="str">
        <x:v>فایل</x:v>
      </x:c>
      <x:c r="D98" s="39" t="str">
        <x:v>URL</x:v>
      </x:c>
      <x:c r="E98" s="39" t="str">
        <x:v>خیر</x:v>
      </x:c>
      <x:c r="F98" s="39" t="str"/>
      <x:c r="G98" s="39" t="str"/>
      <x:c r="H98" s="289" t="str"/>
    </x:row>
    <x:row r="99">
      <x:c r="A99" s="288" t="str">
        <x:v>Interactions</x:v>
      </x:c>
      <x:c r="B99" s="39" t="str">
        <x:v>created_at</x:v>
      </x:c>
      <x:c r="C99" s="39" t="str">
        <x:v>زمان ایجاد</x:v>
      </x:c>
      <x:c r="D99" s="39" t="str">
        <x:v>datetime</x:v>
      </x:c>
      <x:c r="E99" s="39" t="str">
        <x:v>بله</x:v>
      </x:c>
      <x:c r="F99" s="39" t="str"/>
      <x:c r="G99" s="39" t="str"/>
      <x:c r="H99" s="289" t="str"/>
    </x:row>
    <x:row r="100">
      <x:c r="A100" s="288" t="str">
        <x:v>Interactions</x:v>
      </x:c>
      <x:c r="B100" s="39" t="str">
        <x:v>created_by</x:v>
      </x:c>
      <x:c r="C100" s="39" t="str">
        <x:v>ایجادکننده</x:v>
      </x:c>
      <x:c r="D100" s="39" t="str">
        <x:v>FK</x:v>
      </x:c>
      <x:c r="E100" s="39" t="str">
        <x:v>بله</x:v>
      </x:c>
      <x:c r="F100" s="39" t="str"/>
      <x:c r="G100" s="39" t="str">
        <x:v>Users.user_id</x:v>
      </x:c>
      <x:c r="H100" s="289" t="str"/>
    </x:row>
    <x:row r="101">
      <x:c r="A101" s="288" t="str">
        <x:v>Interactions</x:v>
      </x:c>
      <x:c r="B101" s="39" t="str">
        <x:v>is_deleted</x:v>
      </x:c>
      <x:c r="C101" s="39" t="str">
        <x:v>حذف نرم</x:v>
      </x:c>
      <x:c r="D101" s="39" t="str">
        <x:v>boolean</x:v>
      </x:c>
      <x:c r="E101" s="39" t="str">
        <x:v>بله</x:v>
      </x:c>
      <x:c r="F101" s="39" t="str">
        <x:v>TRUE,FALSE</x:v>
      </x:c>
      <x:c r="G101" s="39" t="str"/>
      <x:c r="H101" s="289" t="str"/>
    </x:row>
    <x:row r="102">
      <x:c r="A102" s="288" t="str">
        <x:v>Orders</x:v>
      </x:c>
      <x:c r="B102" s="39" t="str">
        <x:v>order_id</x:v>
      </x:c>
      <x:c r="C102" s="39" t="str">
        <x:v>شناسه سفارش</x:v>
      </x:c>
      <x:c r="D102" s="39" t="str">
        <x:v>UUID</x:v>
      </x:c>
      <x:c r="E102" s="39" t="str">
        <x:v>بله</x:v>
      </x:c>
      <x:c r="F102" s="39" t="str"/>
      <x:c r="G102" s="39" t="str"/>
      <x:c r="H102" s="289" t="str"/>
    </x:row>
    <x:row r="103">
      <x:c r="A103" s="288" t="str">
        <x:v>Orders</x:v>
      </x:c>
      <x:c r="B103" s="39" t="str">
        <x:v>order_number</x:v>
      </x:c>
      <x:c r="C103" s="39" t="str">
        <x:v>شماره سفارش</x:v>
      </x:c>
      <x:c r="D103" s="39" t="str">
        <x:v>text</x:v>
      </x:c>
      <x:c r="E103" s="39" t="str">
        <x:v>بله</x:v>
      </x:c>
      <x:c r="F103" s="39" t="str"/>
      <x:c r="G103" s="39" t="str"/>
      <x:c r="H103" s="289" t="str"/>
    </x:row>
    <x:row r="104">
      <x:c r="A104" s="288" t="str">
        <x:v>Orders</x:v>
      </x:c>
      <x:c r="B104" s="39" t="str">
        <x:v>customer_id</x:v>
      </x:c>
      <x:c r="C104" s="39" t="str">
        <x:v>مشتری</x:v>
      </x:c>
      <x:c r="D104" s="39" t="str">
        <x:v>FK</x:v>
      </x:c>
      <x:c r="E104" s="39" t="str">
        <x:v>بله</x:v>
      </x:c>
      <x:c r="F104" s="39" t="str"/>
      <x:c r="G104" s="39" t="str">
        <x:v>Customers.customer_id</x:v>
      </x:c>
      <x:c r="H104" s="289" t="str"/>
    </x:row>
    <x:row r="105">
      <x:c r="A105" s="288" t="str">
        <x:v>Orders</x:v>
      </x:c>
      <x:c r="B105" s="39" t="str">
        <x:v>opportunity_id</x:v>
      </x:c>
      <x:c r="C105" s="39" t="str">
        <x:v>فرصت</x:v>
      </x:c>
      <x:c r="D105" s="39" t="str">
        <x:v>FK</x:v>
      </x:c>
      <x:c r="E105" s="39" t="str">
        <x:v>خیر</x:v>
      </x:c>
      <x:c r="F105" s="39" t="str"/>
      <x:c r="G105" s="39" t="str">
        <x:v>Opportunities.opportunity_id</x:v>
      </x:c>
      <x:c r="H105" s="289" t="str"/>
    </x:row>
    <x:row r="106">
      <x:c r="A106" s="288" t="str">
        <x:v>Orders</x:v>
      </x:c>
      <x:c r="B106" s="39" t="str">
        <x:v>quotation_id</x:v>
      </x:c>
      <x:c r="C106" s="39" t="str">
        <x:v>پیش‌فاکتور</x:v>
      </x:c>
      <x:c r="D106" s="39" t="str">
        <x:v>FK</x:v>
      </x:c>
      <x:c r="E106" s="39" t="str">
        <x:v>خیر</x:v>
      </x:c>
      <x:c r="F106" s="39" t="str"/>
      <x:c r="G106" s="39" t="str">
        <x:v>Quotations.quotation_id</x:v>
      </x:c>
      <x:c r="H106" s="289" t="str"/>
    </x:row>
    <x:row r="107">
      <x:c r="A107" s="288" t="str">
        <x:v>Orders</x:v>
      </x:c>
      <x:c r="B107" s="39" t="str">
        <x:v>seller_user_id</x:v>
      </x:c>
      <x:c r="C107" s="39" t="str">
        <x:v>فروشنده</x:v>
      </x:c>
      <x:c r="D107" s="39" t="str">
        <x:v>FK</x:v>
      </x:c>
      <x:c r="E107" s="39" t="str">
        <x:v>بله</x:v>
      </x:c>
      <x:c r="F107" s="39" t="str"/>
      <x:c r="G107" s="39" t="str">
        <x:v>Users.user_id</x:v>
      </x:c>
      <x:c r="H107" s="289" t="str"/>
    </x:row>
    <x:row r="108">
      <x:c r="A108" s="288" t="str">
        <x:v>Orders</x:v>
      </x:c>
      <x:c r="B108" s="39" t="str">
        <x:v>order_at</x:v>
      </x:c>
      <x:c r="C108" s="39" t="str">
        <x:v>تاریخ سفارش</x:v>
      </x:c>
      <x:c r="D108" s="39" t="str">
        <x:v>datetime</x:v>
      </x:c>
      <x:c r="E108" s="39" t="str">
        <x:v>بله</x:v>
      </x:c>
      <x:c r="F108" s="39" t="str"/>
      <x:c r="G108" s="39" t="str"/>
      <x:c r="H108" s="289" t="str"/>
    </x:row>
    <x:row r="109">
      <x:c r="A109" s="288" t="str">
        <x:v>Orders</x:v>
      </x:c>
      <x:c r="B109" s="39" t="str">
        <x:v>subtotal</x:v>
      </x:c>
      <x:c r="C109" s="39" t="str">
        <x:v>جمع اقلام (ریال)</x:v>
      </x:c>
      <x:c r="D109" s="39" t="str">
        <x:v>formula/integer</x:v>
      </x:c>
      <x:c r="E109" s="39" t="str">
        <x:v>خیر</x:v>
      </x:c>
      <x:c r="F109" s="39" t="str"/>
      <x:c r="G109" s="39" t="str">
        <x:v>OrderItems.total</x:v>
      </x:c>
      <x:c r="H109" s="289" t="str"/>
    </x:row>
    <x:row r="110">
      <x:c r="A110" s="288" t="str">
        <x:v>Orders</x:v>
      </x:c>
      <x:c r="B110" s="39" t="str">
        <x:v>discount_amount</x:v>
      </x:c>
      <x:c r="C110" s="39" t="str">
        <x:v>تخفیف (ریال)</x:v>
      </x:c>
      <x:c r="D110" s="39" t="str">
        <x:v>integer</x:v>
      </x:c>
      <x:c r="E110" s="39" t="str">
        <x:v>بله</x:v>
      </x:c>
      <x:c r="F110" s="39" t="str"/>
      <x:c r="G110" s="39" t="str"/>
      <x:c r="H110" s="289" t="str"/>
    </x:row>
    <x:row r="111">
      <x:c r="A111" s="288" t="str">
        <x:v>Orders</x:v>
      </x:c>
      <x:c r="B111" s="39" t="str">
        <x:v>shipping_amount</x:v>
      </x:c>
      <x:c r="C111" s="39" t="str">
        <x:v>حمل (ریال)</x:v>
      </x:c>
      <x:c r="D111" s="39" t="str">
        <x:v>integer</x:v>
      </x:c>
      <x:c r="E111" s="39" t="str">
        <x:v>بله</x:v>
      </x:c>
      <x:c r="F111" s="39" t="str"/>
      <x:c r="G111" s="39" t="str"/>
      <x:c r="H111" s="289" t="str"/>
    </x:row>
    <x:row r="112">
      <x:c r="A112" s="288" t="str">
        <x:v>Orders</x:v>
      </x:c>
      <x:c r="B112" s="39" t="str">
        <x:v>final_amount</x:v>
      </x:c>
      <x:c r="C112" s="39" t="str">
        <x:v>مبلغ نهایی (ریال)</x:v>
      </x:c>
      <x:c r="D112" s="39" t="str">
        <x:v>formula/integer</x:v>
      </x:c>
      <x:c r="E112" s="39" t="str">
        <x:v>خیر</x:v>
      </x:c>
      <x:c r="F112" s="39" t="str"/>
      <x:c r="G112" s="39" t="str"/>
      <x:c r="H112" s="289" t="str"/>
    </x:row>
    <x:row r="113">
      <x:c r="A113" s="288" t="str">
        <x:v>Orders</x:v>
      </x:c>
      <x:c r="B113" s="39" t="str">
        <x:v>payment_status</x:v>
      </x:c>
      <x:c r="C113" s="39" t="str">
        <x:v>وضعیت پرداخت</x:v>
      </x:c>
      <x:c r="D113" s="39" t="str">
        <x:v>formula/enum</x:v>
      </x:c>
      <x:c r="E113" s="39" t="str">
        <x:v>بله</x:v>
      </x:c>
      <x:c r="F113" s="39" t="str">
        <x:v>unpaid,partial,paid,refunded</x:v>
      </x:c>
      <x:c r="G113" s="39" t="str"/>
      <x:c r="H113" s="289" t="str"/>
    </x:row>
    <x:row r="114">
      <x:c r="A114" s="288" t="str">
        <x:v>Orders</x:v>
      </x:c>
      <x:c r="B114" s="39" t="str">
        <x:v>order_status</x:v>
      </x:c>
      <x:c r="C114" s="39" t="str">
        <x:v>وضعیت سفارش</x:v>
      </x:c>
      <x:c r="D114" s="39" t="str">
        <x:v>enum</x:v>
      </x:c>
      <x:c r="E114" s="39" t="str">
        <x:v>بله</x:v>
      </x:c>
      <x:c r="F114" s="39" t="str">
        <x:v>draft,confirmed,preparing,shipped,delivered,cancelled</x:v>
      </x:c>
      <x:c r="G114" s="39" t="str"/>
      <x:c r="H114" s="289" t="str"/>
    </x:row>
    <x:row r="115">
      <x:c r="A115" s="288" t="str">
        <x:v>Orders</x:v>
      </x:c>
      <x:c r="B115" s="39" t="str">
        <x:v>delivery_due_at</x:v>
      </x:c>
      <x:c r="C115" s="39" t="str">
        <x:v>موعد تحویل</x:v>
      </x:c>
      <x:c r="D115" s="39" t="str">
        <x:v>datetime</x:v>
      </x:c>
      <x:c r="E115" s="39" t="str">
        <x:v>خیر</x:v>
      </x:c>
      <x:c r="F115" s="39" t="str"/>
      <x:c r="G115" s="39" t="str"/>
      <x:c r="H115" s="289" t="str"/>
    </x:row>
    <x:row r="116">
      <x:c r="A116" s="288" t="str">
        <x:v>Orders</x:v>
      </x:c>
      <x:c r="B116" s="39" t="str">
        <x:v>delivered_at</x:v>
      </x:c>
      <x:c r="C116" s="39" t="str">
        <x:v>تحویل واقعی</x:v>
      </x:c>
      <x:c r="D116" s="39" t="str">
        <x:v>datetime</x:v>
      </x:c>
      <x:c r="E116" s="39" t="str">
        <x:v>خیر</x:v>
      </x:c>
      <x:c r="F116" s="39" t="str"/>
      <x:c r="G116" s="39" t="str"/>
      <x:c r="H116" s="289" t="str"/>
    </x:row>
    <x:row r="117">
      <x:c r="A117" s="288" t="str">
        <x:v>Orders</x:v>
      </x:c>
      <x:c r="B117" s="39" t="str">
        <x:v>notes</x:v>
      </x:c>
      <x:c r="C117" s="39" t="str">
        <x:v>توضیحات</x:v>
      </x:c>
      <x:c r="D117" s="39" t="str">
        <x:v>text</x:v>
      </x:c>
      <x:c r="E117" s="39" t="str">
        <x:v>خیر</x:v>
      </x:c>
      <x:c r="F117" s="39" t="str"/>
      <x:c r="G117" s="39" t="str"/>
      <x:c r="H117" s="289" t="str"/>
    </x:row>
    <x:row r="118">
      <x:c r="A118" s="288" t="str">
        <x:v>Orders</x:v>
      </x:c>
      <x:c r="B118" s="39" t="str">
        <x:v>created_at</x:v>
      </x:c>
      <x:c r="C118" s="39" t="str">
        <x:v>زمان ایجاد</x:v>
      </x:c>
      <x:c r="D118" s="39" t="str">
        <x:v>datetime</x:v>
      </x:c>
      <x:c r="E118" s="39" t="str">
        <x:v>بله</x:v>
      </x:c>
      <x:c r="F118" s="39" t="str"/>
      <x:c r="G118" s="39" t="str"/>
      <x:c r="H118" s="289" t="str"/>
    </x:row>
    <x:row r="119">
      <x:c r="A119" s="288" t="str">
        <x:v>Orders</x:v>
      </x:c>
      <x:c r="B119" s="39" t="str">
        <x:v>created_by</x:v>
      </x:c>
      <x:c r="C119" s="39" t="str">
        <x:v>ایجادکننده</x:v>
      </x:c>
      <x:c r="D119" s="39" t="str">
        <x:v>FK</x:v>
      </x:c>
      <x:c r="E119" s="39" t="str">
        <x:v>بله</x:v>
      </x:c>
      <x:c r="F119" s="39" t="str"/>
      <x:c r="G119" s="39" t="str">
        <x:v>Users.user_id</x:v>
      </x:c>
      <x:c r="H119" s="289" t="str"/>
    </x:row>
    <x:row r="120">
      <x:c r="A120" s="288" t="str">
        <x:v>Orders</x:v>
      </x:c>
      <x:c r="B120" s="39" t="str">
        <x:v>updated_at</x:v>
      </x:c>
      <x:c r="C120" s="39" t="str">
        <x:v>آخرین تغییر</x:v>
      </x:c>
      <x:c r="D120" s="39" t="str">
        <x:v>datetime</x:v>
      </x:c>
      <x:c r="E120" s="39" t="str">
        <x:v>بله</x:v>
      </x:c>
      <x:c r="F120" s="39" t="str"/>
      <x:c r="G120" s="39" t="str"/>
      <x:c r="H120" s="289" t="str"/>
    </x:row>
    <x:row r="121">
      <x:c r="A121" s="288" t="str">
        <x:v>Orders</x:v>
      </x:c>
      <x:c r="B121" s="39" t="str">
        <x:v>updated_by</x:v>
      </x:c>
      <x:c r="C121" s="39" t="str">
        <x:v>تغییردهنده</x:v>
      </x:c>
      <x:c r="D121" s="39" t="str">
        <x:v>FK</x:v>
      </x:c>
      <x:c r="E121" s="39" t="str">
        <x:v>بله</x:v>
      </x:c>
      <x:c r="F121" s="39" t="str"/>
      <x:c r="G121" s="39" t="str">
        <x:v>Users.user_id</x:v>
      </x:c>
      <x:c r="H121" s="289" t="str"/>
    </x:row>
    <x:row r="122">
      <x:c r="A122" s="288" t="str">
        <x:v>Orders</x:v>
      </x:c>
      <x:c r="B122" s="39" t="str">
        <x:v>is_deleted</x:v>
      </x:c>
      <x:c r="C122" s="39" t="str">
        <x:v>حذف نرم</x:v>
      </x:c>
      <x:c r="D122" s="39" t="str">
        <x:v>boolean</x:v>
      </x:c>
      <x:c r="E122" s="39" t="str">
        <x:v>بله</x:v>
      </x:c>
      <x:c r="F122" s="39" t="str">
        <x:v>TRUE,FALSE</x:v>
      </x:c>
      <x:c r="G122" s="39" t="str"/>
      <x:c r="H122" s="289" t="str"/>
    </x:row>
    <x:row r="123">
      <x:c r="A123" s="288" t="str">
        <x:v>Products</x:v>
      </x:c>
      <x:c r="B123" s="39" t="str">
        <x:v>product_id</x:v>
      </x:c>
      <x:c r="C123" s="39" t="str">
        <x:v>شناسه محصول</x:v>
      </x:c>
      <x:c r="D123" s="39" t="str">
        <x:v>UUID</x:v>
      </x:c>
      <x:c r="E123" s="39" t="str">
        <x:v>بله</x:v>
      </x:c>
      <x:c r="F123" s="39" t="str"/>
      <x:c r="G123" s="39" t="str"/>
      <x:c r="H123" s="289" t="str"/>
    </x:row>
    <x:row r="124">
      <x:c r="A124" s="288" t="str">
        <x:v>Products</x:v>
      </x:c>
      <x:c r="B124" s="39" t="str">
        <x:v>sku</x:v>
      </x:c>
      <x:c r="C124" s="39" t="str">
        <x:v>کد کالا</x:v>
      </x:c>
      <x:c r="D124" s="39" t="str">
        <x:v>text</x:v>
      </x:c>
      <x:c r="E124" s="39" t="str">
        <x:v>بله</x:v>
      </x:c>
      <x:c r="F124" s="39" t="str"/>
      <x:c r="G124" s="39" t="str"/>
      <x:c r="H124" s="289" t="str"/>
    </x:row>
    <x:row r="125">
      <x:c r="A125" s="288" t="str">
        <x:v>Products</x:v>
      </x:c>
      <x:c r="B125" s="39" t="str">
        <x:v>name</x:v>
      </x:c>
      <x:c r="C125" s="39" t="str">
        <x:v>نام محصول</x:v>
      </x:c>
      <x:c r="D125" s="39" t="str">
        <x:v>text</x:v>
      </x:c>
      <x:c r="E125" s="39" t="str">
        <x:v>بله</x:v>
      </x:c>
      <x:c r="F125" s="39" t="str"/>
      <x:c r="G125" s="39" t="str"/>
      <x:c r="H125" s="289" t="str"/>
    </x:row>
    <x:row r="126">
      <x:c r="A126" s="288" t="str">
        <x:v>Products</x:v>
      </x:c>
      <x:c r="B126" s="39" t="str">
        <x:v>category</x:v>
      </x:c>
      <x:c r="C126" s="39" t="str">
        <x:v>دسته</x:v>
      </x:c>
      <x:c r="D126" s="39" t="str">
        <x:v>text</x:v>
      </x:c>
      <x:c r="E126" s="39" t="str">
        <x:v>بله</x:v>
      </x:c>
      <x:c r="F126" s="39" t="str"/>
      <x:c r="G126" s="39" t="str"/>
      <x:c r="H126" s="289" t="str"/>
    </x:row>
    <x:row r="127">
      <x:c r="A127" s="288" t="str">
        <x:v>Products</x:v>
      </x:c>
      <x:c r="B127" s="39" t="str">
        <x:v>unit</x:v>
      </x:c>
      <x:c r="C127" s="39" t="str">
        <x:v>واحد</x:v>
      </x:c>
      <x:c r="D127" s="39" t="str">
        <x:v>enum</x:v>
      </x:c>
      <x:c r="E127" s="39" t="str">
        <x:v>بله</x:v>
      </x:c>
      <x:c r="F127" s="39" t="str">
        <x:v>عدد,کیلوگرم,تن,متر,مترمربع,بسته,ساعت,خدمت</x:v>
      </x:c>
      <x:c r="G127" s="39" t="str"/>
      <x:c r="H127" s="289" t="str"/>
    </x:row>
    <x:row r="128">
      <x:c r="A128" s="288" t="str">
        <x:v>Products</x:v>
      </x:c>
      <x:c r="B128" s="39" t="str">
        <x:v>sale_price</x:v>
      </x:c>
      <x:c r="C128" s="39" t="str">
        <x:v>قیمت فروش (ریال)</x:v>
      </x:c>
      <x:c r="D128" s="39" t="str">
        <x:v>integer</x:v>
      </x:c>
      <x:c r="E128" s="39" t="str">
        <x:v>خیر</x:v>
      </x:c>
      <x:c r="F128" s="39" t="str"/>
      <x:c r="G128" s="39" t="str"/>
      <x:c r="H128" s="289" t="str"/>
    </x:row>
    <x:row r="129">
      <x:c r="A129" s="288" t="str">
        <x:v>Products</x:v>
      </x:c>
      <x:c r="B129" s="39" t="str">
        <x:v>cost_price</x:v>
      </x:c>
      <x:c r="C129" s="39" t="str">
        <x:v>بهای خرید (ریال)</x:v>
      </x:c>
      <x:c r="D129" s="39" t="str">
        <x:v>integer</x:v>
      </x:c>
      <x:c r="E129" s="39" t="str">
        <x:v>خیر</x:v>
      </x:c>
      <x:c r="F129" s="39" t="str"/>
      <x:c r="G129" s="39" t="str"/>
      <x:c r="H129" s="289" t="str"/>
    </x:row>
    <x:row r="130">
      <x:c r="A130" s="288" t="str">
        <x:v>Products</x:v>
      </x:c>
      <x:c r="B130" s="39" t="str">
        <x:v>reorder_level</x:v>
      </x:c>
      <x:c r="C130" s="39" t="str">
        <x:v>نقطه سفارش</x:v>
      </x:c>
      <x:c r="D130" s="39" t="str">
        <x:v>number</x:v>
      </x:c>
      <x:c r="E130" s="39" t="str">
        <x:v>خیر</x:v>
      </x:c>
      <x:c r="F130" s="39" t="str"/>
      <x:c r="G130" s="39" t="str"/>
      <x:c r="H130" s="289" t="str"/>
    </x:row>
    <x:row r="131">
      <x:c r="A131" s="288" t="str">
        <x:v>Products</x:v>
      </x:c>
      <x:c r="B131" s="39" t="str">
        <x:v>current_stock</x:v>
      </x:c>
      <x:c r="C131" s="39" t="str">
        <x:v>موجودی فعلی</x:v>
      </x:c>
      <x:c r="D131" s="39" t="str">
        <x:v>formula/number</x:v>
      </x:c>
      <x:c r="E131" s="39" t="str">
        <x:v>خیر</x:v>
      </x:c>
      <x:c r="F131" s="39" t="str"/>
      <x:c r="G131" s="39" t="str">
        <x:v>InventoryTransactions.qty_signed</x:v>
      </x:c>
      <x:c r="H131" s="289" t="str"/>
    </x:row>
    <x:row r="132">
      <x:c r="A132" s="288" t="str">
        <x:v>Products</x:v>
      </x:c>
      <x:c r="B132" s="39" t="str">
        <x:v>active</x:v>
      </x:c>
      <x:c r="C132" s="39" t="str">
        <x:v>فعال</x:v>
      </x:c>
      <x:c r="D132" s="39" t="str">
        <x:v>boolean</x:v>
      </x:c>
      <x:c r="E132" s="39" t="str">
        <x:v>بله</x:v>
      </x:c>
      <x:c r="F132" s="39" t="str">
        <x:v>TRUE,FALSE</x:v>
      </x:c>
      <x:c r="G132" s="39" t="str"/>
      <x:c r="H132" s="289" t="str"/>
    </x:row>
    <x:row r="133">
      <x:c r="A133" s="288" t="str">
        <x:v>Products</x:v>
      </x:c>
      <x:c r="B133" s="39" t="str">
        <x:v>created_at</x:v>
      </x:c>
      <x:c r="C133" s="39" t="str">
        <x:v>زمان ایجاد</x:v>
      </x:c>
      <x:c r="D133" s="39" t="str">
        <x:v>datetime</x:v>
      </x:c>
      <x:c r="E133" s="39" t="str">
        <x:v>بله</x:v>
      </x:c>
      <x:c r="F133" s="39" t="str"/>
      <x:c r="G133" s="39" t="str"/>
      <x:c r="H133" s="289" t="str"/>
    </x:row>
    <x:row r="134">
      <x:c r="A134" s="288" t="str">
        <x:v>Products</x:v>
      </x:c>
      <x:c r="B134" s="39" t="str">
        <x:v>created_by</x:v>
      </x:c>
      <x:c r="C134" s="39" t="str">
        <x:v>ایجادکننده</x:v>
      </x:c>
      <x:c r="D134" s="39" t="str">
        <x:v>FK</x:v>
      </x:c>
      <x:c r="E134" s="39" t="str">
        <x:v>بله</x:v>
      </x:c>
      <x:c r="F134" s="39" t="str"/>
      <x:c r="G134" s="39" t="str">
        <x:v>Users.user_id</x:v>
      </x:c>
      <x:c r="H134" s="289" t="str"/>
    </x:row>
    <x:row r="135">
      <x:c r="A135" s="288" t="str">
        <x:v>Products</x:v>
      </x:c>
      <x:c r="B135" s="39" t="str">
        <x:v>updated_at</x:v>
      </x:c>
      <x:c r="C135" s="39" t="str">
        <x:v>آخرین تغییر</x:v>
      </x:c>
      <x:c r="D135" s="39" t="str">
        <x:v>datetime</x:v>
      </x:c>
      <x:c r="E135" s="39" t="str">
        <x:v>بله</x:v>
      </x:c>
      <x:c r="F135" s="39" t="str"/>
      <x:c r="G135" s="39" t="str"/>
      <x:c r="H135" s="289" t="str"/>
    </x:row>
    <x:row r="136">
      <x:c r="A136" s="288" t="str">
        <x:v>Products</x:v>
      </x:c>
      <x:c r="B136" s="39" t="str">
        <x:v>updated_by</x:v>
      </x:c>
      <x:c r="C136" s="39" t="str">
        <x:v>تغییردهنده</x:v>
      </x:c>
      <x:c r="D136" s="39" t="str">
        <x:v>FK</x:v>
      </x:c>
      <x:c r="E136" s="39" t="str">
        <x:v>بله</x:v>
      </x:c>
      <x:c r="F136" s="39" t="str"/>
      <x:c r="G136" s="39" t="str">
        <x:v>Users.user_id</x:v>
      </x:c>
      <x:c r="H136" s="289" t="str"/>
    </x:row>
    <x:row r="137">
      <x:c r="A137" s="288" t="str">
        <x:v>Products</x:v>
      </x:c>
      <x:c r="B137" s="39" t="str">
        <x:v>is_deleted</x:v>
      </x:c>
      <x:c r="C137" s="39" t="str">
        <x:v>حذف نرم</x:v>
      </x:c>
      <x:c r="D137" s="39" t="str">
        <x:v>boolean</x:v>
      </x:c>
      <x:c r="E137" s="39" t="str">
        <x:v>بله</x:v>
      </x:c>
      <x:c r="F137" s="39" t="str">
        <x:v>TRUE,FALSE</x:v>
      </x:c>
      <x:c r="G137" s="39" t="str"/>
      <x:c r="H137" s="289" t="str"/>
    </x:row>
    <x:row r="138">
      <x:c r="A138" s="288" t="str">
        <x:v>Tasks</x:v>
      </x:c>
      <x:c r="B138" s="39" t="str">
        <x:v>task_id</x:v>
      </x:c>
      <x:c r="C138" s="39" t="str">
        <x:v>شناسه کار</x:v>
      </x:c>
      <x:c r="D138" s="39" t="str">
        <x:v>UUID</x:v>
      </x:c>
      <x:c r="E138" s="39" t="str">
        <x:v>بله</x:v>
      </x:c>
      <x:c r="F138" s="39" t="str"/>
      <x:c r="G138" s="39" t="str"/>
      <x:c r="H138" s="289" t="str"/>
    </x:row>
    <x:row r="139">
      <x:c r="A139" s="288" t="str">
        <x:v>Tasks</x:v>
      </x:c>
      <x:c r="B139" s="39" t="str">
        <x:v>related_type</x:v>
      </x:c>
      <x:c r="C139" s="39" t="str">
        <x:v>نوع مرتبط</x:v>
      </x:c>
      <x:c r="D139" s="39" t="str">
        <x:v>enum</x:v>
      </x:c>
      <x:c r="E139" s="39" t="str">
        <x:v>خیر</x:v>
      </x:c>
      <x:c r="F139" s="39" t="str"/>
      <x:c r="G139" s="39" t="str"/>
      <x:c r="H139" s="289" t="str"/>
    </x:row>
    <x:row r="140">
      <x:c r="A140" s="288" t="str">
        <x:v>Tasks</x:v>
      </x:c>
      <x:c r="B140" s="39" t="str">
        <x:v>related_id</x:v>
      </x:c>
      <x:c r="C140" s="39" t="str">
        <x:v>شناسه مرتبط</x:v>
      </x:c>
      <x:c r="D140" s="39" t="str">
        <x:v>text/FK</x:v>
      </x:c>
      <x:c r="E140" s="39" t="str">
        <x:v>خیر</x:v>
      </x:c>
      <x:c r="F140" s="39" t="str"/>
      <x:c r="G140" s="39" t="str"/>
      <x:c r="H140" s="289" t="str"/>
    </x:row>
    <x:row r="141">
      <x:c r="A141" s="288" t="str">
        <x:v>Tasks</x:v>
      </x:c>
      <x:c r="B141" s="39" t="str">
        <x:v>title</x:v>
      </x:c>
      <x:c r="C141" s="39" t="str">
        <x:v>عنوان</x:v>
      </x:c>
      <x:c r="D141" s="39" t="str">
        <x:v>text</x:v>
      </x:c>
      <x:c r="E141" s="39" t="str">
        <x:v>بله</x:v>
      </x:c>
      <x:c r="F141" s="39" t="str"/>
      <x:c r="G141" s="39" t="str"/>
      <x:c r="H141" s="289" t="str"/>
    </x:row>
    <x:row r="142">
      <x:c r="A142" s="288" t="str">
        <x:v>Tasks</x:v>
      </x:c>
      <x:c r="B142" s="39" t="str">
        <x:v>assigned_user_id</x:v>
      </x:c>
      <x:c r="C142" s="39" t="str">
        <x:v>مسئول</x:v>
      </x:c>
      <x:c r="D142" s="39" t="str">
        <x:v>FK</x:v>
      </x:c>
      <x:c r="E142" s="39" t="str">
        <x:v>بله</x:v>
      </x:c>
      <x:c r="F142" s="39" t="str"/>
      <x:c r="G142" s="39" t="str">
        <x:v>Users.user_id</x:v>
      </x:c>
      <x:c r="H142" s="289" t="str"/>
    </x:row>
    <x:row r="143">
      <x:c r="A143" s="288" t="str">
        <x:v>Tasks</x:v>
      </x:c>
      <x:c r="B143" s="39" t="str">
        <x:v>priority</x:v>
      </x:c>
      <x:c r="C143" s="39" t="str">
        <x:v>اولویت</x:v>
      </x:c>
      <x:c r="D143" s="39" t="str">
        <x:v>enum</x:v>
      </x:c>
      <x:c r="E143" s="39" t="str">
        <x:v>بله</x:v>
      </x:c>
      <x:c r="F143" s="39" t="str">
        <x:v>low,normal,high,urgent</x:v>
      </x:c>
      <x:c r="G143" s="39" t="str"/>
      <x:c r="H143" s="289" t="str"/>
    </x:row>
    <x:row r="144">
      <x:c r="A144" s="288" t="str">
        <x:v>Tasks</x:v>
      </x:c>
      <x:c r="B144" s="39" t="str">
        <x:v>due_at</x:v>
      </x:c>
      <x:c r="C144" s="39" t="str">
        <x:v>موعد</x:v>
      </x:c>
      <x:c r="D144" s="39" t="str">
        <x:v>datetime</x:v>
      </x:c>
      <x:c r="E144" s="39" t="str">
        <x:v>خیر</x:v>
      </x:c>
      <x:c r="F144" s="39" t="str"/>
      <x:c r="G144" s="39" t="str"/>
      <x:c r="H144" s="289" t="str"/>
    </x:row>
    <x:row r="145">
      <x:c r="A145" s="288" t="str">
        <x:v>Tasks</x:v>
      </x:c>
      <x:c r="B145" s="39" t="str">
        <x:v>status</x:v>
      </x:c>
      <x:c r="C145" s="39" t="str">
        <x:v>وضعیت</x:v>
      </x:c>
      <x:c r="D145" s="39" t="str">
        <x:v>enum</x:v>
      </x:c>
      <x:c r="E145" s="39" t="str">
        <x:v>بله</x:v>
      </x:c>
      <x:c r="F145" s="39" t="str">
        <x:v>open,in_progress,done,cancelled</x:v>
      </x:c>
      <x:c r="G145" s="39" t="str"/>
      <x:c r="H145" s="289" t="str"/>
    </x:row>
    <x:row r="146">
      <x:c r="A146" s="288" t="str">
        <x:v>Tasks</x:v>
      </x:c>
      <x:c r="B146" s="39" t="str">
        <x:v>completed_at</x:v>
      </x:c>
      <x:c r="C146" s="39" t="str">
        <x:v>پایان</x:v>
      </x:c>
      <x:c r="D146" s="39" t="str">
        <x:v>datetime</x:v>
      </x:c>
      <x:c r="E146" s="39" t="str">
        <x:v>خیر</x:v>
      </x:c>
      <x:c r="F146" s="39" t="str"/>
      <x:c r="G146" s="39" t="str"/>
      <x:c r="H146" s="289" t="str"/>
    </x:row>
    <x:row r="147">
      <x:c r="A147" s="288" t="str">
        <x:v>Tasks</x:v>
      </x:c>
      <x:c r="B147" s="39" t="str">
        <x:v>notes</x:v>
      </x:c>
      <x:c r="C147" s="39" t="str">
        <x:v>شرح</x:v>
      </x:c>
      <x:c r="D147" s="39" t="str">
        <x:v>text</x:v>
      </x:c>
      <x:c r="E147" s="39" t="str">
        <x:v>خیر</x:v>
      </x:c>
      <x:c r="F147" s="39" t="str"/>
      <x:c r="G147" s="39" t="str"/>
      <x:c r="H147" s="289" t="str"/>
    </x:row>
    <x:row r="148">
      <x:c r="A148" s="288" t="str">
        <x:v>Tasks</x:v>
      </x:c>
      <x:c r="B148" s="39" t="str">
        <x:v>created_at</x:v>
      </x:c>
      <x:c r="C148" s="39" t="str">
        <x:v>زمان ایجاد</x:v>
      </x:c>
      <x:c r="D148" s="39" t="str">
        <x:v>datetime</x:v>
      </x:c>
      <x:c r="E148" s="39" t="str">
        <x:v>بله</x:v>
      </x:c>
      <x:c r="F148" s="39" t="str"/>
      <x:c r="G148" s="39" t="str"/>
      <x:c r="H148" s="289" t="str"/>
    </x:row>
    <x:row r="149">
      <x:c r="A149" s="288" t="str">
        <x:v>Tasks</x:v>
      </x:c>
      <x:c r="B149" s="39" t="str">
        <x:v>created_by</x:v>
      </x:c>
      <x:c r="C149" s="39" t="str">
        <x:v>ایجادکننده</x:v>
      </x:c>
      <x:c r="D149" s="39" t="str">
        <x:v>FK</x:v>
      </x:c>
      <x:c r="E149" s="39" t="str">
        <x:v>بله</x:v>
      </x:c>
      <x:c r="F149" s="39" t="str"/>
      <x:c r="G149" s="39" t="str">
        <x:v>Users.user_id</x:v>
      </x:c>
      <x:c r="H149" s="289" t="str"/>
    </x:row>
    <x:row r="150">
      <x:c r="A150" s="288" t="str">
        <x:v>Tasks</x:v>
      </x:c>
      <x:c r="B150" s="39" t="str">
        <x:v>updated_at</x:v>
      </x:c>
      <x:c r="C150" s="39" t="str">
        <x:v>آخرین تغییر</x:v>
      </x:c>
      <x:c r="D150" s="39" t="str">
        <x:v>datetime</x:v>
      </x:c>
      <x:c r="E150" s="39" t="str">
        <x:v>بله</x:v>
      </x:c>
      <x:c r="F150" s="39" t="str"/>
      <x:c r="G150" s="39" t="str"/>
      <x:c r="H150" s="289" t="str"/>
    </x:row>
    <x:row r="151">
      <x:c r="A151" s="288" t="str">
        <x:v>Tasks</x:v>
      </x:c>
      <x:c r="B151" s="39" t="str">
        <x:v>updated_by</x:v>
      </x:c>
      <x:c r="C151" s="39" t="str">
        <x:v>تغییردهنده</x:v>
      </x:c>
      <x:c r="D151" s="39" t="str">
        <x:v>FK</x:v>
      </x:c>
      <x:c r="E151" s="39" t="str">
        <x:v>بله</x:v>
      </x:c>
      <x:c r="F151" s="39" t="str"/>
      <x:c r="G151" s="39" t="str">
        <x:v>Users.user_id</x:v>
      </x:c>
      <x:c r="H151" s="289" t="str"/>
    </x:row>
    <x:row r="152">
      <x:c r="A152" s="288" t="str">
        <x:v>Tasks</x:v>
      </x:c>
      <x:c r="B152" s="39" t="str">
        <x:v>is_deleted</x:v>
      </x:c>
      <x:c r="C152" s="39" t="str">
        <x:v>حذف نرم</x:v>
      </x:c>
      <x:c r="D152" s="39" t="str">
        <x:v>boolean</x:v>
      </x:c>
      <x:c r="E152" s="39" t="str">
        <x:v>بله</x:v>
      </x:c>
      <x:c r="F152" s="39" t="str">
        <x:v>TRUE,FALSE</x:v>
      </x:c>
      <x:c r="G152" s="39" t="str"/>
      <x:c r="H152" s="289" t="str"/>
    </x:row>
    <x:row r="153">
      <x:c r="A153" s="288" t="str">
        <x:v>Users</x:v>
      </x:c>
      <x:c r="B153" s="39" t="str">
        <x:v>user_id</x:v>
      </x:c>
      <x:c r="C153" s="39" t="str">
        <x:v>شناسه کاربر</x:v>
      </x:c>
      <x:c r="D153" s="39" t="str">
        <x:v>UUID</x:v>
      </x:c>
      <x:c r="E153" s="39" t="str">
        <x:v>بله</x:v>
      </x:c>
      <x:c r="F153" s="39" t="str"/>
      <x:c r="G153" s="39" t="str"/>
      <x:c r="H153" s="289" t="str"/>
    </x:row>
    <x:row r="154">
      <x:c r="A154" s="288" t="str">
        <x:v>Users</x:v>
      </x:c>
      <x:c r="B154" s="39" t="str">
        <x:v>full_name</x:v>
      </x:c>
      <x:c r="C154" s="39" t="str">
        <x:v>نام</x:v>
      </x:c>
      <x:c r="D154" s="39" t="str">
        <x:v>text</x:v>
      </x:c>
      <x:c r="E154" s="39" t="str">
        <x:v>بله</x:v>
      </x:c>
      <x:c r="F154" s="39" t="str"/>
      <x:c r="G154" s="39" t="str"/>
      <x:c r="H154" s="289" t="str"/>
    </x:row>
    <x:row r="155">
      <x:c r="A155" s="288" t="str">
        <x:v>Users</x:v>
      </x:c>
      <x:c r="B155" s="39" t="str">
        <x:v>role</x:v>
      </x:c>
      <x:c r="C155" s="39" t="str">
        <x:v>نقش</x:v>
      </x:c>
      <x:c r="D155" s="39" t="str">
        <x:v>enum</x:v>
      </x:c>
      <x:c r="E155" s="39" t="str">
        <x:v>بله</x:v>
      </x:c>
      <x:c r="F155" s="39" t="str">
        <x:v>owner,manager,seller,viewer</x:v>
      </x:c>
      <x:c r="G155" s="39" t="str"/>
      <x:c r="H155" s="289" t="str"/>
    </x:row>
    <x:row r="156">
      <x:c r="A156" s="288" t="str">
        <x:v>Users</x:v>
      </x:c>
      <x:c r="B156" s="39" t="str">
        <x:v>telegram_user_id</x:v>
      </x:c>
      <x:c r="C156" s="39" t="str">
        <x:v>شناسه تلگرام</x:v>
      </x:c>
      <x:c r="D156" s="39" t="str">
        <x:v>text</x:v>
      </x:c>
      <x:c r="E156" s="39" t="str">
        <x:v>خیر</x:v>
      </x:c>
      <x:c r="F156" s="39" t="str"/>
      <x:c r="G156" s="39" t="str"/>
      <x:c r="H156" s="289" t="str"/>
    </x:row>
    <x:row r="157">
      <x:c r="A157" s="288" t="str">
        <x:v>Users</x:v>
      </x:c>
      <x:c r="B157" s="39" t="str">
        <x:v>telegram_chat_id</x:v>
      </x:c>
      <x:c r="C157" s="39" t="str">
        <x:v>چت اعلان</x:v>
      </x:c>
      <x:c r="D157" s="39" t="str">
        <x:v>text</x:v>
      </x:c>
      <x:c r="E157" s="39" t="str">
        <x:v>خیر</x:v>
      </x:c>
      <x:c r="F157" s="39" t="str"/>
      <x:c r="G157" s="39" t="str"/>
      <x:c r="H157" s="289" t="str"/>
    </x:row>
    <x:row r="158">
      <x:c r="A158" s="288" t="str">
        <x:v>Users</x:v>
      </x:c>
      <x:c r="B158" s="39" t="str">
        <x:v>email</x:v>
      </x:c>
      <x:c r="C158" s="39" t="str">
        <x:v>ایمیل</x:v>
      </x:c>
      <x:c r="D158" s="39" t="str">
        <x:v>email</x:v>
      </x:c>
      <x:c r="E158" s="39" t="str">
        <x:v>خیر</x:v>
      </x:c>
      <x:c r="F158" s="39" t="str"/>
      <x:c r="G158" s="39" t="str"/>
      <x:c r="H158" s="289" t="str"/>
    </x:row>
    <x:row r="159">
      <x:c r="A159" s="288" t="str">
        <x:v>Users</x:v>
      </x:c>
      <x:c r="B159" s="39" t="str">
        <x:v>active</x:v>
      </x:c>
      <x:c r="C159" s="39" t="str">
        <x:v>فعال</x:v>
      </x:c>
      <x:c r="D159" s="39" t="str">
        <x:v>boolean</x:v>
      </x:c>
      <x:c r="E159" s="39" t="str">
        <x:v>بله</x:v>
      </x:c>
      <x:c r="F159" s="39" t="str">
        <x:v>TRUE,FALSE</x:v>
      </x:c>
      <x:c r="G159" s="39" t="str"/>
      <x:c r="H159" s="289" t="str"/>
    </x:row>
    <x:row r="160">
      <x:c r="A160" s="288" t="str">
        <x:v>Users</x:v>
      </x:c>
      <x:c r="B160" s="39" t="str">
        <x:v>data_scope</x:v>
      </x:c>
      <x:c r="C160" s="39" t="str">
        <x:v>دامنه داده</x:v>
      </x:c>
      <x:c r="D160" s="39" t="str">
        <x:v>enum</x:v>
      </x:c>
      <x:c r="E160" s="39" t="str">
        <x:v>بله</x:v>
      </x:c>
      <x:c r="F160" s="39" t="str">
        <x:v>own,team,all</x:v>
      </x:c>
      <x:c r="G160" s="39" t="str"/>
      <x:c r="H160" s="289" t="str"/>
    </x:row>
    <x:row r="161">
      <x:c r="A161" s="288" t="str">
        <x:v>Users</x:v>
      </x:c>
      <x:c r="B161" s="39" t="str">
        <x:v>created_at</x:v>
      </x:c>
      <x:c r="C161" s="39" t="str">
        <x:v>زمان ایجاد</x:v>
      </x:c>
      <x:c r="D161" s="39" t="str">
        <x:v>datetime</x:v>
      </x:c>
      <x:c r="E161" s="39" t="str">
        <x:v>بله</x:v>
      </x:c>
      <x:c r="F161" s="39" t="str"/>
      <x:c r="G161" s="39" t="str"/>
      <x:c r="H161" s="289" t="str"/>
    </x:row>
    <x:row r="162">
      <x:c r="A162" s="288" t="str">
        <x:v>Users</x:v>
      </x:c>
      <x:c r="B162" s="39" t="str">
        <x:v>created_by</x:v>
      </x:c>
      <x:c r="C162" s="39" t="str">
        <x:v>ایجادکننده</x:v>
      </x:c>
      <x:c r="D162" s="39" t="str">
        <x:v>FK</x:v>
      </x:c>
      <x:c r="E162" s="39" t="str">
        <x:v>بله</x:v>
      </x:c>
      <x:c r="F162" s="39" t="str"/>
      <x:c r="G162" s="39" t="str">
        <x:v>Users.user_id</x:v>
      </x:c>
      <x:c r="H162" s="289" t="str"/>
    </x:row>
    <x:row r="163">
      <x:c r="A163" s="288" t="str">
        <x:v>Campaigns</x:v>
      </x:c>
      <x:c r="B163" s="39" t="str">
        <x:v>campaign_id</x:v>
      </x:c>
      <x:c r="C163" s="39" t="str">
        <x:v>شناسه کمپین</x:v>
      </x:c>
      <x:c r="D163" s="39" t="str">
        <x:v>UUID</x:v>
      </x:c>
      <x:c r="E163" s="39" t="str">
        <x:v>بله</x:v>
      </x:c>
      <x:c r="F163" s="39" t="str"/>
      <x:c r="G163" s="39" t="str"/>
      <x:c r="H163" s="289" t="str"/>
    </x:row>
    <x:row r="164">
      <x:c r="A164" s="288" t="str">
        <x:v>Campaigns</x:v>
      </x:c>
      <x:c r="B164" s="39" t="str">
        <x:v>name</x:v>
      </x:c>
      <x:c r="C164" s="39" t="str">
        <x:v>نام کمپین</x:v>
      </x:c>
      <x:c r="D164" s="39" t="str">
        <x:v>text</x:v>
      </x:c>
      <x:c r="E164" s="39" t="str">
        <x:v>بله</x:v>
      </x:c>
      <x:c r="F164" s="39" t="str"/>
      <x:c r="G164" s="39" t="str"/>
      <x:c r="H164" s="289" t="str"/>
    </x:row>
    <x:row r="165">
      <x:c r="A165" s="288" t="str">
        <x:v>Campaigns</x:v>
      </x:c>
      <x:c r="B165" s="39" t="str">
        <x:v>channel</x:v>
      </x:c>
      <x:c r="C165" s="39" t="str">
        <x:v>کانال</x:v>
      </x:c>
      <x:c r="D165" s="39" t="str">
        <x:v>enum</x:v>
      </x:c>
      <x:c r="E165" s="39" t="str">
        <x:v>بله</x:v>
      </x:c>
      <x:c r="F165" s="39" t="str"/>
      <x:c r="G165" s="39" t="str"/>
      <x:c r="H165" s="289" t="str"/>
    </x:row>
    <x:row r="166">
      <x:c r="A166" s="288" t="str">
        <x:v>Campaigns</x:v>
      </x:c>
      <x:c r="B166" s="39" t="str">
        <x:v>start_at</x:v>
      </x:c>
      <x:c r="C166" s="39" t="str">
        <x:v>شروع</x:v>
      </x:c>
      <x:c r="D166" s="39" t="str">
        <x:v>date</x:v>
      </x:c>
      <x:c r="E166" s="39" t="str">
        <x:v>خیر</x:v>
      </x:c>
      <x:c r="F166" s="39" t="str"/>
      <x:c r="G166" s="39" t="str"/>
      <x:c r="H166" s="289" t="str"/>
    </x:row>
    <x:row r="167">
      <x:c r="A167" s="288" t="str">
        <x:v>Campaigns</x:v>
      </x:c>
      <x:c r="B167" s="39" t="str">
        <x:v>end_at</x:v>
      </x:c>
      <x:c r="C167" s="39" t="str">
        <x:v>پایان</x:v>
      </x:c>
      <x:c r="D167" s="39" t="str">
        <x:v>date</x:v>
      </x:c>
      <x:c r="E167" s="39" t="str">
        <x:v>خیر</x:v>
      </x:c>
      <x:c r="F167" s="39" t="str"/>
      <x:c r="G167" s="39" t="str"/>
      <x:c r="H167" s="289" t="str"/>
    </x:row>
    <x:row r="168">
      <x:c r="A168" s="288" t="str">
        <x:v>Campaigns</x:v>
      </x:c>
      <x:c r="B168" s="39" t="str">
        <x:v>budget</x:v>
      </x:c>
      <x:c r="C168" s="39" t="str">
        <x:v>بودجه (ریال)</x:v>
      </x:c>
      <x:c r="D168" s="39" t="str">
        <x:v>integer</x:v>
      </x:c>
      <x:c r="E168" s="39" t="str">
        <x:v>خیر</x:v>
      </x:c>
      <x:c r="F168" s="39" t="str"/>
      <x:c r="G168" s="39" t="str"/>
      <x:c r="H168" s="289" t="str"/>
    </x:row>
    <x:row r="169">
      <x:c r="A169" s="288" t="str">
        <x:v>Campaigns</x:v>
      </x:c>
      <x:c r="B169" s="39" t="str">
        <x:v>tracking_code</x:v>
      </x:c>
      <x:c r="C169" s="39" t="str">
        <x:v>کد رهگیری</x:v>
      </x:c>
      <x:c r="D169" s="39" t="str">
        <x:v>text</x:v>
      </x:c>
      <x:c r="E169" s="39" t="str">
        <x:v>خیر</x:v>
      </x:c>
      <x:c r="F169" s="39" t="str"/>
      <x:c r="G169" s="39" t="str"/>
      <x:c r="H169" s="289" t="str"/>
    </x:row>
    <x:row r="170">
      <x:c r="A170" s="288" t="str">
        <x:v>Campaigns</x:v>
      </x:c>
      <x:c r="B170" s="39" t="str">
        <x:v>leads_count</x:v>
      </x:c>
      <x:c r="C170" s="39" t="str">
        <x:v>تعداد ورودی</x:v>
      </x:c>
      <x:c r="D170" s="39" t="str">
        <x:v>formula/integer</x:v>
      </x:c>
      <x:c r="E170" s="39" t="str">
        <x:v>خیر</x:v>
      </x:c>
      <x:c r="F170" s="39" t="str"/>
      <x:c r="G170" s="39" t="str">
        <x:v>Leads.campaign_id</x:v>
      </x:c>
      <x:c r="H170" s="289" t="str"/>
    </x:row>
    <x:row r="171">
      <x:c r="A171" s="288" t="str">
        <x:v>Campaigns</x:v>
      </x:c>
      <x:c r="B171" s="39" t="str">
        <x:v>won_revenue</x:v>
      </x:c>
      <x:c r="C171" s="39" t="str">
        <x:v>درآمد برده (ریال)</x:v>
      </x:c>
      <x:c r="D171" s="39" t="str">
        <x:v>formula/integer</x:v>
      </x:c>
      <x:c r="E171" s="39" t="str">
        <x:v>خیر</x:v>
      </x:c>
      <x:c r="F171" s="39" t="str"/>
      <x:c r="G171" s="39" t="str">
        <x:v>Orders/Opportunities</x:v>
      </x:c>
      <x:c r="H171" s="289" t="str"/>
    </x:row>
    <x:row r="172">
      <x:c r="A172" s="288" t="str">
        <x:v>Campaigns</x:v>
      </x:c>
      <x:c r="B172" s="39" t="str">
        <x:v>status</x:v>
      </x:c>
      <x:c r="C172" s="39" t="str">
        <x:v>وضعیت</x:v>
      </x:c>
      <x:c r="D172" s="39" t="str">
        <x:v>enum</x:v>
      </x:c>
      <x:c r="E172" s="39" t="str">
        <x:v>بله</x:v>
      </x:c>
      <x:c r="F172" s="39" t="str">
        <x:v>draft,active,paused,ended</x:v>
      </x:c>
      <x:c r="G172" s="39" t="str"/>
      <x:c r="H172" s="289" t="str"/>
    </x:row>
    <x:row r="173">
      <x:c r="A173" s="288" t="str">
        <x:v>Campaigns</x:v>
      </x:c>
      <x:c r="B173" s="39" t="str">
        <x:v>created_at</x:v>
      </x:c>
      <x:c r="C173" s="39" t="str">
        <x:v>زمان ایجاد</x:v>
      </x:c>
      <x:c r="D173" s="39" t="str">
        <x:v>datetime</x:v>
      </x:c>
      <x:c r="E173" s="39" t="str">
        <x:v>بله</x:v>
      </x:c>
      <x:c r="F173" s="39" t="str"/>
      <x:c r="G173" s="39" t="str"/>
      <x:c r="H173" s="289" t="str"/>
    </x:row>
    <x:row r="174">
      <x:c r="A174" s="288" t="str">
        <x:v>Campaigns</x:v>
      </x:c>
      <x:c r="B174" s="39" t="str">
        <x:v>created_by</x:v>
      </x:c>
      <x:c r="C174" s="39" t="str">
        <x:v>ایجادکننده</x:v>
      </x:c>
      <x:c r="D174" s="39" t="str">
        <x:v>FK</x:v>
      </x:c>
      <x:c r="E174" s="39" t="str">
        <x:v>بله</x:v>
      </x:c>
      <x:c r="F174" s="39" t="str"/>
      <x:c r="G174" s="39" t="str">
        <x:v>Users.user_id</x:v>
      </x:c>
      <x:c r="H174" s="289" t="str"/>
    </x:row>
    <x:row r="175">
      <x:c r="A175" s="288" t="str">
        <x:v>Campaigns</x:v>
      </x:c>
      <x:c r="B175" s="39" t="str">
        <x:v>updated_at</x:v>
      </x:c>
      <x:c r="C175" s="39" t="str">
        <x:v>آخرین تغییر</x:v>
      </x:c>
      <x:c r="D175" s="39" t="str">
        <x:v>datetime</x:v>
      </x:c>
      <x:c r="E175" s="39" t="str">
        <x:v>بله</x:v>
      </x:c>
      <x:c r="F175" s="39" t="str"/>
      <x:c r="G175" s="39" t="str"/>
      <x:c r="H175" s="289" t="str"/>
    </x:row>
    <x:row r="176">
      <x:c r="A176" s="288" t="str">
        <x:v>Campaigns</x:v>
      </x:c>
      <x:c r="B176" s="39" t="str">
        <x:v>updated_by</x:v>
      </x:c>
      <x:c r="C176" s="39" t="str">
        <x:v>تغییردهنده</x:v>
      </x:c>
      <x:c r="D176" s="39" t="str">
        <x:v>FK</x:v>
      </x:c>
      <x:c r="E176" s="39" t="str">
        <x:v>بله</x:v>
      </x:c>
      <x:c r="F176" s="39" t="str"/>
      <x:c r="G176" s="39" t="str">
        <x:v>Users.user_id</x:v>
      </x:c>
      <x:c r="H176" s="289" t="str"/>
    </x:row>
    <x:row r="177">
      <x:c r="A177" s="288" t="str">
        <x:v>Campaigns</x:v>
      </x:c>
      <x:c r="B177" s="39" t="str">
        <x:v>is_deleted</x:v>
      </x:c>
      <x:c r="C177" s="39" t="str">
        <x:v>حذف نرم</x:v>
      </x:c>
      <x:c r="D177" s="39" t="str">
        <x:v>boolean</x:v>
      </x:c>
      <x:c r="E177" s="39" t="str">
        <x:v>بله</x:v>
      </x:c>
      <x:c r="F177" s="39" t="str">
        <x:v>TRUE,FALSE</x:v>
      </x:c>
      <x:c r="G177" s="39" t="str"/>
      <x:c r="H177" s="289" t="str"/>
    </x:row>
    <x:row r="178">
      <x:c r="A178" s="288" t="str">
        <x:v>MessageTemplates</x:v>
      </x:c>
      <x:c r="B178" s="39" t="str">
        <x:v>template_id</x:v>
      </x:c>
      <x:c r="C178" s="39" t="str">
        <x:v>شناسه قالب</x:v>
      </x:c>
      <x:c r="D178" s="39" t="str">
        <x:v>UUID</x:v>
      </x:c>
      <x:c r="E178" s="39" t="str">
        <x:v>بله</x:v>
      </x:c>
      <x:c r="F178" s="39" t="str"/>
      <x:c r="G178" s="39" t="str"/>
      <x:c r="H178" s="289" t="str"/>
    </x:row>
    <x:row r="179">
      <x:c r="A179" s="288" t="str">
        <x:v>MessageTemplates</x:v>
      </x:c>
      <x:c r="B179" s="39" t="str">
        <x:v>code</x:v>
      </x:c>
      <x:c r="C179" s="39" t="str">
        <x:v>کد ثابت</x:v>
      </x:c>
      <x:c r="D179" s="39" t="str">
        <x:v>text</x:v>
      </x:c>
      <x:c r="E179" s="39" t="str">
        <x:v>بله</x:v>
      </x:c>
      <x:c r="F179" s="39" t="str"/>
      <x:c r="G179" s="39" t="str"/>
      <x:c r="H179" s="289" t="str"/>
    </x:row>
    <x:row r="180">
      <x:c r="A180" s="288" t="str">
        <x:v>MessageTemplates</x:v>
      </x:c>
      <x:c r="B180" s="39" t="str">
        <x:v>channel</x:v>
      </x:c>
      <x:c r="C180" s="39" t="str">
        <x:v>کانال</x:v>
      </x:c>
      <x:c r="D180" s="39" t="str">
        <x:v>enum</x:v>
      </x:c>
      <x:c r="E180" s="39" t="str">
        <x:v>بله</x:v>
      </x:c>
      <x:c r="F180" s="39" t="str"/>
      <x:c r="G180" s="39" t="str"/>
      <x:c r="H180" s="289" t="str"/>
    </x:row>
    <x:row r="181">
      <x:c r="A181" s="288" t="str">
        <x:v>MessageTemplates</x:v>
      </x:c>
      <x:c r="B181" s="39" t="str">
        <x:v>purpose</x:v>
      </x:c>
      <x:c r="C181" s="39" t="str">
        <x:v>هدف</x:v>
      </x:c>
      <x:c r="D181" s="39" t="str">
        <x:v>enum</x:v>
      </x:c>
      <x:c r="E181" s="39" t="str">
        <x:v>بله</x:v>
      </x:c>
      <x:c r="F181" s="39" t="str"/>
      <x:c r="G181" s="39" t="str"/>
      <x:c r="H181" s="289" t="str"/>
    </x:row>
    <x:row r="182">
      <x:c r="A182" s="288" t="str">
        <x:v>MessageTemplates</x:v>
      </x:c>
      <x:c r="B182" s="39" t="str">
        <x:v>body_fa</x:v>
      </x:c>
      <x:c r="C182" s="39" t="str">
        <x:v>متن فارسی</x:v>
      </x:c>
      <x:c r="D182" s="39" t="str">
        <x:v>long text</x:v>
      </x:c>
      <x:c r="E182" s="39" t="str">
        <x:v>بله</x:v>
      </x:c>
      <x:c r="F182" s="39" t="str"/>
      <x:c r="G182" s="39" t="str"/>
      <x:c r="H182" s="289" t="str"/>
    </x:row>
    <x:row r="183">
      <x:c r="A183" s="288" t="str">
        <x:v>MessageTemplates</x:v>
      </x:c>
      <x:c r="B183" s="39" t="str">
        <x:v>variables</x:v>
      </x:c>
      <x:c r="C183" s="39" t="str">
        <x:v>متغیرها</x:v>
      </x:c>
      <x:c r="D183" s="39" t="str">
        <x:v>text/JSON</x:v>
      </x:c>
      <x:c r="E183" s="39" t="str">
        <x:v>بله</x:v>
      </x:c>
      <x:c r="F183" s="39" t="str"/>
      <x:c r="G183" s="39" t="str"/>
      <x:c r="H183" s="289" t="str"/>
    </x:row>
    <x:row r="184">
      <x:c r="A184" s="288" t="str">
        <x:v>MessageTemplates</x:v>
      </x:c>
      <x:c r="B184" s="39" t="str">
        <x:v>requires_opt_in</x:v>
      </x:c>
      <x:c r="C184" s="39" t="str">
        <x:v>نیازمند رضایت</x:v>
      </x:c>
      <x:c r="D184" s="39" t="str">
        <x:v>boolean</x:v>
      </x:c>
      <x:c r="E184" s="39" t="str">
        <x:v>بله</x:v>
      </x:c>
      <x:c r="F184" s="39" t="str">
        <x:v>TRUE,FALSE</x:v>
      </x:c>
      <x:c r="G184" s="39" t="str"/>
      <x:c r="H184" s="289" t="str"/>
    </x:row>
    <x:row r="185">
      <x:c r="A185" s="288" t="str">
        <x:v>MessageTemplates</x:v>
      </x:c>
      <x:c r="B185" s="39" t="str">
        <x:v>official_template_id</x:v>
      </x:c>
      <x:c r="C185" s="39" t="str">
        <x:v>شناسه رسمی Meta</x:v>
      </x:c>
      <x:c r="D185" s="39" t="str">
        <x:v>text</x:v>
      </x:c>
      <x:c r="E185" s="39" t="str">
        <x:v>خیر</x:v>
      </x:c>
      <x:c r="F185" s="39" t="str"/>
      <x:c r="G185" s="39" t="str"/>
      <x:c r="H185" s="289" t="str"/>
    </x:row>
    <x:row r="186">
      <x:c r="A186" s="288" t="str">
        <x:v>MessageTemplates</x:v>
      </x:c>
      <x:c r="B186" s="39" t="str">
        <x:v>active</x:v>
      </x:c>
      <x:c r="C186" s="39" t="str">
        <x:v>فعال</x:v>
      </x:c>
      <x:c r="D186" s="39" t="str">
        <x:v>boolean</x:v>
      </x:c>
      <x:c r="E186" s="39" t="str">
        <x:v>بله</x:v>
      </x:c>
      <x:c r="F186" s="39" t="str">
        <x:v>TRUE,FALSE</x:v>
      </x:c>
      <x:c r="G186" s="39" t="str"/>
      <x:c r="H186" s="289" t="str"/>
    </x:row>
    <x:row r="187">
      <x:c r="A187" s="288" t="str">
        <x:v>MessageTemplates</x:v>
      </x:c>
      <x:c r="B187" s="39" t="str">
        <x:v>updated_at</x:v>
      </x:c>
      <x:c r="C187" s="39" t="str">
        <x:v>آخرین تغییر</x:v>
      </x:c>
      <x:c r="D187" s="39" t="str">
        <x:v>datetime</x:v>
      </x:c>
      <x:c r="E187" s="39" t="str">
        <x:v>بله</x:v>
      </x:c>
      <x:c r="F187" s="39" t="str"/>
      <x:c r="G187" s="39" t="str"/>
      <x:c r="H187" s="289" t="str"/>
    </x:row>
    <x:row r="188">
      <x:c r="A188" s="288" t="str">
        <x:v>MessageTemplates</x:v>
      </x:c>
      <x:c r="B188" s="39" t="str">
        <x:v>updated_by</x:v>
      </x:c>
      <x:c r="C188" s="39" t="str">
        <x:v>تغییردهنده</x:v>
      </x:c>
      <x:c r="D188" s="39" t="str">
        <x:v>FK</x:v>
      </x:c>
      <x:c r="E188" s="39" t="str">
        <x:v>بله</x:v>
      </x:c>
      <x:c r="F188" s="39" t="str"/>
      <x:c r="G188" s="39" t="str">
        <x:v>Users.user_id</x:v>
      </x:c>
      <x:c r="H188" s="289" t="str"/>
    </x:row>
    <x:row r="189">
      <x:c r="A189" s="288" t="str">
        <x:v>Settings</x:v>
      </x:c>
      <x:c r="B189" s="39" t="str">
        <x:v>setting_key</x:v>
      </x:c>
      <x:c r="C189" s="39" t="str">
        <x:v>کلید تنظیم</x:v>
      </x:c>
      <x:c r="D189" s="39" t="str">
        <x:v>text</x:v>
      </x:c>
      <x:c r="E189" s="39" t="str">
        <x:v>بله</x:v>
      </x:c>
      <x:c r="F189" s="39" t="str"/>
      <x:c r="G189" s="39" t="str"/>
      <x:c r="H189" s="289" t="str"/>
    </x:row>
    <x:row r="190">
      <x:c r="A190" s="288" t="str">
        <x:v>Settings</x:v>
      </x:c>
      <x:c r="B190" s="39" t="str">
        <x:v>setting_value</x:v>
      </x:c>
      <x:c r="C190" s="39" t="str">
        <x:v>مقدار</x:v>
      </x:c>
      <x:c r="D190" s="39" t="str">
        <x:v>text</x:v>
      </x:c>
      <x:c r="E190" s="39" t="str">
        <x:v>بله</x:v>
      </x:c>
      <x:c r="F190" s="39" t="str"/>
      <x:c r="G190" s="39" t="str"/>
      <x:c r="H190" s="289" t="str"/>
    </x:row>
    <x:row r="191">
      <x:c r="A191" s="288" t="str">
        <x:v>Settings</x:v>
      </x:c>
      <x:c r="B191" s="39" t="str">
        <x:v>data_type</x:v>
      </x:c>
      <x:c r="C191" s="39" t="str">
        <x:v>نوع داده</x:v>
      </x:c>
      <x:c r="D191" s="39" t="str">
        <x:v>enum</x:v>
      </x:c>
      <x:c r="E191" s="39" t="str">
        <x:v>بله</x:v>
      </x:c>
      <x:c r="F191" s="39" t="str">
        <x:v>text,number,boolean,json,time</x:v>
      </x:c>
      <x:c r="G191" s="39" t="str"/>
      <x:c r="H191" s="289" t="str"/>
    </x:row>
    <x:row r="192">
      <x:c r="A192" s="288" t="str">
        <x:v>Settings</x:v>
      </x:c>
      <x:c r="B192" s="39" t="str">
        <x:v>category</x:v>
      </x:c>
      <x:c r="C192" s="39" t="str">
        <x:v>گروه</x:v>
      </x:c>
      <x:c r="D192" s="39" t="str">
        <x:v>text</x:v>
      </x:c>
      <x:c r="E192" s="39" t="str">
        <x:v>بله</x:v>
      </x:c>
      <x:c r="F192" s="39" t="str"/>
      <x:c r="G192" s="39" t="str"/>
      <x:c r="H192" s="289" t="str"/>
    </x:row>
    <x:row r="193">
      <x:c r="A193" s="288" t="str">
        <x:v>Settings</x:v>
      </x:c>
      <x:c r="B193" s="39" t="str">
        <x:v>editable_by</x:v>
      </x:c>
      <x:c r="C193" s="39" t="str">
        <x:v>قابل تغییر توسط</x:v>
      </x:c>
      <x:c r="D193" s="39" t="str">
        <x:v>enum</x:v>
      </x:c>
      <x:c r="E193" s="39" t="str">
        <x:v>بله</x:v>
      </x:c>
      <x:c r="F193" s="39" t="str">
        <x:v>owner,manager,system</x:v>
      </x:c>
      <x:c r="G193" s="39" t="str"/>
      <x:c r="H193" s="289" t="str"/>
    </x:row>
    <x:row r="194">
      <x:c r="A194" s="288" t="str">
        <x:v>Settings</x:v>
      </x:c>
      <x:c r="B194" s="39" t="str">
        <x:v>description</x:v>
      </x:c>
      <x:c r="C194" s="39" t="str">
        <x:v>توضیح</x:v>
      </x:c>
      <x:c r="D194" s="39" t="str">
        <x:v>text</x:v>
      </x:c>
      <x:c r="E194" s="39" t="str">
        <x:v>خیر</x:v>
      </x:c>
      <x:c r="F194" s="39" t="str"/>
      <x:c r="G194" s="39" t="str"/>
      <x:c r="H194" s="289" t="str"/>
    </x:row>
    <x:row r="195">
      <x:c r="A195" s="288" t="str">
        <x:v>Settings</x:v>
      </x:c>
      <x:c r="B195" s="39" t="str">
        <x:v>updated_at</x:v>
      </x:c>
      <x:c r="C195" s="39" t="str">
        <x:v>آخرین تغییر</x:v>
      </x:c>
      <x:c r="D195" s="39" t="str">
        <x:v>datetime</x:v>
      </x:c>
      <x:c r="E195" s="39" t="str">
        <x:v>بله</x:v>
      </x:c>
      <x:c r="F195" s="39" t="str"/>
      <x:c r="G195" s="39" t="str"/>
      <x:c r="H195" s="289" t="str"/>
    </x:row>
    <x:row r="196">
      <x:c r="A196" s="288" t="str">
        <x:v>Settings</x:v>
      </x:c>
      <x:c r="B196" s="39" t="str">
        <x:v>updated_by</x:v>
      </x:c>
      <x:c r="C196" s="39" t="str">
        <x:v>تغییردهنده</x:v>
      </x:c>
      <x:c r="D196" s="39" t="str">
        <x:v>FK</x:v>
      </x:c>
      <x:c r="E196" s="39" t="str">
        <x:v>بله</x:v>
      </x:c>
      <x:c r="F196" s="39" t="str"/>
      <x:c r="G196" s="39" t="str">
        <x:v>Users.user_id</x:v>
      </x:c>
      <x:c r="H196" s="289" t="str"/>
    </x:row>
    <x:row r="197">
      <x:c r="A197" s="288" t="str">
        <x:v>ActivityLogs</x:v>
      </x:c>
      <x:c r="B197" s="39" t="str">
        <x:v>log_id</x:v>
      </x:c>
      <x:c r="C197" s="39" t="str">
        <x:v>شناسه لاگ</x:v>
      </x:c>
      <x:c r="D197" s="39" t="str">
        <x:v>UUID</x:v>
      </x:c>
      <x:c r="E197" s="39" t="str">
        <x:v>بله</x:v>
      </x:c>
      <x:c r="F197" s="39" t="str"/>
      <x:c r="G197" s="39" t="str"/>
      <x:c r="H197" s="289" t="str"/>
    </x:row>
    <x:row r="198">
      <x:c r="A198" s="288" t="str">
        <x:v>ActivityLogs</x:v>
      </x:c>
      <x:c r="B198" s="39" t="str">
        <x:v>event_key</x:v>
      </x:c>
      <x:c r="C198" s="39" t="str">
        <x:v>کلید رویداد</x:v>
      </x:c>
      <x:c r="D198" s="39" t="str">
        <x:v>text</x:v>
      </x:c>
      <x:c r="E198" s="39" t="str">
        <x:v>بله</x:v>
      </x:c>
      <x:c r="F198" s="39" t="str"/>
      <x:c r="G198" s="39" t="str"/>
      <x:c r="H198" s="289" t="str"/>
    </x:row>
    <x:row r="199">
      <x:c r="A199" s="288" t="str">
        <x:v>ActivityLogs</x:v>
      </x:c>
      <x:c r="B199" s="39" t="str">
        <x:v>occurred_at</x:v>
      </x:c>
      <x:c r="C199" s="39" t="str">
        <x:v>زمان</x:v>
      </x:c>
      <x:c r="D199" s="39" t="str">
        <x:v>datetime</x:v>
      </x:c>
      <x:c r="E199" s="39" t="str">
        <x:v>بله</x:v>
      </x:c>
      <x:c r="F199" s="39" t="str"/>
      <x:c r="G199" s="39" t="str"/>
      <x:c r="H199" s="289" t="str"/>
    </x:row>
    <x:row r="200">
      <x:c r="A200" s="288" t="str">
        <x:v>ActivityLogs</x:v>
      </x:c>
      <x:c r="B200" s="39" t="str">
        <x:v>actor_type</x:v>
      </x:c>
      <x:c r="C200" s="39" t="str">
        <x:v>نوع عامل</x:v>
      </x:c>
      <x:c r="D200" s="39" t="str">
        <x:v>enum</x:v>
      </x:c>
      <x:c r="E200" s="39" t="str">
        <x:v>بله</x:v>
      </x:c>
      <x:c r="F200" s="39" t="str">
        <x:v>user,system,api</x:v>
      </x:c>
      <x:c r="G200" s="39" t="str"/>
      <x:c r="H200" s="289" t="str"/>
    </x:row>
    <x:row r="201">
      <x:c r="A201" s="288" t="str">
        <x:v>ActivityLogs</x:v>
      </x:c>
      <x:c r="B201" s="39" t="str">
        <x:v>actor_id</x:v>
      </x:c>
      <x:c r="C201" s="39" t="str">
        <x:v>عامل</x:v>
      </x:c>
      <x:c r="D201" s="39" t="str">
        <x:v>text/FK</x:v>
      </x:c>
      <x:c r="E201" s="39" t="str">
        <x:v>بله</x:v>
      </x:c>
      <x:c r="F201" s="39" t="str"/>
      <x:c r="G201" s="39" t="str"/>
      <x:c r="H201" s="289" t="str"/>
    </x:row>
    <x:row r="202">
      <x:c r="A202" s="288" t="str">
        <x:v>ActivityLogs</x:v>
      </x:c>
      <x:c r="B202" s="39" t="str">
        <x:v>action</x:v>
      </x:c>
      <x:c r="C202" s="39" t="str">
        <x:v>عملیات</x:v>
      </x:c>
      <x:c r="D202" s="39" t="str">
        <x:v>enum</x:v>
      </x:c>
      <x:c r="E202" s="39" t="str">
        <x:v>بله</x:v>
      </x:c>
      <x:c r="F202" s="39" t="str"/>
      <x:c r="G202" s="39" t="str"/>
      <x:c r="H202" s="289" t="str"/>
    </x:row>
    <x:row r="203">
      <x:c r="A203" s="288" t="str">
        <x:v>ActivityLogs</x:v>
      </x:c>
      <x:c r="B203" s="39" t="str">
        <x:v>entity_type</x:v>
      </x:c>
      <x:c r="C203" s="39" t="str">
        <x:v>نوع رکورد</x:v>
      </x:c>
      <x:c r="D203" s="39" t="str">
        <x:v>enum</x:v>
      </x:c>
      <x:c r="E203" s="39" t="str">
        <x:v>بله</x:v>
      </x:c>
      <x:c r="F203" s="39" t="str"/>
      <x:c r="G203" s="39" t="str"/>
      <x:c r="H203" s="289" t="str"/>
    </x:row>
    <x:row r="204">
      <x:c r="A204" s="288" t="str">
        <x:v>ActivityLogs</x:v>
      </x:c>
      <x:c r="B204" s="39" t="str">
        <x:v>entity_id</x:v>
      </x:c>
      <x:c r="C204" s="39" t="str">
        <x:v>شناسه رکورد</x:v>
      </x:c>
      <x:c r="D204" s="39" t="str">
        <x:v>text/FK</x:v>
      </x:c>
      <x:c r="E204" s="39" t="str">
        <x:v>بله</x:v>
      </x:c>
      <x:c r="F204" s="39" t="str"/>
      <x:c r="G204" s="39" t="str"/>
      <x:c r="H204" s="289" t="str"/>
    </x:row>
    <x:row r="205">
      <x:c r="A205" s="288" t="str">
        <x:v>ActivityLogs</x:v>
      </x:c>
      <x:c r="B205" s="39" t="str">
        <x:v>before_json</x:v>
      </x:c>
      <x:c r="C205" s="39" t="str">
        <x:v>قبل</x:v>
      </x:c>
      <x:c r="D205" s="39" t="str">
        <x:v>JSON</x:v>
      </x:c>
      <x:c r="E205" s="39" t="str">
        <x:v>خیر</x:v>
      </x:c>
      <x:c r="F205" s="39" t="str"/>
      <x:c r="G205" s="39" t="str"/>
      <x:c r="H205" s="289" t="str"/>
    </x:row>
    <x:row r="206">
      <x:c r="A206" s="288" t="str">
        <x:v>ActivityLogs</x:v>
      </x:c>
      <x:c r="B206" s="39" t="str">
        <x:v>after_json</x:v>
      </x:c>
      <x:c r="C206" s="39" t="str">
        <x:v>بعد</x:v>
      </x:c>
      <x:c r="D206" s="39" t="str">
        <x:v>JSON</x:v>
      </x:c>
      <x:c r="E206" s="39" t="str">
        <x:v>خیر</x:v>
      </x:c>
      <x:c r="F206" s="39" t="str"/>
      <x:c r="G206" s="39" t="str"/>
      <x:c r="H206" s="289" t="str"/>
    </x:row>
    <x:row r="207">
      <x:c r="A207" s="288" t="str">
        <x:v>ActivityLogs</x:v>
      </x:c>
      <x:c r="B207" s="39" t="str">
        <x:v>status</x:v>
      </x:c>
      <x:c r="C207" s="39" t="str">
        <x:v>نتیجه</x:v>
      </x:c>
      <x:c r="D207" s="39" t="str">
        <x:v>enum</x:v>
      </x:c>
      <x:c r="E207" s="39" t="str">
        <x:v>بله</x:v>
      </x:c>
      <x:c r="F207" s="39" t="str">
        <x:v>success,failed,skipped</x:v>
      </x:c>
      <x:c r="G207" s="39" t="str"/>
      <x:c r="H207" s="289" t="str"/>
    </x:row>
    <x:row r="208">
      <x:c r="A208" s="288" t="str">
        <x:v>ActivityLogs</x:v>
      </x:c>
      <x:c r="B208" s="39" t="str">
        <x:v>error_code</x:v>
      </x:c>
      <x:c r="C208" s="39" t="str">
        <x:v>کد خطا</x:v>
      </x:c>
      <x:c r="D208" s="39" t="str">
        <x:v>text</x:v>
      </x:c>
      <x:c r="E208" s="39" t="str">
        <x:v>خیر</x:v>
      </x:c>
      <x:c r="F208" s="39" t="str"/>
      <x:c r="G208" s="39" t="str"/>
      <x:c r="H208" s="289" t="str"/>
    </x:row>
    <x:row r="209">
      <x:c r="A209" s="288" t="str">
        <x:v>ActivityLogs</x:v>
      </x:c>
      <x:c r="B209" s="39" t="str">
        <x:v>correlation_id</x:v>
      </x:c>
      <x:c r="C209" s="39" t="str">
        <x:v>شناسه زنجیره</x:v>
      </x:c>
      <x:c r="D209" s="39" t="str">
        <x:v>text</x:v>
      </x:c>
      <x:c r="E209" s="39" t="str">
        <x:v>خیر</x:v>
      </x:c>
      <x:c r="F209" s="39" t="str"/>
      <x:c r="G209" s="39" t="str"/>
      <x:c r="H209" s="289" t="str"/>
    </x:row>
    <x:row r="210">
      <x:c r="A210" s="288" t="str">
        <x:v>DashboardData</x:v>
      </x:c>
      <x:c r="B210" s="39" t="str">
        <x:v>snapshot_at</x:v>
      </x:c>
      <x:c r="C210" s="39" t="str">
        <x:v>زمان محاسبه</x:v>
      </x:c>
      <x:c r="D210" s="39" t="str">
        <x:v>datetime</x:v>
      </x:c>
      <x:c r="E210" s="39" t="str">
        <x:v>بله</x:v>
      </x:c>
      <x:c r="F210" s="39" t="str"/>
      <x:c r="G210" s="39" t="str"/>
      <x:c r="H210" s="289" t="str"/>
    </x:row>
    <x:row r="211">
      <x:c r="A211" s="288" t="str">
        <x:v>DashboardData</x:v>
      </x:c>
      <x:c r="B211" s="39" t="str">
        <x:v>metric_code</x:v>
      </x:c>
      <x:c r="C211" s="39" t="str">
        <x:v>کد شاخص</x:v>
      </x:c>
      <x:c r="D211" s="39" t="str">
        <x:v>text</x:v>
      </x:c>
      <x:c r="E211" s="39" t="str">
        <x:v>بله</x:v>
      </x:c>
      <x:c r="F211" s="39" t="str"/>
      <x:c r="G211" s="39" t="str"/>
      <x:c r="H211" s="289" t="str"/>
    </x:row>
    <x:row r="212">
      <x:c r="A212" s="288" t="str">
        <x:v>DashboardData</x:v>
      </x:c>
      <x:c r="B212" s="39" t="str">
        <x:v>dimension_type</x:v>
      </x:c>
      <x:c r="C212" s="39" t="str">
        <x:v>نوع بُعد</x:v>
      </x:c>
      <x:c r="D212" s="39" t="str">
        <x:v>text</x:v>
      </x:c>
      <x:c r="E212" s="39" t="str">
        <x:v>خیر</x:v>
      </x:c>
      <x:c r="F212" s="39" t="str"/>
      <x:c r="G212" s="39" t="str"/>
      <x:c r="H212" s="289" t="str"/>
    </x:row>
    <x:row r="213">
      <x:c r="A213" s="288" t="str">
        <x:v>DashboardData</x:v>
      </x:c>
      <x:c r="B213" s="39" t="str">
        <x:v>dimension_value</x:v>
      </x:c>
      <x:c r="C213" s="39" t="str">
        <x:v>مقدار بُعد</x:v>
      </x:c>
      <x:c r="D213" s="39" t="str">
        <x:v>text</x:v>
      </x:c>
      <x:c r="E213" s="39" t="str">
        <x:v>خیر</x:v>
      </x:c>
      <x:c r="F213" s="39" t="str"/>
      <x:c r="G213" s="39" t="str"/>
      <x:c r="H213" s="289" t="str"/>
    </x:row>
    <x:row r="214">
      <x:c r="A214" s="288" t="str">
        <x:v>DashboardData</x:v>
      </x:c>
      <x:c r="B214" s="39" t="str">
        <x:v>period_type</x:v>
      </x:c>
      <x:c r="C214" s="39" t="str">
        <x:v>نوع دوره</x:v>
      </x:c>
      <x:c r="D214" s="39" t="str">
        <x:v>enum</x:v>
      </x:c>
      <x:c r="E214" s="39" t="str">
        <x:v>بله</x:v>
      </x:c>
      <x:c r="F214" s="39" t="str">
        <x:v>day,week,month,rolling</x:v>
      </x:c>
      <x:c r="G214" s="39" t="str"/>
      <x:c r="H214" s="289" t="str"/>
    </x:row>
    <x:row r="215">
      <x:c r="A215" s="288" t="str">
        <x:v>DashboardData</x:v>
      </x:c>
      <x:c r="B215" s="39" t="str">
        <x:v>period_start</x:v>
      </x:c>
      <x:c r="C215" s="39" t="str">
        <x:v>شروع دوره</x:v>
      </x:c>
      <x:c r="D215" s="39" t="str">
        <x:v>date</x:v>
      </x:c>
      <x:c r="E215" s="39" t="str">
        <x:v>بله</x:v>
      </x:c>
      <x:c r="F215" s="39" t="str"/>
      <x:c r="G215" s="39" t="str"/>
      <x:c r="H215" s="289" t="str"/>
    </x:row>
    <x:row r="216">
      <x:c r="A216" s="288" t="str">
        <x:v>DashboardData</x:v>
      </x:c>
      <x:c r="B216" s="39" t="str">
        <x:v>period_end</x:v>
      </x:c>
      <x:c r="C216" s="39" t="str">
        <x:v>پایان دوره</x:v>
      </x:c>
      <x:c r="D216" s="39" t="str">
        <x:v>date</x:v>
      </x:c>
      <x:c r="E216" s="39" t="str">
        <x:v>بله</x:v>
      </x:c>
      <x:c r="F216" s="39" t="str"/>
      <x:c r="G216" s="39" t="str"/>
      <x:c r="H216" s="289" t="str"/>
    </x:row>
    <x:row r="217">
      <x:c r="A217" s="288" t="str">
        <x:v>DashboardData</x:v>
      </x:c>
      <x:c r="B217" s="39" t="str">
        <x:v>metric_value</x:v>
      </x:c>
      <x:c r="C217" s="39" t="str">
        <x:v>مقدار شاخص</x:v>
      </x:c>
      <x:c r="D217" s="39" t="str">
        <x:v>number</x:v>
      </x:c>
      <x:c r="E217" s="39" t="str">
        <x:v>بله</x:v>
      </x:c>
      <x:c r="F217" s="39" t="str"/>
      <x:c r="G217" s="39" t="str"/>
      <x:c r="H217" s="289" t="str"/>
    </x:row>
    <x:row r="218">
      <x:c r="A218" s="288" t="str">
        <x:v>DashboardData</x:v>
      </x:c>
      <x:c r="B218" s="39" t="str">
        <x:v>calculated_at</x:v>
      </x:c>
      <x:c r="C218" s="39" t="str">
        <x:v>زمان محاسبه</x:v>
      </x:c>
      <x:c r="D218" s="39" t="str">
        <x:v>datetime</x:v>
      </x:c>
      <x:c r="E218" s="39" t="str">
        <x:v>بله</x:v>
      </x:c>
      <x:c r="F218" s="39" t="str"/>
      <x:c r="G218" s="39" t="str"/>
      <x:c r="H218" s="289" t="str"/>
    </x:row>
    <x:row r="219">
      <x:c r="A219" s="288" t="str">
        <x:v>DashboardData</x:v>
      </x:c>
      <x:c r="B219" s="39" t="str">
        <x:v>data_version</x:v>
      </x:c>
      <x:c r="C219" s="39" t="str">
        <x:v>نسخه</x:v>
      </x:c>
      <x:c r="D219" s="39" t="str">
        <x:v>integer</x:v>
      </x:c>
      <x:c r="E219" s="39" t="str">
        <x:v>بله</x:v>
      </x:c>
      <x:c r="F219" s="39" t="str"/>
      <x:c r="G219" s="39" t="str"/>
      <x:c r="H219" s="289" t="str"/>
    </x:row>
    <x:row r="220">
      <x:c r="A220" s="288" t="str">
        <x:v>PipelineStages</x:v>
      </x:c>
      <x:c r="B220" s="39" t="str">
        <x:v>pipeline_id</x:v>
      </x:c>
      <x:c r="C220" s="39" t="str">
        <x:v>شناسه فرایند</x:v>
      </x:c>
      <x:c r="D220" s="39" t="str">
        <x:v>text</x:v>
      </x:c>
      <x:c r="E220" s="39" t="str">
        <x:v>بله</x:v>
      </x:c>
      <x:c r="F220" s="39" t="str"/>
      <x:c r="G220" s="39" t="str"/>
      <x:c r="H220" s="289" t="str"/>
    </x:row>
    <x:row r="221">
      <x:c r="A221" s="288" t="str">
        <x:v>PipelineStages</x:v>
      </x:c>
      <x:c r="B221" s="39" t="str">
        <x:v>stage_code</x:v>
      </x:c>
      <x:c r="C221" s="39" t="str">
        <x:v>کد مرحله</x:v>
      </x:c>
      <x:c r="D221" s="39" t="str">
        <x:v>text</x:v>
      </x:c>
      <x:c r="E221" s="39" t="str">
        <x:v>بله</x:v>
      </x:c>
      <x:c r="F221" s="39" t="str"/>
      <x:c r="G221" s="39" t="str"/>
      <x:c r="H221" s="289" t="str"/>
    </x:row>
    <x:row r="222">
      <x:c r="A222" s="288" t="str">
        <x:v>PipelineStages</x:v>
      </x:c>
      <x:c r="B222" s="39" t="str">
        <x:v>label_fa</x:v>
      </x:c>
      <x:c r="C222" s="39" t="str">
        <x:v>عنوان فارسی</x:v>
      </x:c>
      <x:c r="D222" s="39" t="str">
        <x:v>text</x:v>
      </x:c>
      <x:c r="E222" s="39" t="str">
        <x:v>بله</x:v>
      </x:c>
      <x:c r="F222" s="39" t="str"/>
      <x:c r="G222" s="39" t="str"/>
      <x:c r="H222" s="289" t="str"/>
    </x:row>
    <x:row r="223">
      <x:c r="A223" s="288" t="str">
        <x:v>PipelineStages</x:v>
      </x:c>
      <x:c r="B223" s="39" t="str">
        <x:v>sequence</x:v>
      </x:c>
      <x:c r="C223" s="39" t="str">
        <x:v>ترتیب</x:v>
      </x:c>
      <x:c r="D223" s="39" t="str">
        <x:v>integer</x:v>
      </x:c>
      <x:c r="E223" s="39" t="str">
        <x:v>بله</x:v>
      </x:c>
      <x:c r="F223" s="39" t="str"/>
      <x:c r="G223" s="39" t="str"/>
      <x:c r="H223" s="289" t="str"/>
    </x:row>
    <x:row r="224">
      <x:c r="A224" s="288" t="str">
        <x:v>PipelineStages</x:v>
      </x:c>
      <x:c r="B224" s="39" t="str">
        <x:v>probability</x:v>
      </x:c>
      <x:c r="C224" s="39" t="str">
        <x:v>احتمال برد</x:v>
      </x:c>
      <x:c r="D224" s="39" t="str">
        <x:v>percent</x:v>
      </x:c>
      <x:c r="E224" s="39" t="str">
        <x:v>بله</x:v>
      </x:c>
      <x:c r="F224" s="39" t="str"/>
      <x:c r="G224" s="39" t="str"/>
      <x:c r="H224" s="289" t="str"/>
    </x:row>
    <x:row r="225">
      <x:c r="A225" s="288" t="str">
        <x:v>PipelineStages</x:v>
      </x:c>
      <x:c r="B225" s="39" t="str">
        <x:v>sla_hours</x:v>
      </x:c>
      <x:c r="C225" s="39" t="str">
        <x:v>SLA ساعت</x:v>
      </x:c>
      <x:c r="D225" s="39" t="str">
        <x:v>number</x:v>
      </x:c>
      <x:c r="E225" s="39" t="str">
        <x:v>خیر</x:v>
      </x:c>
      <x:c r="F225" s="39" t="str"/>
      <x:c r="G225" s="39" t="str"/>
      <x:c r="H225" s="289" t="str"/>
    </x:row>
    <x:row r="226">
      <x:c r="A226" s="288" t="str">
        <x:v>PipelineStages</x:v>
      </x:c>
      <x:c r="B226" s="39" t="str">
        <x:v>default_followup_days</x:v>
      </x:c>
      <x:c r="C226" s="39" t="str">
        <x:v>پیگیری پیش‌فرض (روز)</x:v>
      </x:c>
      <x:c r="D226" s="39" t="str">
        <x:v>number</x:v>
      </x:c>
      <x:c r="E226" s="39" t="str">
        <x:v>خیر</x:v>
      </x:c>
      <x:c r="F226" s="39" t="str"/>
      <x:c r="G226" s="39" t="str"/>
      <x:c r="H226" s="289" t="str"/>
    </x:row>
    <x:row r="227">
      <x:c r="A227" s="288" t="str">
        <x:v>PipelineStages</x:v>
      </x:c>
      <x:c r="B227" s="39" t="str">
        <x:v>required_field_keys</x:v>
      </x:c>
      <x:c r="C227" s="39" t="str">
        <x:v>فیلدهای اجباری</x:v>
      </x:c>
      <x:c r="D227" s="39" t="str">
        <x:v>text/JSON</x:v>
      </x:c>
      <x:c r="E227" s="39" t="str">
        <x:v>خیر</x:v>
      </x:c>
      <x:c r="F227" s="39" t="str"/>
      <x:c r="G227" s="39" t="str"/>
      <x:c r="H227" s="289" t="str"/>
    </x:row>
    <x:row r="228">
      <x:c r="A228" s="288" t="str">
        <x:v>PipelineStages</x:v>
      </x:c>
      <x:c r="B228" s="39" t="str">
        <x:v>is_closed</x:v>
      </x:c>
      <x:c r="C228" s="39" t="str">
        <x:v>بسته</x:v>
      </x:c>
      <x:c r="D228" s="39" t="str">
        <x:v>boolean</x:v>
      </x:c>
      <x:c r="E228" s="39" t="str">
        <x:v>بله</x:v>
      </x:c>
      <x:c r="F228" s="39" t="str">
        <x:v>TRUE,FALSE</x:v>
      </x:c>
      <x:c r="G228" s="39" t="str"/>
      <x:c r="H228" s="289" t="str"/>
    </x:row>
    <x:row r="229">
      <x:c r="A229" s="288" t="str">
        <x:v>PipelineStages</x:v>
      </x:c>
      <x:c r="B229" s="39" t="str">
        <x:v>outcome</x:v>
      </x:c>
      <x:c r="C229" s="39" t="str">
        <x:v>نتیجه نهایی</x:v>
      </x:c>
      <x:c r="D229" s="39" t="str">
        <x:v>enum</x:v>
      </x:c>
      <x:c r="E229" s="39" t="str">
        <x:v>خیر</x:v>
      </x:c>
      <x:c r="F229" s="39" t="str">
        <x:v>open,won,lost</x:v>
      </x:c>
      <x:c r="G229" s="39" t="str"/>
      <x:c r="H229" s="289" t="str"/>
    </x:row>
    <x:row r="230">
      <x:c r="A230" s="288" t="str">
        <x:v>PipelineStages</x:v>
      </x:c>
      <x:c r="B230" s="39" t="str">
        <x:v>active</x:v>
      </x:c>
      <x:c r="C230" s="39" t="str">
        <x:v>فعال</x:v>
      </x:c>
      <x:c r="D230" s="39" t="str">
        <x:v>boolean</x:v>
      </x:c>
      <x:c r="E230" s="39" t="str">
        <x:v>بله</x:v>
      </x:c>
      <x:c r="F230" s="39" t="str">
        <x:v>TRUE,FALSE</x:v>
      </x:c>
      <x:c r="G230" s="39" t="str"/>
      <x:c r="H230" s="289" t="str"/>
    </x:row>
    <x:row r="231">
      <x:c r="A231" s="288" t="str">
        <x:v>CustomFieldDefinitions</x:v>
      </x:c>
      <x:c r="B231" s="39" t="str">
        <x:v>field_id</x:v>
      </x:c>
      <x:c r="C231" s="39" t="str">
        <x:v>شناسه فیلد</x:v>
      </x:c>
      <x:c r="D231" s="39" t="str">
        <x:v>UUID</x:v>
      </x:c>
      <x:c r="E231" s="39" t="str">
        <x:v>بله</x:v>
      </x:c>
      <x:c r="F231" s="39" t="str"/>
      <x:c r="G231" s="39" t="str"/>
      <x:c r="H231" s="289" t="str"/>
    </x:row>
    <x:row r="232">
      <x:c r="A232" s="288" t="str">
        <x:v>CustomFieldDefinitions</x:v>
      </x:c>
      <x:c r="B232" s="39" t="str">
        <x:v>entity_type</x:v>
      </x:c>
      <x:c r="C232" s="39" t="str">
        <x:v>نوع موجودیت</x:v>
      </x:c>
      <x:c r="D232" s="39" t="str">
        <x:v>enum</x:v>
      </x:c>
      <x:c r="E232" s="39" t="str">
        <x:v>بله</x:v>
      </x:c>
      <x:c r="F232" s="39" t="str">
        <x:v>customer,lead,opportunity,product,order,supplier</x:v>
      </x:c>
      <x:c r="G232" s="39" t="str"/>
      <x:c r="H232" s="289" t="str"/>
    </x:row>
    <x:row r="233">
      <x:c r="A233" s="288" t="str">
        <x:v>CustomFieldDefinitions</x:v>
      </x:c>
      <x:c r="B233" s="39" t="str">
        <x:v>field_key</x:v>
      </x:c>
      <x:c r="C233" s="39" t="str">
        <x:v>کلید فیلد</x:v>
      </x:c>
      <x:c r="D233" s="39" t="str">
        <x:v>text</x:v>
      </x:c>
      <x:c r="E233" s="39" t="str">
        <x:v>بله</x:v>
      </x:c>
      <x:c r="F233" s="39" t="str"/>
      <x:c r="G233" s="39" t="str"/>
      <x:c r="H233" s="289" t="str"/>
    </x:row>
    <x:row r="234">
      <x:c r="A234" s="288" t="str">
        <x:v>CustomFieldDefinitions</x:v>
      </x:c>
      <x:c r="B234" s="39" t="str">
        <x:v>label_fa</x:v>
      </x:c>
      <x:c r="C234" s="39" t="str">
        <x:v>عنوان فارسی</x:v>
      </x:c>
      <x:c r="D234" s="39" t="str">
        <x:v>text</x:v>
      </x:c>
      <x:c r="E234" s="39" t="str">
        <x:v>بله</x:v>
      </x:c>
      <x:c r="F234" s="39" t="str"/>
      <x:c r="G234" s="39" t="str"/>
      <x:c r="H234" s="289" t="str"/>
    </x:row>
    <x:row r="235">
      <x:c r="A235" s="288" t="str">
        <x:v>CustomFieldDefinitions</x:v>
      </x:c>
      <x:c r="B235" s="39" t="str">
        <x:v>data_type</x:v>
      </x:c>
      <x:c r="C235" s="39" t="str">
        <x:v>نوع داده</x:v>
      </x:c>
      <x:c r="D235" s="39" t="str">
        <x:v>enum</x:v>
      </x:c>
      <x:c r="E235" s="39" t="str">
        <x:v>بله</x:v>
      </x:c>
      <x:c r="F235" s="39" t="str">
        <x:v>text,number,date,boolean,list</x:v>
      </x:c>
      <x:c r="G235" s="39" t="str"/>
      <x:c r="H235" s="289" t="str"/>
    </x:row>
    <x:row r="236">
      <x:c r="A236" s="288" t="str">
        <x:v>CustomFieldDefinitions</x:v>
      </x:c>
      <x:c r="B236" s="39" t="str">
        <x:v>required</x:v>
      </x:c>
      <x:c r="C236" s="39" t="str">
        <x:v>اجباری</x:v>
      </x:c>
      <x:c r="D236" s="39" t="str">
        <x:v>boolean</x:v>
      </x:c>
      <x:c r="E236" s="39" t="str">
        <x:v>بله</x:v>
      </x:c>
      <x:c r="F236" s="39" t="str">
        <x:v>TRUE,FALSE</x:v>
      </x:c>
      <x:c r="G236" s="39" t="str"/>
      <x:c r="H236" s="289" t="str"/>
    </x:row>
    <x:row r="237">
      <x:c r="A237" s="288" t="str">
        <x:v>CustomFieldDefinitions</x:v>
      </x:c>
      <x:c r="B237" s="39" t="str">
        <x:v>options_json</x:v>
      </x:c>
      <x:c r="C237" s="39" t="str">
        <x:v>گزینه‌ها</x:v>
      </x:c>
      <x:c r="D237" s="39" t="str">
        <x:v>JSON</x:v>
      </x:c>
      <x:c r="E237" s="39" t="str">
        <x:v>خیر</x:v>
      </x:c>
      <x:c r="F237" s="39" t="str"/>
      <x:c r="G237" s="39" t="str"/>
      <x:c r="H237" s="289" t="str"/>
    </x:row>
    <x:row r="238">
      <x:c r="A238" s="288" t="str">
        <x:v>CustomFieldDefinitions</x:v>
      </x:c>
      <x:c r="B238" s="39" t="str">
        <x:v>active</x:v>
      </x:c>
      <x:c r="C238" s="39" t="str">
        <x:v>فعال</x:v>
      </x:c>
      <x:c r="D238" s="39" t="str">
        <x:v>boolean</x:v>
      </x:c>
      <x:c r="E238" s="39" t="str">
        <x:v>بله</x:v>
      </x:c>
      <x:c r="F238" s="39" t="str">
        <x:v>TRUE,FALSE</x:v>
      </x:c>
      <x:c r="G238" s="39" t="str"/>
      <x:c r="H238" s="289" t="str"/>
    </x:row>
    <x:row r="239">
      <x:c r="A239" s="288" t="str">
        <x:v>CustomFieldDefinitions</x:v>
      </x:c>
      <x:c r="B239" s="39" t="str">
        <x:v>sort_order</x:v>
      </x:c>
      <x:c r="C239" s="39" t="str">
        <x:v>ترتیب نمایش</x:v>
      </x:c>
      <x:c r="D239" s="39" t="str">
        <x:v>integer</x:v>
      </x:c>
      <x:c r="E239" s="39" t="str">
        <x:v>بله</x:v>
      </x:c>
      <x:c r="F239" s="39" t="str"/>
      <x:c r="G239" s="39" t="str"/>
      <x:c r="H239" s="289" t="str"/>
    </x:row>
    <x:row r="240">
      <x:c r="A240" s="288" t="str">
        <x:v>CustomFieldValues</x:v>
      </x:c>
      <x:c r="B240" s="39" t="str">
        <x:v>value_id</x:v>
      </x:c>
      <x:c r="C240" s="39" t="str">
        <x:v>شناسه مقدار</x:v>
      </x:c>
      <x:c r="D240" s="39" t="str">
        <x:v>UUID</x:v>
      </x:c>
      <x:c r="E240" s="39" t="str">
        <x:v>بله</x:v>
      </x:c>
      <x:c r="F240" s="39" t="str"/>
      <x:c r="G240" s="39" t="str"/>
      <x:c r="H240" s="289" t="str"/>
    </x:row>
    <x:row r="241">
      <x:c r="A241" s="288" t="str">
        <x:v>CustomFieldValues</x:v>
      </x:c>
      <x:c r="B241" s="39" t="str">
        <x:v>entity_type</x:v>
      </x:c>
      <x:c r="C241" s="39" t="str">
        <x:v>نوع موجودیت</x:v>
      </x:c>
      <x:c r="D241" s="39" t="str">
        <x:v>enum</x:v>
      </x:c>
      <x:c r="E241" s="39" t="str">
        <x:v>بله</x:v>
      </x:c>
      <x:c r="F241" s="39" t="str"/>
      <x:c r="G241" s="39" t="str"/>
      <x:c r="H241" s="289" t="str"/>
    </x:row>
    <x:row r="242">
      <x:c r="A242" s="288" t="str">
        <x:v>CustomFieldValues</x:v>
      </x:c>
      <x:c r="B242" s="39" t="str">
        <x:v>entity_id</x:v>
      </x:c>
      <x:c r="C242" s="39" t="str">
        <x:v>شناسه موجودیت</x:v>
      </x:c>
      <x:c r="D242" s="39" t="str">
        <x:v>text/FK</x:v>
      </x:c>
      <x:c r="E242" s="39" t="str">
        <x:v>بله</x:v>
      </x:c>
      <x:c r="F242" s="39" t="str"/>
      <x:c r="G242" s="39" t="str"/>
      <x:c r="H242" s="289" t="str"/>
    </x:row>
    <x:row r="243">
      <x:c r="A243" s="288" t="str">
        <x:v>CustomFieldValues</x:v>
      </x:c>
      <x:c r="B243" s="39" t="str">
        <x:v>field_id</x:v>
      </x:c>
      <x:c r="C243" s="39" t="str">
        <x:v>فیلد</x:v>
      </x:c>
      <x:c r="D243" s="39" t="str">
        <x:v>FK</x:v>
      </x:c>
      <x:c r="E243" s="39" t="str">
        <x:v>بله</x:v>
      </x:c>
      <x:c r="F243" s="39" t="str"/>
      <x:c r="G243" s="39" t="str">
        <x:v>CustomFieldDefinitions.field_id</x:v>
      </x:c>
      <x:c r="H243" s="289" t="str"/>
    </x:row>
    <x:row r="244">
      <x:c r="A244" s="288" t="str">
        <x:v>CustomFieldValues</x:v>
      </x:c>
      <x:c r="B244" s="39" t="str">
        <x:v>value_text</x:v>
      </x:c>
      <x:c r="C244" s="39" t="str">
        <x:v>مقدار متنی</x:v>
      </x:c>
      <x:c r="D244" s="39" t="str">
        <x:v>text</x:v>
      </x:c>
      <x:c r="E244" s="39" t="str">
        <x:v>خیر</x:v>
      </x:c>
      <x:c r="F244" s="39" t="str"/>
      <x:c r="G244" s="39" t="str"/>
      <x:c r="H244" s="289" t="str"/>
    </x:row>
    <x:row r="245">
      <x:c r="A245" s="288" t="str">
        <x:v>CustomFieldValues</x:v>
      </x:c>
      <x:c r="B245" s="39" t="str">
        <x:v>value_number</x:v>
      </x:c>
      <x:c r="C245" s="39" t="str">
        <x:v>مقدار عددی</x:v>
      </x:c>
      <x:c r="D245" s="39" t="str">
        <x:v>number</x:v>
      </x:c>
      <x:c r="E245" s="39" t="str">
        <x:v>خیر</x:v>
      </x:c>
      <x:c r="F245" s="39" t="str"/>
      <x:c r="G245" s="39" t="str"/>
      <x:c r="H245" s="289" t="str"/>
    </x:row>
    <x:row r="246">
      <x:c r="A246" s="288" t="str">
        <x:v>CustomFieldValues</x:v>
      </x:c>
      <x:c r="B246" s="39" t="str">
        <x:v>value_date</x:v>
      </x:c>
      <x:c r="C246" s="39" t="str">
        <x:v>مقدار تاریخی</x:v>
      </x:c>
      <x:c r="D246" s="39" t="str">
        <x:v>date</x:v>
      </x:c>
      <x:c r="E246" s="39" t="str">
        <x:v>خیر</x:v>
      </x:c>
      <x:c r="F246" s="39" t="str"/>
      <x:c r="G246" s="39" t="str"/>
      <x:c r="H246" s="289" t="str"/>
    </x:row>
    <x:row r="247">
      <x:c r="A247" s="288" t="str">
        <x:v>CustomFieldValues</x:v>
      </x:c>
      <x:c r="B247" s="39" t="str">
        <x:v>value_boolean</x:v>
      </x:c>
      <x:c r="C247" s="39" t="str">
        <x:v>مقدار منطقی</x:v>
      </x:c>
      <x:c r="D247" s="39" t="str">
        <x:v>boolean</x:v>
      </x:c>
      <x:c r="E247" s="39" t="str">
        <x:v>خیر</x:v>
      </x:c>
      <x:c r="F247" s="39" t="str">
        <x:v>TRUE,FALSE</x:v>
      </x:c>
      <x:c r="G247" s="39" t="str"/>
      <x:c r="H247" s="289" t="str"/>
    </x:row>
    <x:row r="248">
      <x:c r="A248" s="288" t="str">
        <x:v>CustomFieldValues</x:v>
      </x:c>
      <x:c r="B248" s="39" t="str">
        <x:v>updated_at</x:v>
      </x:c>
      <x:c r="C248" s="39" t="str">
        <x:v>آخرین تغییر</x:v>
      </x:c>
      <x:c r="D248" s="39" t="str">
        <x:v>datetime</x:v>
      </x:c>
      <x:c r="E248" s="39" t="str">
        <x:v>بله</x:v>
      </x:c>
      <x:c r="F248" s="39" t="str"/>
      <x:c r="G248" s="39" t="str"/>
      <x:c r="H248" s="289" t="str"/>
    </x:row>
    <x:row r="249">
      <x:c r="A249" s="288" t="str">
        <x:v>CustomFieldValues</x:v>
      </x:c>
      <x:c r="B249" s="39" t="str">
        <x:v>updated_by</x:v>
      </x:c>
      <x:c r="C249" s="39" t="str">
        <x:v>تغییردهنده</x:v>
      </x:c>
      <x:c r="D249" s="39" t="str">
        <x:v>FK</x:v>
      </x:c>
      <x:c r="E249" s="39" t="str">
        <x:v>بله</x:v>
      </x:c>
      <x:c r="F249" s="39" t="str"/>
      <x:c r="G249" s="39" t="str">
        <x:v>Users.user_id</x:v>
      </x:c>
      <x:c r="H249" s="289" t="str"/>
    </x:row>
    <x:row r="250">
      <x:c r="A250" s="288" t="str">
        <x:v>AutomationRules</x:v>
      </x:c>
      <x:c r="B250" s="39" t="str">
        <x:v>rule_id</x:v>
      </x:c>
      <x:c r="C250" s="39" t="str">
        <x:v>شناسه قانون</x:v>
      </x:c>
      <x:c r="D250" s="39" t="str">
        <x:v>UUID</x:v>
      </x:c>
      <x:c r="E250" s="39" t="str">
        <x:v>بله</x:v>
      </x:c>
      <x:c r="F250" s="39" t="str"/>
      <x:c r="G250" s="39" t="str"/>
      <x:c r="H250" s="289" t="str"/>
    </x:row>
    <x:row r="251">
      <x:c r="A251" s="288" t="str">
        <x:v>AutomationRules</x:v>
      </x:c>
      <x:c r="B251" s="39" t="str">
        <x:v>name_fa</x:v>
      </x:c>
      <x:c r="C251" s="39" t="str">
        <x:v>نام قانون</x:v>
      </x:c>
      <x:c r="D251" s="39" t="str">
        <x:v>text</x:v>
      </x:c>
      <x:c r="E251" s="39" t="str">
        <x:v>بله</x:v>
      </x:c>
      <x:c r="F251" s="39" t="str"/>
      <x:c r="G251" s="39" t="str"/>
      <x:c r="H251" s="289" t="str"/>
    </x:row>
    <x:row r="252">
      <x:c r="A252" s="288" t="str">
        <x:v>AutomationRules</x:v>
      </x:c>
      <x:c r="B252" s="39" t="str">
        <x:v>event_code</x:v>
      </x:c>
      <x:c r="C252" s="39" t="str">
        <x:v>رویداد</x:v>
      </x:c>
      <x:c r="D252" s="39" t="str">
        <x:v>enum</x:v>
      </x:c>
      <x:c r="E252" s="39" t="str">
        <x:v>بله</x:v>
      </x:c>
      <x:c r="F252" s="39" t="str"/>
      <x:c r="G252" s="39" t="str"/>
      <x:c r="H252" s="289" t="str"/>
    </x:row>
    <x:row r="253">
      <x:c r="A253" s="288" t="str">
        <x:v>AutomationRules</x:v>
      </x:c>
      <x:c r="B253" s="39" t="str">
        <x:v>condition_json</x:v>
      </x:c>
      <x:c r="C253" s="39" t="str">
        <x:v>شرط</x:v>
      </x:c>
      <x:c r="D253" s="39" t="str">
        <x:v>JSON</x:v>
      </x:c>
      <x:c r="E253" s="39" t="str">
        <x:v>خیر</x:v>
      </x:c>
      <x:c r="F253" s="39" t="str"/>
      <x:c r="G253" s="39" t="str"/>
      <x:c r="H253" s="289" t="str"/>
    </x:row>
    <x:row r="254">
      <x:c r="A254" s="288" t="str">
        <x:v>AutomationRules</x:v>
      </x:c>
      <x:c r="B254" s="39" t="str">
        <x:v>action_code</x:v>
      </x:c>
      <x:c r="C254" s="39" t="str">
        <x:v>عمل</x:v>
      </x:c>
      <x:c r="D254" s="39" t="str">
        <x:v>enum</x:v>
      </x:c>
      <x:c r="E254" s="39" t="str">
        <x:v>بله</x:v>
      </x:c>
      <x:c r="F254" s="39" t="str"/>
      <x:c r="G254" s="39" t="str"/>
      <x:c r="H254" s="289" t="str"/>
    </x:row>
    <x:row r="255">
      <x:c r="A255" s="288" t="str">
        <x:v>AutomationRules</x:v>
      </x:c>
      <x:c r="B255" s="39" t="str">
        <x:v>action_params_json</x:v>
      </x:c>
      <x:c r="C255" s="39" t="str">
        <x:v>پارامترها</x:v>
      </x:c>
      <x:c r="D255" s="39" t="str">
        <x:v>JSON</x:v>
      </x:c>
      <x:c r="E255" s="39" t="str">
        <x:v>خیر</x:v>
      </x:c>
      <x:c r="F255" s="39" t="str"/>
      <x:c r="G255" s="39" t="str"/>
      <x:c r="H255" s="289" t="str"/>
    </x:row>
    <x:row r="256">
      <x:c r="A256" s="288" t="str">
        <x:v>AutomationRules</x:v>
      </x:c>
      <x:c r="B256" s="39" t="str">
        <x:v>delay_minutes</x:v>
      </x:c>
      <x:c r="C256" s="39" t="str">
        <x:v>تأخیر دقیقه</x:v>
      </x:c>
      <x:c r="D256" s="39" t="str">
        <x:v>integer</x:v>
      </x:c>
      <x:c r="E256" s="39" t="str">
        <x:v>خیر</x:v>
      </x:c>
      <x:c r="F256" s="39" t="str"/>
      <x:c r="G256" s="39" t="str"/>
      <x:c r="H256" s="289" t="str"/>
    </x:row>
    <x:row r="257">
      <x:c r="A257" s="288" t="str">
        <x:v>AutomationRules</x:v>
      </x:c>
      <x:c r="B257" s="39" t="str">
        <x:v>priority</x:v>
      </x:c>
      <x:c r="C257" s="39" t="str">
        <x:v>اولویت</x:v>
      </x:c>
      <x:c r="D257" s="39" t="str">
        <x:v>integer</x:v>
      </x:c>
      <x:c r="E257" s="39" t="str">
        <x:v>بله</x:v>
      </x:c>
      <x:c r="F257" s="39" t="str"/>
      <x:c r="G257" s="39" t="str"/>
      <x:c r="H257" s="289" t="str"/>
    </x:row>
    <x:row r="258">
      <x:c r="A258" s="288" t="str">
        <x:v>AutomationRules</x:v>
      </x:c>
      <x:c r="B258" s="39" t="str">
        <x:v>active</x:v>
      </x:c>
      <x:c r="C258" s="39" t="str">
        <x:v>فعال</x:v>
      </x:c>
      <x:c r="D258" s="39" t="str">
        <x:v>boolean</x:v>
      </x:c>
      <x:c r="E258" s="39" t="str">
        <x:v>بله</x:v>
      </x:c>
      <x:c r="F258" s="39" t="str">
        <x:v>TRUE,FALSE</x:v>
      </x:c>
      <x:c r="G258" s="39" t="str"/>
      <x:c r="H258" s="289" t="str"/>
    </x:row>
    <x:row r="259">
      <x:c r="A259" s="288" t="str">
        <x:v>FollowUpSequences</x:v>
      </x:c>
      <x:c r="B259" s="39" t="str">
        <x:v>sequence_id</x:v>
      </x:c>
      <x:c r="C259" s="39" t="str">
        <x:v>شناسه توالی</x:v>
      </x:c>
      <x:c r="D259" s="39" t="str">
        <x:v>text</x:v>
      </x:c>
      <x:c r="E259" s="39" t="str">
        <x:v>بله</x:v>
      </x:c>
      <x:c r="F259" s="39" t="str"/>
      <x:c r="G259" s="39" t="str"/>
      <x:c r="H259" s="289" t="str"/>
    </x:row>
    <x:row r="260">
      <x:c r="A260" s="288" t="str">
        <x:v>FollowUpSequences</x:v>
      </x:c>
      <x:c r="B260" s="39" t="str">
        <x:v>name_fa</x:v>
      </x:c>
      <x:c r="C260" s="39" t="str">
        <x:v>نام</x:v>
      </x:c>
      <x:c r="D260" s="39" t="str">
        <x:v>text</x:v>
      </x:c>
      <x:c r="E260" s="39" t="str">
        <x:v>بله</x:v>
      </x:c>
      <x:c r="F260" s="39" t="str"/>
      <x:c r="G260" s="39" t="str"/>
      <x:c r="H260" s="289" t="str"/>
    </x:row>
    <x:row r="261">
      <x:c r="A261" s="288" t="str">
        <x:v>FollowUpSequences</x:v>
      </x:c>
      <x:c r="B261" s="39" t="str">
        <x:v>step_no</x:v>
      </x:c>
      <x:c r="C261" s="39" t="str">
        <x:v>گام</x:v>
      </x:c>
      <x:c r="D261" s="39" t="str">
        <x:v>integer</x:v>
      </x:c>
      <x:c r="E261" s="39" t="str">
        <x:v>بله</x:v>
      </x:c>
      <x:c r="F261" s="39" t="str"/>
      <x:c r="G261" s="39" t="str"/>
      <x:c r="H261" s="289" t="str"/>
    </x:row>
    <x:row r="262">
      <x:c r="A262" s="288" t="str">
        <x:v>FollowUpSequences</x:v>
      </x:c>
      <x:c r="B262" s="39" t="str">
        <x:v>delay_days</x:v>
      </x:c>
      <x:c r="C262" s="39" t="str">
        <x:v>فاصله روز</x:v>
      </x:c>
      <x:c r="D262" s="39" t="str">
        <x:v>integer</x:v>
      </x:c>
      <x:c r="E262" s="39" t="str">
        <x:v>بله</x:v>
      </x:c>
      <x:c r="F262" s="39" t="str"/>
      <x:c r="G262" s="39" t="str"/>
      <x:c r="H262" s="289" t="str"/>
    </x:row>
    <x:row r="263">
      <x:c r="A263" s="288" t="str">
        <x:v>FollowUpSequences</x:v>
      </x:c>
      <x:c r="B263" s="39" t="str">
        <x:v>channel</x:v>
      </x:c>
      <x:c r="C263" s="39" t="str">
        <x:v>کانال</x:v>
      </x:c>
      <x:c r="D263" s="39" t="str">
        <x:v>enum</x:v>
      </x:c>
      <x:c r="E263" s="39" t="str">
        <x:v>بله</x:v>
      </x:c>
      <x:c r="F263" s="39" t="str"/>
      <x:c r="G263" s="39" t="str"/>
      <x:c r="H263" s="289" t="str"/>
    </x:row>
    <x:row r="264">
      <x:c r="A264" s="288" t="str">
        <x:v>FollowUpSequences</x:v>
      </x:c>
      <x:c r="B264" s="39" t="str">
        <x:v>template_id</x:v>
      </x:c>
      <x:c r="C264" s="39" t="str">
        <x:v>قالب پیام</x:v>
      </x:c>
      <x:c r="D264" s="39" t="str">
        <x:v>FK</x:v>
      </x:c>
      <x:c r="E264" s="39" t="str">
        <x:v>خیر</x:v>
      </x:c>
      <x:c r="F264" s="39" t="str"/>
      <x:c r="G264" s="39" t="str">
        <x:v>MessageTemplates.template_id</x:v>
      </x:c>
      <x:c r="H264" s="289" t="str"/>
    </x:row>
    <x:row r="265">
      <x:c r="A265" s="288" t="str">
        <x:v>FollowUpSequences</x:v>
      </x:c>
      <x:c r="B265" s="39" t="str">
        <x:v>stop_on_reply</x:v>
      </x:c>
      <x:c r="C265" s="39" t="str">
        <x:v>توقف با پاسخ</x:v>
      </x:c>
      <x:c r="D265" s="39" t="str">
        <x:v>boolean</x:v>
      </x:c>
      <x:c r="E265" s="39" t="str">
        <x:v>بله</x:v>
      </x:c>
      <x:c r="F265" s="39" t="str">
        <x:v>TRUE,FALSE</x:v>
      </x:c>
      <x:c r="G265" s="39" t="str"/>
      <x:c r="H265" s="289" t="str"/>
    </x:row>
    <x:row r="266">
      <x:c r="A266" s="288" t="str">
        <x:v>FollowUpSequences</x:v>
      </x:c>
      <x:c r="B266" s="39" t="str">
        <x:v>active</x:v>
      </x:c>
      <x:c r="C266" s="39" t="str">
        <x:v>فعال</x:v>
      </x:c>
      <x:c r="D266" s="39" t="str">
        <x:v>boolean</x:v>
      </x:c>
      <x:c r="E266" s="39" t="str">
        <x:v>بله</x:v>
      </x:c>
      <x:c r="F266" s="39" t="str">
        <x:v>TRUE,FALSE</x:v>
      </x:c>
      <x:c r="G266" s="39" t="str"/>
      <x:c r="H266" s="289" t="str"/>
    </x:row>
    <x:row r="267">
      <x:c r="A267" s="288" t="str">
        <x:v>ContactChannels</x:v>
      </x:c>
      <x:c r="B267" s="39" t="str">
        <x:v>channel_id</x:v>
      </x:c>
      <x:c r="C267" s="39" t="str">
        <x:v>شناسه کانال</x:v>
      </x:c>
      <x:c r="D267" s="39" t="str">
        <x:v>UUID</x:v>
      </x:c>
      <x:c r="E267" s="39" t="str">
        <x:v>بله</x:v>
      </x:c>
      <x:c r="F267" s="39" t="str"/>
      <x:c r="G267" s="39" t="str"/>
      <x:c r="H267" s="289" t="str"/>
    </x:row>
    <x:row r="268">
      <x:c r="A268" s="288" t="str">
        <x:v>ContactChannels</x:v>
      </x:c>
      <x:c r="B268" s="39" t="str">
        <x:v>customer_id</x:v>
      </x:c>
      <x:c r="C268" s="39" t="str">
        <x:v>مشتری</x:v>
      </x:c>
      <x:c r="D268" s="39" t="str">
        <x:v>FK</x:v>
      </x:c>
      <x:c r="E268" s="39" t="str">
        <x:v>بله</x:v>
      </x:c>
      <x:c r="F268" s="39" t="str"/>
      <x:c r="G268" s="39" t="str">
        <x:v>Customers.customer_id</x:v>
      </x:c>
      <x:c r="H268" s="289" t="str"/>
    </x:row>
    <x:row r="269">
      <x:c r="A269" s="288" t="str">
        <x:v>ContactChannels</x:v>
      </x:c>
      <x:c r="B269" s="39" t="str">
        <x:v>platform</x:v>
      </x:c>
      <x:c r="C269" s="39" t="str">
        <x:v>پلتفرم</x:v>
      </x:c>
      <x:c r="D269" s="39" t="str">
        <x:v>enum</x:v>
      </x:c>
      <x:c r="E269" s="39" t="str">
        <x:v>بله</x:v>
      </x:c>
      <x:c r="F269" s="39" t="str">
        <x:v>telegram,whatsapp,instagram,facebook,email,phone</x:v>
      </x:c>
      <x:c r="G269" s="39" t="str"/>
      <x:c r="H269" s="289" t="str"/>
    </x:row>
    <x:row r="270">
      <x:c r="A270" s="288" t="str">
        <x:v>ContactChannels</x:v>
      </x:c>
      <x:c r="B270" s="39" t="str">
        <x:v>platform_user_id</x:v>
      </x:c>
      <x:c r="C270" s="39" t="str">
        <x:v>شناسه پلتفرم</x:v>
      </x:c>
      <x:c r="D270" s="39" t="str">
        <x:v>text</x:v>
      </x:c>
      <x:c r="E270" s="39" t="str">
        <x:v>بله</x:v>
      </x:c>
      <x:c r="F270" s="39" t="str"/>
      <x:c r="G270" s="39" t="str"/>
      <x:c r="H270" s="289" t="str"/>
    </x:row>
    <x:row r="271">
      <x:c r="A271" s="288" t="str">
        <x:v>ContactChannels</x:v>
      </x:c>
      <x:c r="B271" s="39" t="str">
        <x:v>normalized_mobile</x:v>
      </x:c>
      <x:c r="C271" s="39" t="str">
        <x:v>موبایل استاندارد</x:v>
      </x:c>
      <x:c r="D271" s="39" t="str">
        <x:v>phone</x:v>
      </x:c>
      <x:c r="E271" s="39" t="str">
        <x:v>خیر</x:v>
      </x:c>
      <x:c r="F271" s="39" t="str"/>
      <x:c r="G271" s="39" t="str"/>
      <x:c r="H271" s="289" t="str"/>
    </x:row>
    <x:row r="272">
      <x:c r="A272" s="288" t="str">
        <x:v>ContactChannels</x:v>
      </x:c>
      <x:c r="B272" s="39" t="str">
        <x:v>consent_status</x:v>
      </x:c>
      <x:c r="C272" s="39" t="str">
        <x:v>رضایت پیام</x:v>
      </x:c>
      <x:c r="D272" s="39" t="str">
        <x:v>enum</x:v>
      </x:c>
      <x:c r="E272" s="39" t="str">
        <x:v>بله</x:v>
      </x:c>
      <x:c r="F272" s="39" t="str">
        <x:v>unknown,opted_in,opted_out</x:v>
      </x:c>
      <x:c r="G272" s="39" t="str"/>
      <x:c r="H272" s="289" t="str"/>
    </x:row>
    <x:row r="273">
      <x:c r="A273" s="288" t="str">
        <x:v>ContactChannels</x:v>
      </x:c>
      <x:c r="B273" s="39" t="str">
        <x:v>last_message_at</x:v>
      </x:c>
      <x:c r="C273" s="39" t="str">
        <x:v>آخرین پیام</x:v>
      </x:c>
      <x:c r="D273" s="39" t="str">
        <x:v>datetime</x:v>
      </x:c>
      <x:c r="E273" s="39" t="str">
        <x:v>خیر</x:v>
      </x:c>
      <x:c r="F273" s="39" t="str"/>
      <x:c r="G273" s="39" t="str"/>
      <x:c r="H273" s="289" t="str"/>
    </x:row>
    <x:row r="274">
      <x:c r="A274" s="288" t="str">
        <x:v>ContactChannels</x:v>
      </x:c>
      <x:c r="B274" s="39" t="str">
        <x:v>active</x:v>
      </x:c>
      <x:c r="C274" s="39" t="str">
        <x:v>فعال</x:v>
      </x:c>
      <x:c r="D274" s="39" t="str">
        <x:v>boolean</x:v>
      </x:c>
      <x:c r="E274" s="39" t="str">
        <x:v>بله</x:v>
      </x:c>
      <x:c r="F274" s="39" t="str">
        <x:v>TRUE,FALSE</x:v>
      </x:c>
      <x:c r="G274" s="39" t="str"/>
      <x:c r="H274" s="289" t="str"/>
    </x:row>
    <x:row r="275">
      <x:c r="A275" s="288" t="str">
        <x:v>Quotations</x:v>
      </x:c>
      <x:c r="B275" s="39" t="str">
        <x:v>quotation_id</x:v>
      </x:c>
      <x:c r="C275" s="39" t="str">
        <x:v>شناسه پیش‌فاکتور</x:v>
      </x:c>
      <x:c r="D275" s="39" t="str">
        <x:v>UUID</x:v>
      </x:c>
      <x:c r="E275" s="39" t="str">
        <x:v>بله</x:v>
      </x:c>
      <x:c r="F275" s="39" t="str"/>
      <x:c r="G275" s="39" t="str"/>
      <x:c r="H275" s="289" t="str"/>
    </x:row>
    <x:row r="276">
      <x:c r="A276" s="288" t="str">
        <x:v>Quotations</x:v>
      </x:c>
      <x:c r="B276" s="39" t="str">
        <x:v>quotation_number</x:v>
      </x:c>
      <x:c r="C276" s="39" t="str">
        <x:v>شماره پیش‌فاکتور</x:v>
      </x:c>
      <x:c r="D276" s="39" t="str">
        <x:v>text</x:v>
      </x:c>
      <x:c r="E276" s="39" t="str">
        <x:v>بله</x:v>
      </x:c>
      <x:c r="F276" s="39" t="str"/>
      <x:c r="G276" s="39" t="str"/>
      <x:c r="H276" s="289" t="str"/>
    </x:row>
    <x:row r="277">
      <x:c r="A277" s="288" t="str">
        <x:v>Quotations</x:v>
      </x:c>
      <x:c r="B277" s="39" t="str">
        <x:v>customer_id</x:v>
      </x:c>
      <x:c r="C277" s="39" t="str">
        <x:v>مشتری</x:v>
      </x:c>
      <x:c r="D277" s="39" t="str">
        <x:v>FK</x:v>
      </x:c>
      <x:c r="E277" s="39" t="str">
        <x:v>بله</x:v>
      </x:c>
      <x:c r="F277" s="39" t="str"/>
      <x:c r="G277" s="39" t="str">
        <x:v>Customers.customer_id</x:v>
      </x:c>
      <x:c r="H277" s="289" t="str"/>
    </x:row>
    <x:row r="278">
      <x:c r="A278" s="288" t="str">
        <x:v>Quotations</x:v>
      </x:c>
      <x:c r="B278" s="39" t="str">
        <x:v>opportunity_id</x:v>
      </x:c>
      <x:c r="C278" s="39" t="str">
        <x:v>فرصت</x:v>
      </x:c>
      <x:c r="D278" s="39" t="str">
        <x:v>FK</x:v>
      </x:c>
      <x:c r="E278" s="39" t="str">
        <x:v>بله</x:v>
      </x:c>
      <x:c r="F278" s="39" t="str"/>
      <x:c r="G278" s="39" t="str">
        <x:v>Opportunities.opportunity_id</x:v>
      </x:c>
      <x:c r="H278" s="289" t="str"/>
    </x:row>
    <x:row r="279">
      <x:c r="A279" s="288" t="str">
        <x:v>Quotations</x:v>
      </x:c>
      <x:c r="B279" s="39" t="str">
        <x:v>issued_at</x:v>
      </x:c>
      <x:c r="C279" s="39" t="str">
        <x:v>تاریخ صدور</x:v>
      </x:c>
      <x:c r="D279" s="39" t="str">
        <x:v>datetime</x:v>
      </x:c>
      <x:c r="E279" s="39" t="str">
        <x:v>بله</x:v>
      </x:c>
      <x:c r="F279" s="39" t="str"/>
      <x:c r="G279" s="39" t="str"/>
      <x:c r="H279" s="289" t="str"/>
    </x:row>
    <x:row r="280">
      <x:c r="A280" s="288" t="str">
        <x:v>Quotations</x:v>
      </x:c>
      <x:c r="B280" s="39" t="str">
        <x:v>valid_until</x:v>
      </x:c>
      <x:c r="C280" s="39" t="str">
        <x:v>اعتبار تا</x:v>
      </x:c>
      <x:c r="D280" s="39" t="str">
        <x:v>date</x:v>
      </x:c>
      <x:c r="E280" s="39" t="str">
        <x:v>بله</x:v>
      </x:c>
      <x:c r="F280" s="39" t="str"/>
      <x:c r="G280" s="39" t="str"/>
      <x:c r="H280" s="289" t="str"/>
    </x:row>
    <x:row r="281">
      <x:c r="A281" s="288" t="str">
        <x:v>Quotations</x:v>
      </x:c>
      <x:c r="B281" s="39" t="str">
        <x:v>subtotal</x:v>
      </x:c>
      <x:c r="C281" s="39" t="str">
        <x:v>جمع اقلام (ریال)</x:v>
      </x:c>
      <x:c r="D281" s="39" t="str">
        <x:v>formula/integer</x:v>
      </x:c>
      <x:c r="E281" s="39" t="str">
        <x:v>خیر</x:v>
      </x:c>
      <x:c r="F281" s="39" t="str"/>
      <x:c r="G281" s="39" t="str">
        <x:v>QuotationItems.total</x:v>
      </x:c>
      <x:c r="H281" s="289" t="str"/>
    </x:row>
    <x:row r="282">
      <x:c r="A282" s="288" t="str">
        <x:v>Quotations</x:v>
      </x:c>
      <x:c r="B282" s="39" t="str">
        <x:v>discount_amount</x:v>
      </x:c>
      <x:c r="C282" s="39" t="str">
        <x:v>تخفیف (ریال)</x:v>
      </x:c>
      <x:c r="D282" s="39" t="str">
        <x:v>integer</x:v>
      </x:c>
      <x:c r="E282" s="39" t="str">
        <x:v>بله</x:v>
      </x:c>
      <x:c r="F282" s="39" t="str"/>
      <x:c r="G282" s="39" t="str"/>
      <x:c r="H282" s="289" t="str"/>
    </x:row>
    <x:row r="283">
      <x:c r="A283" s="288" t="str">
        <x:v>Quotations</x:v>
      </x:c>
      <x:c r="B283" s="39" t="str">
        <x:v>final_amount</x:v>
      </x:c>
      <x:c r="C283" s="39" t="str">
        <x:v>مبلغ نهایی (ریال)</x:v>
      </x:c>
      <x:c r="D283" s="39" t="str">
        <x:v>formula/integer</x:v>
      </x:c>
      <x:c r="E283" s="39" t="str">
        <x:v>خیر</x:v>
      </x:c>
      <x:c r="F283" s="39" t="str"/>
      <x:c r="G283" s="39" t="str"/>
      <x:c r="H283" s="289" t="str"/>
    </x:row>
    <x:row r="284">
      <x:c r="A284" s="288" t="str">
        <x:v>Quotations</x:v>
      </x:c>
      <x:c r="B284" s="39" t="str">
        <x:v>status</x:v>
      </x:c>
      <x:c r="C284" s="39" t="str">
        <x:v>وضعیت</x:v>
      </x:c>
      <x:c r="D284" s="39" t="str">
        <x:v>enum</x:v>
      </x:c>
      <x:c r="E284" s="39" t="str">
        <x:v>بله</x:v>
      </x:c>
      <x:c r="F284" s="39" t="str">
        <x:v>draft,sent,accepted,rejected,expired</x:v>
      </x:c>
      <x:c r="G284" s="39" t="str"/>
      <x:c r="H284" s="289" t="str"/>
    </x:row>
    <x:row r="285">
      <x:c r="A285" s="288" t="str">
        <x:v>Quotations</x:v>
      </x:c>
      <x:c r="B285" s="39" t="str">
        <x:v>file_url</x:v>
      </x:c>
      <x:c r="C285" s="39" t="str">
        <x:v>لینک فایل</x:v>
      </x:c>
      <x:c r="D285" s="39" t="str">
        <x:v>URL</x:v>
      </x:c>
      <x:c r="E285" s="39" t="str">
        <x:v>خیر</x:v>
      </x:c>
      <x:c r="F285" s="39" t="str"/>
      <x:c r="G285" s="39" t="str"/>
      <x:c r="H285" s="289" t="str"/>
    </x:row>
    <x:row r="286">
      <x:c r="A286" s="288" t="str">
        <x:v>Quotations</x:v>
      </x:c>
      <x:c r="B286" s="39" t="str">
        <x:v>seller_user_id</x:v>
      </x:c>
      <x:c r="C286" s="39" t="str">
        <x:v>فروشنده</x:v>
      </x:c>
      <x:c r="D286" s="39" t="str">
        <x:v>FK</x:v>
      </x:c>
      <x:c r="E286" s="39" t="str">
        <x:v>بله</x:v>
      </x:c>
      <x:c r="F286" s="39" t="str"/>
      <x:c r="G286" s="39" t="str">
        <x:v>Users.user_id</x:v>
      </x:c>
      <x:c r="H286" s="289" t="str"/>
    </x:row>
    <x:row r="287">
      <x:c r="A287" s="288" t="str">
        <x:v>Quotations</x:v>
      </x:c>
      <x:c r="B287" s="39" t="str">
        <x:v>created_at</x:v>
      </x:c>
      <x:c r="C287" s="39" t="str">
        <x:v>زمان ایجاد</x:v>
      </x:c>
      <x:c r="D287" s="39" t="str">
        <x:v>datetime</x:v>
      </x:c>
      <x:c r="E287" s="39" t="str">
        <x:v>بله</x:v>
      </x:c>
      <x:c r="F287" s="39" t="str"/>
      <x:c r="G287" s="39" t="str"/>
      <x:c r="H287" s="289" t="str"/>
    </x:row>
    <x:row r="288">
      <x:c r="A288" s="288" t="str">
        <x:v>QuotationItems</x:v>
      </x:c>
      <x:c r="B288" s="39" t="str">
        <x:v>item_id</x:v>
      </x:c>
      <x:c r="C288" s="39" t="str">
        <x:v>شناسه قلم</x:v>
      </x:c>
      <x:c r="D288" s="39" t="str">
        <x:v>UUID</x:v>
      </x:c>
      <x:c r="E288" s="39" t="str">
        <x:v>بله</x:v>
      </x:c>
      <x:c r="F288" s="39" t="str"/>
      <x:c r="G288" s="39" t="str"/>
      <x:c r="H288" s="289" t="str"/>
    </x:row>
    <x:row r="289">
      <x:c r="A289" s="288" t="str">
        <x:v>QuotationItems</x:v>
      </x:c>
      <x:c r="B289" s="39" t="str">
        <x:v>quotation_id</x:v>
      </x:c>
      <x:c r="C289" s="39" t="str">
        <x:v>پیش‌فاکتور</x:v>
      </x:c>
      <x:c r="D289" s="39" t="str">
        <x:v>FK</x:v>
      </x:c>
      <x:c r="E289" s="39" t="str">
        <x:v>بله</x:v>
      </x:c>
      <x:c r="F289" s="39" t="str"/>
      <x:c r="G289" s="39" t="str">
        <x:v>Quotations.quotation_id</x:v>
      </x:c>
      <x:c r="H289" s="289" t="str"/>
    </x:row>
    <x:row r="290">
      <x:c r="A290" s="288" t="str">
        <x:v>QuotationItems</x:v>
      </x:c>
      <x:c r="B290" s="39" t="str">
        <x:v>product_id</x:v>
      </x:c>
      <x:c r="C290" s="39" t="str">
        <x:v>محصول</x:v>
      </x:c>
      <x:c r="D290" s="39" t="str">
        <x:v>FK</x:v>
      </x:c>
      <x:c r="E290" s="39" t="str">
        <x:v>بله</x:v>
      </x:c>
      <x:c r="F290" s="39" t="str"/>
      <x:c r="G290" s="39" t="str">
        <x:v>Products.product_id</x:v>
      </x:c>
      <x:c r="H290" s="289" t="str"/>
    </x:row>
    <x:row r="291">
      <x:c r="A291" s="288" t="str">
        <x:v>QuotationItems</x:v>
      </x:c>
      <x:c r="B291" s="39" t="str">
        <x:v>description</x:v>
      </x:c>
      <x:c r="C291" s="39" t="str">
        <x:v>شرح</x:v>
      </x:c>
      <x:c r="D291" s="39" t="str">
        <x:v>text</x:v>
      </x:c>
      <x:c r="E291" s="39" t="str">
        <x:v>خیر</x:v>
      </x:c>
      <x:c r="F291" s="39" t="str"/>
      <x:c r="G291" s="39" t="str"/>
      <x:c r="H291" s="289" t="str"/>
    </x:row>
    <x:row r="292">
      <x:c r="A292" s="288" t="str">
        <x:v>QuotationItems</x:v>
      </x:c>
      <x:c r="B292" s="39" t="str">
        <x:v>qty</x:v>
      </x:c>
      <x:c r="C292" s="39" t="str">
        <x:v>تعداد</x:v>
      </x:c>
      <x:c r="D292" s="39" t="str">
        <x:v>number</x:v>
      </x:c>
      <x:c r="E292" s="39" t="str">
        <x:v>بله</x:v>
      </x:c>
      <x:c r="F292" s="39" t="str"/>
      <x:c r="G292" s="39" t="str"/>
      <x:c r="H292" s="289" t="str"/>
    </x:row>
    <x:row r="293">
      <x:c r="A293" s="288" t="str">
        <x:v>QuotationItems</x:v>
      </x:c>
      <x:c r="B293" s="39" t="str">
        <x:v>unit</x:v>
      </x:c>
      <x:c r="C293" s="39" t="str">
        <x:v>واحد</x:v>
      </x:c>
      <x:c r="D293" s="39" t="str">
        <x:v>enum</x:v>
      </x:c>
      <x:c r="E293" s="39" t="str">
        <x:v>بله</x:v>
      </x:c>
      <x:c r="F293" s="39" t="str"/>
      <x:c r="G293" s="39" t="str"/>
      <x:c r="H293" s="289" t="str"/>
    </x:row>
    <x:row r="294">
      <x:c r="A294" s="288" t="str">
        <x:v>QuotationItems</x:v>
      </x:c>
      <x:c r="B294" s="39" t="str">
        <x:v>unit_price</x:v>
      </x:c>
      <x:c r="C294" s="39" t="str">
        <x:v>قیمت واحد (ریال)</x:v>
      </x:c>
      <x:c r="D294" s="39" t="str">
        <x:v>integer</x:v>
      </x:c>
      <x:c r="E294" s="39" t="str">
        <x:v>بله</x:v>
      </x:c>
      <x:c r="F294" s="39" t="str"/>
      <x:c r="G294" s="39" t="str"/>
      <x:c r="H294" s="289" t="str"/>
    </x:row>
    <x:row r="295">
      <x:c r="A295" s="288" t="str">
        <x:v>QuotationItems</x:v>
      </x:c>
      <x:c r="B295" s="39" t="str">
        <x:v>discount_amount</x:v>
      </x:c>
      <x:c r="C295" s="39" t="str">
        <x:v>تخفیف (ریال)</x:v>
      </x:c>
      <x:c r="D295" s="39" t="str">
        <x:v>integer</x:v>
      </x:c>
      <x:c r="E295" s="39" t="str">
        <x:v>بله</x:v>
      </x:c>
      <x:c r="F295" s="39" t="str"/>
      <x:c r="G295" s="39" t="str"/>
      <x:c r="H295" s="289" t="str"/>
    </x:row>
    <x:row r="296">
      <x:c r="A296" s="288" t="str">
        <x:v>QuotationItems</x:v>
      </x:c>
      <x:c r="B296" s="39" t="str">
        <x:v>total</x:v>
      </x:c>
      <x:c r="C296" s="39" t="str">
        <x:v>جمع (ریال)</x:v>
      </x:c>
      <x:c r="D296" s="39" t="str">
        <x:v>formula/integer</x:v>
      </x:c>
      <x:c r="E296" s="39" t="str">
        <x:v>خیر</x:v>
      </x:c>
      <x:c r="F296" s="39" t="str"/>
      <x:c r="G296" s="39" t="str"/>
      <x:c r="H296" s="289" t="str"/>
    </x:row>
    <x:row r="297">
      <x:c r="A297" s="288" t="str">
        <x:v>OrderItems</x:v>
      </x:c>
      <x:c r="B297" s="39" t="str">
        <x:v>item_id</x:v>
      </x:c>
      <x:c r="C297" s="39" t="str">
        <x:v>شناسه قلم</x:v>
      </x:c>
      <x:c r="D297" s="39" t="str">
        <x:v>UUID</x:v>
      </x:c>
      <x:c r="E297" s="39" t="str">
        <x:v>بله</x:v>
      </x:c>
      <x:c r="F297" s="39" t="str"/>
      <x:c r="G297" s="39" t="str"/>
      <x:c r="H297" s="289" t="str"/>
    </x:row>
    <x:row r="298">
      <x:c r="A298" s="288" t="str">
        <x:v>OrderItems</x:v>
      </x:c>
      <x:c r="B298" s="39" t="str">
        <x:v>order_id</x:v>
      </x:c>
      <x:c r="C298" s="39" t="str">
        <x:v>سفارش</x:v>
      </x:c>
      <x:c r="D298" s="39" t="str">
        <x:v>FK</x:v>
      </x:c>
      <x:c r="E298" s="39" t="str">
        <x:v>بله</x:v>
      </x:c>
      <x:c r="F298" s="39" t="str"/>
      <x:c r="G298" s="39" t="str">
        <x:v>Orders.order_id</x:v>
      </x:c>
      <x:c r="H298" s="289" t="str"/>
    </x:row>
    <x:row r="299">
      <x:c r="A299" s="288" t="str">
        <x:v>OrderItems</x:v>
      </x:c>
      <x:c r="B299" s="39" t="str">
        <x:v>product_id</x:v>
      </x:c>
      <x:c r="C299" s="39" t="str">
        <x:v>محصول</x:v>
      </x:c>
      <x:c r="D299" s="39" t="str">
        <x:v>FK</x:v>
      </x:c>
      <x:c r="E299" s="39" t="str">
        <x:v>بله</x:v>
      </x:c>
      <x:c r="F299" s="39" t="str"/>
      <x:c r="G299" s="39" t="str">
        <x:v>Products.product_id</x:v>
      </x:c>
      <x:c r="H299" s="289" t="str"/>
    </x:row>
    <x:row r="300">
      <x:c r="A300" s="288" t="str">
        <x:v>OrderItems</x:v>
      </x:c>
      <x:c r="B300" s="39" t="str">
        <x:v>description</x:v>
      </x:c>
      <x:c r="C300" s="39" t="str">
        <x:v>شرح</x:v>
      </x:c>
      <x:c r="D300" s="39" t="str">
        <x:v>text</x:v>
      </x:c>
      <x:c r="E300" s="39" t="str">
        <x:v>خیر</x:v>
      </x:c>
      <x:c r="F300" s="39" t="str"/>
      <x:c r="G300" s="39" t="str"/>
      <x:c r="H300" s="289" t="str"/>
    </x:row>
    <x:row r="301">
      <x:c r="A301" s="288" t="str">
        <x:v>OrderItems</x:v>
      </x:c>
      <x:c r="B301" s="39" t="str">
        <x:v>qty</x:v>
      </x:c>
      <x:c r="C301" s="39" t="str">
        <x:v>تعداد</x:v>
      </x:c>
      <x:c r="D301" s="39" t="str">
        <x:v>number</x:v>
      </x:c>
      <x:c r="E301" s="39" t="str">
        <x:v>بله</x:v>
      </x:c>
      <x:c r="F301" s="39" t="str"/>
      <x:c r="G301" s="39" t="str"/>
      <x:c r="H301" s="289" t="str"/>
    </x:row>
    <x:row r="302">
      <x:c r="A302" s="288" t="str">
        <x:v>OrderItems</x:v>
      </x:c>
      <x:c r="B302" s="39" t="str">
        <x:v>unit</x:v>
      </x:c>
      <x:c r="C302" s="39" t="str">
        <x:v>واحد</x:v>
      </x:c>
      <x:c r="D302" s="39" t="str">
        <x:v>enum</x:v>
      </x:c>
      <x:c r="E302" s="39" t="str">
        <x:v>بله</x:v>
      </x:c>
      <x:c r="F302" s="39" t="str"/>
      <x:c r="G302" s="39" t="str"/>
      <x:c r="H302" s="289" t="str"/>
    </x:row>
    <x:row r="303">
      <x:c r="A303" s="288" t="str">
        <x:v>OrderItems</x:v>
      </x:c>
      <x:c r="B303" s="39" t="str">
        <x:v>unit_price</x:v>
      </x:c>
      <x:c r="C303" s="39" t="str">
        <x:v>قیمت واحد (ریال)</x:v>
      </x:c>
      <x:c r="D303" s="39" t="str">
        <x:v>integer</x:v>
      </x:c>
      <x:c r="E303" s="39" t="str">
        <x:v>بله</x:v>
      </x:c>
      <x:c r="F303" s="39" t="str"/>
      <x:c r="G303" s="39" t="str"/>
      <x:c r="H303" s="289" t="str"/>
    </x:row>
    <x:row r="304">
      <x:c r="A304" s="288" t="str">
        <x:v>OrderItems</x:v>
      </x:c>
      <x:c r="B304" s="39" t="str">
        <x:v>discount_amount</x:v>
      </x:c>
      <x:c r="C304" s="39" t="str">
        <x:v>تخفیف (ریال)</x:v>
      </x:c>
      <x:c r="D304" s="39" t="str">
        <x:v>integer</x:v>
      </x:c>
      <x:c r="E304" s="39" t="str">
        <x:v>بله</x:v>
      </x:c>
      <x:c r="F304" s="39" t="str"/>
      <x:c r="G304" s="39" t="str"/>
      <x:c r="H304" s="289" t="str"/>
    </x:row>
    <x:row r="305">
      <x:c r="A305" s="288" t="str">
        <x:v>OrderItems</x:v>
      </x:c>
      <x:c r="B305" s="39" t="str">
        <x:v>total</x:v>
      </x:c>
      <x:c r="C305" s="39" t="str">
        <x:v>جمع (ریال)</x:v>
      </x:c>
      <x:c r="D305" s="39" t="str">
        <x:v>formula/integer</x:v>
      </x:c>
      <x:c r="E305" s="39" t="str">
        <x:v>خیر</x:v>
      </x:c>
      <x:c r="F305" s="39" t="str"/>
      <x:c r="G305" s="39" t="str"/>
      <x:c r="H305" s="289" t="str"/>
    </x:row>
    <x:row r="306">
      <x:c r="A306" s="288" t="str">
        <x:v>Payments</x:v>
      </x:c>
      <x:c r="B306" s="39" t="str">
        <x:v>payment_id</x:v>
      </x:c>
      <x:c r="C306" s="39" t="str">
        <x:v>شناسه پرداخت</x:v>
      </x:c>
      <x:c r="D306" s="39" t="str">
        <x:v>UUID</x:v>
      </x:c>
      <x:c r="E306" s="39" t="str">
        <x:v>بله</x:v>
      </x:c>
      <x:c r="F306" s="39" t="str"/>
      <x:c r="G306" s="39" t="str"/>
      <x:c r="H306" s="289" t="str"/>
    </x:row>
    <x:row r="307">
      <x:c r="A307" s="288" t="str">
        <x:v>Payments</x:v>
      </x:c>
      <x:c r="B307" s="39" t="str">
        <x:v>order_id</x:v>
      </x:c>
      <x:c r="C307" s="39" t="str">
        <x:v>سفارش</x:v>
      </x:c>
      <x:c r="D307" s="39" t="str">
        <x:v>FK</x:v>
      </x:c>
      <x:c r="E307" s="39" t="str">
        <x:v>بله</x:v>
      </x:c>
      <x:c r="F307" s="39" t="str"/>
      <x:c r="G307" s="39" t="str">
        <x:v>Orders.order_id</x:v>
      </x:c>
      <x:c r="H307" s="289" t="str"/>
    </x:row>
    <x:row r="308">
      <x:c r="A308" s="288" t="str">
        <x:v>Payments</x:v>
      </x:c>
      <x:c r="B308" s="39" t="str">
        <x:v>amount</x:v>
      </x:c>
      <x:c r="C308" s="39" t="str">
        <x:v>مبلغ (ریال)</x:v>
      </x:c>
      <x:c r="D308" s="39" t="str">
        <x:v>integer</x:v>
      </x:c>
      <x:c r="E308" s="39" t="str">
        <x:v>بله</x:v>
      </x:c>
      <x:c r="F308" s="39" t="str"/>
      <x:c r="G308" s="39" t="str"/>
      <x:c r="H308" s="289" t="str"/>
    </x:row>
    <x:row r="309">
      <x:c r="A309" s="288" t="str">
        <x:v>Payments</x:v>
      </x:c>
      <x:c r="B309" s="39" t="str">
        <x:v>method</x:v>
      </x:c>
      <x:c r="C309" s="39" t="str">
        <x:v>روش</x:v>
      </x:c>
      <x:c r="D309" s="39" t="str">
        <x:v>enum</x:v>
      </x:c>
      <x:c r="E309" s="39" t="str">
        <x:v>بله</x:v>
      </x:c>
      <x:c r="F309" s="39" t="str">
        <x:v>cash,card,bank_transfer,cheque,credit,other</x:v>
      </x:c>
      <x:c r="G309" s="39" t="str"/>
      <x:c r="H309" s="289" t="str"/>
    </x:row>
    <x:row r="310">
      <x:c r="A310" s="288" t="str">
        <x:v>Payments</x:v>
      </x:c>
      <x:c r="B310" s="39" t="str">
        <x:v>reference</x:v>
      </x:c>
      <x:c r="C310" s="39" t="str">
        <x:v>شماره مرجع</x:v>
      </x:c>
      <x:c r="D310" s="39" t="str">
        <x:v>text</x:v>
      </x:c>
      <x:c r="E310" s="39" t="str">
        <x:v>خیر</x:v>
      </x:c>
      <x:c r="F310" s="39" t="str"/>
      <x:c r="G310" s="39" t="str"/>
      <x:c r="H310" s="289" t="str"/>
    </x:row>
    <x:row r="311">
      <x:c r="A311" s="288" t="str">
        <x:v>Payments</x:v>
      </x:c>
      <x:c r="B311" s="39" t="str">
        <x:v>paid_at</x:v>
      </x:c>
      <x:c r="C311" s="39" t="str">
        <x:v>زمان پرداخت</x:v>
      </x:c>
      <x:c r="D311" s="39" t="str">
        <x:v>datetime</x:v>
      </x:c>
      <x:c r="E311" s="39" t="str">
        <x:v>بله</x:v>
      </x:c>
      <x:c r="F311" s="39" t="str"/>
      <x:c r="G311" s="39" t="str"/>
      <x:c r="H311" s="289" t="str"/>
    </x:row>
    <x:row r="312">
      <x:c r="A312" s="288" t="str">
        <x:v>Payments</x:v>
      </x:c>
      <x:c r="B312" s="39" t="str">
        <x:v>status</x:v>
      </x:c>
      <x:c r="C312" s="39" t="str">
        <x:v>وضعیت</x:v>
      </x:c>
      <x:c r="D312" s="39" t="str">
        <x:v>enum</x:v>
      </x:c>
      <x:c r="E312" s="39" t="str">
        <x:v>بله</x:v>
      </x:c>
      <x:c r="F312" s="39" t="str">
        <x:v>pending,confirmed,failed,refunded</x:v>
      </x:c>
      <x:c r="G312" s="39" t="str"/>
      <x:c r="H312" s="289" t="str"/>
    </x:row>
    <x:row r="313">
      <x:c r="A313" s="288" t="str">
        <x:v>Payments</x:v>
      </x:c>
      <x:c r="B313" s="39" t="str">
        <x:v>attachment_url</x:v>
      </x:c>
      <x:c r="C313" s="39" t="str">
        <x:v>رسید</x:v>
      </x:c>
      <x:c r="D313" s="39" t="str">
        <x:v>URL</x:v>
      </x:c>
      <x:c r="E313" s="39" t="str">
        <x:v>خیر</x:v>
      </x:c>
      <x:c r="F313" s="39" t="str"/>
      <x:c r="G313" s="39" t="str"/>
      <x:c r="H313" s="289" t="str"/>
    </x:row>
    <x:row r="314">
      <x:c r="A314" s="288" t="str">
        <x:v>Payments</x:v>
      </x:c>
      <x:c r="B314" s="39" t="str">
        <x:v>created_at</x:v>
      </x:c>
      <x:c r="C314" s="39" t="str">
        <x:v>زمان ثبت</x:v>
      </x:c>
      <x:c r="D314" s="39" t="str">
        <x:v>datetime</x:v>
      </x:c>
      <x:c r="E314" s="39" t="str">
        <x:v>بله</x:v>
      </x:c>
      <x:c r="F314" s="39" t="str"/>
      <x:c r="G314" s="39" t="str"/>
      <x:c r="H314" s="289" t="str"/>
    </x:row>
    <x:row r="315">
      <x:c r="A315" s="288" t="str">
        <x:v>Payments</x:v>
      </x:c>
      <x:c r="B315" s="39" t="str">
        <x:v>created_by</x:v>
      </x:c>
      <x:c r="C315" s="39" t="str">
        <x:v>ثبت‌کننده</x:v>
      </x:c>
      <x:c r="D315" s="39" t="str">
        <x:v>FK</x:v>
      </x:c>
      <x:c r="E315" s="39" t="str">
        <x:v>بله</x:v>
      </x:c>
      <x:c r="F315" s="39" t="str"/>
      <x:c r="G315" s="39" t="str">
        <x:v>Users.user_id</x:v>
      </x:c>
      <x:c r="H315" s="289" t="str"/>
    </x:row>
    <x:row r="316">
      <x:c r="A316" s="288" t="str">
        <x:v>InventoryTransactions</x:v>
      </x:c>
      <x:c r="B316" s="39" t="str">
        <x:v>transaction_id</x:v>
      </x:c>
      <x:c r="C316" s="39" t="str">
        <x:v>شناسه گردش</x:v>
      </x:c>
      <x:c r="D316" s="39" t="str">
        <x:v>UUID</x:v>
      </x:c>
      <x:c r="E316" s="39" t="str">
        <x:v>بله</x:v>
      </x:c>
      <x:c r="F316" s="39" t="str"/>
      <x:c r="G316" s="39" t="str"/>
      <x:c r="H316" s="289" t="str"/>
    </x:row>
    <x:row r="317">
      <x:c r="A317" s="288" t="str">
        <x:v>InventoryTransactions</x:v>
      </x:c>
      <x:c r="B317" s="39" t="str">
        <x:v>product_id</x:v>
      </x:c>
      <x:c r="C317" s="39" t="str">
        <x:v>محصول</x:v>
      </x:c>
      <x:c r="D317" s="39" t="str">
        <x:v>FK</x:v>
      </x:c>
      <x:c r="E317" s="39" t="str">
        <x:v>بله</x:v>
      </x:c>
      <x:c r="F317" s="39" t="str"/>
      <x:c r="G317" s="39" t="str">
        <x:v>Products.product_id</x:v>
      </x:c>
      <x:c r="H317" s="289" t="str"/>
    </x:row>
    <x:row r="318">
      <x:c r="A318" s="288" t="str">
        <x:v>InventoryTransactions</x:v>
      </x:c>
      <x:c r="B318" s="39" t="str">
        <x:v>type</x:v>
      </x:c>
      <x:c r="C318" s="39" t="str">
        <x:v>نوع گردش</x:v>
      </x:c>
      <x:c r="D318" s="39" t="str">
        <x:v>enum</x:v>
      </x:c>
      <x:c r="E318" s="39" t="str">
        <x:v>بله</x:v>
      </x:c>
      <x:c r="F318" s="39" t="str">
        <x:v>opening,purchase,sale,return_in,return_out,adjustment</x:v>
      </x:c>
      <x:c r="G318" s="39" t="str"/>
      <x:c r="H318" s="289" t="str"/>
    </x:row>
    <x:row r="319">
      <x:c r="A319" s="288" t="str">
        <x:v>InventoryTransactions</x:v>
      </x:c>
      <x:c r="B319" s="39" t="str">
        <x:v>qty_signed</x:v>
      </x:c>
      <x:c r="C319" s="39" t="str">
        <x:v>مقدار با علامت</x:v>
      </x:c>
      <x:c r="D319" s="39" t="str">
        <x:v>number</x:v>
      </x:c>
      <x:c r="E319" s="39" t="str">
        <x:v>بله</x:v>
      </x:c>
      <x:c r="F319" s="39" t="str"/>
      <x:c r="G319" s="39" t="str"/>
      <x:c r="H319" s="289" t="str"/>
    </x:row>
    <x:row r="320">
      <x:c r="A320" s="288" t="str">
        <x:v>InventoryTransactions</x:v>
      </x:c>
      <x:c r="B320" s="39" t="str">
        <x:v>unit_cost</x:v>
      </x:c>
      <x:c r="C320" s="39" t="str">
        <x:v>بهای واحد (ریال)</x:v>
      </x:c>
      <x:c r="D320" s="39" t="str">
        <x:v>integer</x:v>
      </x:c>
      <x:c r="E320" s="39" t="str">
        <x:v>خیر</x:v>
      </x:c>
      <x:c r="F320" s="39" t="str"/>
      <x:c r="G320" s="39" t="str"/>
      <x:c r="H320" s="289" t="str"/>
    </x:row>
    <x:row r="321">
      <x:c r="A321" s="288" t="str">
        <x:v>InventoryTransactions</x:v>
      </x:c>
      <x:c r="B321" s="39" t="str">
        <x:v>related_type</x:v>
      </x:c>
      <x:c r="C321" s="39" t="str">
        <x:v>نوع مرتبط</x:v>
      </x:c>
      <x:c r="D321" s="39" t="str">
        <x:v>enum</x:v>
      </x:c>
      <x:c r="E321" s="39" t="str">
        <x:v>خیر</x:v>
      </x:c>
      <x:c r="F321" s="39" t="str"/>
      <x:c r="G321" s="39" t="str"/>
      <x:c r="H321" s="289" t="str"/>
    </x:row>
    <x:row r="322">
      <x:c r="A322" s="288" t="str">
        <x:v>InventoryTransactions</x:v>
      </x:c>
      <x:c r="B322" s="39" t="str">
        <x:v>related_id</x:v>
      </x:c>
      <x:c r="C322" s="39" t="str">
        <x:v>شناسه مرتبط</x:v>
      </x:c>
      <x:c r="D322" s="39" t="str">
        <x:v>text/FK</x:v>
      </x:c>
      <x:c r="E322" s="39" t="str">
        <x:v>خیر</x:v>
      </x:c>
      <x:c r="F322" s="39" t="str"/>
      <x:c r="G322" s="39" t="str"/>
      <x:c r="H322" s="289" t="str"/>
    </x:row>
    <x:row r="323">
      <x:c r="A323" s="288" t="str">
        <x:v>InventoryTransactions</x:v>
      </x:c>
      <x:c r="B323" s="39" t="str">
        <x:v>occurred_at</x:v>
      </x:c>
      <x:c r="C323" s="39" t="str">
        <x:v>زمان</x:v>
      </x:c>
      <x:c r="D323" s="39" t="str">
        <x:v>datetime</x:v>
      </x:c>
      <x:c r="E323" s="39" t="str">
        <x:v>بله</x:v>
      </x:c>
      <x:c r="F323" s="39" t="str"/>
      <x:c r="G323" s="39" t="str"/>
      <x:c r="H323" s="289" t="str"/>
    </x:row>
    <x:row r="324">
      <x:c r="A324" s="288" t="str">
        <x:v>InventoryTransactions</x:v>
      </x:c>
      <x:c r="B324" s="39" t="str">
        <x:v>notes</x:v>
      </x:c>
      <x:c r="C324" s="39" t="str">
        <x:v>توضیحات</x:v>
      </x:c>
      <x:c r="D324" s="39" t="str">
        <x:v>text</x:v>
      </x:c>
      <x:c r="E324" s="39" t="str">
        <x:v>خیر</x:v>
      </x:c>
      <x:c r="F324" s="39" t="str"/>
      <x:c r="G324" s="39" t="str"/>
      <x:c r="H324" s="289" t="str"/>
    </x:row>
    <x:row r="325">
      <x:c r="A325" s="288" t="str">
        <x:v>InventoryTransactions</x:v>
      </x:c>
      <x:c r="B325" s="39" t="str">
        <x:v>created_by</x:v>
      </x:c>
      <x:c r="C325" s="39" t="str">
        <x:v>ثبت‌کننده</x:v>
      </x:c>
      <x:c r="D325" s="39" t="str">
        <x:v>FK</x:v>
      </x:c>
      <x:c r="E325" s="39" t="str">
        <x:v>بله</x:v>
      </x:c>
      <x:c r="F325" s="39" t="str"/>
      <x:c r="G325" s="39" t="str">
        <x:v>Users.user_id</x:v>
      </x:c>
      <x:c r="H325" s="289" t="str"/>
    </x:row>
    <x:row r="326">
      <x:c r="A326" s="288" t="str">
        <x:v>Suppliers</x:v>
      </x:c>
      <x:c r="B326" s="39" t="str">
        <x:v>supplier_id</x:v>
      </x:c>
      <x:c r="C326" s="39" t="str">
        <x:v>شناسه تأمین‌کننده</x:v>
      </x:c>
      <x:c r="D326" s="39" t="str">
        <x:v>UUID</x:v>
      </x:c>
      <x:c r="E326" s="39" t="str">
        <x:v>بله</x:v>
      </x:c>
      <x:c r="F326" s="39" t="str"/>
      <x:c r="G326" s="39" t="str"/>
      <x:c r="H326" s="289" t="str"/>
    </x:row>
    <x:row r="327">
      <x:c r="A327" s="288" t="str">
        <x:v>Suppliers</x:v>
      </x:c>
      <x:c r="B327" s="39" t="str">
        <x:v>name</x:v>
      </x:c>
      <x:c r="C327" s="39" t="str">
        <x:v>نام</x:v>
      </x:c>
      <x:c r="D327" s="39" t="str">
        <x:v>text</x:v>
      </x:c>
      <x:c r="E327" s="39" t="str">
        <x:v>بله</x:v>
      </x:c>
      <x:c r="F327" s="39" t="str"/>
      <x:c r="G327" s="39" t="str"/>
      <x:c r="H327" s="289" t="str"/>
    </x:row>
    <x:row r="328">
      <x:c r="A328" s="288" t="str">
        <x:v>Suppliers</x:v>
      </x:c>
      <x:c r="B328" s="39" t="str">
        <x:v>normalized_mobile</x:v>
      </x:c>
      <x:c r="C328" s="39" t="str">
        <x:v>موبایل</x:v>
      </x:c>
      <x:c r="D328" s="39" t="str">
        <x:v>phone</x:v>
      </x:c>
      <x:c r="E328" s="39" t="str">
        <x:v>خیر</x:v>
      </x:c>
      <x:c r="F328" s="39" t="str"/>
      <x:c r="G328" s="39" t="str"/>
      <x:c r="H328" s="289" t="str"/>
    </x:row>
    <x:row r="329">
      <x:c r="A329" s="288" t="str">
        <x:v>Suppliers</x:v>
      </x:c>
      <x:c r="B329" s="39" t="str">
        <x:v>city</x:v>
      </x:c>
      <x:c r="C329" s="39" t="str">
        <x:v>شهر</x:v>
      </x:c>
      <x:c r="D329" s="39" t="str">
        <x:v>text</x:v>
      </x:c>
      <x:c r="E329" s="39" t="str">
        <x:v>خیر</x:v>
      </x:c>
      <x:c r="F329" s="39" t="str"/>
      <x:c r="G329" s="39" t="str"/>
      <x:c r="H329" s="289" t="str"/>
    </x:row>
    <x:row r="330">
      <x:c r="A330" s="288" t="str">
        <x:v>Suppliers</x:v>
      </x:c>
      <x:c r="B330" s="39" t="str">
        <x:v>categories</x:v>
      </x:c>
      <x:c r="C330" s="39" t="str">
        <x:v>دسته‌های تأمین</x:v>
      </x:c>
      <x:c r="D330" s="39" t="str">
        <x:v>text</x:v>
      </x:c>
      <x:c r="E330" s="39" t="str">
        <x:v>خیر</x:v>
      </x:c>
      <x:c r="F330" s="39" t="str"/>
      <x:c r="G330" s="39" t="str"/>
      <x:c r="H330" s="289" t="str"/>
    </x:row>
    <x:row r="331">
      <x:c r="A331" s="288" t="str">
        <x:v>Suppliers</x:v>
      </x:c>
      <x:c r="B331" s="39" t="str">
        <x:v>score</x:v>
      </x:c>
      <x:c r="C331" s="39" t="str">
        <x:v>امتیاز</x:v>
      </x:c>
      <x:c r="D331" s="39" t="str">
        <x:v>integer</x:v>
      </x:c>
      <x:c r="E331" s="39" t="str">
        <x:v>خیر</x:v>
      </x:c>
      <x:c r="F331" s="39" t="str"/>
      <x:c r="G331" s="39" t="str"/>
      <x:c r="H331" s="289" t="str"/>
    </x:row>
    <x:row r="332">
      <x:c r="A332" s="288" t="str">
        <x:v>Suppliers</x:v>
      </x:c>
      <x:c r="B332" s="39" t="str">
        <x:v>payment_terms</x:v>
      </x:c>
      <x:c r="C332" s="39" t="str">
        <x:v>شرایط پرداخت</x:v>
      </x:c>
      <x:c r="D332" s="39" t="str">
        <x:v>text</x:v>
      </x:c>
      <x:c r="E332" s="39" t="str">
        <x:v>خیر</x:v>
      </x:c>
      <x:c r="F332" s="39" t="str"/>
      <x:c r="G332" s="39" t="str"/>
      <x:c r="H332" s="289" t="str"/>
    </x:row>
    <x:row r="333">
      <x:c r="A333" s="288" t="str">
        <x:v>Suppliers</x:v>
      </x:c>
      <x:c r="B333" s="39" t="str">
        <x:v>lead_time_days</x:v>
      </x:c>
      <x:c r="C333" s="39" t="str">
        <x:v>زمان تأمین روز</x:v>
      </x:c>
      <x:c r="D333" s="39" t="str">
        <x:v>integer</x:v>
      </x:c>
      <x:c r="E333" s="39" t="str">
        <x:v>خیر</x:v>
      </x:c>
      <x:c r="F333" s="39" t="str"/>
      <x:c r="G333" s="39" t="str"/>
      <x:c r="H333" s="289" t="str"/>
    </x:row>
    <x:row r="334">
      <x:c r="A334" s="288" t="str">
        <x:v>Suppliers</x:v>
      </x:c>
      <x:c r="B334" s="39" t="str">
        <x:v>status</x:v>
      </x:c>
      <x:c r="C334" s="39" t="str">
        <x:v>وضعیت</x:v>
      </x:c>
      <x:c r="D334" s="39" t="str">
        <x:v>enum</x:v>
      </x:c>
      <x:c r="E334" s="39" t="str">
        <x:v>بله</x:v>
      </x:c>
      <x:c r="F334" s="39" t="str">
        <x:v>active,paused,blocked</x:v>
      </x:c>
      <x:c r="G334" s="39" t="str"/>
      <x:c r="H334" s="289" t="str"/>
    </x:row>
    <x:row r="335">
      <x:c r="A335" s="288" t="str">
        <x:v>Suppliers</x:v>
      </x:c>
      <x:c r="B335" s="39" t="str">
        <x:v>notes</x:v>
      </x:c>
      <x:c r="C335" s="39" t="str">
        <x:v>توضیحات</x:v>
      </x:c>
      <x:c r="D335" s="39" t="str">
        <x:v>text</x:v>
      </x:c>
      <x:c r="E335" s="39" t="str">
        <x:v>خیر</x:v>
      </x:c>
      <x:c r="F335" s="39" t="str"/>
      <x:c r="G335" s="39" t="str"/>
      <x:c r="H335" s="289" t="str"/>
    </x:row>
    <x:row r="336">
      <x:c r="A336" s="288" t="str">
        <x:v>Suppliers</x:v>
      </x:c>
      <x:c r="B336" s="39" t="str">
        <x:v>created_at</x:v>
      </x:c>
      <x:c r="C336" s="39" t="str">
        <x:v>زمان ایجاد</x:v>
      </x:c>
      <x:c r="D336" s="39" t="str">
        <x:v>datetime</x:v>
      </x:c>
      <x:c r="E336" s="39" t="str">
        <x:v>بله</x:v>
      </x:c>
      <x:c r="F336" s="39" t="str"/>
      <x:c r="G336" s="39" t="str"/>
      <x:c r="H336" s="289" t="str"/>
    </x:row>
    <x:row r="337">
      <x:c r="A337" s="288" t="str">
        <x:v>SupplierQuotes</x:v>
      </x:c>
      <x:c r="B337" s="39" t="str">
        <x:v>supplier_quote_id</x:v>
      </x:c>
      <x:c r="C337" s="39" t="str">
        <x:v>شناسه پیشنهاد خرید</x:v>
      </x:c>
      <x:c r="D337" s="39" t="str">
        <x:v>UUID</x:v>
      </x:c>
      <x:c r="E337" s="39" t="str">
        <x:v>بله</x:v>
      </x:c>
      <x:c r="F337" s="39" t="str"/>
      <x:c r="G337" s="39" t="str"/>
      <x:c r="H337" s="289" t="str"/>
    </x:row>
    <x:row r="338">
      <x:c r="A338" s="288" t="str">
        <x:v>SupplierQuotes</x:v>
      </x:c>
      <x:c r="B338" s="39" t="str">
        <x:v>supplier_id</x:v>
      </x:c>
      <x:c r="C338" s="39" t="str">
        <x:v>تأمین‌کننده</x:v>
      </x:c>
      <x:c r="D338" s="39" t="str">
        <x:v>FK</x:v>
      </x:c>
      <x:c r="E338" s="39" t="str">
        <x:v>بله</x:v>
      </x:c>
      <x:c r="F338" s="39" t="str"/>
      <x:c r="G338" s="39" t="str">
        <x:v>Suppliers.supplier_id</x:v>
      </x:c>
      <x:c r="H338" s="289" t="str"/>
    </x:row>
    <x:row r="339">
      <x:c r="A339" s="288" t="str">
        <x:v>SupplierQuotes</x:v>
      </x:c>
      <x:c r="B339" s="39" t="str">
        <x:v>opportunity_id</x:v>
      </x:c>
      <x:c r="C339" s="39" t="str">
        <x:v>فرصت فروش</x:v>
      </x:c>
      <x:c r="D339" s="39" t="str">
        <x:v>FK</x:v>
      </x:c>
      <x:c r="E339" s="39" t="str">
        <x:v>خیر</x:v>
      </x:c>
      <x:c r="F339" s="39" t="str"/>
      <x:c r="G339" s="39" t="str">
        <x:v>Opportunities.opportunity_id</x:v>
      </x:c>
      <x:c r="H339" s="289" t="str"/>
    </x:row>
    <x:row r="340">
      <x:c r="A340" s="288" t="str">
        <x:v>SupplierQuotes</x:v>
      </x:c>
      <x:c r="B340" s="39" t="str">
        <x:v>product_id</x:v>
      </x:c>
      <x:c r="C340" s="39" t="str">
        <x:v>محصول</x:v>
      </x:c>
      <x:c r="D340" s="39" t="str">
        <x:v>FK</x:v>
      </x:c>
      <x:c r="E340" s="39" t="str">
        <x:v>بله</x:v>
      </x:c>
      <x:c r="F340" s="39" t="str"/>
      <x:c r="G340" s="39" t="str">
        <x:v>Products.product_id</x:v>
      </x:c>
      <x:c r="H340" s="289" t="str"/>
    </x:row>
    <x:row r="341">
      <x:c r="A341" s="288" t="str">
        <x:v>SupplierQuotes</x:v>
      </x:c>
      <x:c r="B341" s="39" t="str">
        <x:v>qty</x:v>
      </x:c>
      <x:c r="C341" s="39" t="str">
        <x:v>مقدار</x:v>
      </x:c>
      <x:c r="D341" s="39" t="str">
        <x:v>number</x:v>
      </x:c>
      <x:c r="E341" s="39" t="str">
        <x:v>بله</x:v>
      </x:c>
      <x:c r="F341" s="39" t="str"/>
      <x:c r="G341" s="39" t="str"/>
      <x:c r="H341" s="289" t="str"/>
    </x:row>
    <x:row r="342">
      <x:c r="A342" s="288" t="str">
        <x:v>SupplierQuotes</x:v>
      </x:c>
      <x:c r="B342" s="39" t="str">
        <x:v>price</x:v>
      </x:c>
      <x:c r="C342" s="39" t="str">
        <x:v>قیمت واحد (ریال)</x:v>
      </x:c>
      <x:c r="D342" s="39" t="str">
        <x:v>integer</x:v>
      </x:c>
      <x:c r="E342" s="39" t="str">
        <x:v>بله</x:v>
      </x:c>
      <x:c r="F342" s="39" t="str"/>
      <x:c r="G342" s="39" t="str"/>
      <x:c r="H342" s="289" t="str"/>
    </x:row>
    <x:row r="343">
      <x:c r="A343" s="288" t="str">
        <x:v>SupplierQuotes</x:v>
      </x:c>
      <x:c r="B343" s="39" t="str">
        <x:v>valid_until</x:v>
      </x:c>
      <x:c r="C343" s="39" t="str">
        <x:v>اعتبار تا</x:v>
      </x:c>
      <x:c r="D343" s="39" t="str">
        <x:v>date</x:v>
      </x:c>
      <x:c r="E343" s="39" t="str">
        <x:v>خیر</x:v>
      </x:c>
      <x:c r="F343" s="39" t="str"/>
      <x:c r="G343" s="39" t="str"/>
      <x:c r="H343" s="289" t="str"/>
    </x:row>
    <x:row r="344">
      <x:c r="A344" s="288" t="str">
        <x:v>SupplierQuotes</x:v>
      </x:c>
      <x:c r="B344" s="39" t="str">
        <x:v>status</x:v>
      </x:c>
      <x:c r="C344" s="39" t="str">
        <x:v>وضعیت</x:v>
      </x:c>
      <x:c r="D344" s="39" t="str">
        <x:v>enum</x:v>
      </x:c>
      <x:c r="E344" s="39" t="str">
        <x:v>بله</x:v>
      </x:c>
      <x:c r="F344" s="39" t="str">
        <x:v>requested,received,selected,rejected,expired</x:v>
      </x:c>
      <x:c r="G344" s="39" t="str"/>
      <x:c r="H344" s="289" t="str"/>
    </x:row>
    <x:row r="345">
      <x:c r="A345" s="288" t="str">
        <x:v>SupplierQuotes</x:v>
      </x:c>
      <x:c r="B345" s="39" t="str">
        <x:v>notes</x:v>
      </x:c>
      <x:c r="C345" s="39" t="str">
        <x:v>توضیحات</x:v>
      </x:c>
      <x:c r="D345" s="39" t="str">
        <x:v>text</x:v>
      </x:c>
      <x:c r="E345" s="39" t="str">
        <x:v>خیر</x:v>
      </x:c>
      <x:c r="F345" s="39" t="str"/>
      <x:c r="G345" s="39" t="str"/>
      <x:c r="H345" s="289" t="str"/>
    </x:row>
    <x:row r="346">
      <x:c r="A346" s="288" t="str">
        <x:v>SupplierQuotes</x:v>
      </x:c>
      <x:c r="B346" s="39" t="str">
        <x:v>created_at</x:v>
      </x:c>
      <x:c r="C346" s="39" t="str">
        <x:v>زمان ایجاد</x:v>
      </x:c>
      <x:c r="D346" s="39" t="str">
        <x:v>datetime</x:v>
      </x:c>
      <x:c r="E346" s="39" t="str">
        <x:v>بله</x:v>
      </x:c>
      <x:c r="F346" s="39" t="str"/>
      <x:c r="G346" s="39" t="str"/>
      <x:c r="H346" s="289" t="str"/>
    </x:row>
    <x:row r="347">
      <x:c r="A347" s="288" t="str">
        <x:v>Shipments</x:v>
      </x:c>
      <x:c r="B347" s="39" t="str">
        <x:v>shipment_id</x:v>
      </x:c>
      <x:c r="C347" s="39" t="str">
        <x:v>شناسه ارسال</x:v>
      </x:c>
      <x:c r="D347" s="39" t="str">
        <x:v>UUID</x:v>
      </x:c>
      <x:c r="E347" s="39" t="str">
        <x:v>بله</x:v>
      </x:c>
      <x:c r="F347" s="39" t="str"/>
      <x:c r="G347" s="39" t="str"/>
      <x:c r="H347" s="289" t="str"/>
    </x:row>
    <x:row r="348">
      <x:c r="A348" s="288" t="str">
        <x:v>Shipments</x:v>
      </x:c>
      <x:c r="B348" s="39" t="str">
        <x:v>order_id</x:v>
      </x:c>
      <x:c r="C348" s="39" t="str">
        <x:v>سفارش</x:v>
      </x:c>
      <x:c r="D348" s="39" t="str">
        <x:v>FK</x:v>
      </x:c>
      <x:c r="E348" s="39" t="str">
        <x:v>بله</x:v>
      </x:c>
      <x:c r="F348" s="39" t="str"/>
      <x:c r="G348" s="39" t="str">
        <x:v>Orders.order_id</x:v>
      </x:c>
      <x:c r="H348" s="289" t="str"/>
    </x:row>
    <x:row r="349">
      <x:c r="A349" s="288" t="str">
        <x:v>Shipments</x:v>
      </x:c>
      <x:c r="B349" s="39" t="str">
        <x:v>carrier</x:v>
      </x:c>
      <x:c r="C349" s="39" t="str">
        <x:v>حمل‌کننده</x:v>
      </x:c>
      <x:c r="D349" s="39" t="str">
        <x:v>text</x:v>
      </x:c>
      <x:c r="E349" s="39" t="str">
        <x:v>خیر</x:v>
      </x:c>
      <x:c r="F349" s="39" t="str"/>
      <x:c r="G349" s="39" t="str"/>
      <x:c r="H349" s="289" t="str"/>
    </x:row>
    <x:row r="350">
      <x:c r="A350" s="288" t="str">
        <x:v>Shipments</x:v>
      </x:c>
      <x:c r="B350" s="39" t="str">
        <x:v>tracking_code</x:v>
      </x:c>
      <x:c r="C350" s="39" t="str">
        <x:v>کد رهگیری</x:v>
      </x:c>
      <x:c r="D350" s="39" t="str">
        <x:v>text</x:v>
      </x:c>
      <x:c r="E350" s="39" t="str">
        <x:v>خیر</x:v>
      </x:c>
      <x:c r="F350" s="39" t="str"/>
      <x:c r="G350" s="39" t="str"/>
      <x:c r="H350" s="289" t="str"/>
    </x:row>
    <x:row r="351">
      <x:c r="A351" s="288" t="str">
        <x:v>Shipments</x:v>
      </x:c>
      <x:c r="B351" s="39" t="str">
        <x:v>shipped_at</x:v>
      </x:c>
      <x:c r="C351" s="39" t="str">
        <x:v>زمان ارسال</x:v>
      </x:c>
      <x:c r="D351" s="39" t="str">
        <x:v>datetime</x:v>
      </x:c>
      <x:c r="E351" s="39" t="str">
        <x:v>خیر</x:v>
      </x:c>
      <x:c r="F351" s="39" t="str"/>
      <x:c r="G351" s="39" t="str"/>
      <x:c r="H351" s="289" t="str"/>
    </x:row>
    <x:row r="352">
      <x:c r="A352" s="288" t="str">
        <x:v>Shipments</x:v>
      </x:c>
      <x:c r="B352" s="39" t="str">
        <x:v>delivered_at</x:v>
      </x:c>
      <x:c r="C352" s="39" t="str">
        <x:v>زمان تحویل</x:v>
      </x:c>
      <x:c r="D352" s="39" t="str">
        <x:v>datetime</x:v>
      </x:c>
      <x:c r="E352" s="39" t="str">
        <x:v>خیر</x:v>
      </x:c>
      <x:c r="F352" s="39" t="str"/>
      <x:c r="G352" s="39" t="str"/>
      <x:c r="H352" s="289" t="str"/>
    </x:row>
    <x:row r="353">
      <x:c r="A353" s="288" t="str">
        <x:v>Shipments</x:v>
      </x:c>
      <x:c r="B353" s="39" t="str">
        <x:v>status</x:v>
      </x:c>
      <x:c r="C353" s="39" t="str">
        <x:v>وضعیت</x:v>
      </x:c>
      <x:c r="D353" s="39" t="str">
        <x:v>enum</x:v>
      </x:c>
      <x:c r="E353" s="39" t="str">
        <x:v>بله</x:v>
      </x:c>
      <x:c r="F353" s="39" t="str">
        <x:v>pending,ready,shipped,delivered,returned,cancelled</x:v>
      </x:c>
      <x:c r="G353" s="39" t="str"/>
      <x:c r="H353" s="289" t="str"/>
    </x:row>
    <x:row r="354">
      <x:c r="A354" s="288" t="str">
        <x:v>Shipments</x:v>
      </x:c>
      <x:c r="B354" s="39" t="str">
        <x:v>shipping_cost</x:v>
      </x:c>
      <x:c r="C354" s="39" t="str">
        <x:v>هزینه حمل (ریال)</x:v>
      </x:c>
      <x:c r="D354" s="39" t="str">
        <x:v>integer</x:v>
      </x:c>
      <x:c r="E354" s="39" t="str">
        <x:v>خیر</x:v>
      </x:c>
      <x:c r="F354" s="39" t="str"/>
      <x:c r="G354" s="39" t="str"/>
      <x:c r="H354" s="289" t="str"/>
    </x:row>
    <x:row r="355">
      <x:c r="A355" s="288" t="str">
        <x:v>Shipments</x:v>
      </x:c>
      <x:c r="B355" s="39" t="str">
        <x:v>notes</x:v>
      </x:c>
      <x:c r="C355" s="39" t="str">
        <x:v>توضیحات</x:v>
      </x:c>
      <x:c r="D355" s="39" t="str">
        <x:v>text</x:v>
      </x:c>
      <x:c r="E355" s="39" t="str">
        <x:v>خیر</x:v>
      </x:c>
      <x:c r="F355" s="39" t="str"/>
      <x:c r="G355" s="39" t="str"/>
      <x:c r="H355" s="289" t="str"/>
    </x:row>
    <x:row r="356">
      <x:c r="A356" s="288" t="str">
        <x:v>FailureReasons</x:v>
      </x:c>
      <x:c r="B356" s="39" t="str">
        <x:v>reason_code</x:v>
      </x:c>
      <x:c r="C356" s="39" t="str">
        <x:v>کد دلیل</x:v>
      </x:c>
      <x:c r="D356" s="39" t="str">
        <x:v>text</x:v>
      </x:c>
      <x:c r="E356" s="39" t="str">
        <x:v>بله</x:v>
      </x:c>
      <x:c r="F356" s="39" t="str"/>
      <x:c r="G356" s="39" t="str"/>
      <x:c r="H356" s="289" t="str"/>
    </x:row>
    <x:row r="357">
      <x:c r="A357" s="288" t="str">
        <x:v>FailureReasons</x:v>
      </x:c>
      <x:c r="B357" s="39" t="str">
        <x:v>label_fa</x:v>
      </x:c>
      <x:c r="C357" s="39" t="str">
        <x:v>عنوان فارسی</x:v>
      </x:c>
      <x:c r="D357" s="39" t="str">
        <x:v>text</x:v>
      </x:c>
      <x:c r="E357" s="39" t="str">
        <x:v>بله</x:v>
      </x:c>
      <x:c r="F357" s="39" t="str"/>
      <x:c r="G357" s="39" t="str"/>
      <x:c r="H357" s="289" t="str"/>
    </x:row>
    <x:row r="358">
      <x:c r="A358" s="288" t="str">
        <x:v>FailureReasons</x:v>
      </x:c>
      <x:c r="B358" s="39" t="str">
        <x:v>category</x:v>
      </x:c>
      <x:c r="C358" s="39" t="str">
        <x:v>گروه</x:v>
      </x:c>
      <x:c r="D358" s="39" t="str">
        <x:v>enum</x:v>
      </x:c>
      <x:c r="E358" s="39" t="str">
        <x:v>بله</x:v>
      </x:c>
      <x:c r="F358" s="39" t="str">
        <x:v>price,product,timing,trust,competitor,no_response,other</x:v>
      </x:c>
      <x:c r="G358" s="39" t="str"/>
      <x:c r="H358" s="289" t="str"/>
    </x:row>
    <x:row r="359">
      <x:c r="A359" s="288" t="str">
        <x:v>FailureReasons</x:v>
      </x:c>
      <x:c r="B359" s="39" t="str">
        <x:v>active</x:v>
      </x:c>
      <x:c r="C359" s="39" t="str">
        <x:v>فعال</x:v>
      </x:c>
      <x:c r="D359" s="39" t="str">
        <x:v>boolean</x:v>
      </x:c>
      <x:c r="E359" s="39" t="str">
        <x:v>بله</x:v>
      </x:c>
      <x:c r="F359" s="39" t="str">
        <x:v>TRUE,FALSE</x:v>
      </x:c>
      <x:c r="G359" s="39" t="str"/>
      <x:c r="H359" s="289" t="str"/>
    </x:row>
    <x:row r="360">
      <x:c r="A360" s="290" t="str">
        <x:v>FailureReasons</x:v>
      </x:c>
      <x:c r="B360" s="48" t="str">
        <x:v>sort_order</x:v>
      </x:c>
      <x:c r="C360" s="48" t="str">
        <x:v>ترتیب</x:v>
      </x:c>
      <x:c r="D360" s="48" t="str">
        <x:v>integer</x:v>
      </x:c>
      <x:c r="E360" s="48" t="str">
        <x:v>بله</x:v>
      </x:c>
      <x:c r="F360" s="48" t="str"/>
      <x:c r="G360" s="48" t="str"/>
      <x:c r="H360" s="291" t="str"/>
    </x:row>
  </x:sheetData>
  <x:pageMargins left="0.7" right="0.7" top="0.75" bottom="0.75" header="0.3" footer="0.3"/>
  <x:tableParts count="1">
    <x:tablePart xmlns:r="http://schemas.openxmlformats.org/officeDocument/2006/relationships" r:id="Rb473e775103546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38" hidden="0" customWidth="1"/>
  </x:cols>
  <x:sheetData>
    <x:row r="1" ht="46" customHeight="1">
      <x:c r="A1" s="12" t="str">
        <x:v>گروه (category)</x:v>
      </x:c>
      <x:c r="B1" s="13" t="str">
        <x:v>کد (code)</x:v>
      </x:c>
      <x:c r="C1" s="13" t="str">
        <x:v>عنوان فارسی</x:v>
      </x:c>
      <x:c r="D1" s="14" t="str">
        <x:v>توضیح</x:v>
      </x:c>
    </x:row>
    <x:row r="2">
      <x:c r="A2" s="133" t="str">
        <x:v>customer_type</x:v>
      </x:c>
      <x:c r="B2" s="134" t="str">
        <x:v>person</x:v>
      </x:c>
      <x:c r="C2" s="134" t="str">
        <x:v>شخص</x:v>
      </x:c>
      <x:c r="D2" s="135" t="str">
        <x:v>مشتری حقیقی</x:v>
      </x:c>
    </x:row>
    <x:row r="3">
      <x:c r="A3" s="136" t="str">
        <x:v>customer_type</x:v>
      </x:c>
      <x:c r="B3" s="137" t="str">
        <x:v>company</x:v>
      </x:c>
      <x:c r="C3" s="137" t="str">
        <x:v>شرکت</x:v>
      </x:c>
      <x:c r="D3" s="138" t="str">
        <x:v>مشتری حقوقی/فروشگاه</x:v>
      </x:c>
    </x:row>
    <x:row r="4">
      <x:c r="A4" s="136" t="str">
        <x:v>lifecycle_status</x:v>
      </x:c>
      <x:c r="B4" s="137" t="str">
        <x:v>new</x:v>
      </x:c>
      <x:c r="C4" s="137" t="str">
        <x:v>جدید</x:v>
      </x:c>
      <x:c r="D4" s="138" t="str">
        <x:v>بدون خرید قطعی</x:v>
      </x:c>
    </x:row>
    <x:row r="5">
      <x:c r="A5" s="136" t="str">
        <x:v>lifecycle_status</x:v>
      </x:c>
      <x:c r="B5" s="137" t="str">
        <x:v>active</x:v>
      </x:c>
      <x:c r="C5" s="137" t="str">
        <x:v>فعال</x:v>
      </x:c>
      <x:c r="D5" s="138" t="str">
        <x:v>خرید در دوره طبیعی</x:v>
      </x:c>
    </x:row>
    <x:row r="6">
      <x:c r="A6" s="136" t="str">
        <x:v>lifecycle_status</x:v>
      </x:c>
      <x:c r="B6" s="137" t="str">
        <x:v>loyal</x:v>
      </x:c>
      <x:c r="C6" s="137" t="str">
        <x:v>وفادار</x:v>
      </x:c>
      <x:c r="D6" s="138" t="str">
        <x:v>امتیاز بالا و خرید تکراری</x:v>
      </x:c>
    </x:row>
    <x:row r="7">
      <x:c r="A7" s="136" t="str">
        <x:v>lifecycle_status</x:v>
      </x:c>
      <x:c r="B7" s="137" t="str">
        <x:v>at_risk</x:v>
      </x:c>
      <x:c r="C7" s="137" t="str">
        <x:v>در معرض ریزش</x:v>
      </x:c>
      <x:c r="D7" s="138" t="str">
        <x:v>نیازمند اقدام حفظ</x:v>
      </x:c>
    </x:row>
    <x:row r="8">
      <x:c r="A8" s="136" t="str">
        <x:v>lifecycle_status</x:v>
      </x:c>
      <x:c r="B8" s="137" t="str">
        <x:v>inactive</x:v>
      </x:c>
      <x:c r="C8" s="137" t="str">
        <x:v>غیرفعال</x:v>
      </x:c>
      <x:c r="D8" s="138" t="str">
        <x:v>خارج از دوره خرید</x:v>
      </x:c>
    </x:row>
    <x:row r="9">
      <x:c r="A9" s="136" t="str">
        <x:v>lead_status</x:v>
      </x:c>
      <x:c r="B9" s="137" t="str">
        <x:v>new</x:v>
      </x:c>
      <x:c r="C9" s="137" t="str">
        <x:v>جدید</x:v>
      </x:c>
      <x:c r="D9" s="138" t="str">
        <x:v>هنوز بررسی نشده</x:v>
      </x:c>
    </x:row>
    <x:row r="10">
      <x:c r="A10" s="136" t="str">
        <x:v>lead_status</x:v>
      </x:c>
      <x:c r="B10" s="137" t="str">
        <x:v>qualified</x:v>
      </x:c>
      <x:c r="C10" s="137" t="str">
        <x:v>واجد شرایط</x:v>
      </x:c>
      <x:c r="D10" s="138" t="str">
        <x:v>نیاز معتبر</x:v>
      </x:c>
    </x:row>
    <x:row r="11">
      <x:c r="A11" s="136" t="str">
        <x:v>lead_status</x:v>
      </x:c>
      <x:c r="B11" s="137" t="str">
        <x:v>unqualified</x:v>
      </x:c>
      <x:c r="C11" s="137" t="str">
        <x:v>فاقد شرایط</x:v>
      </x:c>
      <x:c r="D11" s="138" t="str">
        <x:v>دلیل لازم است</x:v>
      </x:c>
    </x:row>
    <x:row r="12">
      <x:c r="A12" s="136" t="str">
        <x:v>lead_status</x:v>
      </x:c>
      <x:c r="B12" s="137" t="str">
        <x:v>converted</x:v>
      </x:c>
      <x:c r="C12" s="137" t="str">
        <x:v>تبدیل‌شده</x:v>
      </x:c>
      <x:c r="D12" s="138" t="str">
        <x:v>Opportunity ساخته شده</x:v>
      </x:c>
    </x:row>
    <x:row r="13">
      <x:c r="A13" s="136" t="str">
        <x:v>followup_status</x:v>
      </x:c>
      <x:c r="B13" s="137" t="str">
        <x:v>open</x:v>
      </x:c>
      <x:c r="C13" s="137" t="str">
        <x:v>باز</x:v>
      </x:c>
      <x:c r="D13" s="138" t="str">
        <x:v>در انتظار اقدام</x:v>
      </x:c>
    </x:row>
    <x:row r="14">
      <x:c r="A14" s="136" t="str">
        <x:v>followup_status</x:v>
      </x:c>
      <x:c r="B14" s="137" t="str">
        <x:v>done</x:v>
      </x:c>
      <x:c r="C14" s="137" t="str">
        <x:v>انجام‌شده</x:v>
      </x:c>
      <x:c r="D14" s="138" t="str">
        <x:v>نتیجه ثبت شده</x:v>
      </x:c>
    </x:row>
    <x:row r="15">
      <x:c r="A15" s="136" t="str">
        <x:v>followup_status</x:v>
      </x:c>
      <x:c r="B15" s="137" t="str">
        <x:v>snoozed</x:v>
      </x:c>
      <x:c r="C15" s="137" t="str">
        <x:v>به‌تعویق‌افتاده</x:v>
      </x:c>
      <x:c r="D15" s="138" t="str">
        <x:v>تاریخ جدید لازم</x:v>
      </x:c>
    </x:row>
    <x:row r="16">
      <x:c r="A16" s="136" t="str">
        <x:v>followup_status</x:v>
      </x:c>
      <x:c r="B16" s="137" t="str">
        <x:v>cancelled</x:v>
      </x:c>
      <x:c r="C16" s="137" t="str">
        <x:v>لغوشده</x:v>
      </x:c>
      <x:c r="D16" s="138" t="str">
        <x:v>دیگر لازم نیست</x:v>
      </x:c>
    </x:row>
    <x:row r="17">
      <x:c r="A17" s="136" t="str">
        <x:v>order_status</x:v>
      </x:c>
      <x:c r="B17" s="137" t="str">
        <x:v>draft</x:v>
      </x:c>
      <x:c r="C17" s="137" t="str">
        <x:v>پیش‌نویس</x:v>
      </x:c>
      <x:c r="D17" s="138" t="str">
        <x:v>در فروش حساب نشود</x:v>
      </x:c>
    </x:row>
    <x:row r="18">
      <x:c r="A18" s="136" t="str">
        <x:v>order_status</x:v>
      </x:c>
      <x:c r="B18" s="137" t="str">
        <x:v>confirmed</x:v>
      </x:c>
      <x:c r="C18" s="137" t="str">
        <x:v>تأییدشده</x:v>
      </x:c>
      <x:c r="D18" s="138" t="str">
        <x:v>فروش قطعی</x:v>
      </x:c>
    </x:row>
    <x:row r="19">
      <x:c r="A19" s="136" t="str">
        <x:v>order_status</x:v>
      </x:c>
      <x:c r="B19" s="137" t="str">
        <x:v>preparing</x:v>
      </x:c>
      <x:c r="C19" s="137" t="str">
        <x:v>در آماده‌سازی</x:v>
      </x:c>
      <x:c r="D19" s="138" t="str">
        <x:v>عملیات</x:v>
      </x:c>
    </x:row>
    <x:row r="20">
      <x:c r="A20" s="136" t="str">
        <x:v>order_status</x:v>
      </x:c>
      <x:c r="B20" s="137" t="str">
        <x:v>shipped</x:v>
      </x:c>
      <x:c r="C20" s="137" t="str">
        <x:v>ارسال‌شده</x:v>
      </x:c>
      <x:c r="D20" s="138" t="str">
        <x:v>در مسیر</x:v>
      </x:c>
    </x:row>
    <x:row r="21">
      <x:c r="A21" s="136" t="str">
        <x:v>order_status</x:v>
      </x:c>
      <x:c r="B21" s="137" t="str">
        <x:v>delivered</x:v>
      </x:c>
      <x:c r="C21" s="137" t="str">
        <x:v>تحویل‌شده</x:v>
      </x:c>
      <x:c r="D21" s="138" t="str">
        <x:v>تکمیل</x:v>
      </x:c>
    </x:row>
    <x:row r="22">
      <x:c r="A22" s="136" t="str">
        <x:v>order_status</x:v>
      </x:c>
      <x:c r="B22" s="137" t="str">
        <x:v>cancelled</x:v>
      </x:c>
      <x:c r="C22" s="137" t="str">
        <x:v>لغوشده</x:v>
      </x:c>
      <x:c r="D22" s="138" t="str">
        <x:v>در فروش حساب نشود</x:v>
      </x:c>
    </x:row>
    <x:row r="23">
      <x:c r="A23" s="136" t="str">
        <x:v>payment_status</x:v>
      </x:c>
      <x:c r="B23" s="137" t="str">
        <x:v>unpaid</x:v>
      </x:c>
      <x:c r="C23" s="137" t="str">
        <x:v>پرداخت‌نشده</x:v>
      </x:c>
      <x:c r="D23" s="138" t="str">
        <x:v>وصول صفر</x:v>
      </x:c>
    </x:row>
    <x:row r="24">
      <x:c r="A24" s="136" t="str">
        <x:v>payment_status</x:v>
      </x:c>
      <x:c r="B24" s="137" t="str">
        <x:v>partial</x:v>
      </x:c>
      <x:c r="C24" s="137" t="str">
        <x:v>پرداخت جزئی</x:v>
      </x:c>
      <x:c r="D24" s="138" t="str">
        <x:v>بخشی وصول</x:v>
      </x:c>
    </x:row>
    <x:row r="25">
      <x:c r="A25" s="136" t="str">
        <x:v>payment_status</x:v>
      </x:c>
      <x:c r="B25" s="137" t="str">
        <x:v>paid</x:v>
      </x:c>
      <x:c r="C25" s="137" t="str">
        <x:v>تسویه</x:v>
      </x:c>
      <x:c r="D25" s="138" t="str">
        <x:v>کامل وصول</x:v>
      </x:c>
    </x:row>
    <x:row r="26">
      <x:c r="A26" s="139" t="str">
        <x:v>payment_status</x:v>
      </x:c>
      <x:c r="B26" s="140" t="str">
        <x:v>refunded</x:v>
      </x:c>
      <x:c r="C26" s="140" t="str">
        <x:v>برگشت</x:v>
      </x:c>
      <x:c r="D26" s="141" t="str">
        <x:v>پرداخت بازگردانده شد</x:v>
      </x:c>
    </x:row>
  </x:sheetData>
  <x:pageMargins left="0.7" right="0.7" top="0.75" bottom="0.75" header="0.3" footer="0.3"/>
  <x:tableParts count="1">
    <x:tablePart xmlns:r="http://schemas.openxmlformats.org/officeDocument/2006/relationships" r:id="R993b4eecf47644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24" hidden="0" customWidth="1"/>
    <x:col min="4" max="4" width="24" hidden="0" customWidth="1"/>
    <x:col min="5" max="5" width="19" hidden="0" customWidth="1"/>
    <x:col min="6" max="6" width="18" hidden="0" customWidth="1"/>
    <x:col min="7" max="7" width="15" hidden="0" customWidth="1"/>
    <x:col min="8" max="8" width="15" hidden="0" customWidth="1"/>
    <x:col min="9" max="9" width="30" hidden="0" customWidth="1"/>
    <x:col min="10" max="10" width="17" hidden="0" customWidth="1"/>
    <x:col min="11" max="11" width="18" hidden="0" customWidth="1"/>
    <x:col min="12" max="12" width="16" hidden="0" customWidth="1"/>
    <x:col min="13" max="13" width="18" hidden="0" customWidth="1"/>
    <x:col min="14" max="14" width="14" hidden="0" customWidth="1"/>
    <x:col min="15" max="15" width="19" hidden="0" customWidth="1"/>
    <x:col min="16" max="16" width="19" hidden="0" customWidth="1"/>
    <x:col min="17" max="17" width="11" hidden="0" customWidth="1"/>
    <x:col min="18" max="18" width="17" hidden="0" customWidth="1"/>
    <x:col min="19" max="19" width="15" hidden="0" customWidth="1"/>
    <x:col min="20" max="20" width="24" hidden="0" customWidth="1"/>
    <x:col min="21" max="21" width="20" hidden="0" customWidth="1"/>
    <x:col min="22" max="22" width="30" hidden="0" customWidth="1"/>
    <x:col min="23" max="23" width="19" hidden="0" customWidth="1"/>
    <x:col min="24" max="24" width="18" hidden="0" customWidth="1"/>
    <x:col min="25" max="25" width="19" hidden="0" customWidth="1"/>
    <x:col min="26" max="26" width="18" hidden="0" customWidth="1"/>
    <x:col min="27" max="27" width="12" hidden="0" customWidth="1"/>
  </x:cols>
  <x:sheetData>
    <x:row r="1" ht="46" customHeight="1">
      <x:c r="A1" s="12" t="str">
        <x:v>شناسه مشتری *
(customer_id)</x:v>
      </x:c>
      <x:c r="B1" s="13" t="str">
        <x:v>نوع مشتری *
(customer_type)</x:v>
      </x:c>
      <x:c r="C1" s="13" t="str">
        <x:v>نام مشتری/نماینده *
(full_name)</x:v>
      </x:c>
      <x:c r="D1" s="13" t="str">
        <x:v>نام فروشگاه/شرکت
(company_name)</x:v>
      </x:c>
      <x:c r="E1" s="13" t="str">
        <x:v>موبایل استاندارد
(normalized_mobile)</x:v>
      </x:c>
      <x:c r="F1" s="13" t="str">
        <x:v>شماره دوم
(phone_2)</x:v>
      </x:c>
      <x:c r="G1" s="13" t="str">
        <x:v>شهر
(city)</x:v>
      </x:c>
      <x:c r="H1" s="13" t="str">
        <x:v>منطقه
(region)</x:v>
      </x:c>
      <x:c r="I1" s="13" t="str">
        <x:v>آدرس
(address)</x:v>
      </x:c>
      <x:c r="J1" s="13" t="str">
        <x:v>چرخه عمر *
(lifecycle_status)</x:v>
      </x:c>
      <x:c r="K1" s="13" t="str">
        <x:v>مسئول اصلی *
(owner_user_id)</x:v>
      </x:c>
      <x:c r="L1" s="13" t="str">
        <x:v>آخرین خرید
(last_purchase_at)</x:v>
      </x:c>
      <x:c r="M1" s="13" t="str">
        <x:v>جمع خرید (ریال)
(total_purchase)</x:v>
      </x:c>
      <x:c r="N1" s="13" t="str">
        <x:v>تعداد خرید
(purchase_count)</x:v>
      </x:c>
      <x:c r="O1" s="13" t="str">
        <x:v>آخرین ارتباط
(last_interaction_at)</x:v>
      </x:c>
      <x:c r="P1" s="13" t="str">
        <x:v>پیگیری بعدی
(next_followup_at)</x:v>
      </x:c>
      <x:c r="Q1" s="13" t="str">
        <x:v>امتیاز
(customer_score)</x:v>
      </x:c>
      <x:c r="R1" s="13" t="str">
        <x:v>گروه امتیازی
(segment)</x:v>
      </x:c>
      <x:c r="S1" s="13" t="str">
        <x:v>اولین کانال
(source_first)</x:v>
      </x:c>
      <x:c r="T1" s="13" t="str">
        <x:v>علاقه‌مندی
(preferred_products)</x:v>
      </x:c>
      <x:c r="U1" s="13" t="str">
        <x:v>برچسب‌ها
(tags)</x:v>
      </x:c>
      <x:c r="V1" s="13" t="str">
        <x:v>توضیحات
(notes)</x:v>
      </x:c>
      <x:c r="W1" s="13" t="str">
        <x:v>زمان ایجاد *
(created_at)</x:v>
      </x:c>
      <x:c r="X1" s="13" t="str">
        <x:v>ایجادکننده *
(created_by)</x:v>
      </x:c>
      <x:c r="Y1" s="13" t="str">
        <x:v>آخرین تغییر *
(updated_at)</x:v>
      </x:c>
      <x:c r="Z1" s="13" t="str">
        <x:v>تغییردهنده *
(updated_by)</x:v>
      </x:c>
      <x:c r="AA1" s="14" t="str">
        <x:v>حذف نرم *
(is_deleted)</x:v>
      </x:c>
    </x:row>
    <x:row r="2">
      <x:c r="A2" s="28" t="str">
        <x:v>cus_001</x:v>
      </x:c>
      <x:c r="B2" s="29" t="str">
        <x:v>company</x:v>
      </x:c>
      <x:c r="C2" s="29" t="str">
        <x:v>علی رضایی</x:v>
      </x:c>
      <x:c r="D2" s="29" t="str">
        <x:v>فروشگاه آریا</x:v>
      </x:c>
      <x:c r="E2" s="29" t="str">
        <x:v>+98 912 123 4501</x:v>
      </x:c>
      <x:c r="F2" s="29" t="str">
        <x:v>+98 313 300 1001</x:v>
      </x:c>
      <x:c r="G2" s="29" t="str">
        <x:v>اصفهان</x:v>
      </x:c>
      <x:c r="H2" s="29" t="str">
        <x:v>مرکز</x:v>
      </x:c>
      <x:c r="I2" s="30" t="str">
        <x:v>اصفهان، خیابان نمونه</x:v>
      </x:c>
      <x:c r="J2" s="29" t="str">
        <x:v>active</x:v>
      </x:c>
      <x:c r="K2" s="29" t="str">
        <x:v>usr_sara</x:v>
      </x:c>
      <x:c r="L2" s="89" t="str">
        <x:f>IF($A2="","",IF(COUNTIFS('Orders'!$C$2:$C$500,$A2,'Orders'!$M$2:$M$500,"&lt;&gt;cancelled")=0,"",MAXIFS('Orders'!$G$2:$G$500,'Orders'!$C$2:$C$500,$A2,'Orders'!$M$2:$M$500,"&lt;&gt;cancelled")))</x:f>
      </x:c>
      <x:c r="M2" s="93" t="n">
        <x:f>IF($A2="","",SUMIFS('Orders'!$K$2:$K$500,'Orders'!$C$2:$C$500,$A2,'Orders'!$M$2:$M$500,"&lt;&gt;cancelled"))</x:f>
        <x:v>0</x:v>
      </x:c>
      <x:c r="N2" s="93" t="n">
        <x:f>IF($A2="","",COUNTIFS('Orders'!$C$2:$C$500,$A2,'Orders'!$M$2:$M$500,"&lt;&gt;cancelled"))</x:f>
        <x:v>0</x:v>
      </x:c>
      <x:c r="O2" s="97" t="n">
        <x:f>IF($A2="","",IF(COUNTIF('Interactions'!$B$2:$B$500,$A2)=0,"",MAXIFS('Interactions'!$G$2:$G$500,'Interactions'!$B$2:$B$500,$A2)))</x:f>
        <x:v>46212.25</x:v>
      </x:c>
      <x:c r="P2" s="97" t="n">
        <x:f>IF($A2="","",IF(COUNTIFS('FollowUps'!$B$2:$B$500,$A2,'FollowUps'!$H$2:$H$500,"open")=0,"",MINIFS('FollowUps'!$E$2:$E$500,'FollowUps'!$B$2:$B$500,$A2,'FollowUps'!$H$2:$H$500,"open")))</x:f>
        <x:v>46216.270833333336</x:v>
      </x:c>
      <x:c r="Q2" s="101" t="n">
        <x:f>IF($A2="","",ROUND(MIN(25,$N2/VALUE(INDEX('Settings'!$B$2:$B$100,MATCH("score_purchase_target",'Settings'!$A$2:$A$100,0)))*25)+MIN(25,$M2/VALUE(INDEX('Settings'!$B$2:$B$100,MATCH("score_value_target",'Settings'!$A$2:$A$100,0)))*25)+IF($L2="",0,MAX(0,25-(TODAY()-$L2)/VALUE(INDEX('Settings'!$B$2:$B$100,MATCH("score_recency_days",'Settings'!$A$2:$A$100,0)))*25))+MIN(15,COUNTIFS('FollowUps'!$B$2:$B$500,$A2,'FollowUps'!$H$2:$H$500,"done")/VALUE(INDEX('Settings'!$B$2:$B$100,MATCH("score_response_target",'Settings'!$A$2:$A$100,0)))*15)+IF(COUNTIFS('Interactions'!$B$2:$B$500,$A2,'Interactions'!$E$2:$E$500,"complaint")=0,10,0),0))</x:f>
        <x:v>10</x:v>
      </x:c>
      <x:c r="R2" s="105" t="str">
        <x:f>IF($A2="","",IF($J2="inactive","inactive",IF($J2="at_risk","at_risk",IF($Q2&gt;=85,"vip",IF($Q2&gt;=70,"loyal",IF($Q2&gt;=50,"active",IF($N2=0,"new","needs_attention")))))))</x:f>
        <x:v>new</x:v>
      </x:c>
      <x:c r="S2" s="29" t="str">
        <x:v>phone</x:v>
      </x:c>
      <x:c r="T2" s="35" t="str">
        <x:v>prd_001,prd_002</x:v>
      </x:c>
      <x:c r="U2" s="29" t="str">
        <x:v>عمده،پیگیر</x:v>
      </x:c>
      <x:c r="V2" s="30" t="str">
        <x:v>تماس صبح مناسب است</x:v>
      </x:c>
      <x:c r="W2" s="33" t="n">
        <x:v>46154.270833333336</x:v>
      </x:c>
      <x:c r="X2" s="29" t="str">
        <x:v>usr_sara</x:v>
      </x:c>
      <x:c r="Y2" s="33" t="n">
        <x:v>46215.229166666664</x:v>
      </x:c>
      <x:c r="Z2" s="29" t="str">
        <x:v>usr_sara</x:v>
      </x:c>
      <x:c r="AA2" s="55" t="b">
        <x:v>0</x:v>
      </x:c>
    </x:row>
    <x:row r="3">
      <x:c r="A3" s="37" t="str">
        <x:v>cus_002</x:v>
      </x:c>
      <x:c r="B3" s="38" t="str">
        <x:v>person</x:v>
      </x:c>
      <x:c r="C3" s="38" t="str">
        <x:v>سارا محمدی‌پور</x:v>
      </x:c>
      <x:c r="D3" s="38" t="str"/>
      <x:c r="E3" s="38" t="str">
        <x:v>+98 913 123 4502</x:v>
      </x:c>
      <x:c r="F3" s="38"/>
      <x:c r="G3" s="38" t="str">
        <x:v>تهران</x:v>
      </x:c>
      <x:c r="H3" s="38" t="str">
        <x:v>غرب</x:v>
      </x:c>
      <x:c r="I3" s="39"/>
      <x:c r="J3" s="38" t="str">
        <x:v>new</x:v>
      </x:c>
      <x:c r="K3" s="38" t="str">
        <x:v>usr_ali</x:v>
      </x:c>
      <x:c r="L3" s="90" t="str">
        <x:f>IF($A3="","",IF(COUNTIFS('Orders'!$C$2:$C$500,$A3,'Orders'!$M$2:$M$500,"&lt;&gt;cancelled")=0,"",MAXIFS('Orders'!$G$2:$G$500,'Orders'!$C$2:$C$500,$A3,'Orders'!$M$2:$M$500,"&lt;&gt;cancelled")))</x:f>
      </x:c>
      <x:c r="M3" s="94" t="n">
        <x:f>IF($A3="","",SUMIFS('Orders'!$K$2:$K$500,'Orders'!$C$2:$C$500,$A3,'Orders'!$M$2:$M$500,"&lt;&gt;cancelled"))</x:f>
        <x:v>0</x:v>
      </x:c>
      <x:c r="N3" s="94" t="n">
        <x:f>IF($A3="","",COUNTIFS('Orders'!$C$2:$C$500,$A3,'Orders'!$M$2:$M$500,"&lt;&gt;cancelled"))</x:f>
        <x:v>0</x:v>
      </x:c>
      <x:c r="O3" s="98" t="n">
        <x:f>IF($A3="","",IF(COUNTIF('Interactions'!$B$2:$B$500,$A3)=0,"",MAXIFS('Interactions'!$G$2:$G$500,'Interactions'!$B$2:$B$500,$A3)))</x:f>
        <x:v>46213.5</x:v>
      </x:c>
      <x:c r="P3" s="98" t="n">
        <x:f>IF($A3="","",IF(COUNTIFS('FollowUps'!$B$2:$B$500,$A3,'FollowUps'!$H$2:$H$500,"open")=0,"",MINIFS('FollowUps'!$E$2:$E$500,'FollowUps'!$B$2:$B$500,$A3,'FollowUps'!$H$2:$H$500,"open")))</x:f>
        <x:v>46215.5</x:v>
      </x:c>
      <x:c r="Q3" s="102" t="n">
        <x:f>IF($A3="","",ROUND(MIN(25,$N3/VALUE(INDEX('Settings'!$B$2:$B$100,MATCH("score_purchase_target",'Settings'!$A$2:$A$100,0)))*25)+MIN(25,$M3/VALUE(INDEX('Settings'!$B$2:$B$100,MATCH("score_value_target",'Settings'!$A$2:$A$100,0)))*25)+IF($L3="",0,MAX(0,25-(TODAY()-$L3)/VALUE(INDEX('Settings'!$B$2:$B$100,MATCH("score_recency_days",'Settings'!$A$2:$A$100,0)))*25))+MIN(15,COUNTIFS('FollowUps'!$B$2:$B$500,$A3,'FollowUps'!$H$2:$H$500,"done")/VALUE(INDEX('Settings'!$B$2:$B$100,MATCH("score_response_target",'Settings'!$A$2:$A$100,0)))*15)+IF(COUNTIFS('Interactions'!$B$2:$B$500,$A3,'Interactions'!$E$2:$E$500,"complaint")=0,10,0),0))</x:f>
        <x:v>10</x:v>
      </x:c>
      <x:c r="R3" s="106" t="str">
        <x:f>IF($A3="","",IF($J3="inactive","inactive",IF($J3="at_risk","at_risk",IF($Q3&gt;=85,"vip",IF($Q3&gt;=70,"loyal",IF($Q3&gt;=50,"active",IF($N3=0,"new","needs_attention")))))))</x:f>
        <x:v>new</x:v>
      </x:c>
      <x:c r="S3" s="38" t="str">
        <x:v>instagram</x:v>
      </x:c>
      <x:c r="T3" s="44" t="str">
        <x:v>prd_003</x:v>
      </x:c>
      <x:c r="U3" s="38" t="str">
        <x:v>اینستاگرام</x:v>
      </x:c>
      <x:c r="V3" s="39" t="str"/>
      <x:c r="W3" s="42" t="n">
        <x:v>46213.5</x:v>
      </x:c>
      <x:c r="X3" s="38" t="str">
        <x:v>usr_ali</x:v>
      </x:c>
      <x:c r="Y3" s="42" t="n">
        <x:v>46215.229166666664</x:v>
      </x:c>
      <x:c r="Z3" s="38" t="str">
        <x:v>usr_ali</x:v>
      </x:c>
      <x:c r="AA3" s="56" t="b">
        <x:v>0</x:v>
      </x:c>
    </x:row>
    <x:row r="4">
      <x:c r="A4" s="37" t="str">
        <x:v>cus_003</x:v>
      </x:c>
      <x:c r="B4" s="38" t="str">
        <x:v>company</x:v>
      </x:c>
      <x:c r="C4" s="38" t="str">
        <x:v>مهدی بهرامی</x:v>
      </x:c>
      <x:c r="D4" s="38" t="str">
        <x:v>شرکت بهین</x:v>
      </x:c>
      <x:c r="E4" s="38" t="str">
        <x:v>+98 912 123 4503</x:v>
      </x:c>
      <x:c r="F4" s="38"/>
      <x:c r="G4" s="38" t="str">
        <x:v>شیراز</x:v>
      </x:c>
      <x:c r="H4" s="38" t="str">
        <x:v>صنعتی</x:v>
      </x:c>
      <x:c r="I4" s="39"/>
      <x:c r="J4" s="38" t="str">
        <x:v>loyal</x:v>
      </x:c>
      <x:c r="K4" s="38" t="str">
        <x:v>usr_sara</x:v>
      </x:c>
      <x:c r="L4" s="90" t="n">
        <x:f>IF($A4="","",IF(COUNTIFS('Orders'!$C$2:$C$500,$A4,'Orders'!$M$2:$M$500,"&lt;&gt;cancelled")=0,"",MAXIFS('Orders'!$G$2:$G$500,'Orders'!$C$2:$C$500,$A4,'Orders'!$M$2:$M$500,"&lt;&gt;cancelled")))</x:f>
        <x:v>46211.270833333336</x:v>
      </x:c>
      <x:c r="M4" s="94" t="n">
        <x:f>IF($A4="","",SUMIFS('Orders'!$K$2:$K$500,'Orders'!$C$2:$C$500,$A4,'Orders'!$M$2:$M$500,"&lt;&gt;cancelled"))</x:f>
        <x:v>1085000000</x:v>
      </x:c>
      <x:c r="N4" s="94" t="n">
        <x:f>IF($A4="","",COUNTIFS('Orders'!$C$2:$C$500,$A4,'Orders'!$M$2:$M$500,"&lt;&gt;cancelled"))</x:f>
        <x:v>2</x:v>
      </x:c>
      <x:c r="O4" s="98" t="n">
        <x:f>IF($A4="","",IF(COUNTIF('Interactions'!$B$2:$B$500,$A4)=0,"",MAXIFS('Interactions'!$G$2:$G$500,'Interactions'!$B$2:$B$500,$A4)))</x:f>
        <x:v>46214.3125</x:v>
      </x:c>
      <x:c r="P4" s="98" t="n">
        <x:f>IF($A4="","",IF(COUNTIFS('FollowUps'!$B$2:$B$500,$A4,'FollowUps'!$H$2:$H$500,"open")=0,"",MINIFS('FollowUps'!$E$2:$E$500,'FollowUps'!$B$2:$B$500,$A4,'FollowUps'!$H$2:$H$500,"open")))</x:f>
        <x:v>46215.354166666664</x:v>
      </x:c>
      <x:c r="Q4" s="102" t="n">
        <x:f>IF($A4="","",ROUND(MIN(25,$N4/VALUE(INDEX('Settings'!$B$2:$B$100,MATCH("score_purchase_target",'Settings'!$A$2:$A$100,0)))*25)+MIN(25,$M4/VALUE(INDEX('Settings'!$B$2:$B$100,MATCH("score_value_target",'Settings'!$A$2:$A$100,0)))*25)+IF($L4="",0,MAX(0,25-(TODAY()-$L4)/VALUE(INDEX('Settings'!$B$2:$B$100,MATCH("score_recency_days",'Settings'!$A$2:$A$100,0)))*25))+MIN(15,COUNTIFS('FollowUps'!$B$2:$B$500,$A4,'FollowUps'!$H$2:$H$500,"done")/VALUE(INDEX('Settings'!$B$2:$B$100,MATCH("score_response_target",'Settings'!$A$2:$A$100,0)))*15)+IF(COUNTIFS('Interactions'!$B$2:$B$500,$A4,'Interactions'!$E$2:$E$500,"complaint")=0,10,0),0))</x:f>
        <x:v>69</x:v>
      </x:c>
      <x:c r="R4" s="106" t="str">
        <x:f>IF($A4="","",IF($J4="inactive","inactive",IF($J4="at_risk","at_risk",IF($Q4&gt;=85,"vip",IF($Q4&gt;=70,"loyal",IF($Q4&gt;=50,"active",IF($N4=0,"new","needs_attention")))))))</x:f>
        <x:v>active</x:v>
      </x:c>
      <x:c r="S4" s="38" t="str">
        <x:v>website</x:v>
      </x:c>
      <x:c r="T4" s="44" t="str">
        <x:v>prd_001,prd_004</x:v>
      </x:c>
      <x:c r="U4" s="38" t="str">
        <x:v>VIP،حقوقی</x:v>
      </x:c>
      <x:c r="V4" s="39" t="str">
        <x:v>خرید ماهانه</x:v>
      </x:c>
      <x:c r="W4" s="42" t="n">
        <x:v>46037.229166666664</x:v>
      </x:c>
      <x:c r="X4" s="38" t="str">
        <x:v>usr_owner</x:v>
      </x:c>
      <x:c r="Y4" s="42" t="n">
        <x:v>46215.229166666664</x:v>
      </x:c>
      <x:c r="Z4" s="38" t="str">
        <x:v>usr_sara</x:v>
      </x:c>
      <x:c r="AA4" s="56" t="b">
        <x:v>0</x:v>
      </x:c>
    </x:row>
    <x:row r="5">
      <x:c r="A5" s="37" t="str">
        <x:v>cus_004</x:v>
      </x:c>
      <x:c r="B5" s="38" t="str">
        <x:v>person</x:v>
      </x:c>
      <x:c r="C5" s="38" t="str">
        <x:v>مهدی اکبری</x:v>
      </x:c>
      <x:c r="D5" s="38" t="str"/>
      <x:c r="E5" s="38" t="str">
        <x:v>+98 935 123 4504</x:v>
      </x:c>
      <x:c r="F5" s="38"/>
      <x:c r="G5" s="38" t="str">
        <x:v>کرج</x:v>
      </x:c>
      <x:c r="H5" s="38" t="str"/>
      <x:c r="I5" s="39"/>
      <x:c r="J5" s="38" t="str">
        <x:v>active</x:v>
      </x:c>
      <x:c r="K5" s="38" t="str">
        <x:v>usr_ali</x:v>
      </x:c>
      <x:c r="L5" s="90" t="n">
        <x:f>IF($A5="","",IF(COUNTIFS('Orders'!$C$2:$C$500,$A5,'Orders'!$M$2:$M$500,"&lt;&gt;cancelled")=0,"",MAXIFS('Orders'!$G$2:$G$500,'Orders'!$C$2:$C$500,$A5,'Orders'!$M$2:$M$500,"&lt;&gt;cancelled")))</x:f>
        <x:v>46194.520833333336</x:v>
      </x:c>
      <x:c r="M5" s="94" t="n">
        <x:f>IF($A5="","",SUMIFS('Orders'!$K$2:$K$500,'Orders'!$C$2:$C$500,$A5,'Orders'!$M$2:$M$500,"&lt;&gt;cancelled"))</x:f>
        <x:v>120000000</x:v>
      </x:c>
      <x:c r="N5" s="94" t="n">
        <x:f>IF($A5="","",COUNTIFS('Orders'!$C$2:$C$500,$A5,'Orders'!$M$2:$M$500,"&lt;&gt;cancelled"))</x:f>
        <x:v>1</x:v>
      </x:c>
      <x:c r="O5" s="98" t="n">
        <x:f>IF($A5="","",IF(COUNTIF('Interactions'!$B$2:$B$500,$A5)=0,"",MAXIFS('Interactions'!$G$2:$G$500,'Interactions'!$B$2:$B$500,$A5)))</x:f>
        <x:v>46194.520833333336</x:v>
      </x:c>
      <x:c r="P5" s="98" t="str">
        <x:f>IF($A5="","",IF(COUNTIFS('FollowUps'!$B$2:$B$500,$A5,'FollowUps'!$H$2:$H$500,"open")=0,"",MINIFS('FollowUps'!$E$2:$E$500,'FollowUps'!$B$2:$B$500,$A5,'FollowUps'!$H$2:$H$500,"open")))</x:f>
      </x:c>
      <x:c r="Q5" s="102" t="n">
        <x:f>IF($A5="","",ROUND(MIN(25,$N5/VALUE(INDEX('Settings'!$B$2:$B$100,MATCH("score_purchase_target",'Settings'!$A$2:$A$100,0)))*25)+MIN(25,$M5/VALUE(INDEX('Settings'!$B$2:$B$100,MATCH("score_value_target",'Settings'!$A$2:$A$100,0)))*25)+IF($L5="",0,MAX(0,25-(TODAY()-$L5)/VALUE(INDEX('Settings'!$B$2:$B$100,MATCH("score_recency_days",'Settings'!$A$2:$A$100,0)))*25))+MIN(15,COUNTIFS('FollowUps'!$B$2:$B$500,$A5,'FollowUps'!$H$2:$H$500,"done")/VALUE(INDEX('Settings'!$B$2:$B$100,MATCH("score_response_target",'Settings'!$A$2:$A$100,0)))*15)+IF(COUNTIFS('Interactions'!$B$2:$B$500,$A5,'Interactions'!$E$2:$E$500,"complaint")=0,10,0),0))</x:f>
        <x:v>42</x:v>
      </x:c>
      <x:c r="R5" s="106" t="str">
        <x:f>IF($A5="","",IF($J5="inactive","inactive",IF($J5="at_risk","at_risk",IF($Q5&gt;=85,"vip",IF($Q5&gt;=70,"loyal",IF($Q5&gt;=50,"active",IF($N5=0,"new","needs_attention")))))))</x:f>
        <x:v>needs_attention</x:v>
      </x:c>
      <x:c r="S5" s="38" t="str">
        <x:v>referral</x:v>
      </x:c>
      <x:c r="T5" s="44" t="str">
        <x:v>prd_002</x:v>
      </x:c>
      <x:c r="U5" s="38" t="str">
        <x:v>معرفی</x:v>
      </x:c>
      <x:c r="V5" s="39" t="str"/>
      <x:c r="W5" s="42" t="n">
        <x:v>46193.3125</x:v>
      </x:c>
      <x:c r="X5" s="38" t="str">
        <x:v>usr_ali</x:v>
      </x:c>
      <x:c r="Y5" s="42" t="n">
        <x:v>46215.229166666664</x:v>
      </x:c>
      <x:c r="Z5" s="38" t="str">
        <x:v>usr_ali</x:v>
      </x:c>
      <x:c r="AA5" s="56" t="b">
        <x:v>0</x:v>
      </x:c>
    </x:row>
    <x:row r="6">
      <x:c r="A6" s="46" t="str">
        <x:v>cus_005</x:v>
      </x:c>
      <x:c r="B6" s="47" t="str">
        <x:v>company</x:v>
      </x:c>
      <x:c r="C6" s="47" t="str">
        <x:v>رضا نوروزی</x:v>
      </x:c>
      <x:c r="D6" s="47" t="str">
        <x:v>فروشگاه سپهر</x:v>
      </x:c>
      <x:c r="E6" s="47" t="str">
        <x:v>+98 912 123 4505</x:v>
      </x:c>
      <x:c r="F6" s="47"/>
      <x:c r="G6" s="47" t="str">
        <x:v>قم</x:v>
      </x:c>
      <x:c r="H6" s="47" t="str"/>
      <x:c r="I6" s="48"/>
      <x:c r="J6" s="47" t="str">
        <x:v>at_risk</x:v>
      </x:c>
      <x:c r="K6" s="47" t="str">
        <x:v>usr_sara</x:v>
      </x:c>
      <x:c r="L6" s="91" t="str">
        <x:f>IF($A6="","",IF(COUNTIFS('Orders'!$C$2:$C$500,$A6,'Orders'!$M$2:$M$500,"&lt;&gt;cancelled")=0,"",MAXIFS('Orders'!$G$2:$G$500,'Orders'!$C$2:$C$500,$A6,'Orders'!$M$2:$M$500,"&lt;&gt;cancelled")))</x:f>
      </x:c>
      <x:c r="M6" s="95" t="n">
        <x:f>IF($A6="","",SUMIFS('Orders'!$K$2:$K$500,'Orders'!$C$2:$C$500,$A6,'Orders'!$M$2:$M$500,"&lt;&gt;cancelled"))</x:f>
        <x:v>0</x:v>
      </x:c>
      <x:c r="N6" s="95" t="n">
        <x:f>IF($A6="","",COUNTIFS('Orders'!$C$2:$C$500,$A6,'Orders'!$M$2:$M$500,"&lt;&gt;cancelled"))</x:f>
        <x:v>0</x:v>
      </x:c>
      <x:c r="O6" s="99" t="n">
        <x:f>IF($A6="","",IF(COUNTIF('Interactions'!$B$2:$B$500,$A6)=0,"",MAXIFS('Interactions'!$G$2:$G$500,'Interactions'!$B$2:$B$500,$A6)))</x:f>
        <x:v>46202.354166666664</x:v>
      </x:c>
      <x:c r="P6" s="99" t="n">
        <x:f>IF($A6="","",IF(COUNTIFS('FollowUps'!$B$2:$B$500,$A6,'FollowUps'!$H$2:$H$500,"open")=0,"",MINIFS('FollowUps'!$E$2:$E$500,'FollowUps'!$B$2:$B$500,$A6,'FollowUps'!$H$2:$H$500,"open")))</x:f>
        <x:v>46233.3125</x:v>
      </x:c>
      <x:c r="Q6" s="103" t="n">
        <x:f>IF($A6="","",ROUND(MIN(25,$N6/VALUE(INDEX('Settings'!$B$2:$B$100,MATCH("score_purchase_target",'Settings'!$A$2:$A$100,0)))*25)+MIN(25,$M6/VALUE(INDEX('Settings'!$B$2:$B$100,MATCH("score_value_target",'Settings'!$A$2:$A$100,0)))*25)+IF($L6="",0,MAX(0,25-(TODAY()-$L6)/VALUE(INDEX('Settings'!$B$2:$B$100,MATCH("score_recency_days",'Settings'!$A$2:$A$100,0)))*25))+MIN(15,COUNTIFS('FollowUps'!$B$2:$B$500,$A6,'FollowUps'!$H$2:$H$500,"done")/VALUE(INDEX('Settings'!$B$2:$B$100,MATCH("score_response_target",'Settings'!$A$2:$A$100,0)))*15)+IF(COUNTIFS('Interactions'!$B$2:$B$500,$A6,'Interactions'!$E$2:$E$500,"complaint")=0,10,0),0))</x:f>
        <x:v>10</x:v>
      </x:c>
      <x:c r="R6" s="107" t="str">
        <x:f>IF($A6="","",IF($J6="inactive","inactive",IF($J6="at_risk","at_risk",IF($Q6&gt;=85,"vip",IF($Q6&gt;=70,"loyal",IF($Q6&gt;=50,"active",IF($N6=0,"new","needs_attention")))))))</x:f>
        <x:v>at_risk</x:v>
      </x:c>
      <x:c r="S6" s="47" t="str">
        <x:v>telegram</x:v>
      </x:c>
      <x:c r="T6" s="53" t="str">
        <x:v>prd_001</x:v>
      </x:c>
      <x:c r="U6" s="47" t="str">
        <x:v>بدون پاسخ</x:v>
      </x:c>
      <x:c r="V6" s="48" t="str">
        <x:v>پس از سه پیگیری پاسخ نداده</x:v>
      </x:c>
      <x:c r="W6" s="51" t="n">
        <x:v>46086.354166666664</x:v>
      </x:c>
      <x:c r="X6" s="47" t="str">
        <x:v>usr_sara</x:v>
      </x:c>
      <x:c r="Y6" s="51" t="n">
        <x:v>46215.229166666664</x:v>
      </x:c>
      <x:c r="Z6" s="47" t="str">
        <x:v>usr_sara</x:v>
      </x:c>
      <x:c r="AA6" s="57" t="b">
        <x:v>0</x:v>
      </x:c>
    </x:row>
    <x:row r="7">
      <x:c r="A7" s="19"/>
      <x:c r="B7" s="19"/>
      <x:c r="C7" s="19"/>
      <x:c r="D7" s="19"/>
      <x:c r="E7" s="19"/>
      <x:c r="F7" s="19"/>
      <x:c r="G7" s="19"/>
      <x:c r="H7" s="19"/>
      <x:c r="I7" s="20"/>
      <x:c r="J7" s="19"/>
      <x:c r="K7" s="19"/>
      <x:c r="L7" s="92" t="str">
        <x:f>IF($A7="","",IF(COUNTIFS('Orders'!$C$2:$C$500,$A7,'Orders'!$M$2:$M$500,"&lt;&gt;cancelled")=0,"",MAXIFS('Orders'!$G$2:$G$500,'Orders'!$C$2:$C$500,$A7,'Orders'!$M$2:$M$500,"&lt;&gt;cancelled")))</x:f>
      </x:c>
      <x:c r="M7" s="96" t="str">
        <x:f>IF($A7="","",SUMIFS('Orders'!$K$2:$K$500,'Orders'!$C$2:$C$500,$A7,'Orders'!$M$2:$M$500,"&lt;&gt;cancelled"))</x:f>
      </x:c>
      <x:c r="N7" s="96" t="str">
        <x:f>IF($A7="","",COUNTIFS('Orders'!$C$2:$C$500,$A7,'Orders'!$M$2:$M$500,"&lt;&gt;cancelled"))</x:f>
      </x:c>
      <x:c r="O7" s="100" t="str">
        <x:f>IF($A7="","",IF(COUNTIF('Interactions'!$B$2:$B$500,$A7)=0,"",MAXIFS('Interactions'!$G$2:$G$500,'Interactions'!$B$2:$B$500,$A7)))</x:f>
      </x:c>
      <x:c r="P7" s="100" t="str">
        <x:f>IF($A7="","",IF(COUNTIFS('FollowUps'!$B$2:$B$500,$A7,'FollowUps'!$H$2:$H$500,"open")=0,"",MINIFS('FollowUps'!$E$2:$E$500,'FollowUps'!$B$2:$B$500,$A7,'FollowUps'!$H$2:$H$500,"open")))</x:f>
      </x:c>
      <x:c r="Q7" s="104" t="str">
        <x:f>IF($A7="","",ROUND(MIN(25,$N7/VALUE(INDEX('Settings'!$B$2:$B$100,MATCH("score_purchase_target",'Settings'!$A$2:$A$100,0)))*25)+MIN(25,$M7/VALUE(INDEX('Settings'!$B$2:$B$100,MATCH("score_value_target",'Settings'!$A$2:$A$100,0)))*25)+IF($L7="",0,MAX(0,25-(TODAY()-$L7)/VALUE(INDEX('Settings'!$B$2:$B$100,MATCH("score_recency_days",'Settings'!$A$2:$A$100,0)))*25))+MIN(15,COUNTIFS('FollowUps'!$B$2:$B$500,$A7,'FollowUps'!$H$2:$H$500,"done")/VALUE(INDEX('Settings'!$B$2:$B$100,MATCH("score_response_target",'Settings'!$A$2:$A$100,0)))*15)+IF(COUNTIFS('Interactions'!$B$2:$B$500,$A7,'Interactions'!$E$2:$E$500,"complaint")=0,10,0),0))</x:f>
      </x:c>
      <x:c r="R7" s="108" t="str">
        <x:f>IF($A7="","",IF($J7="inactive","inactive",IF($J7="at_risk","at_risk",IF($Q7&gt;=85,"vip",IF($Q7&gt;=70,"loyal",IF($Q7&gt;=50,"active",IF($N7=0,"new","needs_attention")))))))</x:f>
      </x:c>
      <x:c r="S7" s="19"/>
      <x:c r="T7" s="18"/>
      <x:c r="U7" s="19"/>
      <x:c r="V7" s="20"/>
      <x:c r="W7" s="26"/>
      <x:c r="X7" s="19"/>
      <x:c r="Y7" s="26"/>
      <x:c r="Z7" s="19"/>
      <x:c r="AA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20"/>
      <x:c r="J8" s="19"/>
      <x:c r="K8" s="19"/>
      <x:c r="L8" s="92" t="str">
        <x:f>IF($A8="","",IF(COUNTIFS('Orders'!$C$2:$C$500,$A8,'Orders'!$M$2:$M$500,"&lt;&gt;cancelled")=0,"",MAXIFS('Orders'!$G$2:$G$500,'Orders'!$C$2:$C$500,$A8,'Orders'!$M$2:$M$500,"&lt;&gt;cancelled")))</x:f>
      </x:c>
      <x:c r="M8" s="96" t="str">
        <x:f>IF($A8="","",SUMIFS('Orders'!$K$2:$K$500,'Orders'!$C$2:$C$500,$A8,'Orders'!$M$2:$M$500,"&lt;&gt;cancelled"))</x:f>
      </x:c>
      <x:c r="N8" s="96" t="str">
        <x:f>IF($A8="","",COUNTIFS('Orders'!$C$2:$C$500,$A8,'Orders'!$M$2:$M$500,"&lt;&gt;cancelled"))</x:f>
      </x:c>
      <x:c r="O8" s="100" t="str">
        <x:f>IF($A8="","",IF(COUNTIF('Interactions'!$B$2:$B$500,$A8)=0,"",MAXIFS('Interactions'!$G$2:$G$500,'Interactions'!$B$2:$B$500,$A8)))</x:f>
      </x:c>
      <x:c r="P8" s="100" t="str">
        <x:f>IF($A8="","",IF(COUNTIFS('FollowUps'!$B$2:$B$500,$A8,'FollowUps'!$H$2:$H$500,"open")=0,"",MINIFS('FollowUps'!$E$2:$E$500,'FollowUps'!$B$2:$B$500,$A8,'FollowUps'!$H$2:$H$500,"open")))</x:f>
      </x:c>
      <x:c r="Q8" s="104" t="str">
        <x:f>IF($A8="","",ROUND(MIN(25,$N8/VALUE(INDEX('Settings'!$B$2:$B$100,MATCH("score_purchase_target",'Settings'!$A$2:$A$100,0)))*25)+MIN(25,$M8/VALUE(INDEX('Settings'!$B$2:$B$100,MATCH("score_value_target",'Settings'!$A$2:$A$100,0)))*25)+IF($L8="",0,MAX(0,25-(TODAY()-$L8)/VALUE(INDEX('Settings'!$B$2:$B$100,MATCH("score_recency_days",'Settings'!$A$2:$A$100,0)))*25))+MIN(15,COUNTIFS('FollowUps'!$B$2:$B$500,$A8,'FollowUps'!$H$2:$H$500,"done")/VALUE(INDEX('Settings'!$B$2:$B$100,MATCH("score_response_target",'Settings'!$A$2:$A$100,0)))*15)+IF(COUNTIFS('Interactions'!$B$2:$B$500,$A8,'Interactions'!$E$2:$E$500,"complaint")=0,10,0),0))</x:f>
      </x:c>
      <x:c r="R8" s="108" t="str">
        <x:f>IF($A8="","",IF($J8="inactive","inactive",IF($J8="at_risk","at_risk",IF($Q8&gt;=85,"vip",IF($Q8&gt;=70,"loyal",IF($Q8&gt;=50,"active",IF($N8=0,"new","needs_attention")))))))</x:f>
      </x:c>
      <x:c r="S8" s="19"/>
      <x:c r="T8" s="18"/>
      <x:c r="U8" s="19"/>
      <x:c r="V8" s="20"/>
      <x:c r="W8" s="26"/>
      <x:c r="X8" s="19"/>
      <x:c r="Y8" s="26"/>
      <x:c r="Z8" s="19"/>
      <x:c r="AA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20"/>
      <x:c r="J9" s="19"/>
      <x:c r="K9" s="19"/>
      <x:c r="L9" s="92" t="str">
        <x:f>IF($A9="","",IF(COUNTIFS('Orders'!$C$2:$C$500,$A9,'Orders'!$M$2:$M$500,"&lt;&gt;cancelled")=0,"",MAXIFS('Orders'!$G$2:$G$500,'Orders'!$C$2:$C$500,$A9,'Orders'!$M$2:$M$500,"&lt;&gt;cancelled")))</x:f>
      </x:c>
      <x:c r="M9" s="96" t="str">
        <x:f>IF($A9="","",SUMIFS('Orders'!$K$2:$K$500,'Orders'!$C$2:$C$500,$A9,'Orders'!$M$2:$M$500,"&lt;&gt;cancelled"))</x:f>
      </x:c>
      <x:c r="N9" s="96" t="str">
        <x:f>IF($A9="","",COUNTIFS('Orders'!$C$2:$C$500,$A9,'Orders'!$M$2:$M$500,"&lt;&gt;cancelled"))</x:f>
      </x:c>
      <x:c r="O9" s="100" t="str">
        <x:f>IF($A9="","",IF(COUNTIF('Interactions'!$B$2:$B$500,$A9)=0,"",MAXIFS('Interactions'!$G$2:$G$500,'Interactions'!$B$2:$B$500,$A9)))</x:f>
      </x:c>
      <x:c r="P9" s="100" t="str">
        <x:f>IF($A9="","",IF(COUNTIFS('FollowUps'!$B$2:$B$500,$A9,'FollowUps'!$H$2:$H$500,"open")=0,"",MINIFS('FollowUps'!$E$2:$E$500,'FollowUps'!$B$2:$B$500,$A9,'FollowUps'!$H$2:$H$500,"open")))</x:f>
      </x:c>
      <x:c r="Q9" s="104" t="str">
        <x:f>IF($A9="","",ROUND(MIN(25,$N9/VALUE(INDEX('Settings'!$B$2:$B$100,MATCH("score_purchase_target",'Settings'!$A$2:$A$100,0)))*25)+MIN(25,$M9/VALUE(INDEX('Settings'!$B$2:$B$100,MATCH("score_value_target",'Settings'!$A$2:$A$100,0)))*25)+IF($L9="",0,MAX(0,25-(TODAY()-$L9)/VALUE(INDEX('Settings'!$B$2:$B$100,MATCH("score_recency_days",'Settings'!$A$2:$A$100,0)))*25))+MIN(15,COUNTIFS('FollowUps'!$B$2:$B$500,$A9,'FollowUps'!$H$2:$H$500,"done")/VALUE(INDEX('Settings'!$B$2:$B$100,MATCH("score_response_target",'Settings'!$A$2:$A$100,0)))*15)+IF(COUNTIFS('Interactions'!$B$2:$B$500,$A9,'Interactions'!$E$2:$E$500,"complaint")=0,10,0),0))</x:f>
      </x:c>
      <x:c r="R9" s="108" t="str">
        <x:f>IF($A9="","",IF($J9="inactive","inactive",IF($J9="at_risk","at_risk",IF($Q9&gt;=85,"vip",IF($Q9&gt;=70,"loyal",IF($Q9&gt;=50,"active",IF($N9=0,"new","needs_attention")))))))</x:f>
      </x:c>
      <x:c r="S9" s="19"/>
      <x:c r="T9" s="18"/>
      <x:c r="U9" s="19"/>
      <x:c r="V9" s="20"/>
      <x:c r="W9" s="26"/>
      <x:c r="X9" s="19"/>
      <x:c r="Y9" s="26"/>
      <x:c r="Z9" s="19"/>
      <x:c r="AA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20"/>
      <x:c r="J10" s="19"/>
      <x:c r="K10" s="19"/>
      <x:c r="L10" s="92" t="str">
        <x:f>IF($A10="","",IF(COUNTIFS('Orders'!$C$2:$C$500,$A10,'Orders'!$M$2:$M$500,"&lt;&gt;cancelled")=0,"",MAXIFS('Orders'!$G$2:$G$500,'Orders'!$C$2:$C$500,$A10,'Orders'!$M$2:$M$500,"&lt;&gt;cancelled")))</x:f>
      </x:c>
      <x:c r="M10" s="96" t="str">
        <x:f>IF($A10="","",SUMIFS('Orders'!$K$2:$K$500,'Orders'!$C$2:$C$500,$A10,'Orders'!$M$2:$M$500,"&lt;&gt;cancelled"))</x:f>
      </x:c>
      <x:c r="N10" s="96" t="str">
        <x:f>IF($A10="","",COUNTIFS('Orders'!$C$2:$C$500,$A10,'Orders'!$M$2:$M$500,"&lt;&gt;cancelled"))</x:f>
      </x:c>
      <x:c r="O10" s="100" t="str">
        <x:f>IF($A10="","",IF(COUNTIF('Interactions'!$B$2:$B$500,$A10)=0,"",MAXIFS('Interactions'!$G$2:$G$500,'Interactions'!$B$2:$B$500,$A10)))</x:f>
      </x:c>
      <x:c r="P10" s="100" t="str">
        <x:f>IF($A10="","",IF(COUNTIFS('FollowUps'!$B$2:$B$500,$A10,'FollowUps'!$H$2:$H$500,"open")=0,"",MINIFS('FollowUps'!$E$2:$E$500,'FollowUps'!$B$2:$B$500,$A10,'FollowUps'!$H$2:$H$500,"open")))</x:f>
      </x:c>
      <x:c r="Q10" s="104" t="str">
        <x:f>IF($A10="","",ROUND(MIN(25,$N10/VALUE(INDEX('Settings'!$B$2:$B$100,MATCH("score_purchase_target",'Settings'!$A$2:$A$100,0)))*25)+MIN(25,$M10/VALUE(INDEX('Settings'!$B$2:$B$100,MATCH("score_value_target",'Settings'!$A$2:$A$100,0)))*25)+IF($L10="",0,MAX(0,25-(TODAY()-$L10)/VALUE(INDEX('Settings'!$B$2:$B$100,MATCH("score_recency_days",'Settings'!$A$2:$A$100,0)))*25))+MIN(15,COUNTIFS('FollowUps'!$B$2:$B$500,$A10,'FollowUps'!$H$2:$H$500,"done")/VALUE(INDEX('Settings'!$B$2:$B$100,MATCH("score_response_target",'Settings'!$A$2:$A$100,0)))*15)+IF(COUNTIFS('Interactions'!$B$2:$B$500,$A10,'Interactions'!$E$2:$E$500,"complaint")=0,10,0),0))</x:f>
      </x:c>
      <x:c r="R10" s="108" t="str">
        <x:f>IF($A10="","",IF($J10="inactive","inactive",IF($J10="at_risk","at_risk",IF($Q10&gt;=85,"vip",IF($Q10&gt;=70,"loyal",IF($Q10&gt;=50,"active",IF($N10=0,"new","needs_attention")))))))</x:f>
      </x:c>
      <x:c r="S10" s="19"/>
      <x:c r="T10" s="18"/>
      <x:c r="U10" s="19"/>
      <x:c r="V10" s="20"/>
      <x:c r="W10" s="26"/>
      <x:c r="X10" s="19"/>
      <x:c r="Y10" s="26"/>
      <x:c r="Z10" s="19"/>
      <x:c r="AA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20"/>
      <x:c r="J11" s="19"/>
      <x:c r="K11" s="19"/>
      <x:c r="L11" s="92" t="str">
        <x:f>IF($A11="","",IF(COUNTIFS('Orders'!$C$2:$C$500,$A11,'Orders'!$M$2:$M$500,"&lt;&gt;cancelled")=0,"",MAXIFS('Orders'!$G$2:$G$500,'Orders'!$C$2:$C$500,$A11,'Orders'!$M$2:$M$500,"&lt;&gt;cancelled")))</x:f>
      </x:c>
      <x:c r="M11" s="96" t="str">
        <x:f>IF($A11="","",SUMIFS('Orders'!$K$2:$K$500,'Orders'!$C$2:$C$500,$A11,'Orders'!$M$2:$M$500,"&lt;&gt;cancelled"))</x:f>
      </x:c>
      <x:c r="N11" s="96" t="str">
        <x:f>IF($A11="","",COUNTIFS('Orders'!$C$2:$C$500,$A11,'Orders'!$M$2:$M$500,"&lt;&gt;cancelled"))</x:f>
      </x:c>
      <x:c r="O11" s="100" t="str">
        <x:f>IF($A11="","",IF(COUNTIF('Interactions'!$B$2:$B$500,$A11)=0,"",MAXIFS('Interactions'!$G$2:$G$500,'Interactions'!$B$2:$B$500,$A11)))</x:f>
      </x:c>
      <x:c r="P11" s="100" t="str">
        <x:f>IF($A11="","",IF(COUNTIFS('FollowUps'!$B$2:$B$500,$A11,'FollowUps'!$H$2:$H$500,"open")=0,"",MINIFS('FollowUps'!$E$2:$E$500,'FollowUps'!$B$2:$B$500,$A11,'FollowUps'!$H$2:$H$500,"open")))</x:f>
      </x:c>
      <x:c r="Q11" s="104" t="str">
        <x:f>IF($A11="","",ROUND(MIN(25,$N11/VALUE(INDEX('Settings'!$B$2:$B$100,MATCH("score_purchase_target",'Settings'!$A$2:$A$100,0)))*25)+MIN(25,$M11/VALUE(INDEX('Settings'!$B$2:$B$100,MATCH("score_value_target",'Settings'!$A$2:$A$100,0)))*25)+IF($L11="",0,MAX(0,25-(TODAY()-$L11)/VALUE(INDEX('Settings'!$B$2:$B$100,MATCH("score_recency_days",'Settings'!$A$2:$A$100,0)))*25))+MIN(15,COUNTIFS('FollowUps'!$B$2:$B$500,$A11,'FollowUps'!$H$2:$H$500,"done")/VALUE(INDEX('Settings'!$B$2:$B$100,MATCH("score_response_target",'Settings'!$A$2:$A$100,0)))*15)+IF(COUNTIFS('Interactions'!$B$2:$B$500,$A11,'Interactions'!$E$2:$E$500,"complaint")=0,10,0),0))</x:f>
      </x:c>
      <x:c r="R11" s="108" t="str">
        <x:f>IF($A11="","",IF($J11="inactive","inactive",IF($J11="at_risk","at_risk",IF($Q11&gt;=85,"vip",IF($Q11&gt;=70,"loyal",IF($Q11&gt;=50,"active",IF($N11=0,"new","needs_attention")))))))</x:f>
      </x:c>
      <x:c r="S11" s="19"/>
      <x:c r="T11" s="18"/>
      <x:c r="U11" s="19"/>
      <x:c r="V11" s="20"/>
      <x:c r="W11" s="26"/>
      <x:c r="X11" s="19"/>
      <x:c r="Y11" s="26"/>
      <x:c r="Z11" s="19"/>
      <x:c r="AA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20"/>
      <x:c r="J12" s="19"/>
      <x:c r="K12" s="19"/>
      <x:c r="L12" s="92" t="str">
        <x:f>IF($A12="","",IF(COUNTIFS('Orders'!$C$2:$C$500,$A12,'Orders'!$M$2:$M$500,"&lt;&gt;cancelled")=0,"",MAXIFS('Orders'!$G$2:$G$500,'Orders'!$C$2:$C$500,$A12,'Orders'!$M$2:$M$500,"&lt;&gt;cancelled")))</x:f>
      </x:c>
      <x:c r="M12" s="96" t="str">
        <x:f>IF($A12="","",SUMIFS('Orders'!$K$2:$K$500,'Orders'!$C$2:$C$500,$A12,'Orders'!$M$2:$M$500,"&lt;&gt;cancelled"))</x:f>
      </x:c>
      <x:c r="N12" s="96" t="str">
        <x:f>IF($A12="","",COUNTIFS('Orders'!$C$2:$C$500,$A12,'Orders'!$M$2:$M$500,"&lt;&gt;cancelled"))</x:f>
      </x:c>
      <x:c r="O12" s="100" t="str">
        <x:f>IF($A12="","",IF(COUNTIF('Interactions'!$B$2:$B$500,$A12)=0,"",MAXIFS('Interactions'!$G$2:$G$500,'Interactions'!$B$2:$B$500,$A12)))</x:f>
      </x:c>
      <x:c r="P12" s="100" t="str">
        <x:f>IF($A12="","",IF(COUNTIFS('FollowUps'!$B$2:$B$500,$A12,'FollowUps'!$H$2:$H$500,"open")=0,"",MINIFS('FollowUps'!$E$2:$E$500,'FollowUps'!$B$2:$B$500,$A12,'FollowUps'!$H$2:$H$500,"open")))</x:f>
      </x:c>
      <x:c r="Q12" s="104" t="str">
        <x:f>IF($A12="","",ROUND(MIN(25,$N12/VALUE(INDEX('Settings'!$B$2:$B$100,MATCH("score_purchase_target",'Settings'!$A$2:$A$100,0)))*25)+MIN(25,$M12/VALUE(INDEX('Settings'!$B$2:$B$100,MATCH("score_value_target",'Settings'!$A$2:$A$100,0)))*25)+IF($L12="",0,MAX(0,25-(TODAY()-$L12)/VALUE(INDEX('Settings'!$B$2:$B$100,MATCH("score_recency_days",'Settings'!$A$2:$A$100,0)))*25))+MIN(15,COUNTIFS('FollowUps'!$B$2:$B$500,$A12,'FollowUps'!$H$2:$H$500,"done")/VALUE(INDEX('Settings'!$B$2:$B$100,MATCH("score_response_target",'Settings'!$A$2:$A$100,0)))*15)+IF(COUNTIFS('Interactions'!$B$2:$B$500,$A12,'Interactions'!$E$2:$E$500,"complaint")=0,10,0),0))</x:f>
      </x:c>
      <x:c r="R12" s="108" t="str">
        <x:f>IF($A12="","",IF($J12="inactive","inactive",IF($J12="at_risk","at_risk",IF($Q12&gt;=85,"vip",IF($Q12&gt;=70,"loyal",IF($Q12&gt;=50,"active",IF($N12=0,"new","needs_attention")))))))</x:f>
      </x:c>
      <x:c r="S12" s="19"/>
      <x:c r="T12" s="18"/>
      <x:c r="U12" s="19"/>
      <x:c r="V12" s="20"/>
      <x:c r="W12" s="26"/>
      <x:c r="X12" s="19"/>
      <x:c r="Y12" s="26"/>
      <x:c r="Z12" s="19"/>
      <x:c r="AA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20"/>
      <x:c r="J13" s="19"/>
      <x:c r="K13" s="19"/>
      <x:c r="L13" s="92" t="str">
        <x:f>IF($A13="","",IF(COUNTIFS('Orders'!$C$2:$C$500,$A13,'Orders'!$M$2:$M$500,"&lt;&gt;cancelled")=0,"",MAXIFS('Orders'!$G$2:$G$500,'Orders'!$C$2:$C$500,$A13,'Orders'!$M$2:$M$500,"&lt;&gt;cancelled")))</x:f>
      </x:c>
      <x:c r="M13" s="96" t="str">
        <x:f>IF($A13="","",SUMIFS('Orders'!$K$2:$K$500,'Orders'!$C$2:$C$500,$A13,'Orders'!$M$2:$M$500,"&lt;&gt;cancelled"))</x:f>
      </x:c>
      <x:c r="N13" s="96" t="str">
        <x:f>IF($A13="","",COUNTIFS('Orders'!$C$2:$C$500,$A13,'Orders'!$M$2:$M$500,"&lt;&gt;cancelled"))</x:f>
      </x:c>
      <x:c r="O13" s="100" t="str">
        <x:f>IF($A13="","",IF(COUNTIF('Interactions'!$B$2:$B$500,$A13)=0,"",MAXIFS('Interactions'!$G$2:$G$500,'Interactions'!$B$2:$B$500,$A13)))</x:f>
      </x:c>
      <x:c r="P13" s="100" t="str">
        <x:f>IF($A13="","",IF(COUNTIFS('FollowUps'!$B$2:$B$500,$A13,'FollowUps'!$H$2:$H$500,"open")=0,"",MINIFS('FollowUps'!$E$2:$E$500,'FollowUps'!$B$2:$B$500,$A13,'FollowUps'!$H$2:$H$500,"open")))</x:f>
      </x:c>
      <x:c r="Q13" s="104" t="str">
        <x:f>IF($A13="","",ROUND(MIN(25,$N13/VALUE(INDEX('Settings'!$B$2:$B$100,MATCH("score_purchase_target",'Settings'!$A$2:$A$100,0)))*25)+MIN(25,$M13/VALUE(INDEX('Settings'!$B$2:$B$100,MATCH("score_value_target",'Settings'!$A$2:$A$100,0)))*25)+IF($L13="",0,MAX(0,25-(TODAY()-$L13)/VALUE(INDEX('Settings'!$B$2:$B$100,MATCH("score_recency_days",'Settings'!$A$2:$A$100,0)))*25))+MIN(15,COUNTIFS('FollowUps'!$B$2:$B$500,$A13,'FollowUps'!$H$2:$H$500,"done")/VALUE(INDEX('Settings'!$B$2:$B$100,MATCH("score_response_target",'Settings'!$A$2:$A$100,0)))*15)+IF(COUNTIFS('Interactions'!$B$2:$B$500,$A13,'Interactions'!$E$2:$E$500,"complaint")=0,10,0),0))</x:f>
      </x:c>
      <x:c r="R13" s="108" t="str">
        <x:f>IF($A13="","",IF($J13="inactive","inactive",IF($J13="at_risk","at_risk",IF($Q13&gt;=85,"vip",IF($Q13&gt;=70,"loyal",IF($Q13&gt;=50,"active",IF($N13=0,"new","needs_attention")))))))</x:f>
      </x:c>
      <x:c r="S13" s="19"/>
      <x:c r="T13" s="18"/>
      <x:c r="U13" s="19"/>
      <x:c r="V13" s="20"/>
      <x:c r="W13" s="26"/>
      <x:c r="X13" s="19"/>
      <x:c r="Y13" s="26"/>
      <x:c r="Z13" s="19"/>
      <x:c r="AA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20"/>
      <x:c r="J14" s="19"/>
      <x:c r="K14" s="19"/>
      <x:c r="L14" s="92" t="str">
        <x:f>IF($A14="","",IF(COUNTIFS('Orders'!$C$2:$C$500,$A14,'Orders'!$M$2:$M$500,"&lt;&gt;cancelled")=0,"",MAXIFS('Orders'!$G$2:$G$500,'Orders'!$C$2:$C$500,$A14,'Orders'!$M$2:$M$500,"&lt;&gt;cancelled")))</x:f>
      </x:c>
      <x:c r="M14" s="96" t="str">
        <x:f>IF($A14="","",SUMIFS('Orders'!$K$2:$K$500,'Orders'!$C$2:$C$500,$A14,'Orders'!$M$2:$M$500,"&lt;&gt;cancelled"))</x:f>
      </x:c>
      <x:c r="N14" s="96" t="str">
        <x:f>IF($A14="","",COUNTIFS('Orders'!$C$2:$C$500,$A14,'Orders'!$M$2:$M$500,"&lt;&gt;cancelled"))</x:f>
      </x:c>
      <x:c r="O14" s="100" t="str">
        <x:f>IF($A14="","",IF(COUNTIF('Interactions'!$B$2:$B$500,$A14)=0,"",MAXIFS('Interactions'!$G$2:$G$500,'Interactions'!$B$2:$B$500,$A14)))</x:f>
      </x:c>
      <x:c r="P14" s="100" t="str">
        <x:f>IF($A14="","",IF(COUNTIFS('FollowUps'!$B$2:$B$500,$A14,'FollowUps'!$H$2:$H$500,"open")=0,"",MINIFS('FollowUps'!$E$2:$E$500,'FollowUps'!$B$2:$B$500,$A14,'FollowUps'!$H$2:$H$500,"open")))</x:f>
      </x:c>
      <x:c r="Q14" s="104" t="str">
        <x:f>IF($A14="","",ROUND(MIN(25,$N14/VALUE(INDEX('Settings'!$B$2:$B$100,MATCH("score_purchase_target",'Settings'!$A$2:$A$100,0)))*25)+MIN(25,$M14/VALUE(INDEX('Settings'!$B$2:$B$100,MATCH("score_value_target",'Settings'!$A$2:$A$100,0)))*25)+IF($L14="",0,MAX(0,25-(TODAY()-$L14)/VALUE(INDEX('Settings'!$B$2:$B$100,MATCH("score_recency_days",'Settings'!$A$2:$A$100,0)))*25))+MIN(15,COUNTIFS('FollowUps'!$B$2:$B$500,$A14,'FollowUps'!$H$2:$H$500,"done")/VALUE(INDEX('Settings'!$B$2:$B$100,MATCH("score_response_target",'Settings'!$A$2:$A$100,0)))*15)+IF(COUNTIFS('Interactions'!$B$2:$B$500,$A14,'Interactions'!$E$2:$E$500,"complaint")=0,10,0),0))</x:f>
      </x:c>
      <x:c r="R14" s="108" t="str">
        <x:f>IF($A14="","",IF($J14="inactive","inactive",IF($J14="at_risk","at_risk",IF($Q14&gt;=85,"vip",IF($Q14&gt;=70,"loyal",IF($Q14&gt;=50,"active",IF($N14=0,"new","needs_attention")))))))</x:f>
      </x:c>
      <x:c r="S14" s="19"/>
      <x:c r="T14" s="18"/>
      <x:c r="U14" s="19"/>
      <x:c r="V14" s="20"/>
      <x:c r="W14" s="26"/>
      <x:c r="X14" s="19"/>
      <x:c r="Y14" s="26"/>
      <x:c r="Z14" s="19"/>
      <x:c r="AA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20"/>
      <x:c r="J15" s="19"/>
      <x:c r="K15" s="19"/>
      <x:c r="L15" s="92" t="str">
        <x:f>IF($A15="","",IF(COUNTIFS('Orders'!$C$2:$C$500,$A15,'Orders'!$M$2:$M$500,"&lt;&gt;cancelled")=0,"",MAXIFS('Orders'!$G$2:$G$500,'Orders'!$C$2:$C$500,$A15,'Orders'!$M$2:$M$500,"&lt;&gt;cancelled")))</x:f>
      </x:c>
      <x:c r="M15" s="96" t="str">
        <x:f>IF($A15="","",SUMIFS('Orders'!$K$2:$K$500,'Orders'!$C$2:$C$500,$A15,'Orders'!$M$2:$M$500,"&lt;&gt;cancelled"))</x:f>
      </x:c>
      <x:c r="N15" s="96" t="str">
        <x:f>IF($A15="","",COUNTIFS('Orders'!$C$2:$C$500,$A15,'Orders'!$M$2:$M$500,"&lt;&gt;cancelled"))</x:f>
      </x:c>
      <x:c r="O15" s="100" t="str">
        <x:f>IF($A15="","",IF(COUNTIF('Interactions'!$B$2:$B$500,$A15)=0,"",MAXIFS('Interactions'!$G$2:$G$500,'Interactions'!$B$2:$B$500,$A15)))</x:f>
      </x:c>
      <x:c r="P15" s="100" t="str">
        <x:f>IF($A15="","",IF(COUNTIFS('FollowUps'!$B$2:$B$500,$A15,'FollowUps'!$H$2:$H$500,"open")=0,"",MINIFS('FollowUps'!$E$2:$E$500,'FollowUps'!$B$2:$B$500,$A15,'FollowUps'!$H$2:$H$500,"open")))</x:f>
      </x:c>
      <x:c r="Q15" s="104" t="str">
        <x:f>IF($A15="","",ROUND(MIN(25,$N15/VALUE(INDEX('Settings'!$B$2:$B$100,MATCH("score_purchase_target",'Settings'!$A$2:$A$100,0)))*25)+MIN(25,$M15/VALUE(INDEX('Settings'!$B$2:$B$100,MATCH("score_value_target",'Settings'!$A$2:$A$100,0)))*25)+IF($L15="",0,MAX(0,25-(TODAY()-$L15)/VALUE(INDEX('Settings'!$B$2:$B$100,MATCH("score_recency_days",'Settings'!$A$2:$A$100,0)))*25))+MIN(15,COUNTIFS('FollowUps'!$B$2:$B$500,$A15,'FollowUps'!$H$2:$H$500,"done")/VALUE(INDEX('Settings'!$B$2:$B$100,MATCH("score_response_target",'Settings'!$A$2:$A$100,0)))*15)+IF(COUNTIFS('Interactions'!$B$2:$B$500,$A15,'Interactions'!$E$2:$E$500,"complaint")=0,10,0),0))</x:f>
      </x:c>
      <x:c r="R15" s="108" t="str">
        <x:f>IF($A15="","",IF($J15="inactive","inactive",IF($J15="at_risk","at_risk",IF($Q15&gt;=85,"vip",IF($Q15&gt;=70,"loyal",IF($Q15&gt;=50,"active",IF($N15=0,"new","needs_attention")))))))</x:f>
      </x:c>
      <x:c r="S15" s="19"/>
      <x:c r="T15" s="18"/>
      <x:c r="U15" s="19"/>
      <x:c r="V15" s="20"/>
      <x:c r="W15" s="26"/>
      <x:c r="X15" s="19"/>
      <x:c r="Y15" s="26"/>
      <x:c r="Z15" s="19"/>
      <x:c r="AA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20"/>
      <x:c r="J16" s="19"/>
      <x:c r="K16" s="19"/>
      <x:c r="L16" s="92" t="str">
        <x:f>IF($A16="","",IF(COUNTIFS('Orders'!$C$2:$C$500,$A16,'Orders'!$M$2:$M$500,"&lt;&gt;cancelled")=0,"",MAXIFS('Orders'!$G$2:$G$500,'Orders'!$C$2:$C$500,$A16,'Orders'!$M$2:$M$500,"&lt;&gt;cancelled")))</x:f>
      </x:c>
      <x:c r="M16" s="96" t="str">
        <x:f>IF($A16="","",SUMIFS('Orders'!$K$2:$K$500,'Orders'!$C$2:$C$500,$A16,'Orders'!$M$2:$M$500,"&lt;&gt;cancelled"))</x:f>
      </x:c>
      <x:c r="N16" s="96" t="str">
        <x:f>IF($A16="","",COUNTIFS('Orders'!$C$2:$C$500,$A16,'Orders'!$M$2:$M$500,"&lt;&gt;cancelled"))</x:f>
      </x:c>
      <x:c r="O16" s="100" t="str">
        <x:f>IF($A16="","",IF(COUNTIF('Interactions'!$B$2:$B$500,$A16)=0,"",MAXIFS('Interactions'!$G$2:$G$500,'Interactions'!$B$2:$B$500,$A16)))</x:f>
      </x:c>
      <x:c r="P16" s="100" t="str">
        <x:f>IF($A16="","",IF(COUNTIFS('FollowUps'!$B$2:$B$500,$A16,'FollowUps'!$H$2:$H$500,"open")=0,"",MINIFS('FollowUps'!$E$2:$E$500,'FollowUps'!$B$2:$B$500,$A16,'FollowUps'!$H$2:$H$500,"open")))</x:f>
      </x:c>
      <x:c r="Q16" s="104" t="str">
        <x:f>IF($A16="","",ROUND(MIN(25,$N16/VALUE(INDEX('Settings'!$B$2:$B$100,MATCH("score_purchase_target",'Settings'!$A$2:$A$100,0)))*25)+MIN(25,$M16/VALUE(INDEX('Settings'!$B$2:$B$100,MATCH("score_value_target",'Settings'!$A$2:$A$100,0)))*25)+IF($L16="",0,MAX(0,25-(TODAY()-$L16)/VALUE(INDEX('Settings'!$B$2:$B$100,MATCH("score_recency_days",'Settings'!$A$2:$A$100,0)))*25))+MIN(15,COUNTIFS('FollowUps'!$B$2:$B$500,$A16,'FollowUps'!$H$2:$H$500,"done")/VALUE(INDEX('Settings'!$B$2:$B$100,MATCH("score_response_target",'Settings'!$A$2:$A$100,0)))*15)+IF(COUNTIFS('Interactions'!$B$2:$B$500,$A16,'Interactions'!$E$2:$E$500,"complaint")=0,10,0),0))</x:f>
      </x:c>
      <x:c r="R16" s="108" t="str">
        <x:f>IF($A16="","",IF($J16="inactive","inactive",IF($J16="at_risk","at_risk",IF($Q16&gt;=85,"vip",IF($Q16&gt;=70,"loyal",IF($Q16&gt;=50,"active",IF($N16=0,"new","needs_attention")))))))</x:f>
      </x:c>
      <x:c r="S16" s="19"/>
      <x:c r="T16" s="18"/>
      <x:c r="U16" s="19"/>
      <x:c r="V16" s="20"/>
      <x:c r="W16" s="26"/>
      <x:c r="X16" s="19"/>
      <x:c r="Y16" s="26"/>
      <x:c r="Z16" s="19"/>
      <x:c r="AA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20"/>
      <x:c r="J17" s="19"/>
      <x:c r="K17" s="19"/>
      <x:c r="L17" s="92" t="str">
        <x:f>IF($A17="","",IF(COUNTIFS('Orders'!$C$2:$C$500,$A17,'Orders'!$M$2:$M$500,"&lt;&gt;cancelled")=0,"",MAXIFS('Orders'!$G$2:$G$500,'Orders'!$C$2:$C$500,$A17,'Orders'!$M$2:$M$500,"&lt;&gt;cancelled")))</x:f>
      </x:c>
      <x:c r="M17" s="96" t="str">
        <x:f>IF($A17="","",SUMIFS('Orders'!$K$2:$K$500,'Orders'!$C$2:$C$500,$A17,'Orders'!$M$2:$M$500,"&lt;&gt;cancelled"))</x:f>
      </x:c>
      <x:c r="N17" s="96" t="str">
        <x:f>IF($A17="","",COUNTIFS('Orders'!$C$2:$C$500,$A17,'Orders'!$M$2:$M$500,"&lt;&gt;cancelled"))</x:f>
      </x:c>
      <x:c r="O17" s="100" t="str">
        <x:f>IF($A17="","",IF(COUNTIF('Interactions'!$B$2:$B$500,$A17)=0,"",MAXIFS('Interactions'!$G$2:$G$500,'Interactions'!$B$2:$B$500,$A17)))</x:f>
      </x:c>
      <x:c r="P17" s="100" t="str">
        <x:f>IF($A17="","",IF(COUNTIFS('FollowUps'!$B$2:$B$500,$A17,'FollowUps'!$H$2:$H$500,"open")=0,"",MINIFS('FollowUps'!$E$2:$E$500,'FollowUps'!$B$2:$B$500,$A17,'FollowUps'!$H$2:$H$500,"open")))</x:f>
      </x:c>
      <x:c r="Q17" s="104" t="str">
        <x:f>IF($A17="","",ROUND(MIN(25,$N17/VALUE(INDEX('Settings'!$B$2:$B$100,MATCH("score_purchase_target",'Settings'!$A$2:$A$100,0)))*25)+MIN(25,$M17/VALUE(INDEX('Settings'!$B$2:$B$100,MATCH("score_value_target",'Settings'!$A$2:$A$100,0)))*25)+IF($L17="",0,MAX(0,25-(TODAY()-$L17)/VALUE(INDEX('Settings'!$B$2:$B$100,MATCH("score_recency_days",'Settings'!$A$2:$A$100,0)))*25))+MIN(15,COUNTIFS('FollowUps'!$B$2:$B$500,$A17,'FollowUps'!$H$2:$H$500,"done")/VALUE(INDEX('Settings'!$B$2:$B$100,MATCH("score_response_target",'Settings'!$A$2:$A$100,0)))*15)+IF(COUNTIFS('Interactions'!$B$2:$B$500,$A17,'Interactions'!$E$2:$E$500,"complaint")=0,10,0),0))</x:f>
      </x:c>
      <x:c r="R17" s="108" t="str">
        <x:f>IF($A17="","",IF($J17="inactive","inactive",IF($J17="at_risk","at_risk",IF($Q17&gt;=85,"vip",IF($Q17&gt;=70,"loyal",IF($Q17&gt;=50,"active",IF($N17=0,"new","needs_attention")))))))</x:f>
      </x:c>
      <x:c r="S17" s="19"/>
      <x:c r="T17" s="18"/>
      <x:c r="U17" s="19"/>
      <x:c r="V17" s="20"/>
      <x:c r="W17" s="26"/>
      <x:c r="X17" s="19"/>
      <x:c r="Y17" s="26"/>
      <x:c r="Z17" s="19"/>
      <x:c r="AA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20"/>
      <x:c r="J18" s="19"/>
      <x:c r="K18" s="19"/>
      <x:c r="L18" s="92" t="str">
        <x:f>IF($A18="","",IF(COUNTIFS('Orders'!$C$2:$C$500,$A18,'Orders'!$M$2:$M$500,"&lt;&gt;cancelled")=0,"",MAXIFS('Orders'!$G$2:$G$500,'Orders'!$C$2:$C$500,$A18,'Orders'!$M$2:$M$500,"&lt;&gt;cancelled")))</x:f>
      </x:c>
      <x:c r="M18" s="96" t="str">
        <x:f>IF($A18="","",SUMIFS('Orders'!$K$2:$K$500,'Orders'!$C$2:$C$500,$A18,'Orders'!$M$2:$M$500,"&lt;&gt;cancelled"))</x:f>
      </x:c>
      <x:c r="N18" s="96" t="str">
        <x:f>IF($A18="","",COUNTIFS('Orders'!$C$2:$C$500,$A18,'Orders'!$M$2:$M$500,"&lt;&gt;cancelled"))</x:f>
      </x:c>
      <x:c r="O18" s="100" t="str">
        <x:f>IF($A18="","",IF(COUNTIF('Interactions'!$B$2:$B$500,$A18)=0,"",MAXIFS('Interactions'!$G$2:$G$500,'Interactions'!$B$2:$B$500,$A18)))</x:f>
      </x:c>
      <x:c r="P18" s="100" t="str">
        <x:f>IF($A18="","",IF(COUNTIFS('FollowUps'!$B$2:$B$500,$A18,'FollowUps'!$H$2:$H$500,"open")=0,"",MINIFS('FollowUps'!$E$2:$E$500,'FollowUps'!$B$2:$B$500,$A18,'FollowUps'!$H$2:$H$500,"open")))</x:f>
      </x:c>
      <x:c r="Q18" s="104" t="str">
        <x:f>IF($A18="","",ROUND(MIN(25,$N18/VALUE(INDEX('Settings'!$B$2:$B$100,MATCH("score_purchase_target",'Settings'!$A$2:$A$100,0)))*25)+MIN(25,$M18/VALUE(INDEX('Settings'!$B$2:$B$100,MATCH("score_value_target",'Settings'!$A$2:$A$100,0)))*25)+IF($L18="",0,MAX(0,25-(TODAY()-$L18)/VALUE(INDEX('Settings'!$B$2:$B$100,MATCH("score_recency_days",'Settings'!$A$2:$A$100,0)))*25))+MIN(15,COUNTIFS('FollowUps'!$B$2:$B$500,$A18,'FollowUps'!$H$2:$H$500,"done")/VALUE(INDEX('Settings'!$B$2:$B$100,MATCH("score_response_target",'Settings'!$A$2:$A$100,0)))*15)+IF(COUNTIFS('Interactions'!$B$2:$B$500,$A18,'Interactions'!$E$2:$E$500,"complaint")=0,10,0),0))</x:f>
      </x:c>
      <x:c r="R18" s="108" t="str">
        <x:f>IF($A18="","",IF($J18="inactive","inactive",IF($J18="at_risk","at_risk",IF($Q18&gt;=85,"vip",IF($Q18&gt;=70,"loyal",IF($Q18&gt;=50,"active",IF($N18=0,"new","needs_attention")))))))</x:f>
      </x:c>
      <x:c r="S18" s="19"/>
      <x:c r="T18" s="18"/>
      <x:c r="U18" s="19"/>
      <x:c r="V18" s="20"/>
      <x:c r="W18" s="26"/>
      <x:c r="X18" s="19"/>
      <x:c r="Y18" s="26"/>
      <x:c r="Z18" s="19"/>
      <x:c r="AA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20"/>
      <x:c r="J19" s="19"/>
      <x:c r="K19" s="19"/>
      <x:c r="L19" s="92" t="str">
        <x:f>IF($A19="","",IF(COUNTIFS('Orders'!$C$2:$C$500,$A19,'Orders'!$M$2:$M$500,"&lt;&gt;cancelled")=0,"",MAXIFS('Orders'!$G$2:$G$500,'Orders'!$C$2:$C$500,$A19,'Orders'!$M$2:$M$500,"&lt;&gt;cancelled")))</x:f>
      </x:c>
      <x:c r="M19" s="96" t="str">
        <x:f>IF($A19="","",SUMIFS('Orders'!$K$2:$K$500,'Orders'!$C$2:$C$500,$A19,'Orders'!$M$2:$M$500,"&lt;&gt;cancelled"))</x:f>
      </x:c>
      <x:c r="N19" s="96" t="str">
        <x:f>IF($A19="","",COUNTIFS('Orders'!$C$2:$C$500,$A19,'Orders'!$M$2:$M$500,"&lt;&gt;cancelled"))</x:f>
      </x:c>
      <x:c r="O19" s="100" t="str">
        <x:f>IF($A19="","",IF(COUNTIF('Interactions'!$B$2:$B$500,$A19)=0,"",MAXIFS('Interactions'!$G$2:$G$500,'Interactions'!$B$2:$B$500,$A19)))</x:f>
      </x:c>
      <x:c r="P19" s="100" t="str">
        <x:f>IF($A19="","",IF(COUNTIFS('FollowUps'!$B$2:$B$500,$A19,'FollowUps'!$H$2:$H$500,"open")=0,"",MINIFS('FollowUps'!$E$2:$E$500,'FollowUps'!$B$2:$B$500,$A19,'FollowUps'!$H$2:$H$500,"open")))</x:f>
      </x:c>
      <x:c r="Q19" s="104" t="str">
        <x:f>IF($A19="","",ROUND(MIN(25,$N19/VALUE(INDEX('Settings'!$B$2:$B$100,MATCH("score_purchase_target",'Settings'!$A$2:$A$100,0)))*25)+MIN(25,$M19/VALUE(INDEX('Settings'!$B$2:$B$100,MATCH("score_value_target",'Settings'!$A$2:$A$100,0)))*25)+IF($L19="",0,MAX(0,25-(TODAY()-$L19)/VALUE(INDEX('Settings'!$B$2:$B$100,MATCH("score_recency_days",'Settings'!$A$2:$A$100,0)))*25))+MIN(15,COUNTIFS('FollowUps'!$B$2:$B$500,$A19,'FollowUps'!$H$2:$H$500,"done")/VALUE(INDEX('Settings'!$B$2:$B$100,MATCH("score_response_target",'Settings'!$A$2:$A$100,0)))*15)+IF(COUNTIFS('Interactions'!$B$2:$B$500,$A19,'Interactions'!$E$2:$E$500,"complaint")=0,10,0),0))</x:f>
      </x:c>
      <x:c r="R19" s="108" t="str">
        <x:f>IF($A19="","",IF($J19="inactive","inactive",IF($J19="at_risk","at_risk",IF($Q19&gt;=85,"vip",IF($Q19&gt;=70,"loyal",IF($Q19&gt;=50,"active",IF($N19=0,"new","needs_attention")))))))</x:f>
      </x:c>
      <x:c r="S19" s="19"/>
      <x:c r="T19" s="18"/>
      <x:c r="U19" s="19"/>
      <x:c r="V19" s="20"/>
      <x:c r="W19" s="26"/>
      <x:c r="X19" s="19"/>
      <x:c r="Y19" s="26"/>
      <x:c r="Z19" s="19"/>
      <x:c r="AA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20"/>
      <x:c r="J20" s="19"/>
      <x:c r="K20" s="19"/>
      <x:c r="L20" s="92" t="str">
        <x:f>IF($A20="","",IF(COUNTIFS('Orders'!$C$2:$C$500,$A20,'Orders'!$M$2:$M$500,"&lt;&gt;cancelled")=0,"",MAXIFS('Orders'!$G$2:$G$500,'Orders'!$C$2:$C$500,$A20,'Orders'!$M$2:$M$500,"&lt;&gt;cancelled")))</x:f>
      </x:c>
      <x:c r="M20" s="96" t="str">
        <x:f>IF($A20="","",SUMIFS('Orders'!$K$2:$K$500,'Orders'!$C$2:$C$500,$A20,'Orders'!$M$2:$M$500,"&lt;&gt;cancelled"))</x:f>
      </x:c>
      <x:c r="N20" s="96" t="str">
        <x:f>IF($A20="","",COUNTIFS('Orders'!$C$2:$C$500,$A20,'Orders'!$M$2:$M$500,"&lt;&gt;cancelled"))</x:f>
      </x:c>
      <x:c r="O20" s="100" t="str">
        <x:f>IF($A20="","",IF(COUNTIF('Interactions'!$B$2:$B$500,$A20)=0,"",MAXIFS('Interactions'!$G$2:$G$500,'Interactions'!$B$2:$B$500,$A20)))</x:f>
      </x:c>
      <x:c r="P20" s="100" t="str">
        <x:f>IF($A20="","",IF(COUNTIFS('FollowUps'!$B$2:$B$500,$A20,'FollowUps'!$H$2:$H$500,"open")=0,"",MINIFS('FollowUps'!$E$2:$E$500,'FollowUps'!$B$2:$B$500,$A20,'FollowUps'!$H$2:$H$500,"open")))</x:f>
      </x:c>
      <x:c r="Q20" s="104" t="str">
        <x:f>IF($A20="","",ROUND(MIN(25,$N20/VALUE(INDEX('Settings'!$B$2:$B$100,MATCH("score_purchase_target",'Settings'!$A$2:$A$100,0)))*25)+MIN(25,$M20/VALUE(INDEX('Settings'!$B$2:$B$100,MATCH("score_value_target",'Settings'!$A$2:$A$100,0)))*25)+IF($L20="",0,MAX(0,25-(TODAY()-$L20)/VALUE(INDEX('Settings'!$B$2:$B$100,MATCH("score_recency_days",'Settings'!$A$2:$A$100,0)))*25))+MIN(15,COUNTIFS('FollowUps'!$B$2:$B$500,$A20,'FollowUps'!$H$2:$H$500,"done")/VALUE(INDEX('Settings'!$B$2:$B$100,MATCH("score_response_target",'Settings'!$A$2:$A$100,0)))*15)+IF(COUNTIFS('Interactions'!$B$2:$B$500,$A20,'Interactions'!$E$2:$E$500,"complaint")=0,10,0),0))</x:f>
      </x:c>
      <x:c r="R20" s="108" t="str">
        <x:f>IF($A20="","",IF($J20="inactive","inactive",IF($J20="at_risk","at_risk",IF($Q20&gt;=85,"vip",IF($Q20&gt;=70,"loyal",IF($Q20&gt;=50,"active",IF($N20=0,"new","needs_attention")))))))</x:f>
      </x:c>
      <x:c r="S20" s="19"/>
      <x:c r="T20" s="18"/>
      <x:c r="U20" s="19"/>
      <x:c r="V20" s="20"/>
      <x:c r="W20" s="26"/>
      <x:c r="X20" s="19"/>
      <x:c r="Y20" s="26"/>
      <x:c r="Z20" s="19"/>
      <x:c r="AA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20"/>
      <x:c r="J21" s="19"/>
      <x:c r="K21" s="19"/>
      <x:c r="L21" s="92" t="str">
        <x:f>IF($A21="","",IF(COUNTIFS('Orders'!$C$2:$C$500,$A21,'Orders'!$M$2:$M$500,"&lt;&gt;cancelled")=0,"",MAXIFS('Orders'!$G$2:$G$500,'Orders'!$C$2:$C$500,$A21,'Orders'!$M$2:$M$500,"&lt;&gt;cancelled")))</x:f>
      </x:c>
      <x:c r="M21" s="96" t="str">
        <x:f>IF($A21="","",SUMIFS('Orders'!$K$2:$K$500,'Orders'!$C$2:$C$500,$A21,'Orders'!$M$2:$M$500,"&lt;&gt;cancelled"))</x:f>
      </x:c>
      <x:c r="N21" s="96" t="str">
        <x:f>IF($A21="","",COUNTIFS('Orders'!$C$2:$C$500,$A21,'Orders'!$M$2:$M$500,"&lt;&gt;cancelled"))</x:f>
      </x:c>
      <x:c r="O21" s="100" t="str">
        <x:f>IF($A21="","",IF(COUNTIF('Interactions'!$B$2:$B$500,$A21)=0,"",MAXIFS('Interactions'!$G$2:$G$500,'Interactions'!$B$2:$B$500,$A21)))</x:f>
      </x:c>
      <x:c r="P21" s="100" t="str">
        <x:f>IF($A21="","",IF(COUNTIFS('FollowUps'!$B$2:$B$500,$A21,'FollowUps'!$H$2:$H$500,"open")=0,"",MINIFS('FollowUps'!$E$2:$E$500,'FollowUps'!$B$2:$B$500,$A21,'FollowUps'!$H$2:$H$500,"open")))</x:f>
      </x:c>
      <x:c r="Q21" s="104" t="str">
        <x:f>IF($A21="","",ROUND(MIN(25,$N21/VALUE(INDEX('Settings'!$B$2:$B$100,MATCH("score_purchase_target",'Settings'!$A$2:$A$100,0)))*25)+MIN(25,$M21/VALUE(INDEX('Settings'!$B$2:$B$100,MATCH("score_value_target",'Settings'!$A$2:$A$100,0)))*25)+IF($L21="",0,MAX(0,25-(TODAY()-$L21)/VALUE(INDEX('Settings'!$B$2:$B$100,MATCH("score_recency_days",'Settings'!$A$2:$A$100,0)))*25))+MIN(15,COUNTIFS('FollowUps'!$B$2:$B$500,$A21,'FollowUps'!$H$2:$H$500,"done")/VALUE(INDEX('Settings'!$B$2:$B$100,MATCH("score_response_target",'Settings'!$A$2:$A$100,0)))*15)+IF(COUNTIFS('Interactions'!$B$2:$B$500,$A21,'Interactions'!$E$2:$E$500,"complaint")=0,10,0),0))</x:f>
      </x:c>
      <x:c r="R21" s="108" t="str">
        <x:f>IF($A21="","",IF($J21="inactive","inactive",IF($J21="at_risk","at_risk",IF($Q21&gt;=85,"vip",IF($Q21&gt;=70,"loyal",IF($Q21&gt;=50,"active",IF($N21=0,"new","needs_attention")))))))</x:f>
      </x:c>
      <x:c r="S21" s="19"/>
      <x:c r="T21" s="18"/>
      <x:c r="U21" s="19"/>
      <x:c r="V21" s="20"/>
      <x:c r="W21" s="26"/>
      <x:c r="X21" s="19"/>
      <x:c r="Y21" s="26"/>
      <x:c r="Z21" s="19"/>
      <x:c r="AA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20"/>
      <x:c r="J22" s="19"/>
      <x:c r="K22" s="19"/>
      <x:c r="L22" s="92" t="str">
        <x:f>IF($A22="","",IF(COUNTIFS('Orders'!$C$2:$C$500,$A22,'Orders'!$M$2:$M$500,"&lt;&gt;cancelled")=0,"",MAXIFS('Orders'!$G$2:$G$500,'Orders'!$C$2:$C$500,$A22,'Orders'!$M$2:$M$500,"&lt;&gt;cancelled")))</x:f>
      </x:c>
      <x:c r="M22" s="96" t="str">
        <x:f>IF($A22="","",SUMIFS('Orders'!$K$2:$K$500,'Orders'!$C$2:$C$500,$A22,'Orders'!$M$2:$M$500,"&lt;&gt;cancelled"))</x:f>
      </x:c>
      <x:c r="N22" s="96" t="str">
        <x:f>IF($A22="","",COUNTIFS('Orders'!$C$2:$C$500,$A22,'Orders'!$M$2:$M$500,"&lt;&gt;cancelled"))</x:f>
      </x:c>
      <x:c r="O22" s="100" t="str">
        <x:f>IF($A22="","",IF(COUNTIF('Interactions'!$B$2:$B$500,$A22)=0,"",MAXIFS('Interactions'!$G$2:$G$500,'Interactions'!$B$2:$B$500,$A22)))</x:f>
      </x:c>
      <x:c r="P22" s="100" t="str">
        <x:f>IF($A22="","",IF(COUNTIFS('FollowUps'!$B$2:$B$500,$A22,'FollowUps'!$H$2:$H$500,"open")=0,"",MINIFS('FollowUps'!$E$2:$E$500,'FollowUps'!$B$2:$B$500,$A22,'FollowUps'!$H$2:$H$500,"open")))</x:f>
      </x:c>
      <x:c r="Q22" s="104" t="str">
        <x:f>IF($A22="","",ROUND(MIN(25,$N22/VALUE(INDEX('Settings'!$B$2:$B$100,MATCH("score_purchase_target",'Settings'!$A$2:$A$100,0)))*25)+MIN(25,$M22/VALUE(INDEX('Settings'!$B$2:$B$100,MATCH("score_value_target",'Settings'!$A$2:$A$100,0)))*25)+IF($L22="",0,MAX(0,25-(TODAY()-$L22)/VALUE(INDEX('Settings'!$B$2:$B$100,MATCH("score_recency_days",'Settings'!$A$2:$A$100,0)))*25))+MIN(15,COUNTIFS('FollowUps'!$B$2:$B$500,$A22,'FollowUps'!$H$2:$H$500,"done")/VALUE(INDEX('Settings'!$B$2:$B$100,MATCH("score_response_target",'Settings'!$A$2:$A$100,0)))*15)+IF(COUNTIFS('Interactions'!$B$2:$B$500,$A22,'Interactions'!$E$2:$E$500,"complaint")=0,10,0),0))</x:f>
      </x:c>
      <x:c r="R22" s="108" t="str">
        <x:f>IF($A22="","",IF($J22="inactive","inactive",IF($J22="at_risk","at_risk",IF($Q22&gt;=85,"vip",IF($Q22&gt;=70,"loyal",IF($Q22&gt;=50,"active",IF($N22=0,"new","needs_attention")))))))</x:f>
      </x:c>
      <x:c r="S22" s="19"/>
      <x:c r="T22" s="18"/>
      <x:c r="U22" s="19"/>
      <x:c r="V22" s="20"/>
      <x:c r="W22" s="26"/>
      <x:c r="X22" s="19"/>
      <x:c r="Y22" s="26"/>
      <x:c r="Z22" s="19"/>
      <x:c r="AA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20"/>
      <x:c r="J23" s="19"/>
      <x:c r="K23" s="19"/>
      <x:c r="L23" s="92" t="str">
        <x:f>IF($A23="","",IF(COUNTIFS('Orders'!$C$2:$C$500,$A23,'Orders'!$M$2:$M$500,"&lt;&gt;cancelled")=0,"",MAXIFS('Orders'!$G$2:$G$500,'Orders'!$C$2:$C$500,$A23,'Orders'!$M$2:$M$500,"&lt;&gt;cancelled")))</x:f>
      </x:c>
      <x:c r="M23" s="96" t="str">
        <x:f>IF($A23="","",SUMIFS('Orders'!$K$2:$K$500,'Orders'!$C$2:$C$500,$A23,'Orders'!$M$2:$M$500,"&lt;&gt;cancelled"))</x:f>
      </x:c>
      <x:c r="N23" s="96" t="str">
        <x:f>IF($A23="","",COUNTIFS('Orders'!$C$2:$C$500,$A23,'Orders'!$M$2:$M$500,"&lt;&gt;cancelled"))</x:f>
      </x:c>
      <x:c r="O23" s="100" t="str">
        <x:f>IF($A23="","",IF(COUNTIF('Interactions'!$B$2:$B$500,$A23)=0,"",MAXIFS('Interactions'!$G$2:$G$500,'Interactions'!$B$2:$B$500,$A23)))</x:f>
      </x:c>
      <x:c r="P23" s="100" t="str">
        <x:f>IF($A23="","",IF(COUNTIFS('FollowUps'!$B$2:$B$500,$A23,'FollowUps'!$H$2:$H$500,"open")=0,"",MINIFS('FollowUps'!$E$2:$E$500,'FollowUps'!$B$2:$B$500,$A23,'FollowUps'!$H$2:$H$500,"open")))</x:f>
      </x:c>
      <x:c r="Q23" s="104" t="str">
        <x:f>IF($A23="","",ROUND(MIN(25,$N23/VALUE(INDEX('Settings'!$B$2:$B$100,MATCH("score_purchase_target",'Settings'!$A$2:$A$100,0)))*25)+MIN(25,$M23/VALUE(INDEX('Settings'!$B$2:$B$100,MATCH("score_value_target",'Settings'!$A$2:$A$100,0)))*25)+IF($L23="",0,MAX(0,25-(TODAY()-$L23)/VALUE(INDEX('Settings'!$B$2:$B$100,MATCH("score_recency_days",'Settings'!$A$2:$A$100,0)))*25))+MIN(15,COUNTIFS('FollowUps'!$B$2:$B$500,$A23,'FollowUps'!$H$2:$H$500,"done")/VALUE(INDEX('Settings'!$B$2:$B$100,MATCH("score_response_target",'Settings'!$A$2:$A$100,0)))*15)+IF(COUNTIFS('Interactions'!$B$2:$B$500,$A23,'Interactions'!$E$2:$E$500,"complaint")=0,10,0),0))</x:f>
      </x:c>
      <x:c r="R23" s="108" t="str">
        <x:f>IF($A23="","",IF($J23="inactive","inactive",IF($J23="at_risk","at_risk",IF($Q23&gt;=85,"vip",IF($Q23&gt;=70,"loyal",IF($Q23&gt;=50,"active",IF($N23=0,"new","needs_attention")))))))</x:f>
      </x:c>
      <x:c r="S23" s="19"/>
      <x:c r="T23" s="18"/>
      <x:c r="U23" s="19"/>
      <x:c r="V23" s="20"/>
      <x:c r="W23" s="26"/>
      <x:c r="X23" s="19"/>
      <x:c r="Y23" s="26"/>
      <x:c r="Z23" s="19"/>
      <x:c r="AA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20"/>
      <x:c r="J24" s="19"/>
      <x:c r="K24" s="19"/>
      <x:c r="L24" s="92" t="str">
        <x:f>IF($A24="","",IF(COUNTIFS('Orders'!$C$2:$C$500,$A24,'Orders'!$M$2:$M$500,"&lt;&gt;cancelled")=0,"",MAXIFS('Orders'!$G$2:$G$500,'Orders'!$C$2:$C$500,$A24,'Orders'!$M$2:$M$500,"&lt;&gt;cancelled")))</x:f>
      </x:c>
      <x:c r="M24" s="96" t="str">
        <x:f>IF($A24="","",SUMIFS('Orders'!$K$2:$K$500,'Orders'!$C$2:$C$500,$A24,'Orders'!$M$2:$M$500,"&lt;&gt;cancelled"))</x:f>
      </x:c>
      <x:c r="N24" s="96" t="str">
        <x:f>IF($A24="","",COUNTIFS('Orders'!$C$2:$C$500,$A24,'Orders'!$M$2:$M$500,"&lt;&gt;cancelled"))</x:f>
      </x:c>
      <x:c r="O24" s="100" t="str">
        <x:f>IF($A24="","",IF(COUNTIF('Interactions'!$B$2:$B$500,$A24)=0,"",MAXIFS('Interactions'!$G$2:$G$500,'Interactions'!$B$2:$B$500,$A24)))</x:f>
      </x:c>
      <x:c r="P24" s="100" t="str">
        <x:f>IF($A24="","",IF(COUNTIFS('FollowUps'!$B$2:$B$500,$A24,'FollowUps'!$H$2:$H$500,"open")=0,"",MINIFS('FollowUps'!$E$2:$E$500,'FollowUps'!$B$2:$B$500,$A24,'FollowUps'!$H$2:$H$500,"open")))</x:f>
      </x:c>
      <x:c r="Q24" s="104" t="str">
        <x:f>IF($A24="","",ROUND(MIN(25,$N24/VALUE(INDEX('Settings'!$B$2:$B$100,MATCH("score_purchase_target",'Settings'!$A$2:$A$100,0)))*25)+MIN(25,$M24/VALUE(INDEX('Settings'!$B$2:$B$100,MATCH("score_value_target",'Settings'!$A$2:$A$100,0)))*25)+IF($L24="",0,MAX(0,25-(TODAY()-$L24)/VALUE(INDEX('Settings'!$B$2:$B$100,MATCH("score_recency_days",'Settings'!$A$2:$A$100,0)))*25))+MIN(15,COUNTIFS('FollowUps'!$B$2:$B$500,$A24,'FollowUps'!$H$2:$H$500,"done")/VALUE(INDEX('Settings'!$B$2:$B$100,MATCH("score_response_target",'Settings'!$A$2:$A$100,0)))*15)+IF(COUNTIFS('Interactions'!$B$2:$B$500,$A24,'Interactions'!$E$2:$E$500,"complaint")=0,10,0),0))</x:f>
      </x:c>
      <x:c r="R24" s="108" t="str">
        <x:f>IF($A24="","",IF($J24="inactive","inactive",IF($J24="at_risk","at_risk",IF($Q24&gt;=85,"vip",IF($Q24&gt;=70,"loyal",IF($Q24&gt;=50,"active",IF($N24=0,"new","needs_attention")))))))</x:f>
      </x:c>
      <x:c r="S24" s="19"/>
      <x:c r="T24" s="18"/>
      <x:c r="U24" s="19"/>
      <x:c r="V24" s="20"/>
      <x:c r="W24" s="26"/>
      <x:c r="X24" s="19"/>
      <x:c r="Y24" s="26"/>
      <x:c r="Z24" s="19"/>
      <x:c r="AA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20"/>
      <x:c r="J25" s="19"/>
      <x:c r="K25" s="19"/>
      <x:c r="L25" s="92" t="str">
        <x:f>IF($A25="","",IF(COUNTIFS('Orders'!$C$2:$C$500,$A25,'Orders'!$M$2:$M$500,"&lt;&gt;cancelled")=0,"",MAXIFS('Orders'!$G$2:$G$500,'Orders'!$C$2:$C$500,$A25,'Orders'!$M$2:$M$500,"&lt;&gt;cancelled")))</x:f>
      </x:c>
      <x:c r="M25" s="96" t="str">
        <x:f>IF($A25="","",SUMIFS('Orders'!$K$2:$K$500,'Orders'!$C$2:$C$500,$A25,'Orders'!$M$2:$M$500,"&lt;&gt;cancelled"))</x:f>
      </x:c>
      <x:c r="N25" s="96" t="str">
        <x:f>IF($A25="","",COUNTIFS('Orders'!$C$2:$C$500,$A25,'Orders'!$M$2:$M$500,"&lt;&gt;cancelled"))</x:f>
      </x:c>
      <x:c r="O25" s="100" t="str">
        <x:f>IF($A25="","",IF(COUNTIF('Interactions'!$B$2:$B$500,$A25)=0,"",MAXIFS('Interactions'!$G$2:$G$500,'Interactions'!$B$2:$B$500,$A25)))</x:f>
      </x:c>
      <x:c r="P25" s="100" t="str">
        <x:f>IF($A25="","",IF(COUNTIFS('FollowUps'!$B$2:$B$500,$A25,'FollowUps'!$H$2:$H$500,"open")=0,"",MINIFS('FollowUps'!$E$2:$E$500,'FollowUps'!$B$2:$B$500,$A25,'FollowUps'!$H$2:$H$500,"open")))</x:f>
      </x:c>
      <x:c r="Q25" s="104" t="str">
        <x:f>IF($A25="","",ROUND(MIN(25,$N25/VALUE(INDEX('Settings'!$B$2:$B$100,MATCH("score_purchase_target",'Settings'!$A$2:$A$100,0)))*25)+MIN(25,$M25/VALUE(INDEX('Settings'!$B$2:$B$100,MATCH("score_value_target",'Settings'!$A$2:$A$100,0)))*25)+IF($L25="",0,MAX(0,25-(TODAY()-$L25)/VALUE(INDEX('Settings'!$B$2:$B$100,MATCH("score_recency_days",'Settings'!$A$2:$A$100,0)))*25))+MIN(15,COUNTIFS('FollowUps'!$B$2:$B$500,$A25,'FollowUps'!$H$2:$H$500,"done")/VALUE(INDEX('Settings'!$B$2:$B$100,MATCH("score_response_target",'Settings'!$A$2:$A$100,0)))*15)+IF(COUNTIFS('Interactions'!$B$2:$B$500,$A25,'Interactions'!$E$2:$E$500,"complaint")=0,10,0),0))</x:f>
      </x:c>
      <x:c r="R25" s="108" t="str">
        <x:f>IF($A25="","",IF($J25="inactive","inactive",IF($J25="at_risk","at_risk",IF($Q25&gt;=85,"vip",IF($Q25&gt;=70,"loyal",IF($Q25&gt;=50,"active",IF($N25=0,"new","needs_attention")))))))</x:f>
      </x:c>
      <x:c r="S25" s="19"/>
      <x:c r="T25" s="18"/>
      <x:c r="U25" s="19"/>
      <x:c r="V25" s="20"/>
      <x:c r="W25" s="26"/>
      <x:c r="X25" s="19"/>
      <x:c r="Y25" s="26"/>
      <x:c r="Z25" s="19"/>
      <x:c r="AA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20"/>
      <x:c r="J26" s="19"/>
      <x:c r="K26" s="19"/>
      <x:c r="L26" s="92" t="str">
        <x:f>IF($A26="","",IF(COUNTIFS('Orders'!$C$2:$C$500,$A26,'Orders'!$M$2:$M$500,"&lt;&gt;cancelled")=0,"",MAXIFS('Orders'!$G$2:$G$500,'Orders'!$C$2:$C$500,$A26,'Orders'!$M$2:$M$500,"&lt;&gt;cancelled")))</x:f>
      </x:c>
      <x:c r="M26" s="96" t="str">
        <x:f>IF($A26="","",SUMIFS('Orders'!$K$2:$K$500,'Orders'!$C$2:$C$500,$A26,'Orders'!$M$2:$M$500,"&lt;&gt;cancelled"))</x:f>
      </x:c>
      <x:c r="N26" s="96" t="str">
        <x:f>IF($A26="","",COUNTIFS('Orders'!$C$2:$C$500,$A26,'Orders'!$M$2:$M$500,"&lt;&gt;cancelled"))</x:f>
      </x:c>
      <x:c r="O26" s="100" t="str">
        <x:f>IF($A26="","",IF(COUNTIF('Interactions'!$B$2:$B$500,$A26)=0,"",MAXIFS('Interactions'!$G$2:$G$500,'Interactions'!$B$2:$B$500,$A26)))</x:f>
      </x:c>
      <x:c r="P26" s="100" t="str">
        <x:f>IF($A26="","",IF(COUNTIFS('FollowUps'!$B$2:$B$500,$A26,'FollowUps'!$H$2:$H$500,"open")=0,"",MINIFS('FollowUps'!$E$2:$E$500,'FollowUps'!$B$2:$B$500,$A26,'FollowUps'!$H$2:$H$500,"open")))</x:f>
      </x:c>
      <x:c r="Q26" s="104" t="str">
        <x:f>IF($A26="","",ROUND(MIN(25,$N26/VALUE(INDEX('Settings'!$B$2:$B$100,MATCH("score_purchase_target",'Settings'!$A$2:$A$100,0)))*25)+MIN(25,$M26/VALUE(INDEX('Settings'!$B$2:$B$100,MATCH("score_value_target",'Settings'!$A$2:$A$100,0)))*25)+IF($L26="",0,MAX(0,25-(TODAY()-$L26)/VALUE(INDEX('Settings'!$B$2:$B$100,MATCH("score_recency_days",'Settings'!$A$2:$A$100,0)))*25))+MIN(15,COUNTIFS('FollowUps'!$B$2:$B$500,$A26,'FollowUps'!$H$2:$H$500,"done")/VALUE(INDEX('Settings'!$B$2:$B$100,MATCH("score_response_target",'Settings'!$A$2:$A$100,0)))*15)+IF(COUNTIFS('Interactions'!$B$2:$B$500,$A26,'Interactions'!$E$2:$E$500,"complaint")=0,10,0),0))</x:f>
      </x:c>
      <x:c r="R26" s="108" t="str">
        <x:f>IF($A26="","",IF($J26="inactive","inactive",IF($J26="at_risk","at_risk",IF($Q26&gt;=85,"vip",IF($Q26&gt;=70,"loyal",IF($Q26&gt;=50,"active",IF($N26=0,"new","needs_attention")))))))</x:f>
      </x:c>
      <x:c r="S26" s="19"/>
      <x:c r="T26" s="18"/>
      <x:c r="U26" s="19"/>
      <x:c r="V26" s="20"/>
      <x:c r="W26" s="26"/>
      <x:c r="X26" s="19"/>
      <x:c r="Y26" s="26"/>
      <x:c r="Z26" s="19"/>
      <x:c r="AA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20"/>
      <x:c r="J27" s="19"/>
      <x:c r="K27" s="19"/>
      <x:c r="L27" s="92" t="str">
        <x:f>IF($A27="","",IF(COUNTIFS('Orders'!$C$2:$C$500,$A27,'Orders'!$M$2:$M$500,"&lt;&gt;cancelled")=0,"",MAXIFS('Orders'!$G$2:$G$500,'Orders'!$C$2:$C$500,$A27,'Orders'!$M$2:$M$500,"&lt;&gt;cancelled")))</x:f>
      </x:c>
      <x:c r="M27" s="96" t="str">
        <x:f>IF($A27="","",SUMIFS('Orders'!$K$2:$K$500,'Orders'!$C$2:$C$500,$A27,'Orders'!$M$2:$M$500,"&lt;&gt;cancelled"))</x:f>
      </x:c>
      <x:c r="N27" s="96" t="str">
        <x:f>IF($A27="","",COUNTIFS('Orders'!$C$2:$C$500,$A27,'Orders'!$M$2:$M$500,"&lt;&gt;cancelled"))</x:f>
      </x:c>
      <x:c r="O27" s="100" t="str">
        <x:f>IF($A27="","",IF(COUNTIF('Interactions'!$B$2:$B$500,$A27)=0,"",MAXIFS('Interactions'!$G$2:$G$500,'Interactions'!$B$2:$B$500,$A27)))</x:f>
      </x:c>
      <x:c r="P27" s="100" t="str">
        <x:f>IF($A27="","",IF(COUNTIFS('FollowUps'!$B$2:$B$500,$A27,'FollowUps'!$H$2:$H$500,"open")=0,"",MINIFS('FollowUps'!$E$2:$E$500,'FollowUps'!$B$2:$B$500,$A27,'FollowUps'!$H$2:$H$500,"open")))</x:f>
      </x:c>
      <x:c r="Q27" s="104" t="str">
        <x:f>IF($A27="","",ROUND(MIN(25,$N27/VALUE(INDEX('Settings'!$B$2:$B$100,MATCH("score_purchase_target",'Settings'!$A$2:$A$100,0)))*25)+MIN(25,$M27/VALUE(INDEX('Settings'!$B$2:$B$100,MATCH("score_value_target",'Settings'!$A$2:$A$100,0)))*25)+IF($L27="",0,MAX(0,25-(TODAY()-$L27)/VALUE(INDEX('Settings'!$B$2:$B$100,MATCH("score_recency_days",'Settings'!$A$2:$A$100,0)))*25))+MIN(15,COUNTIFS('FollowUps'!$B$2:$B$500,$A27,'FollowUps'!$H$2:$H$500,"done")/VALUE(INDEX('Settings'!$B$2:$B$100,MATCH("score_response_target",'Settings'!$A$2:$A$100,0)))*15)+IF(COUNTIFS('Interactions'!$B$2:$B$500,$A27,'Interactions'!$E$2:$E$500,"complaint")=0,10,0),0))</x:f>
      </x:c>
      <x:c r="R27" s="108" t="str">
        <x:f>IF($A27="","",IF($J27="inactive","inactive",IF($J27="at_risk","at_risk",IF($Q27&gt;=85,"vip",IF($Q27&gt;=70,"loyal",IF($Q27&gt;=50,"active",IF($N27=0,"new","needs_attention")))))))</x:f>
      </x:c>
      <x:c r="S27" s="19"/>
      <x:c r="T27" s="18"/>
      <x:c r="U27" s="19"/>
      <x:c r="V27" s="20"/>
      <x:c r="W27" s="26"/>
      <x:c r="X27" s="19"/>
      <x:c r="Y27" s="26"/>
      <x:c r="Z27" s="19"/>
      <x:c r="AA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20"/>
      <x:c r="J28" s="19"/>
      <x:c r="K28" s="19"/>
      <x:c r="L28" s="92" t="str">
        <x:f>IF($A28="","",IF(COUNTIFS('Orders'!$C$2:$C$500,$A28,'Orders'!$M$2:$M$500,"&lt;&gt;cancelled")=0,"",MAXIFS('Orders'!$G$2:$G$500,'Orders'!$C$2:$C$500,$A28,'Orders'!$M$2:$M$500,"&lt;&gt;cancelled")))</x:f>
      </x:c>
      <x:c r="M28" s="96" t="str">
        <x:f>IF($A28="","",SUMIFS('Orders'!$K$2:$K$500,'Orders'!$C$2:$C$500,$A28,'Orders'!$M$2:$M$500,"&lt;&gt;cancelled"))</x:f>
      </x:c>
      <x:c r="N28" s="96" t="str">
        <x:f>IF($A28="","",COUNTIFS('Orders'!$C$2:$C$500,$A28,'Orders'!$M$2:$M$500,"&lt;&gt;cancelled"))</x:f>
      </x:c>
      <x:c r="O28" s="100" t="str">
        <x:f>IF($A28="","",IF(COUNTIF('Interactions'!$B$2:$B$500,$A28)=0,"",MAXIFS('Interactions'!$G$2:$G$500,'Interactions'!$B$2:$B$500,$A28)))</x:f>
      </x:c>
      <x:c r="P28" s="100" t="str">
        <x:f>IF($A28="","",IF(COUNTIFS('FollowUps'!$B$2:$B$500,$A28,'FollowUps'!$H$2:$H$500,"open")=0,"",MINIFS('FollowUps'!$E$2:$E$500,'FollowUps'!$B$2:$B$500,$A28,'FollowUps'!$H$2:$H$500,"open")))</x:f>
      </x:c>
      <x:c r="Q28" s="104" t="str">
        <x:f>IF($A28="","",ROUND(MIN(25,$N28/VALUE(INDEX('Settings'!$B$2:$B$100,MATCH("score_purchase_target",'Settings'!$A$2:$A$100,0)))*25)+MIN(25,$M28/VALUE(INDEX('Settings'!$B$2:$B$100,MATCH("score_value_target",'Settings'!$A$2:$A$100,0)))*25)+IF($L28="",0,MAX(0,25-(TODAY()-$L28)/VALUE(INDEX('Settings'!$B$2:$B$100,MATCH("score_recency_days",'Settings'!$A$2:$A$100,0)))*25))+MIN(15,COUNTIFS('FollowUps'!$B$2:$B$500,$A28,'FollowUps'!$H$2:$H$500,"done")/VALUE(INDEX('Settings'!$B$2:$B$100,MATCH("score_response_target",'Settings'!$A$2:$A$100,0)))*15)+IF(COUNTIFS('Interactions'!$B$2:$B$500,$A28,'Interactions'!$E$2:$E$500,"complaint")=0,10,0),0))</x:f>
      </x:c>
      <x:c r="R28" s="108" t="str">
        <x:f>IF($A28="","",IF($J28="inactive","inactive",IF($J28="at_risk","at_risk",IF($Q28&gt;=85,"vip",IF($Q28&gt;=70,"loyal",IF($Q28&gt;=50,"active",IF($N28=0,"new","needs_attention")))))))</x:f>
      </x:c>
      <x:c r="S28" s="19"/>
      <x:c r="T28" s="18"/>
      <x:c r="U28" s="19"/>
      <x:c r="V28" s="20"/>
      <x:c r="W28" s="26"/>
      <x:c r="X28" s="19"/>
      <x:c r="Y28" s="26"/>
      <x:c r="Z28" s="19"/>
      <x:c r="AA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20"/>
      <x:c r="J29" s="19"/>
      <x:c r="K29" s="19"/>
      <x:c r="L29" s="92" t="str">
        <x:f>IF($A29="","",IF(COUNTIFS('Orders'!$C$2:$C$500,$A29,'Orders'!$M$2:$M$500,"&lt;&gt;cancelled")=0,"",MAXIFS('Orders'!$G$2:$G$500,'Orders'!$C$2:$C$500,$A29,'Orders'!$M$2:$M$500,"&lt;&gt;cancelled")))</x:f>
      </x:c>
      <x:c r="M29" s="96" t="str">
        <x:f>IF($A29="","",SUMIFS('Orders'!$K$2:$K$500,'Orders'!$C$2:$C$500,$A29,'Orders'!$M$2:$M$500,"&lt;&gt;cancelled"))</x:f>
      </x:c>
      <x:c r="N29" s="96" t="str">
        <x:f>IF($A29="","",COUNTIFS('Orders'!$C$2:$C$500,$A29,'Orders'!$M$2:$M$500,"&lt;&gt;cancelled"))</x:f>
      </x:c>
      <x:c r="O29" s="100" t="str">
        <x:f>IF($A29="","",IF(COUNTIF('Interactions'!$B$2:$B$500,$A29)=0,"",MAXIFS('Interactions'!$G$2:$G$500,'Interactions'!$B$2:$B$500,$A29)))</x:f>
      </x:c>
      <x:c r="P29" s="100" t="str">
        <x:f>IF($A29="","",IF(COUNTIFS('FollowUps'!$B$2:$B$500,$A29,'FollowUps'!$H$2:$H$500,"open")=0,"",MINIFS('FollowUps'!$E$2:$E$500,'FollowUps'!$B$2:$B$500,$A29,'FollowUps'!$H$2:$H$500,"open")))</x:f>
      </x:c>
      <x:c r="Q29" s="104" t="str">
        <x:f>IF($A29="","",ROUND(MIN(25,$N29/VALUE(INDEX('Settings'!$B$2:$B$100,MATCH("score_purchase_target",'Settings'!$A$2:$A$100,0)))*25)+MIN(25,$M29/VALUE(INDEX('Settings'!$B$2:$B$100,MATCH("score_value_target",'Settings'!$A$2:$A$100,0)))*25)+IF($L29="",0,MAX(0,25-(TODAY()-$L29)/VALUE(INDEX('Settings'!$B$2:$B$100,MATCH("score_recency_days",'Settings'!$A$2:$A$100,0)))*25))+MIN(15,COUNTIFS('FollowUps'!$B$2:$B$500,$A29,'FollowUps'!$H$2:$H$500,"done")/VALUE(INDEX('Settings'!$B$2:$B$100,MATCH("score_response_target",'Settings'!$A$2:$A$100,0)))*15)+IF(COUNTIFS('Interactions'!$B$2:$B$500,$A29,'Interactions'!$E$2:$E$500,"complaint")=0,10,0),0))</x:f>
      </x:c>
      <x:c r="R29" s="108" t="str">
        <x:f>IF($A29="","",IF($J29="inactive","inactive",IF($J29="at_risk","at_risk",IF($Q29&gt;=85,"vip",IF($Q29&gt;=70,"loyal",IF($Q29&gt;=50,"active",IF($N29=0,"new","needs_attention")))))))</x:f>
      </x:c>
      <x:c r="S29" s="19"/>
      <x:c r="T29" s="18"/>
      <x:c r="U29" s="19"/>
      <x:c r="V29" s="20"/>
      <x:c r="W29" s="26"/>
      <x:c r="X29" s="19"/>
      <x:c r="Y29" s="26"/>
      <x:c r="Z29" s="19"/>
      <x:c r="AA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20"/>
      <x:c r="J30" s="19"/>
      <x:c r="K30" s="19"/>
      <x:c r="L30" s="92" t="str">
        <x:f>IF($A30="","",IF(COUNTIFS('Orders'!$C$2:$C$500,$A30,'Orders'!$M$2:$M$500,"&lt;&gt;cancelled")=0,"",MAXIFS('Orders'!$G$2:$G$500,'Orders'!$C$2:$C$500,$A30,'Orders'!$M$2:$M$500,"&lt;&gt;cancelled")))</x:f>
      </x:c>
      <x:c r="M30" s="96" t="str">
        <x:f>IF($A30="","",SUMIFS('Orders'!$K$2:$K$500,'Orders'!$C$2:$C$500,$A30,'Orders'!$M$2:$M$500,"&lt;&gt;cancelled"))</x:f>
      </x:c>
      <x:c r="N30" s="96" t="str">
        <x:f>IF($A30="","",COUNTIFS('Orders'!$C$2:$C$500,$A30,'Orders'!$M$2:$M$500,"&lt;&gt;cancelled"))</x:f>
      </x:c>
      <x:c r="O30" s="100" t="str">
        <x:f>IF($A30="","",IF(COUNTIF('Interactions'!$B$2:$B$500,$A30)=0,"",MAXIFS('Interactions'!$G$2:$G$500,'Interactions'!$B$2:$B$500,$A30)))</x:f>
      </x:c>
      <x:c r="P30" s="100" t="str">
        <x:f>IF($A30="","",IF(COUNTIFS('FollowUps'!$B$2:$B$500,$A30,'FollowUps'!$H$2:$H$500,"open")=0,"",MINIFS('FollowUps'!$E$2:$E$500,'FollowUps'!$B$2:$B$500,$A30,'FollowUps'!$H$2:$H$500,"open")))</x:f>
      </x:c>
      <x:c r="Q30" s="104" t="str">
        <x:f>IF($A30="","",ROUND(MIN(25,$N30/VALUE(INDEX('Settings'!$B$2:$B$100,MATCH("score_purchase_target",'Settings'!$A$2:$A$100,0)))*25)+MIN(25,$M30/VALUE(INDEX('Settings'!$B$2:$B$100,MATCH("score_value_target",'Settings'!$A$2:$A$100,0)))*25)+IF($L30="",0,MAX(0,25-(TODAY()-$L30)/VALUE(INDEX('Settings'!$B$2:$B$100,MATCH("score_recency_days",'Settings'!$A$2:$A$100,0)))*25))+MIN(15,COUNTIFS('FollowUps'!$B$2:$B$500,$A30,'FollowUps'!$H$2:$H$500,"done")/VALUE(INDEX('Settings'!$B$2:$B$100,MATCH("score_response_target",'Settings'!$A$2:$A$100,0)))*15)+IF(COUNTIFS('Interactions'!$B$2:$B$500,$A30,'Interactions'!$E$2:$E$500,"complaint")=0,10,0),0))</x:f>
      </x:c>
      <x:c r="R30" s="108" t="str">
        <x:f>IF($A30="","",IF($J30="inactive","inactive",IF($J30="at_risk","at_risk",IF($Q30&gt;=85,"vip",IF($Q30&gt;=70,"loyal",IF($Q30&gt;=50,"active",IF($N30=0,"new","needs_attention")))))))</x:f>
      </x:c>
      <x:c r="S30" s="19"/>
      <x:c r="T30" s="18"/>
      <x:c r="U30" s="19"/>
      <x:c r="V30" s="20"/>
      <x:c r="W30" s="26"/>
      <x:c r="X30" s="19"/>
      <x:c r="Y30" s="26"/>
      <x:c r="Z30" s="19"/>
      <x:c r="AA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20"/>
      <x:c r="J31" s="19"/>
      <x:c r="K31" s="19"/>
      <x:c r="L31" s="92" t="str">
        <x:f>IF($A31="","",IF(COUNTIFS('Orders'!$C$2:$C$500,$A31,'Orders'!$M$2:$M$500,"&lt;&gt;cancelled")=0,"",MAXIFS('Orders'!$G$2:$G$500,'Orders'!$C$2:$C$500,$A31,'Orders'!$M$2:$M$500,"&lt;&gt;cancelled")))</x:f>
      </x:c>
      <x:c r="M31" s="96" t="str">
        <x:f>IF($A31="","",SUMIFS('Orders'!$K$2:$K$500,'Orders'!$C$2:$C$500,$A31,'Orders'!$M$2:$M$500,"&lt;&gt;cancelled"))</x:f>
      </x:c>
      <x:c r="N31" s="96" t="str">
        <x:f>IF($A31="","",COUNTIFS('Orders'!$C$2:$C$500,$A31,'Orders'!$M$2:$M$500,"&lt;&gt;cancelled"))</x:f>
      </x:c>
      <x:c r="O31" s="100" t="str">
        <x:f>IF($A31="","",IF(COUNTIF('Interactions'!$B$2:$B$500,$A31)=0,"",MAXIFS('Interactions'!$G$2:$G$500,'Interactions'!$B$2:$B$500,$A31)))</x:f>
      </x:c>
      <x:c r="P31" s="100" t="str">
        <x:f>IF($A31="","",IF(COUNTIFS('FollowUps'!$B$2:$B$500,$A31,'FollowUps'!$H$2:$H$500,"open")=0,"",MINIFS('FollowUps'!$E$2:$E$500,'FollowUps'!$B$2:$B$500,$A31,'FollowUps'!$H$2:$H$500,"open")))</x:f>
      </x:c>
      <x:c r="Q31" s="104" t="str">
        <x:f>IF($A31="","",ROUND(MIN(25,$N31/VALUE(INDEX('Settings'!$B$2:$B$100,MATCH("score_purchase_target",'Settings'!$A$2:$A$100,0)))*25)+MIN(25,$M31/VALUE(INDEX('Settings'!$B$2:$B$100,MATCH("score_value_target",'Settings'!$A$2:$A$100,0)))*25)+IF($L31="",0,MAX(0,25-(TODAY()-$L31)/VALUE(INDEX('Settings'!$B$2:$B$100,MATCH("score_recency_days",'Settings'!$A$2:$A$100,0)))*25))+MIN(15,COUNTIFS('FollowUps'!$B$2:$B$500,$A31,'FollowUps'!$H$2:$H$500,"done")/VALUE(INDEX('Settings'!$B$2:$B$100,MATCH("score_response_target",'Settings'!$A$2:$A$100,0)))*15)+IF(COUNTIFS('Interactions'!$B$2:$B$500,$A31,'Interactions'!$E$2:$E$500,"complaint")=0,10,0),0))</x:f>
      </x:c>
      <x:c r="R31" s="108" t="str">
        <x:f>IF($A31="","",IF($J31="inactive","inactive",IF($J31="at_risk","at_risk",IF($Q31&gt;=85,"vip",IF($Q31&gt;=70,"loyal",IF($Q31&gt;=50,"active",IF($N31=0,"new","needs_attention")))))))</x:f>
      </x:c>
      <x:c r="S31" s="19"/>
      <x:c r="T31" s="18"/>
      <x:c r="U31" s="19"/>
      <x:c r="V31" s="20"/>
      <x:c r="W31" s="26"/>
      <x:c r="X31" s="19"/>
      <x:c r="Y31" s="26"/>
      <x:c r="Z31" s="19"/>
      <x:c r="AA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20"/>
      <x:c r="J32" s="19"/>
      <x:c r="K32" s="19"/>
      <x:c r="L32" s="92" t="str">
        <x:f>IF($A32="","",IF(COUNTIFS('Orders'!$C$2:$C$500,$A32,'Orders'!$M$2:$M$500,"&lt;&gt;cancelled")=0,"",MAXIFS('Orders'!$G$2:$G$500,'Orders'!$C$2:$C$500,$A32,'Orders'!$M$2:$M$500,"&lt;&gt;cancelled")))</x:f>
      </x:c>
      <x:c r="M32" s="96" t="str">
        <x:f>IF($A32="","",SUMIFS('Orders'!$K$2:$K$500,'Orders'!$C$2:$C$500,$A32,'Orders'!$M$2:$M$500,"&lt;&gt;cancelled"))</x:f>
      </x:c>
      <x:c r="N32" s="96" t="str">
        <x:f>IF($A32="","",COUNTIFS('Orders'!$C$2:$C$500,$A32,'Orders'!$M$2:$M$500,"&lt;&gt;cancelled"))</x:f>
      </x:c>
      <x:c r="O32" s="100" t="str">
        <x:f>IF($A32="","",IF(COUNTIF('Interactions'!$B$2:$B$500,$A32)=0,"",MAXIFS('Interactions'!$G$2:$G$500,'Interactions'!$B$2:$B$500,$A32)))</x:f>
      </x:c>
      <x:c r="P32" s="100" t="str">
        <x:f>IF($A32="","",IF(COUNTIFS('FollowUps'!$B$2:$B$500,$A32,'FollowUps'!$H$2:$H$500,"open")=0,"",MINIFS('FollowUps'!$E$2:$E$500,'FollowUps'!$B$2:$B$500,$A32,'FollowUps'!$H$2:$H$500,"open")))</x:f>
      </x:c>
      <x:c r="Q32" s="104" t="str">
        <x:f>IF($A32="","",ROUND(MIN(25,$N32/VALUE(INDEX('Settings'!$B$2:$B$100,MATCH("score_purchase_target",'Settings'!$A$2:$A$100,0)))*25)+MIN(25,$M32/VALUE(INDEX('Settings'!$B$2:$B$100,MATCH("score_value_target",'Settings'!$A$2:$A$100,0)))*25)+IF($L32="",0,MAX(0,25-(TODAY()-$L32)/VALUE(INDEX('Settings'!$B$2:$B$100,MATCH("score_recency_days",'Settings'!$A$2:$A$100,0)))*25))+MIN(15,COUNTIFS('FollowUps'!$B$2:$B$500,$A32,'FollowUps'!$H$2:$H$500,"done")/VALUE(INDEX('Settings'!$B$2:$B$100,MATCH("score_response_target",'Settings'!$A$2:$A$100,0)))*15)+IF(COUNTIFS('Interactions'!$B$2:$B$500,$A32,'Interactions'!$E$2:$E$500,"complaint")=0,10,0),0))</x:f>
      </x:c>
      <x:c r="R32" s="108" t="str">
        <x:f>IF($A32="","",IF($J32="inactive","inactive",IF($J32="at_risk","at_risk",IF($Q32&gt;=85,"vip",IF($Q32&gt;=70,"loyal",IF($Q32&gt;=50,"active",IF($N32=0,"new","needs_attention")))))))</x:f>
      </x:c>
      <x:c r="S32" s="19"/>
      <x:c r="T32" s="18"/>
      <x:c r="U32" s="19"/>
      <x:c r="V32" s="20"/>
      <x:c r="W32" s="26"/>
      <x:c r="X32" s="19"/>
      <x:c r="Y32" s="26"/>
      <x:c r="Z32" s="19"/>
      <x:c r="AA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20"/>
      <x:c r="J33" s="19"/>
      <x:c r="K33" s="19"/>
      <x:c r="L33" s="92" t="str">
        <x:f>IF($A33="","",IF(COUNTIFS('Orders'!$C$2:$C$500,$A33,'Orders'!$M$2:$M$500,"&lt;&gt;cancelled")=0,"",MAXIFS('Orders'!$G$2:$G$500,'Orders'!$C$2:$C$500,$A33,'Orders'!$M$2:$M$500,"&lt;&gt;cancelled")))</x:f>
      </x:c>
      <x:c r="M33" s="96" t="str">
        <x:f>IF($A33="","",SUMIFS('Orders'!$K$2:$K$500,'Orders'!$C$2:$C$500,$A33,'Orders'!$M$2:$M$500,"&lt;&gt;cancelled"))</x:f>
      </x:c>
      <x:c r="N33" s="96" t="str">
        <x:f>IF($A33="","",COUNTIFS('Orders'!$C$2:$C$500,$A33,'Orders'!$M$2:$M$500,"&lt;&gt;cancelled"))</x:f>
      </x:c>
      <x:c r="O33" s="100" t="str">
        <x:f>IF($A33="","",IF(COUNTIF('Interactions'!$B$2:$B$500,$A33)=0,"",MAXIFS('Interactions'!$G$2:$G$500,'Interactions'!$B$2:$B$500,$A33)))</x:f>
      </x:c>
      <x:c r="P33" s="100" t="str">
        <x:f>IF($A33="","",IF(COUNTIFS('FollowUps'!$B$2:$B$500,$A33,'FollowUps'!$H$2:$H$500,"open")=0,"",MINIFS('FollowUps'!$E$2:$E$500,'FollowUps'!$B$2:$B$500,$A33,'FollowUps'!$H$2:$H$500,"open")))</x:f>
      </x:c>
      <x:c r="Q33" s="104" t="str">
        <x:f>IF($A33="","",ROUND(MIN(25,$N33/VALUE(INDEX('Settings'!$B$2:$B$100,MATCH("score_purchase_target",'Settings'!$A$2:$A$100,0)))*25)+MIN(25,$M33/VALUE(INDEX('Settings'!$B$2:$B$100,MATCH("score_value_target",'Settings'!$A$2:$A$100,0)))*25)+IF($L33="",0,MAX(0,25-(TODAY()-$L33)/VALUE(INDEX('Settings'!$B$2:$B$100,MATCH("score_recency_days",'Settings'!$A$2:$A$100,0)))*25))+MIN(15,COUNTIFS('FollowUps'!$B$2:$B$500,$A33,'FollowUps'!$H$2:$H$500,"done")/VALUE(INDEX('Settings'!$B$2:$B$100,MATCH("score_response_target",'Settings'!$A$2:$A$100,0)))*15)+IF(COUNTIFS('Interactions'!$B$2:$B$500,$A33,'Interactions'!$E$2:$E$500,"complaint")=0,10,0),0))</x:f>
      </x:c>
      <x:c r="R33" s="108" t="str">
        <x:f>IF($A33="","",IF($J33="inactive","inactive",IF($J33="at_risk","at_risk",IF($Q33&gt;=85,"vip",IF($Q33&gt;=70,"loyal",IF($Q33&gt;=50,"active",IF($N33=0,"new","needs_attention")))))))</x:f>
      </x:c>
      <x:c r="S33" s="19"/>
      <x:c r="T33" s="18"/>
      <x:c r="U33" s="19"/>
      <x:c r="V33" s="20"/>
      <x:c r="W33" s="26"/>
      <x:c r="X33" s="19"/>
      <x:c r="Y33" s="26"/>
      <x:c r="Z33" s="19"/>
      <x:c r="AA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20"/>
      <x:c r="J34" s="19"/>
      <x:c r="K34" s="19"/>
      <x:c r="L34" s="92" t="str">
        <x:f>IF($A34="","",IF(COUNTIFS('Orders'!$C$2:$C$500,$A34,'Orders'!$M$2:$M$500,"&lt;&gt;cancelled")=0,"",MAXIFS('Orders'!$G$2:$G$500,'Orders'!$C$2:$C$500,$A34,'Orders'!$M$2:$M$500,"&lt;&gt;cancelled")))</x:f>
      </x:c>
      <x:c r="M34" s="96" t="str">
        <x:f>IF($A34="","",SUMIFS('Orders'!$K$2:$K$500,'Orders'!$C$2:$C$500,$A34,'Orders'!$M$2:$M$500,"&lt;&gt;cancelled"))</x:f>
      </x:c>
      <x:c r="N34" s="96" t="str">
        <x:f>IF($A34="","",COUNTIFS('Orders'!$C$2:$C$500,$A34,'Orders'!$M$2:$M$500,"&lt;&gt;cancelled"))</x:f>
      </x:c>
      <x:c r="O34" s="100" t="str">
        <x:f>IF($A34="","",IF(COUNTIF('Interactions'!$B$2:$B$500,$A34)=0,"",MAXIFS('Interactions'!$G$2:$G$500,'Interactions'!$B$2:$B$500,$A34)))</x:f>
      </x:c>
      <x:c r="P34" s="100" t="str">
        <x:f>IF($A34="","",IF(COUNTIFS('FollowUps'!$B$2:$B$500,$A34,'FollowUps'!$H$2:$H$500,"open")=0,"",MINIFS('FollowUps'!$E$2:$E$500,'FollowUps'!$B$2:$B$500,$A34,'FollowUps'!$H$2:$H$500,"open")))</x:f>
      </x:c>
      <x:c r="Q34" s="104" t="str">
        <x:f>IF($A34="","",ROUND(MIN(25,$N34/VALUE(INDEX('Settings'!$B$2:$B$100,MATCH("score_purchase_target",'Settings'!$A$2:$A$100,0)))*25)+MIN(25,$M34/VALUE(INDEX('Settings'!$B$2:$B$100,MATCH("score_value_target",'Settings'!$A$2:$A$100,0)))*25)+IF($L34="",0,MAX(0,25-(TODAY()-$L34)/VALUE(INDEX('Settings'!$B$2:$B$100,MATCH("score_recency_days",'Settings'!$A$2:$A$100,0)))*25))+MIN(15,COUNTIFS('FollowUps'!$B$2:$B$500,$A34,'FollowUps'!$H$2:$H$500,"done")/VALUE(INDEX('Settings'!$B$2:$B$100,MATCH("score_response_target",'Settings'!$A$2:$A$100,0)))*15)+IF(COUNTIFS('Interactions'!$B$2:$B$500,$A34,'Interactions'!$E$2:$E$500,"complaint")=0,10,0),0))</x:f>
      </x:c>
      <x:c r="R34" s="108" t="str">
        <x:f>IF($A34="","",IF($J34="inactive","inactive",IF($J34="at_risk","at_risk",IF($Q34&gt;=85,"vip",IF($Q34&gt;=70,"loyal",IF($Q34&gt;=50,"active",IF($N34=0,"new","needs_attention")))))))</x:f>
      </x:c>
      <x:c r="S34" s="19"/>
      <x:c r="T34" s="18"/>
      <x:c r="U34" s="19"/>
      <x:c r="V34" s="20"/>
      <x:c r="W34" s="26"/>
      <x:c r="X34" s="19"/>
      <x:c r="Y34" s="26"/>
      <x:c r="Z34" s="19"/>
      <x:c r="AA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20"/>
      <x:c r="J35" s="19"/>
      <x:c r="K35" s="19"/>
      <x:c r="L35" s="92" t="str">
        <x:f>IF($A35="","",IF(COUNTIFS('Orders'!$C$2:$C$500,$A35,'Orders'!$M$2:$M$500,"&lt;&gt;cancelled")=0,"",MAXIFS('Orders'!$G$2:$G$500,'Orders'!$C$2:$C$500,$A35,'Orders'!$M$2:$M$500,"&lt;&gt;cancelled")))</x:f>
      </x:c>
      <x:c r="M35" s="96" t="str">
        <x:f>IF($A35="","",SUMIFS('Orders'!$K$2:$K$500,'Orders'!$C$2:$C$500,$A35,'Orders'!$M$2:$M$500,"&lt;&gt;cancelled"))</x:f>
      </x:c>
      <x:c r="N35" s="96" t="str">
        <x:f>IF($A35="","",COUNTIFS('Orders'!$C$2:$C$500,$A35,'Orders'!$M$2:$M$500,"&lt;&gt;cancelled"))</x:f>
      </x:c>
      <x:c r="O35" s="100" t="str">
        <x:f>IF($A35="","",IF(COUNTIF('Interactions'!$B$2:$B$500,$A35)=0,"",MAXIFS('Interactions'!$G$2:$G$500,'Interactions'!$B$2:$B$500,$A35)))</x:f>
      </x:c>
      <x:c r="P35" s="100" t="str">
        <x:f>IF($A35="","",IF(COUNTIFS('FollowUps'!$B$2:$B$500,$A35,'FollowUps'!$H$2:$H$500,"open")=0,"",MINIFS('FollowUps'!$E$2:$E$500,'FollowUps'!$B$2:$B$500,$A35,'FollowUps'!$H$2:$H$500,"open")))</x:f>
      </x:c>
      <x:c r="Q35" s="104" t="str">
        <x:f>IF($A35="","",ROUND(MIN(25,$N35/VALUE(INDEX('Settings'!$B$2:$B$100,MATCH("score_purchase_target",'Settings'!$A$2:$A$100,0)))*25)+MIN(25,$M35/VALUE(INDEX('Settings'!$B$2:$B$100,MATCH("score_value_target",'Settings'!$A$2:$A$100,0)))*25)+IF($L35="",0,MAX(0,25-(TODAY()-$L35)/VALUE(INDEX('Settings'!$B$2:$B$100,MATCH("score_recency_days",'Settings'!$A$2:$A$100,0)))*25))+MIN(15,COUNTIFS('FollowUps'!$B$2:$B$500,$A35,'FollowUps'!$H$2:$H$500,"done")/VALUE(INDEX('Settings'!$B$2:$B$100,MATCH("score_response_target",'Settings'!$A$2:$A$100,0)))*15)+IF(COUNTIFS('Interactions'!$B$2:$B$500,$A35,'Interactions'!$E$2:$E$500,"complaint")=0,10,0),0))</x:f>
      </x:c>
      <x:c r="R35" s="108" t="str">
        <x:f>IF($A35="","",IF($J35="inactive","inactive",IF($J35="at_risk","at_risk",IF($Q35&gt;=85,"vip",IF($Q35&gt;=70,"loyal",IF($Q35&gt;=50,"active",IF($N35=0,"new","needs_attention")))))))</x:f>
      </x:c>
      <x:c r="S35" s="19"/>
      <x:c r="T35" s="18"/>
      <x:c r="U35" s="19"/>
      <x:c r="V35" s="20"/>
      <x:c r="W35" s="26"/>
      <x:c r="X35" s="19"/>
      <x:c r="Y35" s="26"/>
      <x:c r="Z35" s="19"/>
      <x:c r="AA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20"/>
      <x:c r="J36" s="19"/>
      <x:c r="K36" s="19"/>
      <x:c r="L36" s="92" t="str">
        <x:f>IF($A36="","",IF(COUNTIFS('Orders'!$C$2:$C$500,$A36,'Orders'!$M$2:$M$500,"&lt;&gt;cancelled")=0,"",MAXIFS('Orders'!$G$2:$G$500,'Orders'!$C$2:$C$500,$A36,'Orders'!$M$2:$M$500,"&lt;&gt;cancelled")))</x:f>
      </x:c>
      <x:c r="M36" s="96" t="str">
        <x:f>IF($A36="","",SUMIFS('Orders'!$K$2:$K$500,'Orders'!$C$2:$C$500,$A36,'Orders'!$M$2:$M$500,"&lt;&gt;cancelled"))</x:f>
      </x:c>
      <x:c r="N36" s="96" t="str">
        <x:f>IF($A36="","",COUNTIFS('Orders'!$C$2:$C$500,$A36,'Orders'!$M$2:$M$500,"&lt;&gt;cancelled"))</x:f>
      </x:c>
      <x:c r="O36" s="100" t="str">
        <x:f>IF($A36="","",IF(COUNTIF('Interactions'!$B$2:$B$500,$A36)=0,"",MAXIFS('Interactions'!$G$2:$G$500,'Interactions'!$B$2:$B$500,$A36)))</x:f>
      </x:c>
      <x:c r="P36" s="100" t="str">
        <x:f>IF($A36="","",IF(COUNTIFS('FollowUps'!$B$2:$B$500,$A36,'FollowUps'!$H$2:$H$500,"open")=0,"",MINIFS('FollowUps'!$E$2:$E$500,'FollowUps'!$B$2:$B$500,$A36,'FollowUps'!$H$2:$H$500,"open")))</x:f>
      </x:c>
      <x:c r="Q36" s="104" t="str">
        <x:f>IF($A36="","",ROUND(MIN(25,$N36/VALUE(INDEX('Settings'!$B$2:$B$100,MATCH("score_purchase_target",'Settings'!$A$2:$A$100,0)))*25)+MIN(25,$M36/VALUE(INDEX('Settings'!$B$2:$B$100,MATCH("score_value_target",'Settings'!$A$2:$A$100,0)))*25)+IF($L36="",0,MAX(0,25-(TODAY()-$L36)/VALUE(INDEX('Settings'!$B$2:$B$100,MATCH("score_recency_days",'Settings'!$A$2:$A$100,0)))*25))+MIN(15,COUNTIFS('FollowUps'!$B$2:$B$500,$A36,'FollowUps'!$H$2:$H$500,"done")/VALUE(INDEX('Settings'!$B$2:$B$100,MATCH("score_response_target",'Settings'!$A$2:$A$100,0)))*15)+IF(COUNTIFS('Interactions'!$B$2:$B$500,$A36,'Interactions'!$E$2:$E$500,"complaint")=0,10,0),0))</x:f>
      </x:c>
      <x:c r="R36" s="108" t="str">
        <x:f>IF($A36="","",IF($J36="inactive","inactive",IF($J36="at_risk","at_risk",IF($Q36&gt;=85,"vip",IF($Q36&gt;=70,"loyal",IF($Q36&gt;=50,"active",IF($N36=0,"new","needs_attention")))))))</x:f>
      </x:c>
      <x:c r="S36" s="19"/>
      <x:c r="T36" s="18"/>
      <x:c r="U36" s="19"/>
      <x:c r="V36" s="20"/>
      <x:c r="W36" s="26"/>
      <x:c r="X36" s="19"/>
      <x:c r="Y36" s="26"/>
      <x:c r="Z36" s="19"/>
      <x:c r="AA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20"/>
      <x:c r="J37" s="19"/>
      <x:c r="K37" s="19"/>
      <x:c r="L37" s="92" t="str">
        <x:f>IF($A37="","",IF(COUNTIFS('Orders'!$C$2:$C$500,$A37,'Orders'!$M$2:$M$500,"&lt;&gt;cancelled")=0,"",MAXIFS('Orders'!$G$2:$G$500,'Orders'!$C$2:$C$500,$A37,'Orders'!$M$2:$M$500,"&lt;&gt;cancelled")))</x:f>
      </x:c>
      <x:c r="M37" s="96" t="str">
        <x:f>IF($A37="","",SUMIFS('Orders'!$K$2:$K$500,'Orders'!$C$2:$C$500,$A37,'Orders'!$M$2:$M$500,"&lt;&gt;cancelled"))</x:f>
      </x:c>
      <x:c r="N37" s="96" t="str">
        <x:f>IF($A37="","",COUNTIFS('Orders'!$C$2:$C$500,$A37,'Orders'!$M$2:$M$500,"&lt;&gt;cancelled"))</x:f>
      </x:c>
      <x:c r="O37" s="100" t="str">
        <x:f>IF($A37="","",IF(COUNTIF('Interactions'!$B$2:$B$500,$A37)=0,"",MAXIFS('Interactions'!$G$2:$G$500,'Interactions'!$B$2:$B$500,$A37)))</x:f>
      </x:c>
      <x:c r="P37" s="100" t="str">
        <x:f>IF($A37="","",IF(COUNTIFS('FollowUps'!$B$2:$B$500,$A37,'FollowUps'!$H$2:$H$500,"open")=0,"",MINIFS('FollowUps'!$E$2:$E$500,'FollowUps'!$B$2:$B$500,$A37,'FollowUps'!$H$2:$H$500,"open")))</x:f>
      </x:c>
      <x:c r="Q37" s="104" t="str">
        <x:f>IF($A37="","",ROUND(MIN(25,$N37/VALUE(INDEX('Settings'!$B$2:$B$100,MATCH("score_purchase_target",'Settings'!$A$2:$A$100,0)))*25)+MIN(25,$M37/VALUE(INDEX('Settings'!$B$2:$B$100,MATCH("score_value_target",'Settings'!$A$2:$A$100,0)))*25)+IF($L37="",0,MAX(0,25-(TODAY()-$L37)/VALUE(INDEX('Settings'!$B$2:$B$100,MATCH("score_recency_days",'Settings'!$A$2:$A$100,0)))*25))+MIN(15,COUNTIFS('FollowUps'!$B$2:$B$500,$A37,'FollowUps'!$H$2:$H$500,"done")/VALUE(INDEX('Settings'!$B$2:$B$100,MATCH("score_response_target",'Settings'!$A$2:$A$100,0)))*15)+IF(COUNTIFS('Interactions'!$B$2:$B$500,$A37,'Interactions'!$E$2:$E$500,"complaint")=0,10,0),0))</x:f>
      </x:c>
      <x:c r="R37" s="108" t="str">
        <x:f>IF($A37="","",IF($J37="inactive","inactive",IF($J37="at_risk","at_risk",IF($Q37&gt;=85,"vip",IF($Q37&gt;=70,"loyal",IF($Q37&gt;=50,"active",IF($N37=0,"new","needs_attention")))))))</x:f>
      </x:c>
      <x:c r="S37" s="19"/>
      <x:c r="T37" s="18"/>
      <x:c r="U37" s="19"/>
      <x:c r="V37" s="20"/>
      <x:c r="W37" s="26"/>
      <x:c r="X37" s="19"/>
      <x:c r="Y37" s="26"/>
      <x:c r="Z37" s="19"/>
      <x:c r="AA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20"/>
      <x:c r="J38" s="19"/>
      <x:c r="K38" s="19"/>
      <x:c r="L38" s="92" t="str">
        <x:f>IF($A38="","",IF(COUNTIFS('Orders'!$C$2:$C$500,$A38,'Orders'!$M$2:$M$500,"&lt;&gt;cancelled")=0,"",MAXIFS('Orders'!$G$2:$G$500,'Orders'!$C$2:$C$500,$A38,'Orders'!$M$2:$M$500,"&lt;&gt;cancelled")))</x:f>
      </x:c>
      <x:c r="M38" s="96" t="str">
        <x:f>IF($A38="","",SUMIFS('Orders'!$K$2:$K$500,'Orders'!$C$2:$C$500,$A38,'Orders'!$M$2:$M$500,"&lt;&gt;cancelled"))</x:f>
      </x:c>
      <x:c r="N38" s="96" t="str">
        <x:f>IF($A38="","",COUNTIFS('Orders'!$C$2:$C$500,$A38,'Orders'!$M$2:$M$500,"&lt;&gt;cancelled"))</x:f>
      </x:c>
      <x:c r="O38" s="100" t="str">
        <x:f>IF($A38="","",IF(COUNTIF('Interactions'!$B$2:$B$500,$A38)=0,"",MAXIFS('Interactions'!$G$2:$G$500,'Interactions'!$B$2:$B$500,$A38)))</x:f>
      </x:c>
      <x:c r="P38" s="100" t="str">
        <x:f>IF($A38="","",IF(COUNTIFS('FollowUps'!$B$2:$B$500,$A38,'FollowUps'!$H$2:$H$500,"open")=0,"",MINIFS('FollowUps'!$E$2:$E$500,'FollowUps'!$B$2:$B$500,$A38,'FollowUps'!$H$2:$H$500,"open")))</x:f>
      </x:c>
      <x:c r="Q38" s="104" t="str">
        <x:f>IF($A38="","",ROUND(MIN(25,$N38/VALUE(INDEX('Settings'!$B$2:$B$100,MATCH("score_purchase_target",'Settings'!$A$2:$A$100,0)))*25)+MIN(25,$M38/VALUE(INDEX('Settings'!$B$2:$B$100,MATCH("score_value_target",'Settings'!$A$2:$A$100,0)))*25)+IF($L38="",0,MAX(0,25-(TODAY()-$L38)/VALUE(INDEX('Settings'!$B$2:$B$100,MATCH("score_recency_days",'Settings'!$A$2:$A$100,0)))*25))+MIN(15,COUNTIFS('FollowUps'!$B$2:$B$500,$A38,'FollowUps'!$H$2:$H$500,"done")/VALUE(INDEX('Settings'!$B$2:$B$100,MATCH("score_response_target",'Settings'!$A$2:$A$100,0)))*15)+IF(COUNTIFS('Interactions'!$B$2:$B$500,$A38,'Interactions'!$E$2:$E$500,"complaint")=0,10,0),0))</x:f>
      </x:c>
      <x:c r="R38" s="108" t="str">
        <x:f>IF($A38="","",IF($J38="inactive","inactive",IF($J38="at_risk","at_risk",IF($Q38&gt;=85,"vip",IF($Q38&gt;=70,"loyal",IF($Q38&gt;=50,"active",IF($N38=0,"new","needs_attention")))))))</x:f>
      </x:c>
      <x:c r="S38" s="19"/>
      <x:c r="T38" s="18"/>
      <x:c r="U38" s="19"/>
      <x:c r="V38" s="20"/>
      <x:c r="W38" s="26"/>
      <x:c r="X38" s="19"/>
      <x:c r="Y38" s="26"/>
      <x:c r="Z38" s="19"/>
      <x:c r="AA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20"/>
      <x:c r="J39" s="19"/>
      <x:c r="K39" s="19"/>
      <x:c r="L39" s="92" t="str">
        <x:f>IF($A39="","",IF(COUNTIFS('Orders'!$C$2:$C$500,$A39,'Orders'!$M$2:$M$500,"&lt;&gt;cancelled")=0,"",MAXIFS('Orders'!$G$2:$G$500,'Orders'!$C$2:$C$500,$A39,'Orders'!$M$2:$M$500,"&lt;&gt;cancelled")))</x:f>
      </x:c>
      <x:c r="M39" s="96" t="str">
        <x:f>IF($A39="","",SUMIFS('Orders'!$K$2:$K$500,'Orders'!$C$2:$C$500,$A39,'Orders'!$M$2:$M$500,"&lt;&gt;cancelled"))</x:f>
      </x:c>
      <x:c r="N39" s="96" t="str">
        <x:f>IF($A39="","",COUNTIFS('Orders'!$C$2:$C$500,$A39,'Orders'!$M$2:$M$500,"&lt;&gt;cancelled"))</x:f>
      </x:c>
      <x:c r="O39" s="100" t="str">
        <x:f>IF($A39="","",IF(COUNTIF('Interactions'!$B$2:$B$500,$A39)=0,"",MAXIFS('Interactions'!$G$2:$G$500,'Interactions'!$B$2:$B$500,$A39)))</x:f>
      </x:c>
      <x:c r="P39" s="100" t="str">
        <x:f>IF($A39="","",IF(COUNTIFS('FollowUps'!$B$2:$B$500,$A39,'FollowUps'!$H$2:$H$500,"open")=0,"",MINIFS('FollowUps'!$E$2:$E$500,'FollowUps'!$B$2:$B$500,$A39,'FollowUps'!$H$2:$H$500,"open")))</x:f>
      </x:c>
      <x:c r="Q39" s="104" t="str">
        <x:f>IF($A39="","",ROUND(MIN(25,$N39/VALUE(INDEX('Settings'!$B$2:$B$100,MATCH("score_purchase_target",'Settings'!$A$2:$A$100,0)))*25)+MIN(25,$M39/VALUE(INDEX('Settings'!$B$2:$B$100,MATCH("score_value_target",'Settings'!$A$2:$A$100,0)))*25)+IF($L39="",0,MAX(0,25-(TODAY()-$L39)/VALUE(INDEX('Settings'!$B$2:$B$100,MATCH("score_recency_days",'Settings'!$A$2:$A$100,0)))*25))+MIN(15,COUNTIFS('FollowUps'!$B$2:$B$500,$A39,'FollowUps'!$H$2:$H$500,"done")/VALUE(INDEX('Settings'!$B$2:$B$100,MATCH("score_response_target",'Settings'!$A$2:$A$100,0)))*15)+IF(COUNTIFS('Interactions'!$B$2:$B$500,$A39,'Interactions'!$E$2:$E$500,"complaint")=0,10,0),0))</x:f>
      </x:c>
      <x:c r="R39" s="108" t="str">
        <x:f>IF($A39="","",IF($J39="inactive","inactive",IF($J39="at_risk","at_risk",IF($Q39&gt;=85,"vip",IF($Q39&gt;=70,"loyal",IF($Q39&gt;=50,"active",IF($N39=0,"new","needs_attention")))))))</x:f>
      </x:c>
      <x:c r="S39" s="19"/>
      <x:c r="T39" s="18"/>
      <x:c r="U39" s="19"/>
      <x:c r="V39" s="20"/>
      <x:c r="W39" s="26"/>
      <x:c r="X39" s="19"/>
      <x:c r="Y39" s="26"/>
      <x:c r="Z39" s="19"/>
      <x:c r="AA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20"/>
      <x:c r="J40" s="19"/>
      <x:c r="K40" s="19"/>
      <x:c r="L40" s="92" t="str">
        <x:f>IF($A40="","",IF(COUNTIFS('Orders'!$C$2:$C$500,$A40,'Orders'!$M$2:$M$500,"&lt;&gt;cancelled")=0,"",MAXIFS('Orders'!$G$2:$G$500,'Orders'!$C$2:$C$500,$A40,'Orders'!$M$2:$M$500,"&lt;&gt;cancelled")))</x:f>
      </x:c>
      <x:c r="M40" s="96" t="str">
        <x:f>IF($A40="","",SUMIFS('Orders'!$K$2:$K$500,'Orders'!$C$2:$C$500,$A40,'Orders'!$M$2:$M$500,"&lt;&gt;cancelled"))</x:f>
      </x:c>
      <x:c r="N40" s="96" t="str">
        <x:f>IF($A40="","",COUNTIFS('Orders'!$C$2:$C$500,$A40,'Orders'!$M$2:$M$500,"&lt;&gt;cancelled"))</x:f>
      </x:c>
      <x:c r="O40" s="100" t="str">
        <x:f>IF($A40="","",IF(COUNTIF('Interactions'!$B$2:$B$500,$A40)=0,"",MAXIFS('Interactions'!$G$2:$G$500,'Interactions'!$B$2:$B$500,$A40)))</x:f>
      </x:c>
      <x:c r="P40" s="100" t="str">
        <x:f>IF($A40="","",IF(COUNTIFS('FollowUps'!$B$2:$B$500,$A40,'FollowUps'!$H$2:$H$500,"open")=0,"",MINIFS('FollowUps'!$E$2:$E$500,'FollowUps'!$B$2:$B$500,$A40,'FollowUps'!$H$2:$H$500,"open")))</x:f>
      </x:c>
      <x:c r="Q40" s="104" t="str">
        <x:f>IF($A40="","",ROUND(MIN(25,$N40/VALUE(INDEX('Settings'!$B$2:$B$100,MATCH("score_purchase_target",'Settings'!$A$2:$A$100,0)))*25)+MIN(25,$M40/VALUE(INDEX('Settings'!$B$2:$B$100,MATCH("score_value_target",'Settings'!$A$2:$A$100,0)))*25)+IF($L40="",0,MAX(0,25-(TODAY()-$L40)/VALUE(INDEX('Settings'!$B$2:$B$100,MATCH("score_recency_days",'Settings'!$A$2:$A$100,0)))*25))+MIN(15,COUNTIFS('FollowUps'!$B$2:$B$500,$A40,'FollowUps'!$H$2:$H$500,"done")/VALUE(INDEX('Settings'!$B$2:$B$100,MATCH("score_response_target",'Settings'!$A$2:$A$100,0)))*15)+IF(COUNTIFS('Interactions'!$B$2:$B$500,$A40,'Interactions'!$E$2:$E$500,"complaint")=0,10,0),0))</x:f>
      </x:c>
      <x:c r="R40" s="108" t="str">
        <x:f>IF($A40="","",IF($J40="inactive","inactive",IF($J40="at_risk","at_risk",IF($Q40&gt;=85,"vip",IF($Q40&gt;=70,"loyal",IF($Q40&gt;=50,"active",IF($N40=0,"new","needs_attention")))))))</x:f>
      </x:c>
      <x:c r="S40" s="19"/>
      <x:c r="T40" s="18"/>
      <x:c r="U40" s="19"/>
      <x:c r="V40" s="20"/>
      <x:c r="W40" s="26"/>
      <x:c r="X40" s="19"/>
      <x:c r="Y40" s="26"/>
      <x:c r="Z40" s="19"/>
      <x:c r="AA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20"/>
      <x:c r="J41" s="19"/>
      <x:c r="K41" s="19"/>
      <x:c r="L41" s="92" t="str">
        <x:f>IF($A41="","",IF(COUNTIFS('Orders'!$C$2:$C$500,$A41,'Orders'!$M$2:$M$500,"&lt;&gt;cancelled")=0,"",MAXIFS('Orders'!$G$2:$G$500,'Orders'!$C$2:$C$500,$A41,'Orders'!$M$2:$M$500,"&lt;&gt;cancelled")))</x:f>
      </x:c>
      <x:c r="M41" s="96" t="str">
        <x:f>IF($A41="","",SUMIFS('Orders'!$K$2:$K$500,'Orders'!$C$2:$C$500,$A41,'Orders'!$M$2:$M$500,"&lt;&gt;cancelled"))</x:f>
      </x:c>
      <x:c r="N41" s="96" t="str">
        <x:f>IF($A41="","",COUNTIFS('Orders'!$C$2:$C$500,$A41,'Orders'!$M$2:$M$500,"&lt;&gt;cancelled"))</x:f>
      </x:c>
      <x:c r="O41" s="100" t="str">
        <x:f>IF($A41="","",IF(COUNTIF('Interactions'!$B$2:$B$500,$A41)=0,"",MAXIFS('Interactions'!$G$2:$G$500,'Interactions'!$B$2:$B$500,$A41)))</x:f>
      </x:c>
      <x:c r="P41" s="100" t="str">
        <x:f>IF($A41="","",IF(COUNTIFS('FollowUps'!$B$2:$B$500,$A41,'FollowUps'!$H$2:$H$500,"open")=0,"",MINIFS('FollowUps'!$E$2:$E$500,'FollowUps'!$B$2:$B$500,$A41,'FollowUps'!$H$2:$H$500,"open")))</x:f>
      </x:c>
      <x:c r="Q41" s="104" t="str">
        <x:f>IF($A41="","",ROUND(MIN(25,$N41/VALUE(INDEX('Settings'!$B$2:$B$100,MATCH("score_purchase_target",'Settings'!$A$2:$A$100,0)))*25)+MIN(25,$M41/VALUE(INDEX('Settings'!$B$2:$B$100,MATCH("score_value_target",'Settings'!$A$2:$A$100,0)))*25)+IF($L41="",0,MAX(0,25-(TODAY()-$L41)/VALUE(INDEX('Settings'!$B$2:$B$100,MATCH("score_recency_days",'Settings'!$A$2:$A$100,0)))*25))+MIN(15,COUNTIFS('FollowUps'!$B$2:$B$500,$A41,'FollowUps'!$H$2:$H$500,"done")/VALUE(INDEX('Settings'!$B$2:$B$100,MATCH("score_response_target",'Settings'!$A$2:$A$100,0)))*15)+IF(COUNTIFS('Interactions'!$B$2:$B$500,$A41,'Interactions'!$E$2:$E$500,"complaint")=0,10,0),0))</x:f>
      </x:c>
      <x:c r="R41" s="108" t="str">
        <x:f>IF($A41="","",IF($J41="inactive","inactive",IF($J41="at_risk","at_risk",IF($Q41&gt;=85,"vip",IF($Q41&gt;=70,"loyal",IF($Q41&gt;=50,"active",IF($N41=0,"new","needs_attention")))))))</x:f>
      </x:c>
      <x:c r="S41" s="19"/>
      <x:c r="T41" s="18"/>
      <x:c r="U41" s="19"/>
      <x:c r="V41" s="20"/>
      <x:c r="W41" s="26"/>
      <x:c r="X41" s="19"/>
      <x:c r="Y41" s="26"/>
      <x:c r="Z41" s="19"/>
      <x:c r="AA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20"/>
      <x:c r="J42" s="19"/>
      <x:c r="K42" s="19"/>
      <x:c r="L42" s="92" t="str">
        <x:f>IF($A42="","",IF(COUNTIFS('Orders'!$C$2:$C$500,$A42,'Orders'!$M$2:$M$500,"&lt;&gt;cancelled")=0,"",MAXIFS('Orders'!$G$2:$G$500,'Orders'!$C$2:$C$500,$A42,'Orders'!$M$2:$M$500,"&lt;&gt;cancelled")))</x:f>
      </x:c>
      <x:c r="M42" s="96" t="str">
        <x:f>IF($A42="","",SUMIFS('Orders'!$K$2:$K$500,'Orders'!$C$2:$C$500,$A42,'Orders'!$M$2:$M$500,"&lt;&gt;cancelled"))</x:f>
      </x:c>
      <x:c r="N42" s="96" t="str">
        <x:f>IF($A42="","",COUNTIFS('Orders'!$C$2:$C$500,$A42,'Orders'!$M$2:$M$500,"&lt;&gt;cancelled"))</x:f>
      </x:c>
      <x:c r="O42" s="100" t="str">
        <x:f>IF($A42="","",IF(COUNTIF('Interactions'!$B$2:$B$500,$A42)=0,"",MAXIFS('Interactions'!$G$2:$G$500,'Interactions'!$B$2:$B$500,$A42)))</x:f>
      </x:c>
      <x:c r="P42" s="100" t="str">
        <x:f>IF($A42="","",IF(COUNTIFS('FollowUps'!$B$2:$B$500,$A42,'FollowUps'!$H$2:$H$500,"open")=0,"",MINIFS('FollowUps'!$E$2:$E$500,'FollowUps'!$B$2:$B$500,$A42,'FollowUps'!$H$2:$H$500,"open")))</x:f>
      </x:c>
      <x:c r="Q42" s="104" t="str">
        <x:f>IF($A42="","",ROUND(MIN(25,$N42/VALUE(INDEX('Settings'!$B$2:$B$100,MATCH("score_purchase_target",'Settings'!$A$2:$A$100,0)))*25)+MIN(25,$M42/VALUE(INDEX('Settings'!$B$2:$B$100,MATCH("score_value_target",'Settings'!$A$2:$A$100,0)))*25)+IF($L42="",0,MAX(0,25-(TODAY()-$L42)/VALUE(INDEX('Settings'!$B$2:$B$100,MATCH("score_recency_days",'Settings'!$A$2:$A$100,0)))*25))+MIN(15,COUNTIFS('FollowUps'!$B$2:$B$500,$A42,'FollowUps'!$H$2:$H$500,"done")/VALUE(INDEX('Settings'!$B$2:$B$100,MATCH("score_response_target",'Settings'!$A$2:$A$100,0)))*15)+IF(COUNTIFS('Interactions'!$B$2:$B$500,$A42,'Interactions'!$E$2:$E$500,"complaint")=0,10,0),0))</x:f>
      </x:c>
      <x:c r="R42" s="108" t="str">
        <x:f>IF($A42="","",IF($J42="inactive","inactive",IF($J42="at_risk","at_risk",IF($Q42&gt;=85,"vip",IF($Q42&gt;=70,"loyal",IF($Q42&gt;=50,"active",IF($N42=0,"new","needs_attention")))))))</x:f>
      </x:c>
      <x:c r="S42" s="19"/>
      <x:c r="T42" s="18"/>
      <x:c r="U42" s="19"/>
      <x:c r="V42" s="20"/>
      <x:c r="W42" s="26"/>
      <x:c r="X42" s="19"/>
      <x:c r="Y42" s="26"/>
      <x:c r="Z42" s="19"/>
      <x:c r="AA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20"/>
      <x:c r="J43" s="19"/>
      <x:c r="K43" s="19"/>
      <x:c r="L43" s="92" t="str">
        <x:f>IF($A43="","",IF(COUNTIFS('Orders'!$C$2:$C$500,$A43,'Orders'!$M$2:$M$500,"&lt;&gt;cancelled")=0,"",MAXIFS('Orders'!$G$2:$G$500,'Orders'!$C$2:$C$500,$A43,'Orders'!$M$2:$M$500,"&lt;&gt;cancelled")))</x:f>
      </x:c>
      <x:c r="M43" s="96" t="str">
        <x:f>IF($A43="","",SUMIFS('Orders'!$K$2:$K$500,'Orders'!$C$2:$C$500,$A43,'Orders'!$M$2:$M$500,"&lt;&gt;cancelled"))</x:f>
      </x:c>
      <x:c r="N43" s="96" t="str">
        <x:f>IF($A43="","",COUNTIFS('Orders'!$C$2:$C$500,$A43,'Orders'!$M$2:$M$500,"&lt;&gt;cancelled"))</x:f>
      </x:c>
      <x:c r="O43" s="100" t="str">
        <x:f>IF($A43="","",IF(COUNTIF('Interactions'!$B$2:$B$500,$A43)=0,"",MAXIFS('Interactions'!$G$2:$G$500,'Interactions'!$B$2:$B$500,$A43)))</x:f>
      </x:c>
      <x:c r="P43" s="100" t="str">
        <x:f>IF($A43="","",IF(COUNTIFS('FollowUps'!$B$2:$B$500,$A43,'FollowUps'!$H$2:$H$500,"open")=0,"",MINIFS('FollowUps'!$E$2:$E$500,'FollowUps'!$B$2:$B$500,$A43,'FollowUps'!$H$2:$H$500,"open")))</x:f>
      </x:c>
      <x:c r="Q43" s="104" t="str">
        <x:f>IF($A43="","",ROUND(MIN(25,$N43/VALUE(INDEX('Settings'!$B$2:$B$100,MATCH("score_purchase_target",'Settings'!$A$2:$A$100,0)))*25)+MIN(25,$M43/VALUE(INDEX('Settings'!$B$2:$B$100,MATCH("score_value_target",'Settings'!$A$2:$A$100,0)))*25)+IF($L43="",0,MAX(0,25-(TODAY()-$L43)/VALUE(INDEX('Settings'!$B$2:$B$100,MATCH("score_recency_days",'Settings'!$A$2:$A$100,0)))*25))+MIN(15,COUNTIFS('FollowUps'!$B$2:$B$500,$A43,'FollowUps'!$H$2:$H$500,"done")/VALUE(INDEX('Settings'!$B$2:$B$100,MATCH("score_response_target",'Settings'!$A$2:$A$100,0)))*15)+IF(COUNTIFS('Interactions'!$B$2:$B$500,$A43,'Interactions'!$E$2:$E$500,"complaint")=0,10,0),0))</x:f>
      </x:c>
      <x:c r="R43" s="108" t="str">
        <x:f>IF($A43="","",IF($J43="inactive","inactive",IF($J43="at_risk","at_risk",IF($Q43&gt;=85,"vip",IF($Q43&gt;=70,"loyal",IF($Q43&gt;=50,"active",IF($N43=0,"new","needs_attention")))))))</x:f>
      </x:c>
      <x:c r="S43" s="19"/>
      <x:c r="T43" s="18"/>
      <x:c r="U43" s="19"/>
      <x:c r="V43" s="20"/>
      <x:c r="W43" s="26"/>
      <x:c r="X43" s="19"/>
      <x:c r="Y43" s="26"/>
      <x:c r="Z43" s="19"/>
      <x:c r="AA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20"/>
      <x:c r="J44" s="19"/>
      <x:c r="K44" s="19"/>
      <x:c r="L44" s="92" t="str">
        <x:f>IF($A44="","",IF(COUNTIFS('Orders'!$C$2:$C$500,$A44,'Orders'!$M$2:$M$500,"&lt;&gt;cancelled")=0,"",MAXIFS('Orders'!$G$2:$G$500,'Orders'!$C$2:$C$500,$A44,'Orders'!$M$2:$M$500,"&lt;&gt;cancelled")))</x:f>
      </x:c>
      <x:c r="M44" s="96" t="str">
        <x:f>IF($A44="","",SUMIFS('Orders'!$K$2:$K$500,'Orders'!$C$2:$C$500,$A44,'Orders'!$M$2:$M$500,"&lt;&gt;cancelled"))</x:f>
      </x:c>
      <x:c r="N44" s="96" t="str">
        <x:f>IF($A44="","",COUNTIFS('Orders'!$C$2:$C$500,$A44,'Orders'!$M$2:$M$500,"&lt;&gt;cancelled"))</x:f>
      </x:c>
      <x:c r="O44" s="100" t="str">
        <x:f>IF($A44="","",IF(COUNTIF('Interactions'!$B$2:$B$500,$A44)=0,"",MAXIFS('Interactions'!$G$2:$G$500,'Interactions'!$B$2:$B$500,$A44)))</x:f>
      </x:c>
      <x:c r="P44" s="100" t="str">
        <x:f>IF($A44="","",IF(COUNTIFS('FollowUps'!$B$2:$B$500,$A44,'FollowUps'!$H$2:$H$500,"open")=0,"",MINIFS('FollowUps'!$E$2:$E$500,'FollowUps'!$B$2:$B$500,$A44,'FollowUps'!$H$2:$H$500,"open")))</x:f>
      </x:c>
      <x:c r="Q44" s="104" t="str">
        <x:f>IF($A44="","",ROUND(MIN(25,$N44/VALUE(INDEX('Settings'!$B$2:$B$100,MATCH("score_purchase_target",'Settings'!$A$2:$A$100,0)))*25)+MIN(25,$M44/VALUE(INDEX('Settings'!$B$2:$B$100,MATCH("score_value_target",'Settings'!$A$2:$A$100,0)))*25)+IF($L44="",0,MAX(0,25-(TODAY()-$L44)/VALUE(INDEX('Settings'!$B$2:$B$100,MATCH("score_recency_days",'Settings'!$A$2:$A$100,0)))*25))+MIN(15,COUNTIFS('FollowUps'!$B$2:$B$500,$A44,'FollowUps'!$H$2:$H$500,"done")/VALUE(INDEX('Settings'!$B$2:$B$100,MATCH("score_response_target",'Settings'!$A$2:$A$100,0)))*15)+IF(COUNTIFS('Interactions'!$B$2:$B$500,$A44,'Interactions'!$E$2:$E$500,"complaint")=0,10,0),0))</x:f>
      </x:c>
      <x:c r="R44" s="108" t="str">
        <x:f>IF($A44="","",IF($J44="inactive","inactive",IF($J44="at_risk","at_risk",IF($Q44&gt;=85,"vip",IF($Q44&gt;=70,"loyal",IF($Q44&gt;=50,"active",IF($N44=0,"new","needs_attention")))))))</x:f>
      </x:c>
      <x:c r="S44" s="19"/>
      <x:c r="T44" s="18"/>
      <x:c r="U44" s="19"/>
      <x:c r="V44" s="20"/>
      <x:c r="W44" s="26"/>
      <x:c r="X44" s="19"/>
      <x:c r="Y44" s="26"/>
      <x:c r="Z44" s="19"/>
      <x:c r="AA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20"/>
      <x:c r="J45" s="19"/>
      <x:c r="K45" s="19"/>
      <x:c r="L45" s="92" t="str">
        <x:f>IF($A45="","",IF(COUNTIFS('Orders'!$C$2:$C$500,$A45,'Orders'!$M$2:$M$500,"&lt;&gt;cancelled")=0,"",MAXIFS('Orders'!$G$2:$G$500,'Orders'!$C$2:$C$500,$A45,'Orders'!$M$2:$M$500,"&lt;&gt;cancelled")))</x:f>
      </x:c>
      <x:c r="M45" s="96" t="str">
        <x:f>IF($A45="","",SUMIFS('Orders'!$K$2:$K$500,'Orders'!$C$2:$C$500,$A45,'Orders'!$M$2:$M$500,"&lt;&gt;cancelled"))</x:f>
      </x:c>
      <x:c r="N45" s="96" t="str">
        <x:f>IF($A45="","",COUNTIFS('Orders'!$C$2:$C$500,$A45,'Orders'!$M$2:$M$500,"&lt;&gt;cancelled"))</x:f>
      </x:c>
      <x:c r="O45" s="100" t="str">
        <x:f>IF($A45="","",IF(COUNTIF('Interactions'!$B$2:$B$500,$A45)=0,"",MAXIFS('Interactions'!$G$2:$G$500,'Interactions'!$B$2:$B$500,$A45)))</x:f>
      </x:c>
      <x:c r="P45" s="100" t="str">
        <x:f>IF($A45="","",IF(COUNTIFS('FollowUps'!$B$2:$B$500,$A45,'FollowUps'!$H$2:$H$500,"open")=0,"",MINIFS('FollowUps'!$E$2:$E$500,'FollowUps'!$B$2:$B$500,$A45,'FollowUps'!$H$2:$H$500,"open")))</x:f>
      </x:c>
      <x:c r="Q45" s="104" t="str">
        <x:f>IF($A45="","",ROUND(MIN(25,$N45/VALUE(INDEX('Settings'!$B$2:$B$100,MATCH("score_purchase_target",'Settings'!$A$2:$A$100,0)))*25)+MIN(25,$M45/VALUE(INDEX('Settings'!$B$2:$B$100,MATCH("score_value_target",'Settings'!$A$2:$A$100,0)))*25)+IF($L45="",0,MAX(0,25-(TODAY()-$L45)/VALUE(INDEX('Settings'!$B$2:$B$100,MATCH("score_recency_days",'Settings'!$A$2:$A$100,0)))*25))+MIN(15,COUNTIFS('FollowUps'!$B$2:$B$500,$A45,'FollowUps'!$H$2:$H$500,"done")/VALUE(INDEX('Settings'!$B$2:$B$100,MATCH("score_response_target",'Settings'!$A$2:$A$100,0)))*15)+IF(COUNTIFS('Interactions'!$B$2:$B$500,$A45,'Interactions'!$E$2:$E$500,"complaint")=0,10,0),0))</x:f>
      </x:c>
      <x:c r="R45" s="108" t="str">
        <x:f>IF($A45="","",IF($J45="inactive","inactive",IF($J45="at_risk","at_risk",IF($Q45&gt;=85,"vip",IF($Q45&gt;=70,"loyal",IF($Q45&gt;=50,"active",IF($N45=0,"new","needs_attention")))))))</x:f>
      </x:c>
      <x:c r="S45" s="19"/>
      <x:c r="T45" s="18"/>
      <x:c r="U45" s="19"/>
      <x:c r="V45" s="20"/>
      <x:c r="W45" s="26"/>
      <x:c r="X45" s="19"/>
      <x:c r="Y45" s="26"/>
      <x:c r="Z45" s="19"/>
      <x:c r="AA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20"/>
      <x:c r="J46" s="19"/>
      <x:c r="K46" s="19"/>
      <x:c r="L46" s="92" t="str">
        <x:f>IF($A46="","",IF(COUNTIFS('Orders'!$C$2:$C$500,$A46,'Orders'!$M$2:$M$500,"&lt;&gt;cancelled")=0,"",MAXIFS('Orders'!$G$2:$G$500,'Orders'!$C$2:$C$500,$A46,'Orders'!$M$2:$M$500,"&lt;&gt;cancelled")))</x:f>
      </x:c>
      <x:c r="M46" s="96" t="str">
        <x:f>IF($A46="","",SUMIFS('Orders'!$K$2:$K$500,'Orders'!$C$2:$C$500,$A46,'Orders'!$M$2:$M$500,"&lt;&gt;cancelled"))</x:f>
      </x:c>
      <x:c r="N46" s="96" t="str">
        <x:f>IF($A46="","",COUNTIFS('Orders'!$C$2:$C$500,$A46,'Orders'!$M$2:$M$500,"&lt;&gt;cancelled"))</x:f>
      </x:c>
      <x:c r="O46" s="100" t="str">
        <x:f>IF($A46="","",IF(COUNTIF('Interactions'!$B$2:$B$500,$A46)=0,"",MAXIFS('Interactions'!$G$2:$G$500,'Interactions'!$B$2:$B$500,$A46)))</x:f>
      </x:c>
      <x:c r="P46" s="100" t="str">
        <x:f>IF($A46="","",IF(COUNTIFS('FollowUps'!$B$2:$B$500,$A46,'FollowUps'!$H$2:$H$500,"open")=0,"",MINIFS('FollowUps'!$E$2:$E$500,'FollowUps'!$B$2:$B$500,$A46,'FollowUps'!$H$2:$H$500,"open")))</x:f>
      </x:c>
      <x:c r="Q46" s="104" t="str">
        <x:f>IF($A46="","",ROUND(MIN(25,$N46/VALUE(INDEX('Settings'!$B$2:$B$100,MATCH("score_purchase_target",'Settings'!$A$2:$A$100,0)))*25)+MIN(25,$M46/VALUE(INDEX('Settings'!$B$2:$B$100,MATCH("score_value_target",'Settings'!$A$2:$A$100,0)))*25)+IF($L46="",0,MAX(0,25-(TODAY()-$L46)/VALUE(INDEX('Settings'!$B$2:$B$100,MATCH("score_recency_days",'Settings'!$A$2:$A$100,0)))*25))+MIN(15,COUNTIFS('FollowUps'!$B$2:$B$500,$A46,'FollowUps'!$H$2:$H$500,"done")/VALUE(INDEX('Settings'!$B$2:$B$100,MATCH("score_response_target",'Settings'!$A$2:$A$100,0)))*15)+IF(COUNTIFS('Interactions'!$B$2:$B$500,$A46,'Interactions'!$E$2:$E$500,"complaint")=0,10,0),0))</x:f>
      </x:c>
      <x:c r="R46" s="108" t="str">
        <x:f>IF($A46="","",IF($J46="inactive","inactive",IF($J46="at_risk","at_risk",IF($Q46&gt;=85,"vip",IF($Q46&gt;=70,"loyal",IF($Q46&gt;=50,"active",IF($N46=0,"new","needs_attention")))))))</x:f>
      </x:c>
      <x:c r="S46" s="19"/>
      <x:c r="T46" s="18"/>
      <x:c r="U46" s="19"/>
      <x:c r="V46" s="20"/>
      <x:c r="W46" s="26"/>
      <x:c r="X46" s="19"/>
      <x:c r="Y46" s="26"/>
      <x:c r="Z46" s="19"/>
      <x:c r="AA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20"/>
      <x:c r="J47" s="19"/>
      <x:c r="K47" s="19"/>
      <x:c r="L47" s="92" t="str">
        <x:f>IF($A47="","",IF(COUNTIFS('Orders'!$C$2:$C$500,$A47,'Orders'!$M$2:$M$500,"&lt;&gt;cancelled")=0,"",MAXIFS('Orders'!$G$2:$G$500,'Orders'!$C$2:$C$500,$A47,'Orders'!$M$2:$M$500,"&lt;&gt;cancelled")))</x:f>
      </x:c>
      <x:c r="M47" s="96" t="str">
        <x:f>IF($A47="","",SUMIFS('Orders'!$K$2:$K$500,'Orders'!$C$2:$C$500,$A47,'Orders'!$M$2:$M$500,"&lt;&gt;cancelled"))</x:f>
      </x:c>
      <x:c r="N47" s="96" t="str">
        <x:f>IF($A47="","",COUNTIFS('Orders'!$C$2:$C$500,$A47,'Orders'!$M$2:$M$500,"&lt;&gt;cancelled"))</x:f>
      </x:c>
      <x:c r="O47" s="100" t="str">
        <x:f>IF($A47="","",IF(COUNTIF('Interactions'!$B$2:$B$500,$A47)=0,"",MAXIFS('Interactions'!$G$2:$G$500,'Interactions'!$B$2:$B$500,$A47)))</x:f>
      </x:c>
      <x:c r="P47" s="100" t="str">
        <x:f>IF($A47="","",IF(COUNTIFS('FollowUps'!$B$2:$B$500,$A47,'FollowUps'!$H$2:$H$500,"open")=0,"",MINIFS('FollowUps'!$E$2:$E$500,'FollowUps'!$B$2:$B$500,$A47,'FollowUps'!$H$2:$H$500,"open")))</x:f>
      </x:c>
      <x:c r="Q47" s="104" t="str">
        <x:f>IF($A47="","",ROUND(MIN(25,$N47/VALUE(INDEX('Settings'!$B$2:$B$100,MATCH("score_purchase_target",'Settings'!$A$2:$A$100,0)))*25)+MIN(25,$M47/VALUE(INDEX('Settings'!$B$2:$B$100,MATCH("score_value_target",'Settings'!$A$2:$A$100,0)))*25)+IF($L47="",0,MAX(0,25-(TODAY()-$L47)/VALUE(INDEX('Settings'!$B$2:$B$100,MATCH("score_recency_days",'Settings'!$A$2:$A$100,0)))*25))+MIN(15,COUNTIFS('FollowUps'!$B$2:$B$500,$A47,'FollowUps'!$H$2:$H$500,"done")/VALUE(INDEX('Settings'!$B$2:$B$100,MATCH("score_response_target",'Settings'!$A$2:$A$100,0)))*15)+IF(COUNTIFS('Interactions'!$B$2:$B$500,$A47,'Interactions'!$E$2:$E$500,"complaint")=0,10,0),0))</x:f>
      </x:c>
      <x:c r="R47" s="108" t="str">
        <x:f>IF($A47="","",IF($J47="inactive","inactive",IF($J47="at_risk","at_risk",IF($Q47&gt;=85,"vip",IF($Q47&gt;=70,"loyal",IF($Q47&gt;=50,"active",IF($N47=0,"new","needs_attention")))))))</x:f>
      </x:c>
      <x:c r="S47" s="19"/>
      <x:c r="T47" s="18"/>
      <x:c r="U47" s="19"/>
      <x:c r="V47" s="20"/>
      <x:c r="W47" s="26"/>
      <x:c r="X47" s="19"/>
      <x:c r="Y47" s="26"/>
      <x:c r="Z47" s="19"/>
      <x:c r="AA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20"/>
      <x:c r="J48" s="19"/>
      <x:c r="K48" s="19"/>
      <x:c r="L48" s="92" t="str">
        <x:f>IF($A48="","",IF(COUNTIFS('Orders'!$C$2:$C$500,$A48,'Orders'!$M$2:$M$500,"&lt;&gt;cancelled")=0,"",MAXIFS('Orders'!$G$2:$G$500,'Orders'!$C$2:$C$500,$A48,'Orders'!$M$2:$M$500,"&lt;&gt;cancelled")))</x:f>
      </x:c>
      <x:c r="M48" s="96" t="str">
        <x:f>IF($A48="","",SUMIFS('Orders'!$K$2:$K$500,'Orders'!$C$2:$C$500,$A48,'Orders'!$M$2:$M$500,"&lt;&gt;cancelled"))</x:f>
      </x:c>
      <x:c r="N48" s="96" t="str">
        <x:f>IF($A48="","",COUNTIFS('Orders'!$C$2:$C$500,$A48,'Orders'!$M$2:$M$500,"&lt;&gt;cancelled"))</x:f>
      </x:c>
      <x:c r="O48" s="100" t="str">
        <x:f>IF($A48="","",IF(COUNTIF('Interactions'!$B$2:$B$500,$A48)=0,"",MAXIFS('Interactions'!$G$2:$G$500,'Interactions'!$B$2:$B$500,$A48)))</x:f>
      </x:c>
      <x:c r="P48" s="100" t="str">
        <x:f>IF($A48="","",IF(COUNTIFS('FollowUps'!$B$2:$B$500,$A48,'FollowUps'!$H$2:$H$500,"open")=0,"",MINIFS('FollowUps'!$E$2:$E$500,'FollowUps'!$B$2:$B$500,$A48,'FollowUps'!$H$2:$H$500,"open")))</x:f>
      </x:c>
      <x:c r="Q48" s="104" t="str">
        <x:f>IF($A48="","",ROUND(MIN(25,$N48/VALUE(INDEX('Settings'!$B$2:$B$100,MATCH("score_purchase_target",'Settings'!$A$2:$A$100,0)))*25)+MIN(25,$M48/VALUE(INDEX('Settings'!$B$2:$B$100,MATCH("score_value_target",'Settings'!$A$2:$A$100,0)))*25)+IF($L48="",0,MAX(0,25-(TODAY()-$L48)/VALUE(INDEX('Settings'!$B$2:$B$100,MATCH("score_recency_days",'Settings'!$A$2:$A$100,0)))*25))+MIN(15,COUNTIFS('FollowUps'!$B$2:$B$500,$A48,'FollowUps'!$H$2:$H$500,"done")/VALUE(INDEX('Settings'!$B$2:$B$100,MATCH("score_response_target",'Settings'!$A$2:$A$100,0)))*15)+IF(COUNTIFS('Interactions'!$B$2:$B$500,$A48,'Interactions'!$E$2:$E$500,"complaint")=0,10,0),0))</x:f>
      </x:c>
      <x:c r="R48" s="108" t="str">
        <x:f>IF($A48="","",IF($J48="inactive","inactive",IF($J48="at_risk","at_risk",IF($Q48&gt;=85,"vip",IF($Q48&gt;=70,"loyal",IF($Q48&gt;=50,"active",IF($N48=0,"new","needs_attention")))))))</x:f>
      </x:c>
      <x:c r="S48" s="19"/>
      <x:c r="T48" s="18"/>
      <x:c r="U48" s="19"/>
      <x:c r="V48" s="20"/>
      <x:c r="W48" s="26"/>
      <x:c r="X48" s="19"/>
      <x:c r="Y48" s="26"/>
      <x:c r="Z48" s="19"/>
      <x:c r="AA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20"/>
      <x:c r="J49" s="19"/>
      <x:c r="K49" s="19"/>
      <x:c r="L49" s="92" t="str">
        <x:f>IF($A49="","",IF(COUNTIFS('Orders'!$C$2:$C$500,$A49,'Orders'!$M$2:$M$500,"&lt;&gt;cancelled")=0,"",MAXIFS('Orders'!$G$2:$G$500,'Orders'!$C$2:$C$500,$A49,'Orders'!$M$2:$M$500,"&lt;&gt;cancelled")))</x:f>
      </x:c>
      <x:c r="M49" s="96" t="str">
        <x:f>IF($A49="","",SUMIFS('Orders'!$K$2:$K$500,'Orders'!$C$2:$C$500,$A49,'Orders'!$M$2:$M$500,"&lt;&gt;cancelled"))</x:f>
      </x:c>
      <x:c r="N49" s="96" t="str">
        <x:f>IF($A49="","",COUNTIFS('Orders'!$C$2:$C$500,$A49,'Orders'!$M$2:$M$500,"&lt;&gt;cancelled"))</x:f>
      </x:c>
      <x:c r="O49" s="100" t="str">
        <x:f>IF($A49="","",IF(COUNTIF('Interactions'!$B$2:$B$500,$A49)=0,"",MAXIFS('Interactions'!$G$2:$G$500,'Interactions'!$B$2:$B$500,$A49)))</x:f>
      </x:c>
      <x:c r="P49" s="100" t="str">
        <x:f>IF($A49="","",IF(COUNTIFS('FollowUps'!$B$2:$B$500,$A49,'FollowUps'!$H$2:$H$500,"open")=0,"",MINIFS('FollowUps'!$E$2:$E$500,'FollowUps'!$B$2:$B$500,$A49,'FollowUps'!$H$2:$H$500,"open")))</x:f>
      </x:c>
      <x:c r="Q49" s="104" t="str">
        <x:f>IF($A49="","",ROUND(MIN(25,$N49/VALUE(INDEX('Settings'!$B$2:$B$100,MATCH("score_purchase_target",'Settings'!$A$2:$A$100,0)))*25)+MIN(25,$M49/VALUE(INDEX('Settings'!$B$2:$B$100,MATCH("score_value_target",'Settings'!$A$2:$A$100,0)))*25)+IF($L49="",0,MAX(0,25-(TODAY()-$L49)/VALUE(INDEX('Settings'!$B$2:$B$100,MATCH("score_recency_days",'Settings'!$A$2:$A$100,0)))*25))+MIN(15,COUNTIFS('FollowUps'!$B$2:$B$500,$A49,'FollowUps'!$H$2:$H$500,"done")/VALUE(INDEX('Settings'!$B$2:$B$100,MATCH("score_response_target",'Settings'!$A$2:$A$100,0)))*15)+IF(COUNTIFS('Interactions'!$B$2:$B$500,$A49,'Interactions'!$E$2:$E$500,"complaint")=0,10,0),0))</x:f>
      </x:c>
      <x:c r="R49" s="108" t="str">
        <x:f>IF($A49="","",IF($J49="inactive","inactive",IF($J49="at_risk","at_risk",IF($Q49&gt;=85,"vip",IF($Q49&gt;=70,"loyal",IF($Q49&gt;=50,"active",IF($N49=0,"new","needs_attention")))))))</x:f>
      </x:c>
      <x:c r="S49" s="19"/>
      <x:c r="T49" s="18"/>
      <x:c r="U49" s="19"/>
      <x:c r="V49" s="20"/>
      <x:c r="W49" s="26"/>
      <x:c r="X49" s="19"/>
      <x:c r="Y49" s="26"/>
      <x:c r="Z49" s="19"/>
      <x:c r="AA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20"/>
      <x:c r="J50" s="19"/>
      <x:c r="K50" s="19"/>
      <x:c r="L50" s="92" t="str">
        <x:f>IF($A50="","",IF(COUNTIFS('Orders'!$C$2:$C$500,$A50,'Orders'!$M$2:$M$500,"&lt;&gt;cancelled")=0,"",MAXIFS('Orders'!$G$2:$G$500,'Orders'!$C$2:$C$500,$A50,'Orders'!$M$2:$M$500,"&lt;&gt;cancelled")))</x:f>
      </x:c>
      <x:c r="M50" s="96" t="str">
        <x:f>IF($A50="","",SUMIFS('Orders'!$K$2:$K$500,'Orders'!$C$2:$C$500,$A50,'Orders'!$M$2:$M$500,"&lt;&gt;cancelled"))</x:f>
      </x:c>
      <x:c r="N50" s="96" t="str">
        <x:f>IF($A50="","",COUNTIFS('Orders'!$C$2:$C$500,$A50,'Orders'!$M$2:$M$500,"&lt;&gt;cancelled"))</x:f>
      </x:c>
      <x:c r="O50" s="100" t="str">
        <x:f>IF($A50="","",IF(COUNTIF('Interactions'!$B$2:$B$500,$A50)=0,"",MAXIFS('Interactions'!$G$2:$G$500,'Interactions'!$B$2:$B$500,$A50)))</x:f>
      </x:c>
      <x:c r="P50" s="100" t="str">
        <x:f>IF($A50="","",IF(COUNTIFS('FollowUps'!$B$2:$B$500,$A50,'FollowUps'!$H$2:$H$500,"open")=0,"",MINIFS('FollowUps'!$E$2:$E$500,'FollowUps'!$B$2:$B$500,$A50,'FollowUps'!$H$2:$H$500,"open")))</x:f>
      </x:c>
      <x:c r="Q50" s="104" t="str">
        <x:f>IF($A50="","",ROUND(MIN(25,$N50/VALUE(INDEX('Settings'!$B$2:$B$100,MATCH("score_purchase_target",'Settings'!$A$2:$A$100,0)))*25)+MIN(25,$M50/VALUE(INDEX('Settings'!$B$2:$B$100,MATCH("score_value_target",'Settings'!$A$2:$A$100,0)))*25)+IF($L50="",0,MAX(0,25-(TODAY()-$L50)/VALUE(INDEX('Settings'!$B$2:$B$100,MATCH("score_recency_days",'Settings'!$A$2:$A$100,0)))*25))+MIN(15,COUNTIFS('FollowUps'!$B$2:$B$500,$A50,'FollowUps'!$H$2:$H$500,"done")/VALUE(INDEX('Settings'!$B$2:$B$100,MATCH("score_response_target",'Settings'!$A$2:$A$100,0)))*15)+IF(COUNTIFS('Interactions'!$B$2:$B$500,$A50,'Interactions'!$E$2:$E$500,"complaint")=0,10,0),0))</x:f>
      </x:c>
      <x:c r="R50" s="108" t="str">
        <x:f>IF($A50="","",IF($J50="inactive","inactive",IF($J50="at_risk","at_risk",IF($Q50&gt;=85,"vip",IF($Q50&gt;=70,"loyal",IF($Q50&gt;=50,"active",IF($N50=0,"new","needs_attention")))))))</x:f>
      </x:c>
      <x:c r="S50" s="19"/>
      <x:c r="T50" s="18"/>
      <x:c r="U50" s="19"/>
      <x:c r="V50" s="20"/>
      <x:c r="W50" s="26"/>
      <x:c r="X50" s="19"/>
      <x:c r="Y50" s="26"/>
      <x:c r="Z50" s="19"/>
      <x:c r="AA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20"/>
      <x:c r="J51" s="19"/>
      <x:c r="K51" s="19"/>
      <x:c r="L51" s="92" t="str">
        <x:f>IF($A51="","",IF(COUNTIFS('Orders'!$C$2:$C$500,$A51,'Orders'!$M$2:$M$500,"&lt;&gt;cancelled")=0,"",MAXIFS('Orders'!$G$2:$G$500,'Orders'!$C$2:$C$500,$A51,'Orders'!$M$2:$M$500,"&lt;&gt;cancelled")))</x:f>
      </x:c>
      <x:c r="M51" s="96" t="str">
        <x:f>IF($A51="","",SUMIFS('Orders'!$K$2:$K$500,'Orders'!$C$2:$C$500,$A51,'Orders'!$M$2:$M$500,"&lt;&gt;cancelled"))</x:f>
      </x:c>
      <x:c r="N51" s="96" t="str">
        <x:f>IF($A51="","",COUNTIFS('Orders'!$C$2:$C$500,$A51,'Orders'!$M$2:$M$500,"&lt;&gt;cancelled"))</x:f>
      </x:c>
      <x:c r="O51" s="100" t="str">
        <x:f>IF($A51="","",IF(COUNTIF('Interactions'!$B$2:$B$500,$A51)=0,"",MAXIFS('Interactions'!$G$2:$G$500,'Interactions'!$B$2:$B$500,$A51)))</x:f>
      </x:c>
      <x:c r="P51" s="100" t="str">
        <x:f>IF($A51="","",IF(COUNTIFS('FollowUps'!$B$2:$B$500,$A51,'FollowUps'!$H$2:$H$500,"open")=0,"",MINIFS('FollowUps'!$E$2:$E$500,'FollowUps'!$B$2:$B$500,$A51,'FollowUps'!$H$2:$H$500,"open")))</x:f>
      </x:c>
      <x:c r="Q51" s="104" t="str">
        <x:f>IF($A51="","",ROUND(MIN(25,$N51/VALUE(INDEX('Settings'!$B$2:$B$100,MATCH("score_purchase_target",'Settings'!$A$2:$A$100,0)))*25)+MIN(25,$M51/VALUE(INDEX('Settings'!$B$2:$B$100,MATCH("score_value_target",'Settings'!$A$2:$A$100,0)))*25)+IF($L51="",0,MAX(0,25-(TODAY()-$L51)/VALUE(INDEX('Settings'!$B$2:$B$100,MATCH("score_recency_days",'Settings'!$A$2:$A$100,0)))*25))+MIN(15,COUNTIFS('FollowUps'!$B$2:$B$500,$A51,'FollowUps'!$H$2:$H$500,"done")/VALUE(INDEX('Settings'!$B$2:$B$100,MATCH("score_response_target",'Settings'!$A$2:$A$100,0)))*15)+IF(COUNTIFS('Interactions'!$B$2:$B$500,$A51,'Interactions'!$E$2:$E$500,"complaint")=0,10,0),0))</x:f>
      </x:c>
      <x:c r="R51" s="108" t="str">
        <x:f>IF($A51="","",IF($J51="inactive","inactive",IF($J51="at_risk","at_risk",IF($Q51&gt;=85,"vip",IF($Q51&gt;=70,"loyal",IF($Q51&gt;=50,"active",IF($N51=0,"new","needs_attention")))))))</x:f>
      </x:c>
      <x:c r="S51" s="19"/>
      <x:c r="T51" s="18"/>
      <x:c r="U51" s="19"/>
      <x:c r="V51" s="20"/>
      <x:c r="W51" s="26"/>
      <x:c r="X51" s="19"/>
      <x:c r="Y51" s="26"/>
      <x:c r="Z51" s="19"/>
      <x:c r="AA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20"/>
      <x:c r="J52" s="19"/>
      <x:c r="K52" s="19"/>
      <x:c r="L52" s="92" t="str">
        <x:f>IF($A52="","",IF(COUNTIFS('Orders'!$C$2:$C$500,$A52,'Orders'!$M$2:$M$500,"&lt;&gt;cancelled")=0,"",MAXIFS('Orders'!$G$2:$G$500,'Orders'!$C$2:$C$500,$A52,'Orders'!$M$2:$M$500,"&lt;&gt;cancelled")))</x:f>
      </x:c>
      <x:c r="M52" s="96" t="str">
        <x:f>IF($A52="","",SUMIFS('Orders'!$K$2:$K$500,'Orders'!$C$2:$C$500,$A52,'Orders'!$M$2:$M$500,"&lt;&gt;cancelled"))</x:f>
      </x:c>
      <x:c r="N52" s="96" t="str">
        <x:f>IF($A52="","",COUNTIFS('Orders'!$C$2:$C$500,$A52,'Orders'!$M$2:$M$500,"&lt;&gt;cancelled"))</x:f>
      </x:c>
      <x:c r="O52" s="100" t="str">
        <x:f>IF($A52="","",IF(COUNTIF('Interactions'!$B$2:$B$500,$A52)=0,"",MAXIFS('Interactions'!$G$2:$G$500,'Interactions'!$B$2:$B$500,$A52)))</x:f>
      </x:c>
      <x:c r="P52" s="100" t="str">
        <x:f>IF($A52="","",IF(COUNTIFS('FollowUps'!$B$2:$B$500,$A52,'FollowUps'!$H$2:$H$500,"open")=0,"",MINIFS('FollowUps'!$E$2:$E$500,'FollowUps'!$B$2:$B$500,$A52,'FollowUps'!$H$2:$H$500,"open")))</x:f>
      </x:c>
      <x:c r="Q52" s="104" t="str">
        <x:f>IF($A52="","",ROUND(MIN(25,$N52/VALUE(INDEX('Settings'!$B$2:$B$100,MATCH("score_purchase_target",'Settings'!$A$2:$A$100,0)))*25)+MIN(25,$M52/VALUE(INDEX('Settings'!$B$2:$B$100,MATCH("score_value_target",'Settings'!$A$2:$A$100,0)))*25)+IF($L52="",0,MAX(0,25-(TODAY()-$L52)/VALUE(INDEX('Settings'!$B$2:$B$100,MATCH("score_recency_days",'Settings'!$A$2:$A$100,0)))*25))+MIN(15,COUNTIFS('FollowUps'!$B$2:$B$500,$A52,'FollowUps'!$H$2:$H$500,"done")/VALUE(INDEX('Settings'!$B$2:$B$100,MATCH("score_response_target",'Settings'!$A$2:$A$100,0)))*15)+IF(COUNTIFS('Interactions'!$B$2:$B$500,$A52,'Interactions'!$E$2:$E$500,"complaint")=0,10,0),0))</x:f>
      </x:c>
      <x:c r="R52" s="108" t="str">
        <x:f>IF($A52="","",IF($J52="inactive","inactive",IF($J52="at_risk","at_risk",IF($Q52&gt;=85,"vip",IF($Q52&gt;=70,"loyal",IF($Q52&gt;=50,"active",IF($N52=0,"new","needs_attention")))))))</x:f>
      </x:c>
      <x:c r="S52" s="19"/>
      <x:c r="T52" s="18"/>
      <x:c r="U52" s="19"/>
      <x:c r="V52" s="20"/>
      <x:c r="W52" s="26"/>
      <x:c r="X52" s="19"/>
      <x:c r="Y52" s="26"/>
      <x:c r="Z52" s="19"/>
      <x:c r="AA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20"/>
      <x:c r="J53" s="19"/>
      <x:c r="K53" s="19"/>
      <x:c r="L53" s="92" t="str">
        <x:f>IF($A53="","",IF(COUNTIFS('Orders'!$C$2:$C$500,$A53,'Orders'!$M$2:$M$500,"&lt;&gt;cancelled")=0,"",MAXIFS('Orders'!$G$2:$G$500,'Orders'!$C$2:$C$500,$A53,'Orders'!$M$2:$M$500,"&lt;&gt;cancelled")))</x:f>
      </x:c>
      <x:c r="M53" s="96" t="str">
        <x:f>IF($A53="","",SUMIFS('Orders'!$K$2:$K$500,'Orders'!$C$2:$C$500,$A53,'Orders'!$M$2:$M$500,"&lt;&gt;cancelled"))</x:f>
      </x:c>
      <x:c r="N53" s="96" t="str">
        <x:f>IF($A53="","",COUNTIFS('Orders'!$C$2:$C$500,$A53,'Orders'!$M$2:$M$500,"&lt;&gt;cancelled"))</x:f>
      </x:c>
      <x:c r="O53" s="100" t="str">
        <x:f>IF($A53="","",IF(COUNTIF('Interactions'!$B$2:$B$500,$A53)=0,"",MAXIFS('Interactions'!$G$2:$G$500,'Interactions'!$B$2:$B$500,$A53)))</x:f>
      </x:c>
      <x:c r="P53" s="100" t="str">
        <x:f>IF($A53="","",IF(COUNTIFS('FollowUps'!$B$2:$B$500,$A53,'FollowUps'!$H$2:$H$500,"open")=0,"",MINIFS('FollowUps'!$E$2:$E$500,'FollowUps'!$B$2:$B$500,$A53,'FollowUps'!$H$2:$H$500,"open")))</x:f>
      </x:c>
      <x:c r="Q53" s="104" t="str">
        <x:f>IF($A53="","",ROUND(MIN(25,$N53/VALUE(INDEX('Settings'!$B$2:$B$100,MATCH("score_purchase_target",'Settings'!$A$2:$A$100,0)))*25)+MIN(25,$M53/VALUE(INDEX('Settings'!$B$2:$B$100,MATCH("score_value_target",'Settings'!$A$2:$A$100,0)))*25)+IF($L53="",0,MAX(0,25-(TODAY()-$L53)/VALUE(INDEX('Settings'!$B$2:$B$100,MATCH("score_recency_days",'Settings'!$A$2:$A$100,0)))*25))+MIN(15,COUNTIFS('FollowUps'!$B$2:$B$500,$A53,'FollowUps'!$H$2:$H$500,"done")/VALUE(INDEX('Settings'!$B$2:$B$100,MATCH("score_response_target",'Settings'!$A$2:$A$100,0)))*15)+IF(COUNTIFS('Interactions'!$B$2:$B$500,$A53,'Interactions'!$E$2:$E$500,"complaint")=0,10,0),0))</x:f>
      </x:c>
      <x:c r="R53" s="108" t="str">
        <x:f>IF($A53="","",IF($J53="inactive","inactive",IF($J53="at_risk","at_risk",IF($Q53&gt;=85,"vip",IF($Q53&gt;=70,"loyal",IF($Q53&gt;=50,"active",IF($N53=0,"new","needs_attention")))))))</x:f>
      </x:c>
      <x:c r="S53" s="19"/>
      <x:c r="T53" s="18"/>
      <x:c r="U53" s="19"/>
      <x:c r="V53" s="20"/>
      <x:c r="W53" s="26"/>
      <x:c r="X53" s="19"/>
      <x:c r="Y53" s="26"/>
      <x:c r="Z53" s="19"/>
      <x:c r="AA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20"/>
      <x:c r="J54" s="19"/>
      <x:c r="K54" s="19"/>
      <x:c r="L54" s="92" t="str">
        <x:f>IF($A54="","",IF(COUNTIFS('Orders'!$C$2:$C$500,$A54,'Orders'!$M$2:$M$500,"&lt;&gt;cancelled")=0,"",MAXIFS('Orders'!$G$2:$G$500,'Orders'!$C$2:$C$500,$A54,'Orders'!$M$2:$M$500,"&lt;&gt;cancelled")))</x:f>
      </x:c>
      <x:c r="M54" s="96" t="str">
        <x:f>IF($A54="","",SUMIFS('Orders'!$K$2:$K$500,'Orders'!$C$2:$C$500,$A54,'Orders'!$M$2:$M$500,"&lt;&gt;cancelled"))</x:f>
      </x:c>
      <x:c r="N54" s="96" t="str">
        <x:f>IF($A54="","",COUNTIFS('Orders'!$C$2:$C$500,$A54,'Orders'!$M$2:$M$500,"&lt;&gt;cancelled"))</x:f>
      </x:c>
      <x:c r="O54" s="100" t="str">
        <x:f>IF($A54="","",IF(COUNTIF('Interactions'!$B$2:$B$500,$A54)=0,"",MAXIFS('Interactions'!$G$2:$G$500,'Interactions'!$B$2:$B$500,$A54)))</x:f>
      </x:c>
      <x:c r="P54" s="100" t="str">
        <x:f>IF($A54="","",IF(COUNTIFS('FollowUps'!$B$2:$B$500,$A54,'FollowUps'!$H$2:$H$500,"open")=0,"",MINIFS('FollowUps'!$E$2:$E$500,'FollowUps'!$B$2:$B$500,$A54,'FollowUps'!$H$2:$H$500,"open")))</x:f>
      </x:c>
      <x:c r="Q54" s="104" t="str">
        <x:f>IF($A54="","",ROUND(MIN(25,$N54/VALUE(INDEX('Settings'!$B$2:$B$100,MATCH("score_purchase_target",'Settings'!$A$2:$A$100,0)))*25)+MIN(25,$M54/VALUE(INDEX('Settings'!$B$2:$B$100,MATCH("score_value_target",'Settings'!$A$2:$A$100,0)))*25)+IF($L54="",0,MAX(0,25-(TODAY()-$L54)/VALUE(INDEX('Settings'!$B$2:$B$100,MATCH("score_recency_days",'Settings'!$A$2:$A$100,0)))*25))+MIN(15,COUNTIFS('FollowUps'!$B$2:$B$500,$A54,'FollowUps'!$H$2:$H$500,"done")/VALUE(INDEX('Settings'!$B$2:$B$100,MATCH("score_response_target",'Settings'!$A$2:$A$100,0)))*15)+IF(COUNTIFS('Interactions'!$B$2:$B$500,$A54,'Interactions'!$E$2:$E$500,"complaint")=0,10,0),0))</x:f>
      </x:c>
      <x:c r="R54" s="108" t="str">
        <x:f>IF($A54="","",IF($J54="inactive","inactive",IF($J54="at_risk","at_risk",IF($Q54&gt;=85,"vip",IF($Q54&gt;=70,"loyal",IF($Q54&gt;=50,"active",IF($N54=0,"new","needs_attention")))))))</x:f>
      </x:c>
      <x:c r="S54" s="19"/>
      <x:c r="T54" s="18"/>
      <x:c r="U54" s="19"/>
      <x:c r="V54" s="20"/>
      <x:c r="W54" s="26"/>
      <x:c r="X54" s="19"/>
      <x:c r="Y54" s="26"/>
      <x:c r="Z54" s="19"/>
      <x:c r="AA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20"/>
      <x:c r="J55" s="19"/>
      <x:c r="K55" s="19"/>
      <x:c r="L55" s="92" t="str">
        <x:f>IF($A55="","",IF(COUNTIFS('Orders'!$C$2:$C$500,$A55,'Orders'!$M$2:$M$500,"&lt;&gt;cancelled")=0,"",MAXIFS('Orders'!$G$2:$G$500,'Orders'!$C$2:$C$500,$A55,'Orders'!$M$2:$M$500,"&lt;&gt;cancelled")))</x:f>
      </x:c>
      <x:c r="M55" s="96" t="str">
        <x:f>IF($A55="","",SUMIFS('Orders'!$K$2:$K$500,'Orders'!$C$2:$C$500,$A55,'Orders'!$M$2:$M$500,"&lt;&gt;cancelled"))</x:f>
      </x:c>
      <x:c r="N55" s="96" t="str">
        <x:f>IF($A55="","",COUNTIFS('Orders'!$C$2:$C$500,$A55,'Orders'!$M$2:$M$500,"&lt;&gt;cancelled"))</x:f>
      </x:c>
      <x:c r="O55" s="100" t="str">
        <x:f>IF($A55="","",IF(COUNTIF('Interactions'!$B$2:$B$500,$A55)=0,"",MAXIFS('Interactions'!$G$2:$G$500,'Interactions'!$B$2:$B$500,$A55)))</x:f>
      </x:c>
      <x:c r="P55" s="100" t="str">
        <x:f>IF($A55="","",IF(COUNTIFS('FollowUps'!$B$2:$B$500,$A55,'FollowUps'!$H$2:$H$500,"open")=0,"",MINIFS('FollowUps'!$E$2:$E$500,'FollowUps'!$B$2:$B$500,$A55,'FollowUps'!$H$2:$H$500,"open")))</x:f>
      </x:c>
      <x:c r="Q55" s="104" t="str">
        <x:f>IF($A55="","",ROUND(MIN(25,$N55/VALUE(INDEX('Settings'!$B$2:$B$100,MATCH("score_purchase_target",'Settings'!$A$2:$A$100,0)))*25)+MIN(25,$M55/VALUE(INDEX('Settings'!$B$2:$B$100,MATCH("score_value_target",'Settings'!$A$2:$A$100,0)))*25)+IF($L55="",0,MAX(0,25-(TODAY()-$L55)/VALUE(INDEX('Settings'!$B$2:$B$100,MATCH("score_recency_days",'Settings'!$A$2:$A$100,0)))*25))+MIN(15,COUNTIFS('FollowUps'!$B$2:$B$500,$A55,'FollowUps'!$H$2:$H$500,"done")/VALUE(INDEX('Settings'!$B$2:$B$100,MATCH("score_response_target",'Settings'!$A$2:$A$100,0)))*15)+IF(COUNTIFS('Interactions'!$B$2:$B$500,$A55,'Interactions'!$E$2:$E$500,"complaint")=0,10,0),0))</x:f>
      </x:c>
      <x:c r="R55" s="108" t="str">
        <x:f>IF($A55="","",IF($J55="inactive","inactive",IF($J55="at_risk","at_risk",IF($Q55&gt;=85,"vip",IF($Q55&gt;=70,"loyal",IF($Q55&gt;=50,"active",IF($N55=0,"new","needs_attention")))))))</x:f>
      </x:c>
      <x:c r="S55" s="19"/>
      <x:c r="T55" s="18"/>
      <x:c r="U55" s="19"/>
      <x:c r="V55" s="20"/>
      <x:c r="W55" s="26"/>
      <x:c r="X55" s="19"/>
      <x:c r="Y55" s="26"/>
      <x:c r="Z55" s="19"/>
      <x:c r="AA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20"/>
      <x:c r="J56" s="19"/>
      <x:c r="K56" s="19"/>
      <x:c r="L56" s="92" t="str">
        <x:f>IF($A56="","",IF(COUNTIFS('Orders'!$C$2:$C$500,$A56,'Orders'!$M$2:$M$500,"&lt;&gt;cancelled")=0,"",MAXIFS('Orders'!$G$2:$G$500,'Orders'!$C$2:$C$500,$A56,'Orders'!$M$2:$M$500,"&lt;&gt;cancelled")))</x:f>
      </x:c>
      <x:c r="M56" s="96" t="str">
        <x:f>IF($A56="","",SUMIFS('Orders'!$K$2:$K$500,'Orders'!$C$2:$C$500,$A56,'Orders'!$M$2:$M$500,"&lt;&gt;cancelled"))</x:f>
      </x:c>
      <x:c r="N56" s="96" t="str">
        <x:f>IF($A56="","",COUNTIFS('Orders'!$C$2:$C$500,$A56,'Orders'!$M$2:$M$500,"&lt;&gt;cancelled"))</x:f>
      </x:c>
      <x:c r="O56" s="100" t="str">
        <x:f>IF($A56="","",IF(COUNTIF('Interactions'!$B$2:$B$500,$A56)=0,"",MAXIFS('Interactions'!$G$2:$G$500,'Interactions'!$B$2:$B$500,$A56)))</x:f>
      </x:c>
      <x:c r="P56" s="100" t="str">
        <x:f>IF($A56="","",IF(COUNTIFS('FollowUps'!$B$2:$B$500,$A56,'FollowUps'!$H$2:$H$500,"open")=0,"",MINIFS('FollowUps'!$E$2:$E$500,'FollowUps'!$B$2:$B$500,$A56,'FollowUps'!$H$2:$H$500,"open")))</x:f>
      </x:c>
      <x:c r="Q56" s="104" t="str">
        <x:f>IF($A56="","",ROUND(MIN(25,$N56/VALUE(INDEX('Settings'!$B$2:$B$100,MATCH("score_purchase_target",'Settings'!$A$2:$A$100,0)))*25)+MIN(25,$M56/VALUE(INDEX('Settings'!$B$2:$B$100,MATCH("score_value_target",'Settings'!$A$2:$A$100,0)))*25)+IF($L56="",0,MAX(0,25-(TODAY()-$L56)/VALUE(INDEX('Settings'!$B$2:$B$100,MATCH("score_recency_days",'Settings'!$A$2:$A$100,0)))*25))+MIN(15,COUNTIFS('FollowUps'!$B$2:$B$500,$A56,'FollowUps'!$H$2:$H$500,"done")/VALUE(INDEX('Settings'!$B$2:$B$100,MATCH("score_response_target",'Settings'!$A$2:$A$100,0)))*15)+IF(COUNTIFS('Interactions'!$B$2:$B$500,$A56,'Interactions'!$E$2:$E$500,"complaint")=0,10,0),0))</x:f>
      </x:c>
      <x:c r="R56" s="108" t="str">
        <x:f>IF($A56="","",IF($J56="inactive","inactive",IF($J56="at_risk","at_risk",IF($Q56&gt;=85,"vip",IF($Q56&gt;=70,"loyal",IF($Q56&gt;=50,"active",IF($N56=0,"new","needs_attention")))))))</x:f>
      </x:c>
      <x:c r="S56" s="19"/>
      <x:c r="T56" s="18"/>
      <x:c r="U56" s="19"/>
      <x:c r="V56" s="20"/>
      <x:c r="W56" s="26"/>
      <x:c r="X56" s="19"/>
      <x:c r="Y56" s="26"/>
      <x:c r="Z56" s="19"/>
      <x:c r="AA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20"/>
      <x:c r="J57" s="19"/>
      <x:c r="K57" s="19"/>
      <x:c r="L57" s="92" t="str">
        <x:f>IF($A57="","",IF(COUNTIFS('Orders'!$C$2:$C$500,$A57,'Orders'!$M$2:$M$500,"&lt;&gt;cancelled")=0,"",MAXIFS('Orders'!$G$2:$G$500,'Orders'!$C$2:$C$500,$A57,'Orders'!$M$2:$M$500,"&lt;&gt;cancelled")))</x:f>
      </x:c>
      <x:c r="M57" s="96" t="str">
        <x:f>IF($A57="","",SUMIFS('Orders'!$K$2:$K$500,'Orders'!$C$2:$C$500,$A57,'Orders'!$M$2:$M$500,"&lt;&gt;cancelled"))</x:f>
      </x:c>
      <x:c r="N57" s="96" t="str">
        <x:f>IF($A57="","",COUNTIFS('Orders'!$C$2:$C$500,$A57,'Orders'!$M$2:$M$500,"&lt;&gt;cancelled"))</x:f>
      </x:c>
      <x:c r="O57" s="100" t="str">
        <x:f>IF($A57="","",IF(COUNTIF('Interactions'!$B$2:$B$500,$A57)=0,"",MAXIFS('Interactions'!$G$2:$G$500,'Interactions'!$B$2:$B$500,$A57)))</x:f>
      </x:c>
      <x:c r="P57" s="100" t="str">
        <x:f>IF($A57="","",IF(COUNTIFS('FollowUps'!$B$2:$B$500,$A57,'FollowUps'!$H$2:$H$500,"open")=0,"",MINIFS('FollowUps'!$E$2:$E$500,'FollowUps'!$B$2:$B$500,$A57,'FollowUps'!$H$2:$H$500,"open")))</x:f>
      </x:c>
      <x:c r="Q57" s="104" t="str">
        <x:f>IF($A57="","",ROUND(MIN(25,$N57/VALUE(INDEX('Settings'!$B$2:$B$100,MATCH("score_purchase_target",'Settings'!$A$2:$A$100,0)))*25)+MIN(25,$M57/VALUE(INDEX('Settings'!$B$2:$B$100,MATCH("score_value_target",'Settings'!$A$2:$A$100,0)))*25)+IF($L57="",0,MAX(0,25-(TODAY()-$L57)/VALUE(INDEX('Settings'!$B$2:$B$100,MATCH("score_recency_days",'Settings'!$A$2:$A$100,0)))*25))+MIN(15,COUNTIFS('FollowUps'!$B$2:$B$500,$A57,'FollowUps'!$H$2:$H$500,"done")/VALUE(INDEX('Settings'!$B$2:$B$100,MATCH("score_response_target",'Settings'!$A$2:$A$100,0)))*15)+IF(COUNTIFS('Interactions'!$B$2:$B$500,$A57,'Interactions'!$E$2:$E$500,"complaint")=0,10,0),0))</x:f>
      </x:c>
      <x:c r="R57" s="108" t="str">
        <x:f>IF($A57="","",IF($J57="inactive","inactive",IF($J57="at_risk","at_risk",IF($Q57&gt;=85,"vip",IF($Q57&gt;=70,"loyal",IF($Q57&gt;=50,"active",IF($N57=0,"new","needs_attention")))))))</x:f>
      </x:c>
      <x:c r="S57" s="19"/>
      <x:c r="T57" s="18"/>
      <x:c r="U57" s="19"/>
      <x:c r="V57" s="20"/>
      <x:c r="W57" s="26"/>
      <x:c r="X57" s="19"/>
      <x:c r="Y57" s="26"/>
      <x:c r="Z57" s="19"/>
      <x:c r="AA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20"/>
      <x:c r="J58" s="19"/>
      <x:c r="K58" s="19"/>
      <x:c r="L58" s="92" t="str">
        <x:f>IF($A58="","",IF(COUNTIFS('Orders'!$C$2:$C$500,$A58,'Orders'!$M$2:$M$500,"&lt;&gt;cancelled")=0,"",MAXIFS('Orders'!$G$2:$G$500,'Orders'!$C$2:$C$500,$A58,'Orders'!$M$2:$M$500,"&lt;&gt;cancelled")))</x:f>
      </x:c>
      <x:c r="M58" s="96" t="str">
        <x:f>IF($A58="","",SUMIFS('Orders'!$K$2:$K$500,'Orders'!$C$2:$C$500,$A58,'Orders'!$M$2:$M$500,"&lt;&gt;cancelled"))</x:f>
      </x:c>
      <x:c r="N58" s="96" t="str">
        <x:f>IF($A58="","",COUNTIFS('Orders'!$C$2:$C$500,$A58,'Orders'!$M$2:$M$500,"&lt;&gt;cancelled"))</x:f>
      </x:c>
      <x:c r="O58" s="100" t="str">
        <x:f>IF($A58="","",IF(COUNTIF('Interactions'!$B$2:$B$500,$A58)=0,"",MAXIFS('Interactions'!$G$2:$G$500,'Interactions'!$B$2:$B$500,$A58)))</x:f>
      </x:c>
      <x:c r="P58" s="100" t="str">
        <x:f>IF($A58="","",IF(COUNTIFS('FollowUps'!$B$2:$B$500,$A58,'FollowUps'!$H$2:$H$500,"open")=0,"",MINIFS('FollowUps'!$E$2:$E$500,'FollowUps'!$B$2:$B$500,$A58,'FollowUps'!$H$2:$H$500,"open")))</x:f>
      </x:c>
      <x:c r="Q58" s="104" t="str">
        <x:f>IF($A58="","",ROUND(MIN(25,$N58/VALUE(INDEX('Settings'!$B$2:$B$100,MATCH("score_purchase_target",'Settings'!$A$2:$A$100,0)))*25)+MIN(25,$M58/VALUE(INDEX('Settings'!$B$2:$B$100,MATCH("score_value_target",'Settings'!$A$2:$A$100,0)))*25)+IF($L58="",0,MAX(0,25-(TODAY()-$L58)/VALUE(INDEX('Settings'!$B$2:$B$100,MATCH("score_recency_days",'Settings'!$A$2:$A$100,0)))*25))+MIN(15,COUNTIFS('FollowUps'!$B$2:$B$500,$A58,'FollowUps'!$H$2:$H$500,"done")/VALUE(INDEX('Settings'!$B$2:$B$100,MATCH("score_response_target",'Settings'!$A$2:$A$100,0)))*15)+IF(COUNTIFS('Interactions'!$B$2:$B$500,$A58,'Interactions'!$E$2:$E$500,"complaint")=0,10,0),0))</x:f>
      </x:c>
      <x:c r="R58" s="108" t="str">
        <x:f>IF($A58="","",IF($J58="inactive","inactive",IF($J58="at_risk","at_risk",IF($Q58&gt;=85,"vip",IF($Q58&gt;=70,"loyal",IF($Q58&gt;=50,"active",IF($N58=0,"new","needs_attention")))))))</x:f>
      </x:c>
      <x:c r="S58" s="19"/>
      <x:c r="T58" s="18"/>
      <x:c r="U58" s="19"/>
      <x:c r="V58" s="20"/>
      <x:c r="W58" s="26"/>
      <x:c r="X58" s="19"/>
      <x:c r="Y58" s="26"/>
      <x:c r="Z58" s="19"/>
      <x:c r="AA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20"/>
      <x:c r="J59" s="19"/>
      <x:c r="K59" s="19"/>
      <x:c r="L59" s="92" t="str">
        <x:f>IF($A59="","",IF(COUNTIFS('Orders'!$C$2:$C$500,$A59,'Orders'!$M$2:$M$500,"&lt;&gt;cancelled")=0,"",MAXIFS('Orders'!$G$2:$G$500,'Orders'!$C$2:$C$500,$A59,'Orders'!$M$2:$M$500,"&lt;&gt;cancelled")))</x:f>
      </x:c>
      <x:c r="M59" s="96" t="str">
        <x:f>IF($A59="","",SUMIFS('Orders'!$K$2:$K$500,'Orders'!$C$2:$C$500,$A59,'Orders'!$M$2:$M$500,"&lt;&gt;cancelled"))</x:f>
      </x:c>
      <x:c r="N59" s="96" t="str">
        <x:f>IF($A59="","",COUNTIFS('Orders'!$C$2:$C$500,$A59,'Orders'!$M$2:$M$500,"&lt;&gt;cancelled"))</x:f>
      </x:c>
      <x:c r="O59" s="100" t="str">
        <x:f>IF($A59="","",IF(COUNTIF('Interactions'!$B$2:$B$500,$A59)=0,"",MAXIFS('Interactions'!$G$2:$G$500,'Interactions'!$B$2:$B$500,$A59)))</x:f>
      </x:c>
      <x:c r="P59" s="100" t="str">
        <x:f>IF($A59="","",IF(COUNTIFS('FollowUps'!$B$2:$B$500,$A59,'FollowUps'!$H$2:$H$500,"open")=0,"",MINIFS('FollowUps'!$E$2:$E$500,'FollowUps'!$B$2:$B$500,$A59,'FollowUps'!$H$2:$H$500,"open")))</x:f>
      </x:c>
      <x:c r="Q59" s="104" t="str">
        <x:f>IF($A59="","",ROUND(MIN(25,$N59/VALUE(INDEX('Settings'!$B$2:$B$100,MATCH("score_purchase_target",'Settings'!$A$2:$A$100,0)))*25)+MIN(25,$M59/VALUE(INDEX('Settings'!$B$2:$B$100,MATCH("score_value_target",'Settings'!$A$2:$A$100,0)))*25)+IF($L59="",0,MAX(0,25-(TODAY()-$L59)/VALUE(INDEX('Settings'!$B$2:$B$100,MATCH("score_recency_days",'Settings'!$A$2:$A$100,0)))*25))+MIN(15,COUNTIFS('FollowUps'!$B$2:$B$500,$A59,'FollowUps'!$H$2:$H$500,"done")/VALUE(INDEX('Settings'!$B$2:$B$100,MATCH("score_response_target",'Settings'!$A$2:$A$100,0)))*15)+IF(COUNTIFS('Interactions'!$B$2:$B$500,$A59,'Interactions'!$E$2:$E$500,"complaint")=0,10,0),0))</x:f>
      </x:c>
      <x:c r="R59" s="108" t="str">
        <x:f>IF($A59="","",IF($J59="inactive","inactive",IF($J59="at_risk","at_risk",IF($Q59&gt;=85,"vip",IF($Q59&gt;=70,"loyal",IF($Q59&gt;=50,"active",IF($N59=0,"new","needs_attention")))))))</x:f>
      </x:c>
      <x:c r="S59" s="19"/>
      <x:c r="T59" s="18"/>
      <x:c r="U59" s="19"/>
      <x:c r="V59" s="20"/>
      <x:c r="W59" s="26"/>
      <x:c r="X59" s="19"/>
      <x:c r="Y59" s="26"/>
      <x:c r="Z59" s="19"/>
      <x:c r="AA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20"/>
      <x:c r="J60" s="19"/>
      <x:c r="K60" s="19"/>
      <x:c r="L60" s="92" t="str">
        <x:f>IF($A60="","",IF(COUNTIFS('Orders'!$C$2:$C$500,$A60,'Orders'!$M$2:$M$500,"&lt;&gt;cancelled")=0,"",MAXIFS('Orders'!$G$2:$G$500,'Orders'!$C$2:$C$500,$A60,'Orders'!$M$2:$M$500,"&lt;&gt;cancelled")))</x:f>
      </x:c>
      <x:c r="M60" s="96" t="str">
        <x:f>IF($A60="","",SUMIFS('Orders'!$K$2:$K$500,'Orders'!$C$2:$C$500,$A60,'Orders'!$M$2:$M$500,"&lt;&gt;cancelled"))</x:f>
      </x:c>
      <x:c r="N60" s="96" t="str">
        <x:f>IF($A60="","",COUNTIFS('Orders'!$C$2:$C$500,$A60,'Orders'!$M$2:$M$500,"&lt;&gt;cancelled"))</x:f>
      </x:c>
      <x:c r="O60" s="100" t="str">
        <x:f>IF($A60="","",IF(COUNTIF('Interactions'!$B$2:$B$500,$A60)=0,"",MAXIFS('Interactions'!$G$2:$G$500,'Interactions'!$B$2:$B$500,$A60)))</x:f>
      </x:c>
      <x:c r="P60" s="100" t="str">
        <x:f>IF($A60="","",IF(COUNTIFS('FollowUps'!$B$2:$B$500,$A60,'FollowUps'!$H$2:$H$500,"open")=0,"",MINIFS('FollowUps'!$E$2:$E$500,'FollowUps'!$B$2:$B$500,$A60,'FollowUps'!$H$2:$H$500,"open")))</x:f>
      </x:c>
      <x:c r="Q60" s="104" t="str">
        <x:f>IF($A60="","",ROUND(MIN(25,$N60/VALUE(INDEX('Settings'!$B$2:$B$100,MATCH("score_purchase_target",'Settings'!$A$2:$A$100,0)))*25)+MIN(25,$M60/VALUE(INDEX('Settings'!$B$2:$B$100,MATCH("score_value_target",'Settings'!$A$2:$A$100,0)))*25)+IF($L60="",0,MAX(0,25-(TODAY()-$L60)/VALUE(INDEX('Settings'!$B$2:$B$100,MATCH("score_recency_days",'Settings'!$A$2:$A$100,0)))*25))+MIN(15,COUNTIFS('FollowUps'!$B$2:$B$500,$A60,'FollowUps'!$H$2:$H$500,"done")/VALUE(INDEX('Settings'!$B$2:$B$100,MATCH("score_response_target",'Settings'!$A$2:$A$100,0)))*15)+IF(COUNTIFS('Interactions'!$B$2:$B$500,$A60,'Interactions'!$E$2:$E$500,"complaint")=0,10,0),0))</x:f>
      </x:c>
      <x:c r="R60" s="108" t="str">
        <x:f>IF($A60="","",IF($J60="inactive","inactive",IF($J60="at_risk","at_risk",IF($Q60&gt;=85,"vip",IF($Q60&gt;=70,"loyal",IF($Q60&gt;=50,"active",IF($N60=0,"new","needs_attention")))))))</x:f>
      </x:c>
      <x:c r="S60" s="19"/>
      <x:c r="T60" s="18"/>
      <x:c r="U60" s="19"/>
      <x:c r="V60" s="20"/>
      <x:c r="W60" s="26"/>
      <x:c r="X60" s="19"/>
      <x:c r="Y60" s="26"/>
      <x:c r="Z60" s="19"/>
      <x:c r="AA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20"/>
      <x:c r="J61" s="19"/>
      <x:c r="K61" s="19"/>
      <x:c r="L61" s="92" t="str">
        <x:f>IF($A61="","",IF(COUNTIFS('Orders'!$C$2:$C$500,$A61,'Orders'!$M$2:$M$500,"&lt;&gt;cancelled")=0,"",MAXIFS('Orders'!$G$2:$G$500,'Orders'!$C$2:$C$500,$A61,'Orders'!$M$2:$M$500,"&lt;&gt;cancelled")))</x:f>
      </x:c>
      <x:c r="M61" s="96" t="str">
        <x:f>IF($A61="","",SUMIFS('Orders'!$K$2:$K$500,'Orders'!$C$2:$C$500,$A61,'Orders'!$M$2:$M$500,"&lt;&gt;cancelled"))</x:f>
      </x:c>
      <x:c r="N61" s="96" t="str">
        <x:f>IF($A61="","",COUNTIFS('Orders'!$C$2:$C$500,$A61,'Orders'!$M$2:$M$500,"&lt;&gt;cancelled"))</x:f>
      </x:c>
      <x:c r="O61" s="100" t="str">
        <x:f>IF($A61="","",IF(COUNTIF('Interactions'!$B$2:$B$500,$A61)=0,"",MAXIFS('Interactions'!$G$2:$G$500,'Interactions'!$B$2:$B$500,$A61)))</x:f>
      </x:c>
      <x:c r="P61" s="100" t="str">
        <x:f>IF($A61="","",IF(COUNTIFS('FollowUps'!$B$2:$B$500,$A61,'FollowUps'!$H$2:$H$500,"open")=0,"",MINIFS('FollowUps'!$E$2:$E$500,'FollowUps'!$B$2:$B$500,$A61,'FollowUps'!$H$2:$H$500,"open")))</x:f>
      </x:c>
      <x:c r="Q61" s="104" t="str">
        <x:f>IF($A61="","",ROUND(MIN(25,$N61/VALUE(INDEX('Settings'!$B$2:$B$100,MATCH("score_purchase_target",'Settings'!$A$2:$A$100,0)))*25)+MIN(25,$M61/VALUE(INDEX('Settings'!$B$2:$B$100,MATCH("score_value_target",'Settings'!$A$2:$A$100,0)))*25)+IF($L61="",0,MAX(0,25-(TODAY()-$L61)/VALUE(INDEX('Settings'!$B$2:$B$100,MATCH("score_recency_days",'Settings'!$A$2:$A$100,0)))*25))+MIN(15,COUNTIFS('FollowUps'!$B$2:$B$500,$A61,'FollowUps'!$H$2:$H$500,"done")/VALUE(INDEX('Settings'!$B$2:$B$100,MATCH("score_response_target",'Settings'!$A$2:$A$100,0)))*15)+IF(COUNTIFS('Interactions'!$B$2:$B$500,$A61,'Interactions'!$E$2:$E$500,"complaint")=0,10,0),0))</x:f>
      </x:c>
      <x:c r="R61" s="108" t="str">
        <x:f>IF($A61="","",IF($J61="inactive","inactive",IF($J61="at_risk","at_risk",IF($Q61&gt;=85,"vip",IF($Q61&gt;=70,"loyal",IF($Q61&gt;=50,"active",IF($N61=0,"new","needs_attention")))))))</x:f>
      </x:c>
      <x:c r="S61" s="19"/>
      <x:c r="T61" s="18"/>
      <x:c r="U61" s="19"/>
      <x:c r="V61" s="20"/>
      <x:c r="W61" s="26"/>
      <x:c r="X61" s="19"/>
      <x:c r="Y61" s="26"/>
      <x:c r="Z61" s="19"/>
      <x:c r="AA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20"/>
      <x:c r="J62" s="19"/>
      <x:c r="K62" s="19"/>
      <x:c r="L62" s="92" t="str">
        <x:f>IF($A62="","",IF(COUNTIFS('Orders'!$C$2:$C$500,$A62,'Orders'!$M$2:$M$500,"&lt;&gt;cancelled")=0,"",MAXIFS('Orders'!$G$2:$G$500,'Orders'!$C$2:$C$500,$A62,'Orders'!$M$2:$M$500,"&lt;&gt;cancelled")))</x:f>
      </x:c>
      <x:c r="M62" s="96" t="str">
        <x:f>IF($A62="","",SUMIFS('Orders'!$K$2:$K$500,'Orders'!$C$2:$C$500,$A62,'Orders'!$M$2:$M$500,"&lt;&gt;cancelled"))</x:f>
      </x:c>
      <x:c r="N62" s="96" t="str">
        <x:f>IF($A62="","",COUNTIFS('Orders'!$C$2:$C$500,$A62,'Orders'!$M$2:$M$500,"&lt;&gt;cancelled"))</x:f>
      </x:c>
      <x:c r="O62" s="100" t="str">
        <x:f>IF($A62="","",IF(COUNTIF('Interactions'!$B$2:$B$500,$A62)=0,"",MAXIFS('Interactions'!$G$2:$G$500,'Interactions'!$B$2:$B$500,$A62)))</x:f>
      </x:c>
      <x:c r="P62" s="100" t="str">
        <x:f>IF($A62="","",IF(COUNTIFS('FollowUps'!$B$2:$B$500,$A62,'FollowUps'!$H$2:$H$500,"open")=0,"",MINIFS('FollowUps'!$E$2:$E$500,'FollowUps'!$B$2:$B$500,$A62,'FollowUps'!$H$2:$H$500,"open")))</x:f>
      </x:c>
      <x:c r="Q62" s="104" t="str">
        <x:f>IF($A62="","",ROUND(MIN(25,$N62/VALUE(INDEX('Settings'!$B$2:$B$100,MATCH("score_purchase_target",'Settings'!$A$2:$A$100,0)))*25)+MIN(25,$M62/VALUE(INDEX('Settings'!$B$2:$B$100,MATCH("score_value_target",'Settings'!$A$2:$A$100,0)))*25)+IF($L62="",0,MAX(0,25-(TODAY()-$L62)/VALUE(INDEX('Settings'!$B$2:$B$100,MATCH("score_recency_days",'Settings'!$A$2:$A$100,0)))*25))+MIN(15,COUNTIFS('FollowUps'!$B$2:$B$500,$A62,'FollowUps'!$H$2:$H$500,"done")/VALUE(INDEX('Settings'!$B$2:$B$100,MATCH("score_response_target",'Settings'!$A$2:$A$100,0)))*15)+IF(COUNTIFS('Interactions'!$B$2:$B$500,$A62,'Interactions'!$E$2:$E$500,"complaint")=0,10,0),0))</x:f>
      </x:c>
      <x:c r="R62" s="108" t="str">
        <x:f>IF($A62="","",IF($J62="inactive","inactive",IF($J62="at_risk","at_risk",IF($Q62&gt;=85,"vip",IF($Q62&gt;=70,"loyal",IF($Q62&gt;=50,"active",IF($N62=0,"new","needs_attention")))))))</x:f>
      </x:c>
      <x:c r="S62" s="19"/>
      <x:c r="T62" s="18"/>
      <x:c r="U62" s="19"/>
      <x:c r="V62" s="20"/>
      <x:c r="W62" s="26"/>
      <x:c r="X62" s="19"/>
      <x:c r="Y62" s="26"/>
      <x:c r="Z62" s="19"/>
      <x:c r="AA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20"/>
      <x:c r="J63" s="19"/>
      <x:c r="K63" s="19"/>
      <x:c r="L63" s="92" t="str">
        <x:f>IF($A63="","",IF(COUNTIFS('Orders'!$C$2:$C$500,$A63,'Orders'!$M$2:$M$500,"&lt;&gt;cancelled")=0,"",MAXIFS('Orders'!$G$2:$G$500,'Orders'!$C$2:$C$500,$A63,'Orders'!$M$2:$M$500,"&lt;&gt;cancelled")))</x:f>
      </x:c>
      <x:c r="M63" s="96" t="str">
        <x:f>IF($A63="","",SUMIFS('Orders'!$K$2:$K$500,'Orders'!$C$2:$C$500,$A63,'Orders'!$M$2:$M$500,"&lt;&gt;cancelled"))</x:f>
      </x:c>
      <x:c r="N63" s="96" t="str">
        <x:f>IF($A63="","",COUNTIFS('Orders'!$C$2:$C$500,$A63,'Orders'!$M$2:$M$500,"&lt;&gt;cancelled"))</x:f>
      </x:c>
      <x:c r="O63" s="100" t="str">
        <x:f>IF($A63="","",IF(COUNTIF('Interactions'!$B$2:$B$500,$A63)=0,"",MAXIFS('Interactions'!$G$2:$G$500,'Interactions'!$B$2:$B$500,$A63)))</x:f>
      </x:c>
      <x:c r="P63" s="100" t="str">
        <x:f>IF($A63="","",IF(COUNTIFS('FollowUps'!$B$2:$B$500,$A63,'FollowUps'!$H$2:$H$500,"open")=0,"",MINIFS('FollowUps'!$E$2:$E$500,'FollowUps'!$B$2:$B$500,$A63,'FollowUps'!$H$2:$H$500,"open")))</x:f>
      </x:c>
      <x:c r="Q63" s="104" t="str">
        <x:f>IF($A63="","",ROUND(MIN(25,$N63/VALUE(INDEX('Settings'!$B$2:$B$100,MATCH("score_purchase_target",'Settings'!$A$2:$A$100,0)))*25)+MIN(25,$M63/VALUE(INDEX('Settings'!$B$2:$B$100,MATCH("score_value_target",'Settings'!$A$2:$A$100,0)))*25)+IF($L63="",0,MAX(0,25-(TODAY()-$L63)/VALUE(INDEX('Settings'!$B$2:$B$100,MATCH("score_recency_days",'Settings'!$A$2:$A$100,0)))*25))+MIN(15,COUNTIFS('FollowUps'!$B$2:$B$500,$A63,'FollowUps'!$H$2:$H$500,"done")/VALUE(INDEX('Settings'!$B$2:$B$100,MATCH("score_response_target",'Settings'!$A$2:$A$100,0)))*15)+IF(COUNTIFS('Interactions'!$B$2:$B$500,$A63,'Interactions'!$E$2:$E$500,"complaint")=0,10,0),0))</x:f>
      </x:c>
      <x:c r="R63" s="108" t="str">
        <x:f>IF($A63="","",IF($J63="inactive","inactive",IF($J63="at_risk","at_risk",IF($Q63&gt;=85,"vip",IF($Q63&gt;=70,"loyal",IF($Q63&gt;=50,"active",IF($N63=0,"new","needs_attention")))))))</x:f>
      </x:c>
      <x:c r="S63" s="19"/>
      <x:c r="T63" s="18"/>
      <x:c r="U63" s="19"/>
      <x:c r="V63" s="20"/>
      <x:c r="W63" s="26"/>
      <x:c r="X63" s="19"/>
      <x:c r="Y63" s="26"/>
      <x:c r="Z63" s="19"/>
      <x:c r="AA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20"/>
      <x:c r="J64" s="19"/>
      <x:c r="K64" s="19"/>
      <x:c r="L64" s="92" t="str">
        <x:f>IF($A64="","",IF(COUNTIFS('Orders'!$C$2:$C$500,$A64,'Orders'!$M$2:$M$500,"&lt;&gt;cancelled")=0,"",MAXIFS('Orders'!$G$2:$G$500,'Orders'!$C$2:$C$500,$A64,'Orders'!$M$2:$M$500,"&lt;&gt;cancelled")))</x:f>
      </x:c>
      <x:c r="M64" s="96" t="str">
        <x:f>IF($A64="","",SUMIFS('Orders'!$K$2:$K$500,'Orders'!$C$2:$C$500,$A64,'Orders'!$M$2:$M$500,"&lt;&gt;cancelled"))</x:f>
      </x:c>
      <x:c r="N64" s="96" t="str">
        <x:f>IF($A64="","",COUNTIFS('Orders'!$C$2:$C$500,$A64,'Orders'!$M$2:$M$500,"&lt;&gt;cancelled"))</x:f>
      </x:c>
      <x:c r="O64" s="100" t="str">
        <x:f>IF($A64="","",IF(COUNTIF('Interactions'!$B$2:$B$500,$A64)=0,"",MAXIFS('Interactions'!$G$2:$G$500,'Interactions'!$B$2:$B$500,$A64)))</x:f>
      </x:c>
      <x:c r="P64" s="100" t="str">
        <x:f>IF($A64="","",IF(COUNTIFS('FollowUps'!$B$2:$B$500,$A64,'FollowUps'!$H$2:$H$500,"open")=0,"",MINIFS('FollowUps'!$E$2:$E$500,'FollowUps'!$B$2:$B$500,$A64,'FollowUps'!$H$2:$H$500,"open")))</x:f>
      </x:c>
      <x:c r="Q64" s="104" t="str">
        <x:f>IF($A64="","",ROUND(MIN(25,$N64/VALUE(INDEX('Settings'!$B$2:$B$100,MATCH("score_purchase_target",'Settings'!$A$2:$A$100,0)))*25)+MIN(25,$M64/VALUE(INDEX('Settings'!$B$2:$B$100,MATCH("score_value_target",'Settings'!$A$2:$A$100,0)))*25)+IF($L64="",0,MAX(0,25-(TODAY()-$L64)/VALUE(INDEX('Settings'!$B$2:$B$100,MATCH("score_recency_days",'Settings'!$A$2:$A$100,0)))*25))+MIN(15,COUNTIFS('FollowUps'!$B$2:$B$500,$A64,'FollowUps'!$H$2:$H$500,"done")/VALUE(INDEX('Settings'!$B$2:$B$100,MATCH("score_response_target",'Settings'!$A$2:$A$100,0)))*15)+IF(COUNTIFS('Interactions'!$B$2:$B$500,$A64,'Interactions'!$E$2:$E$500,"complaint")=0,10,0),0))</x:f>
      </x:c>
      <x:c r="R64" s="108" t="str">
        <x:f>IF($A64="","",IF($J64="inactive","inactive",IF($J64="at_risk","at_risk",IF($Q64&gt;=85,"vip",IF($Q64&gt;=70,"loyal",IF($Q64&gt;=50,"active",IF($N64=0,"new","needs_attention")))))))</x:f>
      </x:c>
      <x:c r="S64" s="19"/>
      <x:c r="T64" s="18"/>
      <x:c r="U64" s="19"/>
      <x:c r="V64" s="20"/>
      <x:c r="W64" s="26"/>
      <x:c r="X64" s="19"/>
      <x:c r="Y64" s="26"/>
      <x:c r="Z64" s="19"/>
      <x:c r="AA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20"/>
      <x:c r="J65" s="19"/>
      <x:c r="K65" s="19"/>
      <x:c r="L65" s="92" t="str">
        <x:f>IF($A65="","",IF(COUNTIFS('Orders'!$C$2:$C$500,$A65,'Orders'!$M$2:$M$500,"&lt;&gt;cancelled")=0,"",MAXIFS('Orders'!$G$2:$G$500,'Orders'!$C$2:$C$500,$A65,'Orders'!$M$2:$M$500,"&lt;&gt;cancelled")))</x:f>
      </x:c>
      <x:c r="M65" s="96" t="str">
        <x:f>IF($A65="","",SUMIFS('Orders'!$K$2:$K$500,'Orders'!$C$2:$C$500,$A65,'Orders'!$M$2:$M$500,"&lt;&gt;cancelled"))</x:f>
      </x:c>
      <x:c r="N65" s="96" t="str">
        <x:f>IF($A65="","",COUNTIFS('Orders'!$C$2:$C$500,$A65,'Orders'!$M$2:$M$500,"&lt;&gt;cancelled"))</x:f>
      </x:c>
      <x:c r="O65" s="100" t="str">
        <x:f>IF($A65="","",IF(COUNTIF('Interactions'!$B$2:$B$500,$A65)=0,"",MAXIFS('Interactions'!$G$2:$G$500,'Interactions'!$B$2:$B$500,$A65)))</x:f>
      </x:c>
      <x:c r="P65" s="100" t="str">
        <x:f>IF($A65="","",IF(COUNTIFS('FollowUps'!$B$2:$B$500,$A65,'FollowUps'!$H$2:$H$500,"open")=0,"",MINIFS('FollowUps'!$E$2:$E$500,'FollowUps'!$B$2:$B$500,$A65,'FollowUps'!$H$2:$H$500,"open")))</x:f>
      </x:c>
      <x:c r="Q65" s="104" t="str">
        <x:f>IF($A65="","",ROUND(MIN(25,$N65/VALUE(INDEX('Settings'!$B$2:$B$100,MATCH("score_purchase_target",'Settings'!$A$2:$A$100,0)))*25)+MIN(25,$M65/VALUE(INDEX('Settings'!$B$2:$B$100,MATCH("score_value_target",'Settings'!$A$2:$A$100,0)))*25)+IF($L65="",0,MAX(0,25-(TODAY()-$L65)/VALUE(INDEX('Settings'!$B$2:$B$100,MATCH("score_recency_days",'Settings'!$A$2:$A$100,0)))*25))+MIN(15,COUNTIFS('FollowUps'!$B$2:$B$500,$A65,'FollowUps'!$H$2:$H$500,"done")/VALUE(INDEX('Settings'!$B$2:$B$100,MATCH("score_response_target",'Settings'!$A$2:$A$100,0)))*15)+IF(COUNTIFS('Interactions'!$B$2:$B$500,$A65,'Interactions'!$E$2:$E$500,"complaint")=0,10,0),0))</x:f>
      </x:c>
      <x:c r="R65" s="108" t="str">
        <x:f>IF($A65="","",IF($J65="inactive","inactive",IF($J65="at_risk","at_risk",IF($Q65&gt;=85,"vip",IF($Q65&gt;=70,"loyal",IF($Q65&gt;=50,"active",IF($N65=0,"new","needs_attention")))))))</x:f>
      </x:c>
      <x:c r="S65" s="19"/>
      <x:c r="T65" s="18"/>
      <x:c r="U65" s="19"/>
      <x:c r="V65" s="20"/>
      <x:c r="W65" s="26"/>
      <x:c r="X65" s="19"/>
      <x:c r="Y65" s="26"/>
      <x:c r="Z65" s="19"/>
      <x:c r="AA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20"/>
      <x:c r="J66" s="19"/>
      <x:c r="K66" s="19"/>
      <x:c r="L66" s="92" t="str">
        <x:f>IF($A66="","",IF(COUNTIFS('Orders'!$C$2:$C$500,$A66,'Orders'!$M$2:$M$500,"&lt;&gt;cancelled")=0,"",MAXIFS('Orders'!$G$2:$G$500,'Orders'!$C$2:$C$500,$A66,'Orders'!$M$2:$M$500,"&lt;&gt;cancelled")))</x:f>
      </x:c>
      <x:c r="M66" s="96" t="str">
        <x:f>IF($A66="","",SUMIFS('Orders'!$K$2:$K$500,'Orders'!$C$2:$C$500,$A66,'Orders'!$M$2:$M$500,"&lt;&gt;cancelled"))</x:f>
      </x:c>
      <x:c r="N66" s="96" t="str">
        <x:f>IF($A66="","",COUNTIFS('Orders'!$C$2:$C$500,$A66,'Orders'!$M$2:$M$500,"&lt;&gt;cancelled"))</x:f>
      </x:c>
      <x:c r="O66" s="100" t="str">
        <x:f>IF($A66="","",IF(COUNTIF('Interactions'!$B$2:$B$500,$A66)=0,"",MAXIFS('Interactions'!$G$2:$G$500,'Interactions'!$B$2:$B$500,$A66)))</x:f>
      </x:c>
      <x:c r="P66" s="100" t="str">
        <x:f>IF($A66="","",IF(COUNTIFS('FollowUps'!$B$2:$B$500,$A66,'FollowUps'!$H$2:$H$500,"open")=0,"",MINIFS('FollowUps'!$E$2:$E$500,'FollowUps'!$B$2:$B$500,$A66,'FollowUps'!$H$2:$H$500,"open")))</x:f>
      </x:c>
      <x:c r="Q66" s="104" t="str">
        <x:f>IF($A66="","",ROUND(MIN(25,$N66/VALUE(INDEX('Settings'!$B$2:$B$100,MATCH("score_purchase_target",'Settings'!$A$2:$A$100,0)))*25)+MIN(25,$M66/VALUE(INDEX('Settings'!$B$2:$B$100,MATCH("score_value_target",'Settings'!$A$2:$A$100,0)))*25)+IF($L66="",0,MAX(0,25-(TODAY()-$L66)/VALUE(INDEX('Settings'!$B$2:$B$100,MATCH("score_recency_days",'Settings'!$A$2:$A$100,0)))*25))+MIN(15,COUNTIFS('FollowUps'!$B$2:$B$500,$A66,'FollowUps'!$H$2:$H$500,"done")/VALUE(INDEX('Settings'!$B$2:$B$100,MATCH("score_response_target",'Settings'!$A$2:$A$100,0)))*15)+IF(COUNTIFS('Interactions'!$B$2:$B$500,$A66,'Interactions'!$E$2:$E$500,"complaint")=0,10,0),0))</x:f>
      </x:c>
      <x:c r="R66" s="108" t="str">
        <x:f>IF($A66="","",IF($J66="inactive","inactive",IF($J66="at_risk","at_risk",IF($Q66&gt;=85,"vip",IF($Q66&gt;=70,"loyal",IF($Q66&gt;=50,"active",IF($N66=0,"new","needs_attention")))))))</x:f>
      </x:c>
      <x:c r="S66" s="19"/>
      <x:c r="T66" s="18"/>
      <x:c r="U66" s="19"/>
      <x:c r="V66" s="20"/>
      <x:c r="W66" s="26"/>
      <x:c r="X66" s="19"/>
      <x:c r="Y66" s="26"/>
      <x:c r="Z66" s="19"/>
      <x:c r="AA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20"/>
      <x:c r="J67" s="19"/>
      <x:c r="K67" s="19"/>
      <x:c r="L67" s="92" t="str">
        <x:f>IF($A67="","",IF(COUNTIFS('Orders'!$C$2:$C$500,$A67,'Orders'!$M$2:$M$500,"&lt;&gt;cancelled")=0,"",MAXIFS('Orders'!$G$2:$G$500,'Orders'!$C$2:$C$500,$A67,'Orders'!$M$2:$M$500,"&lt;&gt;cancelled")))</x:f>
      </x:c>
      <x:c r="M67" s="96" t="str">
        <x:f>IF($A67="","",SUMIFS('Orders'!$K$2:$K$500,'Orders'!$C$2:$C$500,$A67,'Orders'!$M$2:$M$500,"&lt;&gt;cancelled"))</x:f>
      </x:c>
      <x:c r="N67" s="96" t="str">
        <x:f>IF($A67="","",COUNTIFS('Orders'!$C$2:$C$500,$A67,'Orders'!$M$2:$M$500,"&lt;&gt;cancelled"))</x:f>
      </x:c>
      <x:c r="O67" s="100" t="str">
        <x:f>IF($A67="","",IF(COUNTIF('Interactions'!$B$2:$B$500,$A67)=0,"",MAXIFS('Interactions'!$G$2:$G$500,'Interactions'!$B$2:$B$500,$A67)))</x:f>
      </x:c>
      <x:c r="P67" s="100" t="str">
        <x:f>IF($A67="","",IF(COUNTIFS('FollowUps'!$B$2:$B$500,$A67,'FollowUps'!$H$2:$H$500,"open")=0,"",MINIFS('FollowUps'!$E$2:$E$500,'FollowUps'!$B$2:$B$500,$A67,'FollowUps'!$H$2:$H$500,"open")))</x:f>
      </x:c>
      <x:c r="Q67" s="104" t="str">
        <x:f>IF($A67="","",ROUND(MIN(25,$N67/VALUE(INDEX('Settings'!$B$2:$B$100,MATCH("score_purchase_target",'Settings'!$A$2:$A$100,0)))*25)+MIN(25,$M67/VALUE(INDEX('Settings'!$B$2:$B$100,MATCH("score_value_target",'Settings'!$A$2:$A$100,0)))*25)+IF($L67="",0,MAX(0,25-(TODAY()-$L67)/VALUE(INDEX('Settings'!$B$2:$B$100,MATCH("score_recency_days",'Settings'!$A$2:$A$100,0)))*25))+MIN(15,COUNTIFS('FollowUps'!$B$2:$B$500,$A67,'FollowUps'!$H$2:$H$500,"done")/VALUE(INDEX('Settings'!$B$2:$B$100,MATCH("score_response_target",'Settings'!$A$2:$A$100,0)))*15)+IF(COUNTIFS('Interactions'!$B$2:$B$500,$A67,'Interactions'!$E$2:$E$500,"complaint")=0,10,0),0))</x:f>
      </x:c>
      <x:c r="R67" s="108" t="str">
        <x:f>IF($A67="","",IF($J67="inactive","inactive",IF($J67="at_risk","at_risk",IF($Q67&gt;=85,"vip",IF($Q67&gt;=70,"loyal",IF($Q67&gt;=50,"active",IF($N67=0,"new","needs_attention")))))))</x:f>
      </x:c>
      <x:c r="S67" s="19"/>
      <x:c r="T67" s="18"/>
      <x:c r="U67" s="19"/>
      <x:c r="V67" s="20"/>
      <x:c r="W67" s="26"/>
      <x:c r="X67" s="19"/>
      <x:c r="Y67" s="26"/>
      <x:c r="Z67" s="19"/>
      <x:c r="AA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20"/>
      <x:c r="J68" s="19"/>
      <x:c r="K68" s="19"/>
      <x:c r="L68" s="92" t="str">
        <x:f>IF($A68="","",IF(COUNTIFS('Orders'!$C$2:$C$500,$A68,'Orders'!$M$2:$M$500,"&lt;&gt;cancelled")=0,"",MAXIFS('Orders'!$G$2:$G$500,'Orders'!$C$2:$C$500,$A68,'Orders'!$M$2:$M$500,"&lt;&gt;cancelled")))</x:f>
      </x:c>
      <x:c r="M68" s="96" t="str">
        <x:f>IF($A68="","",SUMIFS('Orders'!$K$2:$K$500,'Orders'!$C$2:$C$500,$A68,'Orders'!$M$2:$M$500,"&lt;&gt;cancelled"))</x:f>
      </x:c>
      <x:c r="N68" s="96" t="str">
        <x:f>IF($A68="","",COUNTIFS('Orders'!$C$2:$C$500,$A68,'Orders'!$M$2:$M$500,"&lt;&gt;cancelled"))</x:f>
      </x:c>
      <x:c r="O68" s="100" t="str">
        <x:f>IF($A68="","",IF(COUNTIF('Interactions'!$B$2:$B$500,$A68)=0,"",MAXIFS('Interactions'!$G$2:$G$500,'Interactions'!$B$2:$B$500,$A68)))</x:f>
      </x:c>
      <x:c r="P68" s="100" t="str">
        <x:f>IF($A68="","",IF(COUNTIFS('FollowUps'!$B$2:$B$500,$A68,'FollowUps'!$H$2:$H$500,"open")=0,"",MINIFS('FollowUps'!$E$2:$E$500,'FollowUps'!$B$2:$B$500,$A68,'FollowUps'!$H$2:$H$500,"open")))</x:f>
      </x:c>
      <x:c r="Q68" s="104" t="str">
        <x:f>IF($A68="","",ROUND(MIN(25,$N68/VALUE(INDEX('Settings'!$B$2:$B$100,MATCH("score_purchase_target",'Settings'!$A$2:$A$100,0)))*25)+MIN(25,$M68/VALUE(INDEX('Settings'!$B$2:$B$100,MATCH("score_value_target",'Settings'!$A$2:$A$100,0)))*25)+IF($L68="",0,MAX(0,25-(TODAY()-$L68)/VALUE(INDEX('Settings'!$B$2:$B$100,MATCH("score_recency_days",'Settings'!$A$2:$A$100,0)))*25))+MIN(15,COUNTIFS('FollowUps'!$B$2:$B$500,$A68,'FollowUps'!$H$2:$H$500,"done")/VALUE(INDEX('Settings'!$B$2:$B$100,MATCH("score_response_target",'Settings'!$A$2:$A$100,0)))*15)+IF(COUNTIFS('Interactions'!$B$2:$B$500,$A68,'Interactions'!$E$2:$E$500,"complaint")=0,10,0),0))</x:f>
      </x:c>
      <x:c r="R68" s="108" t="str">
        <x:f>IF($A68="","",IF($J68="inactive","inactive",IF($J68="at_risk","at_risk",IF($Q68&gt;=85,"vip",IF($Q68&gt;=70,"loyal",IF($Q68&gt;=50,"active",IF($N68=0,"new","needs_attention")))))))</x:f>
      </x:c>
      <x:c r="S68" s="19"/>
      <x:c r="T68" s="18"/>
      <x:c r="U68" s="19"/>
      <x:c r="V68" s="20"/>
      <x:c r="W68" s="26"/>
      <x:c r="X68" s="19"/>
      <x:c r="Y68" s="26"/>
      <x:c r="Z68" s="19"/>
      <x:c r="AA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20"/>
      <x:c r="J69" s="19"/>
      <x:c r="K69" s="19"/>
      <x:c r="L69" s="92" t="str">
        <x:f>IF($A69="","",IF(COUNTIFS('Orders'!$C$2:$C$500,$A69,'Orders'!$M$2:$M$500,"&lt;&gt;cancelled")=0,"",MAXIFS('Orders'!$G$2:$G$500,'Orders'!$C$2:$C$500,$A69,'Orders'!$M$2:$M$500,"&lt;&gt;cancelled")))</x:f>
      </x:c>
      <x:c r="M69" s="96" t="str">
        <x:f>IF($A69="","",SUMIFS('Orders'!$K$2:$K$500,'Orders'!$C$2:$C$500,$A69,'Orders'!$M$2:$M$500,"&lt;&gt;cancelled"))</x:f>
      </x:c>
      <x:c r="N69" s="96" t="str">
        <x:f>IF($A69="","",COUNTIFS('Orders'!$C$2:$C$500,$A69,'Orders'!$M$2:$M$500,"&lt;&gt;cancelled"))</x:f>
      </x:c>
      <x:c r="O69" s="100" t="str">
        <x:f>IF($A69="","",IF(COUNTIF('Interactions'!$B$2:$B$500,$A69)=0,"",MAXIFS('Interactions'!$G$2:$G$500,'Interactions'!$B$2:$B$500,$A69)))</x:f>
      </x:c>
      <x:c r="P69" s="100" t="str">
        <x:f>IF($A69="","",IF(COUNTIFS('FollowUps'!$B$2:$B$500,$A69,'FollowUps'!$H$2:$H$500,"open")=0,"",MINIFS('FollowUps'!$E$2:$E$500,'FollowUps'!$B$2:$B$500,$A69,'FollowUps'!$H$2:$H$500,"open")))</x:f>
      </x:c>
      <x:c r="Q69" s="104" t="str">
        <x:f>IF($A69="","",ROUND(MIN(25,$N69/VALUE(INDEX('Settings'!$B$2:$B$100,MATCH("score_purchase_target",'Settings'!$A$2:$A$100,0)))*25)+MIN(25,$M69/VALUE(INDEX('Settings'!$B$2:$B$100,MATCH("score_value_target",'Settings'!$A$2:$A$100,0)))*25)+IF($L69="",0,MAX(0,25-(TODAY()-$L69)/VALUE(INDEX('Settings'!$B$2:$B$100,MATCH("score_recency_days",'Settings'!$A$2:$A$100,0)))*25))+MIN(15,COUNTIFS('FollowUps'!$B$2:$B$500,$A69,'FollowUps'!$H$2:$H$500,"done")/VALUE(INDEX('Settings'!$B$2:$B$100,MATCH("score_response_target",'Settings'!$A$2:$A$100,0)))*15)+IF(COUNTIFS('Interactions'!$B$2:$B$500,$A69,'Interactions'!$E$2:$E$500,"complaint")=0,10,0),0))</x:f>
      </x:c>
      <x:c r="R69" s="108" t="str">
        <x:f>IF($A69="","",IF($J69="inactive","inactive",IF($J69="at_risk","at_risk",IF($Q69&gt;=85,"vip",IF($Q69&gt;=70,"loyal",IF($Q69&gt;=50,"active",IF($N69=0,"new","needs_attention")))))))</x:f>
      </x:c>
      <x:c r="S69" s="19"/>
      <x:c r="T69" s="18"/>
      <x:c r="U69" s="19"/>
      <x:c r="V69" s="20"/>
      <x:c r="W69" s="26"/>
      <x:c r="X69" s="19"/>
      <x:c r="Y69" s="26"/>
      <x:c r="Z69" s="19"/>
      <x:c r="AA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20"/>
      <x:c r="J70" s="19"/>
      <x:c r="K70" s="19"/>
      <x:c r="L70" s="92" t="str">
        <x:f>IF($A70="","",IF(COUNTIFS('Orders'!$C$2:$C$500,$A70,'Orders'!$M$2:$M$500,"&lt;&gt;cancelled")=0,"",MAXIFS('Orders'!$G$2:$G$500,'Orders'!$C$2:$C$500,$A70,'Orders'!$M$2:$M$500,"&lt;&gt;cancelled")))</x:f>
      </x:c>
      <x:c r="M70" s="96" t="str">
        <x:f>IF($A70="","",SUMIFS('Orders'!$K$2:$K$500,'Orders'!$C$2:$C$500,$A70,'Orders'!$M$2:$M$500,"&lt;&gt;cancelled"))</x:f>
      </x:c>
      <x:c r="N70" s="96" t="str">
        <x:f>IF($A70="","",COUNTIFS('Orders'!$C$2:$C$500,$A70,'Orders'!$M$2:$M$500,"&lt;&gt;cancelled"))</x:f>
      </x:c>
      <x:c r="O70" s="100" t="str">
        <x:f>IF($A70="","",IF(COUNTIF('Interactions'!$B$2:$B$500,$A70)=0,"",MAXIFS('Interactions'!$G$2:$G$500,'Interactions'!$B$2:$B$500,$A70)))</x:f>
      </x:c>
      <x:c r="P70" s="100" t="str">
        <x:f>IF($A70="","",IF(COUNTIFS('FollowUps'!$B$2:$B$500,$A70,'FollowUps'!$H$2:$H$500,"open")=0,"",MINIFS('FollowUps'!$E$2:$E$500,'FollowUps'!$B$2:$B$500,$A70,'FollowUps'!$H$2:$H$500,"open")))</x:f>
      </x:c>
      <x:c r="Q70" s="104" t="str">
        <x:f>IF($A70="","",ROUND(MIN(25,$N70/VALUE(INDEX('Settings'!$B$2:$B$100,MATCH("score_purchase_target",'Settings'!$A$2:$A$100,0)))*25)+MIN(25,$M70/VALUE(INDEX('Settings'!$B$2:$B$100,MATCH("score_value_target",'Settings'!$A$2:$A$100,0)))*25)+IF($L70="",0,MAX(0,25-(TODAY()-$L70)/VALUE(INDEX('Settings'!$B$2:$B$100,MATCH("score_recency_days",'Settings'!$A$2:$A$100,0)))*25))+MIN(15,COUNTIFS('FollowUps'!$B$2:$B$500,$A70,'FollowUps'!$H$2:$H$500,"done")/VALUE(INDEX('Settings'!$B$2:$B$100,MATCH("score_response_target",'Settings'!$A$2:$A$100,0)))*15)+IF(COUNTIFS('Interactions'!$B$2:$B$500,$A70,'Interactions'!$E$2:$E$500,"complaint")=0,10,0),0))</x:f>
      </x:c>
      <x:c r="R70" s="108" t="str">
        <x:f>IF($A70="","",IF($J70="inactive","inactive",IF($J70="at_risk","at_risk",IF($Q70&gt;=85,"vip",IF($Q70&gt;=70,"loyal",IF($Q70&gt;=50,"active",IF($N70=0,"new","needs_attention")))))))</x:f>
      </x:c>
      <x:c r="S70" s="19"/>
      <x:c r="T70" s="18"/>
      <x:c r="U70" s="19"/>
      <x:c r="V70" s="20"/>
      <x:c r="W70" s="26"/>
      <x:c r="X70" s="19"/>
      <x:c r="Y70" s="26"/>
      <x:c r="Z70" s="19"/>
      <x:c r="AA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20"/>
      <x:c r="J71" s="19"/>
      <x:c r="K71" s="19"/>
      <x:c r="L71" s="92" t="str">
        <x:f>IF($A71="","",IF(COUNTIFS('Orders'!$C$2:$C$500,$A71,'Orders'!$M$2:$M$500,"&lt;&gt;cancelled")=0,"",MAXIFS('Orders'!$G$2:$G$500,'Orders'!$C$2:$C$500,$A71,'Orders'!$M$2:$M$500,"&lt;&gt;cancelled")))</x:f>
      </x:c>
      <x:c r="M71" s="96" t="str">
        <x:f>IF($A71="","",SUMIFS('Orders'!$K$2:$K$500,'Orders'!$C$2:$C$500,$A71,'Orders'!$M$2:$M$500,"&lt;&gt;cancelled"))</x:f>
      </x:c>
      <x:c r="N71" s="96" t="str">
        <x:f>IF($A71="","",COUNTIFS('Orders'!$C$2:$C$500,$A71,'Orders'!$M$2:$M$500,"&lt;&gt;cancelled"))</x:f>
      </x:c>
      <x:c r="O71" s="100" t="str">
        <x:f>IF($A71="","",IF(COUNTIF('Interactions'!$B$2:$B$500,$A71)=0,"",MAXIFS('Interactions'!$G$2:$G$500,'Interactions'!$B$2:$B$500,$A71)))</x:f>
      </x:c>
      <x:c r="P71" s="100" t="str">
        <x:f>IF($A71="","",IF(COUNTIFS('FollowUps'!$B$2:$B$500,$A71,'FollowUps'!$H$2:$H$500,"open")=0,"",MINIFS('FollowUps'!$E$2:$E$500,'FollowUps'!$B$2:$B$500,$A71,'FollowUps'!$H$2:$H$500,"open")))</x:f>
      </x:c>
      <x:c r="Q71" s="104" t="str">
        <x:f>IF($A71="","",ROUND(MIN(25,$N71/VALUE(INDEX('Settings'!$B$2:$B$100,MATCH("score_purchase_target",'Settings'!$A$2:$A$100,0)))*25)+MIN(25,$M71/VALUE(INDEX('Settings'!$B$2:$B$100,MATCH("score_value_target",'Settings'!$A$2:$A$100,0)))*25)+IF($L71="",0,MAX(0,25-(TODAY()-$L71)/VALUE(INDEX('Settings'!$B$2:$B$100,MATCH("score_recency_days",'Settings'!$A$2:$A$100,0)))*25))+MIN(15,COUNTIFS('FollowUps'!$B$2:$B$500,$A71,'FollowUps'!$H$2:$H$500,"done")/VALUE(INDEX('Settings'!$B$2:$B$100,MATCH("score_response_target",'Settings'!$A$2:$A$100,0)))*15)+IF(COUNTIFS('Interactions'!$B$2:$B$500,$A71,'Interactions'!$E$2:$E$500,"complaint")=0,10,0),0))</x:f>
      </x:c>
      <x:c r="R71" s="108" t="str">
        <x:f>IF($A71="","",IF($J71="inactive","inactive",IF($J71="at_risk","at_risk",IF($Q71&gt;=85,"vip",IF($Q71&gt;=70,"loyal",IF($Q71&gt;=50,"active",IF($N71=0,"new","needs_attention")))))))</x:f>
      </x:c>
      <x:c r="S71" s="19"/>
      <x:c r="T71" s="18"/>
      <x:c r="U71" s="19"/>
      <x:c r="V71" s="20"/>
      <x:c r="W71" s="26"/>
      <x:c r="X71" s="19"/>
      <x:c r="Y71" s="26"/>
      <x:c r="Z71" s="19"/>
      <x:c r="AA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20"/>
      <x:c r="J72" s="19"/>
      <x:c r="K72" s="19"/>
      <x:c r="L72" s="92" t="str">
        <x:f>IF($A72="","",IF(COUNTIFS('Orders'!$C$2:$C$500,$A72,'Orders'!$M$2:$M$500,"&lt;&gt;cancelled")=0,"",MAXIFS('Orders'!$G$2:$G$500,'Orders'!$C$2:$C$500,$A72,'Orders'!$M$2:$M$500,"&lt;&gt;cancelled")))</x:f>
      </x:c>
      <x:c r="M72" s="96" t="str">
        <x:f>IF($A72="","",SUMIFS('Orders'!$K$2:$K$500,'Orders'!$C$2:$C$500,$A72,'Orders'!$M$2:$M$500,"&lt;&gt;cancelled"))</x:f>
      </x:c>
      <x:c r="N72" s="96" t="str">
        <x:f>IF($A72="","",COUNTIFS('Orders'!$C$2:$C$500,$A72,'Orders'!$M$2:$M$500,"&lt;&gt;cancelled"))</x:f>
      </x:c>
      <x:c r="O72" s="100" t="str">
        <x:f>IF($A72="","",IF(COUNTIF('Interactions'!$B$2:$B$500,$A72)=0,"",MAXIFS('Interactions'!$G$2:$G$500,'Interactions'!$B$2:$B$500,$A72)))</x:f>
      </x:c>
      <x:c r="P72" s="100" t="str">
        <x:f>IF($A72="","",IF(COUNTIFS('FollowUps'!$B$2:$B$500,$A72,'FollowUps'!$H$2:$H$500,"open")=0,"",MINIFS('FollowUps'!$E$2:$E$500,'FollowUps'!$B$2:$B$500,$A72,'FollowUps'!$H$2:$H$500,"open")))</x:f>
      </x:c>
      <x:c r="Q72" s="104" t="str">
        <x:f>IF($A72="","",ROUND(MIN(25,$N72/VALUE(INDEX('Settings'!$B$2:$B$100,MATCH("score_purchase_target",'Settings'!$A$2:$A$100,0)))*25)+MIN(25,$M72/VALUE(INDEX('Settings'!$B$2:$B$100,MATCH("score_value_target",'Settings'!$A$2:$A$100,0)))*25)+IF($L72="",0,MAX(0,25-(TODAY()-$L72)/VALUE(INDEX('Settings'!$B$2:$B$100,MATCH("score_recency_days",'Settings'!$A$2:$A$100,0)))*25))+MIN(15,COUNTIFS('FollowUps'!$B$2:$B$500,$A72,'FollowUps'!$H$2:$H$500,"done")/VALUE(INDEX('Settings'!$B$2:$B$100,MATCH("score_response_target",'Settings'!$A$2:$A$100,0)))*15)+IF(COUNTIFS('Interactions'!$B$2:$B$500,$A72,'Interactions'!$E$2:$E$500,"complaint")=0,10,0),0))</x:f>
      </x:c>
      <x:c r="R72" s="108" t="str">
        <x:f>IF($A72="","",IF($J72="inactive","inactive",IF($J72="at_risk","at_risk",IF($Q72&gt;=85,"vip",IF($Q72&gt;=70,"loyal",IF($Q72&gt;=50,"active",IF($N72=0,"new","needs_attention")))))))</x:f>
      </x:c>
      <x:c r="S72" s="19"/>
      <x:c r="T72" s="18"/>
      <x:c r="U72" s="19"/>
      <x:c r="V72" s="20"/>
      <x:c r="W72" s="26"/>
      <x:c r="X72" s="19"/>
      <x:c r="Y72" s="26"/>
      <x:c r="Z72" s="19"/>
      <x:c r="AA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20"/>
      <x:c r="J73" s="19"/>
      <x:c r="K73" s="19"/>
      <x:c r="L73" s="92" t="str">
        <x:f>IF($A73="","",IF(COUNTIFS('Orders'!$C$2:$C$500,$A73,'Orders'!$M$2:$M$500,"&lt;&gt;cancelled")=0,"",MAXIFS('Orders'!$G$2:$G$500,'Orders'!$C$2:$C$500,$A73,'Orders'!$M$2:$M$500,"&lt;&gt;cancelled")))</x:f>
      </x:c>
      <x:c r="M73" s="96" t="str">
        <x:f>IF($A73="","",SUMIFS('Orders'!$K$2:$K$500,'Orders'!$C$2:$C$500,$A73,'Orders'!$M$2:$M$500,"&lt;&gt;cancelled"))</x:f>
      </x:c>
      <x:c r="N73" s="96" t="str">
        <x:f>IF($A73="","",COUNTIFS('Orders'!$C$2:$C$500,$A73,'Orders'!$M$2:$M$500,"&lt;&gt;cancelled"))</x:f>
      </x:c>
      <x:c r="O73" s="100" t="str">
        <x:f>IF($A73="","",IF(COUNTIF('Interactions'!$B$2:$B$500,$A73)=0,"",MAXIFS('Interactions'!$G$2:$G$500,'Interactions'!$B$2:$B$500,$A73)))</x:f>
      </x:c>
      <x:c r="P73" s="100" t="str">
        <x:f>IF($A73="","",IF(COUNTIFS('FollowUps'!$B$2:$B$500,$A73,'FollowUps'!$H$2:$H$500,"open")=0,"",MINIFS('FollowUps'!$E$2:$E$500,'FollowUps'!$B$2:$B$500,$A73,'FollowUps'!$H$2:$H$500,"open")))</x:f>
      </x:c>
      <x:c r="Q73" s="104" t="str">
        <x:f>IF($A73="","",ROUND(MIN(25,$N73/VALUE(INDEX('Settings'!$B$2:$B$100,MATCH("score_purchase_target",'Settings'!$A$2:$A$100,0)))*25)+MIN(25,$M73/VALUE(INDEX('Settings'!$B$2:$B$100,MATCH("score_value_target",'Settings'!$A$2:$A$100,0)))*25)+IF($L73="",0,MAX(0,25-(TODAY()-$L73)/VALUE(INDEX('Settings'!$B$2:$B$100,MATCH("score_recency_days",'Settings'!$A$2:$A$100,0)))*25))+MIN(15,COUNTIFS('FollowUps'!$B$2:$B$500,$A73,'FollowUps'!$H$2:$H$500,"done")/VALUE(INDEX('Settings'!$B$2:$B$100,MATCH("score_response_target",'Settings'!$A$2:$A$100,0)))*15)+IF(COUNTIFS('Interactions'!$B$2:$B$500,$A73,'Interactions'!$E$2:$E$500,"complaint")=0,10,0),0))</x:f>
      </x:c>
      <x:c r="R73" s="108" t="str">
        <x:f>IF($A73="","",IF($J73="inactive","inactive",IF($J73="at_risk","at_risk",IF($Q73&gt;=85,"vip",IF($Q73&gt;=70,"loyal",IF($Q73&gt;=50,"active",IF($N73=0,"new","needs_attention")))))))</x:f>
      </x:c>
      <x:c r="S73" s="19"/>
      <x:c r="T73" s="18"/>
      <x:c r="U73" s="19"/>
      <x:c r="V73" s="20"/>
      <x:c r="W73" s="26"/>
      <x:c r="X73" s="19"/>
      <x:c r="Y73" s="26"/>
      <x:c r="Z73" s="19"/>
      <x:c r="AA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20"/>
      <x:c r="J74" s="19"/>
      <x:c r="K74" s="19"/>
      <x:c r="L74" s="92" t="str">
        <x:f>IF($A74="","",IF(COUNTIFS('Orders'!$C$2:$C$500,$A74,'Orders'!$M$2:$M$500,"&lt;&gt;cancelled")=0,"",MAXIFS('Orders'!$G$2:$G$500,'Orders'!$C$2:$C$500,$A74,'Orders'!$M$2:$M$500,"&lt;&gt;cancelled")))</x:f>
      </x:c>
      <x:c r="M74" s="96" t="str">
        <x:f>IF($A74="","",SUMIFS('Orders'!$K$2:$K$500,'Orders'!$C$2:$C$500,$A74,'Orders'!$M$2:$M$500,"&lt;&gt;cancelled"))</x:f>
      </x:c>
      <x:c r="N74" s="96" t="str">
        <x:f>IF($A74="","",COUNTIFS('Orders'!$C$2:$C$500,$A74,'Orders'!$M$2:$M$500,"&lt;&gt;cancelled"))</x:f>
      </x:c>
      <x:c r="O74" s="100" t="str">
        <x:f>IF($A74="","",IF(COUNTIF('Interactions'!$B$2:$B$500,$A74)=0,"",MAXIFS('Interactions'!$G$2:$G$500,'Interactions'!$B$2:$B$500,$A74)))</x:f>
      </x:c>
      <x:c r="P74" s="100" t="str">
        <x:f>IF($A74="","",IF(COUNTIFS('FollowUps'!$B$2:$B$500,$A74,'FollowUps'!$H$2:$H$500,"open")=0,"",MINIFS('FollowUps'!$E$2:$E$500,'FollowUps'!$B$2:$B$500,$A74,'FollowUps'!$H$2:$H$500,"open")))</x:f>
      </x:c>
      <x:c r="Q74" s="104" t="str">
        <x:f>IF($A74="","",ROUND(MIN(25,$N74/VALUE(INDEX('Settings'!$B$2:$B$100,MATCH("score_purchase_target",'Settings'!$A$2:$A$100,0)))*25)+MIN(25,$M74/VALUE(INDEX('Settings'!$B$2:$B$100,MATCH("score_value_target",'Settings'!$A$2:$A$100,0)))*25)+IF($L74="",0,MAX(0,25-(TODAY()-$L74)/VALUE(INDEX('Settings'!$B$2:$B$100,MATCH("score_recency_days",'Settings'!$A$2:$A$100,0)))*25))+MIN(15,COUNTIFS('FollowUps'!$B$2:$B$500,$A74,'FollowUps'!$H$2:$H$500,"done")/VALUE(INDEX('Settings'!$B$2:$B$100,MATCH("score_response_target",'Settings'!$A$2:$A$100,0)))*15)+IF(COUNTIFS('Interactions'!$B$2:$B$500,$A74,'Interactions'!$E$2:$E$500,"complaint")=0,10,0),0))</x:f>
      </x:c>
      <x:c r="R74" s="108" t="str">
        <x:f>IF($A74="","",IF($J74="inactive","inactive",IF($J74="at_risk","at_risk",IF($Q74&gt;=85,"vip",IF($Q74&gt;=70,"loyal",IF($Q74&gt;=50,"active",IF($N74=0,"new","needs_attention")))))))</x:f>
      </x:c>
      <x:c r="S74" s="19"/>
      <x:c r="T74" s="18"/>
      <x:c r="U74" s="19"/>
      <x:c r="V74" s="20"/>
      <x:c r="W74" s="26"/>
      <x:c r="X74" s="19"/>
      <x:c r="Y74" s="26"/>
      <x:c r="Z74" s="19"/>
      <x:c r="AA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20"/>
      <x:c r="J75" s="19"/>
      <x:c r="K75" s="19"/>
      <x:c r="L75" s="92" t="str">
        <x:f>IF($A75="","",IF(COUNTIFS('Orders'!$C$2:$C$500,$A75,'Orders'!$M$2:$M$500,"&lt;&gt;cancelled")=0,"",MAXIFS('Orders'!$G$2:$G$500,'Orders'!$C$2:$C$500,$A75,'Orders'!$M$2:$M$500,"&lt;&gt;cancelled")))</x:f>
      </x:c>
      <x:c r="M75" s="96" t="str">
        <x:f>IF($A75="","",SUMIFS('Orders'!$K$2:$K$500,'Orders'!$C$2:$C$500,$A75,'Orders'!$M$2:$M$500,"&lt;&gt;cancelled"))</x:f>
      </x:c>
      <x:c r="N75" s="96" t="str">
        <x:f>IF($A75="","",COUNTIFS('Orders'!$C$2:$C$500,$A75,'Orders'!$M$2:$M$500,"&lt;&gt;cancelled"))</x:f>
      </x:c>
      <x:c r="O75" s="100" t="str">
        <x:f>IF($A75="","",IF(COUNTIF('Interactions'!$B$2:$B$500,$A75)=0,"",MAXIFS('Interactions'!$G$2:$G$500,'Interactions'!$B$2:$B$500,$A75)))</x:f>
      </x:c>
      <x:c r="P75" s="100" t="str">
        <x:f>IF($A75="","",IF(COUNTIFS('FollowUps'!$B$2:$B$500,$A75,'FollowUps'!$H$2:$H$500,"open")=0,"",MINIFS('FollowUps'!$E$2:$E$500,'FollowUps'!$B$2:$B$500,$A75,'FollowUps'!$H$2:$H$500,"open")))</x:f>
      </x:c>
      <x:c r="Q75" s="104" t="str">
        <x:f>IF($A75="","",ROUND(MIN(25,$N75/VALUE(INDEX('Settings'!$B$2:$B$100,MATCH("score_purchase_target",'Settings'!$A$2:$A$100,0)))*25)+MIN(25,$M75/VALUE(INDEX('Settings'!$B$2:$B$100,MATCH("score_value_target",'Settings'!$A$2:$A$100,0)))*25)+IF($L75="",0,MAX(0,25-(TODAY()-$L75)/VALUE(INDEX('Settings'!$B$2:$B$100,MATCH("score_recency_days",'Settings'!$A$2:$A$100,0)))*25))+MIN(15,COUNTIFS('FollowUps'!$B$2:$B$500,$A75,'FollowUps'!$H$2:$H$500,"done")/VALUE(INDEX('Settings'!$B$2:$B$100,MATCH("score_response_target",'Settings'!$A$2:$A$100,0)))*15)+IF(COUNTIFS('Interactions'!$B$2:$B$500,$A75,'Interactions'!$E$2:$E$500,"complaint")=0,10,0),0))</x:f>
      </x:c>
      <x:c r="R75" s="108" t="str">
        <x:f>IF($A75="","",IF($J75="inactive","inactive",IF($J75="at_risk","at_risk",IF($Q75&gt;=85,"vip",IF($Q75&gt;=70,"loyal",IF($Q75&gt;=50,"active",IF($N75=0,"new","needs_attention")))))))</x:f>
      </x:c>
      <x:c r="S75" s="19"/>
      <x:c r="T75" s="18"/>
      <x:c r="U75" s="19"/>
      <x:c r="V75" s="20"/>
      <x:c r="W75" s="26"/>
      <x:c r="X75" s="19"/>
      <x:c r="Y75" s="26"/>
      <x:c r="Z75" s="19"/>
      <x:c r="AA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20"/>
      <x:c r="J76" s="19"/>
      <x:c r="K76" s="19"/>
      <x:c r="L76" s="92" t="str">
        <x:f>IF($A76="","",IF(COUNTIFS('Orders'!$C$2:$C$500,$A76,'Orders'!$M$2:$M$500,"&lt;&gt;cancelled")=0,"",MAXIFS('Orders'!$G$2:$G$500,'Orders'!$C$2:$C$500,$A76,'Orders'!$M$2:$M$500,"&lt;&gt;cancelled")))</x:f>
      </x:c>
      <x:c r="M76" s="96" t="str">
        <x:f>IF($A76="","",SUMIFS('Orders'!$K$2:$K$500,'Orders'!$C$2:$C$500,$A76,'Orders'!$M$2:$M$500,"&lt;&gt;cancelled"))</x:f>
      </x:c>
      <x:c r="N76" s="96" t="str">
        <x:f>IF($A76="","",COUNTIFS('Orders'!$C$2:$C$500,$A76,'Orders'!$M$2:$M$500,"&lt;&gt;cancelled"))</x:f>
      </x:c>
      <x:c r="O76" s="100" t="str">
        <x:f>IF($A76="","",IF(COUNTIF('Interactions'!$B$2:$B$500,$A76)=0,"",MAXIFS('Interactions'!$G$2:$G$500,'Interactions'!$B$2:$B$500,$A76)))</x:f>
      </x:c>
      <x:c r="P76" s="100" t="str">
        <x:f>IF($A76="","",IF(COUNTIFS('FollowUps'!$B$2:$B$500,$A76,'FollowUps'!$H$2:$H$500,"open")=0,"",MINIFS('FollowUps'!$E$2:$E$500,'FollowUps'!$B$2:$B$500,$A76,'FollowUps'!$H$2:$H$500,"open")))</x:f>
      </x:c>
      <x:c r="Q76" s="104" t="str">
        <x:f>IF($A76="","",ROUND(MIN(25,$N76/VALUE(INDEX('Settings'!$B$2:$B$100,MATCH("score_purchase_target",'Settings'!$A$2:$A$100,0)))*25)+MIN(25,$M76/VALUE(INDEX('Settings'!$B$2:$B$100,MATCH("score_value_target",'Settings'!$A$2:$A$100,0)))*25)+IF($L76="",0,MAX(0,25-(TODAY()-$L76)/VALUE(INDEX('Settings'!$B$2:$B$100,MATCH("score_recency_days",'Settings'!$A$2:$A$100,0)))*25))+MIN(15,COUNTIFS('FollowUps'!$B$2:$B$500,$A76,'FollowUps'!$H$2:$H$500,"done")/VALUE(INDEX('Settings'!$B$2:$B$100,MATCH("score_response_target",'Settings'!$A$2:$A$100,0)))*15)+IF(COUNTIFS('Interactions'!$B$2:$B$500,$A76,'Interactions'!$E$2:$E$500,"complaint")=0,10,0),0))</x:f>
      </x:c>
      <x:c r="R76" s="108" t="str">
        <x:f>IF($A76="","",IF($J76="inactive","inactive",IF($J76="at_risk","at_risk",IF($Q76&gt;=85,"vip",IF($Q76&gt;=70,"loyal",IF($Q76&gt;=50,"active",IF($N76=0,"new","needs_attention")))))))</x:f>
      </x:c>
      <x:c r="S76" s="19"/>
      <x:c r="T76" s="18"/>
      <x:c r="U76" s="19"/>
      <x:c r="V76" s="20"/>
      <x:c r="W76" s="26"/>
      <x:c r="X76" s="19"/>
      <x:c r="Y76" s="26"/>
      <x:c r="Z76" s="19"/>
      <x:c r="AA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20"/>
      <x:c r="J77" s="19"/>
      <x:c r="K77" s="19"/>
      <x:c r="L77" s="92" t="str">
        <x:f>IF($A77="","",IF(COUNTIFS('Orders'!$C$2:$C$500,$A77,'Orders'!$M$2:$M$500,"&lt;&gt;cancelled")=0,"",MAXIFS('Orders'!$G$2:$G$500,'Orders'!$C$2:$C$500,$A77,'Orders'!$M$2:$M$500,"&lt;&gt;cancelled")))</x:f>
      </x:c>
      <x:c r="M77" s="96" t="str">
        <x:f>IF($A77="","",SUMIFS('Orders'!$K$2:$K$500,'Orders'!$C$2:$C$500,$A77,'Orders'!$M$2:$M$500,"&lt;&gt;cancelled"))</x:f>
      </x:c>
      <x:c r="N77" s="96" t="str">
        <x:f>IF($A77="","",COUNTIFS('Orders'!$C$2:$C$500,$A77,'Orders'!$M$2:$M$500,"&lt;&gt;cancelled"))</x:f>
      </x:c>
      <x:c r="O77" s="100" t="str">
        <x:f>IF($A77="","",IF(COUNTIF('Interactions'!$B$2:$B$500,$A77)=0,"",MAXIFS('Interactions'!$G$2:$G$500,'Interactions'!$B$2:$B$500,$A77)))</x:f>
      </x:c>
      <x:c r="P77" s="100" t="str">
        <x:f>IF($A77="","",IF(COUNTIFS('FollowUps'!$B$2:$B$500,$A77,'FollowUps'!$H$2:$H$500,"open")=0,"",MINIFS('FollowUps'!$E$2:$E$500,'FollowUps'!$B$2:$B$500,$A77,'FollowUps'!$H$2:$H$500,"open")))</x:f>
      </x:c>
      <x:c r="Q77" s="104" t="str">
        <x:f>IF($A77="","",ROUND(MIN(25,$N77/VALUE(INDEX('Settings'!$B$2:$B$100,MATCH("score_purchase_target",'Settings'!$A$2:$A$100,0)))*25)+MIN(25,$M77/VALUE(INDEX('Settings'!$B$2:$B$100,MATCH("score_value_target",'Settings'!$A$2:$A$100,0)))*25)+IF($L77="",0,MAX(0,25-(TODAY()-$L77)/VALUE(INDEX('Settings'!$B$2:$B$100,MATCH("score_recency_days",'Settings'!$A$2:$A$100,0)))*25))+MIN(15,COUNTIFS('FollowUps'!$B$2:$B$500,$A77,'FollowUps'!$H$2:$H$500,"done")/VALUE(INDEX('Settings'!$B$2:$B$100,MATCH("score_response_target",'Settings'!$A$2:$A$100,0)))*15)+IF(COUNTIFS('Interactions'!$B$2:$B$500,$A77,'Interactions'!$E$2:$E$500,"complaint")=0,10,0),0))</x:f>
      </x:c>
      <x:c r="R77" s="108" t="str">
        <x:f>IF($A77="","",IF($J77="inactive","inactive",IF($J77="at_risk","at_risk",IF($Q77&gt;=85,"vip",IF($Q77&gt;=70,"loyal",IF($Q77&gt;=50,"active",IF($N77=0,"new","needs_attention")))))))</x:f>
      </x:c>
      <x:c r="S77" s="19"/>
      <x:c r="T77" s="18"/>
      <x:c r="U77" s="19"/>
      <x:c r="V77" s="20"/>
      <x:c r="W77" s="26"/>
      <x:c r="X77" s="19"/>
      <x:c r="Y77" s="26"/>
      <x:c r="Z77" s="19"/>
      <x:c r="AA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20"/>
      <x:c r="J78" s="19"/>
      <x:c r="K78" s="19"/>
      <x:c r="L78" s="92" t="str">
        <x:f>IF($A78="","",IF(COUNTIFS('Orders'!$C$2:$C$500,$A78,'Orders'!$M$2:$M$500,"&lt;&gt;cancelled")=0,"",MAXIFS('Orders'!$G$2:$G$500,'Orders'!$C$2:$C$500,$A78,'Orders'!$M$2:$M$500,"&lt;&gt;cancelled")))</x:f>
      </x:c>
      <x:c r="M78" s="96" t="str">
        <x:f>IF($A78="","",SUMIFS('Orders'!$K$2:$K$500,'Orders'!$C$2:$C$500,$A78,'Orders'!$M$2:$M$500,"&lt;&gt;cancelled"))</x:f>
      </x:c>
      <x:c r="N78" s="96" t="str">
        <x:f>IF($A78="","",COUNTIFS('Orders'!$C$2:$C$500,$A78,'Orders'!$M$2:$M$500,"&lt;&gt;cancelled"))</x:f>
      </x:c>
      <x:c r="O78" s="100" t="str">
        <x:f>IF($A78="","",IF(COUNTIF('Interactions'!$B$2:$B$500,$A78)=0,"",MAXIFS('Interactions'!$G$2:$G$500,'Interactions'!$B$2:$B$500,$A78)))</x:f>
      </x:c>
      <x:c r="P78" s="100" t="str">
        <x:f>IF($A78="","",IF(COUNTIFS('FollowUps'!$B$2:$B$500,$A78,'FollowUps'!$H$2:$H$500,"open")=0,"",MINIFS('FollowUps'!$E$2:$E$500,'FollowUps'!$B$2:$B$500,$A78,'FollowUps'!$H$2:$H$500,"open")))</x:f>
      </x:c>
      <x:c r="Q78" s="104" t="str">
        <x:f>IF($A78="","",ROUND(MIN(25,$N78/VALUE(INDEX('Settings'!$B$2:$B$100,MATCH("score_purchase_target",'Settings'!$A$2:$A$100,0)))*25)+MIN(25,$M78/VALUE(INDEX('Settings'!$B$2:$B$100,MATCH("score_value_target",'Settings'!$A$2:$A$100,0)))*25)+IF($L78="",0,MAX(0,25-(TODAY()-$L78)/VALUE(INDEX('Settings'!$B$2:$B$100,MATCH("score_recency_days",'Settings'!$A$2:$A$100,0)))*25))+MIN(15,COUNTIFS('FollowUps'!$B$2:$B$500,$A78,'FollowUps'!$H$2:$H$500,"done")/VALUE(INDEX('Settings'!$B$2:$B$100,MATCH("score_response_target",'Settings'!$A$2:$A$100,0)))*15)+IF(COUNTIFS('Interactions'!$B$2:$B$500,$A78,'Interactions'!$E$2:$E$500,"complaint")=0,10,0),0))</x:f>
      </x:c>
      <x:c r="R78" s="108" t="str">
        <x:f>IF($A78="","",IF($J78="inactive","inactive",IF($J78="at_risk","at_risk",IF($Q78&gt;=85,"vip",IF($Q78&gt;=70,"loyal",IF($Q78&gt;=50,"active",IF($N78=0,"new","needs_attention")))))))</x:f>
      </x:c>
      <x:c r="S78" s="19"/>
      <x:c r="T78" s="18"/>
      <x:c r="U78" s="19"/>
      <x:c r="V78" s="20"/>
      <x:c r="W78" s="26"/>
      <x:c r="X78" s="19"/>
      <x:c r="Y78" s="26"/>
      <x:c r="Z78" s="19"/>
      <x:c r="AA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20"/>
      <x:c r="J79" s="19"/>
      <x:c r="K79" s="19"/>
      <x:c r="L79" s="92" t="str">
        <x:f>IF($A79="","",IF(COUNTIFS('Orders'!$C$2:$C$500,$A79,'Orders'!$M$2:$M$500,"&lt;&gt;cancelled")=0,"",MAXIFS('Orders'!$G$2:$G$500,'Orders'!$C$2:$C$500,$A79,'Orders'!$M$2:$M$500,"&lt;&gt;cancelled")))</x:f>
      </x:c>
      <x:c r="M79" s="96" t="str">
        <x:f>IF($A79="","",SUMIFS('Orders'!$K$2:$K$500,'Orders'!$C$2:$C$500,$A79,'Orders'!$M$2:$M$500,"&lt;&gt;cancelled"))</x:f>
      </x:c>
      <x:c r="N79" s="96" t="str">
        <x:f>IF($A79="","",COUNTIFS('Orders'!$C$2:$C$500,$A79,'Orders'!$M$2:$M$500,"&lt;&gt;cancelled"))</x:f>
      </x:c>
      <x:c r="O79" s="100" t="str">
        <x:f>IF($A79="","",IF(COUNTIF('Interactions'!$B$2:$B$500,$A79)=0,"",MAXIFS('Interactions'!$G$2:$G$500,'Interactions'!$B$2:$B$500,$A79)))</x:f>
      </x:c>
      <x:c r="P79" s="100" t="str">
        <x:f>IF($A79="","",IF(COUNTIFS('FollowUps'!$B$2:$B$500,$A79,'FollowUps'!$H$2:$H$500,"open")=0,"",MINIFS('FollowUps'!$E$2:$E$500,'FollowUps'!$B$2:$B$500,$A79,'FollowUps'!$H$2:$H$500,"open")))</x:f>
      </x:c>
      <x:c r="Q79" s="104" t="str">
        <x:f>IF($A79="","",ROUND(MIN(25,$N79/VALUE(INDEX('Settings'!$B$2:$B$100,MATCH("score_purchase_target",'Settings'!$A$2:$A$100,0)))*25)+MIN(25,$M79/VALUE(INDEX('Settings'!$B$2:$B$100,MATCH("score_value_target",'Settings'!$A$2:$A$100,0)))*25)+IF($L79="",0,MAX(0,25-(TODAY()-$L79)/VALUE(INDEX('Settings'!$B$2:$B$100,MATCH("score_recency_days",'Settings'!$A$2:$A$100,0)))*25))+MIN(15,COUNTIFS('FollowUps'!$B$2:$B$500,$A79,'FollowUps'!$H$2:$H$500,"done")/VALUE(INDEX('Settings'!$B$2:$B$100,MATCH("score_response_target",'Settings'!$A$2:$A$100,0)))*15)+IF(COUNTIFS('Interactions'!$B$2:$B$500,$A79,'Interactions'!$E$2:$E$500,"complaint")=0,10,0),0))</x:f>
      </x:c>
      <x:c r="R79" s="108" t="str">
        <x:f>IF($A79="","",IF($J79="inactive","inactive",IF($J79="at_risk","at_risk",IF($Q79&gt;=85,"vip",IF($Q79&gt;=70,"loyal",IF($Q79&gt;=50,"active",IF($N79=0,"new","needs_attention")))))))</x:f>
      </x:c>
      <x:c r="S79" s="19"/>
      <x:c r="T79" s="18"/>
      <x:c r="U79" s="19"/>
      <x:c r="V79" s="20"/>
      <x:c r="W79" s="26"/>
      <x:c r="X79" s="19"/>
      <x:c r="Y79" s="26"/>
      <x:c r="Z79" s="19"/>
      <x:c r="AA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20"/>
      <x:c r="J80" s="19"/>
      <x:c r="K80" s="19"/>
      <x:c r="L80" s="92" t="str">
        <x:f>IF($A80="","",IF(COUNTIFS('Orders'!$C$2:$C$500,$A80,'Orders'!$M$2:$M$500,"&lt;&gt;cancelled")=0,"",MAXIFS('Orders'!$G$2:$G$500,'Orders'!$C$2:$C$500,$A80,'Orders'!$M$2:$M$500,"&lt;&gt;cancelled")))</x:f>
      </x:c>
      <x:c r="M80" s="96" t="str">
        <x:f>IF($A80="","",SUMIFS('Orders'!$K$2:$K$500,'Orders'!$C$2:$C$500,$A80,'Orders'!$M$2:$M$500,"&lt;&gt;cancelled"))</x:f>
      </x:c>
      <x:c r="N80" s="96" t="str">
        <x:f>IF($A80="","",COUNTIFS('Orders'!$C$2:$C$500,$A80,'Orders'!$M$2:$M$500,"&lt;&gt;cancelled"))</x:f>
      </x:c>
      <x:c r="O80" s="100" t="str">
        <x:f>IF($A80="","",IF(COUNTIF('Interactions'!$B$2:$B$500,$A80)=0,"",MAXIFS('Interactions'!$G$2:$G$500,'Interactions'!$B$2:$B$500,$A80)))</x:f>
      </x:c>
      <x:c r="P80" s="100" t="str">
        <x:f>IF($A80="","",IF(COUNTIFS('FollowUps'!$B$2:$B$500,$A80,'FollowUps'!$H$2:$H$500,"open")=0,"",MINIFS('FollowUps'!$E$2:$E$500,'FollowUps'!$B$2:$B$500,$A80,'FollowUps'!$H$2:$H$500,"open")))</x:f>
      </x:c>
      <x:c r="Q80" s="104" t="str">
        <x:f>IF($A80="","",ROUND(MIN(25,$N80/VALUE(INDEX('Settings'!$B$2:$B$100,MATCH("score_purchase_target",'Settings'!$A$2:$A$100,0)))*25)+MIN(25,$M80/VALUE(INDEX('Settings'!$B$2:$B$100,MATCH("score_value_target",'Settings'!$A$2:$A$100,0)))*25)+IF($L80="",0,MAX(0,25-(TODAY()-$L80)/VALUE(INDEX('Settings'!$B$2:$B$100,MATCH("score_recency_days",'Settings'!$A$2:$A$100,0)))*25))+MIN(15,COUNTIFS('FollowUps'!$B$2:$B$500,$A80,'FollowUps'!$H$2:$H$500,"done")/VALUE(INDEX('Settings'!$B$2:$B$100,MATCH("score_response_target",'Settings'!$A$2:$A$100,0)))*15)+IF(COUNTIFS('Interactions'!$B$2:$B$500,$A80,'Interactions'!$E$2:$E$500,"complaint")=0,10,0),0))</x:f>
      </x:c>
      <x:c r="R80" s="108" t="str">
        <x:f>IF($A80="","",IF($J80="inactive","inactive",IF($J80="at_risk","at_risk",IF($Q80&gt;=85,"vip",IF($Q80&gt;=70,"loyal",IF($Q80&gt;=50,"active",IF($N80=0,"new","needs_attention")))))))</x:f>
      </x:c>
      <x:c r="S80" s="19"/>
      <x:c r="T80" s="18"/>
      <x:c r="U80" s="19"/>
      <x:c r="V80" s="20"/>
      <x:c r="W80" s="26"/>
      <x:c r="X80" s="19"/>
      <x:c r="Y80" s="26"/>
      <x:c r="Z80" s="19"/>
      <x:c r="AA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20"/>
      <x:c r="J81" s="19"/>
      <x:c r="K81" s="19"/>
      <x:c r="L81" s="92" t="str">
        <x:f>IF($A81="","",IF(COUNTIFS('Orders'!$C$2:$C$500,$A81,'Orders'!$M$2:$M$500,"&lt;&gt;cancelled")=0,"",MAXIFS('Orders'!$G$2:$G$500,'Orders'!$C$2:$C$500,$A81,'Orders'!$M$2:$M$500,"&lt;&gt;cancelled")))</x:f>
      </x:c>
      <x:c r="M81" s="96" t="str">
        <x:f>IF($A81="","",SUMIFS('Orders'!$K$2:$K$500,'Orders'!$C$2:$C$500,$A81,'Orders'!$M$2:$M$500,"&lt;&gt;cancelled"))</x:f>
      </x:c>
      <x:c r="N81" s="96" t="str">
        <x:f>IF($A81="","",COUNTIFS('Orders'!$C$2:$C$500,$A81,'Orders'!$M$2:$M$500,"&lt;&gt;cancelled"))</x:f>
      </x:c>
      <x:c r="O81" s="100" t="str">
        <x:f>IF($A81="","",IF(COUNTIF('Interactions'!$B$2:$B$500,$A81)=0,"",MAXIFS('Interactions'!$G$2:$G$500,'Interactions'!$B$2:$B$500,$A81)))</x:f>
      </x:c>
      <x:c r="P81" s="100" t="str">
        <x:f>IF($A81="","",IF(COUNTIFS('FollowUps'!$B$2:$B$500,$A81,'FollowUps'!$H$2:$H$500,"open")=0,"",MINIFS('FollowUps'!$E$2:$E$500,'FollowUps'!$B$2:$B$500,$A81,'FollowUps'!$H$2:$H$500,"open")))</x:f>
      </x:c>
      <x:c r="Q81" s="104" t="str">
        <x:f>IF($A81="","",ROUND(MIN(25,$N81/VALUE(INDEX('Settings'!$B$2:$B$100,MATCH("score_purchase_target",'Settings'!$A$2:$A$100,0)))*25)+MIN(25,$M81/VALUE(INDEX('Settings'!$B$2:$B$100,MATCH("score_value_target",'Settings'!$A$2:$A$100,0)))*25)+IF($L81="",0,MAX(0,25-(TODAY()-$L81)/VALUE(INDEX('Settings'!$B$2:$B$100,MATCH("score_recency_days",'Settings'!$A$2:$A$100,0)))*25))+MIN(15,COUNTIFS('FollowUps'!$B$2:$B$500,$A81,'FollowUps'!$H$2:$H$500,"done")/VALUE(INDEX('Settings'!$B$2:$B$100,MATCH("score_response_target",'Settings'!$A$2:$A$100,0)))*15)+IF(COUNTIFS('Interactions'!$B$2:$B$500,$A81,'Interactions'!$E$2:$E$500,"complaint")=0,10,0),0))</x:f>
      </x:c>
      <x:c r="R81" s="108" t="str">
        <x:f>IF($A81="","",IF($J81="inactive","inactive",IF($J81="at_risk","at_risk",IF($Q81&gt;=85,"vip",IF($Q81&gt;=70,"loyal",IF($Q81&gt;=50,"active",IF($N81=0,"new","needs_attention")))))))</x:f>
      </x:c>
      <x:c r="S81" s="19"/>
      <x:c r="T81" s="18"/>
      <x:c r="U81" s="19"/>
      <x:c r="V81" s="20"/>
      <x:c r="W81" s="26"/>
      <x:c r="X81" s="19"/>
      <x:c r="Y81" s="26"/>
      <x:c r="Z81" s="19"/>
      <x:c r="AA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20"/>
      <x:c r="J82" s="19"/>
      <x:c r="K82" s="19"/>
      <x:c r="L82" s="92" t="str">
        <x:f>IF($A82="","",IF(COUNTIFS('Orders'!$C$2:$C$500,$A82,'Orders'!$M$2:$M$500,"&lt;&gt;cancelled")=0,"",MAXIFS('Orders'!$G$2:$G$500,'Orders'!$C$2:$C$500,$A82,'Orders'!$M$2:$M$500,"&lt;&gt;cancelled")))</x:f>
      </x:c>
      <x:c r="M82" s="96" t="str">
        <x:f>IF($A82="","",SUMIFS('Orders'!$K$2:$K$500,'Orders'!$C$2:$C$500,$A82,'Orders'!$M$2:$M$500,"&lt;&gt;cancelled"))</x:f>
      </x:c>
      <x:c r="N82" s="96" t="str">
        <x:f>IF($A82="","",COUNTIFS('Orders'!$C$2:$C$500,$A82,'Orders'!$M$2:$M$500,"&lt;&gt;cancelled"))</x:f>
      </x:c>
      <x:c r="O82" s="100" t="str">
        <x:f>IF($A82="","",IF(COUNTIF('Interactions'!$B$2:$B$500,$A82)=0,"",MAXIFS('Interactions'!$G$2:$G$500,'Interactions'!$B$2:$B$500,$A82)))</x:f>
      </x:c>
      <x:c r="P82" s="100" t="str">
        <x:f>IF($A82="","",IF(COUNTIFS('FollowUps'!$B$2:$B$500,$A82,'FollowUps'!$H$2:$H$500,"open")=0,"",MINIFS('FollowUps'!$E$2:$E$500,'FollowUps'!$B$2:$B$500,$A82,'FollowUps'!$H$2:$H$500,"open")))</x:f>
      </x:c>
      <x:c r="Q82" s="104" t="str">
        <x:f>IF($A82="","",ROUND(MIN(25,$N82/VALUE(INDEX('Settings'!$B$2:$B$100,MATCH("score_purchase_target",'Settings'!$A$2:$A$100,0)))*25)+MIN(25,$M82/VALUE(INDEX('Settings'!$B$2:$B$100,MATCH("score_value_target",'Settings'!$A$2:$A$100,0)))*25)+IF($L82="",0,MAX(0,25-(TODAY()-$L82)/VALUE(INDEX('Settings'!$B$2:$B$100,MATCH("score_recency_days",'Settings'!$A$2:$A$100,0)))*25))+MIN(15,COUNTIFS('FollowUps'!$B$2:$B$500,$A82,'FollowUps'!$H$2:$H$500,"done")/VALUE(INDEX('Settings'!$B$2:$B$100,MATCH("score_response_target",'Settings'!$A$2:$A$100,0)))*15)+IF(COUNTIFS('Interactions'!$B$2:$B$500,$A82,'Interactions'!$E$2:$E$500,"complaint")=0,10,0),0))</x:f>
      </x:c>
      <x:c r="R82" s="108" t="str">
        <x:f>IF($A82="","",IF($J82="inactive","inactive",IF($J82="at_risk","at_risk",IF($Q82&gt;=85,"vip",IF($Q82&gt;=70,"loyal",IF($Q82&gt;=50,"active",IF($N82=0,"new","needs_attention")))))))</x:f>
      </x:c>
      <x:c r="S82" s="19"/>
      <x:c r="T82" s="18"/>
      <x:c r="U82" s="19"/>
      <x:c r="V82" s="20"/>
      <x:c r="W82" s="26"/>
      <x:c r="X82" s="19"/>
      <x:c r="Y82" s="26"/>
      <x:c r="Z82" s="19"/>
      <x:c r="AA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20"/>
      <x:c r="J83" s="19"/>
      <x:c r="K83" s="19"/>
      <x:c r="L83" s="92" t="str">
        <x:f>IF($A83="","",IF(COUNTIFS('Orders'!$C$2:$C$500,$A83,'Orders'!$M$2:$M$500,"&lt;&gt;cancelled")=0,"",MAXIFS('Orders'!$G$2:$G$500,'Orders'!$C$2:$C$500,$A83,'Orders'!$M$2:$M$500,"&lt;&gt;cancelled")))</x:f>
      </x:c>
      <x:c r="M83" s="96" t="str">
        <x:f>IF($A83="","",SUMIFS('Orders'!$K$2:$K$500,'Orders'!$C$2:$C$500,$A83,'Orders'!$M$2:$M$500,"&lt;&gt;cancelled"))</x:f>
      </x:c>
      <x:c r="N83" s="96" t="str">
        <x:f>IF($A83="","",COUNTIFS('Orders'!$C$2:$C$500,$A83,'Orders'!$M$2:$M$500,"&lt;&gt;cancelled"))</x:f>
      </x:c>
      <x:c r="O83" s="100" t="str">
        <x:f>IF($A83="","",IF(COUNTIF('Interactions'!$B$2:$B$500,$A83)=0,"",MAXIFS('Interactions'!$G$2:$G$500,'Interactions'!$B$2:$B$500,$A83)))</x:f>
      </x:c>
      <x:c r="P83" s="100" t="str">
        <x:f>IF($A83="","",IF(COUNTIFS('FollowUps'!$B$2:$B$500,$A83,'FollowUps'!$H$2:$H$500,"open")=0,"",MINIFS('FollowUps'!$E$2:$E$500,'FollowUps'!$B$2:$B$500,$A83,'FollowUps'!$H$2:$H$500,"open")))</x:f>
      </x:c>
      <x:c r="Q83" s="104" t="str">
        <x:f>IF($A83="","",ROUND(MIN(25,$N83/VALUE(INDEX('Settings'!$B$2:$B$100,MATCH("score_purchase_target",'Settings'!$A$2:$A$100,0)))*25)+MIN(25,$M83/VALUE(INDEX('Settings'!$B$2:$B$100,MATCH("score_value_target",'Settings'!$A$2:$A$100,0)))*25)+IF($L83="",0,MAX(0,25-(TODAY()-$L83)/VALUE(INDEX('Settings'!$B$2:$B$100,MATCH("score_recency_days",'Settings'!$A$2:$A$100,0)))*25))+MIN(15,COUNTIFS('FollowUps'!$B$2:$B$500,$A83,'FollowUps'!$H$2:$H$500,"done")/VALUE(INDEX('Settings'!$B$2:$B$100,MATCH("score_response_target",'Settings'!$A$2:$A$100,0)))*15)+IF(COUNTIFS('Interactions'!$B$2:$B$500,$A83,'Interactions'!$E$2:$E$500,"complaint")=0,10,0),0))</x:f>
      </x:c>
      <x:c r="R83" s="108" t="str">
        <x:f>IF($A83="","",IF($J83="inactive","inactive",IF($J83="at_risk","at_risk",IF($Q83&gt;=85,"vip",IF($Q83&gt;=70,"loyal",IF($Q83&gt;=50,"active",IF($N83=0,"new","needs_attention")))))))</x:f>
      </x:c>
      <x:c r="S83" s="19"/>
      <x:c r="T83" s="18"/>
      <x:c r="U83" s="19"/>
      <x:c r="V83" s="20"/>
      <x:c r="W83" s="26"/>
      <x:c r="X83" s="19"/>
      <x:c r="Y83" s="26"/>
      <x:c r="Z83" s="19"/>
      <x:c r="AA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20"/>
      <x:c r="J84" s="19"/>
      <x:c r="K84" s="19"/>
      <x:c r="L84" s="92" t="str">
        <x:f>IF($A84="","",IF(COUNTIFS('Orders'!$C$2:$C$500,$A84,'Orders'!$M$2:$M$500,"&lt;&gt;cancelled")=0,"",MAXIFS('Orders'!$G$2:$G$500,'Orders'!$C$2:$C$500,$A84,'Orders'!$M$2:$M$500,"&lt;&gt;cancelled")))</x:f>
      </x:c>
      <x:c r="M84" s="96" t="str">
        <x:f>IF($A84="","",SUMIFS('Orders'!$K$2:$K$500,'Orders'!$C$2:$C$500,$A84,'Orders'!$M$2:$M$500,"&lt;&gt;cancelled"))</x:f>
      </x:c>
      <x:c r="N84" s="96" t="str">
        <x:f>IF($A84="","",COUNTIFS('Orders'!$C$2:$C$500,$A84,'Orders'!$M$2:$M$500,"&lt;&gt;cancelled"))</x:f>
      </x:c>
      <x:c r="O84" s="100" t="str">
        <x:f>IF($A84="","",IF(COUNTIF('Interactions'!$B$2:$B$500,$A84)=0,"",MAXIFS('Interactions'!$G$2:$G$500,'Interactions'!$B$2:$B$500,$A84)))</x:f>
      </x:c>
      <x:c r="P84" s="100" t="str">
        <x:f>IF($A84="","",IF(COUNTIFS('FollowUps'!$B$2:$B$500,$A84,'FollowUps'!$H$2:$H$500,"open")=0,"",MINIFS('FollowUps'!$E$2:$E$500,'FollowUps'!$B$2:$B$500,$A84,'FollowUps'!$H$2:$H$500,"open")))</x:f>
      </x:c>
      <x:c r="Q84" s="104" t="str">
        <x:f>IF($A84="","",ROUND(MIN(25,$N84/VALUE(INDEX('Settings'!$B$2:$B$100,MATCH("score_purchase_target",'Settings'!$A$2:$A$100,0)))*25)+MIN(25,$M84/VALUE(INDEX('Settings'!$B$2:$B$100,MATCH("score_value_target",'Settings'!$A$2:$A$100,0)))*25)+IF($L84="",0,MAX(0,25-(TODAY()-$L84)/VALUE(INDEX('Settings'!$B$2:$B$100,MATCH("score_recency_days",'Settings'!$A$2:$A$100,0)))*25))+MIN(15,COUNTIFS('FollowUps'!$B$2:$B$500,$A84,'FollowUps'!$H$2:$H$500,"done")/VALUE(INDEX('Settings'!$B$2:$B$100,MATCH("score_response_target",'Settings'!$A$2:$A$100,0)))*15)+IF(COUNTIFS('Interactions'!$B$2:$B$500,$A84,'Interactions'!$E$2:$E$500,"complaint")=0,10,0),0))</x:f>
      </x:c>
      <x:c r="R84" s="108" t="str">
        <x:f>IF($A84="","",IF($J84="inactive","inactive",IF($J84="at_risk","at_risk",IF($Q84&gt;=85,"vip",IF($Q84&gt;=70,"loyal",IF($Q84&gt;=50,"active",IF($N84=0,"new","needs_attention")))))))</x:f>
      </x:c>
      <x:c r="S84" s="19"/>
      <x:c r="T84" s="18"/>
      <x:c r="U84" s="19"/>
      <x:c r="V84" s="20"/>
      <x:c r="W84" s="26"/>
      <x:c r="X84" s="19"/>
      <x:c r="Y84" s="26"/>
      <x:c r="Z84" s="19"/>
      <x:c r="AA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20"/>
      <x:c r="J85" s="19"/>
      <x:c r="K85" s="19"/>
      <x:c r="L85" s="92" t="str">
        <x:f>IF($A85="","",IF(COUNTIFS('Orders'!$C$2:$C$500,$A85,'Orders'!$M$2:$M$500,"&lt;&gt;cancelled")=0,"",MAXIFS('Orders'!$G$2:$G$500,'Orders'!$C$2:$C$500,$A85,'Orders'!$M$2:$M$500,"&lt;&gt;cancelled")))</x:f>
      </x:c>
      <x:c r="M85" s="96" t="str">
        <x:f>IF($A85="","",SUMIFS('Orders'!$K$2:$K$500,'Orders'!$C$2:$C$500,$A85,'Orders'!$M$2:$M$500,"&lt;&gt;cancelled"))</x:f>
      </x:c>
      <x:c r="N85" s="96" t="str">
        <x:f>IF($A85="","",COUNTIFS('Orders'!$C$2:$C$500,$A85,'Orders'!$M$2:$M$500,"&lt;&gt;cancelled"))</x:f>
      </x:c>
      <x:c r="O85" s="100" t="str">
        <x:f>IF($A85="","",IF(COUNTIF('Interactions'!$B$2:$B$500,$A85)=0,"",MAXIFS('Interactions'!$G$2:$G$500,'Interactions'!$B$2:$B$500,$A85)))</x:f>
      </x:c>
      <x:c r="P85" s="100" t="str">
        <x:f>IF($A85="","",IF(COUNTIFS('FollowUps'!$B$2:$B$500,$A85,'FollowUps'!$H$2:$H$500,"open")=0,"",MINIFS('FollowUps'!$E$2:$E$500,'FollowUps'!$B$2:$B$500,$A85,'FollowUps'!$H$2:$H$500,"open")))</x:f>
      </x:c>
      <x:c r="Q85" s="104" t="str">
        <x:f>IF($A85="","",ROUND(MIN(25,$N85/VALUE(INDEX('Settings'!$B$2:$B$100,MATCH("score_purchase_target",'Settings'!$A$2:$A$100,0)))*25)+MIN(25,$M85/VALUE(INDEX('Settings'!$B$2:$B$100,MATCH("score_value_target",'Settings'!$A$2:$A$100,0)))*25)+IF($L85="",0,MAX(0,25-(TODAY()-$L85)/VALUE(INDEX('Settings'!$B$2:$B$100,MATCH("score_recency_days",'Settings'!$A$2:$A$100,0)))*25))+MIN(15,COUNTIFS('FollowUps'!$B$2:$B$500,$A85,'FollowUps'!$H$2:$H$500,"done")/VALUE(INDEX('Settings'!$B$2:$B$100,MATCH("score_response_target",'Settings'!$A$2:$A$100,0)))*15)+IF(COUNTIFS('Interactions'!$B$2:$B$500,$A85,'Interactions'!$E$2:$E$500,"complaint")=0,10,0),0))</x:f>
      </x:c>
      <x:c r="R85" s="108" t="str">
        <x:f>IF($A85="","",IF($J85="inactive","inactive",IF($J85="at_risk","at_risk",IF($Q85&gt;=85,"vip",IF($Q85&gt;=70,"loyal",IF($Q85&gt;=50,"active",IF($N85=0,"new","needs_attention")))))))</x:f>
      </x:c>
      <x:c r="S85" s="19"/>
      <x:c r="T85" s="18"/>
      <x:c r="U85" s="19"/>
      <x:c r="V85" s="20"/>
      <x:c r="W85" s="26"/>
      <x:c r="X85" s="19"/>
      <x:c r="Y85" s="26"/>
      <x:c r="Z85" s="19"/>
      <x:c r="AA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20"/>
      <x:c r="J86" s="19"/>
      <x:c r="K86" s="19"/>
      <x:c r="L86" s="92" t="str">
        <x:f>IF($A86="","",IF(COUNTIFS('Orders'!$C$2:$C$500,$A86,'Orders'!$M$2:$M$500,"&lt;&gt;cancelled")=0,"",MAXIFS('Orders'!$G$2:$G$500,'Orders'!$C$2:$C$500,$A86,'Orders'!$M$2:$M$500,"&lt;&gt;cancelled")))</x:f>
      </x:c>
      <x:c r="M86" s="96" t="str">
        <x:f>IF($A86="","",SUMIFS('Orders'!$K$2:$K$500,'Orders'!$C$2:$C$500,$A86,'Orders'!$M$2:$M$500,"&lt;&gt;cancelled"))</x:f>
      </x:c>
      <x:c r="N86" s="96" t="str">
        <x:f>IF($A86="","",COUNTIFS('Orders'!$C$2:$C$500,$A86,'Orders'!$M$2:$M$500,"&lt;&gt;cancelled"))</x:f>
      </x:c>
      <x:c r="O86" s="100" t="str">
        <x:f>IF($A86="","",IF(COUNTIF('Interactions'!$B$2:$B$500,$A86)=0,"",MAXIFS('Interactions'!$G$2:$G$500,'Interactions'!$B$2:$B$500,$A86)))</x:f>
      </x:c>
      <x:c r="P86" s="100" t="str">
        <x:f>IF($A86="","",IF(COUNTIFS('FollowUps'!$B$2:$B$500,$A86,'FollowUps'!$H$2:$H$500,"open")=0,"",MINIFS('FollowUps'!$E$2:$E$500,'FollowUps'!$B$2:$B$500,$A86,'FollowUps'!$H$2:$H$500,"open")))</x:f>
      </x:c>
      <x:c r="Q86" s="104" t="str">
        <x:f>IF($A86="","",ROUND(MIN(25,$N86/VALUE(INDEX('Settings'!$B$2:$B$100,MATCH("score_purchase_target",'Settings'!$A$2:$A$100,0)))*25)+MIN(25,$M86/VALUE(INDEX('Settings'!$B$2:$B$100,MATCH("score_value_target",'Settings'!$A$2:$A$100,0)))*25)+IF($L86="",0,MAX(0,25-(TODAY()-$L86)/VALUE(INDEX('Settings'!$B$2:$B$100,MATCH("score_recency_days",'Settings'!$A$2:$A$100,0)))*25))+MIN(15,COUNTIFS('FollowUps'!$B$2:$B$500,$A86,'FollowUps'!$H$2:$H$500,"done")/VALUE(INDEX('Settings'!$B$2:$B$100,MATCH("score_response_target",'Settings'!$A$2:$A$100,0)))*15)+IF(COUNTIFS('Interactions'!$B$2:$B$500,$A86,'Interactions'!$E$2:$E$500,"complaint")=0,10,0),0))</x:f>
      </x:c>
      <x:c r="R86" s="108" t="str">
        <x:f>IF($A86="","",IF($J86="inactive","inactive",IF($J86="at_risk","at_risk",IF($Q86&gt;=85,"vip",IF($Q86&gt;=70,"loyal",IF($Q86&gt;=50,"active",IF($N86=0,"new","needs_attention")))))))</x:f>
      </x:c>
      <x:c r="S86" s="19"/>
      <x:c r="T86" s="18"/>
      <x:c r="U86" s="19"/>
      <x:c r="V86" s="20"/>
      <x:c r="W86" s="26"/>
      <x:c r="X86" s="19"/>
      <x:c r="Y86" s="26"/>
      <x:c r="Z86" s="19"/>
      <x:c r="AA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20"/>
      <x:c r="J87" s="19"/>
      <x:c r="K87" s="19"/>
      <x:c r="L87" s="92" t="str">
        <x:f>IF($A87="","",IF(COUNTIFS('Orders'!$C$2:$C$500,$A87,'Orders'!$M$2:$M$500,"&lt;&gt;cancelled")=0,"",MAXIFS('Orders'!$G$2:$G$500,'Orders'!$C$2:$C$500,$A87,'Orders'!$M$2:$M$500,"&lt;&gt;cancelled")))</x:f>
      </x:c>
      <x:c r="M87" s="96" t="str">
        <x:f>IF($A87="","",SUMIFS('Orders'!$K$2:$K$500,'Orders'!$C$2:$C$500,$A87,'Orders'!$M$2:$M$500,"&lt;&gt;cancelled"))</x:f>
      </x:c>
      <x:c r="N87" s="96" t="str">
        <x:f>IF($A87="","",COUNTIFS('Orders'!$C$2:$C$500,$A87,'Orders'!$M$2:$M$500,"&lt;&gt;cancelled"))</x:f>
      </x:c>
      <x:c r="O87" s="100" t="str">
        <x:f>IF($A87="","",IF(COUNTIF('Interactions'!$B$2:$B$500,$A87)=0,"",MAXIFS('Interactions'!$G$2:$G$500,'Interactions'!$B$2:$B$500,$A87)))</x:f>
      </x:c>
      <x:c r="P87" s="100" t="str">
        <x:f>IF($A87="","",IF(COUNTIFS('FollowUps'!$B$2:$B$500,$A87,'FollowUps'!$H$2:$H$500,"open")=0,"",MINIFS('FollowUps'!$E$2:$E$500,'FollowUps'!$B$2:$B$500,$A87,'FollowUps'!$H$2:$H$500,"open")))</x:f>
      </x:c>
      <x:c r="Q87" s="104" t="str">
        <x:f>IF($A87="","",ROUND(MIN(25,$N87/VALUE(INDEX('Settings'!$B$2:$B$100,MATCH("score_purchase_target",'Settings'!$A$2:$A$100,0)))*25)+MIN(25,$M87/VALUE(INDEX('Settings'!$B$2:$B$100,MATCH("score_value_target",'Settings'!$A$2:$A$100,0)))*25)+IF($L87="",0,MAX(0,25-(TODAY()-$L87)/VALUE(INDEX('Settings'!$B$2:$B$100,MATCH("score_recency_days",'Settings'!$A$2:$A$100,0)))*25))+MIN(15,COUNTIFS('FollowUps'!$B$2:$B$500,$A87,'FollowUps'!$H$2:$H$500,"done")/VALUE(INDEX('Settings'!$B$2:$B$100,MATCH("score_response_target",'Settings'!$A$2:$A$100,0)))*15)+IF(COUNTIFS('Interactions'!$B$2:$B$500,$A87,'Interactions'!$E$2:$E$500,"complaint")=0,10,0),0))</x:f>
      </x:c>
      <x:c r="R87" s="108" t="str">
        <x:f>IF($A87="","",IF($J87="inactive","inactive",IF($J87="at_risk","at_risk",IF($Q87&gt;=85,"vip",IF($Q87&gt;=70,"loyal",IF($Q87&gt;=50,"active",IF($N87=0,"new","needs_attention")))))))</x:f>
      </x:c>
      <x:c r="S87" s="19"/>
      <x:c r="T87" s="18"/>
      <x:c r="U87" s="19"/>
      <x:c r="V87" s="20"/>
      <x:c r="W87" s="26"/>
      <x:c r="X87" s="19"/>
      <x:c r="Y87" s="26"/>
      <x:c r="Z87" s="19"/>
      <x:c r="AA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20"/>
      <x:c r="J88" s="19"/>
      <x:c r="K88" s="19"/>
      <x:c r="L88" s="92" t="str">
        <x:f>IF($A88="","",IF(COUNTIFS('Orders'!$C$2:$C$500,$A88,'Orders'!$M$2:$M$500,"&lt;&gt;cancelled")=0,"",MAXIFS('Orders'!$G$2:$G$500,'Orders'!$C$2:$C$500,$A88,'Orders'!$M$2:$M$500,"&lt;&gt;cancelled")))</x:f>
      </x:c>
      <x:c r="M88" s="96" t="str">
        <x:f>IF($A88="","",SUMIFS('Orders'!$K$2:$K$500,'Orders'!$C$2:$C$500,$A88,'Orders'!$M$2:$M$500,"&lt;&gt;cancelled"))</x:f>
      </x:c>
      <x:c r="N88" s="96" t="str">
        <x:f>IF($A88="","",COUNTIFS('Orders'!$C$2:$C$500,$A88,'Orders'!$M$2:$M$500,"&lt;&gt;cancelled"))</x:f>
      </x:c>
      <x:c r="O88" s="100" t="str">
        <x:f>IF($A88="","",IF(COUNTIF('Interactions'!$B$2:$B$500,$A88)=0,"",MAXIFS('Interactions'!$G$2:$G$500,'Interactions'!$B$2:$B$500,$A88)))</x:f>
      </x:c>
      <x:c r="P88" s="100" t="str">
        <x:f>IF($A88="","",IF(COUNTIFS('FollowUps'!$B$2:$B$500,$A88,'FollowUps'!$H$2:$H$500,"open")=0,"",MINIFS('FollowUps'!$E$2:$E$500,'FollowUps'!$B$2:$B$500,$A88,'FollowUps'!$H$2:$H$500,"open")))</x:f>
      </x:c>
      <x:c r="Q88" s="104" t="str">
        <x:f>IF($A88="","",ROUND(MIN(25,$N88/VALUE(INDEX('Settings'!$B$2:$B$100,MATCH("score_purchase_target",'Settings'!$A$2:$A$100,0)))*25)+MIN(25,$M88/VALUE(INDEX('Settings'!$B$2:$B$100,MATCH("score_value_target",'Settings'!$A$2:$A$100,0)))*25)+IF($L88="",0,MAX(0,25-(TODAY()-$L88)/VALUE(INDEX('Settings'!$B$2:$B$100,MATCH("score_recency_days",'Settings'!$A$2:$A$100,0)))*25))+MIN(15,COUNTIFS('FollowUps'!$B$2:$B$500,$A88,'FollowUps'!$H$2:$H$500,"done")/VALUE(INDEX('Settings'!$B$2:$B$100,MATCH("score_response_target",'Settings'!$A$2:$A$100,0)))*15)+IF(COUNTIFS('Interactions'!$B$2:$B$500,$A88,'Interactions'!$E$2:$E$500,"complaint")=0,10,0),0))</x:f>
      </x:c>
      <x:c r="R88" s="108" t="str">
        <x:f>IF($A88="","",IF($J88="inactive","inactive",IF($J88="at_risk","at_risk",IF($Q88&gt;=85,"vip",IF($Q88&gt;=70,"loyal",IF($Q88&gt;=50,"active",IF($N88=0,"new","needs_attention")))))))</x:f>
      </x:c>
      <x:c r="S88" s="19"/>
      <x:c r="T88" s="18"/>
      <x:c r="U88" s="19"/>
      <x:c r="V88" s="20"/>
      <x:c r="W88" s="26"/>
      <x:c r="X88" s="19"/>
      <x:c r="Y88" s="26"/>
      <x:c r="Z88" s="19"/>
      <x:c r="AA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20"/>
      <x:c r="J89" s="19"/>
      <x:c r="K89" s="19"/>
      <x:c r="L89" s="92" t="str">
        <x:f>IF($A89="","",IF(COUNTIFS('Orders'!$C$2:$C$500,$A89,'Orders'!$M$2:$M$500,"&lt;&gt;cancelled")=0,"",MAXIFS('Orders'!$G$2:$G$500,'Orders'!$C$2:$C$500,$A89,'Orders'!$M$2:$M$500,"&lt;&gt;cancelled")))</x:f>
      </x:c>
      <x:c r="M89" s="96" t="str">
        <x:f>IF($A89="","",SUMIFS('Orders'!$K$2:$K$500,'Orders'!$C$2:$C$500,$A89,'Orders'!$M$2:$M$500,"&lt;&gt;cancelled"))</x:f>
      </x:c>
      <x:c r="N89" s="96" t="str">
        <x:f>IF($A89="","",COUNTIFS('Orders'!$C$2:$C$500,$A89,'Orders'!$M$2:$M$500,"&lt;&gt;cancelled"))</x:f>
      </x:c>
      <x:c r="O89" s="100" t="str">
        <x:f>IF($A89="","",IF(COUNTIF('Interactions'!$B$2:$B$500,$A89)=0,"",MAXIFS('Interactions'!$G$2:$G$500,'Interactions'!$B$2:$B$500,$A89)))</x:f>
      </x:c>
      <x:c r="P89" s="100" t="str">
        <x:f>IF($A89="","",IF(COUNTIFS('FollowUps'!$B$2:$B$500,$A89,'FollowUps'!$H$2:$H$500,"open")=0,"",MINIFS('FollowUps'!$E$2:$E$500,'FollowUps'!$B$2:$B$500,$A89,'FollowUps'!$H$2:$H$500,"open")))</x:f>
      </x:c>
      <x:c r="Q89" s="104" t="str">
        <x:f>IF($A89="","",ROUND(MIN(25,$N89/VALUE(INDEX('Settings'!$B$2:$B$100,MATCH("score_purchase_target",'Settings'!$A$2:$A$100,0)))*25)+MIN(25,$M89/VALUE(INDEX('Settings'!$B$2:$B$100,MATCH("score_value_target",'Settings'!$A$2:$A$100,0)))*25)+IF($L89="",0,MAX(0,25-(TODAY()-$L89)/VALUE(INDEX('Settings'!$B$2:$B$100,MATCH("score_recency_days",'Settings'!$A$2:$A$100,0)))*25))+MIN(15,COUNTIFS('FollowUps'!$B$2:$B$500,$A89,'FollowUps'!$H$2:$H$500,"done")/VALUE(INDEX('Settings'!$B$2:$B$100,MATCH("score_response_target",'Settings'!$A$2:$A$100,0)))*15)+IF(COUNTIFS('Interactions'!$B$2:$B$500,$A89,'Interactions'!$E$2:$E$500,"complaint")=0,10,0),0))</x:f>
      </x:c>
      <x:c r="R89" s="108" t="str">
        <x:f>IF($A89="","",IF($J89="inactive","inactive",IF($J89="at_risk","at_risk",IF($Q89&gt;=85,"vip",IF($Q89&gt;=70,"loyal",IF($Q89&gt;=50,"active",IF($N89=0,"new","needs_attention")))))))</x:f>
      </x:c>
      <x:c r="S89" s="19"/>
      <x:c r="T89" s="18"/>
      <x:c r="U89" s="19"/>
      <x:c r="V89" s="20"/>
      <x:c r="W89" s="26"/>
      <x:c r="X89" s="19"/>
      <x:c r="Y89" s="26"/>
      <x:c r="Z89" s="19"/>
      <x:c r="AA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20"/>
      <x:c r="J90" s="19"/>
      <x:c r="K90" s="19"/>
      <x:c r="L90" s="92" t="str">
        <x:f>IF($A90="","",IF(COUNTIFS('Orders'!$C$2:$C$500,$A90,'Orders'!$M$2:$M$500,"&lt;&gt;cancelled")=0,"",MAXIFS('Orders'!$G$2:$G$500,'Orders'!$C$2:$C$500,$A90,'Orders'!$M$2:$M$500,"&lt;&gt;cancelled")))</x:f>
      </x:c>
      <x:c r="M90" s="96" t="str">
        <x:f>IF($A90="","",SUMIFS('Orders'!$K$2:$K$500,'Orders'!$C$2:$C$500,$A90,'Orders'!$M$2:$M$500,"&lt;&gt;cancelled"))</x:f>
      </x:c>
      <x:c r="N90" s="96" t="str">
        <x:f>IF($A90="","",COUNTIFS('Orders'!$C$2:$C$500,$A90,'Orders'!$M$2:$M$500,"&lt;&gt;cancelled"))</x:f>
      </x:c>
      <x:c r="O90" s="100" t="str">
        <x:f>IF($A90="","",IF(COUNTIF('Interactions'!$B$2:$B$500,$A90)=0,"",MAXIFS('Interactions'!$G$2:$G$500,'Interactions'!$B$2:$B$500,$A90)))</x:f>
      </x:c>
      <x:c r="P90" s="100" t="str">
        <x:f>IF($A90="","",IF(COUNTIFS('FollowUps'!$B$2:$B$500,$A90,'FollowUps'!$H$2:$H$500,"open")=0,"",MINIFS('FollowUps'!$E$2:$E$500,'FollowUps'!$B$2:$B$500,$A90,'FollowUps'!$H$2:$H$500,"open")))</x:f>
      </x:c>
      <x:c r="Q90" s="104" t="str">
        <x:f>IF($A90="","",ROUND(MIN(25,$N90/VALUE(INDEX('Settings'!$B$2:$B$100,MATCH("score_purchase_target",'Settings'!$A$2:$A$100,0)))*25)+MIN(25,$M90/VALUE(INDEX('Settings'!$B$2:$B$100,MATCH("score_value_target",'Settings'!$A$2:$A$100,0)))*25)+IF($L90="",0,MAX(0,25-(TODAY()-$L90)/VALUE(INDEX('Settings'!$B$2:$B$100,MATCH("score_recency_days",'Settings'!$A$2:$A$100,0)))*25))+MIN(15,COUNTIFS('FollowUps'!$B$2:$B$500,$A90,'FollowUps'!$H$2:$H$500,"done")/VALUE(INDEX('Settings'!$B$2:$B$100,MATCH("score_response_target",'Settings'!$A$2:$A$100,0)))*15)+IF(COUNTIFS('Interactions'!$B$2:$B$500,$A90,'Interactions'!$E$2:$E$500,"complaint")=0,10,0),0))</x:f>
      </x:c>
      <x:c r="R90" s="108" t="str">
        <x:f>IF($A90="","",IF($J90="inactive","inactive",IF($J90="at_risk","at_risk",IF($Q90&gt;=85,"vip",IF($Q90&gt;=70,"loyal",IF($Q90&gt;=50,"active",IF($N90=0,"new","needs_attention")))))))</x:f>
      </x:c>
      <x:c r="S90" s="19"/>
      <x:c r="T90" s="18"/>
      <x:c r="U90" s="19"/>
      <x:c r="V90" s="20"/>
      <x:c r="W90" s="26"/>
      <x:c r="X90" s="19"/>
      <x:c r="Y90" s="26"/>
      <x:c r="Z90" s="19"/>
      <x:c r="AA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20"/>
      <x:c r="J91" s="19"/>
      <x:c r="K91" s="19"/>
      <x:c r="L91" s="92" t="str">
        <x:f>IF($A91="","",IF(COUNTIFS('Orders'!$C$2:$C$500,$A91,'Orders'!$M$2:$M$500,"&lt;&gt;cancelled")=0,"",MAXIFS('Orders'!$G$2:$G$500,'Orders'!$C$2:$C$500,$A91,'Orders'!$M$2:$M$500,"&lt;&gt;cancelled")))</x:f>
      </x:c>
      <x:c r="M91" s="96" t="str">
        <x:f>IF($A91="","",SUMIFS('Orders'!$K$2:$K$500,'Orders'!$C$2:$C$500,$A91,'Orders'!$M$2:$M$500,"&lt;&gt;cancelled"))</x:f>
      </x:c>
      <x:c r="N91" s="96" t="str">
        <x:f>IF($A91="","",COUNTIFS('Orders'!$C$2:$C$500,$A91,'Orders'!$M$2:$M$500,"&lt;&gt;cancelled"))</x:f>
      </x:c>
      <x:c r="O91" s="100" t="str">
        <x:f>IF($A91="","",IF(COUNTIF('Interactions'!$B$2:$B$500,$A91)=0,"",MAXIFS('Interactions'!$G$2:$G$500,'Interactions'!$B$2:$B$500,$A91)))</x:f>
      </x:c>
      <x:c r="P91" s="100" t="str">
        <x:f>IF($A91="","",IF(COUNTIFS('FollowUps'!$B$2:$B$500,$A91,'FollowUps'!$H$2:$H$500,"open")=0,"",MINIFS('FollowUps'!$E$2:$E$500,'FollowUps'!$B$2:$B$500,$A91,'FollowUps'!$H$2:$H$500,"open")))</x:f>
      </x:c>
      <x:c r="Q91" s="104" t="str">
        <x:f>IF($A91="","",ROUND(MIN(25,$N91/VALUE(INDEX('Settings'!$B$2:$B$100,MATCH("score_purchase_target",'Settings'!$A$2:$A$100,0)))*25)+MIN(25,$M91/VALUE(INDEX('Settings'!$B$2:$B$100,MATCH("score_value_target",'Settings'!$A$2:$A$100,0)))*25)+IF($L91="",0,MAX(0,25-(TODAY()-$L91)/VALUE(INDEX('Settings'!$B$2:$B$100,MATCH("score_recency_days",'Settings'!$A$2:$A$100,0)))*25))+MIN(15,COUNTIFS('FollowUps'!$B$2:$B$500,$A91,'FollowUps'!$H$2:$H$500,"done")/VALUE(INDEX('Settings'!$B$2:$B$100,MATCH("score_response_target",'Settings'!$A$2:$A$100,0)))*15)+IF(COUNTIFS('Interactions'!$B$2:$B$500,$A91,'Interactions'!$E$2:$E$500,"complaint")=0,10,0),0))</x:f>
      </x:c>
      <x:c r="R91" s="108" t="str">
        <x:f>IF($A91="","",IF($J91="inactive","inactive",IF($J91="at_risk","at_risk",IF($Q91&gt;=85,"vip",IF($Q91&gt;=70,"loyal",IF($Q91&gt;=50,"active",IF($N91=0,"new","needs_attention")))))))</x:f>
      </x:c>
      <x:c r="S91" s="19"/>
      <x:c r="T91" s="18"/>
      <x:c r="U91" s="19"/>
      <x:c r="V91" s="20"/>
      <x:c r="W91" s="26"/>
      <x:c r="X91" s="19"/>
      <x:c r="Y91" s="26"/>
      <x:c r="Z91" s="19"/>
      <x:c r="AA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20"/>
      <x:c r="J92" s="19"/>
      <x:c r="K92" s="19"/>
      <x:c r="L92" s="92" t="str">
        <x:f>IF($A92="","",IF(COUNTIFS('Orders'!$C$2:$C$500,$A92,'Orders'!$M$2:$M$500,"&lt;&gt;cancelled")=0,"",MAXIFS('Orders'!$G$2:$G$500,'Orders'!$C$2:$C$500,$A92,'Orders'!$M$2:$M$500,"&lt;&gt;cancelled")))</x:f>
      </x:c>
      <x:c r="M92" s="96" t="str">
        <x:f>IF($A92="","",SUMIFS('Orders'!$K$2:$K$500,'Orders'!$C$2:$C$500,$A92,'Orders'!$M$2:$M$500,"&lt;&gt;cancelled"))</x:f>
      </x:c>
      <x:c r="N92" s="96" t="str">
        <x:f>IF($A92="","",COUNTIFS('Orders'!$C$2:$C$500,$A92,'Orders'!$M$2:$M$500,"&lt;&gt;cancelled"))</x:f>
      </x:c>
      <x:c r="O92" s="100" t="str">
        <x:f>IF($A92="","",IF(COUNTIF('Interactions'!$B$2:$B$500,$A92)=0,"",MAXIFS('Interactions'!$G$2:$G$500,'Interactions'!$B$2:$B$500,$A92)))</x:f>
      </x:c>
      <x:c r="P92" s="100" t="str">
        <x:f>IF($A92="","",IF(COUNTIFS('FollowUps'!$B$2:$B$500,$A92,'FollowUps'!$H$2:$H$500,"open")=0,"",MINIFS('FollowUps'!$E$2:$E$500,'FollowUps'!$B$2:$B$500,$A92,'FollowUps'!$H$2:$H$500,"open")))</x:f>
      </x:c>
      <x:c r="Q92" s="104" t="str">
        <x:f>IF($A92="","",ROUND(MIN(25,$N92/VALUE(INDEX('Settings'!$B$2:$B$100,MATCH("score_purchase_target",'Settings'!$A$2:$A$100,0)))*25)+MIN(25,$M92/VALUE(INDEX('Settings'!$B$2:$B$100,MATCH("score_value_target",'Settings'!$A$2:$A$100,0)))*25)+IF($L92="",0,MAX(0,25-(TODAY()-$L92)/VALUE(INDEX('Settings'!$B$2:$B$100,MATCH("score_recency_days",'Settings'!$A$2:$A$100,0)))*25))+MIN(15,COUNTIFS('FollowUps'!$B$2:$B$500,$A92,'FollowUps'!$H$2:$H$500,"done")/VALUE(INDEX('Settings'!$B$2:$B$100,MATCH("score_response_target",'Settings'!$A$2:$A$100,0)))*15)+IF(COUNTIFS('Interactions'!$B$2:$B$500,$A92,'Interactions'!$E$2:$E$500,"complaint")=0,10,0),0))</x:f>
      </x:c>
      <x:c r="R92" s="108" t="str">
        <x:f>IF($A92="","",IF($J92="inactive","inactive",IF($J92="at_risk","at_risk",IF($Q92&gt;=85,"vip",IF($Q92&gt;=70,"loyal",IF($Q92&gt;=50,"active",IF($N92=0,"new","needs_attention")))))))</x:f>
      </x:c>
      <x:c r="S92" s="19"/>
      <x:c r="T92" s="18"/>
      <x:c r="U92" s="19"/>
      <x:c r="V92" s="20"/>
      <x:c r="W92" s="26"/>
      <x:c r="X92" s="19"/>
      <x:c r="Y92" s="26"/>
      <x:c r="Z92" s="19"/>
      <x:c r="AA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20"/>
      <x:c r="J93" s="19"/>
      <x:c r="K93" s="19"/>
      <x:c r="L93" s="92" t="str">
        <x:f>IF($A93="","",IF(COUNTIFS('Orders'!$C$2:$C$500,$A93,'Orders'!$M$2:$M$500,"&lt;&gt;cancelled")=0,"",MAXIFS('Orders'!$G$2:$G$500,'Orders'!$C$2:$C$500,$A93,'Orders'!$M$2:$M$500,"&lt;&gt;cancelled")))</x:f>
      </x:c>
      <x:c r="M93" s="96" t="str">
        <x:f>IF($A93="","",SUMIFS('Orders'!$K$2:$K$500,'Orders'!$C$2:$C$500,$A93,'Orders'!$M$2:$M$500,"&lt;&gt;cancelled"))</x:f>
      </x:c>
      <x:c r="N93" s="96" t="str">
        <x:f>IF($A93="","",COUNTIFS('Orders'!$C$2:$C$500,$A93,'Orders'!$M$2:$M$500,"&lt;&gt;cancelled"))</x:f>
      </x:c>
      <x:c r="O93" s="100" t="str">
        <x:f>IF($A93="","",IF(COUNTIF('Interactions'!$B$2:$B$500,$A93)=0,"",MAXIFS('Interactions'!$G$2:$G$500,'Interactions'!$B$2:$B$500,$A93)))</x:f>
      </x:c>
      <x:c r="P93" s="100" t="str">
        <x:f>IF($A93="","",IF(COUNTIFS('FollowUps'!$B$2:$B$500,$A93,'FollowUps'!$H$2:$H$500,"open")=0,"",MINIFS('FollowUps'!$E$2:$E$500,'FollowUps'!$B$2:$B$500,$A93,'FollowUps'!$H$2:$H$500,"open")))</x:f>
      </x:c>
      <x:c r="Q93" s="104" t="str">
        <x:f>IF($A93="","",ROUND(MIN(25,$N93/VALUE(INDEX('Settings'!$B$2:$B$100,MATCH("score_purchase_target",'Settings'!$A$2:$A$100,0)))*25)+MIN(25,$M93/VALUE(INDEX('Settings'!$B$2:$B$100,MATCH("score_value_target",'Settings'!$A$2:$A$100,0)))*25)+IF($L93="",0,MAX(0,25-(TODAY()-$L93)/VALUE(INDEX('Settings'!$B$2:$B$100,MATCH("score_recency_days",'Settings'!$A$2:$A$100,0)))*25))+MIN(15,COUNTIFS('FollowUps'!$B$2:$B$500,$A93,'FollowUps'!$H$2:$H$500,"done")/VALUE(INDEX('Settings'!$B$2:$B$100,MATCH("score_response_target",'Settings'!$A$2:$A$100,0)))*15)+IF(COUNTIFS('Interactions'!$B$2:$B$500,$A93,'Interactions'!$E$2:$E$500,"complaint")=0,10,0),0))</x:f>
      </x:c>
      <x:c r="R93" s="108" t="str">
        <x:f>IF($A93="","",IF($J93="inactive","inactive",IF($J93="at_risk","at_risk",IF($Q93&gt;=85,"vip",IF($Q93&gt;=70,"loyal",IF($Q93&gt;=50,"active",IF($N93=0,"new","needs_attention")))))))</x:f>
      </x:c>
      <x:c r="S93" s="19"/>
      <x:c r="T93" s="18"/>
      <x:c r="U93" s="19"/>
      <x:c r="V93" s="20"/>
      <x:c r="W93" s="26"/>
      <x:c r="X93" s="19"/>
      <x:c r="Y93" s="26"/>
      <x:c r="Z93" s="19"/>
      <x:c r="AA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20"/>
      <x:c r="J94" s="19"/>
      <x:c r="K94" s="19"/>
      <x:c r="L94" s="92" t="str">
        <x:f>IF($A94="","",IF(COUNTIFS('Orders'!$C$2:$C$500,$A94,'Orders'!$M$2:$M$500,"&lt;&gt;cancelled")=0,"",MAXIFS('Orders'!$G$2:$G$500,'Orders'!$C$2:$C$500,$A94,'Orders'!$M$2:$M$500,"&lt;&gt;cancelled")))</x:f>
      </x:c>
      <x:c r="M94" s="96" t="str">
        <x:f>IF($A94="","",SUMIFS('Orders'!$K$2:$K$500,'Orders'!$C$2:$C$500,$A94,'Orders'!$M$2:$M$500,"&lt;&gt;cancelled"))</x:f>
      </x:c>
      <x:c r="N94" s="96" t="str">
        <x:f>IF($A94="","",COUNTIFS('Orders'!$C$2:$C$500,$A94,'Orders'!$M$2:$M$500,"&lt;&gt;cancelled"))</x:f>
      </x:c>
      <x:c r="O94" s="100" t="str">
        <x:f>IF($A94="","",IF(COUNTIF('Interactions'!$B$2:$B$500,$A94)=0,"",MAXIFS('Interactions'!$G$2:$G$500,'Interactions'!$B$2:$B$500,$A94)))</x:f>
      </x:c>
      <x:c r="P94" s="100" t="str">
        <x:f>IF($A94="","",IF(COUNTIFS('FollowUps'!$B$2:$B$500,$A94,'FollowUps'!$H$2:$H$500,"open")=0,"",MINIFS('FollowUps'!$E$2:$E$500,'FollowUps'!$B$2:$B$500,$A94,'FollowUps'!$H$2:$H$500,"open")))</x:f>
      </x:c>
      <x:c r="Q94" s="104" t="str">
        <x:f>IF($A94="","",ROUND(MIN(25,$N94/VALUE(INDEX('Settings'!$B$2:$B$100,MATCH("score_purchase_target",'Settings'!$A$2:$A$100,0)))*25)+MIN(25,$M94/VALUE(INDEX('Settings'!$B$2:$B$100,MATCH("score_value_target",'Settings'!$A$2:$A$100,0)))*25)+IF($L94="",0,MAX(0,25-(TODAY()-$L94)/VALUE(INDEX('Settings'!$B$2:$B$100,MATCH("score_recency_days",'Settings'!$A$2:$A$100,0)))*25))+MIN(15,COUNTIFS('FollowUps'!$B$2:$B$500,$A94,'FollowUps'!$H$2:$H$500,"done")/VALUE(INDEX('Settings'!$B$2:$B$100,MATCH("score_response_target",'Settings'!$A$2:$A$100,0)))*15)+IF(COUNTIFS('Interactions'!$B$2:$B$500,$A94,'Interactions'!$E$2:$E$500,"complaint")=0,10,0),0))</x:f>
      </x:c>
      <x:c r="R94" s="108" t="str">
        <x:f>IF($A94="","",IF($J94="inactive","inactive",IF($J94="at_risk","at_risk",IF($Q94&gt;=85,"vip",IF($Q94&gt;=70,"loyal",IF($Q94&gt;=50,"active",IF($N94=0,"new","needs_attention")))))))</x:f>
      </x:c>
      <x:c r="S94" s="19"/>
      <x:c r="T94" s="18"/>
      <x:c r="U94" s="19"/>
      <x:c r="V94" s="20"/>
      <x:c r="W94" s="26"/>
      <x:c r="X94" s="19"/>
      <x:c r="Y94" s="26"/>
      <x:c r="Z94" s="19"/>
      <x:c r="AA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20"/>
      <x:c r="J95" s="19"/>
      <x:c r="K95" s="19"/>
      <x:c r="L95" s="92" t="str">
        <x:f>IF($A95="","",IF(COUNTIFS('Orders'!$C$2:$C$500,$A95,'Orders'!$M$2:$M$500,"&lt;&gt;cancelled")=0,"",MAXIFS('Orders'!$G$2:$G$500,'Orders'!$C$2:$C$500,$A95,'Orders'!$M$2:$M$500,"&lt;&gt;cancelled")))</x:f>
      </x:c>
      <x:c r="M95" s="96" t="str">
        <x:f>IF($A95="","",SUMIFS('Orders'!$K$2:$K$500,'Orders'!$C$2:$C$500,$A95,'Orders'!$M$2:$M$500,"&lt;&gt;cancelled"))</x:f>
      </x:c>
      <x:c r="N95" s="96" t="str">
        <x:f>IF($A95="","",COUNTIFS('Orders'!$C$2:$C$500,$A95,'Orders'!$M$2:$M$500,"&lt;&gt;cancelled"))</x:f>
      </x:c>
      <x:c r="O95" s="100" t="str">
        <x:f>IF($A95="","",IF(COUNTIF('Interactions'!$B$2:$B$500,$A95)=0,"",MAXIFS('Interactions'!$G$2:$G$500,'Interactions'!$B$2:$B$500,$A95)))</x:f>
      </x:c>
      <x:c r="P95" s="100" t="str">
        <x:f>IF($A95="","",IF(COUNTIFS('FollowUps'!$B$2:$B$500,$A95,'FollowUps'!$H$2:$H$500,"open")=0,"",MINIFS('FollowUps'!$E$2:$E$500,'FollowUps'!$B$2:$B$500,$A95,'FollowUps'!$H$2:$H$500,"open")))</x:f>
      </x:c>
      <x:c r="Q95" s="104" t="str">
        <x:f>IF($A95="","",ROUND(MIN(25,$N95/VALUE(INDEX('Settings'!$B$2:$B$100,MATCH("score_purchase_target",'Settings'!$A$2:$A$100,0)))*25)+MIN(25,$M95/VALUE(INDEX('Settings'!$B$2:$B$100,MATCH("score_value_target",'Settings'!$A$2:$A$100,0)))*25)+IF($L95="",0,MAX(0,25-(TODAY()-$L95)/VALUE(INDEX('Settings'!$B$2:$B$100,MATCH("score_recency_days",'Settings'!$A$2:$A$100,0)))*25))+MIN(15,COUNTIFS('FollowUps'!$B$2:$B$500,$A95,'FollowUps'!$H$2:$H$500,"done")/VALUE(INDEX('Settings'!$B$2:$B$100,MATCH("score_response_target",'Settings'!$A$2:$A$100,0)))*15)+IF(COUNTIFS('Interactions'!$B$2:$B$500,$A95,'Interactions'!$E$2:$E$500,"complaint")=0,10,0),0))</x:f>
      </x:c>
      <x:c r="R95" s="108" t="str">
        <x:f>IF($A95="","",IF($J95="inactive","inactive",IF($J95="at_risk","at_risk",IF($Q95&gt;=85,"vip",IF($Q95&gt;=70,"loyal",IF($Q95&gt;=50,"active",IF($N95=0,"new","needs_attention")))))))</x:f>
      </x:c>
      <x:c r="S95" s="19"/>
      <x:c r="T95" s="18"/>
      <x:c r="U95" s="19"/>
      <x:c r="V95" s="20"/>
      <x:c r="W95" s="26"/>
      <x:c r="X95" s="19"/>
      <x:c r="Y95" s="26"/>
      <x:c r="Z95" s="19"/>
      <x:c r="AA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20"/>
      <x:c r="J96" s="19"/>
      <x:c r="K96" s="19"/>
      <x:c r="L96" s="92" t="str">
        <x:f>IF($A96="","",IF(COUNTIFS('Orders'!$C$2:$C$500,$A96,'Orders'!$M$2:$M$500,"&lt;&gt;cancelled")=0,"",MAXIFS('Orders'!$G$2:$G$500,'Orders'!$C$2:$C$500,$A96,'Orders'!$M$2:$M$500,"&lt;&gt;cancelled")))</x:f>
      </x:c>
      <x:c r="M96" s="96" t="str">
        <x:f>IF($A96="","",SUMIFS('Orders'!$K$2:$K$500,'Orders'!$C$2:$C$500,$A96,'Orders'!$M$2:$M$500,"&lt;&gt;cancelled"))</x:f>
      </x:c>
      <x:c r="N96" s="96" t="str">
        <x:f>IF($A96="","",COUNTIFS('Orders'!$C$2:$C$500,$A96,'Orders'!$M$2:$M$500,"&lt;&gt;cancelled"))</x:f>
      </x:c>
      <x:c r="O96" s="100" t="str">
        <x:f>IF($A96="","",IF(COUNTIF('Interactions'!$B$2:$B$500,$A96)=0,"",MAXIFS('Interactions'!$G$2:$G$500,'Interactions'!$B$2:$B$500,$A96)))</x:f>
      </x:c>
      <x:c r="P96" s="100" t="str">
        <x:f>IF($A96="","",IF(COUNTIFS('FollowUps'!$B$2:$B$500,$A96,'FollowUps'!$H$2:$H$500,"open")=0,"",MINIFS('FollowUps'!$E$2:$E$500,'FollowUps'!$B$2:$B$500,$A96,'FollowUps'!$H$2:$H$500,"open")))</x:f>
      </x:c>
      <x:c r="Q96" s="104" t="str">
        <x:f>IF($A96="","",ROUND(MIN(25,$N96/VALUE(INDEX('Settings'!$B$2:$B$100,MATCH("score_purchase_target",'Settings'!$A$2:$A$100,0)))*25)+MIN(25,$M96/VALUE(INDEX('Settings'!$B$2:$B$100,MATCH("score_value_target",'Settings'!$A$2:$A$100,0)))*25)+IF($L96="",0,MAX(0,25-(TODAY()-$L96)/VALUE(INDEX('Settings'!$B$2:$B$100,MATCH("score_recency_days",'Settings'!$A$2:$A$100,0)))*25))+MIN(15,COUNTIFS('FollowUps'!$B$2:$B$500,$A96,'FollowUps'!$H$2:$H$500,"done")/VALUE(INDEX('Settings'!$B$2:$B$100,MATCH("score_response_target",'Settings'!$A$2:$A$100,0)))*15)+IF(COUNTIFS('Interactions'!$B$2:$B$500,$A96,'Interactions'!$E$2:$E$500,"complaint")=0,10,0),0))</x:f>
      </x:c>
      <x:c r="R96" s="108" t="str">
        <x:f>IF($A96="","",IF($J96="inactive","inactive",IF($J96="at_risk","at_risk",IF($Q96&gt;=85,"vip",IF($Q96&gt;=70,"loyal",IF($Q96&gt;=50,"active",IF($N96=0,"new","needs_attention")))))))</x:f>
      </x:c>
      <x:c r="S96" s="19"/>
      <x:c r="T96" s="18"/>
      <x:c r="U96" s="19"/>
      <x:c r="V96" s="20"/>
      <x:c r="W96" s="26"/>
      <x:c r="X96" s="19"/>
      <x:c r="Y96" s="26"/>
      <x:c r="Z96" s="19"/>
      <x:c r="AA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20"/>
      <x:c r="J97" s="19"/>
      <x:c r="K97" s="19"/>
      <x:c r="L97" s="92" t="str">
        <x:f>IF($A97="","",IF(COUNTIFS('Orders'!$C$2:$C$500,$A97,'Orders'!$M$2:$M$500,"&lt;&gt;cancelled")=0,"",MAXIFS('Orders'!$G$2:$G$500,'Orders'!$C$2:$C$500,$A97,'Orders'!$M$2:$M$500,"&lt;&gt;cancelled")))</x:f>
      </x:c>
      <x:c r="M97" s="96" t="str">
        <x:f>IF($A97="","",SUMIFS('Orders'!$K$2:$K$500,'Orders'!$C$2:$C$500,$A97,'Orders'!$M$2:$M$500,"&lt;&gt;cancelled"))</x:f>
      </x:c>
      <x:c r="N97" s="96" t="str">
        <x:f>IF($A97="","",COUNTIFS('Orders'!$C$2:$C$500,$A97,'Orders'!$M$2:$M$500,"&lt;&gt;cancelled"))</x:f>
      </x:c>
      <x:c r="O97" s="100" t="str">
        <x:f>IF($A97="","",IF(COUNTIF('Interactions'!$B$2:$B$500,$A97)=0,"",MAXIFS('Interactions'!$G$2:$G$500,'Interactions'!$B$2:$B$500,$A97)))</x:f>
      </x:c>
      <x:c r="P97" s="100" t="str">
        <x:f>IF($A97="","",IF(COUNTIFS('FollowUps'!$B$2:$B$500,$A97,'FollowUps'!$H$2:$H$500,"open")=0,"",MINIFS('FollowUps'!$E$2:$E$500,'FollowUps'!$B$2:$B$500,$A97,'FollowUps'!$H$2:$H$500,"open")))</x:f>
      </x:c>
      <x:c r="Q97" s="104" t="str">
        <x:f>IF($A97="","",ROUND(MIN(25,$N97/VALUE(INDEX('Settings'!$B$2:$B$100,MATCH("score_purchase_target",'Settings'!$A$2:$A$100,0)))*25)+MIN(25,$M97/VALUE(INDEX('Settings'!$B$2:$B$100,MATCH("score_value_target",'Settings'!$A$2:$A$100,0)))*25)+IF($L97="",0,MAX(0,25-(TODAY()-$L97)/VALUE(INDEX('Settings'!$B$2:$B$100,MATCH("score_recency_days",'Settings'!$A$2:$A$100,0)))*25))+MIN(15,COUNTIFS('FollowUps'!$B$2:$B$500,$A97,'FollowUps'!$H$2:$H$500,"done")/VALUE(INDEX('Settings'!$B$2:$B$100,MATCH("score_response_target",'Settings'!$A$2:$A$100,0)))*15)+IF(COUNTIFS('Interactions'!$B$2:$B$500,$A97,'Interactions'!$E$2:$E$500,"complaint")=0,10,0),0))</x:f>
      </x:c>
      <x:c r="R97" s="108" t="str">
        <x:f>IF($A97="","",IF($J97="inactive","inactive",IF($J97="at_risk","at_risk",IF($Q97&gt;=85,"vip",IF($Q97&gt;=70,"loyal",IF($Q97&gt;=50,"active",IF($N97=0,"new","needs_attention")))))))</x:f>
      </x:c>
      <x:c r="S97" s="19"/>
      <x:c r="T97" s="18"/>
      <x:c r="U97" s="19"/>
      <x:c r="V97" s="20"/>
      <x:c r="W97" s="26"/>
      <x:c r="X97" s="19"/>
      <x:c r="Y97" s="26"/>
      <x:c r="Z97" s="19"/>
      <x:c r="AA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20"/>
      <x:c r="J98" s="19"/>
      <x:c r="K98" s="19"/>
      <x:c r="L98" s="92" t="str">
        <x:f>IF($A98="","",IF(COUNTIFS('Orders'!$C$2:$C$500,$A98,'Orders'!$M$2:$M$500,"&lt;&gt;cancelled")=0,"",MAXIFS('Orders'!$G$2:$G$500,'Orders'!$C$2:$C$500,$A98,'Orders'!$M$2:$M$500,"&lt;&gt;cancelled")))</x:f>
      </x:c>
      <x:c r="M98" s="96" t="str">
        <x:f>IF($A98="","",SUMIFS('Orders'!$K$2:$K$500,'Orders'!$C$2:$C$500,$A98,'Orders'!$M$2:$M$500,"&lt;&gt;cancelled"))</x:f>
      </x:c>
      <x:c r="N98" s="96" t="str">
        <x:f>IF($A98="","",COUNTIFS('Orders'!$C$2:$C$500,$A98,'Orders'!$M$2:$M$500,"&lt;&gt;cancelled"))</x:f>
      </x:c>
      <x:c r="O98" s="100" t="str">
        <x:f>IF($A98="","",IF(COUNTIF('Interactions'!$B$2:$B$500,$A98)=0,"",MAXIFS('Interactions'!$G$2:$G$500,'Interactions'!$B$2:$B$500,$A98)))</x:f>
      </x:c>
      <x:c r="P98" s="100" t="str">
        <x:f>IF($A98="","",IF(COUNTIFS('FollowUps'!$B$2:$B$500,$A98,'FollowUps'!$H$2:$H$500,"open")=0,"",MINIFS('FollowUps'!$E$2:$E$500,'FollowUps'!$B$2:$B$500,$A98,'FollowUps'!$H$2:$H$500,"open")))</x:f>
      </x:c>
      <x:c r="Q98" s="104" t="str">
        <x:f>IF($A98="","",ROUND(MIN(25,$N98/VALUE(INDEX('Settings'!$B$2:$B$100,MATCH("score_purchase_target",'Settings'!$A$2:$A$100,0)))*25)+MIN(25,$M98/VALUE(INDEX('Settings'!$B$2:$B$100,MATCH("score_value_target",'Settings'!$A$2:$A$100,0)))*25)+IF($L98="",0,MAX(0,25-(TODAY()-$L98)/VALUE(INDEX('Settings'!$B$2:$B$100,MATCH("score_recency_days",'Settings'!$A$2:$A$100,0)))*25))+MIN(15,COUNTIFS('FollowUps'!$B$2:$B$500,$A98,'FollowUps'!$H$2:$H$500,"done")/VALUE(INDEX('Settings'!$B$2:$B$100,MATCH("score_response_target",'Settings'!$A$2:$A$100,0)))*15)+IF(COUNTIFS('Interactions'!$B$2:$B$500,$A98,'Interactions'!$E$2:$E$500,"complaint")=0,10,0),0))</x:f>
      </x:c>
      <x:c r="R98" s="108" t="str">
        <x:f>IF($A98="","",IF($J98="inactive","inactive",IF($J98="at_risk","at_risk",IF($Q98&gt;=85,"vip",IF($Q98&gt;=70,"loyal",IF($Q98&gt;=50,"active",IF($N98=0,"new","needs_attention")))))))</x:f>
      </x:c>
      <x:c r="S98" s="19"/>
      <x:c r="T98" s="18"/>
      <x:c r="U98" s="19"/>
      <x:c r="V98" s="20"/>
      <x:c r="W98" s="26"/>
      <x:c r="X98" s="19"/>
      <x:c r="Y98" s="26"/>
      <x:c r="Z98" s="19"/>
      <x:c r="AA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20"/>
      <x:c r="J99" s="19"/>
      <x:c r="K99" s="19"/>
      <x:c r="L99" s="92" t="str">
        <x:f>IF($A99="","",IF(COUNTIFS('Orders'!$C$2:$C$500,$A99,'Orders'!$M$2:$M$500,"&lt;&gt;cancelled")=0,"",MAXIFS('Orders'!$G$2:$G$500,'Orders'!$C$2:$C$500,$A99,'Orders'!$M$2:$M$500,"&lt;&gt;cancelled")))</x:f>
      </x:c>
      <x:c r="M99" s="96" t="str">
        <x:f>IF($A99="","",SUMIFS('Orders'!$K$2:$K$500,'Orders'!$C$2:$C$500,$A99,'Orders'!$M$2:$M$500,"&lt;&gt;cancelled"))</x:f>
      </x:c>
      <x:c r="N99" s="96" t="str">
        <x:f>IF($A99="","",COUNTIFS('Orders'!$C$2:$C$500,$A99,'Orders'!$M$2:$M$500,"&lt;&gt;cancelled"))</x:f>
      </x:c>
      <x:c r="O99" s="100" t="str">
        <x:f>IF($A99="","",IF(COUNTIF('Interactions'!$B$2:$B$500,$A99)=0,"",MAXIFS('Interactions'!$G$2:$G$500,'Interactions'!$B$2:$B$500,$A99)))</x:f>
      </x:c>
      <x:c r="P99" s="100" t="str">
        <x:f>IF($A99="","",IF(COUNTIFS('FollowUps'!$B$2:$B$500,$A99,'FollowUps'!$H$2:$H$500,"open")=0,"",MINIFS('FollowUps'!$E$2:$E$500,'FollowUps'!$B$2:$B$500,$A99,'FollowUps'!$H$2:$H$500,"open")))</x:f>
      </x:c>
      <x:c r="Q99" s="104" t="str">
        <x:f>IF($A99="","",ROUND(MIN(25,$N99/VALUE(INDEX('Settings'!$B$2:$B$100,MATCH("score_purchase_target",'Settings'!$A$2:$A$100,0)))*25)+MIN(25,$M99/VALUE(INDEX('Settings'!$B$2:$B$100,MATCH("score_value_target",'Settings'!$A$2:$A$100,0)))*25)+IF($L99="",0,MAX(0,25-(TODAY()-$L99)/VALUE(INDEX('Settings'!$B$2:$B$100,MATCH("score_recency_days",'Settings'!$A$2:$A$100,0)))*25))+MIN(15,COUNTIFS('FollowUps'!$B$2:$B$500,$A99,'FollowUps'!$H$2:$H$500,"done")/VALUE(INDEX('Settings'!$B$2:$B$100,MATCH("score_response_target",'Settings'!$A$2:$A$100,0)))*15)+IF(COUNTIFS('Interactions'!$B$2:$B$500,$A99,'Interactions'!$E$2:$E$500,"complaint")=0,10,0),0))</x:f>
      </x:c>
      <x:c r="R99" s="108" t="str">
        <x:f>IF($A99="","",IF($J99="inactive","inactive",IF($J99="at_risk","at_risk",IF($Q99&gt;=85,"vip",IF($Q99&gt;=70,"loyal",IF($Q99&gt;=50,"active",IF($N99=0,"new","needs_attention")))))))</x:f>
      </x:c>
      <x:c r="S99" s="19"/>
      <x:c r="T99" s="18"/>
      <x:c r="U99" s="19"/>
      <x:c r="V99" s="20"/>
      <x:c r="W99" s="26"/>
      <x:c r="X99" s="19"/>
      <x:c r="Y99" s="26"/>
      <x:c r="Z99" s="19"/>
      <x:c r="AA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20"/>
      <x:c r="J100" s="19"/>
      <x:c r="K100" s="19"/>
      <x:c r="L100" s="92" t="str">
        <x:f>IF($A100="","",IF(COUNTIFS('Orders'!$C$2:$C$500,$A100,'Orders'!$M$2:$M$500,"&lt;&gt;cancelled")=0,"",MAXIFS('Orders'!$G$2:$G$500,'Orders'!$C$2:$C$500,$A100,'Orders'!$M$2:$M$500,"&lt;&gt;cancelled")))</x:f>
      </x:c>
      <x:c r="M100" s="96" t="str">
        <x:f>IF($A100="","",SUMIFS('Orders'!$K$2:$K$500,'Orders'!$C$2:$C$500,$A100,'Orders'!$M$2:$M$500,"&lt;&gt;cancelled"))</x:f>
      </x:c>
      <x:c r="N100" s="96" t="str">
        <x:f>IF($A100="","",COUNTIFS('Orders'!$C$2:$C$500,$A100,'Orders'!$M$2:$M$500,"&lt;&gt;cancelled"))</x:f>
      </x:c>
      <x:c r="O100" s="100" t="str">
        <x:f>IF($A100="","",IF(COUNTIF('Interactions'!$B$2:$B$500,$A100)=0,"",MAXIFS('Interactions'!$G$2:$G$500,'Interactions'!$B$2:$B$500,$A100)))</x:f>
      </x:c>
      <x:c r="P100" s="100" t="str">
        <x:f>IF($A100="","",IF(COUNTIFS('FollowUps'!$B$2:$B$500,$A100,'FollowUps'!$H$2:$H$500,"open")=0,"",MINIFS('FollowUps'!$E$2:$E$500,'FollowUps'!$B$2:$B$500,$A100,'FollowUps'!$H$2:$H$500,"open")))</x:f>
      </x:c>
      <x:c r="Q100" s="104" t="str">
        <x:f>IF($A100="","",ROUND(MIN(25,$N100/VALUE(INDEX('Settings'!$B$2:$B$100,MATCH("score_purchase_target",'Settings'!$A$2:$A$100,0)))*25)+MIN(25,$M100/VALUE(INDEX('Settings'!$B$2:$B$100,MATCH("score_value_target",'Settings'!$A$2:$A$100,0)))*25)+IF($L100="",0,MAX(0,25-(TODAY()-$L100)/VALUE(INDEX('Settings'!$B$2:$B$100,MATCH("score_recency_days",'Settings'!$A$2:$A$100,0)))*25))+MIN(15,COUNTIFS('FollowUps'!$B$2:$B$500,$A100,'FollowUps'!$H$2:$H$500,"done")/VALUE(INDEX('Settings'!$B$2:$B$100,MATCH("score_response_target",'Settings'!$A$2:$A$100,0)))*15)+IF(COUNTIFS('Interactions'!$B$2:$B$500,$A100,'Interactions'!$E$2:$E$500,"complaint")=0,10,0),0))</x:f>
      </x:c>
      <x:c r="R100" s="108" t="str">
        <x:f>IF($A100="","",IF($J100="inactive","inactive",IF($J100="at_risk","at_risk",IF($Q100&gt;=85,"vip",IF($Q100&gt;=70,"loyal",IF($Q100&gt;=50,"active",IF($N100=0,"new","needs_attention")))))))</x:f>
      </x:c>
      <x:c r="S100" s="19"/>
      <x:c r="T100" s="18"/>
      <x:c r="U100" s="19"/>
      <x:c r="V100" s="20"/>
      <x:c r="W100" s="26"/>
      <x:c r="X100" s="19"/>
      <x:c r="Y100" s="26"/>
      <x:c r="Z100" s="19"/>
      <x:c r="AA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20"/>
      <x:c r="J101" s="19"/>
      <x:c r="K101" s="19"/>
      <x:c r="L101" s="92" t="str">
        <x:f>IF($A101="","",IF(COUNTIFS('Orders'!$C$2:$C$500,$A101,'Orders'!$M$2:$M$500,"&lt;&gt;cancelled")=0,"",MAXIFS('Orders'!$G$2:$G$500,'Orders'!$C$2:$C$500,$A101,'Orders'!$M$2:$M$500,"&lt;&gt;cancelled")))</x:f>
      </x:c>
      <x:c r="M101" s="96" t="str">
        <x:f>IF($A101="","",SUMIFS('Orders'!$K$2:$K$500,'Orders'!$C$2:$C$500,$A101,'Orders'!$M$2:$M$500,"&lt;&gt;cancelled"))</x:f>
      </x:c>
      <x:c r="N101" s="96" t="str">
        <x:f>IF($A101="","",COUNTIFS('Orders'!$C$2:$C$500,$A101,'Orders'!$M$2:$M$500,"&lt;&gt;cancelled"))</x:f>
      </x:c>
      <x:c r="O101" s="100" t="str">
        <x:f>IF($A101="","",IF(COUNTIF('Interactions'!$B$2:$B$500,$A101)=0,"",MAXIFS('Interactions'!$G$2:$G$500,'Interactions'!$B$2:$B$500,$A101)))</x:f>
      </x:c>
      <x:c r="P101" s="100" t="str">
        <x:f>IF($A101="","",IF(COUNTIFS('FollowUps'!$B$2:$B$500,$A101,'FollowUps'!$H$2:$H$500,"open")=0,"",MINIFS('FollowUps'!$E$2:$E$500,'FollowUps'!$B$2:$B$500,$A101,'FollowUps'!$H$2:$H$500,"open")))</x:f>
      </x:c>
      <x:c r="Q101" s="104" t="str">
        <x:f>IF($A101="","",ROUND(MIN(25,$N101/VALUE(INDEX('Settings'!$B$2:$B$100,MATCH("score_purchase_target",'Settings'!$A$2:$A$100,0)))*25)+MIN(25,$M101/VALUE(INDEX('Settings'!$B$2:$B$100,MATCH("score_value_target",'Settings'!$A$2:$A$100,0)))*25)+IF($L101="",0,MAX(0,25-(TODAY()-$L101)/VALUE(INDEX('Settings'!$B$2:$B$100,MATCH("score_recency_days",'Settings'!$A$2:$A$100,0)))*25))+MIN(15,COUNTIFS('FollowUps'!$B$2:$B$500,$A101,'FollowUps'!$H$2:$H$500,"done")/VALUE(INDEX('Settings'!$B$2:$B$100,MATCH("score_response_target",'Settings'!$A$2:$A$100,0)))*15)+IF(COUNTIFS('Interactions'!$B$2:$B$500,$A101,'Interactions'!$E$2:$E$500,"complaint")=0,10,0),0))</x:f>
      </x:c>
      <x:c r="R101" s="108" t="str">
        <x:f>IF($A101="","",IF($J101="inactive","inactive",IF($J101="at_risk","at_risk",IF($Q101&gt;=85,"vip",IF($Q101&gt;=70,"loyal",IF($Q101&gt;=50,"active",IF($N101=0,"new","needs_attention")))))))</x:f>
      </x:c>
      <x:c r="S101" s="19"/>
      <x:c r="T101" s="18"/>
      <x:c r="U101" s="19"/>
      <x:c r="V101" s="20"/>
      <x:c r="W101" s="26"/>
      <x:c r="X101" s="19"/>
      <x:c r="Y101" s="26"/>
      <x:c r="Z101" s="19"/>
      <x:c r="AA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20"/>
      <x:c r="J102" s="19"/>
      <x:c r="K102" s="19"/>
      <x:c r="L102" s="92" t="str">
        <x:f>IF($A102="","",IF(COUNTIFS('Orders'!$C$2:$C$500,$A102,'Orders'!$M$2:$M$500,"&lt;&gt;cancelled")=0,"",MAXIFS('Orders'!$G$2:$G$500,'Orders'!$C$2:$C$500,$A102,'Orders'!$M$2:$M$500,"&lt;&gt;cancelled")))</x:f>
      </x:c>
      <x:c r="M102" s="96" t="str">
        <x:f>IF($A102="","",SUMIFS('Orders'!$K$2:$K$500,'Orders'!$C$2:$C$500,$A102,'Orders'!$M$2:$M$500,"&lt;&gt;cancelled"))</x:f>
      </x:c>
      <x:c r="N102" s="96" t="str">
        <x:f>IF($A102="","",COUNTIFS('Orders'!$C$2:$C$500,$A102,'Orders'!$M$2:$M$500,"&lt;&gt;cancelled"))</x:f>
      </x:c>
      <x:c r="O102" s="100" t="str">
        <x:f>IF($A102="","",IF(COUNTIF('Interactions'!$B$2:$B$500,$A102)=0,"",MAXIFS('Interactions'!$G$2:$G$500,'Interactions'!$B$2:$B$500,$A102)))</x:f>
      </x:c>
      <x:c r="P102" s="100" t="str">
        <x:f>IF($A102="","",IF(COUNTIFS('FollowUps'!$B$2:$B$500,$A102,'FollowUps'!$H$2:$H$500,"open")=0,"",MINIFS('FollowUps'!$E$2:$E$500,'FollowUps'!$B$2:$B$500,$A102,'FollowUps'!$H$2:$H$500,"open")))</x:f>
      </x:c>
      <x:c r="Q102" s="104" t="str">
        <x:f>IF($A102="","",ROUND(MIN(25,$N102/VALUE(INDEX('Settings'!$B$2:$B$100,MATCH("score_purchase_target",'Settings'!$A$2:$A$100,0)))*25)+MIN(25,$M102/VALUE(INDEX('Settings'!$B$2:$B$100,MATCH("score_value_target",'Settings'!$A$2:$A$100,0)))*25)+IF($L102="",0,MAX(0,25-(TODAY()-$L102)/VALUE(INDEX('Settings'!$B$2:$B$100,MATCH("score_recency_days",'Settings'!$A$2:$A$100,0)))*25))+MIN(15,COUNTIFS('FollowUps'!$B$2:$B$500,$A102,'FollowUps'!$H$2:$H$500,"done")/VALUE(INDEX('Settings'!$B$2:$B$100,MATCH("score_response_target",'Settings'!$A$2:$A$100,0)))*15)+IF(COUNTIFS('Interactions'!$B$2:$B$500,$A102,'Interactions'!$E$2:$E$500,"complaint")=0,10,0),0))</x:f>
      </x:c>
      <x:c r="R102" s="108" t="str">
        <x:f>IF($A102="","",IF($J102="inactive","inactive",IF($J102="at_risk","at_risk",IF($Q102&gt;=85,"vip",IF($Q102&gt;=70,"loyal",IF($Q102&gt;=50,"active",IF($N102=0,"new","needs_attention")))))))</x:f>
      </x:c>
      <x:c r="S102" s="19"/>
      <x:c r="T102" s="18"/>
      <x:c r="U102" s="19"/>
      <x:c r="V102" s="20"/>
      <x:c r="W102" s="26"/>
      <x:c r="X102" s="19"/>
      <x:c r="Y102" s="26"/>
      <x:c r="Z102" s="19"/>
      <x:c r="AA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20"/>
      <x:c r="J103" s="19"/>
      <x:c r="K103" s="19"/>
      <x:c r="L103" s="92" t="str">
        <x:f>IF($A103="","",IF(COUNTIFS('Orders'!$C$2:$C$500,$A103,'Orders'!$M$2:$M$500,"&lt;&gt;cancelled")=0,"",MAXIFS('Orders'!$G$2:$G$500,'Orders'!$C$2:$C$500,$A103,'Orders'!$M$2:$M$500,"&lt;&gt;cancelled")))</x:f>
      </x:c>
      <x:c r="M103" s="96" t="str">
        <x:f>IF($A103="","",SUMIFS('Orders'!$K$2:$K$500,'Orders'!$C$2:$C$500,$A103,'Orders'!$M$2:$M$500,"&lt;&gt;cancelled"))</x:f>
      </x:c>
      <x:c r="N103" s="96" t="str">
        <x:f>IF($A103="","",COUNTIFS('Orders'!$C$2:$C$500,$A103,'Orders'!$M$2:$M$500,"&lt;&gt;cancelled"))</x:f>
      </x:c>
      <x:c r="O103" s="100" t="str">
        <x:f>IF($A103="","",IF(COUNTIF('Interactions'!$B$2:$B$500,$A103)=0,"",MAXIFS('Interactions'!$G$2:$G$500,'Interactions'!$B$2:$B$500,$A103)))</x:f>
      </x:c>
      <x:c r="P103" s="100" t="str">
        <x:f>IF($A103="","",IF(COUNTIFS('FollowUps'!$B$2:$B$500,$A103,'FollowUps'!$H$2:$H$500,"open")=0,"",MINIFS('FollowUps'!$E$2:$E$500,'FollowUps'!$B$2:$B$500,$A103,'FollowUps'!$H$2:$H$500,"open")))</x:f>
      </x:c>
      <x:c r="Q103" s="104" t="str">
        <x:f>IF($A103="","",ROUND(MIN(25,$N103/VALUE(INDEX('Settings'!$B$2:$B$100,MATCH("score_purchase_target",'Settings'!$A$2:$A$100,0)))*25)+MIN(25,$M103/VALUE(INDEX('Settings'!$B$2:$B$100,MATCH("score_value_target",'Settings'!$A$2:$A$100,0)))*25)+IF($L103="",0,MAX(0,25-(TODAY()-$L103)/VALUE(INDEX('Settings'!$B$2:$B$100,MATCH("score_recency_days",'Settings'!$A$2:$A$100,0)))*25))+MIN(15,COUNTIFS('FollowUps'!$B$2:$B$500,$A103,'FollowUps'!$H$2:$H$500,"done")/VALUE(INDEX('Settings'!$B$2:$B$100,MATCH("score_response_target",'Settings'!$A$2:$A$100,0)))*15)+IF(COUNTIFS('Interactions'!$B$2:$B$500,$A103,'Interactions'!$E$2:$E$500,"complaint")=0,10,0),0))</x:f>
      </x:c>
      <x:c r="R103" s="108" t="str">
        <x:f>IF($A103="","",IF($J103="inactive","inactive",IF($J103="at_risk","at_risk",IF($Q103&gt;=85,"vip",IF($Q103&gt;=70,"loyal",IF($Q103&gt;=50,"active",IF($N103=0,"new","needs_attention")))))))</x:f>
      </x:c>
      <x:c r="S103" s="19"/>
      <x:c r="T103" s="18"/>
      <x:c r="U103" s="19"/>
      <x:c r="V103" s="20"/>
      <x:c r="W103" s="26"/>
      <x:c r="X103" s="19"/>
      <x:c r="Y103" s="26"/>
      <x:c r="Z103" s="19"/>
      <x:c r="AA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20"/>
      <x:c r="J104" s="19"/>
      <x:c r="K104" s="19"/>
      <x:c r="L104" s="92" t="str">
        <x:f>IF($A104="","",IF(COUNTIFS('Orders'!$C$2:$C$500,$A104,'Orders'!$M$2:$M$500,"&lt;&gt;cancelled")=0,"",MAXIFS('Orders'!$G$2:$G$500,'Orders'!$C$2:$C$500,$A104,'Orders'!$M$2:$M$500,"&lt;&gt;cancelled")))</x:f>
      </x:c>
      <x:c r="M104" s="96" t="str">
        <x:f>IF($A104="","",SUMIFS('Orders'!$K$2:$K$500,'Orders'!$C$2:$C$500,$A104,'Orders'!$M$2:$M$500,"&lt;&gt;cancelled"))</x:f>
      </x:c>
      <x:c r="N104" s="96" t="str">
        <x:f>IF($A104="","",COUNTIFS('Orders'!$C$2:$C$500,$A104,'Orders'!$M$2:$M$500,"&lt;&gt;cancelled"))</x:f>
      </x:c>
      <x:c r="O104" s="100" t="str">
        <x:f>IF($A104="","",IF(COUNTIF('Interactions'!$B$2:$B$500,$A104)=0,"",MAXIFS('Interactions'!$G$2:$G$500,'Interactions'!$B$2:$B$500,$A104)))</x:f>
      </x:c>
      <x:c r="P104" s="100" t="str">
        <x:f>IF($A104="","",IF(COUNTIFS('FollowUps'!$B$2:$B$500,$A104,'FollowUps'!$H$2:$H$500,"open")=0,"",MINIFS('FollowUps'!$E$2:$E$500,'FollowUps'!$B$2:$B$500,$A104,'FollowUps'!$H$2:$H$500,"open")))</x:f>
      </x:c>
      <x:c r="Q104" s="104" t="str">
        <x:f>IF($A104="","",ROUND(MIN(25,$N104/VALUE(INDEX('Settings'!$B$2:$B$100,MATCH("score_purchase_target",'Settings'!$A$2:$A$100,0)))*25)+MIN(25,$M104/VALUE(INDEX('Settings'!$B$2:$B$100,MATCH("score_value_target",'Settings'!$A$2:$A$100,0)))*25)+IF($L104="",0,MAX(0,25-(TODAY()-$L104)/VALUE(INDEX('Settings'!$B$2:$B$100,MATCH("score_recency_days",'Settings'!$A$2:$A$100,0)))*25))+MIN(15,COUNTIFS('FollowUps'!$B$2:$B$500,$A104,'FollowUps'!$H$2:$H$500,"done")/VALUE(INDEX('Settings'!$B$2:$B$100,MATCH("score_response_target",'Settings'!$A$2:$A$100,0)))*15)+IF(COUNTIFS('Interactions'!$B$2:$B$500,$A104,'Interactions'!$E$2:$E$500,"complaint")=0,10,0),0))</x:f>
      </x:c>
      <x:c r="R104" s="108" t="str">
        <x:f>IF($A104="","",IF($J104="inactive","inactive",IF($J104="at_risk","at_risk",IF($Q104&gt;=85,"vip",IF($Q104&gt;=70,"loyal",IF($Q104&gt;=50,"active",IF($N104=0,"new","needs_attention")))))))</x:f>
      </x:c>
      <x:c r="S104" s="19"/>
      <x:c r="T104" s="18"/>
      <x:c r="U104" s="19"/>
      <x:c r="V104" s="20"/>
      <x:c r="W104" s="26"/>
      <x:c r="X104" s="19"/>
      <x:c r="Y104" s="26"/>
      <x:c r="Z104" s="19"/>
      <x:c r="AA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20"/>
      <x:c r="J105" s="19"/>
      <x:c r="K105" s="19"/>
      <x:c r="L105" s="92" t="str">
        <x:f>IF($A105="","",IF(COUNTIFS('Orders'!$C$2:$C$500,$A105,'Orders'!$M$2:$M$500,"&lt;&gt;cancelled")=0,"",MAXIFS('Orders'!$G$2:$G$500,'Orders'!$C$2:$C$500,$A105,'Orders'!$M$2:$M$500,"&lt;&gt;cancelled")))</x:f>
      </x:c>
      <x:c r="M105" s="96" t="str">
        <x:f>IF($A105="","",SUMIFS('Orders'!$K$2:$K$500,'Orders'!$C$2:$C$500,$A105,'Orders'!$M$2:$M$500,"&lt;&gt;cancelled"))</x:f>
      </x:c>
      <x:c r="N105" s="96" t="str">
        <x:f>IF($A105="","",COUNTIFS('Orders'!$C$2:$C$500,$A105,'Orders'!$M$2:$M$500,"&lt;&gt;cancelled"))</x:f>
      </x:c>
      <x:c r="O105" s="100" t="str">
        <x:f>IF($A105="","",IF(COUNTIF('Interactions'!$B$2:$B$500,$A105)=0,"",MAXIFS('Interactions'!$G$2:$G$500,'Interactions'!$B$2:$B$500,$A105)))</x:f>
      </x:c>
      <x:c r="P105" s="100" t="str">
        <x:f>IF($A105="","",IF(COUNTIFS('FollowUps'!$B$2:$B$500,$A105,'FollowUps'!$H$2:$H$500,"open")=0,"",MINIFS('FollowUps'!$E$2:$E$500,'FollowUps'!$B$2:$B$500,$A105,'FollowUps'!$H$2:$H$500,"open")))</x:f>
      </x:c>
      <x:c r="Q105" s="104" t="str">
        <x:f>IF($A105="","",ROUND(MIN(25,$N105/VALUE(INDEX('Settings'!$B$2:$B$100,MATCH("score_purchase_target",'Settings'!$A$2:$A$100,0)))*25)+MIN(25,$M105/VALUE(INDEX('Settings'!$B$2:$B$100,MATCH("score_value_target",'Settings'!$A$2:$A$100,0)))*25)+IF($L105="",0,MAX(0,25-(TODAY()-$L105)/VALUE(INDEX('Settings'!$B$2:$B$100,MATCH("score_recency_days",'Settings'!$A$2:$A$100,0)))*25))+MIN(15,COUNTIFS('FollowUps'!$B$2:$B$500,$A105,'FollowUps'!$H$2:$H$500,"done")/VALUE(INDEX('Settings'!$B$2:$B$100,MATCH("score_response_target",'Settings'!$A$2:$A$100,0)))*15)+IF(COUNTIFS('Interactions'!$B$2:$B$500,$A105,'Interactions'!$E$2:$E$500,"complaint")=0,10,0),0))</x:f>
      </x:c>
      <x:c r="R105" s="108" t="str">
        <x:f>IF($A105="","",IF($J105="inactive","inactive",IF($J105="at_risk","at_risk",IF($Q105&gt;=85,"vip",IF($Q105&gt;=70,"loyal",IF($Q105&gt;=50,"active",IF($N105=0,"new","needs_attention")))))))</x:f>
      </x:c>
      <x:c r="S105" s="19"/>
      <x:c r="T105" s="18"/>
      <x:c r="U105" s="19"/>
      <x:c r="V105" s="20"/>
      <x:c r="W105" s="26"/>
      <x:c r="X105" s="19"/>
      <x:c r="Y105" s="26"/>
      <x:c r="Z105" s="19"/>
      <x:c r="AA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20"/>
      <x:c r="J106" s="19"/>
      <x:c r="K106" s="19"/>
      <x:c r="L106" s="92" t="str">
        <x:f>IF($A106="","",IF(COUNTIFS('Orders'!$C$2:$C$500,$A106,'Orders'!$M$2:$M$500,"&lt;&gt;cancelled")=0,"",MAXIFS('Orders'!$G$2:$G$500,'Orders'!$C$2:$C$500,$A106,'Orders'!$M$2:$M$500,"&lt;&gt;cancelled")))</x:f>
      </x:c>
      <x:c r="M106" s="96" t="str">
        <x:f>IF($A106="","",SUMIFS('Orders'!$K$2:$K$500,'Orders'!$C$2:$C$500,$A106,'Orders'!$M$2:$M$500,"&lt;&gt;cancelled"))</x:f>
      </x:c>
      <x:c r="N106" s="96" t="str">
        <x:f>IF($A106="","",COUNTIFS('Orders'!$C$2:$C$500,$A106,'Orders'!$M$2:$M$500,"&lt;&gt;cancelled"))</x:f>
      </x:c>
      <x:c r="O106" s="100" t="str">
        <x:f>IF($A106="","",IF(COUNTIF('Interactions'!$B$2:$B$500,$A106)=0,"",MAXIFS('Interactions'!$G$2:$G$500,'Interactions'!$B$2:$B$500,$A106)))</x:f>
      </x:c>
      <x:c r="P106" s="100" t="str">
        <x:f>IF($A106="","",IF(COUNTIFS('FollowUps'!$B$2:$B$500,$A106,'FollowUps'!$H$2:$H$500,"open")=0,"",MINIFS('FollowUps'!$E$2:$E$500,'FollowUps'!$B$2:$B$500,$A106,'FollowUps'!$H$2:$H$500,"open")))</x:f>
      </x:c>
      <x:c r="Q106" s="104" t="str">
        <x:f>IF($A106="","",ROUND(MIN(25,$N106/VALUE(INDEX('Settings'!$B$2:$B$100,MATCH("score_purchase_target",'Settings'!$A$2:$A$100,0)))*25)+MIN(25,$M106/VALUE(INDEX('Settings'!$B$2:$B$100,MATCH("score_value_target",'Settings'!$A$2:$A$100,0)))*25)+IF($L106="",0,MAX(0,25-(TODAY()-$L106)/VALUE(INDEX('Settings'!$B$2:$B$100,MATCH("score_recency_days",'Settings'!$A$2:$A$100,0)))*25))+MIN(15,COUNTIFS('FollowUps'!$B$2:$B$500,$A106,'FollowUps'!$H$2:$H$500,"done")/VALUE(INDEX('Settings'!$B$2:$B$100,MATCH("score_response_target",'Settings'!$A$2:$A$100,0)))*15)+IF(COUNTIFS('Interactions'!$B$2:$B$500,$A106,'Interactions'!$E$2:$E$500,"complaint")=0,10,0),0))</x:f>
      </x:c>
      <x:c r="R106" s="108" t="str">
        <x:f>IF($A106="","",IF($J106="inactive","inactive",IF($J106="at_risk","at_risk",IF($Q106&gt;=85,"vip",IF($Q106&gt;=70,"loyal",IF($Q106&gt;=50,"active",IF($N106=0,"new","needs_attention")))))))</x:f>
      </x:c>
      <x:c r="S106" s="19"/>
      <x:c r="T106" s="18"/>
      <x:c r="U106" s="19"/>
      <x:c r="V106" s="20"/>
      <x:c r="W106" s="26"/>
      <x:c r="X106" s="19"/>
      <x:c r="Y106" s="26"/>
      <x:c r="Z106" s="19"/>
      <x:c r="AA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20"/>
      <x:c r="J107" s="19"/>
      <x:c r="K107" s="19"/>
      <x:c r="L107" s="92" t="str">
        <x:f>IF($A107="","",IF(COUNTIFS('Orders'!$C$2:$C$500,$A107,'Orders'!$M$2:$M$500,"&lt;&gt;cancelled")=0,"",MAXIFS('Orders'!$G$2:$G$500,'Orders'!$C$2:$C$500,$A107,'Orders'!$M$2:$M$500,"&lt;&gt;cancelled")))</x:f>
      </x:c>
      <x:c r="M107" s="96" t="str">
        <x:f>IF($A107="","",SUMIFS('Orders'!$K$2:$K$500,'Orders'!$C$2:$C$500,$A107,'Orders'!$M$2:$M$500,"&lt;&gt;cancelled"))</x:f>
      </x:c>
      <x:c r="N107" s="96" t="str">
        <x:f>IF($A107="","",COUNTIFS('Orders'!$C$2:$C$500,$A107,'Orders'!$M$2:$M$500,"&lt;&gt;cancelled"))</x:f>
      </x:c>
      <x:c r="O107" s="100" t="str">
        <x:f>IF($A107="","",IF(COUNTIF('Interactions'!$B$2:$B$500,$A107)=0,"",MAXIFS('Interactions'!$G$2:$G$500,'Interactions'!$B$2:$B$500,$A107)))</x:f>
      </x:c>
      <x:c r="P107" s="100" t="str">
        <x:f>IF($A107="","",IF(COUNTIFS('FollowUps'!$B$2:$B$500,$A107,'FollowUps'!$H$2:$H$500,"open")=0,"",MINIFS('FollowUps'!$E$2:$E$500,'FollowUps'!$B$2:$B$500,$A107,'FollowUps'!$H$2:$H$500,"open")))</x:f>
      </x:c>
      <x:c r="Q107" s="104" t="str">
        <x:f>IF($A107="","",ROUND(MIN(25,$N107/VALUE(INDEX('Settings'!$B$2:$B$100,MATCH("score_purchase_target",'Settings'!$A$2:$A$100,0)))*25)+MIN(25,$M107/VALUE(INDEX('Settings'!$B$2:$B$100,MATCH("score_value_target",'Settings'!$A$2:$A$100,0)))*25)+IF($L107="",0,MAX(0,25-(TODAY()-$L107)/VALUE(INDEX('Settings'!$B$2:$B$100,MATCH("score_recency_days",'Settings'!$A$2:$A$100,0)))*25))+MIN(15,COUNTIFS('FollowUps'!$B$2:$B$500,$A107,'FollowUps'!$H$2:$H$500,"done")/VALUE(INDEX('Settings'!$B$2:$B$100,MATCH("score_response_target",'Settings'!$A$2:$A$100,0)))*15)+IF(COUNTIFS('Interactions'!$B$2:$B$500,$A107,'Interactions'!$E$2:$E$500,"complaint")=0,10,0),0))</x:f>
      </x:c>
      <x:c r="R107" s="108" t="str">
        <x:f>IF($A107="","",IF($J107="inactive","inactive",IF($J107="at_risk","at_risk",IF($Q107&gt;=85,"vip",IF($Q107&gt;=70,"loyal",IF($Q107&gt;=50,"active",IF($N107=0,"new","needs_attention")))))))</x:f>
      </x:c>
      <x:c r="S107" s="19"/>
      <x:c r="T107" s="18"/>
      <x:c r="U107" s="19"/>
      <x:c r="V107" s="20"/>
      <x:c r="W107" s="26"/>
      <x:c r="X107" s="19"/>
      <x:c r="Y107" s="26"/>
      <x:c r="Z107" s="19"/>
      <x:c r="AA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20"/>
      <x:c r="J108" s="19"/>
      <x:c r="K108" s="19"/>
      <x:c r="L108" s="92" t="str">
        <x:f>IF($A108="","",IF(COUNTIFS('Orders'!$C$2:$C$500,$A108,'Orders'!$M$2:$M$500,"&lt;&gt;cancelled")=0,"",MAXIFS('Orders'!$G$2:$G$500,'Orders'!$C$2:$C$500,$A108,'Orders'!$M$2:$M$500,"&lt;&gt;cancelled")))</x:f>
      </x:c>
      <x:c r="M108" s="96" t="str">
        <x:f>IF($A108="","",SUMIFS('Orders'!$K$2:$K$500,'Orders'!$C$2:$C$500,$A108,'Orders'!$M$2:$M$500,"&lt;&gt;cancelled"))</x:f>
      </x:c>
      <x:c r="N108" s="96" t="str">
        <x:f>IF($A108="","",COUNTIFS('Orders'!$C$2:$C$500,$A108,'Orders'!$M$2:$M$500,"&lt;&gt;cancelled"))</x:f>
      </x:c>
      <x:c r="O108" s="100" t="str">
        <x:f>IF($A108="","",IF(COUNTIF('Interactions'!$B$2:$B$500,$A108)=0,"",MAXIFS('Interactions'!$G$2:$G$500,'Interactions'!$B$2:$B$500,$A108)))</x:f>
      </x:c>
      <x:c r="P108" s="100" t="str">
        <x:f>IF($A108="","",IF(COUNTIFS('FollowUps'!$B$2:$B$500,$A108,'FollowUps'!$H$2:$H$500,"open")=0,"",MINIFS('FollowUps'!$E$2:$E$500,'FollowUps'!$B$2:$B$500,$A108,'FollowUps'!$H$2:$H$500,"open")))</x:f>
      </x:c>
      <x:c r="Q108" s="104" t="str">
        <x:f>IF($A108="","",ROUND(MIN(25,$N108/VALUE(INDEX('Settings'!$B$2:$B$100,MATCH("score_purchase_target",'Settings'!$A$2:$A$100,0)))*25)+MIN(25,$M108/VALUE(INDEX('Settings'!$B$2:$B$100,MATCH("score_value_target",'Settings'!$A$2:$A$100,0)))*25)+IF($L108="",0,MAX(0,25-(TODAY()-$L108)/VALUE(INDEX('Settings'!$B$2:$B$100,MATCH("score_recency_days",'Settings'!$A$2:$A$100,0)))*25))+MIN(15,COUNTIFS('FollowUps'!$B$2:$B$500,$A108,'FollowUps'!$H$2:$H$500,"done")/VALUE(INDEX('Settings'!$B$2:$B$100,MATCH("score_response_target",'Settings'!$A$2:$A$100,0)))*15)+IF(COUNTIFS('Interactions'!$B$2:$B$500,$A108,'Interactions'!$E$2:$E$500,"complaint")=0,10,0),0))</x:f>
      </x:c>
      <x:c r="R108" s="108" t="str">
        <x:f>IF($A108="","",IF($J108="inactive","inactive",IF($J108="at_risk","at_risk",IF($Q108&gt;=85,"vip",IF($Q108&gt;=70,"loyal",IF($Q108&gt;=50,"active",IF($N108=0,"new","needs_attention")))))))</x:f>
      </x:c>
      <x:c r="S108" s="19"/>
      <x:c r="T108" s="18"/>
      <x:c r="U108" s="19"/>
      <x:c r="V108" s="20"/>
      <x:c r="W108" s="26"/>
      <x:c r="X108" s="19"/>
      <x:c r="Y108" s="26"/>
      <x:c r="Z108" s="19"/>
      <x:c r="AA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20"/>
      <x:c r="J109" s="19"/>
      <x:c r="K109" s="19"/>
      <x:c r="L109" s="92" t="str">
        <x:f>IF($A109="","",IF(COUNTIFS('Orders'!$C$2:$C$500,$A109,'Orders'!$M$2:$M$500,"&lt;&gt;cancelled")=0,"",MAXIFS('Orders'!$G$2:$G$500,'Orders'!$C$2:$C$500,$A109,'Orders'!$M$2:$M$500,"&lt;&gt;cancelled")))</x:f>
      </x:c>
      <x:c r="M109" s="96" t="str">
        <x:f>IF($A109="","",SUMIFS('Orders'!$K$2:$K$500,'Orders'!$C$2:$C$500,$A109,'Orders'!$M$2:$M$500,"&lt;&gt;cancelled"))</x:f>
      </x:c>
      <x:c r="N109" s="96" t="str">
        <x:f>IF($A109="","",COUNTIFS('Orders'!$C$2:$C$500,$A109,'Orders'!$M$2:$M$500,"&lt;&gt;cancelled"))</x:f>
      </x:c>
      <x:c r="O109" s="100" t="str">
        <x:f>IF($A109="","",IF(COUNTIF('Interactions'!$B$2:$B$500,$A109)=0,"",MAXIFS('Interactions'!$G$2:$G$500,'Interactions'!$B$2:$B$500,$A109)))</x:f>
      </x:c>
      <x:c r="P109" s="100" t="str">
        <x:f>IF($A109="","",IF(COUNTIFS('FollowUps'!$B$2:$B$500,$A109,'FollowUps'!$H$2:$H$500,"open")=0,"",MINIFS('FollowUps'!$E$2:$E$500,'FollowUps'!$B$2:$B$500,$A109,'FollowUps'!$H$2:$H$500,"open")))</x:f>
      </x:c>
      <x:c r="Q109" s="104" t="str">
        <x:f>IF($A109="","",ROUND(MIN(25,$N109/VALUE(INDEX('Settings'!$B$2:$B$100,MATCH("score_purchase_target",'Settings'!$A$2:$A$100,0)))*25)+MIN(25,$M109/VALUE(INDEX('Settings'!$B$2:$B$100,MATCH("score_value_target",'Settings'!$A$2:$A$100,0)))*25)+IF($L109="",0,MAX(0,25-(TODAY()-$L109)/VALUE(INDEX('Settings'!$B$2:$B$100,MATCH("score_recency_days",'Settings'!$A$2:$A$100,0)))*25))+MIN(15,COUNTIFS('FollowUps'!$B$2:$B$500,$A109,'FollowUps'!$H$2:$H$500,"done")/VALUE(INDEX('Settings'!$B$2:$B$100,MATCH("score_response_target",'Settings'!$A$2:$A$100,0)))*15)+IF(COUNTIFS('Interactions'!$B$2:$B$500,$A109,'Interactions'!$E$2:$E$500,"complaint")=0,10,0),0))</x:f>
      </x:c>
      <x:c r="R109" s="108" t="str">
        <x:f>IF($A109="","",IF($J109="inactive","inactive",IF($J109="at_risk","at_risk",IF($Q109&gt;=85,"vip",IF($Q109&gt;=70,"loyal",IF($Q109&gt;=50,"active",IF($N109=0,"new","needs_attention")))))))</x:f>
      </x:c>
      <x:c r="S109" s="19"/>
      <x:c r="T109" s="18"/>
      <x:c r="U109" s="19"/>
      <x:c r="V109" s="20"/>
      <x:c r="W109" s="26"/>
      <x:c r="X109" s="19"/>
      <x:c r="Y109" s="26"/>
      <x:c r="Z109" s="19"/>
      <x:c r="AA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20"/>
      <x:c r="J110" s="19"/>
      <x:c r="K110" s="19"/>
      <x:c r="L110" s="92" t="str">
        <x:f>IF($A110="","",IF(COUNTIFS('Orders'!$C$2:$C$500,$A110,'Orders'!$M$2:$M$500,"&lt;&gt;cancelled")=0,"",MAXIFS('Orders'!$G$2:$G$500,'Orders'!$C$2:$C$500,$A110,'Orders'!$M$2:$M$500,"&lt;&gt;cancelled")))</x:f>
      </x:c>
      <x:c r="M110" s="96" t="str">
        <x:f>IF($A110="","",SUMIFS('Orders'!$K$2:$K$500,'Orders'!$C$2:$C$500,$A110,'Orders'!$M$2:$M$500,"&lt;&gt;cancelled"))</x:f>
      </x:c>
      <x:c r="N110" s="96" t="str">
        <x:f>IF($A110="","",COUNTIFS('Orders'!$C$2:$C$500,$A110,'Orders'!$M$2:$M$500,"&lt;&gt;cancelled"))</x:f>
      </x:c>
      <x:c r="O110" s="100" t="str">
        <x:f>IF($A110="","",IF(COUNTIF('Interactions'!$B$2:$B$500,$A110)=0,"",MAXIFS('Interactions'!$G$2:$G$500,'Interactions'!$B$2:$B$500,$A110)))</x:f>
      </x:c>
      <x:c r="P110" s="100" t="str">
        <x:f>IF($A110="","",IF(COUNTIFS('FollowUps'!$B$2:$B$500,$A110,'FollowUps'!$H$2:$H$500,"open")=0,"",MINIFS('FollowUps'!$E$2:$E$500,'FollowUps'!$B$2:$B$500,$A110,'FollowUps'!$H$2:$H$500,"open")))</x:f>
      </x:c>
      <x:c r="Q110" s="104" t="str">
        <x:f>IF($A110="","",ROUND(MIN(25,$N110/VALUE(INDEX('Settings'!$B$2:$B$100,MATCH("score_purchase_target",'Settings'!$A$2:$A$100,0)))*25)+MIN(25,$M110/VALUE(INDEX('Settings'!$B$2:$B$100,MATCH("score_value_target",'Settings'!$A$2:$A$100,0)))*25)+IF($L110="",0,MAX(0,25-(TODAY()-$L110)/VALUE(INDEX('Settings'!$B$2:$B$100,MATCH("score_recency_days",'Settings'!$A$2:$A$100,0)))*25))+MIN(15,COUNTIFS('FollowUps'!$B$2:$B$500,$A110,'FollowUps'!$H$2:$H$500,"done")/VALUE(INDEX('Settings'!$B$2:$B$100,MATCH("score_response_target",'Settings'!$A$2:$A$100,0)))*15)+IF(COUNTIFS('Interactions'!$B$2:$B$500,$A110,'Interactions'!$E$2:$E$500,"complaint")=0,10,0),0))</x:f>
      </x:c>
      <x:c r="R110" s="108" t="str">
        <x:f>IF($A110="","",IF($J110="inactive","inactive",IF($J110="at_risk","at_risk",IF($Q110&gt;=85,"vip",IF($Q110&gt;=70,"loyal",IF($Q110&gt;=50,"active",IF($N110=0,"new","needs_attention")))))))</x:f>
      </x:c>
      <x:c r="S110" s="19"/>
      <x:c r="T110" s="18"/>
      <x:c r="U110" s="19"/>
      <x:c r="V110" s="20"/>
      <x:c r="W110" s="26"/>
      <x:c r="X110" s="19"/>
      <x:c r="Y110" s="26"/>
      <x:c r="Z110" s="19"/>
      <x:c r="AA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20"/>
      <x:c r="J111" s="19"/>
      <x:c r="K111" s="19"/>
      <x:c r="L111" s="92" t="str">
        <x:f>IF($A111="","",IF(COUNTIFS('Orders'!$C$2:$C$500,$A111,'Orders'!$M$2:$M$500,"&lt;&gt;cancelled")=0,"",MAXIFS('Orders'!$G$2:$G$500,'Orders'!$C$2:$C$500,$A111,'Orders'!$M$2:$M$500,"&lt;&gt;cancelled")))</x:f>
      </x:c>
      <x:c r="M111" s="96" t="str">
        <x:f>IF($A111="","",SUMIFS('Orders'!$K$2:$K$500,'Orders'!$C$2:$C$500,$A111,'Orders'!$M$2:$M$500,"&lt;&gt;cancelled"))</x:f>
      </x:c>
      <x:c r="N111" s="96" t="str">
        <x:f>IF($A111="","",COUNTIFS('Orders'!$C$2:$C$500,$A111,'Orders'!$M$2:$M$500,"&lt;&gt;cancelled"))</x:f>
      </x:c>
      <x:c r="O111" s="100" t="str">
        <x:f>IF($A111="","",IF(COUNTIF('Interactions'!$B$2:$B$500,$A111)=0,"",MAXIFS('Interactions'!$G$2:$G$500,'Interactions'!$B$2:$B$500,$A111)))</x:f>
      </x:c>
      <x:c r="P111" s="100" t="str">
        <x:f>IF($A111="","",IF(COUNTIFS('FollowUps'!$B$2:$B$500,$A111,'FollowUps'!$H$2:$H$500,"open")=0,"",MINIFS('FollowUps'!$E$2:$E$500,'FollowUps'!$B$2:$B$500,$A111,'FollowUps'!$H$2:$H$500,"open")))</x:f>
      </x:c>
      <x:c r="Q111" s="104" t="str">
        <x:f>IF($A111="","",ROUND(MIN(25,$N111/VALUE(INDEX('Settings'!$B$2:$B$100,MATCH("score_purchase_target",'Settings'!$A$2:$A$100,0)))*25)+MIN(25,$M111/VALUE(INDEX('Settings'!$B$2:$B$100,MATCH("score_value_target",'Settings'!$A$2:$A$100,0)))*25)+IF($L111="",0,MAX(0,25-(TODAY()-$L111)/VALUE(INDEX('Settings'!$B$2:$B$100,MATCH("score_recency_days",'Settings'!$A$2:$A$100,0)))*25))+MIN(15,COUNTIFS('FollowUps'!$B$2:$B$500,$A111,'FollowUps'!$H$2:$H$500,"done")/VALUE(INDEX('Settings'!$B$2:$B$100,MATCH("score_response_target",'Settings'!$A$2:$A$100,0)))*15)+IF(COUNTIFS('Interactions'!$B$2:$B$500,$A111,'Interactions'!$E$2:$E$500,"complaint")=0,10,0),0))</x:f>
      </x:c>
      <x:c r="R111" s="108" t="str">
        <x:f>IF($A111="","",IF($J111="inactive","inactive",IF($J111="at_risk","at_risk",IF($Q111&gt;=85,"vip",IF($Q111&gt;=70,"loyal",IF($Q111&gt;=50,"active",IF($N111=0,"new","needs_attention")))))))</x:f>
      </x:c>
      <x:c r="S111" s="19"/>
      <x:c r="T111" s="18"/>
      <x:c r="U111" s="19"/>
      <x:c r="V111" s="20"/>
      <x:c r="W111" s="26"/>
      <x:c r="X111" s="19"/>
      <x:c r="Y111" s="26"/>
      <x:c r="Z111" s="19"/>
      <x:c r="AA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20"/>
      <x:c r="J112" s="19"/>
      <x:c r="K112" s="19"/>
      <x:c r="L112" s="92" t="str">
        <x:f>IF($A112="","",IF(COUNTIFS('Orders'!$C$2:$C$500,$A112,'Orders'!$M$2:$M$500,"&lt;&gt;cancelled")=0,"",MAXIFS('Orders'!$G$2:$G$500,'Orders'!$C$2:$C$500,$A112,'Orders'!$M$2:$M$500,"&lt;&gt;cancelled")))</x:f>
      </x:c>
      <x:c r="M112" s="96" t="str">
        <x:f>IF($A112="","",SUMIFS('Orders'!$K$2:$K$500,'Orders'!$C$2:$C$500,$A112,'Orders'!$M$2:$M$500,"&lt;&gt;cancelled"))</x:f>
      </x:c>
      <x:c r="N112" s="96" t="str">
        <x:f>IF($A112="","",COUNTIFS('Orders'!$C$2:$C$500,$A112,'Orders'!$M$2:$M$500,"&lt;&gt;cancelled"))</x:f>
      </x:c>
      <x:c r="O112" s="100" t="str">
        <x:f>IF($A112="","",IF(COUNTIF('Interactions'!$B$2:$B$500,$A112)=0,"",MAXIFS('Interactions'!$G$2:$G$500,'Interactions'!$B$2:$B$500,$A112)))</x:f>
      </x:c>
      <x:c r="P112" s="100" t="str">
        <x:f>IF($A112="","",IF(COUNTIFS('FollowUps'!$B$2:$B$500,$A112,'FollowUps'!$H$2:$H$500,"open")=0,"",MINIFS('FollowUps'!$E$2:$E$500,'FollowUps'!$B$2:$B$500,$A112,'FollowUps'!$H$2:$H$500,"open")))</x:f>
      </x:c>
      <x:c r="Q112" s="104" t="str">
        <x:f>IF($A112="","",ROUND(MIN(25,$N112/VALUE(INDEX('Settings'!$B$2:$B$100,MATCH("score_purchase_target",'Settings'!$A$2:$A$100,0)))*25)+MIN(25,$M112/VALUE(INDEX('Settings'!$B$2:$B$100,MATCH("score_value_target",'Settings'!$A$2:$A$100,0)))*25)+IF($L112="",0,MAX(0,25-(TODAY()-$L112)/VALUE(INDEX('Settings'!$B$2:$B$100,MATCH("score_recency_days",'Settings'!$A$2:$A$100,0)))*25))+MIN(15,COUNTIFS('FollowUps'!$B$2:$B$500,$A112,'FollowUps'!$H$2:$H$500,"done")/VALUE(INDEX('Settings'!$B$2:$B$100,MATCH("score_response_target",'Settings'!$A$2:$A$100,0)))*15)+IF(COUNTIFS('Interactions'!$B$2:$B$500,$A112,'Interactions'!$E$2:$E$500,"complaint")=0,10,0),0))</x:f>
      </x:c>
      <x:c r="R112" s="108" t="str">
        <x:f>IF($A112="","",IF($J112="inactive","inactive",IF($J112="at_risk","at_risk",IF($Q112&gt;=85,"vip",IF($Q112&gt;=70,"loyal",IF($Q112&gt;=50,"active",IF($N112=0,"new","needs_attention")))))))</x:f>
      </x:c>
      <x:c r="S112" s="19"/>
      <x:c r="T112" s="18"/>
      <x:c r="U112" s="19"/>
      <x:c r="V112" s="20"/>
      <x:c r="W112" s="26"/>
      <x:c r="X112" s="19"/>
      <x:c r="Y112" s="26"/>
      <x:c r="Z112" s="19"/>
      <x:c r="AA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20"/>
      <x:c r="J113" s="19"/>
      <x:c r="K113" s="19"/>
      <x:c r="L113" s="92" t="str">
        <x:f>IF($A113="","",IF(COUNTIFS('Orders'!$C$2:$C$500,$A113,'Orders'!$M$2:$M$500,"&lt;&gt;cancelled")=0,"",MAXIFS('Orders'!$G$2:$G$500,'Orders'!$C$2:$C$500,$A113,'Orders'!$M$2:$M$500,"&lt;&gt;cancelled")))</x:f>
      </x:c>
      <x:c r="M113" s="96" t="str">
        <x:f>IF($A113="","",SUMIFS('Orders'!$K$2:$K$500,'Orders'!$C$2:$C$500,$A113,'Orders'!$M$2:$M$500,"&lt;&gt;cancelled"))</x:f>
      </x:c>
      <x:c r="N113" s="96" t="str">
        <x:f>IF($A113="","",COUNTIFS('Orders'!$C$2:$C$500,$A113,'Orders'!$M$2:$M$500,"&lt;&gt;cancelled"))</x:f>
      </x:c>
      <x:c r="O113" s="100" t="str">
        <x:f>IF($A113="","",IF(COUNTIF('Interactions'!$B$2:$B$500,$A113)=0,"",MAXIFS('Interactions'!$G$2:$G$500,'Interactions'!$B$2:$B$500,$A113)))</x:f>
      </x:c>
      <x:c r="P113" s="100" t="str">
        <x:f>IF($A113="","",IF(COUNTIFS('FollowUps'!$B$2:$B$500,$A113,'FollowUps'!$H$2:$H$500,"open")=0,"",MINIFS('FollowUps'!$E$2:$E$500,'FollowUps'!$B$2:$B$500,$A113,'FollowUps'!$H$2:$H$500,"open")))</x:f>
      </x:c>
      <x:c r="Q113" s="104" t="str">
        <x:f>IF($A113="","",ROUND(MIN(25,$N113/VALUE(INDEX('Settings'!$B$2:$B$100,MATCH("score_purchase_target",'Settings'!$A$2:$A$100,0)))*25)+MIN(25,$M113/VALUE(INDEX('Settings'!$B$2:$B$100,MATCH("score_value_target",'Settings'!$A$2:$A$100,0)))*25)+IF($L113="",0,MAX(0,25-(TODAY()-$L113)/VALUE(INDEX('Settings'!$B$2:$B$100,MATCH("score_recency_days",'Settings'!$A$2:$A$100,0)))*25))+MIN(15,COUNTIFS('FollowUps'!$B$2:$B$500,$A113,'FollowUps'!$H$2:$H$500,"done")/VALUE(INDEX('Settings'!$B$2:$B$100,MATCH("score_response_target",'Settings'!$A$2:$A$100,0)))*15)+IF(COUNTIFS('Interactions'!$B$2:$B$500,$A113,'Interactions'!$E$2:$E$500,"complaint")=0,10,0),0))</x:f>
      </x:c>
      <x:c r="R113" s="108" t="str">
        <x:f>IF($A113="","",IF($J113="inactive","inactive",IF($J113="at_risk","at_risk",IF($Q113&gt;=85,"vip",IF($Q113&gt;=70,"loyal",IF($Q113&gt;=50,"active",IF($N113=0,"new","needs_attention")))))))</x:f>
      </x:c>
      <x:c r="S113" s="19"/>
      <x:c r="T113" s="18"/>
      <x:c r="U113" s="19"/>
      <x:c r="V113" s="20"/>
      <x:c r="W113" s="26"/>
      <x:c r="X113" s="19"/>
      <x:c r="Y113" s="26"/>
      <x:c r="Z113" s="19"/>
      <x:c r="AA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20"/>
      <x:c r="J114" s="19"/>
      <x:c r="K114" s="19"/>
      <x:c r="L114" s="92" t="str">
        <x:f>IF($A114="","",IF(COUNTIFS('Orders'!$C$2:$C$500,$A114,'Orders'!$M$2:$M$500,"&lt;&gt;cancelled")=0,"",MAXIFS('Orders'!$G$2:$G$500,'Orders'!$C$2:$C$500,$A114,'Orders'!$M$2:$M$500,"&lt;&gt;cancelled")))</x:f>
      </x:c>
      <x:c r="M114" s="96" t="str">
        <x:f>IF($A114="","",SUMIFS('Orders'!$K$2:$K$500,'Orders'!$C$2:$C$500,$A114,'Orders'!$M$2:$M$500,"&lt;&gt;cancelled"))</x:f>
      </x:c>
      <x:c r="N114" s="96" t="str">
        <x:f>IF($A114="","",COUNTIFS('Orders'!$C$2:$C$500,$A114,'Orders'!$M$2:$M$500,"&lt;&gt;cancelled"))</x:f>
      </x:c>
      <x:c r="O114" s="100" t="str">
        <x:f>IF($A114="","",IF(COUNTIF('Interactions'!$B$2:$B$500,$A114)=0,"",MAXIFS('Interactions'!$G$2:$G$500,'Interactions'!$B$2:$B$500,$A114)))</x:f>
      </x:c>
      <x:c r="P114" s="100" t="str">
        <x:f>IF($A114="","",IF(COUNTIFS('FollowUps'!$B$2:$B$500,$A114,'FollowUps'!$H$2:$H$500,"open")=0,"",MINIFS('FollowUps'!$E$2:$E$500,'FollowUps'!$B$2:$B$500,$A114,'FollowUps'!$H$2:$H$500,"open")))</x:f>
      </x:c>
      <x:c r="Q114" s="104" t="str">
        <x:f>IF($A114="","",ROUND(MIN(25,$N114/VALUE(INDEX('Settings'!$B$2:$B$100,MATCH("score_purchase_target",'Settings'!$A$2:$A$100,0)))*25)+MIN(25,$M114/VALUE(INDEX('Settings'!$B$2:$B$100,MATCH("score_value_target",'Settings'!$A$2:$A$100,0)))*25)+IF($L114="",0,MAX(0,25-(TODAY()-$L114)/VALUE(INDEX('Settings'!$B$2:$B$100,MATCH("score_recency_days",'Settings'!$A$2:$A$100,0)))*25))+MIN(15,COUNTIFS('FollowUps'!$B$2:$B$500,$A114,'FollowUps'!$H$2:$H$500,"done")/VALUE(INDEX('Settings'!$B$2:$B$100,MATCH("score_response_target",'Settings'!$A$2:$A$100,0)))*15)+IF(COUNTIFS('Interactions'!$B$2:$B$500,$A114,'Interactions'!$E$2:$E$500,"complaint")=0,10,0),0))</x:f>
      </x:c>
      <x:c r="R114" s="108" t="str">
        <x:f>IF($A114="","",IF($J114="inactive","inactive",IF($J114="at_risk","at_risk",IF($Q114&gt;=85,"vip",IF($Q114&gt;=70,"loyal",IF($Q114&gt;=50,"active",IF($N114=0,"new","needs_attention")))))))</x:f>
      </x:c>
      <x:c r="S114" s="19"/>
      <x:c r="T114" s="18"/>
      <x:c r="U114" s="19"/>
      <x:c r="V114" s="20"/>
      <x:c r="W114" s="26"/>
      <x:c r="X114" s="19"/>
      <x:c r="Y114" s="26"/>
      <x:c r="Z114" s="19"/>
      <x:c r="AA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20"/>
      <x:c r="J115" s="19"/>
      <x:c r="K115" s="19"/>
      <x:c r="L115" s="92" t="str">
        <x:f>IF($A115="","",IF(COUNTIFS('Orders'!$C$2:$C$500,$A115,'Orders'!$M$2:$M$500,"&lt;&gt;cancelled")=0,"",MAXIFS('Orders'!$G$2:$G$500,'Orders'!$C$2:$C$500,$A115,'Orders'!$M$2:$M$500,"&lt;&gt;cancelled")))</x:f>
      </x:c>
      <x:c r="M115" s="96" t="str">
        <x:f>IF($A115="","",SUMIFS('Orders'!$K$2:$K$500,'Orders'!$C$2:$C$500,$A115,'Orders'!$M$2:$M$500,"&lt;&gt;cancelled"))</x:f>
      </x:c>
      <x:c r="N115" s="96" t="str">
        <x:f>IF($A115="","",COUNTIFS('Orders'!$C$2:$C$500,$A115,'Orders'!$M$2:$M$500,"&lt;&gt;cancelled"))</x:f>
      </x:c>
      <x:c r="O115" s="100" t="str">
        <x:f>IF($A115="","",IF(COUNTIF('Interactions'!$B$2:$B$500,$A115)=0,"",MAXIFS('Interactions'!$G$2:$G$500,'Interactions'!$B$2:$B$500,$A115)))</x:f>
      </x:c>
      <x:c r="P115" s="100" t="str">
        <x:f>IF($A115="","",IF(COUNTIFS('FollowUps'!$B$2:$B$500,$A115,'FollowUps'!$H$2:$H$500,"open")=0,"",MINIFS('FollowUps'!$E$2:$E$500,'FollowUps'!$B$2:$B$500,$A115,'FollowUps'!$H$2:$H$500,"open")))</x:f>
      </x:c>
      <x:c r="Q115" s="104" t="str">
        <x:f>IF($A115="","",ROUND(MIN(25,$N115/VALUE(INDEX('Settings'!$B$2:$B$100,MATCH("score_purchase_target",'Settings'!$A$2:$A$100,0)))*25)+MIN(25,$M115/VALUE(INDEX('Settings'!$B$2:$B$100,MATCH("score_value_target",'Settings'!$A$2:$A$100,0)))*25)+IF($L115="",0,MAX(0,25-(TODAY()-$L115)/VALUE(INDEX('Settings'!$B$2:$B$100,MATCH("score_recency_days",'Settings'!$A$2:$A$100,0)))*25))+MIN(15,COUNTIFS('FollowUps'!$B$2:$B$500,$A115,'FollowUps'!$H$2:$H$500,"done")/VALUE(INDEX('Settings'!$B$2:$B$100,MATCH("score_response_target",'Settings'!$A$2:$A$100,0)))*15)+IF(COUNTIFS('Interactions'!$B$2:$B$500,$A115,'Interactions'!$E$2:$E$500,"complaint")=0,10,0),0))</x:f>
      </x:c>
      <x:c r="R115" s="108" t="str">
        <x:f>IF($A115="","",IF($J115="inactive","inactive",IF($J115="at_risk","at_risk",IF($Q115&gt;=85,"vip",IF($Q115&gt;=70,"loyal",IF($Q115&gt;=50,"active",IF($N115=0,"new","needs_attention")))))))</x:f>
      </x:c>
      <x:c r="S115" s="19"/>
      <x:c r="T115" s="18"/>
      <x:c r="U115" s="19"/>
      <x:c r="V115" s="20"/>
      <x:c r="W115" s="26"/>
      <x:c r="X115" s="19"/>
      <x:c r="Y115" s="26"/>
      <x:c r="Z115" s="19"/>
      <x:c r="AA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20"/>
      <x:c r="J116" s="19"/>
      <x:c r="K116" s="19"/>
      <x:c r="L116" s="92" t="str">
        <x:f>IF($A116="","",IF(COUNTIFS('Orders'!$C$2:$C$500,$A116,'Orders'!$M$2:$M$500,"&lt;&gt;cancelled")=0,"",MAXIFS('Orders'!$G$2:$G$500,'Orders'!$C$2:$C$500,$A116,'Orders'!$M$2:$M$500,"&lt;&gt;cancelled")))</x:f>
      </x:c>
      <x:c r="M116" s="96" t="str">
        <x:f>IF($A116="","",SUMIFS('Orders'!$K$2:$K$500,'Orders'!$C$2:$C$500,$A116,'Orders'!$M$2:$M$500,"&lt;&gt;cancelled"))</x:f>
      </x:c>
      <x:c r="N116" s="96" t="str">
        <x:f>IF($A116="","",COUNTIFS('Orders'!$C$2:$C$500,$A116,'Orders'!$M$2:$M$500,"&lt;&gt;cancelled"))</x:f>
      </x:c>
      <x:c r="O116" s="100" t="str">
        <x:f>IF($A116="","",IF(COUNTIF('Interactions'!$B$2:$B$500,$A116)=0,"",MAXIFS('Interactions'!$G$2:$G$500,'Interactions'!$B$2:$B$500,$A116)))</x:f>
      </x:c>
      <x:c r="P116" s="100" t="str">
        <x:f>IF($A116="","",IF(COUNTIFS('FollowUps'!$B$2:$B$500,$A116,'FollowUps'!$H$2:$H$500,"open")=0,"",MINIFS('FollowUps'!$E$2:$E$500,'FollowUps'!$B$2:$B$500,$A116,'FollowUps'!$H$2:$H$500,"open")))</x:f>
      </x:c>
      <x:c r="Q116" s="104" t="str">
        <x:f>IF($A116="","",ROUND(MIN(25,$N116/VALUE(INDEX('Settings'!$B$2:$B$100,MATCH("score_purchase_target",'Settings'!$A$2:$A$100,0)))*25)+MIN(25,$M116/VALUE(INDEX('Settings'!$B$2:$B$100,MATCH("score_value_target",'Settings'!$A$2:$A$100,0)))*25)+IF($L116="",0,MAX(0,25-(TODAY()-$L116)/VALUE(INDEX('Settings'!$B$2:$B$100,MATCH("score_recency_days",'Settings'!$A$2:$A$100,0)))*25))+MIN(15,COUNTIFS('FollowUps'!$B$2:$B$500,$A116,'FollowUps'!$H$2:$H$500,"done")/VALUE(INDEX('Settings'!$B$2:$B$100,MATCH("score_response_target",'Settings'!$A$2:$A$100,0)))*15)+IF(COUNTIFS('Interactions'!$B$2:$B$500,$A116,'Interactions'!$E$2:$E$500,"complaint")=0,10,0),0))</x:f>
      </x:c>
      <x:c r="R116" s="108" t="str">
        <x:f>IF($A116="","",IF($J116="inactive","inactive",IF($J116="at_risk","at_risk",IF($Q116&gt;=85,"vip",IF($Q116&gt;=70,"loyal",IF($Q116&gt;=50,"active",IF($N116=0,"new","needs_attention")))))))</x:f>
      </x:c>
      <x:c r="S116" s="19"/>
      <x:c r="T116" s="18"/>
      <x:c r="U116" s="19"/>
      <x:c r="V116" s="20"/>
      <x:c r="W116" s="26"/>
      <x:c r="X116" s="19"/>
      <x:c r="Y116" s="26"/>
      <x:c r="Z116" s="19"/>
      <x:c r="AA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20"/>
      <x:c r="J117" s="19"/>
      <x:c r="K117" s="19"/>
      <x:c r="L117" s="92" t="str">
        <x:f>IF($A117="","",IF(COUNTIFS('Orders'!$C$2:$C$500,$A117,'Orders'!$M$2:$M$500,"&lt;&gt;cancelled")=0,"",MAXIFS('Orders'!$G$2:$G$500,'Orders'!$C$2:$C$500,$A117,'Orders'!$M$2:$M$500,"&lt;&gt;cancelled")))</x:f>
      </x:c>
      <x:c r="M117" s="96" t="str">
        <x:f>IF($A117="","",SUMIFS('Orders'!$K$2:$K$500,'Orders'!$C$2:$C$500,$A117,'Orders'!$M$2:$M$500,"&lt;&gt;cancelled"))</x:f>
      </x:c>
      <x:c r="N117" s="96" t="str">
        <x:f>IF($A117="","",COUNTIFS('Orders'!$C$2:$C$500,$A117,'Orders'!$M$2:$M$500,"&lt;&gt;cancelled"))</x:f>
      </x:c>
      <x:c r="O117" s="100" t="str">
        <x:f>IF($A117="","",IF(COUNTIF('Interactions'!$B$2:$B$500,$A117)=0,"",MAXIFS('Interactions'!$G$2:$G$500,'Interactions'!$B$2:$B$500,$A117)))</x:f>
      </x:c>
      <x:c r="P117" s="100" t="str">
        <x:f>IF($A117="","",IF(COUNTIFS('FollowUps'!$B$2:$B$500,$A117,'FollowUps'!$H$2:$H$500,"open")=0,"",MINIFS('FollowUps'!$E$2:$E$500,'FollowUps'!$B$2:$B$500,$A117,'FollowUps'!$H$2:$H$500,"open")))</x:f>
      </x:c>
      <x:c r="Q117" s="104" t="str">
        <x:f>IF($A117="","",ROUND(MIN(25,$N117/VALUE(INDEX('Settings'!$B$2:$B$100,MATCH("score_purchase_target",'Settings'!$A$2:$A$100,0)))*25)+MIN(25,$M117/VALUE(INDEX('Settings'!$B$2:$B$100,MATCH("score_value_target",'Settings'!$A$2:$A$100,0)))*25)+IF($L117="",0,MAX(0,25-(TODAY()-$L117)/VALUE(INDEX('Settings'!$B$2:$B$100,MATCH("score_recency_days",'Settings'!$A$2:$A$100,0)))*25))+MIN(15,COUNTIFS('FollowUps'!$B$2:$B$500,$A117,'FollowUps'!$H$2:$H$500,"done")/VALUE(INDEX('Settings'!$B$2:$B$100,MATCH("score_response_target",'Settings'!$A$2:$A$100,0)))*15)+IF(COUNTIFS('Interactions'!$B$2:$B$500,$A117,'Interactions'!$E$2:$E$500,"complaint")=0,10,0),0))</x:f>
      </x:c>
      <x:c r="R117" s="108" t="str">
        <x:f>IF($A117="","",IF($J117="inactive","inactive",IF($J117="at_risk","at_risk",IF($Q117&gt;=85,"vip",IF($Q117&gt;=70,"loyal",IF($Q117&gt;=50,"active",IF($N117=0,"new","needs_attention")))))))</x:f>
      </x:c>
      <x:c r="S117" s="19"/>
      <x:c r="T117" s="18"/>
      <x:c r="U117" s="19"/>
      <x:c r="V117" s="20"/>
      <x:c r="W117" s="26"/>
      <x:c r="X117" s="19"/>
      <x:c r="Y117" s="26"/>
      <x:c r="Z117" s="19"/>
      <x:c r="AA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20"/>
      <x:c r="J118" s="19"/>
      <x:c r="K118" s="19"/>
      <x:c r="L118" s="92" t="str">
        <x:f>IF($A118="","",IF(COUNTIFS('Orders'!$C$2:$C$500,$A118,'Orders'!$M$2:$M$500,"&lt;&gt;cancelled")=0,"",MAXIFS('Orders'!$G$2:$G$500,'Orders'!$C$2:$C$500,$A118,'Orders'!$M$2:$M$500,"&lt;&gt;cancelled")))</x:f>
      </x:c>
      <x:c r="M118" s="96" t="str">
        <x:f>IF($A118="","",SUMIFS('Orders'!$K$2:$K$500,'Orders'!$C$2:$C$500,$A118,'Orders'!$M$2:$M$500,"&lt;&gt;cancelled"))</x:f>
      </x:c>
      <x:c r="N118" s="96" t="str">
        <x:f>IF($A118="","",COUNTIFS('Orders'!$C$2:$C$500,$A118,'Orders'!$M$2:$M$500,"&lt;&gt;cancelled"))</x:f>
      </x:c>
      <x:c r="O118" s="100" t="str">
        <x:f>IF($A118="","",IF(COUNTIF('Interactions'!$B$2:$B$500,$A118)=0,"",MAXIFS('Interactions'!$G$2:$G$500,'Interactions'!$B$2:$B$500,$A118)))</x:f>
      </x:c>
      <x:c r="P118" s="100" t="str">
        <x:f>IF($A118="","",IF(COUNTIFS('FollowUps'!$B$2:$B$500,$A118,'FollowUps'!$H$2:$H$500,"open")=0,"",MINIFS('FollowUps'!$E$2:$E$500,'FollowUps'!$B$2:$B$500,$A118,'FollowUps'!$H$2:$H$500,"open")))</x:f>
      </x:c>
      <x:c r="Q118" s="104" t="str">
        <x:f>IF($A118="","",ROUND(MIN(25,$N118/VALUE(INDEX('Settings'!$B$2:$B$100,MATCH("score_purchase_target",'Settings'!$A$2:$A$100,0)))*25)+MIN(25,$M118/VALUE(INDEX('Settings'!$B$2:$B$100,MATCH("score_value_target",'Settings'!$A$2:$A$100,0)))*25)+IF($L118="",0,MAX(0,25-(TODAY()-$L118)/VALUE(INDEX('Settings'!$B$2:$B$100,MATCH("score_recency_days",'Settings'!$A$2:$A$100,0)))*25))+MIN(15,COUNTIFS('FollowUps'!$B$2:$B$500,$A118,'FollowUps'!$H$2:$H$500,"done")/VALUE(INDEX('Settings'!$B$2:$B$100,MATCH("score_response_target",'Settings'!$A$2:$A$100,0)))*15)+IF(COUNTIFS('Interactions'!$B$2:$B$500,$A118,'Interactions'!$E$2:$E$500,"complaint")=0,10,0),0))</x:f>
      </x:c>
      <x:c r="R118" s="108" t="str">
        <x:f>IF($A118="","",IF($J118="inactive","inactive",IF($J118="at_risk","at_risk",IF($Q118&gt;=85,"vip",IF($Q118&gt;=70,"loyal",IF($Q118&gt;=50,"active",IF($N118=0,"new","needs_attention")))))))</x:f>
      </x:c>
      <x:c r="S118" s="19"/>
      <x:c r="T118" s="18"/>
      <x:c r="U118" s="19"/>
      <x:c r="V118" s="20"/>
      <x:c r="W118" s="26"/>
      <x:c r="X118" s="19"/>
      <x:c r="Y118" s="26"/>
      <x:c r="Z118" s="19"/>
      <x:c r="AA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20"/>
      <x:c r="J119" s="19"/>
      <x:c r="K119" s="19"/>
      <x:c r="L119" s="92" t="str">
        <x:f>IF($A119="","",IF(COUNTIFS('Orders'!$C$2:$C$500,$A119,'Orders'!$M$2:$M$500,"&lt;&gt;cancelled")=0,"",MAXIFS('Orders'!$G$2:$G$500,'Orders'!$C$2:$C$500,$A119,'Orders'!$M$2:$M$500,"&lt;&gt;cancelled")))</x:f>
      </x:c>
      <x:c r="M119" s="96" t="str">
        <x:f>IF($A119="","",SUMIFS('Orders'!$K$2:$K$500,'Orders'!$C$2:$C$500,$A119,'Orders'!$M$2:$M$500,"&lt;&gt;cancelled"))</x:f>
      </x:c>
      <x:c r="N119" s="96" t="str">
        <x:f>IF($A119="","",COUNTIFS('Orders'!$C$2:$C$500,$A119,'Orders'!$M$2:$M$500,"&lt;&gt;cancelled"))</x:f>
      </x:c>
      <x:c r="O119" s="100" t="str">
        <x:f>IF($A119="","",IF(COUNTIF('Interactions'!$B$2:$B$500,$A119)=0,"",MAXIFS('Interactions'!$G$2:$G$500,'Interactions'!$B$2:$B$500,$A119)))</x:f>
      </x:c>
      <x:c r="P119" s="100" t="str">
        <x:f>IF($A119="","",IF(COUNTIFS('FollowUps'!$B$2:$B$500,$A119,'FollowUps'!$H$2:$H$500,"open")=0,"",MINIFS('FollowUps'!$E$2:$E$500,'FollowUps'!$B$2:$B$500,$A119,'FollowUps'!$H$2:$H$500,"open")))</x:f>
      </x:c>
      <x:c r="Q119" s="104" t="str">
        <x:f>IF($A119="","",ROUND(MIN(25,$N119/VALUE(INDEX('Settings'!$B$2:$B$100,MATCH("score_purchase_target",'Settings'!$A$2:$A$100,0)))*25)+MIN(25,$M119/VALUE(INDEX('Settings'!$B$2:$B$100,MATCH("score_value_target",'Settings'!$A$2:$A$100,0)))*25)+IF($L119="",0,MAX(0,25-(TODAY()-$L119)/VALUE(INDEX('Settings'!$B$2:$B$100,MATCH("score_recency_days",'Settings'!$A$2:$A$100,0)))*25))+MIN(15,COUNTIFS('FollowUps'!$B$2:$B$500,$A119,'FollowUps'!$H$2:$H$500,"done")/VALUE(INDEX('Settings'!$B$2:$B$100,MATCH("score_response_target",'Settings'!$A$2:$A$100,0)))*15)+IF(COUNTIFS('Interactions'!$B$2:$B$500,$A119,'Interactions'!$E$2:$E$500,"complaint")=0,10,0),0))</x:f>
      </x:c>
      <x:c r="R119" s="108" t="str">
        <x:f>IF($A119="","",IF($J119="inactive","inactive",IF($J119="at_risk","at_risk",IF($Q119&gt;=85,"vip",IF($Q119&gt;=70,"loyal",IF($Q119&gt;=50,"active",IF($N119=0,"new","needs_attention")))))))</x:f>
      </x:c>
      <x:c r="S119" s="19"/>
      <x:c r="T119" s="18"/>
      <x:c r="U119" s="19"/>
      <x:c r="V119" s="20"/>
      <x:c r="W119" s="26"/>
      <x:c r="X119" s="19"/>
      <x:c r="Y119" s="26"/>
      <x:c r="Z119" s="19"/>
      <x:c r="AA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20"/>
      <x:c r="J120" s="19"/>
      <x:c r="K120" s="19"/>
      <x:c r="L120" s="92" t="str">
        <x:f>IF($A120="","",IF(COUNTIFS('Orders'!$C$2:$C$500,$A120,'Orders'!$M$2:$M$500,"&lt;&gt;cancelled")=0,"",MAXIFS('Orders'!$G$2:$G$500,'Orders'!$C$2:$C$500,$A120,'Orders'!$M$2:$M$500,"&lt;&gt;cancelled")))</x:f>
      </x:c>
      <x:c r="M120" s="96" t="str">
        <x:f>IF($A120="","",SUMIFS('Orders'!$K$2:$K$500,'Orders'!$C$2:$C$500,$A120,'Orders'!$M$2:$M$500,"&lt;&gt;cancelled"))</x:f>
      </x:c>
      <x:c r="N120" s="96" t="str">
        <x:f>IF($A120="","",COUNTIFS('Orders'!$C$2:$C$500,$A120,'Orders'!$M$2:$M$500,"&lt;&gt;cancelled"))</x:f>
      </x:c>
      <x:c r="O120" s="100" t="str">
        <x:f>IF($A120="","",IF(COUNTIF('Interactions'!$B$2:$B$500,$A120)=0,"",MAXIFS('Interactions'!$G$2:$G$500,'Interactions'!$B$2:$B$500,$A120)))</x:f>
      </x:c>
      <x:c r="P120" s="100" t="str">
        <x:f>IF($A120="","",IF(COUNTIFS('FollowUps'!$B$2:$B$500,$A120,'FollowUps'!$H$2:$H$500,"open")=0,"",MINIFS('FollowUps'!$E$2:$E$500,'FollowUps'!$B$2:$B$500,$A120,'FollowUps'!$H$2:$H$500,"open")))</x:f>
      </x:c>
      <x:c r="Q120" s="104" t="str">
        <x:f>IF($A120="","",ROUND(MIN(25,$N120/VALUE(INDEX('Settings'!$B$2:$B$100,MATCH("score_purchase_target",'Settings'!$A$2:$A$100,0)))*25)+MIN(25,$M120/VALUE(INDEX('Settings'!$B$2:$B$100,MATCH("score_value_target",'Settings'!$A$2:$A$100,0)))*25)+IF($L120="",0,MAX(0,25-(TODAY()-$L120)/VALUE(INDEX('Settings'!$B$2:$B$100,MATCH("score_recency_days",'Settings'!$A$2:$A$100,0)))*25))+MIN(15,COUNTIFS('FollowUps'!$B$2:$B$500,$A120,'FollowUps'!$H$2:$H$500,"done")/VALUE(INDEX('Settings'!$B$2:$B$100,MATCH("score_response_target",'Settings'!$A$2:$A$100,0)))*15)+IF(COUNTIFS('Interactions'!$B$2:$B$500,$A120,'Interactions'!$E$2:$E$500,"complaint")=0,10,0),0))</x:f>
      </x:c>
      <x:c r="R120" s="108" t="str">
        <x:f>IF($A120="","",IF($J120="inactive","inactive",IF($J120="at_risk","at_risk",IF($Q120&gt;=85,"vip",IF($Q120&gt;=70,"loyal",IF($Q120&gt;=50,"active",IF($N120=0,"new","needs_attention")))))))</x:f>
      </x:c>
      <x:c r="S120" s="19"/>
      <x:c r="T120" s="18"/>
      <x:c r="U120" s="19"/>
      <x:c r="V120" s="20"/>
      <x:c r="W120" s="26"/>
      <x:c r="X120" s="19"/>
      <x:c r="Y120" s="26"/>
      <x:c r="Z120" s="19"/>
      <x:c r="AA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20"/>
      <x:c r="J121" s="19"/>
      <x:c r="K121" s="19"/>
      <x:c r="L121" s="92" t="str">
        <x:f>IF($A121="","",IF(COUNTIFS('Orders'!$C$2:$C$500,$A121,'Orders'!$M$2:$M$500,"&lt;&gt;cancelled")=0,"",MAXIFS('Orders'!$G$2:$G$500,'Orders'!$C$2:$C$500,$A121,'Orders'!$M$2:$M$500,"&lt;&gt;cancelled")))</x:f>
      </x:c>
      <x:c r="M121" s="96" t="str">
        <x:f>IF($A121="","",SUMIFS('Orders'!$K$2:$K$500,'Orders'!$C$2:$C$500,$A121,'Orders'!$M$2:$M$500,"&lt;&gt;cancelled"))</x:f>
      </x:c>
      <x:c r="N121" s="96" t="str">
        <x:f>IF($A121="","",COUNTIFS('Orders'!$C$2:$C$500,$A121,'Orders'!$M$2:$M$500,"&lt;&gt;cancelled"))</x:f>
      </x:c>
      <x:c r="O121" s="100" t="str">
        <x:f>IF($A121="","",IF(COUNTIF('Interactions'!$B$2:$B$500,$A121)=0,"",MAXIFS('Interactions'!$G$2:$G$500,'Interactions'!$B$2:$B$500,$A121)))</x:f>
      </x:c>
      <x:c r="P121" s="100" t="str">
        <x:f>IF($A121="","",IF(COUNTIFS('FollowUps'!$B$2:$B$500,$A121,'FollowUps'!$H$2:$H$500,"open")=0,"",MINIFS('FollowUps'!$E$2:$E$500,'FollowUps'!$B$2:$B$500,$A121,'FollowUps'!$H$2:$H$500,"open")))</x:f>
      </x:c>
      <x:c r="Q121" s="104" t="str">
        <x:f>IF($A121="","",ROUND(MIN(25,$N121/VALUE(INDEX('Settings'!$B$2:$B$100,MATCH("score_purchase_target",'Settings'!$A$2:$A$100,0)))*25)+MIN(25,$M121/VALUE(INDEX('Settings'!$B$2:$B$100,MATCH("score_value_target",'Settings'!$A$2:$A$100,0)))*25)+IF($L121="",0,MAX(0,25-(TODAY()-$L121)/VALUE(INDEX('Settings'!$B$2:$B$100,MATCH("score_recency_days",'Settings'!$A$2:$A$100,0)))*25))+MIN(15,COUNTIFS('FollowUps'!$B$2:$B$500,$A121,'FollowUps'!$H$2:$H$500,"done")/VALUE(INDEX('Settings'!$B$2:$B$100,MATCH("score_response_target",'Settings'!$A$2:$A$100,0)))*15)+IF(COUNTIFS('Interactions'!$B$2:$B$500,$A121,'Interactions'!$E$2:$E$500,"complaint")=0,10,0),0))</x:f>
      </x:c>
      <x:c r="R121" s="108" t="str">
        <x:f>IF($A121="","",IF($J121="inactive","inactive",IF($J121="at_risk","at_risk",IF($Q121&gt;=85,"vip",IF($Q121&gt;=70,"loyal",IF($Q121&gt;=50,"active",IF($N121=0,"new","needs_attention")))))))</x:f>
      </x:c>
      <x:c r="S121" s="19"/>
      <x:c r="T121" s="18"/>
      <x:c r="U121" s="19"/>
      <x:c r="V121" s="20"/>
      <x:c r="W121" s="26"/>
      <x:c r="X121" s="19"/>
      <x:c r="Y121" s="26"/>
      <x:c r="Z121" s="19"/>
      <x:c r="AA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20"/>
      <x:c r="J122" s="19"/>
      <x:c r="K122" s="19"/>
      <x:c r="L122" s="92" t="str">
        <x:f>IF($A122="","",IF(COUNTIFS('Orders'!$C$2:$C$500,$A122,'Orders'!$M$2:$M$500,"&lt;&gt;cancelled")=0,"",MAXIFS('Orders'!$G$2:$G$500,'Orders'!$C$2:$C$500,$A122,'Orders'!$M$2:$M$500,"&lt;&gt;cancelled")))</x:f>
      </x:c>
      <x:c r="M122" s="96" t="str">
        <x:f>IF($A122="","",SUMIFS('Orders'!$K$2:$K$500,'Orders'!$C$2:$C$500,$A122,'Orders'!$M$2:$M$500,"&lt;&gt;cancelled"))</x:f>
      </x:c>
      <x:c r="N122" s="96" t="str">
        <x:f>IF($A122="","",COUNTIFS('Orders'!$C$2:$C$500,$A122,'Orders'!$M$2:$M$500,"&lt;&gt;cancelled"))</x:f>
      </x:c>
      <x:c r="O122" s="100" t="str">
        <x:f>IF($A122="","",IF(COUNTIF('Interactions'!$B$2:$B$500,$A122)=0,"",MAXIFS('Interactions'!$G$2:$G$500,'Interactions'!$B$2:$B$500,$A122)))</x:f>
      </x:c>
      <x:c r="P122" s="100" t="str">
        <x:f>IF($A122="","",IF(COUNTIFS('FollowUps'!$B$2:$B$500,$A122,'FollowUps'!$H$2:$H$500,"open")=0,"",MINIFS('FollowUps'!$E$2:$E$500,'FollowUps'!$B$2:$B$500,$A122,'FollowUps'!$H$2:$H$500,"open")))</x:f>
      </x:c>
      <x:c r="Q122" s="104" t="str">
        <x:f>IF($A122="","",ROUND(MIN(25,$N122/VALUE(INDEX('Settings'!$B$2:$B$100,MATCH("score_purchase_target",'Settings'!$A$2:$A$100,0)))*25)+MIN(25,$M122/VALUE(INDEX('Settings'!$B$2:$B$100,MATCH("score_value_target",'Settings'!$A$2:$A$100,0)))*25)+IF($L122="",0,MAX(0,25-(TODAY()-$L122)/VALUE(INDEX('Settings'!$B$2:$B$100,MATCH("score_recency_days",'Settings'!$A$2:$A$100,0)))*25))+MIN(15,COUNTIFS('FollowUps'!$B$2:$B$500,$A122,'FollowUps'!$H$2:$H$500,"done")/VALUE(INDEX('Settings'!$B$2:$B$100,MATCH("score_response_target",'Settings'!$A$2:$A$100,0)))*15)+IF(COUNTIFS('Interactions'!$B$2:$B$500,$A122,'Interactions'!$E$2:$E$500,"complaint")=0,10,0),0))</x:f>
      </x:c>
      <x:c r="R122" s="108" t="str">
        <x:f>IF($A122="","",IF($J122="inactive","inactive",IF($J122="at_risk","at_risk",IF($Q122&gt;=85,"vip",IF($Q122&gt;=70,"loyal",IF($Q122&gt;=50,"active",IF($N122=0,"new","needs_attention")))))))</x:f>
      </x:c>
      <x:c r="S122" s="19"/>
      <x:c r="T122" s="18"/>
      <x:c r="U122" s="19"/>
      <x:c r="V122" s="20"/>
      <x:c r="W122" s="26"/>
      <x:c r="X122" s="19"/>
      <x:c r="Y122" s="26"/>
      <x:c r="Z122" s="19"/>
      <x:c r="AA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20"/>
      <x:c r="J123" s="19"/>
      <x:c r="K123" s="19"/>
      <x:c r="L123" s="92" t="str">
        <x:f>IF($A123="","",IF(COUNTIFS('Orders'!$C$2:$C$500,$A123,'Orders'!$M$2:$M$500,"&lt;&gt;cancelled")=0,"",MAXIFS('Orders'!$G$2:$G$500,'Orders'!$C$2:$C$500,$A123,'Orders'!$M$2:$M$500,"&lt;&gt;cancelled")))</x:f>
      </x:c>
      <x:c r="M123" s="96" t="str">
        <x:f>IF($A123="","",SUMIFS('Orders'!$K$2:$K$500,'Orders'!$C$2:$C$500,$A123,'Orders'!$M$2:$M$500,"&lt;&gt;cancelled"))</x:f>
      </x:c>
      <x:c r="N123" s="96" t="str">
        <x:f>IF($A123="","",COUNTIFS('Orders'!$C$2:$C$500,$A123,'Orders'!$M$2:$M$500,"&lt;&gt;cancelled"))</x:f>
      </x:c>
      <x:c r="O123" s="100" t="str">
        <x:f>IF($A123="","",IF(COUNTIF('Interactions'!$B$2:$B$500,$A123)=0,"",MAXIFS('Interactions'!$G$2:$G$500,'Interactions'!$B$2:$B$500,$A123)))</x:f>
      </x:c>
      <x:c r="P123" s="100" t="str">
        <x:f>IF($A123="","",IF(COUNTIFS('FollowUps'!$B$2:$B$500,$A123,'FollowUps'!$H$2:$H$500,"open")=0,"",MINIFS('FollowUps'!$E$2:$E$500,'FollowUps'!$B$2:$B$500,$A123,'FollowUps'!$H$2:$H$500,"open")))</x:f>
      </x:c>
      <x:c r="Q123" s="104" t="str">
        <x:f>IF($A123="","",ROUND(MIN(25,$N123/VALUE(INDEX('Settings'!$B$2:$B$100,MATCH("score_purchase_target",'Settings'!$A$2:$A$100,0)))*25)+MIN(25,$M123/VALUE(INDEX('Settings'!$B$2:$B$100,MATCH("score_value_target",'Settings'!$A$2:$A$100,0)))*25)+IF($L123="",0,MAX(0,25-(TODAY()-$L123)/VALUE(INDEX('Settings'!$B$2:$B$100,MATCH("score_recency_days",'Settings'!$A$2:$A$100,0)))*25))+MIN(15,COUNTIFS('FollowUps'!$B$2:$B$500,$A123,'FollowUps'!$H$2:$H$500,"done")/VALUE(INDEX('Settings'!$B$2:$B$100,MATCH("score_response_target",'Settings'!$A$2:$A$100,0)))*15)+IF(COUNTIFS('Interactions'!$B$2:$B$500,$A123,'Interactions'!$E$2:$E$500,"complaint")=0,10,0),0))</x:f>
      </x:c>
      <x:c r="R123" s="108" t="str">
        <x:f>IF($A123="","",IF($J123="inactive","inactive",IF($J123="at_risk","at_risk",IF($Q123&gt;=85,"vip",IF($Q123&gt;=70,"loyal",IF($Q123&gt;=50,"active",IF($N123=0,"new","needs_attention")))))))</x:f>
      </x:c>
      <x:c r="S123" s="19"/>
      <x:c r="T123" s="18"/>
      <x:c r="U123" s="19"/>
      <x:c r="V123" s="20"/>
      <x:c r="W123" s="26"/>
      <x:c r="X123" s="19"/>
      <x:c r="Y123" s="26"/>
      <x:c r="Z123" s="19"/>
      <x:c r="AA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20"/>
      <x:c r="J124" s="19"/>
      <x:c r="K124" s="19"/>
      <x:c r="L124" s="92" t="str">
        <x:f>IF($A124="","",IF(COUNTIFS('Orders'!$C$2:$C$500,$A124,'Orders'!$M$2:$M$500,"&lt;&gt;cancelled")=0,"",MAXIFS('Orders'!$G$2:$G$500,'Orders'!$C$2:$C$500,$A124,'Orders'!$M$2:$M$500,"&lt;&gt;cancelled")))</x:f>
      </x:c>
      <x:c r="M124" s="96" t="str">
        <x:f>IF($A124="","",SUMIFS('Orders'!$K$2:$K$500,'Orders'!$C$2:$C$500,$A124,'Orders'!$M$2:$M$500,"&lt;&gt;cancelled"))</x:f>
      </x:c>
      <x:c r="N124" s="96" t="str">
        <x:f>IF($A124="","",COUNTIFS('Orders'!$C$2:$C$500,$A124,'Orders'!$M$2:$M$500,"&lt;&gt;cancelled"))</x:f>
      </x:c>
      <x:c r="O124" s="100" t="str">
        <x:f>IF($A124="","",IF(COUNTIF('Interactions'!$B$2:$B$500,$A124)=0,"",MAXIFS('Interactions'!$G$2:$G$500,'Interactions'!$B$2:$B$500,$A124)))</x:f>
      </x:c>
      <x:c r="P124" s="100" t="str">
        <x:f>IF($A124="","",IF(COUNTIFS('FollowUps'!$B$2:$B$500,$A124,'FollowUps'!$H$2:$H$500,"open")=0,"",MINIFS('FollowUps'!$E$2:$E$500,'FollowUps'!$B$2:$B$500,$A124,'FollowUps'!$H$2:$H$500,"open")))</x:f>
      </x:c>
      <x:c r="Q124" s="104" t="str">
        <x:f>IF($A124="","",ROUND(MIN(25,$N124/VALUE(INDEX('Settings'!$B$2:$B$100,MATCH("score_purchase_target",'Settings'!$A$2:$A$100,0)))*25)+MIN(25,$M124/VALUE(INDEX('Settings'!$B$2:$B$100,MATCH("score_value_target",'Settings'!$A$2:$A$100,0)))*25)+IF($L124="",0,MAX(0,25-(TODAY()-$L124)/VALUE(INDEX('Settings'!$B$2:$B$100,MATCH("score_recency_days",'Settings'!$A$2:$A$100,0)))*25))+MIN(15,COUNTIFS('FollowUps'!$B$2:$B$500,$A124,'FollowUps'!$H$2:$H$500,"done")/VALUE(INDEX('Settings'!$B$2:$B$100,MATCH("score_response_target",'Settings'!$A$2:$A$100,0)))*15)+IF(COUNTIFS('Interactions'!$B$2:$B$500,$A124,'Interactions'!$E$2:$E$500,"complaint")=0,10,0),0))</x:f>
      </x:c>
      <x:c r="R124" s="108" t="str">
        <x:f>IF($A124="","",IF($J124="inactive","inactive",IF($J124="at_risk","at_risk",IF($Q124&gt;=85,"vip",IF($Q124&gt;=70,"loyal",IF($Q124&gt;=50,"active",IF($N124=0,"new","needs_attention")))))))</x:f>
      </x:c>
      <x:c r="S124" s="19"/>
      <x:c r="T124" s="18"/>
      <x:c r="U124" s="19"/>
      <x:c r="V124" s="20"/>
      <x:c r="W124" s="26"/>
      <x:c r="X124" s="19"/>
      <x:c r="Y124" s="26"/>
      <x:c r="Z124" s="19"/>
      <x:c r="AA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20"/>
      <x:c r="J125" s="19"/>
      <x:c r="K125" s="19"/>
      <x:c r="L125" s="92" t="str">
        <x:f>IF($A125="","",IF(COUNTIFS('Orders'!$C$2:$C$500,$A125,'Orders'!$M$2:$M$500,"&lt;&gt;cancelled")=0,"",MAXIFS('Orders'!$G$2:$G$500,'Orders'!$C$2:$C$500,$A125,'Orders'!$M$2:$M$500,"&lt;&gt;cancelled")))</x:f>
      </x:c>
      <x:c r="M125" s="96" t="str">
        <x:f>IF($A125="","",SUMIFS('Orders'!$K$2:$K$500,'Orders'!$C$2:$C$500,$A125,'Orders'!$M$2:$M$500,"&lt;&gt;cancelled"))</x:f>
      </x:c>
      <x:c r="N125" s="96" t="str">
        <x:f>IF($A125="","",COUNTIFS('Orders'!$C$2:$C$500,$A125,'Orders'!$M$2:$M$500,"&lt;&gt;cancelled"))</x:f>
      </x:c>
      <x:c r="O125" s="100" t="str">
        <x:f>IF($A125="","",IF(COUNTIF('Interactions'!$B$2:$B$500,$A125)=0,"",MAXIFS('Interactions'!$G$2:$G$500,'Interactions'!$B$2:$B$500,$A125)))</x:f>
      </x:c>
      <x:c r="P125" s="100" t="str">
        <x:f>IF($A125="","",IF(COUNTIFS('FollowUps'!$B$2:$B$500,$A125,'FollowUps'!$H$2:$H$500,"open")=0,"",MINIFS('FollowUps'!$E$2:$E$500,'FollowUps'!$B$2:$B$500,$A125,'FollowUps'!$H$2:$H$500,"open")))</x:f>
      </x:c>
      <x:c r="Q125" s="104" t="str">
        <x:f>IF($A125="","",ROUND(MIN(25,$N125/VALUE(INDEX('Settings'!$B$2:$B$100,MATCH("score_purchase_target",'Settings'!$A$2:$A$100,0)))*25)+MIN(25,$M125/VALUE(INDEX('Settings'!$B$2:$B$100,MATCH("score_value_target",'Settings'!$A$2:$A$100,0)))*25)+IF($L125="",0,MAX(0,25-(TODAY()-$L125)/VALUE(INDEX('Settings'!$B$2:$B$100,MATCH("score_recency_days",'Settings'!$A$2:$A$100,0)))*25))+MIN(15,COUNTIFS('FollowUps'!$B$2:$B$500,$A125,'FollowUps'!$H$2:$H$500,"done")/VALUE(INDEX('Settings'!$B$2:$B$100,MATCH("score_response_target",'Settings'!$A$2:$A$100,0)))*15)+IF(COUNTIFS('Interactions'!$B$2:$B$500,$A125,'Interactions'!$E$2:$E$500,"complaint")=0,10,0),0))</x:f>
      </x:c>
      <x:c r="R125" s="108" t="str">
        <x:f>IF($A125="","",IF($J125="inactive","inactive",IF($J125="at_risk","at_risk",IF($Q125&gt;=85,"vip",IF($Q125&gt;=70,"loyal",IF($Q125&gt;=50,"active",IF($N125=0,"new","needs_attention")))))))</x:f>
      </x:c>
      <x:c r="S125" s="19"/>
      <x:c r="T125" s="18"/>
      <x:c r="U125" s="19"/>
      <x:c r="V125" s="20"/>
      <x:c r="W125" s="26"/>
      <x:c r="X125" s="19"/>
      <x:c r="Y125" s="26"/>
      <x:c r="Z125" s="19"/>
      <x:c r="AA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20"/>
      <x:c r="J126" s="19"/>
      <x:c r="K126" s="19"/>
      <x:c r="L126" s="92" t="str">
        <x:f>IF($A126="","",IF(COUNTIFS('Orders'!$C$2:$C$500,$A126,'Orders'!$M$2:$M$500,"&lt;&gt;cancelled")=0,"",MAXIFS('Orders'!$G$2:$G$500,'Orders'!$C$2:$C$500,$A126,'Orders'!$M$2:$M$500,"&lt;&gt;cancelled")))</x:f>
      </x:c>
      <x:c r="M126" s="96" t="str">
        <x:f>IF($A126="","",SUMIFS('Orders'!$K$2:$K$500,'Orders'!$C$2:$C$500,$A126,'Orders'!$M$2:$M$500,"&lt;&gt;cancelled"))</x:f>
      </x:c>
      <x:c r="N126" s="96" t="str">
        <x:f>IF($A126="","",COUNTIFS('Orders'!$C$2:$C$500,$A126,'Orders'!$M$2:$M$500,"&lt;&gt;cancelled"))</x:f>
      </x:c>
      <x:c r="O126" s="100" t="str">
        <x:f>IF($A126="","",IF(COUNTIF('Interactions'!$B$2:$B$500,$A126)=0,"",MAXIFS('Interactions'!$G$2:$G$500,'Interactions'!$B$2:$B$500,$A126)))</x:f>
      </x:c>
      <x:c r="P126" s="100" t="str">
        <x:f>IF($A126="","",IF(COUNTIFS('FollowUps'!$B$2:$B$500,$A126,'FollowUps'!$H$2:$H$500,"open")=0,"",MINIFS('FollowUps'!$E$2:$E$500,'FollowUps'!$B$2:$B$500,$A126,'FollowUps'!$H$2:$H$500,"open")))</x:f>
      </x:c>
      <x:c r="Q126" s="104" t="str">
        <x:f>IF($A126="","",ROUND(MIN(25,$N126/VALUE(INDEX('Settings'!$B$2:$B$100,MATCH("score_purchase_target",'Settings'!$A$2:$A$100,0)))*25)+MIN(25,$M126/VALUE(INDEX('Settings'!$B$2:$B$100,MATCH("score_value_target",'Settings'!$A$2:$A$100,0)))*25)+IF($L126="",0,MAX(0,25-(TODAY()-$L126)/VALUE(INDEX('Settings'!$B$2:$B$100,MATCH("score_recency_days",'Settings'!$A$2:$A$100,0)))*25))+MIN(15,COUNTIFS('FollowUps'!$B$2:$B$500,$A126,'FollowUps'!$H$2:$H$500,"done")/VALUE(INDEX('Settings'!$B$2:$B$100,MATCH("score_response_target",'Settings'!$A$2:$A$100,0)))*15)+IF(COUNTIFS('Interactions'!$B$2:$B$500,$A126,'Interactions'!$E$2:$E$500,"complaint")=0,10,0),0))</x:f>
      </x:c>
      <x:c r="R126" s="108" t="str">
        <x:f>IF($A126="","",IF($J126="inactive","inactive",IF($J126="at_risk","at_risk",IF($Q126&gt;=85,"vip",IF($Q126&gt;=70,"loyal",IF($Q126&gt;=50,"active",IF($N126=0,"new","needs_attention")))))))</x:f>
      </x:c>
      <x:c r="S126" s="19"/>
      <x:c r="T126" s="18"/>
      <x:c r="U126" s="19"/>
      <x:c r="V126" s="20"/>
      <x:c r="W126" s="26"/>
      <x:c r="X126" s="19"/>
      <x:c r="Y126" s="26"/>
      <x:c r="Z126" s="19"/>
      <x:c r="AA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20"/>
      <x:c r="J127" s="19"/>
      <x:c r="K127" s="19"/>
      <x:c r="L127" s="92" t="str">
        <x:f>IF($A127="","",IF(COUNTIFS('Orders'!$C$2:$C$500,$A127,'Orders'!$M$2:$M$500,"&lt;&gt;cancelled")=0,"",MAXIFS('Orders'!$G$2:$G$500,'Orders'!$C$2:$C$500,$A127,'Orders'!$M$2:$M$500,"&lt;&gt;cancelled")))</x:f>
      </x:c>
      <x:c r="M127" s="96" t="str">
        <x:f>IF($A127="","",SUMIFS('Orders'!$K$2:$K$500,'Orders'!$C$2:$C$500,$A127,'Orders'!$M$2:$M$500,"&lt;&gt;cancelled"))</x:f>
      </x:c>
      <x:c r="N127" s="96" t="str">
        <x:f>IF($A127="","",COUNTIFS('Orders'!$C$2:$C$500,$A127,'Orders'!$M$2:$M$500,"&lt;&gt;cancelled"))</x:f>
      </x:c>
      <x:c r="O127" s="100" t="str">
        <x:f>IF($A127="","",IF(COUNTIF('Interactions'!$B$2:$B$500,$A127)=0,"",MAXIFS('Interactions'!$G$2:$G$500,'Interactions'!$B$2:$B$500,$A127)))</x:f>
      </x:c>
      <x:c r="P127" s="100" t="str">
        <x:f>IF($A127="","",IF(COUNTIFS('FollowUps'!$B$2:$B$500,$A127,'FollowUps'!$H$2:$H$500,"open")=0,"",MINIFS('FollowUps'!$E$2:$E$500,'FollowUps'!$B$2:$B$500,$A127,'FollowUps'!$H$2:$H$500,"open")))</x:f>
      </x:c>
      <x:c r="Q127" s="104" t="str">
        <x:f>IF($A127="","",ROUND(MIN(25,$N127/VALUE(INDEX('Settings'!$B$2:$B$100,MATCH("score_purchase_target",'Settings'!$A$2:$A$100,0)))*25)+MIN(25,$M127/VALUE(INDEX('Settings'!$B$2:$B$100,MATCH("score_value_target",'Settings'!$A$2:$A$100,0)))*25)+IF($L127="",0,MAX(0,25-(TODAY()-$L127)/VALUE(INDEX('Settings'!$B$2:$B$100,MATCH("score_recency_days",'Settings'!$A$2:$A$100,0)))*25))+MIN(15,COUNTIFS('FollowUps'!$B$2:$B$500,$A127,'FollowUps'!$H$2:$H$500,"done")/VALUE(INDEX('Settings'!$B$2:$B$100,MATCH("score_response_target",'Settings'!$A$2:$A$100,0)))*15)+IF(COUNTIFS('Interactions'!$B$2:$B$500,$A127,'Interactions'!$E$2:$E$500,"complaint")=0,10,0),0))</x:f>
      </x:c>
      <x:c r="R127" s="108" t="str">
        <x:f>IF($A127="","",IF($J127="inactive","inactive",IF($J127="at_risk","at_risk",IF($Q127&gt;=85,"vip",IF($Q127&gt;=70,"loyal",IF($Q127&gt;=50,"active",IF($N127=0,"new","needs_attention")))))))</x:f>
      </x:c>
      <x:c r="S127" s="19"/>
      <x:c r="T127" s="18"/>
      <x:c r="U127" s="19"/>
      <x:c r="V127" s="20"/>
      <x:c r="W127" s="26"/>
      <x:c r="X127" s="19"/>
      <x:c r="Y127" s="26"/>
      <x:c r="Z127" s="19"/>
      <x:c r="AA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20"/>
      <x:c r="J128" s="19"/>
      <x:c r="K128" s="19"/>
      <x:c r="L128" s="92" t="str">
        <x:f>IF($A128="","",IF(COUNTIFS('Orders'!$C$2:$C$500,$A128,'Orders'!$M$2:$M$500,"&lt;&gt;cancelled")=0,"",MAXIFS('Orders'!$G$2:$G$500,'Orders'!$C$2:$C$500,$A128,'Orders'!$M$2:$M$500,"&lt;&gt;cancelled")))</x:f>
      </x:c>
      <x:c r="M128" s="96" t="str">
        <x:f>IF($A128="","",SUMIFS('Orders'!$K$2:$K$500,'Orders'!$C$2:$C$500,$A128,'Orders'!$M$2:$M$500,"&lt;&gt;cancelled"))</x:f>
      </x:c>
      <x:c r="N128" s="96" t="str">
        <x:f>IF($A128="","",COUNTIFS('Orders'!$C$2:$C$500,$A128,'Orders'!$M$2:$M$500,"&lt;&gt;cancelled"))</x:f>
      </x:c>
      <x:c r="O128" s="100" t="str">
        <x:f>IF($A128="","",IF(COUNTIF('Interactions'!$B$2:$B$500,$A128)=0,"",MAXIFS('Interactions'!$G$2:$G$500,'Interactions'!$B$2:$B$500,$A128)))</x:f>
      </x:c>
      <x:c r="P128" s="100" t="str">
        <x:f>IF($A128="","",IF(COUNTIFS('FollowUps'!$B$2:$B$500,$A128,'FollowUps'!$H$2:$H$500,"open")=0,"",MINIFS('FollowUps'!$E$2:$E$500,'FollowUps'!$B$2:$B$500,$A128,'FollowUps'!$H$2:$H$500,"open")))</x:f>
      </x:c>
      <x:c r="Q128" s="104" t="str">
        <x:f>IF($A128="","",ROUND(MIN(25,$N128/VALUE(INDEX('Settings'!$B$2:$B$100,MATCH("score_purchase_target",'Settings'!$A$2:$A$100,0)))*25)+MIN(25,$M128/VALUE(INDEX('Settings'!$B$2:$B$100,MATCH("score_value_target",'Settings'!$A$2:$A$100,0)))*25)+IF($L128="",0,MAX(0,25-(TODAY()-$L128)/VALUE(INDEX('Settings'!$B$2:$B$100,MATCH("score_recency_days",'Settings'!$A$2:$A$100,0)))*25))+MIN(15,COUNTIFS('FollowUps'!$B$2:$B$500,$A128,'FollowUps'!$H$2:$H$500,"done")/VALUE(INDEX('Settings'!$B$2:$B$100,MATCH("score_response_target",'Settings'!$A$2:$A$100,0)))*15)+IF(COUNTIFS('Interactions'!$B$2:$B$500,$A128,'Interactions'!$E$2:$E$500,"complaint")=0,10,0),0))</x:f>
      </x:c>
      <x:c r="R128" s="108" t="str">
        <x:f>IF($A128="","",IF($J128="inactive","inactive",IF($J128="at_risk","at_risk",IF($Q128&gt;=85,"vip",IF($Q128&gt;=70,"loyal",IF($Q128&gt;=50,"active",IF($N128=0,"new","needs_attention")))))))</x:f>
      </x:c>
      <x:c r="S128" s="19"/>
      <x:c r="T128" s="18"/>
      <x:c r="U128" s="19"/>
      <x:c r="V128" s="20"/>
      <x:c r="W128" s="26"/>
      <x:c r="X128" s="19"/>
      <x:c r="Y128" s="26"/>
      <x:c r="Z128" s="19"/>
      <x:c r="AA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20"/>
      <x:c r="J129" s="19"/>
      <x:c r="K129" s="19"/>
      <x:c r="L129" s="92" t="str">
        <x:f>IF($A129="","",IF(COUNTIFS('Orders'!$C$2:$C$500,$A129,'Orders'!$M$2:$M$500,"&lt;&gt;cancelled")=0,"",MAXIFS('Orders'!$G$2:$G$500,'Orders'!$C$2:$C$500,$A129,'Orders'!$M$2:$M$500,"&lt;&gt;cancelled")))</x:f>
      </x:c>
      <x:c r="M129" s="96" t="str">
        <x:f>IF($A129="","",SUMIFS('Orders'!$K$2:$K$500,'Orders'!$C$2:$C$500,$A129,'Orders'!$M$2:$M$500,"&lt;&gt;cancelled"))</x:f>
      </x:c>
      <x:c r="N129" s="96" t="str">
        <x:f>IF($A129="","",COUNTIFS('Orders'!$C$2:$C$500,$A129,'Orders'!$M$2:$M$500,"&lt;&gt;cancelled"))</x:f>
      </x:c>
      <x:c r="O129" s="100" t="str">
        <x:f>IF($A129="","",IF(COUNTIF('Interactions'!$B$2:$B$500,$A129)=0,"",MAXIFS('Interactions'!$G$2:$G$500,'Interactions'!$B$2:$B$500,$A129)))</x:f>
      </x:c>
      <x:c r="P129" s="100" t="str">
        <x:f>IF($A129="","",IF(COUNTIFS('FollowUps'!$B$2:$B$500,$A129,'FollowUps'!$H$2:$H$500,"open")=0,"",MINIFS('FollowUps'!$E$2:$E$500,'FollowUps'!$B$2:$B$500,$A129,'FollowUps'!$H$2:$H$500,"open")))</x:f>
      </x:c>
      <x:c r="Q129" s="104" t="str">
        <x:f>IF($A129="","",ROUND(MIN(25,$N129/VALUE(INDEX('Settings'!$B$2:$B$100,MATCH("score_purchase_target",'Settings'!$A$2:$A$100,0)))*25)+MIN(25,$M129/VALUE(INDEX('Settings'!$B$2:$B$100,MATCH("score_value_target",'Settings'!$A$2:$A$100,0)))*25)+IF($L129="",0,MAX(0,25-(TODAY()-$L129)/VALUE(INDEX('Settings'!$B$2:$B$100,MATCH("score_recency_days",'Settings'!$A$2:$A$100,0)))*25))+MIN(15,COUNTIFS('FollowUps'!$B$2:$B$500,$A129,'FollowUps'!$H$2:$H$500,"done")/VALUE(INDEX('Settings'!$B$2:$B$100,MATCH("score_response_target",'Settings'!$A$2:$A$100,0)))*15)+IF(COUNTIFS('Interactions'!$B$2:$B$500,$A129,'Interactions'!$E$2:$E$500,"complaint")=0,10,0),0))</x:f>
      </x:c>
      <x:c r="R129" s="108" t="str">
        <x:f>IF($A129="","",IF($J129="inactive","inactive",IF($J129="at_risk","at_risk",IF($Q129&gt;=85,"vip",IF($Q129&gt;=70,"loyal",IF($Q129&gt;=50,"active",IF($N129=0,"new","needs_attention")))))))</x:f>
      </x:c>
      <x:c r="S129" s="19"/>
      <x:c r="T129" s="18"/>
      <x:c r="U129" s="19"/>
      <x:c r="V129" s="20"/>
      <x:c r="W129" s="26"/>
      <x:c r="X129" s="19"/>
      <x:c r="Y129" s="26"/>
      <x:c r="Z129" s="19"/>
      <x:c r="AA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20"/>
      <x:c r="J130" s="19"/>
      <x:c r="K130" s="19"/>
      <x:c r="L130" s="92" t="str">
        <x:f>IF($A130="","",IF(COUNTIFS('Orders'!$C$2:$C$500,$A130,'Orders'!$M$2:$M$500,"&lt;&gt;cancelled")=0,"",MAXIFS('Orders'!$G$2:$G$500,'Orders'!$C$2:$C$500,$A130,'Orders'!$M$2:$M$500,"&lt;&gt;cancelled")))</x:f>
      </x:c>
      <x:c r="M130" s="96" t="str">
        <x:f>IF($A130="","",SUMIFS('Orders'!$K$2:$K$500,'Orders'!$C$2:$C$500,$A130,'Orders'!$M$2:$M$500,"&lt;&gt;cancelled"))</x:f>
      </x:c>
      <x:c r="N130" s="96" t="str">
        <x:f>IF($A130="","",COUNTIFS('Orders'!$C$2:$C$500,$A130,'Orders'!$M$2:$M$500,"&lt;&gt;cancelled"))</x:f>
      </x:c>
      <x:c r="O130" s="100" t="str">
        <x:f>IF($A130="","",IF(COUNTIF('Interactions'!$B$2:$B$500,$A130)=0,"",MAXIFS('Interactions'!$G$2:$G$500,'Interactions'!$B$2:$B$500,$A130)))</x:f>
      </x:c>
      <x:c r="P130" s="100" t="str">
        <x:f>IF($A130="","",IF(COUNTIFS('FollowUps'!$B$2:$B$500,$A130,'FollowUps'!$H$2:$H$500,"open")=0,"",MINIFS('FollowUps'!$E$2:$E$500,'FollowUps'!$B$2:$B$500,$A130,'FollowUps'!$H$2:$H$500,"open")))</x:f>
      </x:c>
      <x:c r="Q130" s="104" t="str">
        <x:f>IF($A130="","",ROUND(MIN(25,$N130/VALUE(INDEX('Settings'!$B$2:$B$100,MATCH("score_purchase_target",'Settings'!$A$2:$A$100,0)))*25)+MIN(25,$M130/VALUE(INDEX('Settings'!$B$2:$B$100,MATCH("score_value_target",'Settings'!$A$2:$A$100,0)))*25)+IF($L130="",0,MAX(0,25-(TODAY()-$L130)/VALUE(INDEX('Settings'!$B$2:$B$100,MATCH("score_recency_days",'Settings'!$A$2:$A$100,0)))*25))+MIN(15,COUNTIFS('FollowUps'!$B$2:$B$500,$A130,'FollowUps'!$H$2:$H$500,"done")/VALUE(INDEX('Settings'!$B$2:$B$100,MATCH("score_response_target",'Settings'!$A$2:$A$100,0)))*15)+IF(COUNTIFS('Interactions'!$B$2:$B$500,$A130,'Interactions'!$E$2:$E$500,"complaint")=0,10,0),0))</x:f>
      </x:c>
      <x:c r="R130" s="108" t="str">
        <x:f>IF($A130="","",IF($J130="inactive","inactive",IF($J130="at_risk","at_risk",IF($Q130&gt;=85,"vip",IF($Q130&gt;=70,"loyal",IF($Q130&gt;=50,"active",IF($N130=0,"new","needs_attention")))))))</x:f>
      </x:c>
      <x:c r="S130" s="19"/>
      <x:c r="T130" s="18"/>
      <x:c r="U130" s="19"/>
      <x:c r="V130" s="20"/>
      <x:c r="W130" s="26"/>
      <x:c r="X130" s="19"/>
      <x:c r="Y130" s="26"/>
      <x:c r="Z130" s="19"/>
      <x:c r="AA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20"/>
      <x:c r="J131" s="19"/>
      <x:c r="K131" s="19"/>
      <x:c r="L131" s="92" t="str">
        <x:f>IF($A131="","",IF(COUNTIFS('Orders'!$C$2:$C$500,$A131,'Orders'!$M$2:$M$500,"&lt;&gt;cancelled")=0,"",MAXIFS('Orders'!$G$2:$G$500,'Orders'!$C$2:$C$500,$A131,'Orders'!$M$2:$M$500,"&lt;&gt;cancelled")))</x:f>
      </x:c>
      <x:c r="M131" s="96" t="str">
        <x:f>IF($A131="","",SUMIFS('Orders'!$K$2:$K$500,'Orders'!$C$2:$C$500,$A131,'Orders'!$M$2:$M$500,"&lt;&gt;cancelled"))</x:f>
      </x:c>
      <x:c r="N131" s="96" t="str">
        <x:f>IF($A131="","",COUNTIFS('Orders'!$C$2:$C$500,$A131,'Orders'!$M$2:$M$500,"&lt;&gt;cancelled"))</x:f>
      </x:c>
      <x:c r="O131" s="100" t="str">
        <x:f>IF($A131="","",IF(COUNTIF('Interactions'!$B$2:$B$500,$A131)=0,"",MAXIFS('Interactions'!$G$2:$G$500,'Interactions'!$B$2:$B$500,$A131)))</x:f>
      </x:c>
      <x:c r="P131" s="100" t="str">
        <x:f>IF($A131="","",IF(COUNTIFS('FollowUps'!$B$2:$B$500,$A131,'FollowUps'!$H$2:$H$500,"open")=0,"",MINIFS('FollowUps'!$E$2:$E$500,'FollowUps'!$B$2:$B$500,$A131,'FollowUps'!$H$2:$H$500,"open")))</x:f>
      </x:c>
      <x:c r="Q131" s="104" t="str">
        <x:f>IF($A131="","",ROUND(MIN(25,$N131/VALUE(INDEX('Settings'!$B$2:$B$100,MATCH("score_purchase_target",'Settings'!$A$2:$A$100,0)))*25)+MIN(25,$M131/VALUE(INDEX('Settings'!$B$2:$B$100,MATCH("score_value_target",'Settings'!$A$2:$A$100,0)))*25)+IF($L131="",0,MAX(0,25-(TODAY()-$L131)/VALUE(INDEX('Settings'!$B$2:$B$100,MATCH("score_recency_days",'Settings'!$A$2:$A$100,0)))*25))+MIN(15,COUNTIFS('FollowUps'!$B$2:$B$500,$A131,'FollowUps'!$H$2:$H$500,"done")/VALUE(INDEX('Settings'!$B$2:$B$100,MATCH("score_response_target",'Settings'!$A$2:$A$100,0)))*15)+IF(COUNTIFS('Interactions'!$B$2:$B$500,$A131,'Interactions'!$E$2:$E$500,"complaint")=0,10,0),0))</x:f>
      </x:c>
      <x:c r="R131" s="108" t="str">
        <x:f>IF($A131="","",IF($J131="inactive","inactive",IF($J131="at_risk","at_risk",IF($Q131&gt;=85,"vip",IF($Q131&gt;=70,"loyal",IF($Q131&gt;=50,"active",IF($N131=0,"new","needs_attention")))))))</x:f>
      </x:c>
      <x:c r="S131" s="19"/>
      <x:c r="T131" s="18"/>
      <x:c r="U131" s="19"/>
      <x:c r="V131" s="20"/>
      <x:c r="W131" s="26"/>
      <x:c r="X131" s="19"/>
      <x:c r="Y131" s="26"/>
      <x:c r="Z131" s="19"/>
      <x:c r="AA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20"/>
      <x:c r="J132" s="19"/>
      <x:c r="K132" s="19"/>
      <x:c r="L132" s="92" t="str">
        <x:f>IF($A132="","",IF(COUNTIFS('Orders'!$C$2:$C$500,$A132,'Orders'!$M$2:$M$500,"&lt;&gt;cancelled")=0,"",MAXIFS('Orders'!$G$2:$G$500,'Orders'!$C$2:$C$500,$A132,'Orders'!$M$2:$M$500,"&lt;&gt;cancelled")))</x:f>
      </x:c>
      <x:c r="M132" s="96" t="str">
        <x:f>IF($A132="","",SUMIFS('Orders'!$K$2:$K$500,'Orders'!$C$2:$C$500,$A132,'Orders'!$M$2:$M$500,"&lt;&gt;cancelled"))</x:f>
      </x:c>
      <x:c r="N132" s="96" t="str">
        <x:f>IF($A132="","",COUNTIFS('Orders'!$C$2:$C$500,$A132,'Orders'!$M$2:$M$500,"&lt;&gt;cancelled"))</x:f>
      </x:c>
      <x:c r="O132" s="100" t="str">
        <x:f>IF($A132="","",IF(COUNTIF('Interactions'!$B$2:$B$500,$A132)=0,"",MAXIFS('Interactions'!$G$2:$G$500,'Interactions'!$B$2:$B$500,$A132)))</x:f>
      </x:c>
      <x:c r="P132" s="100" t="str">
        <x:f>IF($A132="","",IF(COUNTIFS('FollowUps'!$B$2:$B$500,$A132,'FollowUps'!$H$2:$H$500,"open")=0,"",MINIFS('FollowUps'!$E$2:$E$500,'FollowUps'!$B$2:$B$500,$A132,'FollowUps'!$H$2:$H$500,"open")))</x:f>
      </x:c>
      <x:c r="Q132" s="104" t="str">
        <x:f>IF($A132="","",ROUND(MIN(25,$N132/VALUE(INDEX('Settings'!$B$2:$B$100,MATCH("score_purchase_target",'Settings'!$A$2:$A$100,0)))*25)+MIN(25,$M132/VALUE(INDEX('Settings'!$B$2:$B$100,MATCH("score_value_target",'Settings'!$A$2:$A$100,0)))*25)+IF($L132="",0,MAX(0,25-(TODAY()-$L132)/VALUE(INDEX('Settings'!$B$2:$B$100,MATCH("score_recency_days",'Settings'!$A$2:$A$100,0)))*25))+MIN(15,COUNTIFS('FollowUps'!$B$2:$B$500,$A132,'FollowUps'!$H$2:$H$500,"done")/VALUE(INDEX('Settings'!$B$2:$B$100,MATCH("score_response_target",'Settings'!$A$2:$A$100,0)))*15)+IF(COUNTIFS('Interactions'!$B$2:$B$500,$A132,'Interactions'!$E$2:$E$500,"complaint")=0,10,0),0))</x:f>
      </x:c>
      <x:c r="R132" s="108" t="str">
        <x:f>IF($A132="","",IF($J132="inactive","inactive",IF($J132="at_risk","at_risk",IF($Q132&gt;=85,"vip",IF($Q132&gt;=70,"loyal",IF($Q132&gt;=50,"active",IF($N132=0,"new","needs_attention")))))))</x:f>
      </x:c>
      <x:c r="S132" s="19"/>
      <x:c r="T132" s="18"/>
      <x:c r="U132" s="19"/>
      <x:c r="V132" s="20"/>
      <x:c r="W132" s="26"/>
      <x:c r="X132" s="19"/>
      <x:c r="Y132" s="26"/>
      <x:c r="Z132" s="19"/>
      <x:c r="AA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20"/>
      <x:c r="J133" s="19"/>
      <x:c r="K133" s="19"/>
      <x:c r="L133" s="92" t="str">
        <x:f>IF($A133="","",IF(COUNTIFS('Orders'!$C$2:$C$500,$A133,'Orders'!$M$2:$M$500,"&lt;&gt;cancelled")=0,"",MAXIFS('Orders'!$G$2:$G$500,'Orders'!$C$2:$C$500,$A133,'Orders'!$M$2:$M$500,"&lt;&gt;cancelled")))</x:f>
      </x:c>
      <x:c r="M133" s="96" t="str">
        <x:f>IF($A133="","",SUMIFS('Orders'!$K$2:$K$500,'Orders'!$C$2:$C$500,$A133,'Orders'!$M$2:$M$500,"&lt;&gt;cancelled"))</x:f>
      </x:c>
      <x:c r="N133" s="96" t="str">
        <x:f>IF($A133="","",COUNTIFS('Orders'!$C$2:$C$500,$A133,'Orders'!$M$2:$M$500,"&lt;&gt;cancelled"))</x:f>
      </x:c>
      <x:c r="O133" s="100" t="str">
        <x:f>IF($A133="","",IF(COUNTIF('Interactions'!$B$2:$B$500,$A133)=0,"",MAXIFS('Interactions'!$G$2:$G$500,'Interactions'!$B$2:$B$500,$A133)))</x:f>
      </x:c>
      <x:c r="P133" s="100" t="str">
        <x:f>IF($A133="","",IF(COUNTIFS('FollowUps'!$B$2:$B$500,$A133,'FollowUps'!$H$2:$H$500,"open")=0,"",MINIFS('FollowUps'!$E$2:$E$500,'FollowUps'!$B$2:$B$500,$A133,'FollowUps'!$H$2:$H$500,"open")))</x:f>
      </x:c>
      <x:c r="Q133" s="104" t="str">
        <x:f>IF($A133="","",ROUND(MIN(25,$N133/VALUE(INDEX('Settings'!$B$2:$B$100,MATCH("score_purchase_target",'Settings'!$A$2:$A$100,0)))*25)+MIN(25,$M133/VALUE(INDEX('Settings'!$B$2:$B$100,MATCH("score_value_target",'Settings'!$A$2:$A$100,0)))*25)+IF($L133="",0,MAX(0,25-(TODAY()-$L133)/VALUE(INDEX('Settings'!$B$2:$B$100,MATCH("score_recency_days",'Settings'!$A$2:$A$100,0)))*25))+MIN(15,COUNTIFS('FollowUps'!$B$2:$B$500,$A133,'FollowUps'!$H$2:$H$500,"done")/VALUE(INDEX('Settings'!$B$2:$B$100,MATCH("score_response_target",'Settings'!$A$2:$A$100,0)))*15)+IF(COUNTIFS('Interactions'!$B$2:$B$500,$A133,'Interactions'!$E$2:$E$500,"complaint")=0,10,0),0))</x:f>
      </x:c>
      <x:c r="R133" s="108" t="str">
        <x:f>IF($A133="","",IF($J133="inactive","inactive",IF($J133="at_risk","at_risk",IF($Q133&gt;=85,"vip",IF($Q133&gt;=70,"loyal",IF($Q133&gt;=50,"active",IF($N133=0,"new","needs_attention")))))))</x:f>
      </x:c>
      <x:c r="S133" s="19"/>
      <x:c r="T133" s="18"/>
      <x:c r="U133" s="19"/>
      <x:c r="V133" s="20"/>
      <x:c r="W133" s="26"/>
      <x:c r="X133" s="19"/>
      <x:c r="Y133" s="26"/>
      <x:c r="Z133" s="19"/>
      <x:c r="AA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20"/>
      <x:c r="J134" s="19"/>
      <x:c r="K134" s="19"/>
      <x:c r="L134" s="92" t="str">
        <x:f>IF($A134="","",IF(COUNTIFS('Orders'!$C$2:$C$500,$A134,'Orders'!$M$2:$M$500,"&lt;&gt;cancelled")=0,"",MAXIFS('Orders'!$G$2:$G$500,'Orders'!$C$2:$C$500,$A134,'Orders'!$M$2:$M$500,"&lt;&gt;cancelled")))</x:f>
      </x:c>
      <x:c r="M134" s="96" t="str">
        <x:f>IF($A134="","",SUMIFS('Orders'!$K$2:$K$500,'Orders'!$C$2:$C$500,$A134,'Orders'!$M$2:$M$500,"&lt;&gt;cancelled"))</x:f>
      </x:c>
      <x:c r="N134" s="96" t="str">
        <x:f>IF($A134="","",COUNTIFS('Orders'!$C$2:$C$500,$A134,'Orders'!$M$2:$M$500,"&lt;&gt;cancelled"))</x:f>
      </x:c>
      <x:c r="O134" s="100" t="str">
        <x:f>IF($A134="","",IF(COUNTIF('Interactions'!$B$2:$B$500,$A134)=0,"",MAXIFS('Interactions'!$G$2:$G$500,'Interactions'!$B$2:$B$500,$A134)))</x:f>
      </x:c>
      <x:c r="P134" s="100" t="str">
        <x:f>IF($A134="","",IF(COUNTIFS('FollowUps'!$B$2:$B$500,$A134,'FollowUps'!$H$2:$H$500,"open")=0,"",MINIFS('FollowUps'!$E$2:$E$500,'FollowUps'!$B$2:$B$500,$A134,'FollowUps'!$H$2:$H$500,"open")))</x:f>
      </x:c>
      <x:c r="Q134" s="104" t="str">
        <x:f>IF($A134="","",ROUND(MIN(25,$N134/VALUE(INDEX('Settings'!$B$2:$B$100,MATCH("score_purchase_target",'Settings'!$A$2:$A$100,0)))*25)+MIN(25,$M134/VALUE(INDEX('Settings'!$B$2:$B$100,MATCH("score_value_target",'Settings'!$A$2:$A$100,0)))*25)+IF($L134="",0,MAX(0,25-(TODAY()-$L134)/VALUE(INDEX('Settings'!$B$2:$B$100,MATCH("score_recency_days",'Settings'!$A$2:$A$100,0)))*25))+MIN(15,COUNTIFS('FollowUps'!$B$2:$B$500,$A134,'FollowUps'!$H$2:$H$500,"done")/VALUE(INDEX('Settings'!$B$2:$B$100,MATCH("score_response_target",'Settings'!$A$2:$A$100,0)))*15)+IF(COUNTIFS('Interactions'!$B$2:$B$500,$A134,'Interactions'!$E$2:$E$500,"complaint")=0,10,0),0))</x:f>
      </x:c>
      <x:c r="R134" s="108" t="str">
        <x:f>IF($A134="","",IF($J134="inactive","inactive",IF($J134="at_risk","at_risk",IF($Q134&gt;=85,"vip",IF($Q134&gt;=70,"loyal",IF($Q134&gt;=50,"active",IF($N134=0,"new","needs_attention")))))))</x:f>
      </x:c>
      <x:c r="S134" s="19"/>
      <x:c r="T134" s="18"/>
      <x:c r="U134" s="19"/>
      <x:c r="V134" s="20"/>
      <x:c r="W134" s="26"/>
      <x:c r="X134" s="19"/>
      <x:c r="Y134" s="26"/>
      <x:c r="Z134" s="19"/>
      <x:c r="AA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20"/>
      <x:c r="J135" s="19"/>
      <x:c r="K135" s="19"/>
      <x:c r="L135" s="92" t="str">
        <x:f>IF($A135="","",IF(COUNTIFS('Orders'!$C$2:$C$500,$A135,'Orders'!$M$2:$M$500,"&lt;&gt;cancelled")=0,"",MAXIFS('Orders'!$G$2:$G$500,'Orders'!$C$2:$C$500,$A135,'Orders'!$M$2:$M$500,"&lt;&gt;cancelled")))</x:f>
      </x:c>
      <x:c r="M135" s="96" t="str">
        <x:f>IF($A135="","",SUMIFS('Orders'!$K$2:$K$500,'Orders'!$C$2:$C$500,$A135,'Orders'!$M$2:$M$500,"&lt;&gt;cancelled"))</x:f>
      </x:c>
      <x:c r="N135" s="96" t="str">
        <x:f>IF($A135="","",COUNTIFS('Orders'!$C$2:$C$500,$A135,'Orders'!$M$2:$M$500,"&lt;&gt;cancelled"))</x:f>
      </x:c>
      <x:c r="O135" s="100" t="str">
        <x:f>IF($A135="","",IF(COUNTIF('Interactions'!$B$2:$B$500,$A135)=0,"",MAXIFS('Interactions'!$G$2:$G$500,'Interactions'!$B$2:$B$500,$A135)))</x:f>
      </x:c>
      <x:c r="P135" s="100" t="str">
        <x:f>IF($A135="","",IF(COUNTIFS('FollowUps'!$B$2:$B$500,$A135,'FollowUps'!$H$2:$H$500,"open")=0,"",MINIFS('FollowUps'!$E$2:$E$500,'FollowUps'!$B$2:$B$500,$A135,'FollowUps'!$H$2:$H$500,"open")))</x:f>
      </x:c>
      <x:c r="Q135" s="104" t="str">
        <x:f>IF($A135="","",ROUND(MIN(25,$N135/VALUE(INDEX('Settings'!$B$2:$B$100,MATCH("score_purchase_target",'Settings'!$A$2:$A$100,0)))*25)+MIN(25,$M135/VALUE(INDEX('Settings'!$B$2:$B$100,MATCH("score_value_target",'Settings'!$A$2:$A$100,0)))*25)+IF($L135="",0,MAX(0,25-(TODAY()-$L135)/VALUE(INDEX('Settings'!$B$2:$B$100,MATCH("score_recency_days",'Settings'!$A$2:$A$100,0)))*25))+MIN(15,COUNTIFS('FollowUps'!$B$2:$B$500,$A135,'FollowUps'!$H$2:$H$500,"done")/VALUE(INDEX('Settings'!$B$2:$B$100,MATCH("score_response_target",'Settings'!$A$2:$A$100,0)))*15)+IF(COUNTIFS('Interactions'!$B$2:$B$500,$A135,'Interactions'!$E$2:$E$500,"complaint")=0,10,0),0))</x:f>
      </x:c>
      <x:c r="R135" s="108" t="str">
        <x:f>IF($A135="","",IF($J135="inactive","inactive",IF($J135="at_risk","at_risk",IF($Q135&gt;=85,"vip",IF($Q135&gt;=70,"loyal",IF($Q135&gt;=50,"active",IF($N135=0,"new","needs_attention")))))))</x:f>
      </x:c>
      <x:c r="S135" s="19"/>
      <x:c r="T135" s="18"/>
      <x:c r="U135" s="19"/>
      <x:c r="V135" s="20"/>
      <x:c r="W135" s="26"/>
      <x:c r="X135" s="19"/>
      <x:c r="Y135" s="26"/>
      <x:c r="Z135" s="19"/>
      <x:c r="AA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20"/>
      <x:c r="J136" s="19"/>
      <x:c r="K136" s="19"/>
      <x:c r="L136" s="92" t="str">
        <x:f>IF($A136="","",IF(COUNTIFS('Orders'!$C$2:$C$500,$A136,'Orders'!$M$2:$M$500,"&lt;&gt;cancelled")=0,"",MAXIFS('Orders'!$G$2:$G$500,'Orders'!$C$2:$C$500,$A136,'Orders'!$M$2:$M$500,"&lt;&gt;cancelled")))</x:f>
      </x:c>
      <x:c r="M136" s="96" t="str">
        <x:f>IF($A136="","",SUMIFS('Orders'!$K$2:$K$500,'Orders'!$C$2:$C$500,$A136,'Orders'!$M$2:$M$500,"&lt;&gt;cancelled"))</x:f>
      </x:c>
      <x:c r="N136" s="96" t="str">
        <x:f>IF($A136="","",COUNTIFS('Orders'!$C$2:$C$500,$A136,'Orders'!$M$2:$M$500,"&lt;&gt;cancelled"))</x:f>
      </x:c>
      <x:c r="O136" s="100" t="str">
        <x:f>IF($A136="","",IF(COUNTIF('Interactions'!$B$2:$B$500,$A136)=0,"",MAXIFS('Interactions'!$G$2:$G$500,'Interactions'!$B$2:$B$500,$A136)))</x:f>
      </x:c>
      <x:c r="P136" s="100" t="str">
        <x:f>IF($A136="","",IF(COUNTIFS('FollowUps'!$B$2:$B$500,$A136,'FollowUps'!$H$2:$H$500,"open")=0,"",MINIFS('FollowUps'!$E$2:$E$500,'FollowUps'!$B$2:$B$500,$A136,'FollowUps'!$H$2:$H$500,"open")))</x:f>
      </x:c>
      <x:c r="Q136" s="104" t="str">
        <x:f>IF($A136="","",ROUND(MIN(25,$N136/VALUE(INDEX('Settings'!$B$2:$B$100,MATCH("score_purchase_target",'Settings'!$A$2:$A$100,0)))*25)+MIN(25,$M136/VALUE(INDEX('Settings'!$B$2:$B$100,MATCH("score_value_target",'Settings'!$A$2:$A$100,0)))*25)+IF($L136="",0,MAX(0,25-(TODAY()-$L136)/VALUE(INDEX('Settings'!$B$2:$B$100,MATCH("score_recency_days",'Settings'!$A$2:$A$100,0)))*25))+MIN(15,COUNTIFS('FollowUps'!$B$2:$B$500,$A136,'FollowUps'!$H$2:$H$500,"done")/VALUE(INDEX('Settings'!$B$2:$B$100,MATCH("score_response_target",'Settings'!$A$2:$A$100,0)))*15)+IF(COUNTIFS('Interactions'!$B$2:$B$500,$A136,'Interactions'!$E$2:$E$500,"complaint")=0,10,0),0))</x:f>
      </x:c>
      <x:c r="R136" s="108" t="str">
        <x:f>IF($A136="","",IF($J136="inactive","inactive",IF($J136="at_risk","at_risk",IF($Q136&gt;=85,"vip",IF($Q136&gt;=70,"loyal",IF($Q136&gt;=50,"active",IF($N136=0,"new","needs_attention")))))))</x:f>
      </x:c>
      <x:c r="S136" s="19"/>
      <x:c r="T136" s="18"/>
      <x:c r="U136" s="19"/>
      <x:c r="V136" s="20"/>
      <x:c r="W136" s="26"/>
      <x:c r="X136" s="19"/>
      <x:c r="Y136" s="26"/>
      <x:c r="Z136" s="19"/>
      <x:c r="AA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20"/>
      <x:c r="J137" s="19"/>
      <x:c r="K137" s="19"/>
      <x:c r="L137" s="92" t="str">
        <x:f>IF($A137="","",IF(COUNTIFS('Orders'!$C$2:$C$500,$A137,'Orders'!$M$2:$M$500,"&lt;&gt;cancelled")=0,"",MAXIFS('Orders'!$G$2:$G$500,'Orders'!$C$2:$C$500,$A137,'Orders'!$M$2:$M$500,"&lt;&gt;cancelled")))</x:f>
      </x:c>
      <x:c r="M137" s="96" t="str">
        <x:f>IF($A137="","",SUMIFS('Orders'!$K$2:$K$500,'Orders'!$C$2:$C$500,$A137,'Orders'!$M$2:$M$500,"&lt;&gt;cancelled"))</x:f>
      </x:c>
      <x:c r="N137" s="96" t="str">
        <x:f>IF($A137="","",COUNTIFS('Orders'!$C$2:$C$500,$A137,'Orders'!$M$2:$M$500,"&lt;&gt;cancelled"))</x:f>
      </x:c>
      <x:c r="O137" s="100" t="str">
        <x:f>IF($A137="","",IF(COUNTIF('Interactions'!$B$2:$B$500,$A137)=0,"",MAXIFS('Interactions'!$G$2:$G$500,'Interactions'!$B$2:$B$500,$A137)))</x:f>
      </x:c>
      <x:c r="P137" s="100" t="str">
        <x:f>IF($A137="","",IF(COUNTIFS('FollowUps'!$B$2:$B$500,$A137,'FollowUps'!$H$2:$H$500,"open")=0,"",MINIFS('FollowUps'!$E$2:$E$500,'FollowUps'!$B$2:$B$500,$A137,'FollowUps'!$H$2:$H$500,"open")))</x:f>
      </x:c>
      <x:c r="Q137" s="104" t="str">
        <x:f>IF($A137="","",ROUND(MIN(25,$N137/VALUE(INDEX('Settings'!$B$2:$B$100,MATCH("score_purchase_target",'Settings'!$A$2:$A$100,0)))*25)+MIN(25,$M137/VALUE(INDEX('Settings'!$B$2:$B$100,MATCH("score_value_target",'Settings'!$A$2:$A$100,0)))*25)+IF($L137="",0,MAX(0,25-(TODAY()-$L137)/VALUE(INDEX('Settings'!$B$2:$B$100,MATCH("score_recency_days",'Settings'!$A$2:$A$100,0)))*25))+MIN(15,COUNTIFS('FollowUps'!$B$2:$B$500,$A137,'FollowUps'!$H$2:$H$500,"done")/VALUE(INDEX('Settings'!$B$2:$B$100,MATCH("score_response_target",'Settings'!$A$2:$A$100,0)))*15)+IF(COUNTIFS('Interactions'!$B$2:$B$500,$A137,'Interactions'!$E$2:$E$500,"complaint")=0,10,0),0))</x:f>
      </x:c>
      <x:c r="R137" s="108" t="str">
        <x:f>IF($A137="","",IF($J137="inactive","inactive",IF($J137="at_risk","at_risk",IF($Q137&gt;=85,"vip",IF($Q137&gt;=70,"loyal",IF($Q137&gt;=50,"active",IF($N137=0,"new","needs_attention")))))))</x:f>
      </x:c>
      <x:c r="S137" s="19"/>
      <x:c r="T137" s="18"/>
      <x:c r="U137" s="19"/>
      <x:c r="V137" s="20"/>
      <x:c r="W137" s="26"/>
      <x:c r="X137" s="19"/>
      <x:c r="Y137" s="26"/>
      <x:c r="Z137" s="19"/>
      <x:c r="AA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20"/>
      <x:c r="J138" s="19"/>
      <x:c r="K138" s="19"/>
      <x:c r="L138" s="92" t="str">
        <x:f>IF($A138="","",IF(COUNTIFS('Orders'!$C$2:$C$500,$A138,'Orders'!$M$2:$M$500,"&lt;&gt;cancelled")=0,"",MAXIFS('Orders'!$G$2:$G$500,'Orders'!$C$2:$C$500,$A138,'Orders'!$M$2:$M$500,"&lt;&gt;cancelled")))</x:f>
      </x:c>
      <x:c r="M138" s="96" t="str">
        <x:f>IF($A138="","",SUMIFS('Orders'!$K$2:$K$500,'Orders'!$C$2:$C$500,$A138,'Orders'!$M$2:$M$500,"&lt;&gt;cancelled"))</x:f>
      </x:c>
      <x:c r="N138" s="96" t="str">
        <x:f>IF($A138="","",COUNTIFS('Orders'!$C$2:$C$500,$A138,'Orders'!$M$2:$M$500,"&lt;&gt;cancelled"))</x:f>
      </x:c>
      <x:c r="O138" s="100" t="str">
        <x:f>IF($A138="","",IF(COUNTIF('Interactions'!$B$2:$B$500,$A138)=0,"",MAXIFS('Interactions'!$G$2:$G$500,'Interactions'!$B$2:$B$500,$A138)))</x:f>
      </x:c>
      <x:c r="P138" s="100" t="str">
        <x:f>IF($A138="","",IF(COUNTIFS('FollowUps'!$B$2:$B$500,$A138,'FollowUps'!$H$2:$H$500,"open")=0,"",MINIFS('FollowUps'!$E$2:$E$500,'FollowUps'!$B$2:$B$500,$A138,'FollowUps'!$H$2:$H$500,"open")))</x:f>
      </x:c>
      <x:c r="Q138" s="104" t="str">
        <x:f>IF($A138="","",ROUND(MIN(25,$N138/VALUE(INDEX('Settings'!$B$2:$B$100,MATCH("score_purchase_target",'Settings'!$A$2:$A$100,0)))*25)+MIN(25,$M138/VALUE(INDEX('Settings'!$B$2:$B$100,MATCH("score_value_target",'Settings'!$A$2:$A$100,0)))*25)+IF($L138="",0,MAX(0,25-(TODAY()-$L138)/VALUE(INDEX('Settings'!$B$2:$B$100,MATCH("score_recency_days",'Settings'!$A$2:$A$100,0)))*25))+MIN(15,COUNTIFS('FollowUps'!$B$2:$B$500,$A138,'FollowUps'!$H$2:$H$500,"done")/VALUE(INDEX('Settings'!$B$2:$B$100,MATCH("score_response_target",'Settings'!$A$2:$A$100,0)))*15)+IF(COUNTIFS('Interactions'!$B$2:$B$500,$A138,'Interactions'!$E$2:$E$500,"complaint")=0,10,0),0))</x:f>
      </x:c>
      <x:c r="R138" s="108" t="str">
        <x:f>IF($A138="","",IF($J138="inactive","inactive",IF($J138="at_risk","at_risk",IF($Q138&gt;=85,"vip",IF($Q138&gt;=70,"loyal",IF($Q138&gt;=50,"active",IF($N138=0,"new","needs_attention")))))))</x:f>
      </x:c>
      <x:c r="S138" s="19"/>
      <x:c r="T138" s="18"/>
      <x:c r="U138" s="19"/>
      <x:c r="V138" s="20"/>
      <x:c r="W138" s="26"/>
      <x:c r="X138" s="19"/>
      <x:c r="Y138" s="26"/>
      <x:c r="Z138" s="19"/>
      <x:c r="AA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20"/>
      <x:c r="J139" s="19"/>
      <x:c r="K139" s="19"/>
      <x:c r="L139" s="92" t="str">
        <x:f>IF($A139="","",IF(COUNTIFS('Orders'!$C$2:$C$500,$A139,'Orders'!$M$2:$M$500,"&lt;&gt;cancelled")=0,"",MAXIFS('Orders'!$G$2:$G$500,'Orders'!$C$2:$C$500,$A139,'Orders'!$M$2:$M$500,"&lt;&gt;cancelled")))</x:f>
      </x:c>
      <x:c r="M139" s="96" t="str">
        <x:f>IF($A139="","",SUMIFS('Orders'!$K$2:$K$500,'Orders'!$C$2:$C$500,$A139,'Orders'!$M$2:$M$500,"&lt;&gt;cancelled"))</x:f>
      </x:c>
      <x:c r="N139" s="96" t="str">
        <x:f>IF($A139="","",COUNTIFS('Orders'!$C$2:$C$500,$A139,'Orders'!$M$2:$M$500,"&lt;&gt;cancelled"))</x:f>
      </x:c>
      <x:c r="O139" s="100" t="str">
        <x:f>IF($A139="","",IF(COUNTIF('Interactions'!$B$2:$B$500,$A139)=0,"",MAXIFS('Interactions'!$G$2:$G$500,'Interactions'!$B$2:$B$500,$A139)))</x:f>
      </x:c>
      <x:c r="P139" s="100" t="str">
        <x:f>IF($A139="","",IF(COUNTIFS('FollowUps'!$B$2:$B$500,$A139,'FollowUps'!$H$2:$H$500,"open")=0,"",MINIFS('FollowUps'!$E$2:$E$500,'FollowUps'!$B$2:$B$500,$A139,'FollowUps'!$H$2:$H$500,"open")))</x:f>
      </x:c>
      <x:c r="Q139" s="104" t="str">
        <x:f>IF($A139="","",ROUND(MIN(25,$N139/VALUE(INDEX('Settings'!$B$2:$B$100,MATCH("score_purchase_target",'Settings'!$A$2:$A$100,0)))*25)+MIN(25,$M139/VALUE(INDEX('Settings'!$B$2:$B$100,MATCH("score_value_target",'Settings'!$A$2:$A$100,0)))*25)+IF($L139="",0,MAX(0,25-(TODAY()-$L139)/VALUE(INDEX('Settings'!$B$2:$B$100,MATCH("score_recency_days",'Settings'!$A$2:$A$100,0)))*25))+MIN(15,COUNTIFS('FollowUps'!$B$2:$B$500,$A139,'FollowUps'!$H$2:$H$500,"done")/VALUE(INDEX('Settings'!$B$2:$B$100,MATCH("score_response_target",'Settings'!$A$2:$A$100,0)))*15)+IF(COUNTIFS('Interactions'!$B$2:$B$500,$A139,'Interactions'!$E$2:$E$500,"complaint")=0,10,0),0))</x:f>
      </x:c>
      <x:c r="R139" s="108" t="str">
        <x:f>IF($A139="","",IF($J139="inactive","inactive",IF($J139="at_risk","at_risk",IF($Q139&gt;=85,"vip",IF($Q139&gt;=70,"loyal",IF($Q139&gt;=50,"active",IF($N139=0,"new","needs_attention")))))))</x:f>
      </x:c>
      <x:c r="S139" s="19"/>
      <x:c r="T139" s="18"/>
      <x:c r="U139" s="19"/>
      <x:c r="V139" s="20"/>
      <x:c r="W139" s="26"/>
      <x:c r="X139" s="19"/>
      <x:c r="Y139" s="26"/>
      <x:c r="Z139" s="19"/>
      <x:c r="AA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20"/>
      <x:c r="J140" s="19"/>
      <x:c r="K140" s="19"/>
      <x:c r="L140" s="92" t="str">
        <x:f>IF($A140="","",IF(COUNTIFS('Orders'!$C$2:$C$500,$A140,'Orders'!$M$2:$M$500,"&lt;&gt;cancelled")=0,"",MAXIFS('Orders'!$G$2:$G$500,'Orders'!$C$2:$C$500,$A140,'Orders'!$M$2:$M$500,"&lt;&gt;cancelled")))</x:f>
      </x:c>
      <x:c r="M140" s="96" t="str">
        <x:f>IF($A140="","",SUMIFS('Orders'!$K$2:$K$500,'Orders'!$C$2:$C$500,$A140,'Orders'!$M$2:$M$500,"&lt;&gt;cancelled"))</x:f>
      </x:c>
      <x:c r="N140" s="96" t="str">
        <x:f>IF($A140="","",COUNTIFS('Orders'!$C$2:$C$500,$A140,'Orders'!$M$2:$M$500,"&lt;&gt;cancelled"))</x:f>
      </x:c>
      <x:c r="O140" s="100" t="str">
        <x:f>IF($A140="","",IF(COUNTIF('Interactions'!$B$2:$B$500,$A140)=0,"",MAXIFS('Interactions'!$G$2:$G$500,'Interactions'!$B$2:$B$500,$A140)))</x:f>
      </x:c>
      <x:c r="P140" s="100" t="str">
        <x:f>IF($A140="","",IF(COUNTIFS('FollowUps'!$B$2:$B$500,$A140,'FollowUps'!$H$2:$H$500,"open")=0,"",MINIFS('FollowUps'!$E$2:$E$500,'FollowUps'!$B$2:$B$500,$A140,'FollowUps'!$H$2:$H$500,"open")))</x:f>
      </x:c>
      <x:c r="Q140" s="104" t="str">
        <x:f>IF($A140="","",ROUND(MIN(25,$N140/VALUE(INDEX('Settings'!$B$2:$B$100,MATCH("score_purchase_target",'Settings'!$A$2:$A$100,0)))*25)+MIN(25,$M140/VALUE(INDEX('Settings'!$B$2:$B$100,MATCH("score_value_target",'Settings'!$A$2:$A$100,0)))*25)+IF($L140="",0,MAX(0,25-(TODAY()-$L140)/VALUE(INDEX('Settings'!$B$2:$B$100,MATCH("score_recency_days",'Settings'!$A$2:$A$100,0)))*25))+MIN(15,COUNTIFS('FollowUps'!$B$2:$B$500,$A140,'FollowUps'!$H$2:$H$500,"done")/VALUE(INDEX('Settings'!$B$2:$B$100,MATCH("score_response_target",'Settings'!$A$2:$A$100,0)))*15)+IF(COUNTIFS('Interactions'!$B$2:$B$500,$A140,'Interactions'!$E$2:$E$500,"complaint")=0,10,0),0))</x:f>
      </x:c>
      <x:c r="R140" s="108" t="str">
        <x:f>IF($A140="","",IF($J140="inactive","inactive",IF($J140="at_risk","at_risk",IF($Q140&gt;=85,"vip",IF($Q140&gt;=70,"loyal",IF($Q140&gt;=50,"active",IF($N140=0,"new","needs_attention")))))))</x:f>
      </x:c>
      <x:c r="S140" s="19"/>
      <x:c r="T140" s="18"/>
      <x:c r="U140" s="19"/>
      <x:c r="V140" s="20"/>
      <x:c r="W140" s="26"/>
      <x:c r="X140" s="19"/>
      <x:c r="Y140" s="26"/>
      <x:c r="Z140" s="19"/>
      <x:c r="AA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20"/>
      <x:c r="J141" s="19"/>
      <x:c r="K141" s="19"/>
      <x:c r="L141" s="92" t="str">
        <x:f>IF($A141="","",IF(COUNTIFS('Orders'!$C$2:$C$500,$A141,'Orders'!$M$2:$M$500,"&lt;&gt;cancelled")=0,"",MAXIFS('Orders'!$G$2:$G$500,'Orders'!$C$2:$C$500,$A141,'Orders'!$M$2:$M$500,"&lt;&gt;cancelled")))</x:f>
      </x:c>
      <x:c r="M141" s="96" t="str">
        <x:f>IF($A141="","",SUMIFS('Orders'!$K$2:$K$500,'Orders'!$C$2:$C$500,$A141,'Orders'!$M$2:$M$500,"&lt;&gt;cancelled"))</x:f>
      </x:c>
      <x:c r="N141" s="96" t="str">
        <x:f>IF($A141="","",COUNTIFS('Orders'!$C$2:$C$500,$A141,'Orders'!$M$2:$M$500,"&lt;&gt;cancelled"))</x:f>
      </x:c>
      <x:c r="O141" s="100" t="str">
        <x:f>IF($A141="","",IF(COUNTIF('Interactions'!$B$2:$B$500,$A141)=0,"",MAXIFS('Interactions'!$G$2:$G$500,'Interactions'!$B$2:$B$500,$A141)))</x:f>
      </x:c>
      <x:c r="P141" s="100" t="str">
        <x:f>IF($A141="","",IF(COUNTIFS('FollowUps'!$B$2:$B$500,$A141,'FollowUps'!$H$2:$H$500,"open")=0,"",MINIFS('FollowUps'!$E$2:$E$500,'FollowUps'!$B$2:$B$500,$A141,'FollowUps'!$H$2:$H$500,"open")))</x:f>
      </x:c>
      <x:c r="Q141" s="104" t="str">
        <x:f>IF($A141="","",ROUND(MIN(25,$N141/VALUE(INDEX('Settings'!$B$2:$B$100,MATCH("score_purchase_target",'Settings'!$A$2:$A$100,0)))*25)+MIN(25,$M141/VALUE(INDEX('Settings'!$B$2:$B$100,MATCH("score_value_target",'Settings'!$A$2:$A$100,0)))*25)+IF($L141="",0,MAX(0,25-(TODAY()-$L141)/VALUE(INDEX('Settings'!$B$2:$B$100,MATCH("score_recency_days",'Settings'!$A$2:$A$100,0)))*25))+MIN(15,COUNTIFS('FollowUps'!$B$2:$B$500,$A141,'FollowUps'!$H$2:$H$500,"done")/VALUE(INDEX('Settings'!$B$2:$B$100,MATCH("score_response_target",'Settings'!$A$2:$A$100,0)))*15)+IF(COUNTIFS('Interactions'!$B$2:$B$500,$A141,'Interactions'!$E$2:$E$500,"complaint")=0,10,0),0))</x:f>
      </x:c>
      <x:c r="R141" s="108" t="str">
        <x:f>IF($A141="","",IF($J141="inactive","inactive",IF($J141="at_risk","at_risk",IF($Q141&gt;=85,"vip",IF($Q141&gt;=70,"loyal",IF($Q141&gt;=50,"active",IF($N141=0,"new","needs_attention")))))))</x:f>
      </x:c>
      <x:c r="S141" s="19"/>
      <x:c r="T141" s="18"/>
      <x:c r="U141" s="19"/>
      <x:c r="V141" s="20"/>
      <x:c r="W141" s="26"/>
      <x:c r="X141" s="19"/>
      <x:c r="Y141" s="26"/>
      <x:c r="Z141" s="19"/>
      <x:c r="AA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20"/>
      <x:c r="J142" s="19"/>
      <x:c r="K142" s="19"/>
      <x:c r="L142" s="92" t="str">
        <x:f>IF($A142="","",IF(COUNTIFS('Orders'!$C$2:$C$500,$A142,'Orders'!$M$2:$M$500,"&lt;&gt;cancelled")=0,"",MAXIFS('Orders'!$G$2:$G$500,'Orders'!$C$2:$C$500,$A142,'Orders'!$M$2:$M$500,"&lt;&gt;cancelled")))</x:f>
      </x:c>
      <x:c r="M142" s="96" t="str">
        <x:f>IF($A142="","",SUMIFS('Orders'!$K$2:$K$500,'Orders'!$C$2:$C$500,$A142,'Orders'!$M$2:$M$500,"&lt;&gt;cancelled"))</x:f>
      </x:c>
      <x:c r="N142" s="96" t="str">
        <x:f>IF($A142="","",COUNTIFS('Orders'!$C$2:$C$500,$A142,'Orders'!$M$2:$M$500,"&lt;&gt;cancelled"))</x:f>
      </x:c>
      <x:c r="O142" s="100" t="str">
        <x:f>IF($A142="","",IF(COUNTIF('Interactions'!$B$2:$B$500,$A142)=0,"",MAXIFS('Interactions'!$G$2:$G$500,'Interactions'!$B$2:$B$500,$A142)))</x:f>
      </x:c>
      <x:c r="P142" s="100" t="str">
        <x:f>IF($A142="","",IF(COUNTIFS('FollowUps'!$B$2:$B$500,$A142,'FollowUps'!$H$2:$H$500,"open")=0,"",MINIFS('FollowUps'!$E$2:$E$500,'FollowUps'!$B$2:$B$500,$A142,'FollowUps'!$H$2:$H$500,"open")))</x:f>
      </x:c>
      <x:c r="Q142" s="104" t="str">
        <x:f>IF($A142="","",ROUND(MIN(25,$N142/VALUE(INDEX('Settings'!$B$2:$B$100,MATCH("score_purchase_target",'Settings'!$A$2:$A$100,0)))*25)+MIN(25,$M142/VALUE(INDEX('Settings'!$B$2:$B$100,MATCH("score_value_target",'Settings'!$A$2:$A$100,0)))*25)+IF($L142="",0,MAX(0,25-(TODAY()-$L142)/VALUE(INDEX('Settings'!$B$2:$B$100,MATCH("score_recency_days",'Settings'!$A$2:$A$100,0)))*25))+MIN(15,COUNTIFS('FollowUps'!$B$2:$B$500,$A142,'FollowUps'!$H$2:$H$500,"done")/VALUE(INDEX('Settings'!$B$2:$B$100,MATCH("score_response_target",'Settings'!$A$2:$A$100,0)))*15)+IF(COUNTIFS('Interactions'!$B$2:$B$500,$A142,'Interactions'!$E$2:$E$500,"complaint")=0,10,0),0))</x:f>
      </x:c>
      <x:c r="R142" s="108" t="str">
        <x:f>IF($A142="","",IF($J142="inactive","inactive",IF($J142="at_risk","at_risk",IF($Q142&gt;=85,"vip",IF($Q142&gt;=70,"loyal",IF($Q142&gt;=50,"active",IF($N142=0,"new","needs_attention")))))))</x:f>
      </x:c>
      <x:c r="S142" s="19"/>
      <x:c r="T142" s="18"/>
      <x:c r="U142" s="19"/>
      <x:c r="V142" s="20"/>
      <x:c r="W142" s="26"/>
      <x:c r="X142" s="19"/>
      <x:c r="Y142" s="26"/>
      <x:c r="Z142" s="19"/>
      <x:c r="AA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20"/>
      <x:c r="J143" s="19"/>
      <x:c r="K143" s="19"/>
      <x:c r="L143" s="92" t="str">
        <x:f>IF($A143="","",IF(COUNTIFS('Orders'!$C$2:$C$500,$A143,'Orders'!$M$2:$M$500,"&lt;&gt;cancelled")=0,"",MAXIFS('Orders'!$G$2:$G$500,'Orders'!$C$2:$C$500,$A143,'Orders'!$M$2:$M$500,"&lt;&gt;cancelled")))</x:f>
      </x:c>
      <x:c r="M143" s="96" t="str">
        <x:f>IF($A143="","",SUMIFS('Orders'!$K$2:$K$500,'Orders'!$C$2:$C$500,$A143,'Orders'!$M$2:$M$500,"&lt;&gt;cancelled"))</x:f>
      </x:c>
      <x:c r="N143" s="96" t="str">
        <x:f>IF($A143="","",COUNTIFS('Orders'!$C$2:$C$500,$A143,'Orders'!$M$2:$M$500,"&lt;&gt;cancelled"))</x:f>
      </x:c>
      <x:c r="O143" s="100" t="str">
        <x:f>IF($A143="","",IF(COUNTIF('Interactions'!$B$2:$B$500,$A143)=0,"",MAXIFS('Interactions'!$G$2:$G$500,'Interactions'!$B$2:$B$500,$A143)))</x:f>
      </x:c>
      <x:c r="P143" s="100" t="str">
        <x:f>IF($A143="","",IF(COUNTIFS('FollowUps'!$B$2:$B$500,$A143,'FollowUps'!$H$2:$H$500,"open")=0,"",MINIFS('FollowUps'!$E$2:$E$500,'FollowUps'!$B$2:$B$500,$A143,'FollowUps'!$H$2:$H$500,"open")))</x:f>
      </x:c>
      <x:c r="Q143" s="104" t="str">
        <x:f>IF($A143="","",ROUND(MIN(25,$N143/VALUE(INDEX('Settings'!$B$2:$B$100,MATCH("score_purchase_target",'Settings'!$A$2:$A$100,0)))*25)+MIN(25,$M143/VALUE(INDEX('Settings'!$B$2:$B$100,MATCH("score_value_target",'Settings'!$A$2:$A$100,0)))*25)+IF($L143="",0,MAX(0,25-(TODAY()-$L143)/VALUE(INDEX('Settings'!$B$2:$B$100,MATCH("score_recency_days",'Settings'!$A$2:$A$100,0)))*25))+MIN(15,COUNTIFS('FollowUps'!$B$2:$B$500,$A143,'FollowUps'!$H$2:$H$500,"done")/VALUE(INDEX('Settings'!$B$2:$B$100,MATCH("score_response_target",'Settings'!$A$2:$A$100,0)))*15)+IF(COUNTIFS('Interactions'!$B$2:$B$500,$A143,'Interactions'!$E$2:$E$500,"complaint")=0,10,0),0))</x:f>
      </x:c>
      <x:c r="R143" s="108" t="str">
        <x:f>IF($A143="","",IF($J143="inactive","inactive",IF($J143="at_risk","at_risk",IF($Q143&gt;=85,"vip",IF($Q143&gt;=70,"loyal",IF($Q143&gt;=50,"active",IF($N143=0,"new","needs_attention")))))))</x:f>
      </x:c>
      <x:c r="S143" s="19"/>
      <x:c r="T143" s="18"/>
      <x:c r="U143" s="19"/>
      <x:c r="V143" s="20"/>
      <x:c r="W143" s="26"/>
      <x:c r="X143" s="19"/>
      <x:c r="Y143" s="26"/>
      <x:c r="Z143" s="19"/>
      <x:c r="AA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20"/>
      <x:c r="J144" s="19"/>
      <x:c r="K144" s="19"/>
      <x:c r="L144" s="92" t="str">
        <x:f>IF($A144="","",IF(COUNTIFS('Orders'!$C$2:$C$500,$A144,'Orders'!$M$2:$M$500,"&lt;&gt;cancelled")=0,"",MAXIFS('Orders'!$G$2:$G$500,'Orders'!$C$2:$C$500,$A144,'Orders'!$M$2:$M$500,"&lt;&gt;cancelled")))</x:f>
      </x:c>
      <x:c r="M144" s="96" t="str">
        <x:f>IF($A144="","",SUMIFS('Orders'!$K$2:$K$500,'Orders'!$C$2:$C$500,$A144,'Orders'!$M$2:$M$500,"&lt;&gt;cancelled"))</x:f>
      </x:c>
      <x:c r="N144" s="96" t="str">
        <x:f>IF($A144="","",COUNTIFS('Orders'!$C$2:$C$500,$A144,'Orders'!$M$2:$M$500,"&lt;&gt;cancelled"))</x:f>
      </x:c>
      <x:c r="O144" s="100" t="str">
        <x:f>IF($A144="","",IF(COUNTIF('Interactions'!$B$2:$B$500,$A144)=0,"",MAXIFS('Interactions'!$G$2:$G$500,'Interactions'!$B$2:$B$500,$A144)))</x:f>
      </x:c>
      <x:c r="P144" s="100" t="str">
        <x:f>IF($A144="","",IF(COUNTIFS('FollowUps'!$B$2:$B$500,$A144,'FollowUps'!$H$2:$H$500,"open")=0,"",MINIFS('FollowUps'!$E$2:$E$500,'FollowUps'!$B$2:$B$500,$A144,'FollowUps'!$H$2:$H$500,"open")))</x:f>
      </x:c>
      <x:c r="Q144" s="104" t="str">
        <x:f>IF($A144="","",ROUND(MIN(25,$N144/VALUE(INDEX('Settings'!$B$2:$B$100,MATCH("score_purchase_target",'Settings'!$A$2:$A$100,0)))*25)+MIN(25,$M144/VALUE(INDEX('Settings'!$B$2:$B$100,MATCH("score_value_target",'Settings'!$A$2:$A$100,0)))*25)+IF($L144="",0,MAX(0,25-(TODAY()-$L144)/VALUE(INDEX('Settings'!$B$2:$B$100,MATCH("score_recency_days",'Settings'!$A$2:$A$100,0)))*25))+MIN(15,COUNTIFS('FollowUps'!$B$2:$B$500,$A144,'FollowUps'!$H$2:$H$500,"done")/VALUE(INDEX('Settings'!$B$2:$B$100,MATCH("score_response_target",'Settings'!$A$2:$A$100,0)))*15)+IF(COUNTIFS('Interactions'!$B$2:$B$500,$A144,'Interactions'!$E$2:$E$500,"complaint")=0,10,0),0))</x:f>
      </x:c>
      <x:c r="R144" s="108" t="str">
        <x:f>IF($A144="","",IF($J144="inactive","inactive",IF($J144="at_risk","at_risk",IF($Q144&gt;=85,"vip",IF($Q144&gt;=70,"loyal",IF($Q144&gt;=50,"active",IF($N144=0,"new","needs_attention")))))))</x:f>
      </x:c>
      <x:c r="S144" s="19"/>
      <x:c r="T144" s="18"/>
      <x:c r="U144" s="19"/>
      <x:c r="V144" s="20"/>
      <x:c r="W144" s="26"/>
      <x:c r="X144" s="19"/>
      <x:c r="Y144" s="26"/>
      <x:c r="Z144" s="19"/>
      <x:c r="AA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20"/>
      <x:c r="J145" s="19"/>
      <x:c r="K145" s="19"/>
      <x:c r="L145" s="92" t="str">
        <x:f>IF($A145="","",IF(COUNTIFS('Orders'!$C$2:$C$500,$A145,'Orders'!$M$2:$M$500,"&lt;&gt;cancelled")=0,"",MAXIFS('Orders'!$G$2:$G$500,'Orders'!$C$2:$C$500,$A145,'Orders'!$M$2:$M$500,"&lt;&gt;cancelled")))</x:f>
      </x:c>
      <x:c r="M145" s="96" t="str">
        <x:f>IF($A145="","",SUMIFS('Orders'!$K$2:$K$500,'Orders'!$C$2:$C$500,$A145,'Orders'!$M$2:$M$500,"&lt;&gt;cancelled"))</x:f>
      </x:c>
      <x:c r="N145" s="96" t="str">
        <x:f>IF($A145="","",COUNTIFS('Orders'!$C$2:$C$500,$A145,'Orders'!$M$2:$M$500,"&lt;&gt;cancelled"))</x:f>
      </x:c>
      <x:c r="O145" s="100" t="str">
        <x:f>IF($A145="","",IF(COUNTIF('Interactions'!$B$2:$B$500,$A145)=0,"",MAXIFS('Interactions'!$G$2:$G$500,'Interactions'!$B$2:$B$500,$A145)))</x:f>
      </x:c>
      <x:c r="P145" s="100" t="str">
        <x:f>IF($A145="","",IF(COUNTIFS('FollowUps'!$B$2:$B$500,$A145,'FollowUps'!$H$2:$H$500,"open")=0,"",MINIFS('FollowUps'!$E$2:$E$500,'FollowUps'!$B$2:$B$500,$A145,'FollowUps'!$H$2:$H$500,"open")))</x:f>
      </x:c>
      <x:c r="Q145" s="104" t="str">
        <x:f>IF($A145="","",ROUND(MIN(25,$N145/VALUE(INDEX('Settings'!$B$2:$B$100,MATCH("score_purchase_target",'Settings'!$A$2:$A$100,0)))*25)+MIN(25,$M145/VALUE(INDEX('Settings'!$B$2:$B$100,MATCH("score_value_target",'Settings'!$A$2:$A$100,0)))*25)+IF($L145="",0,MAX(0,25-(TODAY()-$L145)/VALUE(INDEX('Settings'!$B$2:$B$100,MATCH("score_recency_days",'Settings'!$A$2:$A$100,0)))*25))+MIN(15,COUNTIFS('FollowUps'!$B$2:$B$500,$A145,'FollowUps'!$H$2:$H$500,"done")/VALUE(INDEX('Settings'!$B$2:$B$100,MATCH("score_response_target",'Settings'!$A$2:$A$100,0)))*15)+IF(COUNTIFS('Interactions'!$B$2:$B$500,$A145,'Interactions'!$E$2:$E$500,"complaint")=0,10,0),0))</x:f>
      </x:c>
      <x:c r="R145" s="108" t="str">
        <x:f>IF($A145="","",IF($J145="inactive","inactive",IF($J145="at_risk","at_risk",IF($Q145&gt;=85,"vip",IF($Q145&gt;=70,"loyal",IF($Q145&gt;=50,"active",IF($N145=0,"new","needs_attention")))))))</x:f>
      </x:c>
      <x:c r="S145" s="19"/>
      <x:c r="T145" s="18"/>
      <x:c r="U145" s="19"/>
      <x:c r="V145" s="20"/>
      <x:c r="W145" s="26"/>
      <x:c r="X145" s="19"/>
      <x:c r="Y145" s="26"/>
      <x:c r="Z145" s="19"/>
      <x:c r="AA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20"/>
      <x:c r="J146" s="19"/>
      <x:c r="K146" s="19"/>
      <x:c r="L146" s="92" t="str">
        <x:f>IF($A146="","",IF(COUNTIFS('Orders'!$C$2:$C$500,$A146,'Orders'!$M$2:$M$500,"&lt;&gt;cancelled")=0,"",MAXIFS('Orders'!$G$2:$G$500,'Orders'!$C$2:$C$500,$A146,'Orders'!$M$2:$M$500,"&lt;&gt;cancelled")))</x:f>
      </x:c>
      <x:c r="M146" s="96" t="str">
        <x:f>IF($A146="","",SUMIFS('Orders'!$K$2:$K$500,'Orders'!$C$2:$C$500,$A146,'Orders'!$M$2:$M$500,"&lt;&gt;cancelled"))</x:f>
      </x:c>
      <x:c r="N146" s="96" t="str">
        <x:f>IF($A146="","",COUNTIFS('Orders'!$C$2:$C$500,$A146,'Orders'!$M$2:$M$500,"&lt;&gt;cancelled"))</x:f>
      </x:c>
      <x:c r="O146" s="100" t="str">
        <x:f>IF($A146="","",IF(COUNTIF('Interactions'!$B$2:$B$500,$A146)=0,"",MAXIFS('Interactions'!$G$2:$G$500,'Interactions'!$B$2:$B$500,$A146)))</x:f>
      </x:c>
      <x:c r="P146" s="100" t="str">
        <x:f>IF($A146="","",IF(COUNTIFS('FollowUps'!$B$2:$B$500,$A146,'FollowUps'!$H$2:$H$500,"open")=0,"",MINIFS('FollowUps'!$E$2:$E$500,'FollowUps'!$B$2:$B$500,$A146,'FollowUps'!$H$2:$H$500,"open")))</x:f>
      </x:c>
      <x:c r="Q146" s="104" t="str">
        <x:f>IF($A146="","",ROUND(MIN(25,$N146/VALUE(INDEX('Settings'!$B$2:$B$100,MATCH("score_purchase_target",'Settings'!$A$2:$A$100,0)))*25)+MIN(25,$M146/VALUE(INDEX('Settings'!$B$2:$B$100,MATCH("score_value_target",'Settings'!$A$2:$A$100,0)))*25)+IF($L146="",0,MAX(0,25-(TODAY()-$L146)/VALUE(INDEX('Settings'!$B$2:$B$100,MATCH("score_recency_days",'Settings'!$A$2:$A$100,0)))*25))+MIN(15,COUNTIFS('FollowUps'!$B$2:$B$500,$A146,'FollowUps'!$H$2:$H$500,"done")/VALUE(INDEX('Settings'!$B$2:$B$100,MATCH("score_response_target",'Settings'!$A$2:$A$100,0)))*15)+IF(COUNTIFS('Interactions'!$B$2:$B$500,$A146,'Interactions'!$E$2:$E$500,"complaint")=0,10,0),0))</x:f>
      </x:c>
      <x:c r="R146" s="108" t="str">
        <x:f>IF($A146="","",IF($J146="inactive","inactive",IF($J146="at_risk","at_risk",IF($Q146&gt;=85,"vip",IF($Q146&gt;=70,"loyal",IF($Q146&gt;=50,"active",IF($N146=0,"new","needs_attention")))))))</x:f>
      </x:c>
      <x:c r="S146" s="19"/>
      <x:c r="T146" s="18"/>
      <x:c r="U146" s="19"/>
      <x:c r="V146" s="20"/>
      <x:c r="W146" s="26"/>
      <x:c r="X146" s="19"/>
      <x:c r="Y146" s="26"/>
      <x:c r="Z146" s="19"/>
      <x:c r="AA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20"/>
      <x:c r="J147" s="19"/>
      <x:c r="K147" s="19"/>
      <x:c r="L147" s="92" t="str">
        <x:f>IF($A147="","",IF(COUNTIFS('Orders'!$C$2:$C$500,$A147,'Orders'!$M$2:$M$500,"&lt;&gt;cancelled")=0,"",MAXIFS('Orders'!$G$2:$G$500,'Orders'!$C$2:$C$500,$A147,'Orders'!$M$2:$M$500,"&lt;&gt;cancelled")))</x:f>
      </x:c>
      <x:c r="M147" s="96" t="str">
        <x:f>IF($A147="","",SUMIFS('Orders'!$K$2:$K$500,'Orders'!$C$2:$C$500,$A147,'Orders'!$M$2:$M$500,"&lt;&gt;cancelled"))</x:f>
      </x:c>
      <x:c r="N147" s="96" t="str">
        <x:f>IF($A147="","",COUNTIFS('Orders'!$C$2:$C$500,$A147,'Orders'!$M$2:$M$500,"&lt;&gt;cancelled"))</x:f>
      </x:c>
      <x:c r="O147" s="100" t="str">
        <x:f>IF($A147="","",IF(COUNTIF('Interactions'!$B$2:$B$500,$A147)=0,"",MAXIFS('Interactions'!$G$2:$G$500,'Interactions'!$B$2:$B$500,$A147)))</x:f>
      </x:c>
      <x:c r="P147" s="100" t="str">
        <x:f>IF($A147="","",IF(COUNTIFS('FollowUps'!$B$2:$B$500,$A147,'FollowUps'!$H$2:$H$500,"open")=0,"",MINIFS('FollowUps'!$E$2:$E$500,'FollowUps'!$B$2:$B$500,$A147,'FollowUps'!$H$2:$H$500,"open")))</x:f>
      </x:c>
      <x:c r="Q147" s="104" t="str">
        <x:f>IF($A147="","",ROUND(MIN(25,$N147/VALUE(INDEX('Settings'!$B$2:$B$100,MATCH("score_purchase_target",'Settings'!$A$2:$A$100,0)))*25)+MIN(25,$M147/VALUE(INDEX('Settings'!$B$2:$B$100,MATCH("score_value_target",'Settings'!$A$2:$A$100,0)))*25)+IF($L147="",0,MAX(0,25-(TODAY()-$L147)/VALUE(INDEX('Settings'!$B$2:$B$100,MATCH("score_recency_days",'Settings'!$A$2:$A$100,0)))*25))+MIN(15,COUNTIFS('FollowUps'!$B$2:$B$500,$A147,'FollowUps'!$H$2:$H$500,"done")/VALUE(INDEX('Settings'!$B$2:$B$100,MATCH("score_response_target",'Settings'!$A$2:$A$100,0)))*15)+IF(COUNTIFS('Interactions'!$B$2:$B$500,$A147,'Interactions'!$E$2:$E$500,"complaint")=0,10,0),0))</x:f>
      </x:c>
      <x:c r="R147" s="108" t="str">
        <x:f>IF($A147="","",IF($J147="inactive","inactive",IF($J147="at_risk","at_risk",IF($Q147&gt;=85,"vip",IF($Q147&gt;=70,"loyal",IF($Q147&gt;=50,"active",IF($N147=0,"new","needs_attention")))))))</x:f>
      </x:c>
      <x:c r="S147" s="19"/>
      <x:c r="T147" s="18"/>
      <x:c r="U147" s="19"/>
      <x:c r="V147" s="20"/>
      <x:c r="W147" s="26"/>
      <x:c r="X147" s="19"/>
      <x:c r="Y147" s="26"/>
      <x:c r="Z147" s="19"/>
      <x:c r="AA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20"/>
      <x:c r="J148" s="19"/>
      <x:c r="K148" s="19"/>
      <x:c r="L148" s="92" t="str">
        <x:f>IF($A148="","",IF(COUNTIFS('Orders'!$C$2:$C$500,$A148,'Orders'!$M$2:$M$500,"&lt;&gt;cancelled")=0,"",MAXIFS('Orders'!$G$2:$G$500,'Orders'!$C$2:$C$500,$A148,'Orders'!$M$2:$M$500,"&lt;&gt;cancelled")))</x:f>
      </x:c>
      <x:c r="M148" s="96" t="str">
        <x:f>IF($A148="","",SUMIFS('Orders'!$K$2:$K$500,'Orders'!$C$2:$C$500,$A148,'Orders'!$M$2:$M$500,"&lt;&gt;cancelled"))</x:f>
      </x:c>
      <x:c r="N148" s="96" t="str">
        <x:f>IF($A148="","",COUNTIFS('Orders'!$C$2:$C$500,$A148,'Orders'!$M$2:$M$500,"&lt;&gt;cancelled"))</x:f>
      </x:c>
      <x:c r="O148" s="100" t="str">
        <x:f>IF($A148="","",IF(COUNTIF('Interactions'!$B$2:$B$500,$A148)=0,"",MAXIFS('Interactions'!$G$2:$G$500,'Interactions'!$B$2:$B$500,$A148)))</x:f>
      </x:c>
      <x:c r="P148" s="100" t="str">
        <x:f>IF($A148="","",IF(COUNTIFS('FollowUps'!$B$2:$B$500,$A148,'FollowUps'!$H$2:$H$500,"open")=0,"",MINIFS('FollowUps'!$E$2:$E$500,'FollowUps'!$B$2:$B$500,$A148,'FollowUps'!$H$2:$H$500,"open")))</x:f>
      </x:c>
      <x:c r="Q148" s="104" t="str">
        <x:f>IF($A148="","",ROUND(MIN(25,$N148/VALUE(INDEX('Settings'!$B$2:$B$100,MATCH("score_purchase_target",'Settings'!$A$2:$A$100,0)))*25)+MIN(25,$M148/VALUE(INDEX('Settings'!$B$2:$B$100,MATCH("score_value_target",'Settings'!$A$2:$A$100,0)))*25)+IF($L148="",0,MAX(0,25-(TODAY()-$L148)/VALUE(INDEX('Settings'!$B$2:$B$100,MATCH("score_recency_days",'Settings'!$A$2:$A$100,0)))*25))+MIN(15,COUNTIFS('FollowUps'!$B$2:$B$500,$A148,'FollowUps'!$H$2:$H$500,"done")/VALUE(INDEX('Settings'!$B$2:$B$100,MATCH("score_response_target",'Settings'!$A$2:$A$100,0)))*15)+IF(COUNTIFS('Interactions'!$B$2:$B$500,$A148,'Interactions'!$E$2:$E$500,"complaint")=0,10,0),0))</x:f>
      </x:c>
      <x:c r="R148" s="108" t="str">
        <x:f>IF($A148="","",IF($J148="inactive","inactive",IF($J148="at_risk","at_risk",IF($Q148&gt;=85,"vip",IF($Q148&gt;=70,"loyal",IF($Q148&gt;=50,"active",IF($N148=0,"new","needs_attention")))))))</x:f>
      </x:c>
      <x:c r="S148" s="19"/>
      <x:c r="T148" s="18"/>
      <x:c r="U148" s="19"/>
      <x:c r="V148" s="20"/>
      <x:c r="W148" s="26"/>
      <x:c r="X148" s="19"/>
      <x:c r="Y148" s="26"/>
      <x:c r="Z148" s="19"/>
      <x:c r="AA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20"/>
      <x:c r="J149" s="19"/>
      <x:c r="K149" s="19"/>
      <x:c r="L149" s="92" t="str">
        <x:f>IF($A149="","",IF(COUNTIFS('Orders'!$C$2:$C$500,$A149,'Orders'!$M$2:$M$500,"&lt;&gt;cancelled")=0,"",MAXIFS('Orders'!$G$2:$G$500,'Orders'!$C$2:$C$500,$A149,'Orders'!$M$2:$M$500,"&lt;&gt;cancelled")))</x:f>
      </x:c>
      <x:c r="M149" s="96" t="str">
        <x:f>IF($A149="","",SUMIFS('Orders'!$K$2:$K$500,'Orders'!$C$2:$C$500,$A149,'Orders'!$M$2:$M$500,"&lt;&gt;cancelled"))</x:f>
      </x:c>
      <x:c r="N149" s="96" t="str">
        <x:f>IF($A149="","",COUNTIFS('Orders'!$C$2:$C$500,$A149,'Orders'!$M$2:$M$500,"&lt;&gt;cancelled"))</x:f>
      </x:c>
      <x:c r="O149" s="100" t="str">
        <x:f>IF($A149="","",IF(COUNTIF('Interactions'!$B$2:$B$500,$A149)=0,"",MAXIFS('Interactions'!$G$2:$G$500,'Interactions'!$B$2:$B$500,$A149)))</x:f>
      </x:c>
      <x:c r="P149" s="100" t="str">
        <x:f>IF($A149="","",IF(COUNTIFS('FollowUps'!$B$2:$B$500,$A149,'FollowUps'!$H$2:$H$500,"open")=0,"",MINIFS('FollowUps'!$E$2:$E$500,'FollowUps'!$B$2:$B$500,$A149,'FollowUps'!$H$2:$H$500,"open")))</x:f>
      </x:c>
      <x:c r="Q149" s="104" t="str">
        <x:f>IF($A149="","",ROUND(MIN(25,$N149/VALUE(INDEX('Settings'!$B$2:$B$100,MATCH("score_purchase_target",'Settings'!$A$2:$A$100,0)))*25)+MIN(25,$M149/VALUE(INDEX('Settings'!$B$2:$B$100,MATCH("score_value_target",'Settings'!$A$2:$A$100,0)))*25)+IF($L149="",0,MAX(0,25-(TODAY()-$L149)/VALUE(INDEX('Settings'!$B$2:$B$100,MATCH("score_recency_days",'Settings'!$A$2:$A$100,0)))*25))+MIN(15,COUNTIFS('FollowUps'!$B$2:$B$500,$A149,'FollowUps'!$H$2:$H$500,"done")/VALUE(INDEX('Settings'!$B$2:$B$100,MATCH("score_response_target",'Settings'!$A$2:$A$100,0)))*15)+IF(COUNTIFS('Interactions'!$B$2:$B$500,$A149,'Interactions'!$E$2:$E$500,"complaint")=0,10,0),0))</x:f>
      </x:c>
      <x:c r="R149" s="108" t="str">
        <x:f>IF($A149="","",IF($J149="inactive","inactive",IF($J149="at_risk","at_risk",IF($Q149&gt;=85,"vip",IF($Q149&gt;=70,"loyal",IF($Q149&gt;=50,"active",IF($N149=0,"new","needs_attention")))))))</x:f>
      </x:c>
      <x:c r="S149" s="19"/>
      <x:c r="T149" s="18"/>
      <x:c r="U149" s="19"/>
      <x:c r="V149" s="20"/>
      <x:c r="W149" s="26"/>
      <x:c r="X149" s="19"/>
      <x:c r="Y149" s="26"/>
      <x:c r="Z149" s="19"/>
      <x:c r="AA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20"/>
      <x:c r="J150" s="19"/>
      <x:c r="K150" s="19"/>
      <x:c r="L150" s="92" t="str">
        <x:f>IF($A150="","",IF(COUNTIFS('Orders'!$C$2:$C$500,$A150,'Orders'!$M$2:$M$500,"&lt;&gt;cancelled")=0,"",MAXIFS('Orders'!$G$2:$G$500,'Orders'!$C$2:$C$500,$A150,'Orders'!$M$2:$M$500,"&lt;&gt;cancelled")))</x:f>
      </x:c>
      <x:c r="M150" s="96" t="str">
        <x:f>IF($A150="","",SUMIFS('Orders'!$K$2:$K$500,'Orders'!$C$2:$C$500,$A150,'Orders'!$M$2:$M$500,"&lt;&gt;cancelled"))</x:f>
      </x:c>
      <x:c r="N150" s="96" t="str">
        <x:f>IF($A150="","",COUNTIFS('Orders'!$C$2:$C$500,$A150,'Orders'!$M$2:$M$500,"&lt;&gt;cancelled"))</x:f>
      </x:c>
      <x:c r="O150" s="100" t="str">
        <x:f>IF($A150="","",IF(COUNTIF('Interactions'!$B$2:$B$500,$A150)=0,"",MAXIFS('Interactions'!$G$2:$G$500,'Interactions'!$B$2:$B$500,$A150)))</x:f>
      </x:c>
      <x:c r="P150" s="100" t="str">
        <x:f>IF($A150="","",IF(COUNTIFS('FollowUps'!$B$2:$B$500,$A150,'FollowUps'!$H$2:$H$500,"open")=0,"",MINIFS('FollowUps'!$E$2:$E$500,'FollowUps'!$B$2:$B$500,$A150,'FollowUps'!$H$2:$H$500,"open")))</x:f>
      </x:c>
      <x:c r="Q150" s="104" t="str">
        <x:f>IF($A150="","",ROUND(MIN(25,$N150/VALUE(INDEX('Settings'!$B$2:$B$100,MATCH("score_purchase_target",'Settings'!$A$2:$A$100,0)))*25)+MIN(25,$M150/VALUE(INDEX('Settings'!$B$2:$B$100,MATCH("score_value_target",'Settings'!$A$2:$A$100,0)))*25)+IF($L150="",0,MAX(0,25-(TODAY()-$L150)/VALUE(INDEX('Settings'!$B$2:$B$100,MATCH("score_recency_days",'Settings'!$A$2:$A$100,0)))*25))+MIN(15,COUNTIFS('FollowUps'!$B$2:$B$500,$A150,'FollowUps'!$H$2:$H$500,"done")/VALUE(INDEX('Settings'!$B$2:$B$100,MATCH("score_response_target",'Settings'!$A$2:$A$100,0)))*15)+IF(COUNTIFS('Interactions'!$B$2:$B$500,$A150,'Interactions'!$E$2:$E$500,"complaint")=0,10,0),0))</x:f>
      </x:c>
      <x:c r="R150" s="108" t="str">
        <x:f>IF($A150="","",IF($J150="inactive","inactive",IF($J150="at_risk","at_risk",IF($Q150&gt;=85,"vip",IF($Q150&gt;=70,"loyal",IF($Q150&gt;=50,"active",IF($N150=0,"new","needs_attention")))))))</x:f>
      </x:c>
      <x:c r="S150" s="19"/>
      <x:c r="T150" s="18"/>
      <x:c r="U150" s="19"/>
      <x:c r="V150" s="20"/>
      <x:c r="W150" s="26"/>
      <x:c r="X150" s="19"/>
      <x:c r="Y150" s="26"/>
      <x:c r="Z150" s="19"/>
      <x:c r="AA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20"/>
      <x:c r="J151" s="19"/>
      <x:c r="K151" s="19"/>
      <x:c r="L151" s="92" t="str">
        <x:f>IF($A151="","",IF(COUNTIFS('Orders'!$C$2:$C$500,$A151,'Orders'!$M$2:$M$500,"&lt;&gt;cancelled")=0,"",MAXIFS('Orders'!$G$2:$G$500,'Orders'!$C$2:$C$500,$A151,'Orders'!$M$2:$M$500,"&lt;&gt;cancelled")))</x:f>
      </x:c>
      <x:c r="M151" s="96" t="str">
        <x:f>IF($A151="","",SUMIFS('Orders'!$K$2:$K$500,'Orders'!$C$2:$C$500,$A151,'Orders'!$M$2:$M$500,"&lt;&gt;cancelled"))</x:f>
      </x:c>
      <x:c r="N151" s="96" t="str">
        <x:f>IF($A151="","",COUNTIFS('Orders'!$C$2:$C$500,$A151,'Orders'!$M$2:$M$500,"&lt;&gt;cancelled"))</x:f>
      </x:c>
      <x:c r="O151" s="100" t="str">
        <x:f>IF($A151="","",IF(COUNTIF('Interactions'!$B$2:$B$500,$A151)=0,"",MAXIFS('Interactions'!$G$2:$G$500,'Interactions'!$B$2:$B$500,$A151)))</x:f>
      </x:c>
      <x:c r="P151" s="100" t="str">
        <x:f>IF($A151="","",IF(COUNTIFS('FollowUps'!$B$2:$B$500,$A151,'FollowUps'!$H$2:$H$500,"open")=0,"",MINIFS('FollowUps'!$E$2:$E$500,'FollowUps'!$B$2:$B$500,$A151,'FollowUps'!$H$2:$H$500,"open")))</x:f>
      </x:c>
      <x:c r="Q151" s="104" t="str">
        <x:f>IF($A151="","",ROUND(MIN(25,$N151/VALUE(INDEX('Settings'!$B$2:$B$100,MATCH("score_purchase_target",'Settings'!$A$2:$A$100,0)))*25)+MIN(25,$M151/VALUE(INDEX('Settings'!$B$2:$B$100,MATCH("score_value_target",'Settings'!$A$2:$A$100,0)))*25)+IF($L151="",0,MAX(0,25-(TODAY()-$L151)/VALUE(INDEX('Settings'!$B$2:$B$100,MATCH("score_recency_days",'Settings'!$A$2:$A$100,0)))*25))+MIN(15,COUNTIFS('FollowUps'!$B$2:$B$500,$A151,'FollowUps'!$H$2:$H$500,"done")/VALUE(INDEX('Settings'!$B$2:$B$100,MATCH("score_response_target",'Settings'!$A$2:$A$100,0)))*15)+IF(COUNTIFS('Interactions'!$B$2:$B$500,$A151,'Interactions'!$E$2:$E$500,"complaint")=0,10,0),0))</x:f>
      </x:c>
      <x:c r="R151" s="108" t="str">
        <x:f>IF($A151="","",IF($J151="inactive","inactive",IF($J151="at_risk","at_risk",IF($Q151&gt;=85,"vip",IF($Q151&gt;=70,"loyal",IF($Q151&gt;=50,"active",IF($N151=0,"new","needs_attention")))))))</x:f>
      </x:c>
      <x:c r="S151" s="19"/>
      <x:c r="T151" s="18"/>
      <x:c r="U151" s="19"/>
      <x:c r="V151" s="20"/>
      <x:c r="W151" s="26"/>
      <x:c r="X151" s="19"/>
      <x:c r="Y151" s="26"/>
      <x:c r="Z151" s="19"/>
      <x:c r="AA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20"/>
      <x:c r="J152" s="19"/>
      <x:c r="K152" s="19"/>
      <x:c r="L152" s="92" t="str">
        <x:f>IF($A152="","",IF(COUNTIFS('Orders'!$C$2:$C$500,$A152,'Orders'!$M$2:$M$500,"&lt;&gt;cancelled")=0,"",MAXIFS('Orders'!$G$2:$G$500,'Orders'!$C$2:$C$500,$A152,'Orders'!$M$2:$M$500,"&lt;&gt;cancelled")))</x:f>
      </x:c>
      <x:c r="M152" s="96" t="str">
        <x:f>IF($A152="","",SUMIFS('Orders'!$K$2:$K$500,'Orders'!$C$2:$C$500,$A152,'Orders'!$M$2:$M$500,"&lt;&gt;cancelled"))</x:f>
      </x:c>
      <x:c r="N152" s="96" t="str">
        <x:f>IF($A152="","",COUNTIFS('Orders'!$C$2:$C$500,$A152,'Orders'!$M$2:$M$500,"&lt;&gt;cancelled"))</x:f>
      </x:c>
      <x:c r="O152" s="100" t="str">
        <x:f>IF($A152="","",IF(COUNTIF('Interactions'!$B$2:$B$500,$A152)=0,"",MAXIFS('Interactions'!$G$2:$G$500,'Interactions'!$B$2:$B$500,$A152)))</x:f>
      </x:c>
      <x:c r="P152" s="100" t="str">
        <x:f>IF($A152="","",IF(COUNTIFS('FollowUps'!$B$2:$B$500,$A152,'FollowUps'!$H$2:$H$500,"open")=0,"",MINIFS('FollowUps'!$E$2:$E$500,'FollowUps'!$B$2:$B$500,$A152,'FollowUps'!$H$2:$H$500,"open")))</x:f>
      </x:c>
      <x:c r="Q152" s="104" t="str">
        <x:f>IF($A152="","",ROUND(MIN(25,$N152/VALUE(INDEX('Settings'!$B$2:$B$100,MATCH("score_purchase_target",'Settings'!$A$2:$A$100,0)))*25)+MIN(25,$M152/VALUE(INDEX('Settings'!$B$2:$B$100,MATCH("score_value_target",'Settings'!$A$2:$A$100,0)))*25)+IF($L152="",0,MAX(0,25-(TODAY()-$L152)/VALUE(INDEX('Settings'!$B$2:$B$100,MATCH("score_recency_days",'Settings'!$A$2:$A$100,0)))*25))+MIN(15,COUNTIFS('FollowUps'!$B$2:$B$500,$A152,'FollowUps'!$H$2:$H$500,"done")/VALUE(INDEX('Settings'!$B$2:$B$100,MATCH("score_response_target",'Settings'!$A$2:$A$100,0)))*15)+IF(COUNTIFS('Interactions'!$B$2:$B$500,$A152,'Interactions'!$E$2:$E$500,"complaint")=0,10,0),0))</x:f>
      </x:c>
      <x:c r="R152" s="108" t="str">
        <x:f>IF($A152="","",IF($J152="inactive","inactive",IF($J152="at_risk","at_risk",IF($Q152&gt;=85,"vip",IF($Q152&gt;=70,"loyal",IF($Q152&gt;=50,"active",IF($N152=0,"new","needs_attention")))))))</x:f>
      </x:c>
      <x:c r="S152" s="19"/>
      <x:c r="T152" s="18"/>
      <x:c r="U152" s="19"/>
      <x:c r="V152" s="20"/>
      <x:c r="W152" s="26"/>
      <x:c r="X152" s="19"/>
      <x:c r="Y152" s="26"/>
      <x:c r="Z152" s="19"/>
      <x:c r="AA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20"/>
      <x:c r="J153" s="19"/>
      <x:c r="K153" s="19"/>
      <x:c r="L153" s="92" t="str">
        <x:f>IF($A153="","",IF(COUNTIFS('Orders'!$C$2:$C$500,$A153,'Orders'!$M$2:$M$500,"&lt;&gt;cancelled")=0,"",MAXIFS('Orders'!$G$2:$G$500,'Orders'!$C$2:$C$500,$A153,'Orders'!$M$2:$M$500,"&lt;&gt;cancelled")))</x:f>
      </x:c>
      <x:c r="M153" s="96" t="str">
        <x:f>IF($A153="","",SUMIFS('Orders'!$K$2:$K$500,'Orders'!$C$2:$C$500,$A153,'Orders'!$M$2:$M$500,"&lt;&gt;cancelled"))</x:f>
      </x:c>
      <x:c r="N153" s="96" t="str">
        <x:f>IF($A153="","",COUNTIFS('Orders'!$C$2:$C$500,$A153,'Orders'!$M$2:$M$500,"&lt;&gt;cancelled"))</x:f>
      </x:c>
      <x:c r="O153" s="100" t="str">
        <x:f>IF($A153="","",IF(COUNTIF('Interactions'!$B$2:$B$500,$A153)=0,"",MAXIFS('Interactions'!$G$2:$G$500,'Interactions'!$B$2:$B$500,$A153)))</x:f>
      </x:c>
      <x:c r="P153" s="100" t="str">
        <x:f>IF($A153="","",IF(COUNTIFS('FollowUps'!$B$2:$B$500,$A153,'FollowUps'!$H$2:$H$500,"open")=0,"",MINIFS('FollowUps'!$E$2:$E$500,'FollowUps'!$B$2:$B$500,$A153,'FollowUps'!$H$2:$H$500,"open")))</x:f>
      </x:c>
      <x:c r="Q153" s="104" t="str">
        <x:f>IF($A153="","",ROUND(MIN(25,$N153/VALUE(INDEX('Settings'!$B$2:$B$100,MATCH("score_purchase_target",'Settings'!$A$2:$A$100,0)))*25)+MIN(25,$M153/VALUE(INDEX('Settings'!$B$2:$B$100,MATCH("score_value_target",'Settings'!$A$2:$A$100,0)))*25)+IF($L153="",0,MAX(0,25-(TODAY()-$L153)/VALUE(INDEX('Settings'!$B$2:$B$100,MATCH("score_recency_days",'Settings'!$A$2:$A$100,0)))*25))+MIN(15,COUNTIFS('FollowUps'!$B$2:$B$500,$A153,'FollowUps'!$H$2:$H$500,"done")/VALUE(INDEX('Settings'!$B$2:$B$100,MATCH("score_response_target",'Settings'!$A$2:$A$100,0)))*15)+IF(COUNTIFS('Interactions'!$B$2:$B$500,$A153,'Interactions'!$E$2:$E$500,"complaint")=0,10,0),0))</x:f>
      </x:c>
      <x:c r="R153" s="108" t="str">
        <x:f>IF($A153="","",IF($J153="inactive","inactive",IF($J153="at_risk","at_risk",IF($Q153&gt;=85,"vip",IF($Q153&gt;=70,"loyal",IF($Q153&gt;=50,"active",IF($N153=0,"new","needs_attention")))))))</x:f>
      </x:c>
      <x:c r="S153" s="19"/>
      <x:c r="T153" s="18"/>
      <x:c r="U153" s="19"/>
      <x:c r="V153" s="20"/>
      <x:c r="W153" s="26"/>
      <x:c r="X153" s="19"/>
      <x:c r="Y153" s="26"/>
      <x:c r="Z153" s="19"/>
      <x:c r="AA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20"/>
      <x:c r="J154" s="19"/>
      <x:c r="K154" s="19"/>
      <x:c r="L154" s="92" t="str">
        <x:f>IF($A154="","",IF(COUNTIFS('Orders'!$C$2:$C$500,$A154,'Orders'!$M$2:$M$500,"&lt;&gt;cancelled")=0,"",MAXIFS('Orders'!$G$2:$G$500,'Orders'!$C$2:$C$500,$A154,'Orders'!$M$2:$M$500,"&lt;&gt;cancelled")))</x:f>
      </x:c>
      <x:c r="M154" s="96" t="str">
        <x:f>IF($A154="","",SUMIFS('Orders'!$K$2:$K$500,'Orders'!$C$2:$C$500,$A154,'Orders'!$M$2:$M$500,"&lt;&gt;cancelled"))</x:f>
      </x:c>
      <x:c r="N154" s="96" t="str">
        <x:f>IF($A154="","",COUNTIFS('Orders'!$C$2:$C$500,$A154,'Orders'!$M$2:$M$500,"&lt;&gt;cancelled"))</x:f>
      </x:c>
      <x:c r="O154" s="100" t="str">
        <x:f>IF($A154="","",IF(COUNTIF('Interactions'!$B$2:$B$500,$A154)=0,"",MAXIFS('Interactions'!$G$2:$G$500,'Interactions'!$B$2:$B$500,$A154)))</x:f>
      </x:c>
      <x:c r="P154" s="100" t="str">
        <x:f>IF($A154="","",IF(COUNTIFS('FollowUps'!$B$2:$B$500,$A154,'FollowUps'!$H$2:$H$500,"open")=0,"",MINIFS('FollowUps'!$E$2:$E$500,'FollowUps'!$B$2:$B$500,$A154,'FollowUps'!$H$2:$H$500,"open")))</x:f>
      </x:c>
      <x:c r="Q154" s="104" t="str">
        <x:f>IF($A154="","",ROUND(MIN(25,$N154/VALUE(INDEX('Settings'!$B$2:$B$100,MATCH("score_purchase_target",'Settings'!$A$2:$A$100,0)))*25)+MIN(25,$M154/VALUE(INDEX('Settings'!$B$2:$B$100,MATCH("score_value_target",'Settings'!$A$2:$A$100,0)))*25)+IF($L154="",0,MAX(0,25-(TODAY()-$L154)/VALUE(INDEX('Settings'!$B$2:$B$100,MATCH("score_recency_days",'Settings'!$A$2:$A$100,0)))*25))+MIN(15,COUNTIFS('FollowUps'!$B$2:$B$500,$A154,'FollowUps'!$H$2:$H$500,"done")/VALUE(INDEX('Settings'!$B$2:$B$100,MATCH("score_response_target",'Settings'!$A$2:$A$100,0)))*15)+IF(COUNTIFS('Interactions'!$B$2:$B$500,$A154,'Interactions'!$E$2:$E$500,"complaint")=0,10,0),0))</x:f>
      </x:c>
      <x:c r="R154" s="108" t="str">
        <x:f>IF($A154="","",IF($J154="inactive","inactive",IF($J154="at_risk","at_risk",IF($Q154&gt;=85,"vip",IF($Q154&gt;=70,"loyal",IF($Q154&gt;=50,"active",IF($N154=0,"new","needs_attention")))))))</x:f>
      </x:c>
      <x:c r="S154" s="19"/>
      <x:c r="T154" s="18"/>
      <x:c r="U154" s="19"/>
      <x:c r="V154" s="20"/>
      <x:c r="W154" s="26"/>
      <x:c r="X154" s="19"/>
      <x:c r="Y154" s="26"/>
      <x:c r="Z154" s="19"/>
      <x:c r="AA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20"/>
      <x:c r="J155" s="19"/>
      <x:c r="K155" s="19"/>
      <x:c r="L155" s="92" t="str">
        <x:f>IF($A155="","",IF(COUNTIFS('Orders'!$C$2:$C$500,$A155,'Orders'!$M$2:$M$500,"&lt;&gt;cancelled")=0,"",MAXIFS('Orders'!$G$2:$G$500,'Orders'!$C$2:$C$500,$A155,'Orders'!$M$2:$M$500,"&lt;&gt;cancelled")))</x:f>
      </x:c>
      <x:c r="M155" s="96" t="str">
        <x:f>IF($A155="","",SUMIFS('Orders'!$K$2:$K$500,'Orders'!$C$2:$C$500,$A155,'Orders'!$M$2:$M$500,"&lt;&gt;cancelled"))</x:f>
      </x:c>
      <x:c r="N155" s="96" t="str">
        <x:f>IF($A155="","",COUNTIFS('Orders'!$C$2:$C$500,$A155,'Orders'!$M$2:$M$500,"&lt;&gt;cancelled"))</x:f>
      </x:c>
      <x:c r="O155" s="100" t="str">
        <x:f>IF($A155="","",IF(COUNTIF('Interactions'!$B$2:$B$500,$A155)=0,"",MAXIFS('Interactions'!$G$2:$G$500,'Interactions'!$B$2:$B$500,$A155)))</x:f>
      </x:c>
      <x:c r="P155" s="100" t="str">
        <x:f>IF($A155="","",IF(COUNTIFS('FollowUps'!$B$2:$B$500,$A155,'FollowUps'!$H$2:$H$500,"open")=0,"",MINIFS('FollowUps'!$E$2:$E$500,'FollowUps'!$B$2:$B$500,$A155,'FollowUps'!$H$2:$H$500,"open")))</x:f>
      </x:c>
      <x:c r="Q155" s="104" t="str">
        <x:f>IF($A155="","",ROUND(MIN(25,$N155/VALUE(INDEX('Settings'!$B$2:$B$100,MATCH("score_purchase_target",'Settings'!$A$2:$A$100,0)))*25)+MIN(25,$M155/VALUE(INDEX('Settings'!$B$2:$B$100,MATCH("score_value_target",'Settings'!$A$2:$A$100,0)))*25)+IF($L155="",0,MAX(0,25-(TODAY()-$L155)/VALUE(INDEX('Settings'!$B$2:$B$100,MATCH("score_recency_days",'Settings'!$A$2:$A$100,0)))*25))+MIN(15,COUNTIFS('FollowUps'!$B$2:$B$500,$A155,'FollowUps'!$H$2:$H$500,"done")/VALUE(INDEX('Settings'!$B$2:$B$100,MATCH("score_response_target",'Settings'!$A$2:$A$100,0)))*15)+IF(COUNTIFS('Interactions'!$B$2:$B$500,$A155,'Interactions'!$E$2:$E$500,"complaint")=0,10,0),0))</x:f>
      </x:c>
      <x:c r="R155" s="108" t="str">
        <x:f>IF($A155="","",IF($J155="inactive","inactive",IF($J155="at_risk","at_risk",IF($Q155&gt;=85,"vip",IF($Q155&gt;=70,"loyal",IF($Q155&gt;=50,"active",IF($N155=0,"new","needs_attention")))))))</x:f>
      </x:c>
      <x:c r="S155" s="19"/>
      <x:c r="T155" s="18"/>
      <x:c r="U155" s="19"/>
      <x:c r="V155" s="20"/>
      <x:c r="W155" s="26"/>
      <x:c r="X155" s="19"/>
      <x:c r="Y155" s="26"/>
      <x:c r="Z155" s="19"/>
      <x:c r="AA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20"/>
      <x:c r="J156" s="19"/>
      <x:c r="K156" s="19"/>
      <x:c r="L156" s="92" t="str">
        <x:f>IF($A156="","",IF(COUNTIFS('Orders'!$C$2:$C$500,$A156,'Orders'!$M$2:$M$500,"&lt;&gt;cancelled")=0,"",MAXIFS('Orders'!$G$2:$G$500,'Orders'!$C$2:$C$500,$A156,'Orders'!$M$2:$M$500,"&lt;&gt;cancelled")))</x:f>
      </x:c>
      <x:c r="M156" s="96" t="str">
        <x:f>IF($A156="","",SUMIFS('Orders'!$K$2:$K$500,'Orders'!$C$2:$C$500,$A156,'Orders'!$M$2:$M$500,"&lt;&gt;cancelled"))</x:f>
      </x:c>
      <x:c r="N156" s="96" t="str">
        <x:f>IF($A156="","",COUNTIFS('Orders'!$C$2:$C$500,$A156,'Orders'!$M$2:$M$500,"&lt;&gt;cancelled"))</x:f>
      </x:c>
      <x:c r="O156" s="100" t="str">
        <x:f>IF($A156="","",IF(COUNTIF('Interactions'!$B$2:$B$500,$A156)=0,"",MAXIFS('Interactions'!$G$2:$G$500,'Interactions'!$B$2:$B$500,$A156)))</x:f>
      </x:c>
      <x:c r="P156" s="100" t="str">
        <x:f>IF($A156="","",IF(COUNTIFS('FollowUps'!$B$2:$B$500,$A156,'FollowUps'!$H$2:$H$500,"open")=0,"",MINIFS('FollowUps'!$E$2:$E$500,'FollowUps'!$B$2:$B$500,$A156,'FollowUps'!$H$2:$H$500,"open")))</x:f>
      </x:c>
      <x:c r="Q156" s="104" t="str">
        <x:f>IF($A156="","",ROUND(MIN(25,$N156/VALUE(INDEX('Settings'!$B$2:$B$100,MATCH("score_purchase_target",'Settings'!$A$2:$A$100,0)))*25)+MIN(25,$M156/VALUE(INDEX('Settings'!$B$2:$B$100,MATCH("score_value_target",'Settings'!$A$2:$A$100,0)))*25)+IF($L156="",0,MAX(0,25-(TODAY()-$L156)/VALUE(INDEX('Settings'!$B$2:$B$100,MATCH("score_recency_days",'Settings'!$A$2:$A$100,0)))*25))+MIN(15,COUNTIFS('FollowUps'!$B$2:$B$500,$A156,'FollowUps'!$H$2:$H$500,"done")/VALUE(INDEX('Settings'!$B$2:$B$100,MATCH("score_response_target",'Settings'!$A$2:$A$100,0)))*15)+IF(COUNTIFS('Interactions'!$B$2:$B$500,$A156,'Interactions'!$E$2:$E$500,"complaint")=0,10,0),0))</x:f>
      </x:c>
      <x:c r="R156" s="108" t="str">
        <x:f>IF($A156="","",IF($J156="inactive","inactive",IF($J156="at_risk","at_risk",IF($Q156&gt;=85,"vip",IF($Q156&gt;=70,"loyal",IF($Q156&gt;=50,"active",IF($N156=0,"new","needs_attention")))))))</x:f>
      </x:c>
      <x:c r="S156" s="19"/>
      <x:c r="T156" s="18"/>
      <x:c r="U156" s="19"/>
      <x:c r="V156" s="20"/>
      <x:c r="W156" s="26"/>
      <x:c r="X156" s="19"/>
      <x:c r="Y156" s="26"/>
      <x:c r="Z156" s="19"/>
      <x:c r="AA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20"/>
      <x:c r="J157" s="19"/>
      <x:c r="K157" s="19"/>
      <x:c r="L157" s="92" t="str">
        <x:f>IF($A157="","",IF(COUNTIFS('Orders'!$C$2:$C$500,$A157,'Orders'!$M$2:$M$500,"&lt;&gt;cancelled")=0,"",MAXIFS('Orders'!$G$2:$G$500,'Orders'!$C$2:$C$500,$A157,'Orders'!$M$2:$M$500,"&lt;&gt;cancelled")))</x:f>
      </x:c>
      <x:c r="M157" s="96" t="str">
        <x:f>IF($A157="","",SUMIFS('Orders'!$K$2:$K$500,'Orders'!$C$2:$C$500,$A157,'Orders'!$M$2:$M$500,"&lt;&gt;cancelled"))</x:f>
      </x:c>
      <x:c r="N157" s="96" t="str">
        <x:f>IF($A157="","",COUNTIFS('Orders'!$C$2:$C$500,$A157,'Orders'!$M$2:$M$500,"&lt;&gt;cancelled"))</x:f>
      </x:c>
      <x:c r="O157" s="100" t="str">
        <x:f>IF($A157="","",IF(COUNTIF('Interactions'!$B$2:$B$500,$A157)=0,"",MAXIFS('Interactions'!$G$2:$G$500,'Interactions'!$B$2:$B$500,$A157)))</x:f>
      </x:c>
      <x:c r="P157" s="100" t="str">
        <x:f>IF($A157="","",IF(COUNTIFS('FollowUps'!$B$2:$B$500,$A157,'FollowUps'!$H$2:$H$500,"open")=0,"",MINIFS('FollowUps'!$E$2:$E$500,'FollowUps'!$B$2:$B$500,$A157,'FollowUps'!$H$2:$H$500,"open")))</x:f>
      </x:c>
      <x:c r="Q157" s="104" t="str">
        <x:f>IF($A157="","",ROUND(MIN(25,$N157/VALUE(INDEX('Settings'!$B$2:$B$100,MATCH("score_purchase_target",'Settings'!$A$2:$A$100,0)))*25)+MIN(25,$M157/VALUE(INDEX('Settings'!$B$2:$B$100,MATCH("score_value_target",'Settings'!$A$2:$A$100,0)))*25)+IF($L157="",0,MAX(0,25-(TODAY()-$L157)/VALUE(INDEX('Settings'!$B$2:$B$100,MATCH("score_recency_days",'Settings'!$A$2:$A$100,0)))*25))+MIN(15,COUNTIFS('FollowUps'!$B$2:$B$500,$A157,'FollowUps'!$H$2:$H$500,"done")/VALUE(INDEX('Settings'!$B$2:$B$100,MATCH("score_response_target",'Settings'!$A$2:$A$100,0)))*15)+IF(COUNTIFS('Interactions'!$B$2:$B$500,$A157,'Interactions'!$E$2:$E$500,"complaint")=0,10,0),0))</x:f>
      </x:c>
      <x:c r="R157" s="108" t="str">
        <x:f>IF($A157="","",IF($J157="inactive","inactive",IF($J157="at_risk","at_risk",IF($Q157&gt;=85,"vip",IF($Q157&gt;=70,"loyal",IF($Q157&gt;=50,"active",IF($N157=0,"new","needs_attention")))))))</x:f>
      </x:c>
      <x:c r="S157" s="19"/>
      <x:c r="T157" s="18"/>
      <x:c r="U157" s="19"/>
      <x:c r="V157" s="20"/>
      <x:c r="W157" s="26"/>
      <x:c r="X157" s="19"/>
      <x:c r="Y157" s="26"/>
      <x:c r="Z157" s="19"/>
      <x:c r="AA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20"/>
      <x:c r="J158" s="19"/>
      <x:c r="K158" s="19"/>
      <x:c r="L158" s="92" t="str">
        <x:f>IF($A158="","",IF(COUNTIFS('Orders'!$C$2:$C$500,$A158,'Orders'!$M$2:$M$500,"&lt;&gt;cancelled")=0,"",MAXIFS('Orders'!$G$2:$G$500,'Orders'!$C$2:$C$500,$A158,'Orders'!$M$2:$M$500,"&lt;&gt;cancelled")))</x:f>
      </x:c>
      <x:c r="M158" s="96" t="str">
        <x:f>IF($A158="","",SUMIFS('Orders'!$K$2:$K$500,'Orders'!$C$2:$C$500,$A158,'Orders'!$M$2:$M$500,"&lt;&gt;cancelled"))</x:f>
      </x:c>
      <x:c r="N158" s="96" t="str">
        <x:f>IF($A158="","",COUNTIFS('Orders'!$C$2:$C$500,$A158,'Orders'!$M$2:$M$500,"&lt;&gt;cancelled"))</x:f>
      </x:c>
      <x:c r="O158" s="100" t="str">
        <x:f>IF($A158="","",IF(COUNTIF('Interactions'!$B$2:$B$500,$A158)=0,"",MAXIFS('Interactions'!$G$2:$G$500,'Interactions'!$B$2:$B$500,$A158)))</x:f>
      </x:c>
      <x:c r="P158" s="100" t="str">
        <x:f>IF($A158="","",IF(COUNTIFS('FollowUps'!$B$2:$B$500,$A158,'FollowUps'!$H$2:$H$500,"open")=0,"",MINIFS('FollowUps'!$E$2:$E$500,'FollowUps'!$B$2:$B$500,$A158,'FollowUps'!$H$2:$H$500,"open")))</x:f>
      </x:c>
      <x:c r="Q158" s="104" t="str">
        <x:f>IF($A158="","",ROUND(MIN(25,$N158/VALUE(INDEX('Settings'!$B$2:$B$100,MATCH("score_purchase_target",'Settings'!$A$2:$A$100,0)))*25)+MIN(25,$M158/VALUE(INDEX('Settings'!$B$2:$B$100,MATCH("score_value_target",'Settings'!$A$2:$A$100,0)))*25)+IF($L158="",0,MAX(0,25-(TODAY()-$L158)/VALUE(INDEX('Settings'!$B$2:$B$100,MATCH("score_recency_days",'Settings'!$A$2:$A$100,0)))*25))+MIN(15,COUNTIFS('FollowUps'!$B$2:$B$500,$A158,'FollowUps'!$H$2:$H$500,"done")/VALUE(INDEX('Settings'!$B$2:$B$100,MATCH("score_response_target",'Settings'!$A$2:$A$100,0)))*15)+IF(COUNTIFS('Interactions'!$B$2:$B$500,$A158,'Interactions'!$E$2:$E$500,"complaint")=0,10,0),0))</x:f>
      </x:c>
      <x:c r="R158" s="108" t="str">
        <x:f>IF($A158="","",IF($J158="inactive","inactive",IF($J158="at_risk","at_risk",IF($Q158&gt;=85,"vip",IF($Q158&gt;=70,"loyal",IF($Q158&gt;=50,"active",IF($N158=0,"new","needs_attention")))))))</x:f>
      </x:c>
      <x:c r="S158" s="19"/>
      <x:c r="T158" s="18"/>
      <x:c r="U158" s="19"/>
      <x:c r="V158" s="20"/>
      <x:c r="W158" s="26"/>
      <x:c r="X158" s="19"/>
      <x:c r="Y158" s="26"/>
      <x:c r="Z158" s="19"/>
      <x:c r="AA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20"/>
      <x:c r="J159" s="19"/>
      <x:c r="K159" s="19"/>
      <x:c r="L159" s="92" t="str">
        <x:f>IF($A159="","",IF(COUNTIFS('Orders'!$C$2:$C$500,$A159,'Orders'!$M$2:$M$500,"&lt;&gt;cancelled")=0,"",MAXIFS('Orders'!$G$2:$G$500,'Orders'!$C$2:$C$500,$A159,'Orders'!$M$2:$M$500,"&lt;&gt;cancelled")))</x:f>
      </x:c>
      <x:c r="M159" s="96" t="str">
        <x:f>IF($A159="","",SUMIFS('Orders'!$K$2:$K$500,'Orders'!$C$2:$C$500,$A159,'Orders'!$M$2:$M$500,"&lt;&gt;cancelled"))</x:f>
      </x:c>
      <x:c r="N159" s="96" t="str">
        <x:f>IF($A159="","",COUNTIFS('Orders'!$C$2:$C$500,$A159,'Orders'!$M$2:$M$500,"&lt;&gt;cancelled"))</x:f>
      </x:c>
      <x:c r="O159" s="100" t="str">
        <x:f>IF($A159="","",IF(COUNTIF('Interactions'!$B$2:$B$500,$A159)=0,"",MAXIFS('Interactions'!$G$2:$G$500,'Interactions'!$B$2:$B$500,$A159)))</x:f>
      </x:c>
      <x:c r="P159" s="100" t="str">
        <x:f>IF($A159="","",IF(COUNTIFS('FollowUps'!$B$2:$B$500,$A159,'FollowUps'!$H$2:$H$500,"open")=0,"",MINIFS('FollowUps'!$E$2:$E$500,'FollowUps'!$B$2:$B$500,$A159,'FollowUps'!$H$2:$H$500,"open")))</x:f>
      </x:c>
      <x:c r="Q159" s="104" t="str">
        <x:f>IF($A159="","",ROUND(MIN(25,$N159/VALUE(INDEX('Settings'!$B$2:$B$100,MATCH("score_purchase_target",'Settings'!$A$2:$A$100,0)))*25)+MIN(25,$M159/VALUE(INDEX('Settings'!$B$2:$B$100,MATCH("score_value_target",'Settings'!$A$2:$A$100,0)))*25)+IF($L159="",0,MAX(0,25-(TODAY()-$L159)/VALUE(INDEX('Settings'!$B$2:$B$100,MATCH("score_recency_days",'Settings'!$A$2:$A$100,0)))*25))+MIN(15,COUNTIFS('FollowUps'!$B$2:$B$500,$A159,'FollowUps'!$H$2:$H$500,"done")/VALUE(INDEX('Settings'!$B$2:$B$100,MATCH("score_response_target",'Settings'!$A$2:$A$100,0)))*15)+IF(COUNTIFS('Interactions'!$B$2:$B$500,$A159,'Interactions'!$E$2:$E$500,"complaint")=0,10,0),0))</x:f>
      </x:c>
      <x:c r="R159" s="108" t="str">
        <x:f>IF($A159="","",IF($J159="inactive","inactive",IF($J159="at_risk","at_risk",IF($Q159&gt;=85,"vip",IF($Q159&gt;=70,"loyal",IF($Q159&gt;=50,"active",IF($N159=0,"new","needs_attention")))))))</x:f>
      </x:c>
      <x:c r="S159" s="19"/>
      <x:c r="T159" s="18"/>
      <x:c r="U159" s="19"/>
      <x:c r="V159" s="20"/>
      <x:c r="W159" s="26"/>
      <x:c r="X159" s="19"/>
      <x:c r="Y159" s="26"/>
      <x:c r="Z159" s="19"/>
      <x:c r="AA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20"/>
      <x:c r="J160" s="19"/>
      <x:c r="K160" s="19"/>
      <x:c r="L160" s="92" t="str">
        <x:f>IF($A160="","",IF(COUNTIFS('Orders'!$C$2:$C$500,$A160,'Orders'!$M$2:$M$500,"&lt;&gt;cancelled")=0,"",MAXIFS('Orders'!$G$2:$G$500,'Orders'!$C$2:$C$500,$A160,'Orders'!$M$2:$M$500,"&lt;&gt;cancelled")))</x:f>
      </x:c>
      <x:c r="M160" s="96" t="str">
        <x:f>IF($A160="","",SUMIFS('Orders'!$K$2:$K$500,'Orders'!$C$2:$C$500,$A160,'Orders'!$M$2:$M$500,"&lt;&gt;cancelled"))</x:f>
      </x:c>
      <x:c r="N160" s="96" t="str">
        <x:f>IF($A160="","",COUNTIFS('Orders'!$C$2:$C$500,$A160,'Orders'!$M$2:$M$500,"&lt;&gt;cancelled"))</x:f>
      </x:c>
      <x:c r="O160" s="100" t="str">
        <x:f>IF($A160="","",IF(COUNTIF('Interactions'!$B$2:$B$500,$A160)=0,"",MAXIFS('Interactions'!$G$2:$G$500,'Interactions'!$B$2:$B$500,$A160)))</x:f>
      </x:c>
      <x:c r="P160" s="100" t="str">
        <x:f>IF($A160="","",IF(COUNTIFS('FollowUps'!$B$2:$B$500,$A160,'FollowUps'!$H$2:$H$500,"open")=0,"",MINIFS('FollowUps'!$E$2:$E$500,'FollowUps'!$B$2:$B$500,$A160,'FollowUps'!$H$2:$H$500,"open")))</x:f>
      </x:c>
      <x:c r="Q160" s="104" t="str">
        <x:f>IF($A160="","",ROUND(MIN(25,$N160/VALUE(INDEX('Settings'!$B$2:$B$100,MATCH("score_purchase_target",'Settings'!$A$2:$A$100,0)))*25)+MIN(25,$M160/VALUE(INDEX('Settings'!$B$2:$B$100,MATCH("score_value_target",'Settings'!$A$2:$A$100,0)))*25)+IF($L160="",0,MAX(0,25-(TODAY()-$L160)/VALUE(INDEX('Settings'!$B$2:$B$100,MATCH("score_recency_days",'Settings'!$A$2:$A$100,0)))*25))+MIN(15,COUNTIFS('FollowUps'!$B$2:$B$500,$A160,'FollowUps'!$H$2:$H$500,"done")/VALUE(INDEX('Settings'!$B$2:$B$100,MATCH("score_response_target",'Settings'!$A$2:$A$100,0)))*15)+IF(COUNTIFS('Interactions'!$B$2:$B$500,$A160,'Interactions'!$E$2:$E$500,"complaint")=0,10,0),0))</x:f>
      </x:c>
      <x:c r="R160" s="108" t="str">
        <x:f>IF($A160="","",IF($J160="inactive","inactive",IF($J160="at_risk","at_risk",IF($Q160&gt;=85,"vip",IF($Q160&gt;=70,"loyal",IF($Q160&gt;=50,"active",IF($N160=0,"new","needs_attention")))))))</x:f>
      </x:c>
      <x:c r="S160" s="19"/>
      <x:c r="T160" s="18"/>
      <x:c r="U160" s="19"/>
      <x:c r="V160" s="20"/>
      <x:c r="W160" s="26"/>
      <x:c r="X160" s="19"/>
      <x:c r="Y160" s="26"/>
      <x:c r="Z160" s="19"/>
      <x:c r="AA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20"/>
      <x:c r="J161" s="19"/>
      <x:c r="K161" s="19"/>
      <x:c r="L161" s="92" t="str">
        <x:f>IF($A161="","",IF(COUNTIFS('Orders'!$C$2:$C$500,$A161,'Orders'!$M$2:$M$500,"&lt;&gt;cancelled")=0,"",MAXIFS('Orders'!$G$2:$G$500,'Orders'!$C$2:$C$500,$A161,'Orders'!$M$2:$M$500,"&lt;&gt;cancelled")))</x:f>
      </x:c>
      <x:c r="M161" s="96" t="str">
        <x:f>IF($A161="","",SUMIFS('Orders'!$K$2:$K$500,'Orders'!$C$2:$C$500,$A161,'Orders'!$M$2:$M$500,"&lt;&gt;cancelled"))</x:f>
      </x:c>
      <x:c r="N161" s="96" t="str">
        <x:f>IF($A161="","",COUNTIFS('Orders'!$C$2:$C$500,$A161,'Orders'!$M$2:$M$500,"&lt;&gt;cancelled"))</x:f>
      </x:c>
      <x:c r="O161" s="100" t="str">
        <x:f>IF($A161="","",IF(COUNTIF('Interactions'!$B$2:$B$500,$A161)=0,"",MAXIFS('Interactions'!$G$2:$G$500,'Interactions'!$B$2:$B$500,$A161)))</x:f>
      </x:c>
      <x:c r="P161" s="100" t="str">
        <x:f>IF($A161="","",IF(COUNTIFS('FollowUps'!$B$2:$B$500,$A161,'FollowUps'!$H$2:$H$500,"open")=0,"",MINIFS('FollowUps'!$E$2:$E$500,'FollowUps'!$B$2:$B$500,$A161,'FollowUps'!$H$2:$H$500,"open")))</x:f>
      </x:c>
      <x:c r="Q161" s="104" t="str">
        <x:f>IF($A161="","",ROUND(MIN(25,$N161/VALUE(INDEX('Settings'!$B$2:$B$100,MATCH("score_purchase_target",'Settings'!$A$2:$A$100,0)))*25)+MIN(25,$M161/VALUE(INDEX('Settings'!$B$2:$B$100,MATCH("score_value_target",'Settings'!$A$2:$A$100,0)))*25)+IF($L161="",0,MAX(0,25-(TODAY()-$L161)/VALUE(INDEX('Settings'!$B$2:$B$100,MATCH("score_recency_days",'Settings'!$A$2:$A$100,0)))*25))+MIN(15,COUNTIFS('FollowUps'!$B$2:$B$500,$A161,'FollowUps'!$H$2:$H$500,"done")/VALUE(INDEX('Settings'!$B$2:$B$100,MATCH("score_response_target",'Settings'!$A$2:$A$100,0)))*15)+IF(COUNTIFS('Interactions'!$B$2:$B$500,$A161,'Interactions'!$E$2:$E$500,"complaint")=0,10,0),0))</x:f>
      </x:c>
      <x:c r="R161" s="108" t="str">
        <x:f>IF($A161="","",IF($J161="inactive","inactive",IF($J161="at_risk","at_risk",IF($Q161&gt;=85,"vip",IF($Q161&gt;=70,"loyal",IF($Q161&gt;=50,"active",IF($N161=0,"new","needs_attention")))))))</x:f>
      </x:c>
      <x:c r="S161" s="19"/>
      <x:c r="T161" s="18"/>
      <x:c r="U161" s="19"/>
      <x:c r="V161" s="20"/>
      <x:c r="W161" s="26"/>
      <x:c r="X161" s="19"/>
      <x:c r="Y161" s="26"/>
      <x:c r="Z161" s="19"/>
      <x:c r="AA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20"/>
      <x:c r="J162" s="19"/>
      <x:c r="K162" s="19"/>
      <x:c r="L162" s="92" t="str">
        <x:f>IF($A162="","",IF(COUNTIFS('Orders'!$C$2:$C$500,$A162,'Orders'!$M$2:$M$500,"&lt;&gt;cancelled")=0,"",MAXIFS('Orders'!$G$2:$G$500,'Orders'!$C$2:$C$500,$A162,'Orders'!$M$2:$M$500,"&lt;&gt;cancelled")))</x:f>
      </x:c>
      <x:c r="M162" s="96" t="str">
        <x:f>IF($A162="","",SUMIFS('Orders'!$K$2:$K$500,'Orders'!$C$2:$C$500,$A162,'Orders'!$M$2:$M$500,"&lt;&gt;cancelled"))</x:f>
      </x:c>
      <x:c r="N162" s="96" t="str">
        <x:f>IF($A162="","",COUNTIFS('Orders'!$C$2:$C$500,$A162,'Orders'!$M$2:$M$500,"&lt;&gt;cancelled"))</x:f>
      </x:c>
      <x:c r="O162" s="100" t="str">
        <x:f>IF($A162="","",IF(COUNTIF('Interactions'!$B$2:$B$500,$A162)=0,"",MAXIFS('Interactions'!$G$2:$G$500,'Interactions'!$B$2:$B$500,$A162)))</x:f>
      </x:c>
      <x:c r="P162" s="100" t="str">
        <x:f>IF($A162="","",IF(COUNTIFS('FollowUps'!$B$2:$B$500,$A162,'FollowUps'!$H$2:$H$500,"open")=0,"",MINIFS('FollowUps'!$E$2:$E$500,'FollowUps'!$B$2:$B$500,$A162,'FollowUps'!$H$2:$H$500,"open")))</x:f>
      </x:c>
      <x:c r="Q162" s="104" t="str">
        <x:f>IF($A162="","",ROUND(MIN(25,$N162/VALUE(INDEX('Settings'!$B$2:$B$100,MATCH("score_purchase_target",'Settings'!$A$2:$A$100,0)))*25)+MIN(25,$M162/VALUE(INDEX('Settings'!$B$2:$B$100,MATCH("score_value_target",'Settings'!$A$2:$A$100,0)))*25)+IF($L162="",0,MAX(0,25-(TODAY()-$L162)/VALUE(INDEX('Settings'!$B$2:$B$100,MATCH("score_recency_days",'Settings'!$A$2:$A$100,0)))*25))+MIN(15,COUNTIFS('FollowUps'!$B$2:$B$500,$A162,'FollowUps'!$H$2:$H$500,"done")/VALUE(INDEX('Settings'!$B$2:$B$100,MATCH("score_response_target",'Settings'!$A$2:$A$100,0)))*15)+IF(COUNTIFS('Interactions'!$B$2:$B$500,$A162,'Interactions'!$E$2:$E$500,"complaint")=0,10,0),0))</x:f>
      </x:c>
      <x:c r="R162" s="108" t="str">
        <x:f>IF($A162="","",IF($J162="inactive","inactive",IF($J162="at_risk","at_risk",IF($Q162&gt;=85,"vip",IF($Q162&gt;=70,"loyal",IF($Q162&gt;=50,"active",IF($N162=0,"new","needs_attention")))))))</x:f>
      </x:c>
      <x:c r="S162" s="19"/>
      <x:c r="T162" s="18"/>
      <x:c r="U162" s="19"/>
      <x:c r="V162" s="20"/>
      <x:c r="W162" s="26"/>
      <x:c r="X162" s="19"/>
      <x:c r="Y162" s="26"/>
      <x:c r="Z162" s="19"/>
      <x:c r="AA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20"/>
      <x:c r="J163" s="19"/>
      <x:c r="K163" s="19"/>
      <x:c r="L163" s="92" t="str">
        <x:f>IF($A163="","",IF(COUNTIFS('Orders'!$C$2:$C$500,$A163,'Orders'!$M$2:$M$500,"&lt;&gt;cancelled")=0,"",MAXIFS('Orders'!$G$2:$G$500,'Orders'!$C$2:$C$500,$A163,'Orders'!$M$2:$M$500,"&lt;&gt;cancelled")))</x:f>
      </x:c>
      <x:c r="M163" s="96" t="str">
        <x:f>IF($A163="","",SUMIFS('Orders'!$K$2:$K$500,'Orders'!$C$2:$C$500,$A163,'Orders'!$M$2:$M$500,"&lt;&gt;cancelled"))</x:f>
      </x:c>
      <x:c r="N163" s="96" t="str">
        <x:f>IF($A163="","",COUNTIFS('Orders'!$C$2:$C$500,$A163,'Orders'!$M$2:$M$500,"&lt;&gt;cancelled"))</x:f>
      </x:c>
      <x:c r="O163" s="100" t="str">
        <x:f>IF($A163="","",IF(COUNTIF('Interactions'!$B$2:$B$500,$A163)=0,"",MAXIFS('Interactions'!$G$2:$G$500,'Interactions'!$B$2:$B$500,$A163)))</x:f>
      </x:c>
      <x:c r="P163" s="100" t="str">
        <x:f>IF($A163="","",IF(COUNTIFS('FollowUps'!$B$2:$B$500,$A163,'FollowUps'!$H$2:$H$500,"open")=0,"",MINIFS('FollowUps'!$E$2:$E$500,'FollowUps'!$B$2:$B$500,$A163,'FollowUps'!$H$2:$H$500,"open")))</x:f>
      </x:c>
      <x:c r="Q163" s="104" t="str">
        <x:f>IF($A163="","",ROUND(MIN(25,$N163/VALUE(INDEX('Settings'!$B$2:$B$100,MATCH("score_purchase_target",'Settings'!$A$2:$A$100,0)))*25)+MIN(25,$M163/VALUE(INDEX('Settings'!$B$2:$B$100,MATCH("score_value_target",'Settings'!$A$2:$A$100,0)))*25)+IF($L163="",0,MAX(0,25-(TODAY()-$L163)/VALUE(INDEX('Settings'!$B$2:$B$100,MATCH("score_recency_days",'Settings'!$A$2:$A$100,0)))*25))+MIN(15,COUNTIFS('FollowUps'!$B$2:$B$500,$A163,'FollowUps'!$H$2:$H$500,"done")/VALUE(INDEX('Settings'!$B$2:$B$100,MATCH("score_response_target",'Settings'!$A$2:$A$100,0)))*15)+IF(COUNTIFS('Interactions'!$B$2:$B$500,$A163,'Interactions'!$E$2:$E$500,"complaint")=0,10,0),0))</x:f>
      </x:c>
      <x:c r="R163" s="108" t="str">
        <x:f>IF($A163="","",IF($J163="inactive","inactive",IF($J163="at_risk","at_risk",IF($Q163&gt;=85,"vip",IF($Q163&gt;=70,"loyal",IF($Q163&gt;=50,"active",IF($N163=0,"new","needs_attention")))))))</x:f>
      </x:c>
      <x:c r="S163" s="19"/>
      <x:c r="T163" s="18"/>
      <x:c r="U163" s="19"/>
      <x:c r="V163" s="20"/>
      <x:c r="W163" s="26"/>
      <x:c r="X163" s="19"/>
      <x:c r="Y163" s="26"/>
      <x:c r="Z163" s="19"/>
      <x:c r="AA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20"/>
      <x:c r="J164" s="19"/>
      <x:c r="K164" s="19"/>
      <x:c r="L164" s="92" t="str">
        <x:f>IF($A164="","",IF(COUNTIFS('Orders'!$C$2:$C$500,$A164,'Orders'!$M$2:$M$500,"&lt;&gt;cancelled")=0,"",MAXIFS('Orders'!$G$2:$G$500,'Orders'!$C$2:$C$500,$A164,'Orders'!$M$2:$M$500,"&lt;&gt;cancelled")))</x:f>
      </x:c>
      <x:c r="M164" s="96" t="str">
        <x:f>IF($A164="","",SUMIFS('Orders'!$K$2:$K$500,'Orders'!$C$2:$C$500,$A164,'Orders'!$M$2:$M$500,"&lt;&gt;cancelled"))</x:f>
      </x:c>
      <x:c r="N164" s="96" t="str">
        <x:f>IF($A164="","",COUNTIFS('Orders'!$C$2:$C$500,$A164,'Orders'!$M$2:$M$500,"&lt;&gt;cancelled"))</x:f>
      </x:c>
      <x:c r="O164" s="100" t="str">
        <x:f>IF($A164="","",IF(COUNTIF('Interactions'!$B$2:$B$500,$A164)=0,"",MAXIFS('Interactions'!$G$2:$G$500,'Interactions'!$B$2:$B$500,$A164)))</x:f>
      </x:c>
      <x:c r="P164" s="100" t="str">
        <x:f>IF($A164="","",IF(COUNTIFS('FollowUps'!$B$2:$B$500,$A164,'FollowUps'!$H$2:$H$500,"open")=0,"",MINIFS('FollowUps'!$E$2:$E$500,'FollowUps'!$B$2:$B$500,$A164,'FollowUps'!$H$2:$H$500,"open")))</x:f>
      </x:c>
      <x:c r="Q164" s="104" t="str">
        <x:f>IF($A164="","",ROUND(MIN(25,$N164/VALUE(INDEX('Settings'!$B$2:$B$100,MATCH("score_purchase_target",'Settings'!$A$2:$A$100,0)))*25)+MIN(25,$M164/VALUE(INDEX('Settings'!$B$2:$B$100,MATCH("score_value_target",'Settings'!$A$2:$A$100,0)))*25)+IF($L164="",0,MAX(0,25-(TODAY()-$L164)/VALUE(INDEX('Settings'!$B$2:$B$100,MATCH("score_recency_days",'Settings'!$A$2:$A$100,0)))*25))+MIN(15,COUNTIFS('FollowUps'!$B$2:$B$500,$A164,'FollowUps'!$H$2:$H$500,"done")/VALUE(INDEX('Settings'!$B$2:$B$100,MATCH("score_response_target",'Settings'!$A$2:$A$100,0)))*15)+IF(COUNTIFS('Interactions'!$B$2:$B$500,$A164,'Interactions'!$E$2:$E$500,"complaint")=0,10,0),0))</x:f>
      </x:c>
      <x:c r="R164" s="108" t="str">
        <x:f>IF($A164="","",IF($J164="inactive","inactive",IF($J164="at_risk","at_risk",IF($Q164&gt;=85,"vip",IF($Q164&gt;=70,"loyal",IF($Q164&gt;=50,"active",IF($N164=0,"new","needs_attention")))))))</x:f>
      </x:c>
      <x:c r="S164" s="19"/>
      <x:c r="T164" s="18"/>
      <x:c r="U164" s="19"/>
      <x:c r="V164" s="20"/>
      <x:c r="W164" s="26"/>
      <x:c r="X164" s="19"/>
      <x:c r="Y164" s="26"/>
      <x:c r="Z164" s="19"/>
      <x:c r="AA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20"/>
      <x:c r="J165" s="19"/>
      <x:c r="K165" s="19"/>
      <x:c r="L165" s="92" t="str">
        <x:f>IF($A165="","",IF(COUNTIFS('Orders'!$C$2:$C$500,$A165,'Orders'!$M$2:$M$500,"&lt;&gt;cancelled")=0,"",MAXIFS('Orders'!$G$2:$G$500,'Orders'!$C$2:$C$500,$A165,'Orders'!$M$2:$M$500,"&lt;&gt;cancelled")))</x:f>
      </x:c>
      <x:c r="M165" s="96" t="str">
        <x:f>IF($A165="","",SUMIFS('Orders'!$K$2:$K$500,'Orders'!$C$2:$C$500,$A165,'Orders'!$M$2:$M$500,"&lt;&gt;cancelled"))</x:f>
      </x:c>
      <x:c r="N165" s="96" t="str">
        <x:f>IF($A165="","",COUNTIFS('Orders'!$C$2:$C$500,$A165,'Orders'!$M$2:$M$500,"&lt;&gt;cancelled"))</x:f>
      </x:c>
      <x:c r="O165" s="100" t="str">
        <x:f>IF($A165="","",IF(COUNTIF('Interactions'!$B$2:$B$500,$A165)=0,"",MAXIFS('Interactions'!$G$2:$G$500,'Interactions'!$B$2:$B$500,$A165)))</x:f>
      </x:c>
      <x:c r="P165" s="100" t="str">
        <x:f>IF($A165="","",IF(COUNTIFS('FollowUps'!$B$2:$B$500,$A165,'FollowUps'!$H$2:$H$500,"open")=0,"",MINIFS('FollowUps'!$E$2:$E$500,'FollowUps'!$B$2:$B$500,$A165,'FollowUps'!$H$2:$H$500,"open")))</x:f>
      </x:c>
      <x:c r="Q165" s="104" t="str">
        <x:f>IF($A165="","",ROUND(MIN(25,$N165/VALUE(INDEX('Settings'!$B$2:$B$100,MATCH("score_purchase_target",'Settings'!$A$2:$A$100,0)))*25)+MIN(25,$M165/VALUE(INDEX('Settings'!$B$2:$B$100,MATCH("score_value_target",'Settings'!$A$2:$A$100,0)))*25)+IF($L165="",0,MAX(0,25-(TODAY()-$L165)/VALUE(INDEX('Settings'!$B$2:$B$100,MATCH("score_recency_days",'Settings'!$A$2:$A$100,0)))*25))+MIN(15,COUNTIFS('FollowUps'!$B$2:$B$500,$A165,'FollowUps'!$H$2:$H$500,"done")/VALUE(INDEX('Settings'!$B$2:$B$100,MATCH("score_response_target",'Settings'!$A$2:$A$100,0)))*15)+IF(COUNTIFS('Interactions'!$B$2:$B$500,$A165,'Interactions'!$E$2:$E$500,"complaint")=0,10,0),0))</x:f>
      </x:c>
      <x:c r="R165" s="108" t="str">
        <x:f>IF($A165="","",IF($J165="inactive","inactive",IF($J165="at_risk","at_risk",IF($Q165&gt;=85,"vip",IF($Q165&gt;=70,"loyal",IF($Q165&gt;=50,"active",IF($N165=0,"new","needs_attention")))))))</x:f>
      </x:c>
      <x:c r="S165" s="19"/>
      <x:c r="T165" s="18"/>
      <x:c r="U165" s="19"/>
      <x:c r="V165" s="20"/>
      <x:c r="W165" s="26"/>
      <x:c r="X165" s="19"/>
      <x:c r="Y165" s="26"/>
      <x:c r="Z165" s="19"/>
      <x:c r="AA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20"/>
      <x:c r="J166" s="19"/>
      <x:c r="K166" s="19"/>
      <x:c r="L166" s="92" t="str">
        <x:f>IF($A166="","",IF(COUNTIFS('Orders'!$C$2:$C$500,$A166,'Orders'!$M$2:$M$500,"&lt;&gt;cancelled")=0,"",MAXIFS('Orders'!$G$2:$G$500,'Orders'!$C$2:$C$500,$A166,'Orders'!$M$2:$M$500,"&lt;&gt;cancelled")))</x:f>
      </x:c>
      <x:c r="M166" s="96" t="str">
        <x:f>IF($A166="","",SUMIFS('Orders'!$K$2:$K$500,'Orders'!$C$2:$C$500,$A166,'Orders'!$M$2:$M$500,"&lt;&gt;cancelled"))</x:f>
      </x:c>
      <x:c r="N166" s="96" t="str">
        <x:f>IF($A166="","",COUNTIFS('Orders'!$C$2:$C$500,$A166,'Orders'!$M$2:$M$500,"&lt;&gt;cancelled"))</x:f>
      </x:c>
      <x:c r="O166" s="100" t="str">
        <x:f>IF($A166="","",IF(COUNTIF('Interactions'!$B$2:$B$500,$A166)=0,"",MAXIFS('Interactions'!$G$2:$G$500,'Interactions'!$B$2:$B$500,$A166)))</x:f>
      </x:c>
      <x:c r="P166" s="100" t="str">
        <x:f>IF($A166="","",IF(COUNTIFS('FollowUps'!$B$2:$B$500,$A166,'FollowUps'!$H$2:$H$500,"open")=0,"",MINIFS('FollowUps'!$E$2:$E$500,'FollowUps'!$B$2:$B$500,$A166,'FollowUps'!$H$2:$H$500,"open")))</x:f>
      </x:c>
      <x:c r="Q166" s="104" t="str">
        <x:f>IF($A166="","",ROUND(MIN(25,$N166/VALUE(INDEX('Settings'!$B$2:$B$100,MATCH("score_purchase_target",'Settings'!$A$2:$A$100,0)))*25)+MIN(25,$M166/VALUE(INDEX('Settings'!$B$2:$B$100,MATCH("score_value_target",'Settings'!$A$2:$A$100,0)))*25)+IF($L166="",0,MAX(0,25-(TODAY()-$L166)/VALUE(INDEX('Settings'!$B$2:$B$100,MATCH("score_recency_days",'Settings'!$A$2:$A$100,0)))*25))+MIN(15,COUNTIFS('FollowUps'!$B$2:$B$500,$A166,'FollowUps'!$H$2:$H$500,"done")/VALUE(INDEX('Settings'!$B$2:$B$100,MATCH("score_response_target",'Settings'!$A$2:$A$100,0)))*15)+IF(COUNTIFS('Interactions'!$B$2:$B$500,$A166,'Interactions'!$E$2:$E$500,"complaint")=0,10,0),0))</x:f>
      </x:c>
      <x:c r="R166" s="108" t="str">
        <x:f>IF($A166="","",IF($J166="inactive","inactive",IF($J166="at_risk","at_risk",IF($Q166&gt;=85,"vip",IF($Q166&gt;=70,"loyal",IF($Q166&gt;=50,"active",IF($N166=0,"new","needs_attention")))))))</x:f>
      </x:c>
      <x:c r="S166" s="19"/>
      <x:c r="T166" s="18"/>
      <x:c r="U166" s="19"/>
      <x:c r="V166" s="20"/>
      <x:c r="W166" s="26"/>
      <x:c r="X166" s="19"/>
      <x:c r="Y166" s="26"/>
      <x:c r="Z166" s="19"/>
      <x:c r="AA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20"/>
      <x:c r="J167" s="19"/>
      <x:c r="K167" s="19"/>
      <x:c r="L167" s="92" t="str">
        <x:f>IF($A167="","",IF(COUNTIFS('Orders'!$C$2:$C$500,$A167,'Orders'!$M$2:$M$500,"&lt;&gt;cancelled")=0,"",MAXIFS('Orders'!$G$2:$G$500,'Orders'!$C$2:$C$500,$A167,'Orders'!$M$2:$M$500,"&lt;&gt;cancelled")))</x:f>
      </x:c>
      <x:c r="M167" s="96" t="str">
        <x:f>IF($A167="","",SUMIFS('Orders'!$K$2:$K$500,'Orders'!$C$2:$C$500,$A167,'Orders'!$M$2:$M$500,"&lt;&gt;cancelled"))</x:f>
      </x:c>
      <x:c r="N167" s="96" t="str">
        <x:f>IF($A167="","",COUNTIFS('Orders'!$C$2:$C$500,$A167,'Orders'!$M$2:$M$500,"&lt;&gt;cancelled"))</x:f>
      </x:c>
      <x:c r="O167" s="100" t="str">
        <x:f>IF($A167="","",IF(COUNTIF('Interactions'!$B$2:$B$500,$A167)=0,"",MAXIFS('Interactions'!$G$2:$G$500,'Interactions'!$B$2:$B$500,$A167)))</x:f>
      </x:c>
      <x:c r="P167" s="100" t="str">
        <x:f>IF($A167="","",IF(COUNTIFS('FollowUps'!$B$2:$B$500,$A167,'FollowUps'!$H$2:$H$500,"open")=0,"",MINIFS('FollowUps'!$E$2:$E$500,'FollowUps'!$B$2:$B$500,$A167,'FollowUps'!$H$2:$H$500,"open")))</x:f>
      </x:c>
      <x:c r="Q167" s="104" t="str">
        <x:f>IF($A167="","",ROUND(MIN(25,$N167/VALUE(INDEX('Settings'!$B$2:$B$100,MATCH("score_purchase_target",'Settings'!$A$2:$A$100,0)))*25)+MIN(25,$M167/VALUE(INDEX('Settings'!$B$2:$B$100,MATCH("score_value_target",'Settings'!$A$2:$A$100,0)))*25)+IF($L167="",0,MAX(0,25-(TODAY()-$L167)/VALUE(INDEX('Settings'!$B$2:$B$100,MATCH("score_recency_days",'Settings'!$A$2:$A$100,0)))*25))+MIN(15,COUNTIFS('FollowUps'!$B$2:$B$500,$A167,'FollowUps'!$H$2:$H$500,"done")/VALUE(INDEX('Settings'!$B$2:$B$100,MATCH("score_response_target",'Settings'!$A$2:$A$100,0)))*15)+IF(COUNTIFS('Interactions'!$B$2:$B$500,$A167,'Interactions'!$E$2:$E$500,"complaint")=0,10,0),0))</x:f>
      </x:c>
      <x:c r="R167" s="108" t="str">
        <x:f>IF($A167="","",IF($J167="inactive","inactive",IF($J167="at_risk","at_risk",IF($Q167&gt;=85,"vip",IF($Q167&gt;=70,"loyal",IF($Q167&gt;=50,"active",IF($N167=0,"new","needs_attention")))))))</x:f>
      </x:c>
      <x:c r="S167" s="19"/>
      <x:c r="T167" s="18"/>
      <x:c r="U167" s="19"/>
      <x:c r="V167" s="20"/>
      <x:c r="W167" s="26"/>
      <x:c r="X167" s="19"/>
      <x:c r="Y167" s="26"/>
      <x:c r="Z167" s="19"/>
      <x:c r="AA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20"/>
      <x:c r="J168" s="19"/>
      <x:c r="K168" s="19"/>
      <x:c r="L168" s="92" t="str">
        <x:f>IF($A168="","",IF(COUNTIFS('Orders'!$C$2:$C$500,$A168,'Orders'!$M$2:$M$500,"&lt;&gt;cancelled")=0,"",MAXIFS('Orders'!$G$2:$G$500,'Orders'!$C$2:$C$500,$A168,'Orders'!$M$2:$M$500,"&lt;&gt;cancelled")))</x:f>
      </x:c>
      <x:c r="M168" s="96" t="str">
        <x:f>IF($A168="","",SUMIFS('Orders'!$K$2:$K$500,'Orders'!$C$2:$C$500,$A168,'Orders'!$M$2:$M$500,"&lt;&gt;cancelled"))</x:f>
      </x:c>
      <x:c r="N168" s="96" t="str">
        <x:f>IF($A168="","",COUNTIFS('Orders'!$C$2:$C$500,$A168,'Orders'!$M$2:$M$500,"&lt;&gt;cancelled"))</x:f>
      </x:c>
      <x:c r="O168" s="100" t="str">
        <x:f>IF($A168="","",IF(COUNTIF('Interactions'!$B$2:$B$500,$A168)=0,"",MAXIFS('Interactions'!$G$2:$G$500,'Interactions'!$B$2:$B$500,$A168)))</x:f>
      </x:c>
      <x:c r="P168" s="100" t="str">
        <x:f>IF($A168="","",IF(COUNTIFS('FollowUps'!$B$2:$B$500,$A168,'FollowUps'!$H$2:$H$500,"open")=0,"",MINIFS('FollowUps'!$E$2:$E$500,'FollowUps'!$B$2:$B$500,$A168,'FollowUps'!$H$2:$H$500,"open")))</x:f>
      </x:c>
      <x:c r="Q168" s="104" t="str">
        <x:f>IF($A168="","",ROUND(MIN(25,$N168/VALUE(INDEX('Settings'!$B$2:$B$100,MATCH("score_purchase_target",'Settings'!$A$2:$A$100,0)))*25)+MIN(25,$M168/VALUE(INDEX('Settings'!$B$2:$B$100,MATCH("score_value_target",'Settings'!$A$2:$A$100,0)))*25)+IF($L168="",0,MAX(0,25-(TODAY()-$L168)/VALUE(INDEX('Settings'!$B$2:$B$100,MATCH("score_recency_days",'Settings'!$A$2:$A$100,0)))*25))+MIN(15,COUNTIFS('FollowUps'!$B$2:$B$500,$A168,'FollowUps'!$H$2:$H$500,"done")/VALUE(INDEX('Settings'!$B$2:$B$100,MATCH("score_response_target",'Settings'!$A$2:$A$100,0)))*15)+IF(COUNTIFS('Interactions'!$B$2:$B$500,$A168,'Interactions'!$E$2:$E$500,"complaint")=0,10,0),0))</x:f>
      </x:c>
      <x:c r="R168" s="108" t="str">
        <x:f>IF($A168="","",IF($J168="inactive","inactive",IF($J168="at_risk","at_risk",IF($Q168&gt;=85,"vip",IF($Q168&gt;=70,"loyal",IF($Q168&gt;=50,"active",IF($N168=0,"new","needs_attention")))))))</x:f>
      </x:c>
      <x:c r="S168" s="19"/>
      <x:c r="T168" s="18"/>
      <x:c r="U168" s="19"/>
      <x:c r="V168" s="20"/>
      <x:c r="W168" s="26"/>
      <x:c r="X168" s="19"/>
      <x:c r="Y168" s="26"/>
      <x:c r="Z168" s="19"/>
      <x:c r="AA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20"/>
      <x:c r="J169" s="19"/>
      <x:c r="K169" s="19"/>
      <x:c r="L169" s="92" t="str">
        <x:f>IF($A169="","",IF(COUNTIFS('Orders'!$C$2:$C$500,$A169,'Orders'!$M$2:$M$500,"&lt;&gt;cancelled")=0,"",MAXIFS('Orders'!$G$2:$G$500,'Orders'!$C$2:$C$500,$A169,'Orders'!$M$2:$M$500,"&lt;&gt;cancelled")))</x:f>
      </x:c>
      <x:c r="M169" s="96" t="str">
        <x:f>IF($A169="","",SUMIFS('Orders'!$K$2:$K$500,'Orders'!$C$2:$C$500,$A169,'Orders'!$M$2:$M$500,"&lt;&gt;cancelled"))</x:f>
      </x:c>
      <x:c r="N169" s="96" t="str">
        <x:f>IF($A169="","",COUNTIFS('Orders'!$C$2:$C$500,$A169,'Orders'!$M$2:$M$500,"&lt;&gt;cancelled"))</x:f>
      </x:c>
      <x:c r="O169" s="100" t="str">
        <x:f>IF($A169="","",IF(COUNTIF('Interactions'!$B$2:$B$500,$A169)=0,"",MAXIFS('Interactions'!$G$2:$G$500,'Interactions'!$B$2:$B$500,$A169)))</x:f>
      </x:c>
      <x:c r="P169" s="100" t="str">
        <x:f>IF($A169="","",IF(COUNTIFS('FollowUps'!$B$2:$B$500,$A169,'FollowUps'!$H$2:$H$500,"open")=0,"",MINIFS('FollowUps'!$E$2:$E$500,'FollowUps'!$B$2:$B$500,$A169,'FollowUps'!$H$2:$H$500,"open")))</x:f>
      </x:c>
      <x:c r="Q169" s="104" t="str">
        <x:f>IF($A169="","",ROUND(MIN(25,$N169/VALUE(INDEX('Settings'!$B$2:$B$100,MATCH("score_purchase_target",'Settings'!$A$2:$A$100,0)))*25)+MIN(25,$M169/VALUE(INDEX('Settings'!$B$2:$B$100,MATCH("score_value_target",'Settings'!$A$2:$A$100,0)))*25)+IF($L169="",0,MAX(0,25-(TODAY()-$L169)/VALUE(INDEX('Settings'!$B$2:$B$100,MATCH("score_recency_days",'Settings'!$A$2:$A$100,0)))*25))+MIN(15,COUNTIFS('FollowUps'!$B$2:$B$500,$A169,'FollowUps'!$H$2:$H$500,"done")/VALUE(INDEX('Settings'!$B$2:$B$100,MATCH("score_response_target",'Settings'!$A$2:$A$100,0)))*15)+IF(COUNTIFS('Interactions'!$B$2:$B$500,$A169,'Interactions'!$E$2:$E$500,"complaint")=0,10,0),0))</x:f>
      </x:c>
      <x:c r="R169" s="108" t="str">
        <x:f>IF($A169="","",IF($J169="inactive","inactive",IF($J169="at_risk","at_risk",IF($Q169&gt;=85,"vip",IF($Q169&gt;=70,"loyal",IF($Q169&gt;=50,"active",IF($N169=0,"new","needs_attention")))))))</x:f>
      </x:c>
      <x:c r="S169" s="19"/>
      <x:c r="T169" s="18"/>
      <x:c r="U169" s="19"/>
      <x:c r="V169" s="20"/>
      <x:c r="W169" s="26"/>
      <x:c r="X169" s="19"/>
      <x:c r="Y169" s="26"/>
      <x:c r="Z169" s="19"/>
      <x:c r="AA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20"/>
      <x:c r="J170" s="19"/>
      <x:c r="K170" s="19"/>
      <x:c r="L170" s="92" t="str">
        <x:f>IF($A170="","",IF(COUNTIFS('Orders'!$C$2:$C$500,$A170,'Orders'!$M$2:$M$500,"&lt;&gt;cancelled")=0,"",MAXIFS('Orders'!$G$2:$G$500,'Orders'!$C$2:$C$500,$A170,'Orders'!$M$2:$M$500,"&lt;&gt;cancelled")))</x:f>
      </x:c>
      <x:c r="M170" s="96" t="str">
        <x:f>IF($A170="","",SUMIFS('Orders'!$K$2:$K$500,'Orders'!$C$2:$C$500,$A170,'Orders'!$M$2:$M$500,"&lt;&gt;cancelled"))</x:f>
      </x:c>
      <x:c r="N170" s="96" t="str">
        <x:f>IF($A170="","",COUNTIFS('Orders'!$C$2:$C$500,$A170,'Orders'!$M$2:$M$500,"&lt;&gt;cancelled"))</x:f>
      </x:c>
      <x:c r="O170" s="100" t="str">
        <x:f>IF($A170="","",IF(COUNTIF('Interactions'!$B$2:$B$500,$A170)=0,"",MAXIFS('Interactions'!$G$2:$G$500,'Interactions'!$B$2:$B$500,$A170)))</x:f>
      </x:c>
      <x:c r="P170" s="100" t="str">
        <x:f>IF($A170="","",IF(COUNTIFS('FollowUps'!$B$2:$B$500,$A170,'FollowUps'!$H$2:$H$500,"open")=0,"",MINIFS('FollowUps'!$E$2:$E$500,'FollowUps'!$B$2:$B$500,$A170,'FollowUps'!$H$2:$H$500,"open")))</x:f>
      </x:c>
      <x:c r="Q170" s="104" t="str">
        <x:f>IF($A170="","",ROUND(MIN(25,$N170/VALUE(INDEX('Settings'!$B$2:$B$100,MATCH("score_purchase_target",'Settings'!$A$2:$A$100,0)))*25)+MIN(25,$M170/VALUE(INDEX('Settings'!$B$2:$B$100,MATCH("score_value_target",'Settings'!$A$2:$A$100,0)))*25)+IF($L170="",0,MAX(0,25-(TODAY()-$L170)/VALUE(INDEX('Settings'!$B$2:$B$100,MATCH("score_recency_days",'Settings'!$A$2:$A$100,0)))*25))+MIN(15,COUNTIFS('FollowUps'!$B$2:$B$500,$A170,'FollowUps'!$H$2:$H$500,"done")/VALUE(INDEX('Settings'!$B$2:$B$100,MATCH("score_response_target",'Settings'!$A$2:$A$100,0)))*15)+IF(COUNTIFS('Interactions'!$B$2:$B$500,$A170,'Interactions'!$E$2:$E$500,"complaint")=0,10,0),0))</x:f>
      </x:c>
      <x:c r="R170" s="108" t="str">
        <x:f>IF($A170="","",IF($J170="inactive","inactive",IF($J170="at_risk","at_risk",IF($Q170&gt;=85,"vip",IF($Q170&gt;=70,"loyal",IF($Q170&gt;=50,"active",IF($N170=0,"new","needs_attention")))))))</x:f>
      </x:c>
      <x:c r="S170" s="19"/>
      <x:c r="T170" s="18"/>
      <x:c r="U170" s="19"/>
      <x:c r="V170" s="20"/>
      <x:c r="W170" s="26"/>
      <x:c r="X170" s="19"/>
      <x:c r="Y170" s="26"/>
      <x:c r="Z170" s="19"/>
      <x:c r="AA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20"/>
      <x:c r="J171" s="19"/>
      <x:c r="K171" s="19"/>
      <x:c r="L171" s="92" t="str">
        <x:f>IF($A171="","",IF(COUNTIFS('Orders'!$C$2:$C$500,$A171,'Orders'!$M$2:$M$500,"&lt;&gt;cancelled")=0,"",MAXIFS('Orders'!$G$2:$G$500,'Orders'!$C$2:$C$500,$A171,'Orders'!$M$2:$M$500,"&lt;&gt;cancelled")))</x:f>
      </x:c>
      <x:c r="M171" s="96" t="str">
        <x:f>IF($A171="","",SUMIFS('Orders'!$K$2:$K$500,'Orders'!$C$2:$C$500,$A171,'Orders'!$M$2:$M$500,"&lt;&gt;cancelled"))</x:f>
      </x:c>
      <x:c r="N171" s="96" t="str">
        <x:f>IF($A171="","",COUNTIFS('Orders'!$C$2:$C$500,$A171,'Orders'!$M$2:$M$500,"&lt;&gt;cancelled"))</x:f>
      </x:c>
      <x:c r="O171" s="100" t="str">
        <x:f>IF($A171="","",IF(COUNTIF('Interactions'!$B$2:$B$500,$A171)=0,"",MAXIFS('Interactions'!$G$2:$G$500,'Interactions'!$B$2:$B$500,$A171)))</x:f>
      </x:c>
      <x:c r="P171" s="100" t="str">
        <x:f>IF($A171="","",IF(COUNTIFS('FollowUps'!$B$2:$B$500,$A171,'FollowUps'!$H$2:$H$500,"open")=0,"",MINIFS('FollowUps'!$E$2:$E$500,'FollowUps'!$B$2:$B$500,$A171,'FollowUps'!$H$2:$H$500,"open")))</x:f>
      </x:c>
      <x:c r="Q171" s="104" t="str">
        <x:f>IF($A171="","",ROUND(MIN(25,$N171/VALUE(INDEX('Settings'!$B$2:$B$100,MATCH("score_purchase_target",'Settings'!$A$2:$A$100,0)))*25)+MIN(25,$M171/VALUE(INDEX('Settings'!$B$2:$B$100,MATCH("score_value_target",'Settings'!$A$2:$A$100,0)))*25)+IF($L171="",0,MAX(0,25-(TODAY()-$L171)/VALUE(INDEX('Settings'!$B$2:$B$100,MATCH("score_recency_days",'Settings'!$A$2:$A$100,0)))*25))+MIN(15,COUNTIFS('FollowUps'!$B$2:$B$500,$A171,'FollowUps'!$H$2:$H$500,"done")/VALUE(INDEX('Settings'!$B$2:$B$100,MATCH("score_response_target",'Settings'!$A$2:$A$100,0)))*15)+IF(COUNTIFS('Interactions'!$B$2:$B$500,$A171,'Interactions'!$E$2:$E$500,"complaint")=0,10,0),0))</x:f>
      </x:c>
      <x:c r="R171" s="108" t="str">
        <x:f>IF($A171="","",IF($J171="inactive","inactive",IF($J171="at_risk","at_risk",IF($Q171&gt;=85,"vip",IF($Q171&gt;=70,"loyal",IF($Q171&gt;=50,"active",IF($N171=0,"new","needs_attention")))))))</x:f>
      </x:c>
      <x:c r="S171" s="19"/>
      <x:c r="T171" s="18"/>
      <x:c r="U171" s="19"/>
      <x:c r="V171" s="20"/>
      <x:c r="W171" s="26"/>
      <x:c r="X171" s="19"/>
      <x:c r="Y171" s="26"/>
      <x:c r="Z171" s="19"/>
      <x:c r="AA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20"/>
      <x:c r="J172" s="19"/>
      <x:c r="K172" s="19"/>
      <x:c r="L172" s="92" t="str">
        <x:f>IF($A172="","",IF(COUNTIFS('Orders'!$C$2:$C$500,$A172,'Orders'!$M$2:$M$500,"&lt;&gt;cancelled")=0,"",MAXIFS('Orders'!$G$2:$G$500,'Orders'!$C$2:$C$500,$A172,'Orders'!$M$2:$M$500,"&lt;&gt;cancelled")))</x:f>
      </x:c>
      <x:c r="M172" s="96" t="str">
        <x:f>IF($A172="","",SUMIFS('Orders'!$K$2:$K$500,'Orders'!$C$2:$C$500,$A172,'Orders'!$M$2:$M$500,"&lt;&gt;cancelled"))</x:f>
      </x:c>
      <x:c r="N172" s="96" t="str">
        <x:f>IF($A172="","",COUNTIFS('Orders'!$C$2:$C$500,$A172,'Orders'!$M$2:$M$500,"&lt;&gt;cancelled"))</x:f>
      </x:c>
      <x:c r="O172" s="100" t="str">
        <x:f>IF($A172="","",IF(COUNTIF('Interactions'!$B$2:$B$500,$A172)=0,"",MAXIFS('Interactions'!$G$2:$G$500,'Interactions'!$B$2:$B$500,$A172)))</x:f>
      </x:c>
      <x:c r="P172" s="100" t="str">
        <x:f>IF($A172="","",IF(COUNTIFS('FollowUps'!$B$2:$B$500,$A172,'FollowUps'!$H$2:$H$500,"open")=0,"",MINIFS('FollowUps'!$E$2:$E$500,'FollowUps'!$B$2:$B$500,$A172,'FollowUps'!$H$2:$H$500,"open")))</x:f>
      </x:c>
      <x:c r="Q172" s="104" t="str">
        <x:f>IF($A172="","",ROUND(MIN(25,$N172/VALUE(INDEX('Settings'!$B$2:$B$100,MATCH("score_purchase_target",'Settings'!$A$2:$A$100,0)))*25)+MIN(25,$M172/VALUE(INDEX('Settings'!$B$2:$B$100,MATCH("score_value_target",'Settings'!$A$2:$A$100,0)))*25)+IF($L172="",0,MAX(0,25-(TODAY()-$L172)/VALUE(INDEX('Settings'!$B$2:$B$100,MATCH("score_recency_days",'Settings'!$A$2:$A$100,0)))*25))+MIN(15,COUNTIFS('FollowUps'!$B$2:$B$500,$A172,'FollowUps'!$H$2:$H$500,"done")/VALUE(INDEX('Settings'!$B$2:$B$100,MATCH("score_response_target",'Settings'!$A$2:$A$100,0)))*15)+IF(COUNTIFS('Interactions'!$B$2:$B$500,$A172,'Interactions'!$E$2:$E$500,"complaint")=0,10,0),0))</x:f>
      </x:c>
      <x:c r="R172" s="108" t="str">
        <x:f>IF($A172="","",IF($J172="inactive","inactive",IF($J172="at_risk","at_risk",IF($Q172&gt;=85,"vip",IF($Q172&gt;=70,"loyal",IF($Q172&gt;=50,"active",IF($N172=0,"new","needs_attention")))))))</x:f>
      </x:c>
      <x:c r="S172" s="19"/>
      <x:c r="T172" s="18"/>
      <x:c r="U172" s="19"/>
      <x:c r="V172" s="20"/>
      <x:c r="W172" s="26"/>
      <x:c r="X172" s="19"/>
      <x:c r="Y172" s="26"/>
      <x:c r="Z172" s="19"/>
      <x:c r="AA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20"/>
      <x:c r="J173" s="19"/>
      <x:c r="K173" s="19"/>
      <x:c r="L173" s="92" t="str">
        <x:f>IF($A173="","",IF(COUNTIFS('Orders'!$C$2:$C$500,$A173,'Orders'!$M$2:$M$500,"&lt;&gt;cancelled")=0,"",MAXIFS('Orders'!$G$2:$G$500,'Orders'!$C$2:$C$500,$A173,'Orders'!$M$2:$M$500,"&lt;&gt;cancelled")))</x:f>
      </x:c>
      <x:c r="M173" s="96" t="str">
        <x:f>IF($A173="","",SUMIFS('Orders'!$K$2:$K$500,'Orders'!$C$2:$C$500,$A173,'Orders'!$M$2:$M$500,"&lt;&gt;cancelled"))</x:f>
      </x:c>
      <x:c r="N173" s="96" t="str">
        <x:f>IF($A173="","",COUNTIFS('Orders'!$C$2:$C$500,$A173,'Orders'!$M$2:$M$500,"&lt;&gt;cancelled"))</x:f>
      </x:c>
      <x:c r="O173" s="100" t="str">
        <x:f>IF($A173="","",IF(COUNTIF('Interactions'!$B$2:$B$500,$A173)=0,"",MAXIFS('Interactions'!$G$2:$G$500,'Interactions'!$B$2:$B$500,$A173)))</x:f>
      </x:c>
      <x:c r="P173" s="100" t="str">
        <x:f>IF($A173="","",IF(COUNTIFS('FollowUps'!$B$2:$B$500,$A173,'FollowUps'!$H$2:$H$500,"open")=0,"",MINIFS('FollowUps'!$E$2:$E$500,'FollowUps'!$B$2:$B$500,$A173,'FollowUps'!$H$2:$H$500,"open")))</x:f>
      </x:c>
      <x:c r="Q173" s="104" t="str">
        <x:f>IF($A173="","",ROUND(MIN(25,$N173/VALUE(INDEX('Settings'!$B$2:$B$100,MATCH("score_purchase_target",'Settings'!$A$2:$A$100,0)))*25)+MIN(25,$M173/VALUE(INDEX('Settings'!$B$2:$B$100,MATCH("score_value_target",'Settings'!$A$2:$A$100,0)))*25)+IF($L173="",0,MAX(0,25-(TODAY()-$L173)/VALUE(INDEX('Settings'!$B$2:$B$100,MATCH("score_recency_days",'Settings'!$A$2:$A$100,0)))*25))+MIN(15,COUNTIFS('FollowUps'!$B$2:$B$500,$A173,'FollowUps'!$H$2:$H$500,"done")/VALUE(INDEX('Settings'!$B$2:$B$100,MATCH("score_response_target",'Settings'!$A$2:$A$100,0)))*15)+IF(COUNTIFS('Interactions'!$B$2:$B$500,$A173,'Interactions'!$E$2:$E$500,"complaint")=0,10,0),0))</x:f>
      </x:c>
      <x:c r="R173" s="108" t="str">
        <x:f>IF($A173="","",IF($J173="inactive","inactive",IF($J173="at_risk","at_risk",IF($Q173&gt;=85,"vip",IF($Q173&gt;=70,"loyal",IF($Q173&gt;=50,"active",IF($N173=0,"new","needs_attention")))))))</x:f>
      </x:c>
      <x:c r="S173" s="19"/>
      <x:c r="T173" s="18"/>
      <x:c r="U173" s="19"/>
      <x:c r="V173" s="20"/>
      <x:c r="W173" s="26"/>
      <x:c r="X173" s="19"/>
      <x:c r="Y173" s="26"/>
      <x:c r="Z173" s="19"/>
      <x:c r="AA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20"/>
      <x:c r="J174" s="19"/>
      <x:c r="K174" s="19"/>
      <x:c r="L174" s="92" t="str">
        <x:f>IF($A174="","",IF(COUNTIFS('Orders'!$C$2:$C$500,$A174,'Orders'!$M$2:$M$500,"&lt;&gt;cancelled")=0,"",MAXIFS('Orders'!$G$2:$G$500,'Orders'!$C$2:$C$500,$A174,'Orders'!$M$2:$M$500,"&lt;&gt;cancelled")))</x:f>
      </x:c>
      <x:c r="M174" s="96" t="str">
        <x:f>IF($A174="","",SUMIFS('Orders'!$K$2:$K$500,'Orders'!$C$2:$C$500,$A174,'Orders'!$M$2:$M$500,"&lt;&gt;cancelled"))</x:f>
      </x:c>
      <x:c r="N174" s="96" t="str">
        <x:f>IF($A174="","",COUNTIFS('Orders'!$C$2:$C$500,$A174,'Orders'!$M$2:$M$500,"&lt;&gt;cancelled"))</x:f>
      </x:c>
      <x:c r="O174" s="100" t="str">
        <x:f>IF($A174="","",IF(COUNTIF('Interactions'!$B$2:$B$500,$A174)=0,"",MAXIFS('Interactions'!$G$2:$G$500,'Interactions'!$B$2:$B$500,$A174)))</x:f>
      </x:c>
      <x:c r="P174" s="100" t="str">
        <x:f>IF($A174="","",IF(COUNTIFS('FollowUps'!$B$2:$B$500,$A174,'FollowUps'!$H$2:$H$500,"open")=0,"",MINIFS('FollowUps'!$E$2:$E$500,'FollowUps'!$B$2:$B$500,$A174,'FollowUps'!$H$2:$H$500,"open")))</x:f>
      </x:c>
      <x:c r="Q174" s="104" t="str">
        <x:f>IF($A174="","",ROUND(MIN(25,$N174/VALUE(INDEX('Settings'!$B$2:$B$100,MATCH("score_purchase_target",'Settings'!$A$2:$A$100,0)))*25)+MIN(25,$M174/VALUE(INDEX('Settings'!$B$2:$B$100,MATCH("score_value_target",'Settings'!$A$2:$A$100,0)))*25)+IF($L174="",0,MAX(0,25-(TODAY()-$L174)/VALUE(INDEX('Settings'!$B$2:$B$100,MATCH("score_recency_days",'Settings'!$A$2:$A$100,0)))*25))+MIN(15,COUNTIFS('FollowUps'!$B$2:$B$500,$A174,'FollowUps'!$H$2:$H$500,"done")/VALUE(INDEX('Settings'!$B$2:$B$100,MATCH("score_response_target",'Settings'!$A$2:$A$100,0)))*15)+IF(COUNTIFS('Interactions'!$B$2:$B$500,$A174,'Interactions'!$E$2:$E$500,"complaint")=0,10,0),0))</x:f>
      </x:c>
      <x:c r="R174" s="108" t="str">
        <x:f>IF($A174="","",IF($J174="inactive","inactive",IF($J174="at_risk","at_risk",IF($Q174&gt;=85,"vip",IF($Q174&gt;=70,"loyal",IF($Q174&gt;=50,"active",IF($N174=0,"new","needs_attention")))))))</x:f>
      </x:c>
      <x:c r="S174" s="19"/>
      <x:c r="T174" s="18"/>
      <x:c r="U174" s="19"/>
      <x:c r="V174" s="20"/>
      <x:c r="W174" s="26"/>
      <x:c r="X174" s="19"/>
      <x:c r="Y174" s="26"/>
      <x:c r="Z174" s="19"/>
      <x:c r="AA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20"/>
      <x:c r="J175" s="19"/>
      <x:c r="K175" s="19"/>
      <x:c r="L175" s="92" t="str">
        <x:f>IF($A175="","",IF(COUNTIFS('Orders'!$C$2:$C$500,$A175,'Orders'!$M$2:$M$500,"&lt;&gt;cancelled")=0,"",MAXIFS('Orders'!$G$2:$G$500,'Orders'!$C$2:$C$500,$A175,'Orders'!$M$2:$M$500,"&lt;&gt;cancelled")))</x:f>
      </x:c>
      <x:c r="M175" s="96" t="str">
        <x:f>IF($A175="","",SUMIFS('Orders'!$K$2:$K$500,'Orders'!$C$2:$C$500,$A175,'Orders'!$M$2:$M$500,"&lt;&gt;cancelled"))</x:f>
      </x:c>
      <x:c r="N175" s="96" t="str">
        <x:f>IF($A175="","",COUNTIFS('Orders'!$C$2:$C$500,$A175,'Orders'!$M$2:$M$500,"&lt;&gt;cancelled"))</x:f>
      </x:c>
      <x:c r="O175" s="100" t="str">
        <x:f>IF($A175="","",IF(COUNTIF('Interactions'!$B$2:$B$500,$A175)=0,"",MAXIFS('Interactions'!$G$2:$G$500,'Interactions'!$B$2:$B$500,$A175)))</x:f>
      </x:c>
      <x:c r="P175" s="100" t="str">
        <x:f>IF($A175="","",IF(COUNTIFS('FollowUps'!$B$2:$B$500,$A175,'FollowUps'!$H$2:$H$500,"open")=0,"",MINIFS('FollowUps'!$E$2:$E$500,'FollowUps'!$B$2:$B$500,$A175,'FollowUps'!$H$2:$H$500,"open")))</x:f>
      </x:c>
      <x:c r="Q175" s="104" t="str">
        <x:f>IF($A175="","",ROUND(MIN(25,$N175/VALUE(INDEX('Settings'!$B$2:$B$100,MATCH("score_purchase_target",'Settings'!$A$2:$A$100,0)))*25)+MIN(25,$M175/VALUE(INDEX('Settings'!$B$2:$B$100,MATCH("score_value_target",'Settings'!$A$2:$A$100,0)))*25)+IF($L175="",0,MAX(0,25-(TODAY()-$L175)/VALUE(INDEX('Settings'!$B$2:$B$100,MATCH("score_recency_days",'Settings'!$A$2:$A$100,0)))*25))+MIN(15,COUNTIFS('FollowUps'!$B$2:$B$500,$A175,'FollowUps'!$H$2:$H$500,"done")/VALUE(INDEX('Settings'!$B$2:$B$100,MATCH("score_response_target",'Settings'!$A$2:$A$100,0)))*15)+IF(COUNTIFS('Interactions'!$B$2:$B$500,$A175,'Interactions'!$E$2:$E$500,"complaint")=0,10,0),0))</x:f>
      </x:c>
      <x:c r="R175" s="108" t="str">
        <x:f>IF($A175="","",IF($J175="inactive","inactive",IF($J175="at_risk","at_risk",IF($Q175&gt;=85,"vip",IF($Q175&gt;=70,"loyal",IF($Q175&gt;=50,"active",IF($N175=0,"new","needs_attention")))))))</x:f>
      </x:c>
      <x:c r="S175" s="19"/>
      <x:c r="T175" s="18"/>
      <x:c r="U175" s="19"/>
      <x:c r="V175" s="20"/>
      <x:c r="W175" s="26"/>
      <x:c r="X175" s="19"/>
      <x:c r="Y175" s="26"/>
      <x:c r="Z175" s="19"/>
      <x:c r="AA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20"/>
      <x:c r="J176" s="19"/>
      <x:c r="K176" s="19"/>
      <x:c r="L176" s="92" t="str">
        <x:f>IF($A176="","",IF(COUNTIFS('Orders'!$C$2:$C$500,$A176,'Orders'!$M$2:$M$500,"&lt;&gt;cancelled")=0,"",MAXIFS('Orders'!$G$2:$G$500,'Orders'!$C$2:$C$500,$A176,'Orders'!$M$2:$M$500,"&lt;&gt;cancelled")))</x:f>
      </x:c>
      <x:c r="M176" s="96" t="str">
        <x:f>IF($A176="","",SUMIFS('Orders'!$K$2:$K$500,'Orders'!$C$2:$C$500,$A176,'Orders'!$M$2:$M$500,"&lt;&gt;cancelled"))</x:f>
      </x:c>
      <x:c r="N176" s="96" t="str">
        <x:f>IF($A176="","",COUNTIFS('Orders'!$C$2:$C$500,$A176,'Orders'!$M$2:$M$500,"&lt;&gt;cancelled"))</x:f>
      </x:c>
      <x:c r="O176" s="100" t="str">
        <x:f>IF($A176="","",IF(COUNTIF('Interactions'!$B$2:$B$500,$A176)=0,"",MAXIFS('Interactions'!$G$2:$G$500,'Interactions'!$B$2:$B$500,$A176)))</x:f>
      </x:c>
      <x:c r="P176" s="100" t="str">
        <x:f>IF($A176="","",IF(COUNTIFS('FollowUps'!$B$2:$B$500,$A176,'FollowUps'!$H$2:$H$500,"open")=0,"",MINIFS('FollowUps'!$E$2:$E$500,'FollowUps'!$B$2:$B$500,$A176,'FollowUps'!$H$2:$H$500,"open")))</x:f>
      </x:c>
      <x:c r="Q176" s="104" t="str">
        <x:f>IF($A176="","",ROUND(MIN(25,$N176/VALUE(INDEX('Settings'!$B$2:$B$100,MATCH("score_purchase_target",'Settings'!$A$2:$A$100,0)))*25)+MIN(25,$M176/VALUE(INDEX('Settings'!$B$2:$B$100,MATCH("score_value_target",'Settings'!$A$2:$A$100,0)))*25)+IF($L176="",0,MAX(0,25-(TODAY()-$L176)/VALUE(INDEX('Settings'!$B$2:$B$100,MATCH("score_recency_days",'Settings'!$A$2:$A$100,0)))*25))+MIN(15,COUNTIFS('FollowUps'!$B$2:$B$500,$A176,'FollowUps'!$H$2:$H$500,"done")/VALUE(INDEX('Settings'!$B$2:$B$100,MATCH("score_response_target",'Settings'!$A$2:$A$100,0)))*15)+IF(COUNTIFS('Interactions'!$B$2:$B$500,$A176,'Interactions'!$E$2:$E$500,"complaint")=0,10,0),0))</x:f>
      </x:c>
      <x:c r="R176" s="108" t="str">
        <x:f>IF($A176="","",IF($J176="inactive","inactive",IF($J176="at_risk","at_risk",IF($Q176&gt;=85,"vip",IF($Q176&gt;=70,"loyal",IF($Q176&gt;=50,"active",IF($N176=0,"new","needs_attention")))))))</x:f>
      </x:c>
      <x:c r="S176" s="19"/>
      <x:c r="T176" s="18"/>
      <x:c r="U176" s="19"/>
      <x:c r="V176" s="20"/>
      <x:c r="W176" s="26"/>
      <x:c r="X176" s="19"/>
      <x:c r="Y176" s="26"/>
      <x:c r="Z176" s="19"/>
      <x:c r="AA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20"/>
      <x:c r="J177" s="19"/>
      <x:c r="K177" s="19"/>
      <x:c r="L177" s="92" t="str">
        <x:f>IF($A177="","",IF(COUNTIFS('Orders'!$C$2:$C$500,$A177,'Orders'!$M$2:$M$500,"&lt;&gt;cancelled")=0,"",MAXIFS('Orders'!$G$2:$G$500,'Orders'!$C$2:$C$500,$A177,'Orders'!$M$2:$M$500,"&lt;&gt;cancelled")))</x:f>
      </x:c>
      <x:c r="M177" s="96" t="str">
        <x:f>IF($A177="","",SUMIFS('Orders'!$K$2:$K$500,'Orders'!$C$2:$C$500,$A177,'Orders'!$M$2:$M$500,"&lt;&gt;cancelled"))</x:f>
      </x:c>
      <x:c r="N177" s="96" t="str">
        <x:f>IF($A177="","",COUNTIFS('Orders'!$C$2:$C$500,$A177,'Orders'!$M$2:$M$500,"&lt;&gt;cancelled"))</x:f>
      </x:c>
      <x:c r="O177" s="100" t="str">
        <x:f>IF($A177="","",IF(COUNTIF('Interactions'!$B$2:$B$500,$A177)=0,"",MAXIFS('Interactions'!$G$2:$G$500,'Interactions'!$B$2:$B$500,$A177)))</x:f>
      </x:c>
      <x:c r="P177" s="100" t="str">
        <x:f>IF($A177="","",IF(COUNTIFS('FollowUps'!$B$2:$B$500,$A177,'FollowUps'!$H$2:$H$500,"open")=0,"",MINIFS('FollowUps'!$E$2:$E$500,'FollowUps'!$B$2:$B$500,$A177,'FollowUps'!$H$2:$H$500,"open")))</x:f>
      </x:c>
      <x:c r="Q177" s="104" t="str">
        <x:f>IF($A177="","",ROUND(MIN(25,$N177/VALUE(INDEX('Settings'!$B$2:$B$100,MATCH("score_purchase_target",'Settings'!$A$2:$A$100,0)))*25)+MIN(25,$M177/VALUE(INDEX('Settings'!$B$2:$B$100,MATCH("score_value_target",'Settings'!$A$2:$A$100,0)))*25)+IF($L177="",0,MAX(0,25-(TODAY()-$L177)/VALUE(INDEX('Settings'!$B$2:$B$100,MATCH("score_recency_days",'Settings'!$A$2:$A$100,0)))*25))+MIN(15,COUNTIFS('FollowUps'!$B$2:$B$500,$A177,'FollowUps'!$H$2:$H$500,"done")/VALUE(INDEX('Settings'!$B$2:$B$100,MATCH("score_response_target",'Settings'!$A$2:$A$100,0)))*15)+IF(COUNTIFS('Interactions'!$B$2:$B$500,$A177,'Interactions'!$E$2:$E$500,"complaint")=0,10,0),0))</x:f>
      </x:c>
      <x:c r="R177" s="108" t="str">
        <x:f>IF($A177="","",IF($J177="inactive","inactive",IF($J177="at_risk","at_risk",IF($Q177&gt;=85,"vip",IF($Q177&gt;=70,"loyal",IF($Q177&gt;=50,"active",IF($N177=0,"new","needs_attention")))))))</x:f>
      </x:c>
      <x:c r="S177" s="19"/>
      <x:c r="T177" s="18"/>
      <x:c r="U177" s="19"/>
      <x:c r="V177" s="20"/>
      <x:c r="W177" s="26"/>
      <x:c r="X177" s="19"/>
      <x:c r="Y177" s="26"/>
      <x:c r="Z177" s="19"/>
      <x:c r="AA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20"/>
      <x:c r="J178" s="19"/>
      <x:c r="K178" s="19"/>
      <x:c r="L178" s="92" t="str">
        <x:f>IF($A178="","",IF(COUNTIFS('Orders'!$C$2:$C$500,$A178,'Orders'!$M$2:$M$500,"&lt;&gt;cancelled")=0,"",MAXIFS('Orders'!$G$2:$G$500,'Orders'!$C$2:$C$500,$A178,'Orders'!$M$2:$M$500,"&lt;&gt;cancelled")))</x:f>
      </x:c>
      <x:c r="M178" s="96" t="str">
        <x:f>IF($A178="","",SUMIFS('Orders'!$K$2:$K$500,'Orders'!$C$2:$C$500,$A178,'Orders'!$M$2:$M$500,"&lt;&gt;cancelled"))</x:f>
      </x:c>
      <x:c r="N178" s="96" t="str">
        <x:f>IF($A178="","",COUNTIFS('Orders'!$C$2:$C$500,$A178,'Orders'!$M$2:$M$500,"&lt;&gt;cancelled"))</x:f>
      </x:c>
      <x:c r="O178" s="100" t="str">
        <x:f>IF($A178="","",IF(COUNTIF('Interactions'!$B$2:$B$500,$A178)=0,"",MAXIFS('Interactions'!$G$2:$G$500,'Interactions'!$B$2:$B$500,$A178)))</x:f>
      </x:c>
      <x:c r="P178" s="100" t="str">
        <x:f>IF($A178="","",IF(COUNTIFS('FollowUps'!$B$2:$B$500,$A178,'FollowUps'!$H$2:$H$500,"open")=0,"",MINIFS('FollowUps'!$E$2:$E$500,'FollowUps'!$B$2:$B$500,$A178,'FollowUps'!$H$2:$H$500,"open")))</x:f>
      </x:c>
      <x:c r="Q178" s="104" t="str">
        <x:f>IF($A178="","",ROUND(MIN(25,$N178/VALUE(INDEX('Settings'!$B$2:$B$100,MATCH("score_purchase_target",'Settings'!$A$2:$A$100,0)))*25)+MIN(25,$M178/VALUE(INDEX('Settings'!$B$2:$B$100,MATCH("score_value_target",'Settings'!$A$2:$A$100,0)))*25)+IF($L178="",0,MAX(0,25-(TODAY()-$L178)/VALUE(INDEX('Settings'!$B$2:$B$100,MATCH("score_recency_days",'Settings'!$A$2:$A$100,0)))*25))+MIN(15,COUNTIFS('FollowUps'!$B$2:$B$500,$A178,'FollowUps'!$H$2:$H$500,"done")/VALUE(INDEX('Settings'!$B$2:$B$100,MATCH("score_response_target",'Settings'!$A$2:$A$100,0)))*15)+IF(COUNTIFS('Interactions'!$B$2:$B$500,$A178,'Interactions'!$E$2:$E$500,"complaint")=0,10,0),0))</x:f>
      </x:c>
      <x:c r="R178" s="108" t="str">
        <x:f>IF($A178="","",IF($J178="inactive","inactive",IF($J178="at_risk","at_risk",IF($Q178&gt;=85,"vip",IF($Q178&gt;=70,"loyal",IF($Q178&gt;=50,"active",IF($N178=0,"new","needs_attention")))))))</x:f>
      </x:c>
      <x:c r="S178" s="19"/>
      <x:c r="T178" s="18"/>
      <x:c r="U178" s="19"/>
      <x:c r="V178" s="20"/>
      <x:c r="W178" s="26"/>
      <x:c r="X178" s="19"/>
      <x:c r="Y178" s="26"/>
      <x:c r="Z178" s="19"/>
      <x:c r="AA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20"/>
      <x:c r="J179" s="19"/>
      <x:c r="K179" s="19"/>
      <x:c r="L179" s="92" t="str">
        <x:f>IF($A179="","",IF(COUNTIFS('Orders'!$C$2:$C$500,$A179,'Orders'!$M$2:$M$500,"&lt;&gt;cancelled")=0,"",MAXIFS('Orders'!$G$2:$G$500,'Orders'!$C$2:$C$500,$A179,'Orders'!$M$2:$M$500,"&lt;&gt;cancelled")))</x:f>
      </x:c>
      <x:c r="M179" s="96" t="str">
        <x:f>IF($A179="","",SUMIFS('Orders'!$K$2:$K$500,'Orders'!$C$2:$C$500,$A179,'Orders'!$M$2:$M$500,"&lt;&gt;cancelled"))</x:f>
      </x:c>
      <x:c r="N179" s="96" t="str">
        <x:f>IF($A179="","",COUNTIFS('Orders'!$C$2:$C$500,$A179,'Orders'!$M$2:$M$500,"&lt;&gt;cancelled"))</x:f>
      </x:c>
      <x:c r="O179" s="100" t="str">
        <x:f>IF($A179="","",IF(COUNTIF('Interactions'!$B$2:$B$500,$A179)=0,"",MAXIFS('Interactions'!$G$2:$G$500,'Interactions'!$B$2:$B$500,$A179)))</x:f>
      </x:c>
      <x:c r="P179" s="100" t="str">
        <x:f>IF($A179="","",IF(COUNTIFS('FollowUps'!$B$2:$B$500,$A179,'FollowUps'!$H$2:$H$500,"open")=0,"",MINIFS('FollowUps'!$E$2:$E$500,'FollowUps'!$B$2:$B$500,$A179,'FollowUps'!$H$2:$H$500,"open")))</x:f>
      </x:c>
      <x:c r="Q179" s="104" t="str">
        <x:f>IF($A179="","",ROUND(MIN(25,$N179/VALUE(INDEX('Settings'!$B$2:$B$100,MATCH("score_purchase_target",'Settings'!$A$2:$A$100,0)))*25)+MIN(25,$M179/VALUE(INDEX('Settings'!$B$2:$B$100,MATCH("score_value_target",'Settings'!$A$2:$A$100,0)))*25)+IF($L179="",0,MAX(0,25-(TODAY()-$L179)/VALUE(INDEX('Settings'!$B$2:$B$100,MATCH("score_recency_days",'Settings'!$A$2:$A$100,0)))*25))+MIN(15,COUNTIFS('FollowUps'!$B$2:$B$500,$A179,'FollowUps'!$H$2:$H$500,"done")/VALUE(INDEX('Settings'!$B$2:$B$100,MATCH("score_response_target",'Settings'!$A$2:$A$100,0)))*15)+IF(COUNTIFS('Interactions'!$B$2:$B$500,$A179,'Interactions'!$E$2:$E$500,"complaint")=0,10,0),0))</x:f>
      </x:c>
      <x:c r="R179" s="108" t="str">
        <x:f>IF($A179="","",IF($J179="inactive","inactive",IF($J179="at_risk","at_risk",IF($Q179&gt;=85,"vip",IF($Q179&gt;=70,"loyal",IF($Q179&gt;=50,"active",IF($N179=0,"new","needs_attention")))))))</x:f>
      </x:c>
      <x:c r="S179" s="19"/>
      <x:c r="T179" s="18"/>
      <x:c r="U179" s="19"/>
      <x:c r="V179" s="20"/>
      <x:c r="W179" s="26"/>
      <x:c r="X179" s="19"/>
      <x:c r="Y179" s="26"/>
      <x:c r="Z179" s="19"/>
      <x:c r="AA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20"/>
      <x:c r="J180" s="19"/>
      <x:c r="K180" s="19"/>
      <x:c r="L180" s="92" t="str">
        <x:f>IF($A180="","",IF(COUNTIFS('Orders'!$C$2:$C$500,$A180,'Orders'!$M$2:$M$500,"&lt;&gt;cancelled")=0,"",MAXIFS('Orders'!$G$2:$G$500,'Orders'!$C$2:$C$500,$A180,'Orders'!$M$2:$M$500,"&lt;&gt;cancelled")))</x:f>
      </x:c>
      <x:c r="M180" s="96" t="str">
        <x:f>IF($A180="","",SUMIFS('Orders'!$K$2:$K$500,'Orders'!$C$2:$C$500,$A180,'Orders'!$M$2:$M$500,"&lt;&gt;cancelled"))</x:f>
      </x:c>
      <x:c r="N180" s="96" t="str">
        <x:f>IF($A180="","",COUNTIFS('Orders'!$C$2:$C$500,$A180,'Orders'!$M$2:$M$500,"&lt;&gt;cancelled"))</x:f>
      </x:c>
      <x:c r="O180" s="100" t="str">
        <x:f>IF($A180="","",IF(COUNTIF('Interactions'!$B$2:$B$500,$A180)=0,"",MAXIFS('Interactions'!$G$2:$G$500,'Interactions'!$B$2:$B$500,$A180)))</x:f>
      </x:c>
      <x:c r="P180" s="100" t="str">
        <x:f>IF($A180="","",IF(COUNTIFS('FollowUps'!$B$2:$B$500,$A180,'FollowUps'!$H$2:$H$500,"open")=0,"",MINIFS('FollowUps'!$E$2:$E$500,'FollowUps'!$B$2:$B$500,$A180,'FollowUps'!$H$2:$H$500,"open")))</x:f>
      </x:c>
      <x:c r="Q180" s="104" t="str">
        <x:f>IF($A180="","",ROUND(MIN(25,$N180/VALUE(INDEX('Settings'!$B$2:$B$100,MATCH("score_purchase_target",'Settings'!$A$2:$A$100,0)))*25)+MIN(25,$M180/VALUE(INDEX('Settings'!$B$2:$B$100,MATCH("score_value_target",'Settings'!$A$2:$A$100,0)))*25)+IF($L180="",0,MAX(0,25-(TODAY()-$L180)/VALUE(INDEX('Settings'!$B$2:$B$100,MATCH("score_recency_days",'Settings'!$A$2:$A$100,0)))*25))+MIN(15,COUNTIFS('FollowUps'!$B$2:$B$500,$A180,'FollowUps'!$H$2:$H$500,"done")/VALUE(INDEX('Settings'!$B$2:$B$100,MATCH("score_response_target",'Settings'!$A$2:$A$100,0)))*15)+IF(COUNTIFS('Interactions'!$B$2:$B$500,$A180,'Interactions'!$E$2:$E$500,"complaint")=0,10,0),0))</x:f>
      </x:c>
      <x:c r="R180" s="108" t="str">
        <x:f>IF($A180="","",IF($J180="inactive","inactive",IF($J180="at_risk","at_risk",IF($Q180&gt;=85,"vip",IF($Q180&gt;=70,"loyal",IF($Q180&gt;=50,"active",IF($N180=0,"new","needs_attention")))))))</x:f>
      </x:c>
      <x:c r="S180" s="19"/>
      <x:c r="T180" s="18"/>
      <x:c r="U180" s="19"/>
      <x:c r="V180" s="20"/>
      <x:c r="W180" s="26"/>
      <x:c r="X180" s="19"/>
      <x:c r="Y180" s="26"/>
      <x:c r="Z180" s="19"/>
      <x:c r="AA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20"/>
      <x:c r="J181" s="19"/>
      <x:c r="K181" s="19"/>
      <x:c r="L181" s="92" t="str">
        <x:f>IF($A181="","",IF(COUNTIFS('Orders'!$C$2:$C$500,$A181,'Orders'!$M$2:$M$500,"&lt;&gt;cancelled")=0,"",MAXIFS('Orders'!$G$2:$G$500,'Orders'!$C$2:$C$500,$A181,'Orders'!$M$2:$M$500,"&lt;&gt;cancelled")))</x:f>
      </x:c>
      <x:c r="M181" s="96" t="str">
        <x:f>IF($A181="","",SUMIFS('Orders'!$K$2:$K$500,'Orders'!$C$2:$C$500,$A181,'Orders'!$M$2:$M$500,"&lt;&gt;cancelled"))</x:f>
      </x:c>
      <x:c r="N181" s="96" t="str">
        <x:f>IF($A181="","",COUNTIFS('Orders'!$C$2:$C$500,$A181,'Orders'!$M$2:$M$500,"&lt;&gt;cancelled"))</x:f>
      </x:c>
      <x:c r="O181" s="100" t="str">
        <x:f>IF($A181="","",IF(COUNTIF('Interactions'!$B$2:$B$500,$A181)=0,"",MAXIFS('Interactions'!$G$2:$G$500,'Interactions'!$B$2:$B$500,$A181)))</x:f>
      </x:c>
      <x:c r="P181" s="100" t="str">
        <x:f>IF($A181="","",IF(COUNTIFS('FollowUps'!$B$2:$B$500,$A181,'FollowUps'!$H$2:$H$500,"open")=0,"",MINIFS('FollowUps'!$E$2:$E$500,'FollowUps'!$B$2:$B$500,$A181,'FollowUps'!$H$2:$H$500,"open")))</x:f>
      </x:c>
      <x:c r="Q181" s="104" t="str">
        <x:f>IF($A181="","",ROUND(MIN(25,$N181/VALUE(INDEX('Settings'!$B$2:$B$100,MATCH("score_purchase_target",'Settings'!$A$2:$A$100,0)))*25)+MIN(25,$M181/VALUE(INDEX('Settings'!$B$2:$B$100,MATCH("score_value_target",'Settings'!$A$2:$A$100,0)))*25)+IF($L181="",0,MAX(0,25-(TODAY()-$L181)/VALUE(INDEX('Settings'!$B$2:$B$100,MATCH("score_recency_days",'Settings'!$A$2:$A$100,0)))*25))+MIN(15,COUNTIFS('FollowUps'!$B$2:$B$500,$A181,'FollowUps'!$H$2:$H$500,"done")/VALUE(INDEX('Settings'!$B$2:$B$100,MATCH("score_response_target",'Settings'!$A$2:$A$100,0)))*15)+IF(COUNTIFS('Interactions'!$B$2:$B$500,$A181,'Interactions'!$E$2:$E$500,"complaint")=0,10,0),0))</x:f>
      </x:c>
      <x:c r="R181" s="108" t="str">
        <x:f>IF($A181="","",IF($J181="inactive","inactive",IF($J181="at_risk","at_risk",IF($Q181&gt;=85,"vip",IF($Q181&gt;=70,"loyal",IF($Q181&gt;=50,"active",IF($N181=0,"new","needs_attention")))))))</x:f>
      </x:c>
      <x:c r="S181" s="19"/>
      <x:c r="T181" s="18"/>
      <x:c r="U181" s="19"/>
      <x:c r="V181" s="20"/>
      <x:c r="W181" s="26"/>
      <x:c r="X181" s="19"/>
      <x:c r="Y181" s="26"/>
      <x:c r="Z181" s="19"/>
      <x:c r="AA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20"/>
      <x:c r="J182" s="19"/>
      <x:c r="K182" s="19"/>
      <x:c r="L182" s="92" t="str">
        <x:f>IF($A182="","",IF(COUNTIFS('Orders'!$C$2:$C$500,$A182,'Orders'!$M$2:$M$500,"&lt;&gt;cancelled")=0,"",MAXIFS('Orders'!$G$2:$G$500,'Orders'!$C$2:$C$500,$A182,'Orders'!$M$2:$M$500,"&lt;&gt;cancelled")))</x:f>
      </x:c>
      <x:c r="M182" s="96" t="str">
        <x:f>IF($A182="","",SUMIFS('Orders'!$K$2:$K$500,'Orders'!$C$2:$C$500,$A182,'Orders'!$M$2:$M$500,"&lt;&gt;cancelled"))</x:f>
      </x:c>
      <x:c r="N182" s="96" t="str">
        <x:f>IF($A182="","",COUNTIFS('Orders'!$C$2:$C$500,$A182,'Orders'!$M$2:$M$500,"&lt;&gt;cancelled"))</x:f>
      </x:c>
      <x:c r="O182" s="100" t="str">
        <x:f>IF($A182="","",IF(COUNTIF('Interactions'!$B$2:$B$500,$A182)=0,"",MAXIFS('Interactions'!$G$2:$G$500,'Interactions'!$B$2:$B$500,$A182)))</x:f>
      </x:c>
      <x:c r="P182" s="100" t="str">
        <x:f>IF($A182="","",IF(COUNTIFS('FollowUps'!$B$2:$B$500,$A182,'FollowUps'!$H$2:$H$500,"open")=0,"",MINIFS('FollowUps'!$E$2:$E$500,'FollowUps'!$B$2:$B$500,$A182,'FollowUps'!$H$2:$H$500,"open")))</x:f>
      </x:c>
      <x:c r="Q182" s="104" t="str">
        <x:f>IF($A182="","",ROUND(MIN(25,$N182/VALUE(INDEX('Settings'!$B$2:$B$100,MATCH("score_purchase_target",'Settings'!$A$2:$A$100,0)))*25)+MIN(25,$M182/VALUE(INDEX('Settings'!$B$2:$B$100,MATCH("score_value_target",'Settings'!$A$2:$A$100,0)))*25)+IF($L182="",0,MAX(0,25-(TODAY()-$L182)/VALUE(INDEX('Settings'!$B$2:$B$100,MATCH("score_recency_days",'Settings'!$A$2:$A$100,0)))*25))+MIN(15,COUNTIFS('FollowUps'!$B$2:$B$500,$A182,'FollowUps'!$H$2:$H$500,"done")/VALUE(INDEX('Settings'!$B$2:$B$100,MATCH("score_response_target",'Settings'!$A$2:$A$100,0)))*15)+IF(COUNTIFS('Interactions'!$B$2:$B$500,$A182,'Interactions'!$E$2:$E$500,"complaint")=0,10,0),0))</x:f>
      </x:c>
      <x:c r="R182" s="108" t="str">
        <x:f>IF($A182="","",IF($J182="inactive","inactive",IF($J182="at_risk","at_risk",IF($Q182&gt;=85,"vip",IF($Q182&gt;=70,"loyal",IF($Q182&gt;=50,"active",IF($N182=0,"new","needs_attention")))))))</x:f>
      </x:c>
      <x:c r="S182" s="19"/>
      <x:c r="T182" s="18"/>
      <x:c r="U182" s="19"/>
      <x:c r="V182" s="20"/>
      <x:c r="W182" s="26"/>
      <x:c r="X182" s="19"/>
      <x:c r="Y182" s="26"/>
      <x:c r="Z182" s="19"/>
      <x:c r="AA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20"/>
      <x:c r="J183" s="19"/>
      <x:c r="K183" s="19"/>
      <x:c r="L183" s="92" t="str">
        <x:f>IF($A183="","",IF(COUNTIFS('Orders'!$C$2:$C$500,$A183,'Orders'!$M$2:$M$500,"&lt;&gt;cancelled")=0,"",MAXIFS('Orders'!$G$2:$G$500,'Orders'!$C$2:$C$500,$A183,'Orders'!$M$2:$M$500,"&lt;&gt;cancelled")))</x:f>
      </x:c>
      <x:c r="M183" s="96" t="str">
        <x:f>IF($A183="","",SUMIFS('Orders'!$K$2:$K$500,'Orders'!$C$2:$C$500,$A183,'Orders'!$M$2:$M$500,"&lt;&gt;cancelled"))</x:f>
      </x:c>
      <x:c r="N183" s="96" t="str">
        <x:f>IF($A183="","",COUNTIFS('Orders'!$C$2:$C$500,$A183,'Orders'!$M$2:$M$500,"&lt;&gt;cancelled"))</x:f>
      </x:c>
      <x:c r="O183" s="100" t="str">
        <x:f>IF($A183="","",IF(COUNTIF('Interactions'!$B$2:$B$500,$A183)=0,"",MAXIFS('Interactions'!$G$2:$G$500,'Interactions'!$B$2:$B$500,$A183)))</x:f>
      </x:c>
      <x:c r="P183" s="100" t="str">
        <x:f>IF($A183="","",IF(COUNTIFS('FollowUps'!$B$2:$B$500,$A183,'FollowUps'!$H$2:$H$500,"open")=0,"",MINIFS('FollowUps'!$E$2:$E$500,'FollowUps'!$B$2:$B$500,$A183,'FollowUps'!$H$2:$H$500,"open")))</x:f>
      </x:c>
      <x:c r="Q183" s="104" t="str">
        <x:f>IF($A183="","",ROUND(MIN(25,$N183/VALUE(INDEX('Settings'!$B$2:$B$100,MATCH("score_purchase_target",'Settings'!$A$2:$A$100,0)))*25)+MIN(25,$M183/VALUE(INDEX('Settings'!$B$2:$B$100,MATCH("score_value_target",'Settings'!$A$2:$A$100,0)))*25)+IF($L183="",0,MAX(0,25-(TODAY()-$L183)/VALUE(INDEX('Settings'!$B$2:$B$100,MATCH("score_recency_days",'Settings'!$A$2:$A$100,0)))*25))+MIN(15,COUNTIFS('FollowUps'!$B$2:$B$500,$A183,'FollowUps'!$H$2:$H$500,"done")/VALUE(INDEX('Settings'!$B$2:$B$100,MATCH("score_response_target",'Settings'!$A$2:$A$100,0)))*15)+IF(COUNTIFS('Interactions'!$B$2:$B$500,$A183,'Interactions'!$E$2:$E$500,"complaint")=0,10,0),0))</x:f>
      </x:c>
      <x:c r="R183" s="108" t="str">
        <x:f>IF($A183="","",IF($J183="inactive","inactive",IF($J183="at_risk","at_risk",IF($Q183&gt;=85,"vip",IF($Q183&gt;=70,"loyal",IF($Q183&gt;=50,"active",IF($N183=0,"new","needs_attention")))))))</x:f>
      </x:c>
      <x:c r="S183" s="19"/>
      <x:c r="T183" s="18"/>
      <x:c r="U183" s="19"/>
      <x:c r="V183" s="20"/>
      <x:c r="W183" s="26"/>
      <x:c r="X183" s="19"/>
      <x:c r="Y183" s="26"/>
      <x:c r="Z183" s="19"/>
      <x:c r="AA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20"/>
      <x:c r="J184" s="19"/>
      <x:c r="K184" s="19"/>
      <x:c r="L184" s="92" t="str">
        <x:f>IF($A184="","",IF(COUNTIFS('Orders'!$C$2:$C$500,$A184,'Orders'!$M$2:$M$500,"&lt;&gt;cancelled")=0,"",MAXIFS('Orders'!$G$2:$G$500,'Orders'!$C$2:$C$500,$A184,'Orders'!$M$2:$M$500,"&lt;&gt;cancelled")))</x:f>
      </x:c>
      <x:c r="M184" s="96" t="str">
        <x:f>IF($A184="","",SUMIFS('Orders'!$K$2:$K$500,'Orders'!$C$2:$C$500,$A184,'Orders'!$M$2:$M$500,"&lt;&gt;cancelled"))</x:f>
      </x:c>
      <x:c r="N184" s="96" t="str">
        <x:f>IF($A184="","",COUNTIFS('Orders'!$C$2:$C$500,$A184,'Orders'!$M$2:$M$500,"&lt;&gt;cancelled"))</x:f>
      </x:c>
      <x:c r="O184" s="100" t="str">
        <x:f>IF($A184="","",IF(COUNTIF('Interactions'!$B$2:$B$500,$A184)=0,"",MAXIFS('Interactions'!$G$2:$G$500,'Interactions'!$B$2:$B$500,$A184)))</x:f>
      </x:c>
      <x:c r="P184" s="100" t="str">
        <x:f>IF($A184="","",IF(COUNTIFS('FollowUps'!$B$2:$B$500,$A184,'FollowUps'!$H$2:$H$500,"open")=0,"",MINIFS('FollowUps'!$E$2:$E$500,'FollowUps'!$B$2:$B$500,$A184,'FollowUps'!$H$2:$H$500,"open")))</x:f>
      </x:c>
      <x:c r="Q184" s="104" t="str">
        <x:f>IF($A184="","",ROUND(MIN(25,$N184/VALUE(INDEX('Settings'!$B$2:$B$100,MATCH("score_purchase_target",'Settings'!$A$2:$A$100,0)))*25)+MIN(25,$M184/VALUE(INDEX('Settings'!$B$2:$B$100,MATCH("score_value_target",'Settings'!$A$2:$A$100,0)))*25)+IF($L184="",0,MAX(0,25-(TODAY()-$L184)/VALUE(INDEX('Settings'!$B$2:$B$100,MATCH("score_recency_days",'Settings'!$A$2:$A$100,0)))*25))+MIN(15,COUNTIFS('FollowUps'!$B$2:$B$500,$A184,'FollowUps'!$H$2:$H$500,"done")/VALUE(INDEX('Settings'!$B$2:$B$100,MATCH("score_response_target",'Settings'!$A$2:$A$100,0)))*15)+IF(COUNTIFS('Interactions'!$B$2:$B$500,$A184,'Interactions'!$E$2:$E$500,"complaint")=0,10,0),0))</x:f>
      </x:c>
      <x:c r="R184" s="108" t="str">
        <x:f>IF($A184="","",IF($J184="inactive","inactive",IF($J184="at_risk","at_risk",IF($Q184&gt;=85,"vip",IF($Q184&gt;=70,"loyal",IF($Q184&gt;=50,"active",IF($N184=0,"new","needs_attention")))))))</x:f>
      </x:c>
      <x:c r="S184" s="19"/>
      <x:c r="T184" s="18"/>
      <x:c r="U184" s="19"/>
      <x:c r="V184" s="20"/>
      <x:c r="W184" s="26"/>
      <x:c r="X184" s="19"/>
      <x:c r="Y184" s="26"/>
      <x:c r="Z184" s="19"/>
      <x:c r="AA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20"/>
      <x:c r="J185" s="19"/>
      <x:c r="K185" s="19"/>
      <x:c r="L185" s="92" t="str">
        <x:f>IF($A185="","",IF(COUNTIFS('Orders'!$C$2:$C$500,$A185,'Orders'!$M$2:$M$500,"&lt;&gt;cancelled")=0,"",MAXIFS('Orders'!$G$2:$G$500,'Orders'!$C$2:$C$500,$A185,'Orders'!$M$2:$M$500,"&lt;&gt;cancelled")))</x:f>
      </x:c>
      <x:c r="M185" s="96" t="str">
        <x:f>IF($A185="","",SUMIFS('Orders'!$K$2:$K$500,'Orders'!$C$2:$C$500,$A185,'Orders'!$M$2:$M$500,"&lt;&gt;cancelled"))</x:f>
      </x:c>
      <x:c r="N185" s="96" t="str">
        <x:f>IF($A185="","",COUNTIFS('Orders'!$C$2:$C$500,$A185,'Orders'!$M$2:$M$500,"&lt;&gt;cancelled"))</x:f>
      </x:c>
      <x:c r="O185" s="100" t="str">
        <x:f>IF($A185="","",IF(COUNTIF('Interactions'!$B$2:$B$500,$A185)=0,"",MAXIFS('Interactions'!$G$2:$G$500,'Interactions'!$B$2:$B$500,$A185)))</x:f>
      </x:c>
      <x:c r="P185" s="100" t="str">
        <x:f>IF($A185="","",IF(COUNTIFS('FollowUps'!$B$2:$B$500,$A185,'FollowUps'!$H$2:$H$500,"open")=0,"",MINIFS('FollowUps'!$E$2:$E$500,'FollowUps'!$B$2:$B$500,$A185,'FollowUps'!$H$2:$H$500,"open")))</x:f>
      </x:c>
      <x:c r="Q185" s="104" t="str">
        <x:f>IF($A185="","",ROUND(MIN(25,$N185/VALUE(INDEX('Settings'!$B$2:$B$100,MATCH("score_purchase_target",'Settings'!$A$2:$A$100,0)))*25)+MIN(25,$M185/VALUE(INDEX('Settings'!$B$2:$B$100,MATCH("score_value_target",'Settings'!$A$2:$A$100,0)))*25)+IF($L185="",0,MAX(0,25-(TODAY()-$L185)/VALUE(INDEX('Settings'!$B$2:$B$100,MATCH("score_recency_days",'Settings'!$A$2:$A$100,0)))*25))+MIN(15,COUNTIFS('FollowUps'!$B$2:$B$500,$A185,'FollowUps'!$H$2:$H$500,"done")/VALUE(INDEX('Settings'!$B$2:$B$100,MATCH("score_response_target",'Settings'!$A$2:$A$100,0)))*15)+IF(COUNTIFS('Interactions'!$B$2:$B$500,$A185,'Interactions'!$E$2:$E$500,"complaint")=0,10,0),0))</x:f>
      </x:c>
      <x:c r="R185" s="108" t="str">
        <x:f>IF($A185="","",IF($J185="inactive","inactive",IF($J185="at_risk","at_risk",IF($Q185&gt;=85,"vip",IF($Q185&gt;=70,"loyal",IF($Q185&gt;=50,"active",IF($N185=0,"new","needs_attention")))))))</x:f>
      </x:c>
      <x:c r="S185" s="19"/>
      <x:c r="T185" s="18"/>
      <x:c r="U185" s="19"/>
      <x:c r="V185" s="20"/>
      <x:c r="W185" s="26"/>
      <x:c r="X185" s="19"/>
      <x:c r="Y185" s="26"/>
      <x:c r="Z185" s="19"/>
      <x:c r="AA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20"/>
      <x:c r="J186" s="19"/>
      <x:c r="K186" s="19"/>
      <x:c r="L186" s="92" t="str">
        <x:f>IF($A186="","",IF(COUNTIFS('Orders'!$C$2:$C$500,$A186,'Orders'!$M$2:$M$500,"&lt;&gt;cancelled")=0,"",MAXIFS('Orders'!$G$2:$G$500,'Orders'!$C$2:$C$500,$A186,'Orders'!$M$2:$M$500,"&lt;&gt;cancelled")))</x:f>
      </x:c>
      <x:c r="M186" s="96" t="str">
        <x:f>IF($A186="","",SUMIFS('Orders'!$K$2:$K$500,'Orders'!$C$2:$C$500,$A186,'Orders'!$M$2:$M$500,"&lt;&gt;cancelled"))</x:f>
      </x:c>
      <x:c r="N186" s="96" t="str">
        <x:f>IF($A186="","",COUNTIFS('Orders'!$C$2:$C$500,$A186,'Orders'!$M$2:$M$500,"&lt;&gt;cancelled"))</x:f>
      </x:c>
      <x:c r="O186" s="100" t="str">
        <x:f>IF($A186="","",IF(COUNTIF('Interactions'!$B$2:$B$500,$A186)=0,"",MAXIFS('Interactions'!$G$2:$G$500,'Interactions'!$B$2:$B$500,$A186)))</x:f>
      </x:c>
      <x:c r="P186" s="100" t="str">
        <x:f>IF($A186="","",IF(COUNTIFS('FollowUps'!$B$2:$B$500,$A186,'FollowUps'!$H$2:$H$500,"open")=0,"",MINIFS('FollowUps'!$E$2:$E$500,'FollowUps'!$B$2:$B$500,$A186,'FollowUps'!$H$2:$H$500,"open")))</x:f>
      </x:c>
      <x:c r="Q186" s="104" t="str">
        <x:f>IF($A186="","",ROUND(MIN(25,$N186/VALUE(INDEX('Settings'!$B$2:$B$100,MATCH("score_purchase_target",'Settings'!$A$2:$A$100,0)))*25)+MIN(25,$M186/VALUE(INDEX('Settings'!$B$2:$B$100,MATCH("score_value_target",'Settings'!$A$2:$A$100,0)))*25)+IF($L186="",0,MAX(0,25-(TODAY()-$L186)/VALUE(INDEX('Settings'!$B$2:$B$100,MATCH("score_recency_days",'Settings'!$A$2:$A$100,0)))*25))+MIN(15,COUNTIFS('FollowUps'!$B$2:$B$500,$A186,'FollowUps'!$H$2:$H$500,"done")/VALUE(INDEX('Settings'!$B$2:$B$100,MATCH("score_response_target",'Settings'!$A$2:$A$100,0)))*15)+IF(COUNTIFS('Interactions'!$B$2:$B$500,$A186,'Interactions'!$E$2:$E$500,"complaint")=0,10,0),0))</x:f>
      </x:c>
      <x:c r="R186" s="108" t="str">
        <x:f>IF($A186="","",IF($J186="inactive","inactive",IF($J186="at_risk","at_risk",IF($Q186&gt;=85,"vip",IF($Q186&gt;=70,"loyal",IF($Q186&gt;=50,"active",IF($N186=0,"new","needs_attention")))))))</x:f>
      </x:c>
      <x:c r="S186" s="19"/>
      <x:c r="T186" s="18"/>
      <x:c r="U186" s="19"/>
      <x:c r="V186" s="20"/>
      <x:c r="W186" s="26"/>
      <x:c r="X186" s="19"/>
      <x:c r="Y186" s="26"/>
      <x:c r="Z186" s="19"/>
      <x:c r="AA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20"/>
      <x:c r="J187" s="19"/>
      <x:c r="K187" s="19"/>
      <x:c r="L187" s="92" t="str">
        <x:f>IF($A187="","",IF(COUNTIFS('Orders'!$C$2:$C$500,$A187,'Orders'!$M$2:$M$500,"&lt;&gt;cancelled")=0,"",MAXIFS('Orders'!$G$2:$G$500,'Orders'!$C$2:$C$500,$A187,'Orders'!$M$2:$M$500,"&lt;&gt;cancelled")))</x:f>
      </x:c>
      <x:c r="M187" s="96" t="str">
        <x:f>IF($A187="","",SUMIFS('Orders'!$K$2:$K$500,'Orders'!$C$2:$C$500,$A187,'Orders'!$M$2:$M$500,"&lt;&gt;cancelled"))</x:f>
      </x:c>
      <x:c r="N187" s="96" t="str">
        <x:f>IF($A187="","",COUNTIFS('Orders'!$C$2:$C$500,$A187,'Orders'!$M$2:$M$500,"&lt;&gt;cancelled"))</x:f>
      </x:c>
      <x:c r="O187" s="100" t="str">
        <x:f>IF($A187="","",IF(COUNTIF('Interactions'!$B$2:$B$500,$A187)=0,"",MAXIFS('Interactions'!$G$2:$G$500,'Interactions'!$B$2:$B$500,$A187)))</x:f>
      </x:c>
      <x:c r="P187" s="100" t="str">
        <x:f>IF($A187="","",IF(COUNTIFS('FollowUps'!$B$2:$B$500,$A187,'FollowUps'!$H$2:$H$500,"open")=0,"",MINIFS('FollowUps'!$E$2:$E$500,'FollowUps'!$B$2:$B$500,$A187,'FollowUps'!$H$2:$H$500,"open")))</x:f>
      </x:c>
      <x:c r="Q187" s="104" t="str">
        <x:f>IF($A187="","",ROUND(MIN(25,$N187/VALUE(INDEX('Settings'!$B$2:$B$100,MATCH("score_purchase_target",'Settings'!$A$2:$A$100,0)))*25)+MIN(25,$M187/VALUE(INDEX('Settings'!$B$2:$B$100,MATCH("score_value_target",'Settings'!$A$2:$A$100,0)))*25)+IF($L187="",0,MAX(0,25-(TODAY()-$L187)/VALUE(INDEX('Settings'!$B$2:$B$100,MATCH("score_recency_days",'Settings'!$A$2:$A$100,0)))*25))+MIN(15,COUNTIFS('FollowUps'!$B$2:$B$500,$A187,'FollowUps'!$H$2:$H$500,"done")/VALUE(INDEX('Settings'!$B$2:$B$100,MATCH("score_response_target",'Settings'!$A$2:$A$100,0)))*15)+IF(COUNTIFS('Interactions'!$B$2:$B$500,$A187,'Interactions'!$E$2:$E$500,"complaint")=0,10,0),0))</x:f>
      </x:c>
      <x:c r="R187" s="108" t="str">
        <x:f>IF($A187="","",IF($J187="inactive","inactive",IF($J187="at_risk","at_risk",IF($Q187&gt;=85,"vip",IF($Q187&gt;=70,"loyal",IF($Q187&gt;=50,"active",IF($N187=0,"new","needs_attention")))))))</x:f>
      </x:c>
      <x:c r="S187" s="19"/>
      <x:c r="T187" s="18"/>
      <x:c r="U187" s="19"/>
      <x:c r="V187" s="20"/>
      <x:c r="W187" s="26"/>
      <x:c r="X187" s="19"/>
      <x:c r="Y187" s="26"/>
      <x:c r="Z187" s="19"/>
      <x:c r="AA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20"/>
      <x:c r="J188" s="19"/>
      <x:c r="K188" s="19"/>
      <x:c r="L188" s="92" t="str">
        <x:f>IF($A188="","",IF(COUNTIFS('Orders'!$C$2:$C$500,$A188,'Orders'!$M$2:$M$500,"&lt;&gt;cancelled")=0,"",MAXIFS('Orders'!$G$2:$G$500,'Orders'!$C$2:$C$500,$A188,'Orders'!$M$2:$M$500,"&lt;&gt;cancelled")))</x:f>
      </x:c>
      <x:c r="M188" s="96" t="str">
        <x:f>IF($A188="","",SUMIFS('Orders'!$K$2:$K$500,'Orders'!$C$2:$C$500,$A188,'Orders'!$M$2:$M$500,"&lt;&gt;cancelled"))</x:f>
      </x:c>
      <x:c r="N188" s="96" t="str">
        <x:f>IF($A188="","",COUNTIFS('Orders'!$C$2:$C$500,$A188,'Orders'!$M$2:$M$500,"&lt;&gt;cancelled"))</x:f>
      </x:c>
      <x:c r="O188" s="100" t="str">
        <x:f>IF($A188="","",IF(COUNTIF('Interactions'!$B$2:$B$500,$A188)=0,"",MAXIFS('Interactions'!$G$2:$G$500,'Interactions'!$B$2:$B$500,$A188)))</x:f>
      </x:c>
      <x:c r="P188" s="100" t="str">
        <x:f>IF($A188="","",IF(COUNTIFS('FollowUps'!$B$2:$B$500,$A188,'FollowUps'!$H$2:$H$500,"open")=0,"",MINIFS('FollowUps'!$E$2:$E$500,'FollowUps'!$B$2:$B$500,$A188,'FollowUps'!$H$2:$H$500,"open")))</x:f>
      </x:c>
      <x:c r="Q188" s="104" t="str">
        <x:f>IF($A188="","",ROUND(MIN(25,$N188/VALUE(INDEX('Settings'!$B$2:$B$100,MATCH("score_purchase_target",'Settings'!$A$2:$A$100,0)))*25)+MIN(25,$M188/VALUE(INDEX('Settings'!$B$2:$B$100,MATCH("score_value_target",'Settings'!$A$2:$A$100,0)))*25)+IF($L188="",0,MAX(0,25-(TODAY()-$L188)/VALUE(INDEX('Settings'!$B$2:$B$100,MATCH("score_recency_days",'Settings'!$A$2:$A$100,0)))*25))+MIN(15,COUNTIFS('FollowUps'!$B$2:$B$500,$A188,'FollowUps'!$H$2:$H$500,"done")/VALUE(INDEX('Settings'!$B$2:$B$100,MATCH("score_response_target",'Settings'!$A$2:$A$100,0)))*15)+IF(COUNTIFS('Interactions'!$B$2:$B$500,$A188,'Interactions'!$E$2:$E$500,"complaint")=0,10,0),0))</x:f>
      </x:c>
      <x:c r="R188" s="108" t="str">
        <x:f>IF($A188="","",IF($J188="inactive","inactive",IF($J188="at_risk","at_risk",IF($Q188&gt;=85,"vip",IF($Q188&gt;=70,"loyal",IF($Q188&gt;=50,"active",IF($N188=0,"new","needs_attention")))))))</x:f>
      </x:c>
      <x:c r="S188" s="19"/>
      <x:c r="T188" s="18"/>
      <x:c r="U188" s="19"/>
      <x:c r="V188" s="20"/>
      <x:c r="W188" s="26"/>
      <x:c r="X188" s="19"/>
      <x:c r="Y188" s="26"/>
      <x:c r="Z188" s="19"/>
      <x:c r="AA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20"/>
      <x:c r="J189" s="19"/>
      <x:c r="K189" s="19"/>
      <x:c r="L189" s="92" t="str">
        <x:f>IF($A189="","",IF(COUNTIFS('Orders'!$C$2:$C$500,$A189,'Orders'!$M$2:$M$500,"&lt;&gt;cancelled")=0,"",MAXIFS('Orders'!$G$2:$G$500,'Orders'!$C$2:$C$500,$A189,'Orders'!$M$2:$M$500,"&lt;&gt;cancelled")))</x:f>
      </x:c>
      <x:c r="M189" s="96" t="str">
        <x:f>IF($A189="","",SUMIFS('Orders'!$K$2:$K$500,'Orders'!$C$2:$C$500,$A189,'Orders'!$M$2:$M$500,"&lt;&gt;cancelled"))</x:f>
      </x:c>
      <x:c r="N189" s="96" t="str">
        <x:f>IF($A189="","",COUNTIFS('Orders'!$C$2:$C$500,$A189,'Orders'!$M$2:$M$500,"&lt;&gt;cancelled"))</x:f>
      </x:c>
      <x:c r="O189" s="100" t="str">
        <x:f>IF($A189="","",IF(COUNTIF('Interactions'!$B$2:$B$500,$A189)=0,"",MAXIFS('Interactions'!$G$2:$G$500,'Interactions'!$B$2:$B$500,$A189)))</x:f>
      </x:c>
      <x:c r="P189" s="100" t="str">
        <x:f>IF($A189="","",IF(COUNTIFS('FollowUps'!$B$2:$B$500,$A189,'FollowUps'!$H$2:$H$500,"open")=0,"",MINIFS('FollowUps'!$E$2:$E$500,'FollowUps'!$B$2:$B$500,$A189,'FollowUps'!$H$2:$H$500,"open")))</x:f>
      </x:c>
      <x:c r="Q189" s="104" t="str">
        <x:f>IF($A189="","",ROUND(MIN(25,$N189/VALUE(INDEX('Settings'!$B$2:$B$100,MATCH("score_purchase_target",'Settings'!$A$2:$A$100,0)))*25)+MIN(25,$M189/VALUE(INDEX('Settings'!$B$2:$B$100,MATCH("score_value_target",'Settings'!$A$2:$A$100,0)))*25)+IF($L189="",0,MAX(0,25-(TODAY()-$L189)/VALUE(INDEX('Settings'!$B$2:$B$100,MATCH("score_recency_days",'Settings'!$A$2:$A$100,0)))*25))+MIN(15,COUNTIFS('FollowUps'!$B$2:$B$500,$A189,'FollowUps'!$H$2:$H$500,"done")/VALUE(INDEX('Settings'!$B$2:$B$100,MATCH("score_response_target",'Settings'!$A$2:$A$100,0)))*15)+IF(COUNTIFS('Interactions'!$B$2:$B$500,$A189,'Interactions'!$E$2:$E$500,"complaint")=0,10,0),0))</x:f>
      </x:c>
      <x:c r="R189" s="108" t="str">
        <x:f>IF($A189="","",IF($J189="inactive","inactive",IF($J189="at_risk","at_risk",IF($Q189&gt;=85,"vip",IF($Q189&gt;=70,"loyal",IF($Q189&gt;=50,"active",IF($N189=0,"new","needs_attention")))))))</x:f>
      </x:c>
      <x:c r="S189" s="19"/>
      <x:c r="T189" s="18"/>
      <x:c r="U189" s="19"/>
      <x:c r="V189" s="20"/>
      <x:c r="W189" s="26"/>
      <x:c r="X189" s="19"/>
      <x:c r="Y189" s="26"/>
      <x:c r="Z189" s="19"/>
      <x:c r="AA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20"/>
      <x:c r="J190" s="19"/>
      <x:c r="K190" s="19"/>
      <x:c r="L190" s="92" t="str">
        <x:f>IF($A190="","",IF(COUNTIFS('Orders'!$C$2:$C$500,$A190,'Orders'!$M$2:$M$500,"&lt;&gt;cancelled")=0,"",MAXIFS('Orders'!$G$2:$G$500,'Orders'!$C$2:$C$500,$A190,'Orders'!$M$2:$M$500,"&lt;&gt;cancelled")))</x:f>
      </x:c>
      <x:c r="M190" s="96" t="str">
        <x:f>IF($A190="","",SUMIFS('Orders'!$K$2:$K$500,'Orders'!$C$2:$C$500,$A190,'Orders'!$M$2:$M$500,"&lt;&gt;cancelled"))</x:f>
      </x:c>
      <x:c r="N190" s="96" t="str">
        <x:f>IF($A190="","",COUNTIFS('Orders'!$C$2:$C$500,$A190,'Orders'!$M$2:$M$500,"&lt;&gt;cancelled"))</x:f>
      </x:c>
      <x:c r="O190" s="100" t="str">
        <x:f>IF($A190="","",IF(COUNTIF('Interactions'!$B$2:$B$500,$A190)=0,"",MAXIFS('Interactions'!$G$2:$G$500,'Interactions'!$B$2:$B$500,$A190)))</x:f>
      </x:c>
      <x:c r="P190" s="100" t="str">
        <x:f>IF($A190="","",IF(COUNTIFS('FollowUps'!$B$2:$B$500,$A190,'FollowUps'!$H$2:$H$500,"open")=0,"",MINIFS('FollowUps'!$E$2:$E$500,'FollowUps'!$B$2:$B$500,$A190,'FollowUps'!$H$2:$H$500,"open")))</x:f>
      </x:c>
      <x:c r="Q190" s="104" t="str">
        <x:f>IF($A190="","",ROUND(MIN(25,$N190/VALUE(INDEX('Settings'!$B$2:$B$100,MATCH("score_purchase_target",'Settings'!$A$2:$A$100,0)))*25)+MIN(25,$M190/VALUE(INDEX('Settings'!$B$2:$B$100,MATCH("score_value_target",'Settings'!$A$2:$A$100,0)))*25)+IF($L190="",0,MAX(0,25-(TODAY()-$L190)/VALUE(INDEX('Settings'!$B$2:$B$100,MATCH("score_recency_days",'Settings'!$A$2:$A$100,0)))*25))+MIN(15,COUNTIFS('FollowUps'!$B$2:$B$500,$A190,'FollowUps'!$H$2:$H$500,"done")/VALUE(INDEX('Settings'!$B$2:$B$100,MATCH("score_response_target",'Settings'!$A$2:$A$100,0)))*15)+IF(COUNTIFS('Interactions'!$B$2:$B$500,$A190,'Interactions'!$E$2:$E$500,"complaint")=0,10,0),0))</x:f>
      </x:c>
      <x:c r="R190" s="108" t="str">
        <x:f>IF($A190="","",IF($J190="inactive","inactive",IF($J190="at_risk","at_risk",IF($Q190&gt;=85,"vip",IF($Q190&gt;=70,"loyal",IF($Q190&gt;=50,"active",IF($N190=0,"new","needs_attention")))))))</x:f>
      </x:c>
      <x:c r="S190" s="19"/>
      <x:c r="T190" s="18"/>
      <x:c r="U190" s="19"/>
      <x:c r="V190" s="20"/>
      <x:c r="W190" s="26"/>
      <x:c r="X190" s="19"/>
      <x:c r="Y190" s="26"/>
      <x:c r="Z190" s="19"/>
      <x:c r="AA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20"/>
      <x:c r="J191" s="19"/>
      <x:c r="K191" s="19"/>
      <x:c r="L191" s="92" t="str">
        <x:f>IF($A191="","",IF(COUNTIFS('Orders'!$C$2:$C$500,$A191,'Orders'!$M$2:$M$500,"&lt;&gt;cancelled")=0,"",MAXIFS('Orders'!$G$2:$G$500,'Orders'!$C$2:$C$500,$A191,'Orders'!$M$2:$M$500,"&lt;&gt;cancelled")))</x:f>
      </x:c>
      <x:c r="M191" s="96" t="str">
        <x:f>IF($A191="","",SUMIFS('Orders'!$K$2:$K$500,'Orders'!$C$2:$C$500,$A191,'Orders'!$M$2:$M$500,"&lt;&gt;cancelled"))</x:f>
      </x:c>
      <x:c r="N191" s="96" t="str">
        <x:f>IF($A191="","",COUNTIFS('Orders'!$C$2:$C$500,$A191,'Orders'!$M$2:$M$500,"&lt;&gt;cancelled"))</x:f>
      </x:c>
      <x:c r="O191" s="100" t="str">
        <x:f>IF($A191="","",IF(COUNTIF('Interactions'!$B$2:$B$500,$A191)=0,"",MAXIFS('Interactions'!$G$2:$G$500,'Interactions'!$B$2:$B$500,$A191)))</x:f>
      </x:c>
      <x:c r="P191" s="100" t="str">
        <x:f>IF($A191="","",IF(COUNTIFS('FollowUps'!$B$2:$B$500,$A191,'FollowUps'!$H$2:$H$500,"open")=0,"",MINIFS('FollowUps'!$E$2:$E$500,'FollowUps'!$B$2:$B$500,$A191,'FollowUps'!$H$2:$H$500,"open")))</x:f>
      </x:c>
      <x:c r="Q191" s="104" t="str">
        <x:f>IF($A191="","",ROUND(MIN(25,$N191/VALUE(INDEX('Settings'!$B$2:$B$100,MATCH("score_purchase_target",'Settings'!$A$2:$A$100,0)))*25)+MIN(25,$M191/VALUE(INDEX('Settings'!$B$2:$B$100,MATCH("score_value_target",'Settings'!$A$2:$A$100,0)))*25)+IF($L191="",0,MAX(0,25-(TODAY()-$L191)/VALUE(INDEX('Settings'!$B$2:$B$100,MATCH("score_recency_days",'Settings'!$A$2:$A$100,0)))*25))+MIN(15,COUNTIFS('FollowUps'!$B$2:$B$500,$A191,'FollowUps'!$H$2:$H$500,"done")/VALUE(INDEX('Settings'!$B$2:$B$100,MATCH("score_response_target",'Settings'!$A$2:$A$100,0)))*15)+IF(COUNTIFS('Interactions'!$B$2:$B$500,$A191,'Interactions'!$E$2:$E$500,"complaint")=0,10,0),0))</x:f>
      </x:c>
      <x:c r="R191" s="108" t="str">
        <x:f>IF($A191="","",IF($J191="inactive","inactive",IF($J191="at_risk","at_risk",IF($Q191&gt;=85,"vip",IF($Q191&gt;=70,"loyal",IF($Q191&gt;=50,"active",IF($N191=0,"new","needs_attention")))))))</x:f>
      </x:c>
      <x:c r="S191" s="19"/>
      <x:c r="T191" s="18"/>
      <x:c r="U191" s="19"/>
      <x:c r="V191" s="20"/>
      <x:c r="W191" s="26"/>
      <x:c r="X191" s="19"/>
      <x:c r="Y191" s="26"/>
      <x:c r="Z191" s="19"/>
      <x:c r="AA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20"/>
      <x:c r="J192" s="19"/>
      <x:c r="K192" s="19"/>
      <x:c r="L192" s="92" t="str">
        <x:f>IF($A192="","",IF(COUNTIFS('Orders'!$C$2:$C$500,$A192,'Orders'!$M$2:$M$500,"&lt;&gt;cancelled")=0,"",MAXIFS('Orders'!$G$2:$G$500,'Orders'!$C$2:$C$500,$A192,'Orders'!$M$2:$M$500,"&lt;&gt;cancelled")))</x:f>
      </x:c>
      <x:c r="M192" s="96" t="str">
        <x:f>IF($A192="","",SUMIFS('Orders'!$K$2:$K$500,'Orders'!$C$2:$C$500,$A192,'Orders'!$M$2:$M$500,"&lt;&gt;cancelled"))</x:f>
      </x:c>
      <x:c r="N192" s="96" t="str">
        <x:f>IF($A192="","",COUNTIFS('Orders'!$C$2:$C$500,$A192,'Orders'!$M$2:$M$500,"&lt;&gt;cancelled"))</x:f>
      </x:c>
      <x:c r="O192" s="100" t="str">
        <x:f>IF($A192="","",IF(COUNTIF('Interactions'!$B$2:$B$500,$A192)=0,"",MAXIFS('Interactions'!$G$2:$G$500,'Interactions'!$B$2:$B$500,$A192)))</x:f>
      </x:c>
      <x:c r="P192" s="100" t="str">
        <x:f>IF($A192="","",IF(COUNTIFS('FollowUps'!$B$2:$B$500,$A192,'FollowUps'!$H$2:$H$500,"open")=0,"",MINIFS('FollowUps'!$E$2:$E$500,'FollowUps'!$B$2:$B$500,$A192,'FollowUps'!$H$2:$H$500,"open")))</x:f>
      </x:c>
      <x:c r="Q192" s="104" t="str">
        <x:f>IF($A192="","",ROUND(MIN(25,$N192/VALUE(INDEX('Settings'!$B$2:$B$100,MATCH("score_purchase_target",'Settings'!$A$2:$A$100,0)))*25)+MIN(25,$M192/VALUE(INDEX('Settings'!$B$2:$B$100,MATCH("score_value_target",'Settings'!$A$2:$A$100,0)))*25)+IF($L192="",0,MAX(0,25-(TODAY()-$L192)/VALUE(INDEX('Settings'!$B$2:$B$100,MATCH("score_recency_days",'Settings'!$A$2:$A$100,0)))*25))+MIN(15,COUNTIFS('FollowUps'!$B$2:$B$500,$A192,'FollowUps'!$H$2:$H$500,"done")/VALUE(INDEX('Settings'!$B$2:$B$100,MATCH("score_response_target",'Settings'!$A$2:$A$100,0)))*15)+IF(COUNTIFS('Interactions'!$B$2:$B$500,$A192,'Interactions'!$E$2:$E$500,"complaint")=0,10,0),0))</x:f>
      </x:c>
      <x:c r="R192" s="108" t="str">
        <x:f>IF($A192="","",IF($J192="inactive","inactive",IF($J192="at_risk","at_risk",IF($Q192&gt;=85,"vip",IF($Q192&gt;=70,"loyal",IF($Q192&gt;=50,"active",IF($N192=0,"new","needs_attention")))))))</x:f>
      </x:c>
      <x:c r="S192" s="19"/>
      <x:c r="T192" s="18"/>
      <x:c r="U192" s="19"/>
      <x:c r="V192" s="20"/>
      <x:c r="W192" s="26"/>
      <x:c r="X192" s="19"/>
      <x:c r="Y192" s="26"/>
      <x:c r="Z192" s="19"/>
      <x:c r="AA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20"/>
      <x:c r="J193" s="19"/>
      <x:c r="K193" s="19"/>
      <x:c r="L193" s="92" t="str">
        <x:f>IF($A193="","",IF(COUNTIFS('Orders'!$C$2:$C$500,$A193,'Orders'!$M$2:$M$500,"&lt;&gt;cancelled")=0,"",MAXIFS('Orders'!$G$2:$G$500,'Orders'!$C$2:$C$500,$A193,'Orders'!$M$2:$M$500,"&lt;&gt;cancelled")))</x:f>
      </x:c>
      <x:c r="M193" s="96" t="str">
        <x:f>IF($A193="","",SUMIFS('Orders'!$K$2:$K$500,'Orders'!$C$2:$C$500,$A193,'Orders'!$M$2:$M$500,"&lt;&gt;cancelled"))</x:f>
      </x:c>
      <x:c r="N193" s="96" t="str">
        <x:f>IF($A193="","",COUNTIFS('Orders'!$C$2:$C$500,$A193,'Orders'!$M$2:$M$500,"&lt;&gt;cancelled"))</x:f>
      </x:c>
      <x:c r="O193" s="100" t="str">
        <x:f>IF($A193="","",IF(COUNTIF('Interactions'!$B$2:$B$500,$A193)=0,"",MAXIFS('Interactions'!$G$2:$G$500,'Interactions'!$B$2:$B$500,$A193)))</x:f>
      </x:c>
      <x:c r="P193" s="100" t="str">
        <x:f>IF($A193="","",IF(COUNTIFS('FollowUps'!$B$2:$B$500,$A193,'FollowUps'!$H$2:$H$500,"open")=0,"",MINIFS('FollowUps'!$E$2:$E$500,'FollowUps'!$B$2:$B$500,$A193,'FollowUps'!$H$2:$H$500,"open")))</x:f>
      </x:c>
      <x:c r="Q193" s="104" t="str">
        <x:f>IF($A193="","",ROUND(MIN(25,$N193/VALUE(INDEX('Settings'!$B$2:$B$100,MATCH("score_purchase_target",'Settings'!$A$2:$A$100,0)))*25)+MIN(25,$M193/VALUE(INDEX('Settings'!$B$2:$B$100,MATCH("score_value_target",'Settings'!$A$2:$A$100,0)))*25)+IF($L193="",0,MAX(0,25-(TODAY()-$L193)/VALUE(INDEX('Settings'!$B$2:$B$100,MATCH("score_recency_days",'Settings'!$A$2:$A$100,0)))*25))+MIN(15,COUNTIFS('FollowUps'!$B$2:$B$500,$A193,'FollowUps'!$H$2:$H$500,"done")/VALUE(INDEX('Settings'!$B$2:$B$100,MATCH("score_response_target",'Settings'!$A$2:$A$100,0)))*15)+IF(COUNTIFS('Interactions'!$B$2:$B$500,$A193,'Interactions'!$E$2:$E$500,"complaint")=0,10,0),0))</x:f>
      </x:c>
      <x:c r="R193" s="108" t="str">
        <x:f>IF($A193="","",IF($J193="inactive","inactive",IF($J193="at_risk","at_risk",IF($Q193&gt;=85,"vip",IF($Q193&gt;=70,"loyal",IF($Q193&gt;=50,"active",IF($N193=0,"new","needs_attention")))))))</x:f>
      </x:c>
      <x:c r="S193" s="19"/>
      <x:c r="T193" s="18"/>
      <x:c r="U193" s="19"/>
      <x:c r="V193" s="20"/>
      <x:c r="W193" s="26"/>
      <x:c r="X193" s="19"/>
      <x:c r="Y193" s="26"/>
      <x:c r="Z193" s="19"/>
      <x:c r="AA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20"/>
      <x:c r="J194" s="19"/>
      <x:c r="K194" s="19"/>
      <x:c r="L194" s="92" t="str">
        <x:f>IF($A194="","",IF(COUNTIFS('Orders'!$C$2:$C$500,$A194,'Orders'!$M$2:$M$500,"&lt;&gt;cancelled")=0,"",MAXIFS('Orders'!$G$2:$G$500,'Orders'!$C$2:$C$500,$A194,'Orders'!$M$2:$M$500,"&lt;&gt;cancelled")))</x:f>
      </x:c>
      <x:c r="M194" s="96" t="str">
        <x:f>IF($A194="","",SUMIFS('Orders'!$K$2:$K$500,'Orders'!$C$2:$C$500,$A194,'Orders'!$M$2:$M$500,"&lt;&gt;cancelled"))</x:f>
      </x:c>
      <x:c r="N194" s="96" t="str">
        <x:f>IF($A194="","",COUNTIFS('Orders'!$C$2:$C$500,$A194,'Orders'!$M$2:$M$500,"&lt;&gt;cancelled"))</x:f>
      </x:c>
      <x:c r="O194" s="100" t="str">
        <x:f>IF($A194="","",IF(COUNTIF('Interactions'!$B$2:$B$500,$A194)=0,"",MAXIFS('Interactions'!$G$2:$G$500,'Interactions'!$B$2:$B$500,$A194)))</x:f>
      </x:c>
      <x:c r="P194" s="100" t="str">
        <x:f>IF($A194="","",IF(COUNTIFS('FollowUps'!$B$2:$B$500,$A194,'FollowUps'!$H$2:$H$500,"open")=0,"",MINIFS('FollowUps'!$E$2:$E$500,'FollowUps'!$B$2:$B$500,$A194,'FollowUps'!$H$2:$H$500,"open")))</x:f>
      </x:c>
      <x:c r="Q194" s="104" t="str">
        <x:f>IF($A194="","",ROUND(MIN(25,$N194/VALUE(INDEX('Settings'!$B$2:$B$100,MATCH("score_purchase_target",'Settings'!$A$2:$A$100,0)))*25)+MIN(25,$M194/VALUE(INDEX('Settings'!$B$2:$B$100,MATCH("score_value_target",'Settings'!$A$2:$A$100,0)))*25)+IF($L194="",0,MAX(0,25-(TODAY()-$L194)/VALUE(INDEX('Settings'!$B$2:$B$100,MATCH("score_recency_days",'Settings'!$A$2:$A$100,0)))*25))+MIN(15,COUNTIFS('FollowUps'!$B$2:$B$500,$A194,'FollowUps'!$H$2:$H$500,"done")/VALUE(INDEX('Settings'!$B$2:$B$100,MATCH("score_response_target",'Settings'!$A$2:$A$100,0)))*15)+IF(COUNTIFS('Interactions'!$B$2:$B$500,$A194,'Interactions'!$E$2:$E$500,"complaint")=0,10,0),0))</x:f>
      </x:c>
      <x:c r="R194" s="108" t="str">
        <x:f>IF($A194="","",IF($J194="inactive","inactive",IF($J194="at_risk","at_risk",IF($Q194&gt;=85,"vip",IF($Q194&gt;=70,"loyal",IF($Q194&gt;=50,"active",IF($N194=0,"new","needs_attention")))))))</x:f>
      </x:c>
      <x:c r="S194" s="19"/>
      <x:c r="T194" s="18"/>
      <x:c r="U194" s="19"/>
      <x:c r="V194" s="20"/>
      <x:c r="W194" s="26"/>
      <x:c r="X194" s="19"/>
      <x:c r="Y194" s="26"/>
      <x:c r="Z194" s="19"/>
      <x:c r="AA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20"/>
      <x:c r="J195" s="19"/>
      <x:c r="K195" s="19"/>
      <x:c r="L195" s="92" t="str">
        <x:f>IF($A195="","",IF(COUNTIFS('Orders'!$C$2:$C$500,$A195,'Orders'!$M$2:$M$500,"&lt;&gt;cancelled")=0,"",MAXIFS('Orders'!$G$2:$G$500,'Orders'!$C$2:$C$500,$A195,'Orders'!$M$2:$M$500,"&lt;&gt;cancelled")))</x:f>
      </x:c>
      <x:c r="M195" s="96" t="str">
        <x:f>IF($A195="","",SUMIFS('Orders'!$K$2:$K$500,'Orders'!$C$2:$C$500,$A195,'Orders'!$M$2:$M$500,"&lt;&gt;cancelled"))</x:f>
      </x:c>
      <x:c r="N195" s="96" t="str">
        <x:f>IF($A195="","",COUNTIFS('Orders'!$C$2:$C$500,$A195,'Orders'!$M$2:$M$500,"&lt;&gt;cancelled"))</x:f>
      </x:c>
      <x:c r="O195" s="100" t="str">
        <x:f>IF($A195="","",IF(COUNTIF('Interactions'!$B$2:$B$500,$A195)=0,"",MAXIFS('Interactions'!$G$2:$G$500,'Interactions'!$B$2:$B$500,$A195)))</x:f>
      </x:c>
      <x:c r="P195" s="100" t="str">
        <x:f>IF($A195="","",IF(COUNTIFS('FollowUps'!$B$2:$B$500,$A195,'FollowUps'!$H$2:$H$500,"open")=0,"",MINIFS('FollowUps'!$E$2:$E$500,'FollowUps'!$B$2:$B$500,$A195,'FollowUps'!$H$2:$H$500,"open")))</x:f>
      </x:c>
      <x:c r="Q195" s="104" t="str">
        <x:f>IF($A195="","",ROUND(MIN(25,$N195/VALUE(INDEX('Settings'!$B$2:$B$100,MATCH("score_purchase_target",'Settings'!$A$2:$A$100,0)))*25)+MIN(25,$M195/VALUE(INDEX('Settings'!$B$2:$B$100,MATCH("score_value_target",'Settings'!$A$2:$A$100,0)))*25)+IF($L195="",0,MAX(0,25-(TODAY()-$L195)/VALUE(INDEX('Settings'!$B$2:$B$100,MATCH("score_recency_days",'Settings'!$A$2:$A$100,0)))*25))+MIN(15,COUNTIFS('FollowUps'!$B$2:$B$500,$A195,'FollowUps'!$H$2:$H$500,"done")/VALUE(INDEX('Settings'!$B$2:$B$100,MATCH("score_response_target",'Settings'!$A$2:$A$100,0)))*15)+IF(COUNTIFS('Interactions'!$B$2:$B$500,$A195,'Interactions'!$E$2:$E$500,"complaint")=0,10,0),0))</x:f>
      </x:c>
      <x:c r="R195" s="108" t="str">
        <x:f>IF($A195="","",IF($J195="inactive","inactive",IF($J195="at_risk","at_risk",IF($Q195&gt;=85,"vip",IF($Q195&gt;=70,"loyal",IF($Q195&gt;=50,"active",IF($N195=0,"new","needs_attention")))))))</x:f>
      </x:c>
      <x:c r="S195" s="19"/>
      <x:c r="T195" s="18"/>
      <x:c r="U195" s="19"/>
      <x:c r="V195" s="20"/>
      <x:c r="W195" s="26"/>
      <x:c r="X195" s="19"/>
      <x:c r="Y195" s="26"/>
      <x:c r="Z195" s="19"/>
      <x:c r="AA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20"/>
      <x:c r="J196" s="19"/>
      <x:c r="K196" s="19"/>
      <x:c r="L196" s="92" t="str">
        <x:f>IF($A196="","",IF(COUNTIFS('Orders'!$C$2:$C$500,$A196,'Orders'!$M$2:$M$500,"&lt;&gt;cancelled")=0,"",MAXIFS('Orders'!$G$2:$G$500,'Orders'!$C$2:$C$500,$A196,'Orders'!$M$2:$M$500,"&lt;&gt;cancelled")))</x:f>
      </x:c>
      <x:c r="M196" s="96" t="str">
        <x:f>IF($A196="","",SUMIFS('Orders'!$K$2:$K$500,'Orders'!$C$2:$C$500,$A196,'Orders'!$M$2:$M$500,"&lt;&gt;cancelled"))</x:f>
      </x:c>
      <x:c r="N196" s="96" t="str">
        <x:f>IF($A196="","",COUNTIFS('Orders'!$C$2:$C$500,$A196,'Orders'!$M$2:$M$500,"&lt;&gt;cancelled"))</x:f>
      </x:c>
      <x:c r="O196" s="100" t="str">
        <x:f>IF($A196="","",IF(COUNTIF('Interactions'!$B$2:$B$500,$A196)=0,"",MAXIFS('Interactions'!$G$2:$G$500,'Interactions'!$B$2:$B$500,$A196)))</x:f>
      </x:c>
      <x:c r="P196" s="100" t="str">
        <x:f>IF($A196="","",IF(COUNTIFS('FollowUps'!$B$2:$B$500,$A196,'FollowUps'!$H$2:$H$500,"open")=0,"",MINIFS('FollowUps'!$E$2:$E$500,'FollowUps'!$B$2:$B$500,$A196,'FollowUps'!$H$2:$H$500,"open")))</x:f>
      </x:c>
      <x:c r="Q196" s="104" t="str">
        <x:f>IF($A196="","",ROUND(MIN(25,$N196/VALUE(INDEX('Settings'!$B$2:$B$100,MATCH("score_purchase_target",'Settings'!$A$2:$A$100,0)))*25)+MIN(25,$M196/VALUE(INDEX('Settings'!$B$2:$B$100,MATCH("score_value_target",'Settings'!$A$2:$A$100,0)))*25)+IF($L196="",0,MAX(0,25-(TODAY()-$L196)/VALUE(INDEX('Settings'!$B$2:$B$100,MATCH("score_recency_days",'Settings'!$A$2:$A$100,0)))*25))+MIN(15,COUNTIFS('FollowUps'!$B$2:$B$500,$A196,'FollowUps'!$H$2:$H$500,"done")/VALUE(INDEX('Settings'!$B$2:$B$100,MATCH("score_response_target",'Settings'!$A$2:$A$100,0)))*15)+IF(COUNTIFS('Interactions'!$B$2:$B$500,$A196,'Interactions'!$E$2:$E$500,"complaint")=0,10,0),0))</x:f>
      </x:c>
      <x:c r="R196" s="108" t="str">
        <x:f>IF($A196="","",IF($J196="inactive","inactive",IF($J196="at_risk","at_risk",IF($Q196&gt;=85,"vip",IF($Q196&gt;=70,"loyal",IF($Q196&gt;=50,"active",IF($N196=0,"new","needs_attention")))))))</x:f>
      </x:c>
      <x:c r="S196" s="19"/>
      <x:c r="T196" s="18"/>
      <x:c r="U196" s="19"/>
      <x:c r="V196" s="20"/>
      <x:c r="W196" s="26"/>
      <x:c r="X196" s="19"/>
      <x:c r="Y196" s="26"/>
      <x:c r="Z196" s="19"/>
      <x:c r="AA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20"/>
      <x:c r="J197" s="19"/>
      <x:c r="K197" s="19"/>
      <x:c r="L197" s="92" t="str">
        <x:f>IF($A197="","",IF(COUNTIFS('Orders'!$C$2:$C$500,$A197,'Orders'!$M$2:$M$500,"&lt;&gt;cancelled")=0,"",MAXIFS('Orders'!$G$2:$G$500,'Orders'!$C$2:$C$500,$A197,'Orders'!$M$2:$M$500,"&lt;&gt;cancelled")))</x:f>
      </x:c>
      <x:c r="M197" s="96" t="str">
        <x:f>IF($A197="","",SUMIFS('Orders'!$K$2:$K$500,'Orders'!$C$2:$C$500,$A197,'Orders'!$M$2:$M$500,"&lt;&gt;cancelled"))</x:f>
      </x:c>
      <x:c r="N197" s="96" t="str">
        <x:f>IF($A197="","",COUNTIFS('Orders'!$C$2:$C$500,$A197,'Orders'!$M$2:$M$500,"&lt;&gt;cancelled"))</x:f>
      </x:c>
      <x:c r="O197" s="100" t="str">
        <x:f>IF($A197="","",IF(COUNTIF('Interactions'!$B$2:$B$500,$A197)=0,"",MAXIFS('Interactions'!$G$2:$G$500,'Interactions'!$B$2:$B$500,$A197)))</x:f>
      </x:c>
      <x:c r="P197" s="100" t="str">
        <x:f>IF($A197="","",IF(COUNTIFS('FollowUps'!$B$2:$B$500,$A197,'FollowUps'!$H$2:$H$500,"open")=0,"",MINIFS('FollowUps'!$E$2:$E$500,'FollowUps'!$B$2:$B$500,$A197,'FollowUps'!$H$2:$H$500,"open")))</x:f>
      </x:c>
      <x:c r="Q197" s="104" t="str">
        <x:f>IF($A197="","",ROUND(MIN(25,$N197/VALUE(INDEX('Settings'!$B$2:$B$100,MATCH("score_purchase_target",'Settings'!$A$2:$A$100,0)))*25)+MIN(25,$M197/VALUE(INDEX('Settings'!$B$2:$B$100,MATCH("score_value_target",'Settings'!$A$2:$A$100,0)))*25)+IF($L197="",0,MAX(0,25-(TODAY()-$L197)/VALUE(INDEX('Settings'!$B$2:$B$100,MATCH("score_recency_days",'Settings'!$A$2:$A$100,0)))*25))+MIN(15,COUNTIFS('FollowUps'!$B$2:$B$500,$A197,'FollowUps'!$H$2:$H$500,"done")/VALUE(INDEX('Settings'!$B$2:$B$100,MATCH("score_response_target",'Settings'!$A$2:$A$100,0)))*15)+IF(COUNTIFS('Interactions'!$B$2:$B$500,$A197,'Interactions'!$E$2:$E$500,"complaint")=0,10,0),0))</x:f>
      </x:c>
      <x:c r="R197" s="108" t="str">
        <x:f>IF($A197="","",IF($J197="inactive","inactive",IF($J197="at_risk","at_risk",IF($Q197&gt;=85,"vip",IF($Q197&gt;=70,"loyal",IF($Q197&gt;=50,"active",IF($N197=0,"new","needs_attention")))))))</x:f>
      </x:c>
      <x:c r="S197" s="19"/>
      <x:c r="T197" s="18"/>
      <x:c r="U197" s="19"/>
      <x:c r="V197" s="20"/>
      <x:c r="W197" s="26"/>
      <x:c r="X197" s="19"/>
      <x:c r="Y197" s="26"/>
      <x:c r="Z197" s="19"/>
      <x:c r="AA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20"/>
      <x:c r="J198" s="19"/>
      <x:c r="K198" s="19"/>
      <x:c r="L198" s="92" t="str">
        <x:f>IF($A198="","",IF(COUNTIFS('Orders'!$C$2:$C$500,$A198,'Orders'!$M$2:$M$500,"&lt;&gt;cancelled")=0,"",MAXIFS('Orders'!$G$2:$G$500,'Orders'!$C$2:$C$500,$A198,'Orders'!$M$2:$M$500,"&lt;&gt;cancelled")))</x:f>
      </x:c>
      <x:c r="M198" s="96" t="str">
        <x:f>IF($A198="","",SUMIFS('Orders'!$K$2:$K$500,'Orders'!$C$2:$C$500,$A198,'Orders'!$M$2:$M$500,"&lt;&gt;cancelled"))</x:f>
      </x:c>
      <x:c r="N198" s="96" t="str">
        <x:f>IF($A198="","",COUNTIFS('Orders'!$C$2:$C$500,$A198,'Orders'!$M$2:$M$500,"&lt;&gt;cancelled"))</x:f>
      </x:c>
      <x:c r="O198" s="100" t="str">
        <x:f>IF($A198="","",IF(COUNTIF('Interactions'!$B$2:$B$500,$A198)=0,"",MAXIFS('Interactions'!$G$2:$G$500,'Interactions'!$B$2:$B$500,$A198)))</x:f>
      </x:c>
      <x:c r="P198" s="100" t="str">
        <x:f>IF($A198="","",IF(COUNTIFS('FollowUps'!$B$2:$B$500,$A198,'FollowUps'!$H$2:$H$500,"open")=0,"",MINIFS('FollowUps'!$E$2:$E$500,'FollowUps'!$B$2:$B$500,$A198,'FollowUps'!$H$2:$H$500,"open")))</x:f>
      </x:c>
      <x:c r="Q198" s="104" t="str">
        <x:f>IF($A198="","",ROUND(MIN(25,$N198/VALUE(INDEX('Settings'!$B$2:$B$100,MATCH("score_purchase_target",'Settings'!$A$2:$A$100,0)))*25)+MIN(25,$M198/VALUE(INDEX('Settings'!$B$2:$B$100,MATCH("score_value_target",'Settings'!$A$2:$A$100,0)))*25)+IF($L198="",0,MAX(0,25-(TODAY()-$L198)/VALUE(INDEX('Settings'!$B$2:$B$100,MATCH("score_recency_days",'Settings'!$A$2:$A$100,0)))*25))+MIN(15,COUNTIFS('FollowUps'!$B$2:$B$500,$A198,'FollowUps'!$H$2:$H$500,"done")/VALUE(INDEX('Settings'!$B$2:$B$100,MATCH("score_response_target",'Settings'!$A$2:$A$100,0)))*15)+IF(COUNTIFS('Interactions'!$B$2:$B$500,$A198,'Interactions'!$E$2:$E$500,"complaint")=0,10,0),0))</x:f>
      </x:c>
      <x:c r="R198" s="108" t="str">
        <x:f>IF($A198="","",IF($J198="inactive","inactive",IF($J198="at_risk","at_risk",IF($Q198&gt;=85,"vip",IF($Q198&gt;=70,"loyal",IF($Q198&gt;=50,"active",IF($N198=0,"new","needs_attention")))))))</x:f>
      </x:c>
      <x:c r="S198" s="19"/>
      <x:c r="T198" s="18"/>
      <x:c r="U198" s="19"/>
      <x:c r="V198" s="20"/>
      <x:c r="W198" s="26"/>
      <x:c r="X198" s="19"/>
      <x:c r="Y198" s="26"/>
      <x:c r="Z198" s="19"/>
      <x:c r="AA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20"/>
      <x:c r="J199" s="19"/>
      <x:c r="K199" s="19"/>
      <x:c r="L199" s="92" t="str">
        <x:f>IF($A199="","",IF(COUNTIFS('Orders'!$C$2:$C$500,$A199,'Orders'!$M$2:$M$500,"&lt;&gt;cancelled")=0,"",MAXIFS('Orders'!$G$2:$G$500,'Orders'!$C$2:$C$500,$A199,'Orders'!$M$2:$M$500,"&lt;&gt;cancelled")))</x:f>
      </x:c>
      <x:c r="M199" s="96" t="str">
        <x:f>IF($A199="","",SUMIFS('Orders'!$K$2:$K$500,'Orders'!$C$2:$C$500,$A199,'Orders'!$M$2:$M$500,"&lt;&gt;cancelled"))</x:f>
      </x:c>
      <x:c r="N199" s="96" t="str">
        <x:f>IF($A199="","",COUNTIFS('Orders'!$C$2:$C$500,$A199,'Orders'!$M$2:$M$500,"&lt;&gt;cancelled"))</x:f>
      </x:c>
      <x:c r="O199" s="100" t="str">
        <x:f>IF($A199="","",IF(COUNTIF('Interactions'!$B$2:$B$500,$A199)=0,"",MAXIFS('Interactions'!$G$2:$G$500,'Interactions'!$B$2:$B$500,$A199)))</x:f>
      </x:c>
      <x:c r="P199" s="100" t="str">
        <x:f>IF($A199="","",IF(COUNTIFS('FollowUps'!$B$2:$B$500,$A199,'FollowUps'!$H$2:$H$500,"open")=0,"",MINIFS('FollowUps'!$E$2:$E$500,'FollowUps'!$B$2:$B$500,$A199,'FollowUps'!$H$2:$H$500,"open")))</x:f>
      </x:c>
      <x:c r="Q199" s="104" t="str">
        <x:f>IF($A199="","",ROUND(MIN(25,$N199/VALUE(INDEX('Settings'!$B$2:$B$100,MATCH("score_purchase_target",'Settings'!$A$2:$A$100,0)))*25)+MIN(25,$M199/VALUE(INDEX('Settings'!$B$2:$B$100,MATCH("score_value_target",'Settings'!$A$2:$A$100,0)))*25)+IF($L199="",0,MAX(0,25-(TODAY()-$L199)/VALUE(INDEX('Settings'!$B$2:$B$100,MATCH("score_recency_days",'Settings'!$A$2:$A$100,0)))*25))+MIN(15,COUNTIFS('FollowUps'!$B$2:$B$500,$A199,'FollowUps'!$H$2:$H$500,"done")/VALUE(INDEX('Settings'!$B$2:$B$100,MATCH("score_response_target",'Settings'!$A$2:$A$100,0)))*15)+IF(COUNTIFS('Interactions'!$B$2:$B$500,$A199,'Interactions'!$E$2:$E$500,"complaint")=0,10,0),0))</x:f>
      </x:c>
      <x:c r="R199" s="108" t="str">
        <x:f>IF($A199="","",IF($J199="inactive","inactive",IF($J199="at_risk","at_risk",IF($Q199&gt;=85,"vip",IF($Q199&gt;=70,"loyal",IF($Q199&gt;=50,"active",IF($N199=0,"new","needs_attention")))))))</x:f>
      </x:c>
      <x:c r="S199" s="19"/>
      <x:c r="T199" s="18"/>
      <x:c r="U199" s="19"/>
      <x:c r="V199" s="20"/>
      <x:c r="W199" s="26"/>
      <x:c r="X199" s="19"/>
      <x:c r="Y199" s="26"/>
      <x:c r="Z199" s="19"/>
      <x:c r="AA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20"/>
      <x:c r="J200" s="19"/>
      <x:c r="K200" s="19"/>
      <x:c r="L200" s="92" t="str">
        <x:f>IF($A200="","",IF(COUNTIFS('Orders'!$C$2:$C$500,$A200,'Orders'!$M$2:$M$500,"&lt;&gt;cancelled")=0,"",MAXIFS('Orders'!$G$2:$G$500,'Orders'!$C$2:$C$500,$A200,'Orders'!$M$2:$M$500,"&lt;&gt;cancelled")))</x:f>
      </x:c>
      <x:c r="M200" s="96" t="str">
        <x:f>IF($A200="","",SUMIFS('Orders'!$K$2:$K$500,'Orders'!$C$2:$C$500,$A200,'Orders'!$M$2:$M$500,"&lt;&gt;cancelled"))</x:f>
      </x:c>
      <x:c r="N200" s="96" t="str">
        <x:f>IF($A200="","",COUNTIFS('Orders'!$C$2:$C$500,$A200,'Orders'!$M$2:$M$500,"&lt;&gt;cancelled"))</x:f>
      </x:c>
      <x:c r="O200" s="100" t="str">
        <x:f>IF($A200="","",IF(COUNTIF('Interactions'!$B$2:$B$500,$A200)=0,"",MAXIFS('Interactions'!$G$2:$G$500,'Interactions'!$B$2:$B$500,$A200)))</x:f>
      </x:c>
      <x:c r="P200" s="100" t="str">
        <x:f>IF($A200="","",IF(COUNTIFS('FollowUps'!$B$2:$B$500,$A200,'FollowUps'!$H$2:$H$500,"open")=0,"",MINIFS('FollowUps'!$E$2:$E$500,'FollowUps'!$B$2:$B$500,$A200,'FollowUps'!$H$2:$H$500,"open")))</x:f>
      </x:c>
      <x:c r="Q200" s="104" t="str">
        <x:f>IF($A200="","",ROUND(MIN(25,$N200/VALUE(INDEX('Settings'!$B$2:$B$100,MATCH("score_purchase_target",'Settings'!$A$2:$A$100,0)))*25)+MIN(25,$M200/VALUE(INDEX('Settings'!$B$2:$B$100,MATCH("score_value_target",'Settings'!$A$2:$A$100,0)))*25)+IF($L200="",0,MAX(0,25-(TODAY()-$L200)/VALUE(INDEX('Settings'!$B$2:$B$100,MATCH("score_recency_days",'Settings'!$A$2:$A$100,0)))*25))+MIN(15,COUNTIFS('FollowUps'!$B$2:$B$500,$A200,'FollowUps'!$H$2:$H$500,"done")/VALUE(INDEX('Settings'!$B$2:$B$100,MATCH("score_response_target",'Settings'!$A$2:$A$100,0)))*15)+IF(COUNTIFS('Interactions'!$B$2:$B$500,$A200,'Interactions'!$E$2:$E$500,"complaint")=0,10,0),0))</x:f>
      </x:c>
      <x:c r="R200" s="108" t="str">
        <x:f>IF($A200="","",IF($J200="inactive","inactive",IF($J200="at_risk","at_risk",IF($Q200&gt;=85,"vip",IF($Q200&gt;=70,"loyal",IF($Q200&gt;=50,"active",IF($N200=0,"new","needs_attention")))))))</x:f>
      </x:c>
      <x:c r="S200" s="19"/>
      <x:c r="T200" s="18"/>
      <x:c r="U200" s="19"/>
      <x:c r="V200" s="20"/>
      <x:c r="W200" s="26"/>
      <x:c r="X200" s="19"/>
      <x:c r="Y200" s="26"/>
      <x:c r="Z200" s="19"/>
      <x:c r="AA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20"/>
      <x:c r="J201" s="19"/>
      <x:c r="K201" s="19"/>
      <x:c r="L201" s="92" t="str">
        <x:f>IF($A201="","",IF(COUNTIFS('Orders'!$C$2:$C$500,$A201,'Orders'!$M$2:$M$500,"&lt;&gt;cancelled")=0,"",MAXIFS('Orders'!$G$2:$G$500,'Orders'!$C$2:$C$500,$A201,'Orders'!$M$2:$M$500,"&lt;&gt;cancelled")))</x:f>
      </x:c>
      <x:c r="M201" s="96" t="str">
        <x:f>IF($A201="","",SUMIFS('Orders'!$K$2:$K$500,'Orders'!$C$2:$C$500,$A201,'Orders'!$M$2:$M$500,"&lt;&gt;cancelled"))</x:f>
      </x:c>
      <x:c r="N201" s="96" t="str">
        <x:f>IF($A201="","",COUNTIFS('Orders'!$C$2:$C$500,$A201,'Orders'!$M$2:$M$500,"&lt;&gt;cancelled"))</x:f>
      </x:c>
      <x:c r="O201" s="100" t="str">
        <x:f>IF($A201="","",IF(COUNTIF('Interactions'!$B$2:$B$500,$A201)=0,"",MAXIFS('Interactions'!$G$2:$G$500,'Interactions'!$B$2:$B$500,$A201)))</x:f>
      </x:c>
      <x:c r="P201" s="100" t="str">
        <x:f>IF($A201="","",IF(COUNTIFS('FollowUps'!$B$2:$B$500,$A201,'FollowUps'!$H$2:$H$500,"open")=0,"",MINIFS('FollowUps'!$E$2:$E$500,'FollowUps'!$B$2:$B$500,$A201,'FollowUps'!$H$2:$H$500,"open")))</x:f>
      </x:c>
      <x:c r="Q201" s="104" t="str">
        <x:f>IF($A201="","",ROUND(MIN(25,$N201/VALUE(INDEX('Settings'!$B$2:$B$100,MATCH("score_purchase_target",'Settings'!$A$2:$A$100,0)))*25)+MIN(25,$M201/VALUE(INDEX('Settings'!$B$2:$B$100,MATCH("score_value_target",'Settings'!$A$2:$A$100,0)))*25)+IF($L201="",0,MAX(0,25-(TODAY()-$L201)/VALUE(INDEX('Settings'!$B$2:$B$100,MATCH("score_recency_days",'Settings'!$A$2:$A$100,0)))*25))+MIN(15,COUNTIFS('FollowUps'!$B$2:$B$500,$A201,'FollowUps'!$H$2:$H$500,"done")/VALUE(INDEX('Settings'!$B$2:$B$100,MATCH("score_response_target",'Settings'!$A$2:$A$100,0)))*15)+IF(COUNTIFS('Interactions'!$B$2:$B$500,$A201,'Interactions'!$E$2:$E$500,"complaint")=0,10,0),0))</x:f>
      </x:c>
      <x:c r="R201" s="108" t="str">
        <x:f>IF($A201="","",IF($J201="inactive","inactive",IF($J201="at_risk","at_risk",IF($Q201&gt;=85,"vip",IF($Q201&gt;=70,"loyal",IF($Q201&gt;=50,"active",IF($N201=0,"new","needs_attention")))))))</x:f>
      </x:c>
      <x:c r="S201" s="19"/>
      <x:c r="T201" s="18"/>
      <x:c r="U201" s="19"/>
      <x:c r="V201" s="20"/>
      <x:c r="W201" s="26"/>
      <x:c r="X201" s="19"/>
      <x:c r="Y201" s="26"/>
      <x:c r="Z201" s="19"/>
      <x:c r="AA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20"/>
      <x:c r="J202" s="19"/>
      <x:c r="K202" s="19"/>
      <x:c r="L202" s="92" t="str">
        <x:f>IF($A202="","",IF(COUNTIFS('Orders'!$C$2:$C$500,$A202,'Orders'!$M$2:$M$500,"&lt;&gt;cancelled")=0,"",MAXIFS('Orders'!$G$2:$G$500,'Orders'!$C$2:$C$500,$A202,'Orders'!$M$2:$M$500,"&lt;&gt;cancelled")))</x:f>
      </x:c>
      <x:c r="M202" s="96" t="str">
        <x:f>IF($A202="","",SUMIFS('Orders'!$K$2:$K$500,'Orders'!$C$2:$C$500,$A202,'Orders'!$M$2:$M$500,"&lt;&gt;cancelled"))</x:f>
      </x:c>
      <x:c r="N202" s="96" t="str">
        <x:f>IF($A202="","",COUNTIFS('Orders'!$C$2:$C$500,$A202,'Orders'!$M$2:$M$500,"&lt;&gt;cancelled"))</x:f>
      </x:c>
      <x:c r="O202" s="100" t="str">
        <x:f>IF($A202="","",IF(COUNTIF('Interactions'!$B$2:$B$500,$A202)=0,"",MAXIFS('Interactions'!$G$2:$G$500,'Interactions'!$B$2:$B$500,$A202)))</x:f>
      </x:c>
      <x:c r="P202" s="100" t="str">
        <x:f>IF($A202="","",IF(COUNTIFS('FollowUps'!$B$2:$B$500,$A202,'FollowUps'!$H$2:$H$500,"open")=0,"",MINIFS('FollowUps'!$E$2:$E$500,'FollowUps'!$B$2:$B$500,$A202,'FollowUps'!$H$2:$H$500,"open")))</x:f>
      </x:c>
      <x:c r="Q202" s="104" t="str">
        <x:f>IF($A202="","",ROUND(MIN(25,$N202/VALUE(INDEX('Settings'!$B$2:$B$100,MATCH("score_purchase_target",'Settings'!$A$2:$A$100,0)))*25)+MIN(25,$M202/VALUE(INDEX('Settings'!$B$2:$B$100,MATCH("score_value_target",'Settings'!$A$2:$A$100,0)))*25)+IF($L202="",0,MAX(0,25-(TODAY()-$L202)/VALUE(INDEX('Settings'!$B$2:$B$100,MATCH("score_recency_days",'Settings'!$A$2:$A$100,0)))*25))+MIN(15,COUNTIFS('FollowUps'!$B$2:$B$500,$A202,'FollowUps'!$H$2:$H$500,"done")/VALUE(INDEX('Settings'!$B$2:$B$100,MATCH("score_response_target",'Settings'!$A$2:$A$100,0)))*15)+IF(COUNTIFS('Interactions'!$B$2:$B$500,$A202,'Interactions'!$E$2:$E$500,"complaint")=0,10,0),0))</x:f>
      </x:c>
      <x:c r="R202" s="108" t="str">
        <x:f>IF($A202="","",IF($J202="inactive","inactive",IF($J202="at_risk","at_risk",IF($Q202&gt;=85,"vip",IF($Q202&gt;=70,"loyal",IF($Q202&gt;=50,"active",IF($N202=0,"new","needs_attention")))))))</x:f>
      </x:c>
      <x:c r="S202" s="19"/>
      <x:c r="T202" s="18"/>
      <x:c r="U202" s="19"/>
      <x:c r="V202" s="20"/>
      <x:c r="W202" s="26"/>
      <x:c r="X202" s="19"/>
      <x:c r="Y202" s="26"/>
      <x:c r="Z202" s="19"/>
      <x:c r="AA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20"/>
      <x:c r="J203" s="19"/>
      <x:c r="K203" s="19"/>
      <x:c r="L203" s="92" t="str">
        <x:f>IF($A203="","",IF(COUNTIFS('Orders'!$C$2:$C$500,$A203,'Orders'!$M$2:$M$500,"&lt;&gt;cancelled")=0,"",MAXIFS('Orders'!$G$2:$G$500,'Orders'!$C$2:$C$500,$A203,'Orders'!$M$2:$M$500,"&lt;&gt;cancelled")))</x:f>
      </x:c>
      <x:c r="M203" s="96" t="str">
        <x:f>IF($A203="","",SUMIFS('Orders'!$K$2:$K$500,'Orders'!$C$2:$C$500,$A203,'Orders'!$M$2:$M$500,"&lt;&gt;cancelled"))</x:f>
      </x:c>
      <x:c r="N203" s="96" t="str">
        <x:f>IF($A203="","",COUNTIFS('Orders'!$C$2:$C$500,$A203,'Orders'!$M$2:$M$500,"&lt;&gt;cancelled"))</x:f>
      </x:c>
      <x:c r="O203" s="100" t="str">
        <x:f>IF($A203="","",IF(COUNTIF('Interactions'!$B$2:$B$500,$A203)=0,"",MAXIFS('Interactions'!$G$2:$G$500,'Interactions'!$B$2:$B$500,$A203)))</x:f>
      </x:c>
      <x:c r="P203" s="100" t="str">
        <x:f>IF($A203="","",IF(COUNTIFS('FollowUps'!$B$2:$B$500,$A203,'FollowUps'!$H$2:$H$500,"open")=0,"",MINIFS('FollowUps'!$E$2:$E$500,'FollowUps'!$B$2:$B$500,$A203,'FollowUps'!$H$2:$H$500,"open")))</x:f>
      </x:c>
      <x:c r="Q203" s="104" t="str">
        <x:f>IF($A203="","",ROUND(MIN(25,$N203/VALUE(INDEX('Settings'!$B$2:$B$100,MATCH("score_purchase_target",'Settings'!$A$2:$A$100,0)))*25)+MIN(25,$M203/VALUE(INDEX('Settings'!$B$2:$B$100,MATCH("score_value_target",'Settings'!$A$2:$A$100,0)))*25)+IF($L203="",0,MAX(0,25-(TODAY()-$L203)/VALUE(INDEX('Settings'!$B$2:$B$100,MATCH("score_recency_days",'Settings'!$A$2:$A$100,0)))*25))+MIN(15,COUNTIFS('FollowUps'!$B$2:$B$500,$A203,'FollowUps'!$H$2:$H$500,"done")/VALUE(INDEX('Settings'!$B$2:$B$100,MATCH("score_response_target",'Settings'!$A$2:$A$100,0)))*15)+IF(COUNTIFS('Interactions'!$B$2:$B$500,$A203,'Interactions'!$E$2:$E$500,"complaint")=0,10,0),0))</x:f>
      </x:c>
      <x:c r="R203" s="108" t="str">
        <x:f>IF($A203="","",IF($J203="inactive","inactive",IF($J203="at_risk","at_risk",IF($Q203&gt;=85,"vip",IF($Q203&gt;=70,"loyal",IF($Q203&gt;=50,"active",IF($N203=0,"new","needs_attention")))))))</x:f>
      </x:c>
      <x:c r="S203" s="19"/>
      <x:c r="T203" s="18"/>
      <x:c r="U203" s="19"/>
      <x:c r="V203" s="20"/>
      <x:c r="W203" s="26"/>
      <x:c r="X203" s="19"/>
      <x:c r="Y203" s="26"/>
      <x:c r="Z203" s="19"/>
      <x:c r="AA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20"/>
      <x:c r="J204" s="19"/>
      <x:c r="K204" s="19"/>
      <x:c r="L204" s="92" t="str">
        <x:f>IF($A204="","",IF(COUNTIFS('Orders'!$C$2:$C$500,$A204,'Orders'!$M$2:$M$500,"&lt;&gt;cancelled")=0,"",MAXIFS('Orders'!$G$2:$G$500,'Orders'!$C$2:$C$500,$A204,'Orders'!$M$2:$M$500,"&lt;&gt;cancelled")))</x:f>
      </x:c>
      <x:c r="M204" s="96" t="str">
        <x:f>IF($A204="","",SUMIFS('Orders'!$K$2:$K$500,'Orders'!$C$2:$C$500,$A204,'Orders'!$M$2:$M$500,"&lt;&gt;cancelled"))</x:f>
      </x:c>
      <x:c r="N204" s="96" t="str">
        <x:f>IF($A204="","",COUNTIFS('Orders'!$C$2:$C$500,$A204,'Orders'!$M$2:$M$500,"&lt;&gt;cancelled"))</x:f>
      </x:c>
      <x:c r="O204" s="100" t="str">
        <x:f>IF($A204="","",IF(COUNTIF('Interactions'!$B$2:$B$500,$A204)=0,"",MAXIFS('Interactions'!$G$2:$G$500,'Interactions'!$B$2:$B$500,$A204)))</x:f>
      </x:c>
      <x:c r="P204" s="100" t="str">
        <x:f>IF($A204="","",IF(COUNTIFS('FollowUps'!$B$2:$B$500,$A204,'FollowUps'!$H$2:$H$500,"open")=0,"",MINIFS('FollowUps'!$E$2:$E$500,'FollowUps'!$B$2:$B$500,$A204,'FollowUps'!$H$2:$H$500,"open")))</x:f>
      </x:c>
      <x:c r="Q204" s="104" t="str">
        <x:f>IF($A204="","",ROUND(MIN(25,$N204/VALUE(INDEX('Settings'!$B$2:$B$100,MATCH("score_purchase_target",'Settings'!$A$2:$A$100,0)))*25)+MIN(25,$M204/VALUE(INDEX('Settings'!$B$2:$B$100,MATCH("score_value_target",'Settings'!$A$2:$A$100,0)))*25)+IF($L204="",0,MAX(0,25-(TODAY()-$L204)/VALUE(INDEX('Settings'!$B$2:$B$100,MATCH("score_recency_days",'Settings'!$A$2:$A$100,0)))*25))+MIN(15,COUNTIFS('FollowUps'!$B$2:$B$500,$A204,'FollowUps'!$H$2:$H$500,"done")/VALUE(INDEX('Settings'!$B$2:$B$100,MATCH("score_response_target",'Settings'!$A$2:$A$100,0)))*15)+IF(COUNTIFS('Interactions'!$B$2:$B$500,$A204,'Interactions'!$E$2:$E$500,"complaint")=0,10,0),0))</x:f>
      </x:c>
      <x:c r="R204" s="108" t="str">
        <x:f>IF($A204="","",IF($J204="inactive","inactive",IF($J204="at_risk","at_risk",IF($Q204&gt;=85,"vip",IF($Q204&gt;=70,"loyal",IF($Q204&gt;=50,"active",IF($N204=0,"new","needs_attention")))))))</x:f>
      </x:c>
      <x:c r="S204" s="19"/>
      <x:c r="T204" s="18"/>
      <x:c r="U204" s="19"/>
      <x:c r="V204" s="20"/>
      <x:c r="W204" s="26"/>
      <x:c r="X204" s="19"/>
      <x:c r="Y204" s="26"/>
      <x:c r="Z204" s="19"/>
      <x:c r="AA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20"/>
      <x:c r="J205" s="19"/>
      <x:c r="K205" s="19"/>
      <x:c r="L205" s="92" t="str">
        <x:f>IF($A205="","",IF(COUNTIFS('Orders'!$C$2:$C$500,$A205,'Orders'!$M$2:$M$500,"&lt;&gt;cancelled")=0,"",MAXIFS('Orders'!$G$2:$G$500,'Orders'!$C$2:$C$500,$A205,'Orders'!$M$2:$M$500,"&lt;&gt;cancelled")))</x:f>
      </x:c>
      <x:c r="M205" s="96" t="str">
        <x:f>IF($A205="","",SUMIFS('Orders'!$K$2:$K$500,'Orders'!$C$2:$C$500,$A205,'Orders'!$M$2:$M$500,"&lt;&gt;cancelled"))</x:f>
      </x:c>
      <x:c r="N205" s="96" t="str">
        <x:f>IF($A205="","",COUNTIFS('Orders'!$C$2:$C$500,$A205,'Orders'!$M$2:$M$500,"&lt;&gt;cancelled"))</x:f>
      </x:c>
      <x:c r="O205" s="100" t="str">
        <x:f>IF($A205="","",IF(COUNTIF('Interactions'!$B$2:$B$500,$A205)=0,"",MAXIFS('Interactions'!$G$2:$G$500,'Interactions'!$B$2:$B$500,$A205)))</x:f>
      </x:c>
      <x:c r="P205" s="100" t="str">
        <x:f>IF($A205="","",IF(COUNTIFS('FollowUps'!$B$2:$B$500,$A205,'FollowUps'!$H$2:$H$500,"open")=0,"",MINIFS('FollowUps'!$E$2:$E$500,'FollowUps'!$B$2:$B$500,$A205,'FollowUps'!$H$2:$H$500,"open")))</x:f>
      </x:c>
      <x:c r="Q205" s="104" t="str">
        <x:f>IF($A205="","",ROUND(MIN(25,$N205/VALUE(INDEX('Settings'!$B$2:$B$100,MATCH("score_purchase_target",'Settings'!$A$2:$A$100,0)))*25)+MIN(25,$M205/VALUE(INDEX('Settings'!$B$2:$B$100,MATCH("score_value_target",'Settings'!$A$2:$A$100,0)))*25)+IF($L205="",0,MAX(0,25-(TODAY()-$L205)/VALUE(INDEX('Settings'!$B$2:$B$100,MATCH("score_recency_days",'Settings'!$A$2:$A$100,0)))*25))+MIN(15,COUNTIFS('FollowUps'!$B$2:$B$500,$A205,'FollowUps'!$H$2:$H$500,"done")/VALUE(INDEX('Settings'!$B$2:$B$100,MATCH("score_response_target",'Settings'!$A$2:$A$100,0)))*15)+IF(COUNTIFS('Interactions'!$B$2:$B$500,$A205,'Interactions'!$E$2:$E$500,"complaint")=0,10,0),0))</x:f>
      </x:c>
      <x:c r="R205" s="108" t="str">
        <x:f>IF($A205="","",IF($J205="inactive","inactive",IF($J205="at_risk","at_risk",IF($Q205&gt;=85,"vip",IF($Q205&gt;=70,"loyal",IF($Q205&gt;=50,"active",IF($N205=0,"new","needs_attention")))))))</x:f>
      </x:c>
      <x:c r="S205" s="19"/>
      <x:c r="T205" s="18"/>
      <x:c r="U205" s="19"/>
      <x:c r="V205" s="20"/>
      <x:c r="W205" s="26"/>
      <x:c r="X205" s="19"/>
      <x:c r="Y205" s="26"/>
      <x:c r="Z205" s="19"/>
      <x:c r="AA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20"/>
      <x:c r="J206" s="19"/>
      <x:c r="K206" s="19"/>
      <x:c r="L206" s="92" t="str">
        <x:f>IF($A206="","",IF(COUNTIFS('Orders'!$C$2:$C$500,$A206,'Orders'!$M$2:$M$500,"&lt;&gt;cancelled")=0,"",MAXIFS('Orders'!$G$2:$G$500,'Orders'!$C$2:$C$500,$A206,'Orders'!$M$2:$M$500,"&lt;&gt;cancelled")))</x:f>
      </x:c>
      <x:c r="M206" s="96" t="str">
        <x:f>IF($A206="","",SUMIFS('Orders'!$K$2:$K$500,'Orders'!$C$2:$C$500,$A206,'Orders'!$M$2:$M$500,"&lt;&gt;cancelled"))</x:f>
      </x:c>
      <x:c r="N206" s="96" t="str">
        <x:f>IF($A206="","",COUNTIFS('Orders'!$C$2:$C$500,$A206,'Orders'!$M$2:$M$500,"&lt;&gt;cancelled"))</x:f>
      </x:c>
      <x:c r="O206" s="100" t="str">
        <x:f>IF($A206="","",IF(COUNTIF('Interactions'!$B$2:$B$500,$A206)=0,"",MAXIFS('Interactions'!$G$2:$G$500,'Interactions'!$B$2:$B$500,$A206)))</x:f>
      </x:c>
      <x:c r="P206" s="100" t="str">
        <x:f>IF($A206="","",IF(COUNTIFS('FollowUps'!$B$2:$B$500,$A206,'FollowUps'!$H$2:$H$500,"open")=0,"",MINIFS('FollowUps'!$E$2:$E$500,'FollowUps'!$B$2:$B$500,$A206,'FollowUps'!$H$2:$H$500,"open")))</x:f>
      </x:c>
      <x:c r="Q206" s="104" t="str">
        <x:f>IF($A206="","",ROUND(MIN(25,$N206/VALUE(INDEX('Settings'!$B$2:$B$100,MATCH("score_purchase_target",'Settings'!$A$2:$A$100,0)))*25)+MIN(25,$M206/VALUE(INDEX('Settings'!$B$2:$B$100,MATCH("score_value_target",'Settings'!$A$2:$A$100,0)))*25)+IF($L206="",0,MAX(0,25-(TODAY()-$L206)/VALUE(INDEX('Settings'!$B$2:$B$100,MATCH("score_recency_days",'Settings'!$A$2:$A$100,0)))*25))+MIN(15,COUNTIFS('FollowUps'!$B$2:$B$500,$A206,'FollowUps'!$H$2:$H$500,"done")/VALUE(INDEX('Settings'!$B$2:$B$100,MATCH("score_response_target",'Settings'!$A$2:$A$100,0)))*15)+IF(COUNTIFS('Interactions'!$B$2:$B$500,$A206,'Interactions'!$E$2:$E$500,"complaint")=0,10,0),0))</x:f>
      </x:c>
      <x:c r="R206" s="108" t="str">
        <x:f>IF($A206="","",IF($J206="inactive","inactive",IF($J206="at_risk","at_risk",IF($Q206&gt;=85,"vip",IF($Q206&gt;=70,"loyal",IF($Q206&gt;=50,"active",IF($N206=0,"new","needs_attention")))))))</x:f>
      </x:c>
      <x:c r="S206" s="19"/>
      <x:c r="T206" s="18"/>
      <x:c r="U206" s="19"/>
      <x:c r="V206" s="20"/>
      <x:c r="W206" s="26"/>
      <x:c r="X206" s="19"/>
      <x:c r="Y206" s="26"/>
      <x:c r="Z206" s="19"/>
      <x:c r="AA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20"/>
      <x:c r="J207" s="19"/>
      <x:c r="K207" s="19"/>
      <x:c r="L207" s="92" t="str">
        <x:f>IF($A207="","",IF(COUNTIFS('Orders'!$C$2:$C$500,$A207,'Orders'!$M$2:$M$500,"&lt;&gt;cancelled")=0,"",MAXIFS('Orders'!$G$2:$G$500,'Orders'!$C$2:$C$500,$A207,'Orders'!$M$2:$M$500,"&lt;&gt;cancelled")))</x:f>
      </x:c>
      <x:c r="M207" s="96" t="str">
        <x:f>IF($A207="","",SUMIFS('Orders'!$K$2:$K$500,'Orders'!$C$2:$C$500,$A207,'Orders'!$M$2:$M$500,"&lt;&gt;cancelled"))</x:f>
      </x:c>
      <x:c r="N207" s="96" t="str">
        <x:f>IF($A207="","",COUNTIFS('Orders'!$C$2:$C$500,$A207,'Orders'!$M$2:$M$500,"&lt;&gt;cancelled"))</x:f>
      </x:c>
      <x:c r="O207" s="100" t="str">
        <x:f>IF($A207="","",IF(COUNTIF('Interactions'!$B$2:$B$500,$A207)=0,"",MAXIFS('Interactions'!$G$2:$G$500,'Interactions'!$B$2:$B$500,$A207)))</x:f>
      </x:c>
      <x:c r="P207" s="100" t="str">
        <x:f>IF($A207="","",IF(COUNTIFS('FollowUps'!$B$2:$B$500,$A207,'FollowUps'!$H$2:$H$500,"open")=0,"",MINIFS('FollowUps'!$E$2:$E$500,'FollowUps'!$B$2:$B$500,$A207,'FollowUps'!$H$2:$H$500,"open")))</x:f>
      </x:c>
      <x:c r="Q207" s="104" t="str">
        <x:f>IF($A207="","",ROUND(MIN(25,$N207/VALUE(INDEX('Settings'!$B$2:$B$100,MATCH("score_purchase_target",'Settings'!$A$2:$A$100,0)))*25)+MIN(25,$M207/VALUE(INDEX('Settings'!$B$2:$B$100,MATCH("score_value_target",'Settings'!$A$2:$A$100,0)))*25)+IF($L207="",0,MAX(0,25-(TODAY()-$L207)/VALUE(INDEX('Settings'!$B$2:$B$100,MATCH("score_recency_days",'Settings'!$A$2:$A$100,0)))*25))+MIN(15,COUNTIFS('FollowUps'!$B$2:$B$500,$A207,'FollowUps'!$H$2:$H$500,"done")/VALUE(INDEX('Settings'!$B$2:$B$100,MATCH("score_response_target",'Settings'!$A$2:$A$100,0)))*15)+IF(COUNTIFS('Interactions'!$B$2:$B$500,$A207,'Interactions'!$E$2:$E$500,"complaint")=0,10,0),0))</x:f>
      </x:c>
      <x:c r="R207" s="108" t="str">
        <x:f>IF($A207="","",IF($J207="inactive","inactive",IF($J207="at_risk","at_risk",IF($Q207&gt;=85,"vip",IF($Q207&gt;=70,"loyal",IF($Q207&gt;=50,"active",IF($N207=0,"new","needs_attention")))))))</x:f>
      </x:c>
      <x:c r="S207" s="19"/>
      <x:c r="T207" s="18"/>
      <x:c r="U207" s="19"/>
      <x:c r="V207" s="20"/>
      <x:c r="W207" s="26"/>
      <x:c r="X207" s="19"/>
      <x:c r="Y207" s="26"/>
      <x:c r="Z207" s="19"/>
      <x:c r="AA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20"/>
      <x:c r="J208" s="19"/>
      <x:c r="K208" s="19"/>
      <x:c r="L208" s="92" t="str">
        <x:f>IF($A208="","",IF(COUNTIFS('Orders'!$C$2:$C$500,$A208,'Orders'!$M$2:$M$500,"&lt;&gt;cancelled")=0,"",MAXIFS('Orders'!$G$2:$G$500,'Orders'!$C$2:$C$500,$A208,'Orders'!$M$2:$M$500,"&lt;&gt;cancelled")))</x:f>
      </x:c>
      <x:c r="M208" s="96" t="str">
        <x:f>IF($A208="","",SUMIFS('Orders'!$K$2:$K$500,'Orders'!$C$2:$C$500,$A208,'Orders'!$M$2:$M$500,"&lt;&gt;cancelled"))</x:f>
      </x:c>
      <x:c r="N208" s="96" t="str">
        <x:f>IF($A208="","",COUNTIFS('Orders'!$C$2:$C$500,$A208,'Orders'!$M$2:$M$500,"&lt;&gt;cancelled"))</x:f>
      </x:c>
      <x:c r="O208" s="100" t="str">
        <x:f>IF($A208="","",IF(COUNTIF('Interactions'!$B$2:$B$500,$A208)=0,"",MAXIFS('Interactions'!$G$2:$G$500,'Interactions'!$B$2:$B$500,$A208)))</x:f>
      </x:c>
      <x:c r="P208" s="100" t="str">
        <x:f>IF($A208="","",IF(COUNTIFS('FollowUps'!$B$2:$B$500,$A208,'FollowUps'!$H$2:$H$500,"open")=0,"",MINIFS('FollowUps'!$E$2:$E$500,'FollowUps'!$B$2:$B$500,$A208,'FollowUps'!$H$2:$H$500,"open")))</x:f>
      </x:c>
      <x:c r="Q208" s="104" t="str">
        <x:f>IF($A208="","",ROUND(MIN(25,$N208/VALUE(INDEX('Settings'!$B$2:$B$100,MATCH("score_purchase_target",'Settings'!$A$2:$A$100,0)))*25)+MIN(25,$M208/VALUE(INDEX('Settings'!$B$2:$B$100,MATCH("score_value_target",'Settings'!$A$2:$A$100,0)))*25)+IF($L208="",0,MAX(0,25-(TODAY()-$L208)/VALUE(INDEX('Settings'!$B$2:$B$100,MATCH("score_recency_days",'Settings'!$A$2:$A$100,0)))*25))+MIN(15,COUNTIFS('FollowUps'!$B$2:$B$500,$A208,'FollowUps'!$H$2:$H$500,"done")/VALUE(INDEX('Settings'!$B$2:$B$100,MATCH("score_response_target",'Settings'!$A$2:$A$100,0)))*15)+IF(COUNTIFS('Interactions'!$B$2:$B$500,$A208,'Interactions'!$E$2:$E$500,"complaint")=0,10,0),0))</x:f>
      </x:c>
      <x:c r="R208" s="108" t="str">
        <x:f>IF($A208="","",IF($J208="inactive","inactive",IF($J208="at_risk","at_risk",IF($Q208&gt;=85,"vip",IF($Q208&gt;=70,"loyal",IF($Q208&gt;=50,"active",IF($N208=0,"new","needs_attention")))))))</x:f>
      </x:c>
      <x:c r="S208" s="19"/>
      <x:c r="T208" s="18"/>
      <x:c r="U208" s="19"/>
      <x:c r="V208" s="20"/>
      <x:c r="W208" s="26"/>
      <x:c r="X208" s="19"/>
      <x:c r="Y208" s="26"/>
      <x:c r="Z208" s="19"/>
      <x:c r="AA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20"/>
      <x:c r="J209" s="19"/>
      <x:c r="K209" s="19"/>
      <x:c r="L209" s="92" t="str">
        <x:f>IF($A209="","",IF(COUNTIFS('Orders'!$C$2:$C$500,$A209,'Orders'!$M$2:$M$500,"&lt;&gt;cancelled")=0,"",MAXIFS('Orders'!$G$2:$G$500,'Orders'!$C$2:$C$500,$A209,'Orders'!$M$2:$M$500,"&lt;&gt;cancelled")))</x:f>
      </x:c>
      <x:c r="M209" s="96" t="str">
        <x:f>IF($A209="","",SUMIFS('Orders'!$K$2:$K$500,'Orders'!$C$2:$C$500,$A209,'Orders'!$M$2:$M$500,"&lt;&gt;cancelled"))</x:f>
      </x:c>
      <x:c r="N209" s="96" t="str">
        <x:f>IF($A209="","",COUNTIFS('Orders'!$C$2:$C$500,$A209,'Orders'!$M$2:$M$500,"&lt;&gt;cancelled"))</x:f>
      </x:c>
      <x:c r="O209" s="100" t="str">
        <x:f>IF($A209="","",IF(COUNTIF('Interactions'!$B$2:$B$500,$A209)=0,"",MAXIFS('Interactions'!$G$2:$G$500,'Interactions'!$B$2:$B$500,$A209)))</x:f>
      </x:c>
      <x:c r="P209" s="100" t="str">
        <x:f>IF($A209="","",IF(COUNTIFS('FollowUps'!$B$2:$B$500,$A209,'FollowUps'!$H$2:$H$500,"open")=0,"",MINIFS('FollowUps'!$E$2:$E$500,'FollowUps'!$B$2:$B$500,$A209,'FollowUps'!$H$2:$H$500,"open")))</x:f>
      </x:c>
      <x:c r="Q209" s="104" t="str">
        <x:f>IF($A209="","",ROUND(MIN(25,$N209/VALUE(INDEX('Settings'!$B$2:$B$100,MATCH("score_purchase_target",'Settings'!$A$2:$A$100,0)))*25)+MIN(25,$M209/VALUE(INDEX('Settings'!$B$2:$B$100,MATCH("score_value_target",'Settings'!$A$2:$A$100,0)))*25)+IF($L209="",0,MAX(0,25-(TODAY()-$L209)/VALUE(INDEX('Settings'!$B$2:$B$100,MATCH("score_recency_days",'Settings'!$A$2:$A$100,0)))*25))+MIN(15,COUNTIFS('FollowUps'!$B$2:$B$500,$A209,'FollowUps'!$H$2:$H$500,"done")/VALUE(INDEX('Settings'!$B$2:$B$100,MATCH("score_response_target",'Settings'!$A$2:$A$100,0)))*15)+IF(COUNTIFS('Interactions'!$B$2:$B$500,$A209,'Interactions'!$E$2:$E$500,"complaint")=0,10,0),0))</x:f>
      </x:c>
      <x:c r="R209" s="108" t="str">
        <x:f>IF($A209="","",IF($J209="inactive","inactive",IF($J209="at_risk","at_risk",IF($Q209&gt;=85,"vip",IF($Q209&gt;=70,"loyal",IF($Q209&gt;=50,"active",IF($N209=0,"new","needs_attention")))))))</x:f>
      </x:c>
      <x:c r="S209" s="19"/>
      <x:c r="T209" s="18"/>
      <x:c r="U209" s="19"/>
      <x:c r="V209" s="20"/>
      <x:c r="W209" s="26"/>
      <x:c r="X209" s="19"/>
      <x:c r="Y209" s="26"/>
      <x:c r="Z209" s="19"/>
      <x:c r="AA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20"/>
      <x:c r="J210" s="19"/>
      <x:c r="K210" s="19"/>
      <x:c r="L210" s="92" t="str">
        <x:f>IF($A210="","",IF(COUNTIFS('Orders'!$C$2:$C$500,$A210,'Orders'!$M$2:$M$500,"&lt;&gt;cancelled")=0,"",MAXIFS('Orders'!$G$2:$G$500,'Orders'!$C$2:$C$500,$A210,'Orders'!$M$2:$M$500,"&lt;&gt;cancelled")))</x:f>
      </x:c>
      <x:c r="M210" s="96" t="str">
        <x:f>IF($A210="","",SUMIFS('Orders'!$K$2:$K$500,'Orders'!$C$2:$C$500,$A210,'Orders'!$M$2:$M$500,"&lt;&gt;cancelled"))</x:f>
      </x:c>
      <x:c r="N210" s="96" t="str">
        <x:f>IF($A210="","",COUNTIFS('Orders'!$C$2:$C$500,$A210,'Orders'!$M$2:$M$500,"&lt;&gt;cancelled"))</x:f>
      </x:c>
      <x:c r="O210" s="100" t="str">
        <x:f>IF($A210="","",IF(COUNTIF('Interactions'!$B$2:$B$500,$A210)=0,"",MAXIFS('Interactions'!$G$2:$G$500,'Interactions'!$B$2:$B$500,$A210)))</x:f>
      </x:c>
      <x:c r="P210" s="100" t="str">
        <x:f>IF($A210="","",IF(COUNTIFS('FollowUps'!$B$2:$B$500,$A210,'FollowUps'!$H$2:$H$500,"open")=0,"",MINIFS('FollowUps'!$E$2:$E$500,'FollowUps'!$B$2:$B$500,$A210,'FollowUps'!$H$2:$H$500,"open")))</x:f>
      </x:c>
      <x:c r="Q210" s="104" t="str">
        <x:f>IF($A210="","",ROUND(MIN(25,$N210/VALUE(INDEX('Settings'!$B$2:$B$100,MATCH("score_purchase_target",'Settings'!$A$2:$A$100,0)))*25)+MIN(25,$M210/VALUE(INDEX('Settings'!$B$2:$B$100,MATCH("score_value_target",'Settings'!$A$2:$A$100,0)))*25)+IF($L210="",0,MAX(0,25-(TODAY()-$L210)/VALUE(INDEX('Settings'!$B$2:$B$100,MATCH("score_recency_days",'Settings'!$A$2:$A$100,0)))*25))+MIN(15,COUNTIFS('FollowUps'!$B$2:$B$500,$A210,'FollowUps'!$H$2:$H$500,"done")/VALUE(INDEX('Settings'!$B$2:$B$100,MATCH("score_response_target",'Settings'!$A$2:$A$100,0)))*15)+IF(COUNTIFS('Interactions'!$B$2:$B$500,$A210,'Interactions'!$E$2:$E$500,"complaint")=0,10,0),0))</x:f>
      </x:c>
      <x:c r="R210" s="108" t="str">
        <x:f>IF($A210="","",IF($J210="inactive","inactive",IF($J210="at_risk","at_risk",IF($Q210&gt;=85,"vip",IF($Q210&gt;=70,"loyal",IF($Q210&gt;=50,"active",IF($N210=0,"new","needs_attention")))))))</x:f>
      </x:c>
      <x:c r="S210" s="19"/>
      <x:c r="T210" s="18"/>
      <x:c r="U210" s="19"/>
      <x:c r="V210" s="20"/>
      <x:c r="W210" s="26"/>
      <x:c r="X210" s="19"/>
      <x:c r="Y210" s="26"/>
      <x:c r="Z210" s="19"/>
      <x:c r="AA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20"/>
      <x:c r="J211" s="19"/>
      <x:c r="K211" s="19"/>
      <x:c r="L211" s="92" t="str">
        <x:f>IF($A211="","",IF(COUNTIFS('Orders'!$C$2:$C$500,$A211,'Orders'!$M$2:$M$500,"&lt;&gt;cancelled")=0,"",MAXIFS('Orders'!$G$2:$G$500,'Orders'!$C$2:$C$500,$A211,'Orders'!$M$2:$M$500,"&lt;&gt;cancelled")))</x:f>
      </x:c>
      <x:c r="M211" s="96" t="str">
        <x:f>IF($A211="","",SUMIFS('Orders'!$K$2:$K$500,'Orders'!$C$2:$C$500,$A211,'Orders'!$M$2:$M$500,"&lt;&gt;cancelled"))</x:f>
      </x:c>
      <x:c r="N211" s="96" t="str">
        <x:f>IF($A211="","",COUNTIFS('Orders'!$C$2:$C$500,$A211,'Orders'!$M$2:$M$500,"&lt;&gt;cancelled"))</x:f>
      </x:c>
      <x:c r="O211" s="100" t="str">
        <x:f>IF($A211="","",IF(COUNTIF('Interactions'!$B$2:$B$500,$A211)=0,"",MAXIFS('Interactions'!$G$2:$G$500,'Interactions'!$B$2:$B$500,$A211)))</x:f>
      </x:c>
      <x:c r="P211" s="100" t="str">
        <x:f>IF($A211="","",IF(COUNTIFS('FollowUps'!$B$2:$B$500,$A211,'FollowUps'!$H$2:$H$500,"open")=0,"",MINIFS('FollowUps'!$E$2:$E$500,'FollowUps'!$B$2:$B$500,$A211,'FollowUps'!$H$2:$H$500,"open")))</x:f>
      </x:c>
      <x:c r="Q211" s="104" t="str">
        <x:f>IF($A211="","",ROUND(MIN(25,$N211/VALUE(INDEX('Settings'!$B$2:$B$100,MATCH("score_purchase_target",'Settings'!$A$2:$A$100,0)))*25)+MIN(25,$M211/VALUE(INDEX('Settings'!$B$2:$B$100,MATCH("score_value_target",'Settings'!$A$2:$A$100,0)))*25)+IF($L211="",0,MAX(0,25-(TODAY()-$L211)/VALUE(INDEX('Settings'!$B$2:$B$100,MATCH("score_recency_days",'Settings'!$A$2:$A$100,0)))*25))+MIN(15,COUNTIFS('FollowUps'!$B$2:$B$500,$A211,'FollowUps'!$H$2:$H$500,"done")/VALUE(INDEX('Settings'!$B$2:$B$100,MATCH("score_response_target",'Settings'!$A$2:$A$100,0)))*15)+IF(COUNTIFS('Interactions'!$B$2:$B$500,$A211,'Interactions'!$E$2:$E$500,"complaint")=0,10,0),0))</x:f>
      </x:c>
      <x:c r="R211" s="108" t="str">
        <x:f>IF($A211="","",IF($J211="inactive","inactive",IF($J211="at_risk","at_risk",IF($Q211&gt;=85,"vip",IF($Q211&gt;=70,"loyal",IF($Q211&gt;=50,"active",IF($N211=0,"new","needs_attention")))))))</x:f>
      </x:c>
      <x:c r="S211" s="19"/>
      <x:c r="T211" s="18"/>
      <x:c r="U211" s="19"/>
      <x:c r="V211" s="20"/>
      <x:c r="W211" s="26"/>
      <x:c r="X211" s="19"/>
      <x:c r="Y211" s="26"/>
      <x:c r="Z211" s="19"/>
      <x:c r="AA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20"/>
      <x:c r="J212" s="19"/>
      <x:c r="K212" s="19"/>
      <x:c r="L212" s="92" t="str">
        <x:f>IF($A212="","",IF(COUNTIFS('Orders'!$C$2:$C$500,$A212,'Orders'!$M$2:$M$500,"&lt;&gt;cancelled")=0,"",MAXIFS('Orders'!$G$2:$G$500,'Orders'!$C$2:$C$500,$A212,'Orders'!$M$2:$M$500,"&lt;&gt;cancelled")))</x:f>
      </x:c>
      <x:c r="M212" s="96" t="str">
        <x:f>IF($A212="","",SUMIFS('Orders'!$K$2:$K$500,'Orders'!$C$2:$C$500,$A212,'Orders'!$M$2:$M$500,"&lt;&gt;cancelled"))</x:f>
      </x:c>
      <x:c r="N212" s="96" t="str">
        <x:f>IF($A212="","",COUNTIFS('Orders'!$C$2:$C$500,$A212,'Orders'!$M$2:$M$500,"&lt;&gt;cancelled"))</x:f>
      </x:c>
      <x:c r="O212" s="100" t="str">
        <x:f>IF($A212="","",IF(COUNTIF('Interactions'!$B$2:$B$500,$A212)=0,"",MAXIFS('Interactions'!$G$2:$G$500,'Interactions'!$B$2:$B$500,$A212)))</x:f>
      </x:c>
      <x:c r="P212" s="100" t="str">
        <x:f>IF($A212="","",IF(COUNTIFS('FollowUps'!$B$2:$B$500,$A212,'FollowUps'!$H$2:$H$500,"open")=0,"",MINIFS('FollowUps'!$E$2:$E$500,'FollowUps'!$B$2:$B$500,$A212,'FollowUps'!$H$2:$H$500,"open")))</x:f>
      </x:c>
      <x:c r="Q212" s="104" t="str">
        <x:f>IF($A212="","",ROUND(MIN(25,$N212/VALUE(INDEX('Settings'!$B$2:$B$100,MATCH("score_purchase_target",'Settings'!$A$2:$A$100,0)))*25)+MIN(25,$M212/VALUE(INDEX('Settings'!$B$2:$B$100,MATCH("score_value_target",'Settings'!$A$2:$A$100,0)))*25)+IF($L212="",0,MAX(0,25-(TODAY()-$L212)/VALUE(INDEX('Settings'!$B$2:$B$100,MATCH("score_recency_days",'Settings'!$A$2:$A$100,0)))*25))+MIN(15,COUNTIFS('FollowUps'!$B$2:$B$500,$A212,'FollowUps'!$H$2:$H$500,"done")/VALUE(INDEX('Settings'!$B$2:$B$100,MATCH("score_response_target",'Settings'!$A$2:$A$100,0)))*15)+IF(COUNTIFS('Interactions'!$B$2:$B$500,$A212,'Interactions'!$E$2:$E$500,"complaint")=0,10,0),0))</x:f>
      </x:c>
      <x:c r="R212" s="108" t="str">
        <x:f>IF($A212="","",IF($J212="inactive","inactive",IF($J212="at_risk","at_risk",IF($Q212&gt;=85,"vip",IF($Q212&gt;=70,"loyal",IF($Q212&gt;=50,"active",IF($N212=0,"new","needs_attention")))))))</x:f>
      </x:c>
      <x:c r="S212" s="19"/>
      <x:c r="T212" s="18"/>
      <x:c r="U212" s="19"/>
      <x:c r="V212" s="20"/>
      <x:c r="W212" s="26"/>
      <x:c r="X212" s="19"/>
      <x:c r="Y212" s="26"/>
      <x:c r="Z212" s="19"/>
      <x:c r="AA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20"/>
      <x:c r="J213" s="19"/>
      <x:c r="K213" s="19"/>
      <x:c r="L213" s="92" t="str">
        <x:f>IF($A213="","",IF(COUNTIFS('Orders'!$C$2:$C$500,$A213,'Orders'!$M$2:$M$500,"&lt;&gt;cancelled")=0,"",MAXIFS('Orders'!$G$2:$G$500,'Orders'!$C$2:$C$500,$A213,'Orders'!$M$2:$M$500,"&lt;&gt;cancelled")))</x:f>
      </x:c>
      <x:c r="M213" s="96" t="str">
        <x:f>IF($A213="","",SUMIFS('Orders'!$K$2:$K$500,'Orders'!$C$2:$C$500,$A213,'Orders'!$M$2:$M$500,"&lt;&gt;cancelled"))</x:f>
      </x:c>
      <x:c r="N213" s="96" t="str">
        <x:f>IF($A213="","",COUNTIFS('Orders'!$C$2:$C$500,$A213,'Orders'!$M$2:$M$500,"&lt;&gt;cancelled"))</x:f>
      </x:c>
      <x:c r="O213" s="100" t="str">
        <x:f>IF($A213="","",IF(COUNTIF('Interactions'!$B$2:$B$500,$A213)=0,"",MAXIFS('Interactions'!$G$2:$G$500,'Interactions'!$B$2:$B$500,$A213)))</x:f>
      </x:c>
      <x:c r="P213" s="100" t="str">
        <x:f>IF($A213="","",IF(COUNTIFS('FollowUps'!$B$2:$B$500,$A213,'FollowUps'!$H$2:$H$500,"open")=0,"",MINIFS('FollowUps'!$E$2:$E$500,'FollowUps'!$B$2:$B$500,$A213,'FollowUps'!$H$2:$H$500,"open")))</x:f>
      </x:c>
      <x:c r="Q213" s="104" t="str">
        <x:f>IF($A213="","",ROUND(MIN(25,$N213/VALUE(INDEX('Settings'!$B$2:$B$100,MATCH("score_purchase_target",'Settings'!$A$2:$A$100,0)))*25)+MIN(25,$M213/VALUE(INDEX('Settings'!$B$2:$B$100,MATCH("score_value_target",'Settings'!$A$2:$A$100,0)))*25)+IF($L213="",0,MAX(0,25-(TODAY()-$L213)/VALUE(INDEX('Settings'!$B$2:$B$100,MATCH("score_recency_days",'Settings'!$A$2:$A$100,0)))*25))+MIN(15,COUNTIFS('FollowUps'!$B$2:$B$500,$A213,'FollowUps'!$H$2:$H$500,"done")/VALUE(INDEX('Settings'!$B$2:$B$100,MATCH("score_response_target",'Settings'!$A$2:$A$100,0)))*15)+IF(COUNTIFS('Interactions'!$B$2:$B$500,$A213,'Interactions'!$E$2:$E$500,"complaint")=0,10,0),0))</x:f>
      </x:c>
      <x:c r="R213" s="108" t="str">
        <x:f>IF($A213="","",IF($J213="inactive","inactive",IF($J213="at_risk","at_risk",IF($Q213&gt;=85,"vip",IF($Q213&gt;=70,"loyal",IF($Q213&gt;=50,"active",IF($N213=0,"new","needs_attention")))))))</x:f>
      </x:c>
      <x:c r="S213" s="19"/>
      <x:c r="T213" s="18"/>
      <x:c r="U213" s="19"/>
      <x:c r="V213" s="20"/>
      <x:c r="W213" s="26"/>
      <x:c r="X213" s="19"/>
      <x:c r="Y213" s="26"/>
      <x:c r="Z213" s="19"/>
      <x:c r="AA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20"/>
      <x:c r="J214" s="19"/>
      <x:c r="K214" s="19"/>
      <x:c r="L214" s="92" t="str">
        <x:f>IF($A214="","",IF(COUNTIFS('Orders'!$C$2:$C$500,$A214,'Orders'!$M$2:$M$500,"&lt;&gt;cancelled")=0,"",MAXIFS('Orders'!$G$2:$G$500,'Orders'!$C$2:$C$500,$A214,'Orders'!$M$2:$M$500,"&lt;&gt;cancelled")))</x:f>
      </x:c>
      <x:c r="M214" s="96" t="str">
        <x:f>IF($A214="","",SUMIFS('Orders'!$K$2:$K$500,'Orders'!$C$2:$C$500,$A214,'Orders'!$M$2:$M$500,"&lt;&gt;cancelled"))</x:f>
      </x:c>
      <x:c r="N214" s="96" t="str">
        <x:f>IF($A214="","",COUNTIFS('Orders'!$C$2:$C$500,$A214,'Orders'!$M$2:$M$500,"&lt;&gt;cancelled"))</x:f>
      </x:c>
      <x:c r="O214" s="100" t="str">
        <x:f>IF($A214="","",IF(COUNTIF('Interactions'!$B$2:$B$500,$A214)=0,"",MAXIFS('Interactions'!$G$2:$G$500,'Interactions'!$B$2:$B$500,$A214)))</x:f>
      </x:c>
      <x:c r="P214" s="100" t="str">
        <x:f>IF($A214="","",IF(COUNTIFS('FollowUps'!$B$2:$B$500,$A214,'FollowUps'!$H$2:$H$500,"open")=0,"",MINIFS('FollowUps'!$E$2:$E$500,'FollowUps'!$B$2:$B$500,$A214,'FollowUps'!$H$2:$H$500,"open")))</x:f>
      </x:c>
      <x:c r="Q214" s="104" t="str">
        <x:f>IF($A214="","",ROUND(MIN(25,$N214/VALUE(INDEX('Settings'!$B$2:$B$100,MATCH("score_purchase_target",'Settings'!$A$2:$A$100,0)))*25)+MIN(25,$M214/VALUE(INDEX('Settings'!$B$2:$B$100,MATCH("score_value_target",'Settings'!$A$2:$A$100,0)))*25)+IF($L214="",0,MAX(0,25-(TODAY()-$L214)/VALUE(INDEX('Settings'!$B$2:$B$100,MATCH("score_recency_days",'Settings'!$A$2:$A$100,0)))*25))+MIN(15,COUNTIFS('FollowUps'!$B$2:$B$500,$A214,'FollowUps'!$H$2:$H$500,"done")/VALUE(INDEX('Settings'!$B$2:$B$100,MATCH("score_response_target",'Settings'!$A$2:$A$100,0)))*15)+IF(COUNTIFS('Interactions'!$B$2:$B$500,$A214,'Interactions'!$E$2:$E$500,"complaint")=0,10,0),0))</x:f>
      </x:c>
      <x:c r="R214" s="108" t="str">
        <x:f>IF($A214="","",IF($J214="inactive","inactive",IF($J214="at_risk","at_risk",IF($Q214&gt;=85,"vip",IF($Q214&gt;=70,"loyal",IF($Q214&gt;=50,"active",IF($N214=0,"new","needs_attention")))))))</x:f>
      </x:c>
      <x:c r="S214" s="19"/>
      <x:c r="T214" s="18"/>
      <x:c r="U214" s="19"/>
      <x:c r="V214" s="20"/>
      <x:c r="W214" s="26"/>
      <x:c r="X214" s="19"/>
      <x:c r="Y214" s="26"/>
      <x:c r="Z214" s="19"/>
      <x:c r="AA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20"/>
      <x:c r="J215" s="19"/>
      <x:c r="K215" s="19"/>
      <x:c r="L215" s="92" t="str">
        <x:f>IF($A215="","",IF(COUNTIFS('Orders'!$C$2:$C$500,$A215,'Orders'!$M$2:$M$500,"&lt;&gt;cancelled")=0,"",MAXIFS('Orders'!$G$2:$G$500,'Orders'!$C$2:$C$500,$A215,'Orders'!$M$2:$M$500,"&lt;&gt;cancelled")))</x:f>
      </x:c>
      <x:c r="M215" s="96" t="str">
        <x:f>IF($A215="","",SUMIFS('Orders'!$K$2:$K$500,'Orders'!$C$2:$C$500,$A215,'Orders'!$M$2:$M$500,"&lt;&gt;cancelled"))</x:f>
      </x:c>
      <x:c r="N215" s="96" t="str">
        <x:f>IF($A215="","",COUNTIFS('Orders'!$C$2:$C$500,$A215,'Orders'!$M$2:$M$500,"&lt;&gt;cancelled"))</x:f>
      </x:c>
      <x:c r="O215" s="100" t="str">
        <x:f>IF($A215="","",IF(COUNTIF('Interactions'!$B$2:$B$500,$A215)=0,"",MAXIFS('Interactions'!$G$2:$G$500,'Interactions'!$B$2:$B$500,$A215)))</x:f>
      </x:c>
      <x:c r="P215" s="100" t="str">
        <x:f>IF($A215="","",IF(COUNTIFS('FollowUps'!$B$2:$B$500,$A215,'FollowUps'!$H$2:$H$500,"open")=0,"",MINIFS('FollowUps'!$E$2:$E$500,'FollowUps'!$B$2:$B$500,$A215,'FollowUps'!$H$2:$H$500,"open")))</x:f>
      </x:c>
      <x:c r="Q215" s="104" t="str">
        <x:f>IF($A215="","",ROUND(MIN(25,$N215/VALUE(INDEX('Settings'!$B$2:$B$100,MATCH("score_purchase_target",'Settings'!$A$2:$A$100,0)))*25)+MIN(25,$M215/VALUE(INDEX('Settings'!$B$2:$B$100,MATCH("score_value_target",'Settings'!$A$2:$A$100,0)))*25)+IF($L215="",0,MAX(0,25-(TODAY()-$L215)/VALUE(INDEX('Settings'!$B$2:$B$100,MATCH("score_recency_days",'Settings'!$A$2:$A$100,0)))*25))+MIN(15,COUNTIFS('FollowUps'!$B$2:$B$500,$A215,'FollowUps'!$H$2:$H$500,"done")/VALUE(INDEX('Settings'!$B$2:$B$100,MATCH("score_response_target",'Settings'!$A$2:$A$100,0)))*15)+IF(COUNTIFS('Interactions'!$B$2:$B$500,$A215,'Interactions'!$E$2:$E$500,"complaint")=0,10,0),0))</x:f>
      </x:c>
      <x:c r="R215" s="108" t="str">
        <x:f>IF($A215="","",IF($J215="inactive","inactive",IF($J215="at_risk","at_risk",IF($Q215&gt;=85,"vip",IF($Q215&gt;=70,"loyal",IF($Q215&gt;=50,"active",IF($N215=0,"new","needs_attention")))))))</x:f>
      </x:c>
      <x:c r="S215" s="19"/>
      <x:c r="T215" s="18"/>
      <x:c r="U215" s="19"/>
      <x:c r="V215" s="20"/>
      <x:c r="W215" s="26"/>
      <x:c r="X215" s="19"/>
      <x:c r="Y215" s="26"/>
      <x:c r="Z215" s="19"/>
      <x:c r="AA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20"/>
      <x:c r="J216" s="19"/>
      <x:c r="K216" s="19"/>
      <x:c r="L216" s="92" t="str">
        <x:f>IF($A216="","",IF(COUNTIFS('Orders'!$C$2:$C$500,$A216,'Orders'!$M$2:$M$500,"&lt;&gt;cancelled")=0,"",MAXIFS('Orders'!$G$2:$G$500,'Orders'!$C$2:$C$500,$A216,'Orders'!$M$2:$M$500,"&lt;&gt;cancelled")))</x:f>
      </x:c>
      <x:c r="M216" s="96" t="str">
        <x:f>IF($A216="","",SUMIFS('Orders'!$K$2:$K$500,'Orders'!$C$2:$C$500,$A216,'Orders'!$M$2:$M$500,"&lt;&gt;cancelled"))</x:f>
      </x:c>
      <x:c r="N216" s="96" t="str">
        <x:f>IF($A216="","",COUNTIFS('Orders'!$C$2:$C$500,$A216,'Orders'!$M$2:$M$500,"&lt;&gt;cancelled"))</x:f>
      </x:c>
      <x:c r="O216" s="100" t="str">
        <x:f>IF($A216="","",IF(COUNTIF('Interactions'!$B$2:$B$500,$A216)=0,"",MAXIFS('Interactions'!$G$2:$G$500,'Interactions'!$B$2:$B$500,$A216)))</x:f>
      </x:c>
      <x:c r="P216" s="100" t="str">
        <x:f>IF($A216="","",IF(COUNTIFS('FollowUps'!$B$2:$B$500,$A216,'FollowUps'!$H$2:$H$500,"open")=0,"",MINIFS('FollowUps'!$E$2:$E$500,'FollowUps'!$B$2:$B$500,$A216,'FollowUps'!$H$2:$H$500,"open")))</x:f>
      </x:c>
      <x:c r="Q216" s="104" t="str">
        <x:f>IF($A216="","",ROUND(MIN(25,$N216/VALUE(INDEX('Settings'!$B$2:$B$100,MATCH("score_purchase_target",'Settings'!$A$2:$A$100,0)))*25)+MIN(25,$M216/VALUE(INDEX('Settings'!$B$2:$B$100,MATCH("score_value_target",'Settings'!$A$2:$A$100,0)))*25)+IF($L216="",0,MAX(0,25-(TODAY()-$L216)/VALUE(INDEX('Settings'!$B$2:$B$100,MATCH("score_recency_days",'Settings'!$A$2:$A$100,0)))*25))+MIN(15,COUNTIFS('FollowUps'!$B$2:$B$500,$A216,'FollowUps'!$H$2:$H$500,"done")/VALUE(INDEX('Settings'!$B$2:$B$100,MATCH("score_response_target",'Settings'!$A$2:$A$100,0)))*15)+IF(COUNTIFS('Interactions'!$B$2:$B$500,$A216,'Interactions'!$E$2:$E$500,"complaint")=0,10,0),0))</x:f>
      </x:c>
      <x:c r="R216" s="108" t="str">
        <x:f>IF($A216="","",IF($J216="inactive","inactive",IF($J216="at_risk","at_risk",IF($Q216&gt;=85,"vip",IF($Q216&gt;=70,"loyal",IF($Q216&gt;=50,"active",IF($N216=0,"new","needs_attention")))))))</x:f>
      </x:c>
      <x:c r="S216" s="19"/>
      <x:c r="T216" s="18"/>
      <x:c r="U216" s="19"/>
      <x:c r="V216" s="20"/>
      <x:c r="W216" s="26"/>
      <x:c r="X216" s="19"/>
      <x:c r="Y216" s="26"/>
      <x:c r="Z216" s="19"/>
      <x:c r="AA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20"/>
      <x:c r="J217" s="19"/>
      <x:c r="K217" s="19"/>
      <x:c r="L217" s="92" t="str">
        <x:f>IF($A217="","",IF(COUNTIFS('Orders'!$C$2:$C$500,$A217,'Orders'!$M$2:$M$500,"&lt;&gt;cancelled")=0,"",MAXIFS('Orders'!$G$2:$G$500,'Orders'!$C$2:$C$500,$A217,'Orders'!$M$2:$M$500,"&lt;&gt;cancelled")))</x:f>
      </x:c>
      <x:c r="M217" s="96" t="str">
        <x:f>IF($A217="","",SUMIFS('Orders'!$K$2:$K$500,'Orders'!$C$2:$C$500,$A217,'Orders'!$M$2:$M$500,"&lt;&gt;cancelled"))</x:f>
      </x:c>
      <x:c r="N217" s="96" t="str">
        <x:f>IF($A217="","",COUNTIFS('Orders'!$C$2:$C$500,$A217,'Orders'!$M$2:$M$500,"&lt;&gt;cancelled"))</x:f>
      </x:c>
      <x:c r="O217" s="100" t="str">
        <x:f>IF($A217="","",IF(COUNTIF('Interactions'!$B$2:$B$500,$A217)=0,"",MAXIFS('Interactions'!$G$2:$G$500,'Interactions'!$B$2:$B$500,$A217)))</x:f>
      </x:c>
      <x:c r="P217" s="100" t="str">
        <x:f>IF($A217="","",IF(COUNTIFS('FollowUps'!$B$2:$B$500,$A217,'FollowUps'!$H$2:$H$500,"open")=0,"",MINIFS('FollowUps'!$E$2:$E$500,'FollowUps'!$B$2:$B$500,$A217,'FollowUps'!$H$2:$H$500,"open")))</x:f>
      </x:c>
      <x:c r="Q217" s="104" t="str">
        <x:f>IF($A217="","",ROUND(MIN(25,$N217/VALUE(INDEX('Settings'!$B$2:$B$100,MATCH("score_purchase_target",'Settings'!$A$2:$A$100,0)))*25)+MIN(25,$M217/VALUE(INDEX('Settings'!$B$2:$B$100,MATCH("score_value_target",'Settings'!$A$2:$A$100,0)))*25)+IF($L217="",0,MAX(0,25-(TODAY()-$L217)/VALUE(INDEX('Settings'!$B$2:$B$100,MATCH("score_recency_days",'Settings'!$A$2:$A$100,0)))*25))+MIN(15,COUNTIFS('FollowUps'!$B$2:$B$500,$A217,'FollowUps'!$H$2:$H$500,"done")/VALUE(INDEX('Settings'!$B$2:$B$100,MATCH("score_response_target",'Settings'!$A$2:$A$100,0)))*15)+IF(COUNTIFS('Interactions'!$B$2:$B$500,$A217,'Interactions'!$E$2:$E$500,"complaint")=0,10,0),0))</x:f>
      </x:c>
      <x:c r="R217" s="108" t="str">
        <x:f>IF($A217="","",IF($J217="inactive","inactive",IF($J217="at_risk","at_risk",IF($Q217&gt;=85,"vip",IF($Q217&gt;=70,"loyal",IF($Q217&gt;=50,"active",IF($N217=0,"new","needs_attention")))))))</x:f>
      </x:c>
      <x:c r="S217" s="19"/>
      <x:c r="T217" s="18"/>
      <x:c r="U217" s="19"/>
      <x:c r="V217" s="20"/>
      <x:c r="W217" s="26"/>
      <x:c r="X217" s="19"/>
      <x:c r="Y217" s="26"/>
      <x:c r="Z217" s="19"/>
      <x:c r="AA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20"/>
      <x:c r="J218" s="19"/>
      <x:c r="K218" s="19"/>
      <x:c r="L218" s="92" t="str">
        <x:f>IF($A218="","",IF(COUNTIFS('Orders'!$C$2:$C$500,$A218,'Orders'!$M$2:$M$500,"&lt;&gt;cancelled")=0,"",MAXIFS('Orders'!$G$2:$G$500,'Orders'!$C$2:$C$500,$A218,'Orders'!$M$2:$M$500,"&lt;&gt;cancelled")))</x:f>
      </x:c>
      <x:c r="M218" s="96" t="str">
        <x:f>IF($A218="","",SUMIFS('Orders'!$K$2:$K$500,'Orders'!$C$2:$C$500,$A218,'Orders'!$M$2:$M$500,"&lt;&gt;cancelled"))</x:f>
      </x:c>
      <x:c r="N218" s="96" t="str">
        <x:f>IF($A218="","",COUNTIFS('Orders'!$C$2:$C$500,$A218,'Orders'!$M$2:$M$500,"&lt;&gt;cancelled"))</x:f>
      </x:c>
      <x:c r="O218" s="100" t="str">
        <x:f>IF($A218="","",IF(COUNTIF('Interactions'!$B$2:$B$500,$A218)=0,"",MAXIFS('Interactions'!$G$2:$G$500,'Interactions'!$B$2:$B$500,$A218)))</x:f>
      </x:c>
      <x:c r="P218" s="100" t="str">
        <x:f>IF($A218="","",IF(COUNTIFS('FollowUps'!$B$2:$B$500,$A218,'FollowUps'!$H$2:$H$500,"open")=0,"",MINIFS('FollowUps'!$E$2:$E$500,'FollowUps'!$B$2:$B$500,$A218,'FollowUps'!$H$2:$H$500,"open")))</x:f>
      </x:c>
      <x:c r="Q218" s="104" t="str">
        <x:f>IF($A218="","",ROUND(MIN(25,$N218/VALUE(INDEX('Settings'!$B$2:$B$100,MATCH("score_purchase_target",'Settings'!$A$2:$A$100,0)))*25)+MIN(25,$M218/VALUE(INDEX('Settings'!$B$2:$B$100,MATCH("score_value_target",'Settings'!$A$2:$A$100,0)))*25)+IF($L218="",0,MAX(0,25-(TODAY()-$L218)/VALUE(INDEX('Settings'!$B$2:$B$100,MATCH("score_recency_days",'Settings'!$A$2:$A$100,0)))*25))+MIN(15,COUNTIFS('FollowUps'!$B$2:$B$500,$A218,'FollowUps'!$H$2:$H$500,"done")/VALUE(INDEX('Settings'!$B$2:$B$100,MATCH("score_response_target",'Settings'!$A$2:$A$100,0)))*15)+IF(COUNTIFS('Interactions'!$B$2:$B$500,$A218,'Interactions'!$E$2:$E$500,"complaint")=0,10,0),0))</x:f>
      </x:c>
      <x:c r="R218" s="108" t="str">
        <x:f>IF($A218="","",IF($J218="inactive","inactive",IF($J218="at_risk","at_risk",IF($Q218&gt;=85,"vip",IF($Q218&gt;=70,"loyal",IF($Q218&gt;=50,"active",IF($N218=0,"new","needs_attention")))))))</x:f>
      </x:c>
      <x:c r="S218" s="19"/>
      <x:c r="T218" s="18"/>
      <x:c r="U218" s="19"/>
      <x:c r="V218" s="20"/>
      <x:c r="W218" s="26"/>
      <x:c r="X218" s="19"/>
      <x:c r="Y218" s="26"/>
      <x:c r="Z218" s="19"/>
      <x:c r="AA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20"/>
      <x:c r="J219" s="19"/>
      <x:c r="K219" s="19"/>
      <x:c r="L219" s="92" t="str">
        <x:f>IF($A219="","",IF(COUNTIFS('Orders'!$C$2:$C$500,$A219,'Orders'!$M$2:$M$500,"&lt;&gt;cancelled")=0,"",MAXIFS('Orders'!$G$2:$G$500,'Orders'!$C$2:$C$500,$A219,'Orders'!$M$2:$M$500,"&lt;&gt;cancelled")))</x:f>
      </x:c>
      <x:c r="M219" s="96" t="str">
        <x:f>IF($A219="","",SUMIFS('Orders'!$K$2:$K$500,'Orders'!$C$2:$C$500,$A219,'Orders'!$M$2:$M$500,"&lt;&gt;cancelled"))</x:f>
      </x:c>
      <x:c r="N219" s="96" t="str">
        <x:f>IF($A219="","",COUNTIFS('Orders'!$C$2:$C$500,$A219,'Orders'!$M$2:$M$500,"&lt;&gt;cancelled"))</x:f>
      </x:c>
      <x:c r="O219" s="100" t="str">
        <x:f>IF($A219="","",IF(COUNTIF('Interactions'!$B$2:$B$500,$A219)=0,"",MAXIFS('Interactions'!$G$2:$G$500,'Interactions'!$B$2:$B$500,$A219)))</x:f>
      </x:c>
      <x:c r="P219" s="100" t="str">
        <x:f>IF($A219="","",IF(COUNTIFS('FollowUps'!$B$2:$B$500,$A219,'FollowUps'!$H$2:$H$500,"open")=0,"",MINIFS('FollowUps'!$E$2:$E$500,'FollowUps'!$B$2:$B$500,$A219,'FollowUps'!$H$2:$H$500,"open")))</x:f>
      </x:c>
      <x:c r="Q219" s="104" t="str">
        <x:f>IF($A219="","",ROUND(MIN(25,$N219/VALUE(INDEX('Settings'!$B$2:$B$100,MATCH("score_purchase_target",'Settings'!$A$2:$A$100,0)))*25)+MIN(25,$M219/VALUE(INDEX('Settings'!$B$2:$B$100,MATCH("score_value_target",'Settings'!$A$2:$A$100,0)))*25)+IF($L219="",0,MAX(0,25-(TODAY()-$L219)/VALUE(INDEX('Settings'!$B$2:$B$100,MATCH("score_recency_days",'Settings'!$A$2:$A$100,0)))*25))+MIN(15,COUNTIFS('FollowUps'!$B$2:$B$500,$A219,'FollowUps'!$H$2:$H$500,"done")/VALUE(INDEX('Settings'!$B$2:$B$100,MATCH("score_response_target",'Settings'!$A$2:$A$100,0)))*15)+IF(COUNTIFS('Interactions'!$B$2:$B$500,$A219,'Interactions'!$E$2:$E$500,"complaint")=0,10,0),0))</x:f>
      </x:c>
      <x:c r="R219" s="108" t="str">
        <x:f>IF($A219="","",IF($J219="inactive","inactive",IF($J219="at_risk","at_risk",IF($Q219&gt;=85,"vip",IF($Q219&gt;=70,"loyal",IF($Q219&gt;=50,"active",IF($N219=0,"new","needs_attention")))))))</x:f>
      </x:c>
      <x:c r="S219" s="19"/>
      <x:c r="T219" s="18"/>
      <x:c r="U219" s="19"/>
      <x:c r="V219" s="20"/>
      <x:c r="W219" s="26"/>
      <x:c r="X219" s="19"/>
      <x:c r="Y219" s="26"/>
      <x:c r="Z219" s="19"/>
      <x:c r="AA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20"/>
      <x:c r="J220" s="19"/>
      <x:c r="K220" s="19"/>
      <x:c r="L220" s="92" t="str">
        <x:f>IF($A220="","",IF(COUNTIFS('Orders'!$C$2:$C$500,$A220,'Orders'!$M$2:$M$500,"&lt;&gt;cancelled")=0,"",MAXIFS('Orders'!$G$2:$G$500,'Orders'!$C$2:$C$500,$A220,'Orders'!$M$2:$M$500,"&lt;&gt;cancelled")))</x:f>
      </x:c>
      <x:c r="M220" s="96" t="str">
        <x:f>IF($A220="","",SUMIFS('Orders'!$K$2:$K$500,'Orders'!$C$2:$C$500,$A220,'Orders'!$M$2:$M$500,"&lt;&gt;cancelled"))</x:f>
      </x:c>
      <x:c r="N220" s="96" t="str">
        <x:f>IF($A220="","",COUNTIFS('Orders'!$C$2:$C$500,$A220,'Orders'!$M$2:$M$500,"&lt;&gt;cancelled"))</x:f>
      </x:c>
      <x:c r="O220" s="100" t="str">
        <x:f>IF($A220="","",IF(COUNTIF('Interactions'!$B$2:$B$500,$A220)=0,"",MAXIFS('Interactions'!$G$2:$G$500,'Interactions'!$B$2:$B$500,$A220)))</x:f>
      </x:c>
      <x:c r="P220" s="100" t="str">
        <x:f>IF($A220="","",IF(COUNTIFS('FollowUps'!$B$2:$B$500,$A220,'FollowUps'!$H$2:$H$500,"open")=0,"",MINIFS('FollowUps'!$E$2:$E$500,'FollowUps'!$B$2:$B$500,$A220,'FollowUps'!$H$2:$H$500,"open")))</x:f>
      </x:c>
      <x:c r="Q220" s="104" t="str">
        <x:f>IF($A220="","",ROUND(MIN(25,$N220/VALUE(INDEX('Settings'!$B$2:$B$100,MATCH("score_purchase_target",'Settings'!$A$2:$A$100,0)))*25)+MIN(25,$M220/VALUE(INDEX('Settings'!$B$2:$B$100,MATCH("score_value_target",'Settings'!$A$2:$A$100,0)))*25)+IF($L220="",0,MAX(0,25-(TODAY()-$L220)/VALUE(INDEX('Settings'!$B$2:$B$100,MATCH("score_recency_days",'Settings'!$A$2:$A$100,0)))*25))+MIN(15,COUNTIFS('FollowUps'!$B$2:$B$500,$A220,'FollowUps'!$H$2:$H$500,"done")/VALUE(INDEX('Settings'!$B$2:$B$100,MATCH("score_response_target",'Settings'!$A$2:$A$100,0)))*15)+IF(COUNTIFS('Interactions'!$B$2:$B$500,$A220,'Interactions'!$E$2:$E$500,"complaint")=0,10,0),0))</x:f>
      </x:c>
      <x:c r="R220" s="108" t="str">
        <x:f>IF($A220="","",IF($J220="inactive","inactive",IF($J220="at_risk","at_risk",IF($Q220&gt;=85,"vip",IF($Q220&gt;=70,"loyal",IF($Q220&gt;=50,"active",IF($N220=0,"new","needs_attention")))))))</x:f>
      </x:c>
      <x:c r="S220" s="19"/>
      <x:c r="T220" s="18"/>
      <x:c r="U220" s="19"/>
      <x:c r="V220" s="20"/>
      <x:c r="W220" s="26"/>
      <x:c r="X220" s="19"/>
      <x:c r="Y220" s="26"/>
      <x:c r="Z220" s="19"/>
      <x:c r="AA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20"/>
      <x:c r="J221" s="19"/>
      <x:c r="K221" s="19"/>
      <x:c r="L221" s="92" t="str">
        <x:f>IF($A221="","",IF(COUNTIFS('Orders'!$C$2:$C$500,$A221,'Orders'!$M$2:$M$500,"&lt;&gt;cancelled")=0,"",MAXIFS('Orders'!$G$2:$G$500,'Orders'!$C$2:$C$500,$A221,'Orders'!$M$2:$M$500,"&lt;&gt;cancelled")))</x:f>
      </x:c>
      <x:c r="M221" s="96" t="str">
        <x:f>IF($A221="","",SUMIFS('Orders'!$K$2:$K$500,'Orders'!$C$2:$C$500,$A221,'Orders'!$M$2:$M$500,"&lt;&gt;cancelled"))</x:f>
      </x:c>
      <x:c r="N221" s="96" t="str">
        <x:f>IF($A221="","",COUNTIFS('Orders'!$C$2:$C$500,$A221,'Orders'!$M$2:$M$500,"&lt;&gt;cancelled"))</x:f>
      </x:c>
      <x:c r="O221" s="100" t="str">
        <x:f>IF($A221="","",IF(COUNTIF('Interactions'!$B$2:$B$500,$A221)=0,"",MAXIFS('Interactions'!$G$2:$G$500,'Interactions'!$B$2:$B$500,$A221)))</x:f>
      </x:c>
      <x:c r="P221" s="100" t="str">
        <x:f>IF($A221="","",IF(COUNTIFS('FollowUps'!$B$2:$B$500,$A221,'FollowUps'!$H$2:$H$500,"open")=0,"",MINIFS('FollowUps'!$E$2:$E$500,'FollowUps'!$B$2:$B$500,$A221,'FollowUps'!$H$2:$H$500,"open")))</x:f>
      </x:c>
      <x:c r="Q221" s="104" t="str">
        <x:f>IF($A221="","",ROUND(MIN(25,$N221/VALUE(INDEX('Settings'!$B$2:$B$100,MATCH("score_purchase_target",'Settings'!$A$2:$A$100,0)))*25)+MIN(25,$M221/VALUE(INDEX('Settings'!$B$2:$B$100,MATCH("score_value_target",'Settings'!$A$2:$A$100,0)))*25)+IF($L221="",0,MAX(0,25-(TODAY()-$L221)/VALUE(INDEX('Settings'!$B$2:$B$100,MATCH("score_recency_days",'Settings'!$A$2:$A$100,0)))*25))+MIN(15,COUNTIFS('FollowUps'!$B$2:$B$500,$A221,'FollowUps'!$H$2:$H$500,"done")/VALUE(INDEX('Settings'!$B$2:$B$100,MATCH("score_response_target",'Settings'!$A$2:$A$100,0)))*15)+IF(COUNTIFS('Interactions'!$B$2:$B$500,$A221,'Interactions'!$E$2:$E$500,"complaint")=0,10,0),0))</x:f>
      </x:c>
      <x:c r="R221" s="108" t="str">
        <x:f>IF($A221="","",IF($J221="inactive","inactive",IF($J221="at_risk","at_risk",IF($Q221&gt;=85,"vip",IF($Q221&gt;=70,"loyal",IF($Q221&gt;=50,"active",IF($N221=0,"new","needs_attention")))))))</x:f>
      </x:c>
      <x:c r="S221" s="19"/>
      <x:c r="T221" s="18"/>
      <x:c r="U221" s="19"/>
      <x:c r="V221" s="20"/>
      <x:c r="W221" s="26"/>
      <x:c r="X221" s="19"/>
      <x:c r="Y221" s="26"/>
      <x:c r="Z221" s="19"/>
      <x:c r="AA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20"/>
      <x:c r="J222" s="19"/>
      <x:c r="K222" s="19"/>
      <x:c r="L222" s="92" t="str">
        <x:f>IF($A222="","",IF(COUNTIFS('Orders'!$C$2:$C$500,$A222,'Orders'!$M$2:$M$500,"&lt;&gt;cancelled")=0,"",MAXIFS('Orders'!$G$2:$G$500,'Orders'!$C$2:$C$500,$A222,'Orders'!$M$2:$M$500,"&lt;&gt;cancelled")))</x:f>
      </x:c>
      <x:c r="M222" s="96" t="str">
        <x:f>IF($A222="","",SUMIFS('Orders'!$K$2:$K$500,'Orders'!$C$2:$C$500,$A222,'Orders'!$M$2:$M$500,"&lt;&gt;cancelled"))</x:f>
      </x:c>
      <x:c r="N222" s="96" t="str">
        <x:f>IF($A222="","",COUNTIFS('Orders'!$C$2:$C$500,$A222,'Orders'!$M$2:$M$500,"&lt;&gt;cancelled"))</x:f>
      </x:c>
      <x:c r="O222" s="100" t="str">
        <x:f>IF($A222="","",IF(COUNTIF('Interactions'!$B$2:$B$500,$A222)=0,"",MAXIFS('Interactions'!$G$2:$G$500,'Interactions'!$B$2:$B$500,$A222)))</x:f>
      </x:c>
      <x:c r="P222" s="100" t="str">
        <x:f>IF($A222="","",IF(COUNTIFS('FollowUps'!$B$2:$B$500,$A222,'FollowUps'!$H$2:$H$500,"open")=0,"",MINIFS('FollowUps'!$E$2:$E$500,'FollowUps'!$B$2:$B$500,$A222,'FollowUps'!$H$2:$H$500,"open")))</x:f>
      </x:c>
      <x:c r="Q222" s="104" t="str">
        <x:f>IF($A222="","",ROUND(MIN(25,$N222/VALUE(INDEX('Settings'!$B$2:$B$100,MATCH("score_purchase_target",'Settings'!$A$2:$A$100,0)))*25)+MIN(25,$M222/VALUE(INDEX('Settings'!$B$2:$B$100,MATCH("score_value_target",'Settings'!$A$2:$A$100,0)))*25)+IF($L222="",0,MAX(0,25-(TODAY()-$L222)/VALUE(INDEX('Settings'!$B$2:$B$100,MATCH("score_recency_days",'Settings'!$A$2:$A$100,0)))*25))+MIN(15,COUNTIFS('FollowUps'!$B$2:$B$500,$A222,'FollowUps'!$H$2:$H$500,"done")/VALUE(INDEX('Settings'!$B$2:$B$100,MATCH("score_response_target",'Settings'!$A$2:$A$100,0)))*15)+IF(COUNTIFS('Interactions'!$B$2:$B$500,$A222,'Interactions'!$E$2:$E$500,"complaint")=0,10,0),0))</x:f>
      </x:c>
      <x:c r="R222" s="108" t="str">
        <x:f>IF($A222="","",IF($J222="inactive","inactive",IF($J222="at_risk","at_risk",IF($Q222&gt;=85,"vip",IF($Q222&gt;=70,"loyal",IF($Q222&gt;=50,"active",IF($N222=0,"new","needs_attention")))))))</x:f>
      </x:c>
      <x:c r="S222" s="19"/>
      <x:c r="T222" s="18"/>
      <x:c r="U222" s="19"/>
      <x:c r="V222" s="20"/>
      <x:c r="W222" s="26"/>
      <x:c r="X222" s="19"/>
      <x:c r="Y222" s="26"/>
      <x:c r="Z222" s="19"/>
      <x:c r="AA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20"/>
      <x:c r="J223" s="19"/>
      <x:c r="K223" s="19"/>
      <x:c r="L223" s="92" t="str">
        <x:f>IF($A223="","",IF(COUNTIFS('Orders'!$C$2:$C$500,$A223,'Orders'!$M$2:$M$500,"&lt;&gt;cancelled")=0,"",MAXIFS('Orders'!$G$2:$G$500,'Orders'!$C$2:$C$500,$A223,'Orders'!$M$2:$M$500,"&lt;&gt;cancelled")))</x:f>
      </x:c>
      <x:c r="M223" s="96" t="str">
        <x:f>IF($A223="","",SUMIFS('Orders'!$K$2:$K$500,'Orders'!$C$2:$C$500,$A223,'Orders'!$M$2:$M$500,"&lt;&gt;cancelled"))</x:f>
      </x:c>
      <x:c r="N223" s="96" t="str">
        <x:f>IF($A223="","",COUNTIFS('Orders'!$C$2:$C$500,$A223,'Orders'!$M$2:$M$500,"&lt;&gt;cancelled"))</x:f>
      </x:c>
      <x:c r="O223" s="100" t="str">
        <x:f>IF($A223="","",IF(COUNTIF('Interactions'!$B$2:$B$500,$A223)=0,"",MAXIFS('Interactions'!$G$2:$G$500,'Interactions'!$B$2:$B$500,$A223)))</x:f>
      </x:c>
      <x:c r="P223" s="100" t="str">
        <x:f>IF($A223="","",IF(COUNTIFS('FollowUps'!$B$2:$B$500,$A223,'FollowUps'!$H$2:$H$500,"open")=0,"",MINIFS('FollowUps'!$E$2:$E$500,'FollowUps'!$B$2:$B$500,$A223,'FollowUps'!$H$2:$H$500,"open")))</x:f>
      </x:c>
      <x:c r="Q223" s="104" t="str">
        <x:f>IF($A223="","",ROUND(MIN(25,$N223/VALUE(INDEX('Settings'!$B$2:$B$100,MATCH("score_purchase_target",'Settings'!$A$2:$A$100,0)))*25)+MIN(25,$M223/VALUE(INDEX('Settings'!$B$2:$B$100,MATCH("score_value_target",'Settings'!$A$2:$A$100,0)))*25)+IF($L223="",0,MAX(0,25-(TODAY()-$L223)/VALUE(INDEX('Settings'!$B$2:$B$100,MATCH("score_recency_days",'Settings'!$A$2:$A$100,0)))*25))+MIN(15,COUNTIFS('FollowUps'!$B$2:$B$500,$A223,'FollowUps'!$H$2:$H$500,"done")/VALUE(INDEX('Settings'!$B$2:$B$100,MATCH("score_response_target",'Settings'!$A$2:$A$100,0)))*15)+IF(COUNTIFS('Interactions'!$B$2:$B$500,$A223,'Interactions'!$E$2:$E$500,"complaint")=0,10,0),0))</x:f>
      </x:c>
      <x:c r="R223" s="108" t="str">
        <x:f>IF($A223="","",IF($J223="inactive","inactive",IF($J223="at_risk","at_risk",IF($Q223&gt;=85,"vip",IF($Q223&gt;=70,"loyal",IF($Q223&gt;=50,"active",IF($N223=0,"new","needs_attention")))))))</x:f>
      </x:c>
      <x:c r="S223" s="19"/>
      <x:c r="T223" s="18"/>
      <x:c r="U223" s="19"/>
      <x:c r="V223" s="20"/>
      <x:c r="W223" s="26"/>
      <x:c r="X223" s="19"/>
      <x:c r="Y223" s="26"/>
      <x:c r="Z223" s="19"/>
      <x:c r="AA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20"/>
      <x:c r="J224" s="19"/>
      <x:c r="K224" s="19"/>
      <x:c r="L224" s="92" t="str">
        <x:f>IF($A224="","",IF(COUNTIFS('Orders'!$C$2:$C$500,$A224,'Orders'!$M$2:$M$500,"&lt;&gt;cancelled")=0,"",MAXIFS('Orders'!$G$2:$G$500,'Orders'!$C$2:$C$500,$A224,'Orders'!$M$2:$M$500,"&lt;&gt;cancelled")))</x:f>
      </x:c>
      <x:c r="M224" s="96" t="str">
        <x:f>IF($A224="","",SUMIFS('Orders'!$K$2:$K$500,'Orders'!$C$2:$C$500,$A224,'Orders'!$M$2:$M$500,"&lt;&gt;cancelled"))</x:f>
      </x:c>
      <x:c r="N224" s="96" t="str">
        <x:f>IF($A224="","",COUNTIFS('Orders'!$C$2:$C$500,$A224,'Orders'!$M$2:$M$500,"&lt;&gt;cancelled"))</x:f>
      </x:c>
      <x:c r="O224" s="100" t="str">
        <x:f>IF($A224="","",IF(COUNTIF('Interactions'!$B$2:$B$500,$A224)=0,"",MAXIFS('Interactions'!$G$2:$G$500,'Interactions'!$B$2:$B$500,$A224)))</x:f>
      </x:c>
      <x:c r="P224" s="100" t="str">
        <x:f>IF($A224="","",IF(COUNTIFS('FollowUps'!$B$2:$B$500,$A224,'FollowUps'!$H$2:$H$500,"open")=0,"",MINIFS('FollowUps'!$E$2:$E$500,'FollowUps'!$B$2:$B$500,$A224,'FollowUps'!$H$2:$H$500,"open")))</x:f>
      </x:c>
      <x:c r="Q224" s="104" t="str">
        <x:f>IF($A224="","",ROUND(MIN(25,$N224/VALUE(INDEX('Settings'!$B$2:$B$100,MATCH("score_purchase_target",'Settings'!$A$2:$A$100,0)))*25)+MIN(25,$M224/VALUE(INDEX('Settings'!$B$2:$B$100,MATCH("score_value_target",'Settings'!$A$2:$A$100,0)))*25)+IF($L224="",0,MAX(0,25-(TODAY()-$L224)/VALUE(INDEX('Settings'!$B$2:$B$100,MATCH("score_recency_days",'Settings'!$A$2:$A$100,0)))*25))+MIN(15,COUNTIFS('FollowUps'!$B$2:$B$500,$A224,'FollowUps'!$H$2:$H$500,"done")/VALUE(INDEX('Settings'!$B$2:$B$100,MATCH("score_response_target",'Settings'!$A$2:$A$100,0)))*15)+IF(COUNTIFS('Interactions'!$B$2:$B$500,$A224,'Interactions'!$E$2:$E$500,"complaint")=0,10,0),0))</x:f>
      </x:c>
      <x:c r="R224" s="108" t="str">
        <x:f>IF($A224="","",IF($J224="inactive","inactive",IF($J224="at_risk","at_risk",IF($Q224&gt;=85,"vip",IF($Q224&gt;=70,"loyal",IF($Q224&gt;=50,"active",IF($N224=0,"new","needs_attention")))))))</x:f>
      </x:c>
      <x:c r="S224" s="19"/>
      <x:c r="T224" s="18"/>
      <x:c r="U224" s="19"/>
      <x:c r="V224" s="20"/>
      <x:c r="W224" s="26"/>
      <x:c r="X224" s="19"/>
      <x:c r="Y224" s="26"/>
      <x:c r="Z224" s="19"/>
      <x:c r="AA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20"/>
      <x:c r="J225" s="19"/>
      <x:c r="K225" s="19"/>
      <x:c r="L225" s="92" t="str">
        <x:f>IF($A225="","",IF(COUNTIFS('Orders'!$C$2:$C$500,$A225,'Orders'!$M$2:$M$500,"&lt;&gt;cancelled")=0,"",MAXIFS('Orders'!$G$2:$G$500,'Orders'!$C$2:$C$500,$A225,'Orders'!$M$2:$M$500,"&lt;&gt;cancelled")))</x:f>
      </x:c>
      <x:c r="M225" s="96" t="str">
        <x:f>IF($A225="","",SUMIFS('Orders'!$K$2:$K$500,'Orders'!$C$2:$C$500,$A225,'Orders'!$M$2:$M$500,"&lt;&gt;cancelled"))</x:f>
      </x:c>
      <x:c r="N225" s="96" t="str">
        <x:f>IF($A225="","",COUNTIFS('Orders'!$C$2:$C$500,$A225,'Orders'!$M$2:$M$500,"&lt;&gt;cancelled"))</x:f>
      </x:c>
      <x:c r="O225" s="100" t="str">
        <x:f>IF($A225="","",IF(COUNTIF('Interactions'!$B$2:$B$500,$A225)=0,"",MAXIFS('Interactions'!$G$2:$G$500,'Interactions'!$B$2:$B$500,$A225)))</x:f>
      </x:c>
      <x:c r="P225" s="100" t="str">
        <x:f>IF($A225="","",IF(COUNTIFS('FollowUps'!$B$2:$B$500,$A225,'FollowUps'!$H$2:$H$500,"open")=0,"",MINIFS('FollowUps'!$E$2:$E$500,'FollowUps'!$B$2:$B$500,$A225,'FollowUps'!$H$2:$H$500,"open")))</x:f>
      </x:c>
      <x:c r="Q225" s="104" t="str">
        <x:f>IF($A225="","",ROUND(MIN(25,$N225/VALUE(INDEX('Settings'!$B$2:$B$100,MATCH("score_purchase_target",'Settings'!$A$2:$A$100,0)))*25)+MIN(25,$M225/VALUE(INDEX('Settings'!$B$2:$B$100,MATCH("score_value_target",'Settings'!$A$2:$A$100,0)))*25)+IF($L225="",0,MAX(0,25-(TODAY()-$L225)/VALUE(INDEX('Settings'!$B$2:$B$100,MATCH("score_recency_days",'Settings'!$A$2:$A$100,0)))*25))+MIN(15,COUNTIFS('FollowUps'!$B$2:$B$500,$A225,'FollowUps'!$H$2:$H$500,"done")/VALUE(INDEX('Settings'!$B$2:$B$100,MATCH("score_response_target",'Settings'!$A$2:$A$100,0)))*15)+IF(COUNTIFS('Interactions'!$B$2:$B$500,$A225,'Interactions'!$E$2:$E$500,"complaint")=0,10,0),0))</x:f>
      </x:c>
      <x:c r="R225" s="108" t="str">
        <x:f>IF($A225="","",IF($J225="inactive","inactive",IF($J225="at_risk","at_risk",IF($Q225&gt;=85,"vip",IF($Q225&gt;=70,"loyal",IF($Q225&gt;=50,"active",IF($N225=0,"new","needs_attention")))))))</x:f>
      </x:c>
      <x:c r="S225" s="19"/>
      <x:c r="T225" s="18"/>
      <x:c r="U225" s="19"/>
      <x:c r="V225" s="20"/>
      <x:c r="W225" s="26"/>
      <x:c r="X225" s="19"/>
      <x:c r="Y225" s="26"/>
      <x:c r="Z225" s="19"/>
      <x:c r="AA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20"/>
      <x:c r="J226" s="19"/>
      <x:c r="K226" s="19"/>
      <x:c r="L226" s="92" t="str">
        <x:f>IF($A226="","",IF(COUNTIFS('Orders'!$C$2:$C$500,$A226,'Orders'!$M$2:$M$500,"&lt;&gt;cancelled")=0,"",MAXIFS('Orders'!$G$2:$G$500,'Orders'!$C$2:$C$500,$A226,'Orders'!$M$2:$M$500,"&lt;&gt;cancelled")))</x:f>
      </x:c>
      <x:c r="M226" s="96" t="str">
        <x:f>IF($A226="","",SUMIFS('Orders'!$K$2:$K$500,'Orders'!$C$2:$C$500,$A226,'Orders'!$M$2:$M$500,"&lt;&gt;cancelled"))</x:f>
      </x:c>
      <x:c r="N226" s="96" t="str">
        <x:f>IF($A226="","",COUNTIFS('Orders'!$C$2:$C$500,$A226,'Orders'!$M$2:$M$500,"&lt;&gt;cancelled"))</x:f>
      </x:c>
      <x:c r="O226" s="100" t="str">
        <x:f>IF($A226="","",IF(COUNTIF('Interactions'!$B$2:$B$500,$A226)=0,"",MAXIFS('Interactions'!$G$2:$G$500,'Interactions'!$B$2:$B$500,$A226)))</x:f>
      </x:c>
      <x:c r="P226" s="100" t="str">
        <x:f>IF($A226="","",IF(COUNTIFS('FollowUps'!$B$2:$B$500,$A226,'FollowUps'!$H$2:$H$500,"open")=0,"",MINIFS('FollowUps'!$E$2:$E$500,'FollowUps'!$B$2:$B$500,$A226,'FollowUps'!$H$2:$H$500,"open")))</x:f>
      </x:c>
      <x:c r="Q226" s="104" t="str">
        <x:f>IF($A226="","",ROUND(MIN(25,$N226/VALUE(INDEX('Settings'!$B$2:$B$100,MATCH("score_purchase_target",'Settings'!$A$2:$A$100,0)))*25)+MIN(25,$M226/VALUE(INDEX('Settings'!$B$2:$B$100,MATCH("score_value_target",'Settings'!$A$2:$A$100,0)))*25)+IF($L226="",0,MAX(0,25-(TODAY()-$L226)/VALUE(INDEX('Settings'!$B$2:$B$100,MATCH("score_recency_days",'Settings'!$A$2:$A$100,0)))*25))+MIN(15,COUNTIFS('FollowUps'!$B$2:$B$500,$A226,'FollowUps'!$H$2:$H$500,"done")/VALUE(INDEX('Settings'!$B$2:$B$100,MATCH("score_response_target",'Settings'!$A$2:$A$100,0)))*15)+IF(COUNTIFS('Interactions'!$B$2:$B$500,$A226,'Interactions'!$E$2:$E$500,"complaint")=0,10,0),0))</x:f>
      </x:c>
      <x:c r="R226" s="108" t="str">
        <x:f>IF($A226="","",IF($J226="inactive","inactive",IF($J226="at_risk","at_risk",IF($Q226&gt;=85,"vip",IF($Q226&gt;=70,"loyal",IF($Q226&gt;=50,"active",IF($N226=0,"new","needs_attention")))))))</x:f>
      </x:c>
      <x:c r="S226" s="19"/>
      <x:c r="T226" s="18"/>
      <x:c r="U226" s="19"/>
      <x:c r="V226" s="20"/>
      <x:c r="W226" s="26"/>
      <x:c r="X226" s="19"/>
      <x:c r="Y226" s="26"/>
      <x:c r="Z226" s="19"/>
      <x:c r="AA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20"/>
      <x:c r="J227" s="19"/>
      <x:c r="K227" s="19"/>
      <x:c r="L227" s="92" t="str">
        <x:f>IF($A227="","",IF(COUNTIFS('Orders'!$C$2:$C$500,$A227,'Orders'!$M$2:$M$500,"&lt;&gt;cancelled")=0,"",MAXIFS('Orders'!$G$2:$G$500,'Orders'!$C$2:$C$500,$A227,'Orders'!$M$2:$M$500,"&lt;&gt;cancelled")))</x:f>
      </x:c>
      <x:c r="M227" s="96" t="str">
        <x:f>IF($A227="","",SUMIFS('Orders'!$K$2:$K$500,'Orders'!$C$2:$C$500,$A227,'Orders'!$M$2:$M$500,"&lt;&gt;cancelled"))</x:f>
      </x:c>
      <x:c r="N227" s="96" t="str">
        <x:f>IF($A227="","",COUNTIFS('Orders'!$C$2:$C$500,$A227,'Orders'!$M$2:$M$500,"&lt;&gt;cancelled"))</x:f>
      </x:c>
      <x:c r="O227" s="100" t="str">
        <x:f>IF($A227="","",IF(COUNTIF('Interactions'!$B$2:$B$500,$A227)=0,"",MAXIFS('Interactions'!$G$2:$G$500,'Interactions'!$B$2:$B$500,$A227)))</x:f>
      </x:c>
      <x:c r="P227" s="100" t="str">
        <x:f>IF($A227="","",IF(COUNTIFS('FollowUps'!$B$2:$B$500,$A227,'FollowUps'!$H$2:$H$500,"open")=0,"",MINIFS('FollowUps'!$E$2:$E$500,'FollowUps'!$B$2:$B$500,$A227,'FollowUps'!$H$2:$H$500,"open")))</x:f>
      </x:c>
      <x:c r="Q227" s="104" t="str">
        <x:f>IF($A227="","",ROUND(MIN(25,$N227/VALUE(INDEX('Settings'!$B$2:$B$100,MATCH("score_purchase_target",'Settings'!$A$2:$A$100,0)))*25)+MIN(25,$M227/VALUE(INDEX('Settings'!$B$2:$B$100,MATCH("score_value_target",'Settings'!$A$2:$A$100,0)))*25)+IF($L227="",0,MAX(0,25-(TODAY()-$L227)/VALUE(INDEX('Settings'!$B$2:$B$100,MATCH("score_recency_days",'Settings'!$A$2:$A$100,0)))*25))+MIN(15,COUNTIFS('FollowUps'!$B$2:$B$500,$A227,'FollowUps'!$H$2:$H$500,"done")/VALUE(INDEX('Settings'!$B$2:$B$100,MATCH("score_response_target",'Settings'!$A$2:$A$100,0)))*15)+IF(COUNTIFS('Interactions'!$B$2:$B$500,$A227,'Interactions'!$E$2:$E$500,"complaint")=0,10,0),0))</x:f>
      </x:c>
      <x:c r="R227" s="108" t="str">
        <x:f>IF($A227="","",IF($J227="inactive","inactive",IF($J227="at_risk","at_risk",IF($Q227&gt;=85,"vip",IF($Q227&gt;=70,"loyal",IF($Q227&gt;=50,"active",IF($N227=0,"new","needs_attention")))))))</x:f>
      </x:c>
      <x:c r="S227" s="19"/>
      <x:c r="T227" s="18"/>
      <x:c r="U227" s="19"/>
      <x:c r="V227" s="20"/>
      <x:c r="W227" s="26"/>
      <x:c r="X227" s="19"/>
      <x:c r="Y227" s="26"/>
      <x:c r="Z227" s="19"/>
      <x:c r="AA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20"/>
      <x:c r="J228" s="19"/>
      <x:c r="K228" s="19"/>
      <x:c r="L228" s="92" t="str">
        <x:f>IF($A228="","",IF(COUNTIFS('Orders'!$C$2:$C$500,$A228,'Orders'!$M$2:$M$500,"&lt;&gt;cancelled")=0,"",MAXIFS('Orders'!$G$2:$G$500,'Orders'!$C$2:$C$500,$A228,'Orders'!$M$2:$M$500,"&lt;&gt;cancelled")))</x:f>
      </x:c>
      <x:c r="M228" s="96" t="str">
        <x:f>IF($A228="","",SUMIFS('Orders'!$K$2:$K$500,'Orders'!$C$2:$C$500,$A228,'Orders'!$M$2:$M$500,"&lt;&gt;cancelled"))</x:f>
      </x:c>
      <x:c r="N228" s="96" t="str">
        <x:f>IF($A228="","",COUNTIFS('Orders'!$C$2:$C$500,$A228,'Orders'!$M$2:$M$500,"&lt;&gt;cancelled"))</x:f>
      </x:c>
      <x:c r="O228" s="100" t="str">
        <x:f>IF($A228="","",IF(COUNTIF('Interactions'!$B$2:$B$500,$A228)=0,"",MAXIFS('Interactions'!$G$2:$G$500,'Interactions'!$B$2:$B$500,$A228)))</x:f>
      </x:c>
      <x:c r="P228" s="100" t="str">
        <x:f>IF($A228="","",IF(COUNTIFS('FollowUps'!$B$2:$B$500,$A228,'FollowUps'!$H$2:$H$500,"open")=0,"",MINIFS('FollowUps'!$E$2:$E$500,'FollowUps'!$B$2:$B$500,$A228,'FollowUps'!$H$2:$H$500,"open")))</x:f>
      </x:c>
      <x:c r="Q228" s="104" t="str">
        <x:f>IF($A228="","",ROUND(MIN(25,$N228/VALUE(INDEX('Settings'!$B$2:$B$100,MATCH("score_purchase_target",'Settings'!$A$2:$A$100,0)))*25)+MIN(25,$M228/VALUE(INDEX('Settings'!$B$2:$B$100,MATCH("score_value_target",'Settings'!$A$2:$A$100,0)))*25)+IF($L228="",0,MAX(0,25-(TODAY()-$L228)/VALUE(INDEX('Settings'!$B$2:$B$100,MATCH("score_recency_days",'Settings'!$A$2:$A$100,0)))*25))+MIN(15,COUNTIFS('FollowUps'!$B$2:$B$500,$A228,'FollowUps'!$H$2:$H$500,"done")/VALUE(INDEX('Settings'!$B$2:$B$100,MATCH("score_response_target",'Settings'!$A$2:$A$100,0)))*15)+IF(COUNTIFS('Interactions'!$B$2:$B$500,$A228,'Interactions'!$E$2:$E$500,"complaint")=0,10,0),0))</x:f>
      </x:c>
      <x:c r="R228" s="108" t="str">
        <x:f>IF($A228="","",IF($J228="inactive","inactive",IF($J228="at_risk","at_risk",IF($Q228&gt;=85,"vip",IF($Q228&gt;=70,"loyal",IF($Q228&gt;=50,"active",IF($N228=0,"new","needs_attention")))))))</x:f>
      </x:c>
      <x:c r="S228" s="19"/>
      <x:c r="T228" s="18"/>
      <x:c r="U228" s="19"/>
      <x:c r="V228" s="20"/>
      <x:c r="W228" s="26"/>
      <x:c r="X228" s="19"/>
      <x:c r="Y228" s="26"/>
      <x:c r="Z228" s="19"/>
      <x:c r="AA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20"/>
      <x:c r="J229" s="19"/>
      <x:c r="K229" s="19"/>
      <x:c r="L229" s="92" t="str">
        <x:f>IF($A229="","",IF(COUNTIFS('Orders'!$C$2:$C$500,$A229,'Orders'!$M$2:$M$500,"&lt;&gt;cancelled")=0,"",MAXIFS('Orders'!$G$2:$G$500,'Orders'!$C$2:$C$500,$A229,'Orders'!$M$2:$M$500,"&lt;&gt;cancelled")))</x:f>
      </x:c>
      <x:c r="M229" s="96" t="str">
        <x:f>IF($A229="","",SUMIFS('Orders'!$K$2:$K$500,'Orders'!$C$2:$C$500,$A229,'Orders'!$M$2:$M$500,"&lt;&gt;cancelled"))</x:f>
      </x:c>
      <x:c r="N229" s="96" t="str">
        <x:f>IF($A229="","",COUNTIFS('Orders'!$C$2:$C$500,$A229,'Orders'!$M$2:$M$500,"&lt;&gt;cancelled"))</x:f>
      </x:c>
      <x:c r="O229" s="100" t="str">
        <x:f>IF($A229="","",IF(COUNTIF('Interactions'!$B$2:$B$500,$A229)=0,"",MAXIFS('Interactions'!$G$2:$G$500,'Interactions'!$B$2:$B$500,$A229)))</x:f>
      </x:c>
      <x:c r="P229" s="100" t="str">
        <x:f>IF($A229="","",IF(COUNTIFS('FollowUps'!$B$2:$B$500,$A229,'FollowUps'!$H$2:$H$500,"open")=0,"",MINIFS('FollowUps'!$E$2:$E$500,'FollowUps'!$B$2:$B$500,$A229,'FollowUps'!$H$2:$H$500,"open")))</x:f>
      </x:c>
      <x:c r="Q229" s="104" t="str">
        <x:f>IF($A229="","",ROUND(MIN(25,$N229/VALUE(INDEX('Settings'!$B$2:$B$100,MATCH("score_purchase_target",'Settings'!$A$2:$A$100,0)))*25)+MIN(25,$M229/VALUE(INDEX('Settings'!$B$2:$B$100,MATCH("score_value_target",'Settings'!$A$2:$A$100,0)))*25)+IF($L229="",0,MAX(0,25-(TODAY()-$L229)/VALUE(INDEX('Settings'!$B$2:$B$100,MATCH("score_recency_days",'Settings'!$A$2:$A$100,0)))*25))+MIN(15,COUNTIFS('FollowUps'!$B$2:$B$500,$A229,'FollowUps'!$H$2:$H$500,"done")/VALUE(INDEX('Settings'!$B$2:$B$100,MATCH("score_response_target",'Settings'!$A$2:$A$100,0)))*15)+IF(COUNTIFS('Interactions'!$B$2:$B$500,$A229,'Interactions'!$E$2:$E$500,"complaint")=0,10,0),0))</x:f>
      </x:c>
      <x:c r="R229" s="108" t="str">
        <x:f>IF($A229="","",IF($J229="inactive","inactive",IF($J229="at_risk","at_risk",IF($Q229&gt;=85,"vip",IF($Q229&gt;=70,"loyal",IF($Q229&gt;=50,"active",IF($N229=0,"new","needs_attention")))))))</x:f>
      </x:c>
      <x:c r="S229" s="19"/>
      <x:c r="T229" s="18"/>
      <x:c r="U229" s="19"/>
      <x:c r="V229" s="20"/>
      <x:c r="W229" s="26"/>
      <x:c r="X229" s="19"/>
      <x:c r="Y229" s="26"/>
      <x:c r="Z229" s="19"/>
      <x:c r="AA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20"/>
      <x:c r="J230" s="19"/>
      <x:c r="K230" s="19"/>
      <x:c r="L230" s="92" t="str">
        <x:f>IF($A230="","",IF(COUNTIFS('Orders'!$C$2:$C$500,$A230,'Orders'!$M$2:$M$500,"&lt;&gt;cancelled")=0,"",MAXIFS('Orders'!$G$2:$G$500,'Orders'!$C$2:$C$500,$A230,'Orders'!$M$2:$M$500,"&lt;&gt;cancelled")))</x:f>
      </x:c>
      <x:c r="M230" s="96" t="str">
        <x:f>IF($A230="","",SUMIFS('Orders'!$K$2:$K$500,'Orders'!$C$2:$C$500,$A230,'Orders'!$M$2:$M$500,"&lt;&gt;cancelled"))</x:f>
      </x:c>
      <x:c r="N230" s="96" t="str">
        <x:f>IF($A230="","",COUNTIFS('Orders'!$C$2:$C$500,$A230,'Orders'!$M$2:$M$500,"&lt;&gt;cancelled"))</x:f>
      </x:c>
      <x:c r="O230" s="100" t="str">
        <x:f>IF($A230="","",IF(COUNTIF('Interactions'!$B$2:$B$500,$A230)=0,"",MAXIFS('Interactions'!$G$2:$G$500,'Interactions'!$B$2:$B$500,$A230)))</x:f>
      </x:c>
      <x:c r="P230" s="100" t="str">
        <x:f>IF($A230="","",IF(COUNTIFS('FollowUps'!$B$2:$B$500,$A230,'FollowUps'!$H$2:$H$500,"open")=0,"",MINIFS('FollowUps'!$E$2:$E$500,'FollowUps'!$B$2:$B$500,$A230,'FollowUps'!$H$2:$H$500,"open")))</x:f>
      </x:c>
      <x:c r="Q230" s="104" t="str">
        <x:f>IF($A230="","",ROUND(MIN(25,$N230/VALUE(INDEX('Settings'!$B$2:$B$100,MATCH("score_purchase_target",'Settings'!$A$2:$A$100,0)))*25)+MIN(25,$M230/VALUE(INDEX('Settings'!$B$2:$B$100,MATCH("score_value_target",'Settings'!$A$2:$A$100,0)))*25)+IF($L230="",0,MAX(0,25-(TODAY()-$L230)/VALUE(INDEX('Settings'!$B$2:$B$100,MATCH("score_recency_days",'Settings'!$A$2:$A$100,0)))*25))+MIN(15,COUNTIFS('FollowUps'!$B$2:$B$500,$A230,'FollowUps'!$H$2:$H$500,"done")/VALUE(INDEX('Settings'!$B$2:$B$100,MATCH("score_response_target",'Settings'!$A$2:$A$100,0)))*15)+IF(COUNTIFS('Interactions'!$B$2:$B$500,$A230,'Interactions'!$E$2:$E$500,"complaint")=0,10,0),0))</x:f>
      </x:c>
      <x:c r="R230" s="108" t="str">
        <x:f>IF($A230="","",IF($J230="inactive","inactive",IF($J230="at_risk","at_risk",IF($Q230&gt;=85,"vip",IF($Q230&gt;=70,"loyal",IF($Q230&gt;=50,"active",IF($N230=0,"new","needs_attention")))))))</x:f>
      </x:c>
      <x:c r="S230" s="19"/>
      <x:c r="T230" s="18"/>
      <x:c r="U230" s="19"/>
      <x:c r="V230" s="20"/>
      <x:c r="W230" s="26"/>
      <x:c r="X230" s="19"/>
      <x:c r="Y230" s="26"/>
      <x:c r="Z230" s="19"/>
      <x:c r="AA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20"/>
      <x:c r="J231" s="19"/>
      <x:c r="K231" s="19"/>
      <x:c r="L231" s="92" t="str">
        <x:f>IF($A231="","",IF(COUNTIFS('Orders'!$C$2:$C$500,$A231,'Orders'!$M$2:$M$500,"&lt;&gt;cancelled")=0,"",MAXIFS('Orders'!$G$2:$G$500,'Orders'!$C$2:$C$500,$A231,'Orders'!$M$2:$M$500,"&lt;&gt;cancelled")))</x:f>
      </x:c>
      <x:c r="M231" s="96" t="str">
        <x:f>IF($A231="","",SUMIFS('Orders'!$K$2:$K$500,'Orders'!$C$2:$C$500,$A231,'Orders'!$M$2:$M$500,"&lt;&gt;cancelled"))</x:f>
      </x:c>
      <x:c r="N231" s="96" t="str">
        <x:f>IF($A231="","",COUNTIFS('Orders'!$C$2:$C$500,$A231,'Orders'!$M$2:$M$500,"&lt;&gt;cancelled"))</x:f>
      </x:c>
      <x:c r="O231" s="100" t="str">
        <x:f>IF($A231="","",IF(COUNTIF('Interactions'!$B$2:$B$500,$A231)=0,"",MAXIFS('Interactions'!$G$2:$G$500,'Interactions'!$B$2:$B$500,$A231)))</x:f>
      </x:c>
      <x:c r="P231" s="100" t="str">
        <x:f>IF($A231="","",IF(COUNTIFS('FollowUps'!$B$2:$B$500,$A231,'FollowUps'!$H$2:$H$500,"open")=0,"",MINIFS('FollowUps'!$E$2:$E$500,'FollowUps'!$B$2:$B$500,$A231,'FollowUps'!$H$2:$H$500,"open")))</x:f>
      </x:c>
      <x:c r="Q231" s="104" t="str">
        <x:f>IF($A231="","",ROUND(MIN(25,$N231/VALUE(INDEX('Settings'!$B$2:$B$100,MATCH("score_purchase_target",'Settings'!$A$2:$A$100,0)))*25)+MIN(25,$M231/VALUE(INDEX('Settings'!$B$2:$B$100,MATCH("score_value_target",'Settings'!$A$2:$A$100,0)))*25)+IF($L231="",0,MAX(0,25-(TODAY()-$L231)/VALUE(INDEX('Settings'!$B$2:$B$100,MATCH("score_recency_days",'Settings'!$A$2:$A$100,0)))*25))+MIN(15,COUNTIFS('FollowUps'!$B$2:$B$500,$A231,'FollowUps'!$H$2:$H$500,"done")/VALUE(INDEX('Settings'!$B$2:$B$100,MATCH("score_response_target",'Settings'!$A$2:$A$100,0)))*15)+IF(COUNTIFS('Interactions'!$B$2:$B$500,$A231,'Interactions'!$E$2:$E$500,"complaint")=0,10,0),0))</x:f>
      </x:c>
      <x:c r="R231" s="108" t="str">
        <x:f>IF($A231="","",IF($J231="inactive","inactive",IF($J231="at_risk","at_risk",IF($Q231&gt;=85,"vip",IF($Q231&gt;=70,"loyal",IF($Q231&gt;=50,"active",IF($N231=0,"new","needs_attention")))))))</x:f>
      </x:c>
      <x:c r="S231" s="19"/>
      <x:c r="T231" s="18"/>
      <x:c r="U231" s="19"/>
      <x:c r="V231" s="20"/>
      <x:c r="W231" s="26"/>
      <x:c r="X231" s="19"/>
      <x:c r="Y231" s="26"/>
      <x:c r="Z231" s="19"/>
      <x:c r="AA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20"/>
      <x:c r="J232" s="19"/>
      <x:c r="K232" s="19"/>
      <x:c r="L232" s="92" t="str">
        <x:f>IF($A232="","",IF(COUNTIFS('Orders'!$C$2:$C$500,$A232,'Orders'!$M$2:$M$500,"&lt;&gt;cancelled")=0,"",MAXIFS('Orders'!$G$2:$G$500,'Orders'!$C$2:$C$500,$A232,'Orders'!$M$2:$M$500,"&lt;&gt;cancelled")))</x:f>
      </x:c>
      <x:c r="M232" s="96" t="str">
        <x:f>IF($A232="","",SUMIFS('Orders'!$K$2:$K$500,'Orders'!$C$2:$C$500,$A232,'Orders'!$M$2:$M$500,"&lt;&gt;cancelled"))</x:f>
      </x:c>
      <x:c r="N232" s="96" t="str">
        <x:f>IF($A232="","",COUNTIFS('Orders'!$C$2:$C$500,$A232,'Orders'!$M$2:$M$500,"&lt;&gt;cancelled"))</x:f>
      </x:c>
      <x:c r="O232" s="100" t="str">
        <x:f>IF($A232="","",IF(COUNTIF('Interactions'!$B$2:$B$500,$A232)=0,"",MAXIFS('Interactions'!$G$2:$G$500,'Interactions'!$B$2:$B$500,$A232)))</x:f>
      </x:c>
      <x:c r="P232" s="100" t="str">
        <x:f>IF($A232="","",IF(COUNTIFS('FollowUps'!$B$2:$B$500,$A232,'FollowUps'!$H$2:$H$500,"open")=0,"",MINIFS('FollowUps'!$E$2:$E$500,'FollowUps'!$B$2:$B$500,$A232,'FollowUps'!$H$2:$H$500,"open")))</x:f>
      </x:c>
      <x:c r="Q232" s="104" t="str">
        <x:f>IF($A232="","",ROUND(MIN(25,$N232/VALUE(INDEX('Settings'!$B$2:$B$100,MATCH("score_purchase_target",'Settings'!$A$2:$A$100,0)))*25)+MIN(25,$M232/VALUE(INDEX('Settings'!$B$2:$B$100,MATCH("score_value_target",'Settings'!$A$2:$A$100,0)))*25)+IF($L232="",0,MAX(0,25-(TODAY()-$L232)/VALUE(INDEX('Settings'!$B$2:$B$100,MATCH("score_recency_days",'Settings'!$A$2:$A$100,0)))*25))+MIN(15,COUNTIFS('FollowUps'!$B$2:$B$500,$A232,'FollowUps'!$H$2:$H$500,"done")/VALUE(INDEX('Settings'!$B$2:$B$100,MATCH("score_response_target",'Settings'!$A$2:$A$100,0)))*15)+IF(COUNTIFS('Interactions'!$B$2:$B$500,$A232,'Interactions'!$E$2:$E$500,"complaint")=0,10,0),0))</x:f>
      </x:c>
      <x:c r="R232" s="108" t="str">
        <x:f>IF($A232="","",IF($J232="inactive","inactive",IF($J232="at_risk","at_risk",IF($Q232&gt;=85,"vip",IF($Q232&gt;=70,"loyal",IF($Q232&gt;=50,"active",IF($N232=0,"new","needs_attention")))))))</x:f>
      </x:c>
      <x:c r="S232" s="19"/>
      <x:c r="T232" s="18"/>
      <x:c r="U232" s="19"/>
      <x:c r="V232" s="20"/>
      <x:c r="W232" s="26"/>
      <x:c r="X232" s="19"/>
      <x:c r="Y232" s="26"/>
      <x:c r="Z232" s="19"/>
      <x:c r="AA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20"/>
      <x:c r="J233" s="19"/>
      <x:c r="K233" s="19"/>
      <x:c r="L233" s="92" t="str">
        <x:f>IF($A233="","",IF(COUNTIFS('Orders'!$C$2:$C$500,$A233,'Orders'!$M$2:$M$500,"&lt;&gt;cancelled")=0,"",MAXIFS('Orders'!$G$2:$G$500,'Orders'!$C$2:$C$500,$A233,'Orders'!$M$2:$M$500,"&lt;&gt;cancelled")))</x:f>
      </x:c>
      <x:c r="M233" s="96" t="str">
        <x:f>IF($A233="","",SUMIFS('Orders'!$K$2:$K$500,'Orders'!$C$2:$C$500,$A233,'Orders'!$M$2:$M$500,"&lt;&gt;cancelled"))</x:f>
      </x:c>
      <x:c r="N233" s="96" t="str">
        <x:f>IF($A233="","",COUNTIFS('Orders'!$C$2:$C$500,$A233,'Orders'!$M$2:$M$500,"&lt;&gt;cancelled"))</x:f>
      </x:c>
      <x:c r="O233" s="100" t="str">
        <x:f>IF($A233="","",IF(COUNTIF('Interactions'!$B$2:$B$500,$A233)=0,"",MAXIFS('Interactions'!$G$2:$G$500,'Interactions'!$B$2:$B$500,$A233)))</x:f>
      </x:c>
      <x:c r="P233" s="100" t="str">
        <x:f>IF($A233="","",IF(COUNTIFS('FollowUps'!$B$2:$B$500,$A233,'FollowUps'!$H$2:$H$500,"open")=0,"",MINIFS('FollowUps'!$E$2:$E$500,'FollowUps'!$B$2:$B$500,$A233,'FollowUps'!$H$2:$H$500,"open")))</x:f>
      </x:c>
      <x:c r="Q233" s="104" t="str">
        <x:f>IF($A233="","",ROUND(MIN(25,$N233/VALUE(INDEX('Settings'!$B$2:$B$100,MATCH("score_purchase_target",'Settings'!$A$2:$A$100,0)))*25)+MIN(25,$M233/VALUE(INDEX('Settings'!$B$2:$B$100,MATCH("score_value_target",'Settings'!$A$2:$A$100,0)))*25)+IF($L233="",0,MAX(0,25-(TODAY()-$L233)/VALUE(INDEX('Settings'!$B$2:$B$100,MATCH("score_recency_days",'Settings'!$A$2:$A$100,0)))*25))+MIN(15,COUNTIFS('FollowUps'!$B$2:$B$500,$A233,'FollowUps'!$H$2:$H$500,"done")/VALUE(INDEX('Settings'!$B$2:$B$100,MATCH("score_response_target",'Settings'!$A$2:$A$100,0)))*15)+IF(COUNTIFS('Interactions'!$B$2:$B$500,$A233,'Interactions'!$E$2:$E$500,"complaint")=0,10,0),0))</x:f>
      </x:c>
      <x:c r="R233" s="108" t="str">
        <x:f>IF($A233="","",IF($J233="inactive","inactive",IF($J233="at_risk","at_risk",IF($Q233&gt;=85,"vip",IF($Q233&gt;=70,"loyal",IF($Q233&gt;=50,"active",IF($N233=0,"new","needs_attention")))))))</x:f>
      </x:c>
      <x:c r="S233" s="19"/>
      <x:c r="T233" s="18"/>
      <x:c r="U233" s="19"/>
      <x:c r="V233" s="20"/>
      <x:c r="W233" s="26"/>
      <x:c r="X233" s="19"/>
      <x:c r="Y233" s="26"/>
      <x:c r="Z233" s="19"/>
      <x:c r="AA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20"/>
      <x:c r="J234" s="19"/>
      <x:c r="K234" s="19"/>
      <x:c r="L234" s="92" t="str">
        <x:f>IF($A234="","",IF(COUNTIFS('Orders'!$C$2:$C$500,$A234,'Orders'!$M$2:$M$500,"&lt;&gt;cancelled")=0,"",MAXIFS('Orders'!$G$2:$G$500,'Orders'!$C$2:$C$500,$A234,'Orders'!$M$2:$M$500,"&lt;&gt;cancelled")))</x:f>
      </x:c>
      <x:c r="M234" s="96" t="str">
        <x:f>IF($A234="","",SUMIFS('Orders'!$K$2:$K$500,'Orders'!$C$2:$C$500,$A234,'Orders'!$M$2:$M$500,"&lt;&gt;cancelled"))</x:f>
      </x:c>
      <x:c r="N234" s="96" t="str">
        <x:f>IF($A234="","",COUNTIFS('Orders'!$C$2:$C$500,$A234,'Orders'!$M$2:$M$500,"&lt;&gt;cancelled"))</x:f>
      </x:c>
      <x:c r="O234" s="100" t="str">
        <x:f>IF($A234="","",IF(COUNTIF('Interactions'!$B$2:$B$500,$A234)=0,"",MAXIFS('Interactions'!$G$2:$G$500,'Interactions'!$B$2:$B$500,$A234)))</x:f>
      </x:c>
      <x:c r="P234" s="100" t="str">
        <x:f>IF($A234="","",IF(COUNTIFS('FollowUps'!$B$2:$B$500,$A234,'FollowUps'!$H$2:$H$500,"open")=0,"",MINIFS('FollowUps'!$E$2:$E$500,'FollowUps'!$B$2:$B$500,$A234,'FollowUps'!$H$2:$H$500,"open")))</x:f>
      </x:c>
      <x:c r="Q234" s="104" t="str">
        <x:f>IF($A234="","",ROUND(MIN(25,$N234/VALUE(INDEX('Settings'!$B$2:$B$100,MATCH("score_purchase_target",'Settings'!$A$2:$A$100,0)))*25)+MIN(25,$M234/VALUE(INDEX('Settings'!$B$2:$B$100,MATCH("score_value_target",'Settings'!$A$2:$A$100,0)))*25)+IF($L234="",0,MAX(0,25-(TODAY()-$L234)/VALUE(INDEX('Settings'!$B$2:$B$100,MATCH("score_recency_days",'Settings'!$A$2:$A$100,0)))*25))+MIN(15,COUNTIFS('FollowUps'!$B$2:$B$500,$A234,'FollowUps'!$H$2:$H$500,"done")/VALUE(INDEX('Settings'!$B$2:$B$100,MATCH("score_response_target",'Settings'!$A$2:$A$100,0)))*15)+IF(COUNTIFS('Interactions'!$B$2:$B$500,$A234,'Interactions'!$E$2:$E$500,"complaint")=0,10,0),0))</x:f>
      </x:c>
      <x:c r="R234" s="108" t="str">
        <x:f>IF($A234="","",IF($J234="inactive","inactive",IF($J234="at_risk","at_risk",IF($Q234&gt;=85,"vip",IF($Q234&gt;=70,"loyal",IF($Q234&gt;=50,"active",IF($N234=0,"new","needs_attention")))))))</x:f>
      </x:c>
      <x:c r="S234" s="19"/>
      <x:c r="T234" s="18"/>
      <x:c r="U234" s="19"/>
      <x:c r="V234" s="20"/>
      <x:c r="W234" s="26"/>
      <x:c r="X234" s="19"/>
      <x:c r="Y234" s="26"/>
      <x:c r="Z234" s="19"/>
      <x:c r="AA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20"/>
      <x:c r="J235" s="19"/>
      <x:c r="K235" s="19"/>
      <x:c r="L235" s="92" t="str">
        <x:f>IF($A235="","",IF(COUNTIFS('Orders'!$C$2:$C$500,$A235,'Orders'!$M$2:$M$500,"&lt;&gt;cancelled")=0,"",MAXIFS('Orders'!$G$2:$G$500,'Orders'!$C$2:$C$500,$A235,'Orders'!$M$2:$M$500,"&lt;&gt;cancelled")))</x:f>
      </x:c>
      <x:c r="M235" s="96" t="str">
        <x:f>IF($A235="","",SUMIFS('Orders'!$K$2:$K$500,'Orders'!$C$2:$C$500,$A235,'Orders'!$M$2:$M$500,"&lt;&gt;cancelled"))</x:f>
      </x:c>
      <x:c r="N235" s="96" t="str">
        <x:f>IF($A235="","",COUNTIFS('Orders'!$C$2:$C$500,$A235,'Orders'!$M$2:$M$500,"&lt;&gt;cancelled"))</x:f>
      </x:c>
      <x:c r="O235" s="100" t="str">
        <x:f>IF($A235="","",IF(COUNTIF('Interactions'!$B$2:$B$500,$A235)=0,"",MAXIFS('Interactions'!$G$2:$G$500,'Interactions'!$B$2:$B$500,$A235)))</x:f>
      </x:c>
      <x:c r="P235" s="100" t="str">
        <x:f>IF($A235="","",IF(COUNTIFS('FollowUps'!$B$2:$B$500,$A235,'FollowUps'!$H$2:$H$500,"open")=0,"",MINIFS('FollowUps'!$E$2:$E$500,'FollowUps'!$B$2:$B$500,$A235,'FollowUps'!$H$2:$H$500,"open")))</x:f>
      </x:c>
      <x:c r="Q235" s="104" t="str">
        <x:f>IF($A235="","",ROUND(MIN(25,$N235/VALUE(INDEX('Settings'!$B$2:$B$100,MATCH("score_purchase_target",'Settings'!$A$2:$A$100,0)))*25)+MIN(25,$M235/VALUE(INDEX('Settings'!$B$2:$B$100,MATCH("score_value_target",'Settings'!$A$2:$A$100,0)))*25)+IF($L235="",0,MAX(0,25-(TODAY()-$L235)/VALUE(INDEX('Settings'!$B$2:$B$100,MATCH("score_recency_days",'Settings'!$A$2:$A$100,0)))*25))+MIN(15,COUNTIFS('FollowUps'!$B$2:$B$500,$A235,'FollowUps'!$H$2:$H$500,"done")/VALUE(INDEX('Settings'!$B$2:$B$100,MATCH("score_response_target",'Settings'!$A$2:$A$100,0)))*15)+IF(COUNTIFS('Interactions'!$B$2:$B$500,$A235,'Interactions'!$E$2:$E$500,"complaint")=0,10,0),0))</x:f>
      </x:c>
      <x:c r="R235" s="108" t="str">
        <x:f>IF($A235="","",IF($J235="inactive","inactive",IF($J235="at_risk","at_risk",IF($Q235&gt;=85,"vip",IF($Q235&gt;=70,"loyal",IF($Q235&gt;=50,"active",IF($N235=0,"new","needs_attention")))))))</x:f>
      </x:c>
      <x:c r="S235" s="19"/>
      <x:c r="T235" s="18"/>
      <x:c r="U235" s="19"/>
      <x:c r="V235" s="20"/>
      <x:c r="W235" s="26"/>
      <x:c r="X235" s="19"/>
      <x:c r="Y235" s="26"/>
      <x:c r="Z235" s="19"/>
      <x:c r="AA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20"/>
      <x:c r="J236" s="19"/>
      <x:c r="K236" s="19"/>
      <x:c r="L236" s="92" t="str">
        <x:f>IF($A236="","",IF(COUNTIFS('Orders'!$C$2:$C$500,$A236,'Orders'!$M$2:$M$500,"&lt;&gt;cancelled")=0,"",MAXIFS('Orders'!$G$2:$G$500,'Orders'!$C$2:$C$500,$A236,'Orders'!$M$2:$M$500,"&lt;&gt;cancelled")))</x:f>
      </x:c>
      <x:c r="M236" s="96" t="str">
        <x:f>IF($A236="","",SUMIFS('Orders'!$K$2:$K$500,'Orders'!$C$2:$C$500,$A236,'Orders'!$M$2:$M$500,"&lt;&gt;cancelled"))</x:f>
      </x:c>
      <x:c r="N236" s="96" t="str">
        <x:f>IF($A236="","",COUNTIFS('Orders'!$C$2:$C$500,$A236,'Orders'!$M$2:$M$500,"&lt;&gt;cancelled"))</x:f>
      </x:c>
      <x:c r="O236" s="100" t="str">
        <x:f>IF($A236="","",IF(COUNTIF('Interactions'!$B$2:$B$500,$A236)=0,"",MAXIFS('Interactions'!$G$2:$G$500,'Interactions'!$B$2:$B$500,$A236)))</x:f>
      </x:c>
      <x:c r="P236" s="100" t="str">
        <x:f>IF($A236="","",IF(COUNTIFS('FollowUps'!$B$2:$B$500,$A236,'FollowUps'!$H$2:$H$500,"open")=0,"",MINIFS('FollowUps'!$E$2:$E$500,'FollowUps'!$B$2:$B$500,$A236,'FollowUps'!$H$2:$H$500,"open")))</x:f>
      </x:c>
      <x:c r="Q236" s="104" t="str">
        <x:f>IF($A236="","",ROUND(MIN(25,$N236/VALUE(INDEX('Settings'!$B$2:$B$100,MATCH("score_purchase_target",'Settings'!$A$2:$A$100,0)))*25)+MIN(25,$M236/VALUE(INDEX('Settings'!$B$2:$B$100,MATCH("score_value_target",'Settings'!$A$2:$A$100,0)))*25)+IF($L236="",0,MAX(0,25-(TODAY()-$L236)/VALUE(INDEX('Settings'!$B$2:$B$100,MATCH("score_recency_days",'Settings'!$A$2:$A$100,0)))*25))+MIN(15,COUNTIFS('FollowUps'!$B$2:$B$500,$A236,'FollowUps'!$H$2:$H$500,"done")/VALUE(INDEX('Settings'!$B$2:$B$100,MATCH("score_response_target",'Settings'!$A$2:$A$100,0)))*15)+IF(COUNTIFS('Interactions'!$B$2:$B$500,$A236,'Interactions'!$E$2:$E$500,"complaint")=0,10,0),0))</x:f>
      </x:c>
      <x:c r="R236" s="108" t="str">
        <x:f>IF($A236="","",IF($J236="inactive","inactive",IF($J236="at_risk","at_risk",IF($Q236&gt;=85,"vip",IF($Q236&gt;=70,"loyal",IF($Q236&gt;=50,"active",IF($N236=0,"new","needs_attention")))))))</x:f>
      </x:c>
      <x:c r="S236" s="19"/>
      <x:c r="T236" s="18"/>
      <x:c r="U236" s="19"/>
      <x:c r="V236" s="20"/>
      <x:c r="W236" s="26"/>
      <x:c r="X236" s="19"/>
      <x:c r="Y236" s="26"/>
      <x:c r="Z236" s="19"/>
      <x:c r="AA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20"/>
      <x:c r="J237" s="19"/>
      <x:c r="K237" s="19"/>
      <x:c r="L237" s="92" t="str">
        <x:f>IF($A237="","",IF(COUNTIFS('Orders'!$C$2:$C$500,$A237,'Orders'!$M$2:$M$500,"&lt;&gt;cancelled")=0,"",MAXIFS('Orders'!$G$2:$G$500,'Orders'!$C$2:$C$500,$A237,'Orders'!$M$2:$M$500,"&lt;&gt;cancelled")))</x:f>
      </x:c>
      <x:c r="M237" s="96" t="str">
        <x:f>IF($A237="","",SUMIFS('Orders'!$K$2:$K$500,'Orders'!$C$2:$C$500,$A237,'Orders'!$M$2:$M$500,"&lt;&gt;cancelled"))</x:f>
      </x:c>
      <x:c r="N237" s="96" t="str">
        <x:f>IF($A237="","",COUNTIFS('Orders'!$C$2:$C$500,$A237,'Orders'!$M$2:$M$500,"&lt;&gt;cancelled"))</x:f>
      </x:c>
      <x:c r="O237" s="100" t="str">
        <x:f>IF($A237="","",IF(COUNTIF('Interactions'!$B$2:$B$500,$A237)=0,"",MAXIFS('Interactions'!$G$2:$G$500,'Interactions'!$B$2:$B$500,$A237)))</x:f>
      </x:c>
      <x:c r="P237" s="100" t="str">
        <x:f>IF($A237="","",IF(COUNTIFS('FollowUps'!$B$2:$B$500,$A237,'FollowUps'!$H$2:$H$500,"open")=0,"",MINIFS('FollowUps'!$E$2:$E$500,'FollowUps'!$B$2:$B$500,$A237,'FollowUps'!$H$2:$H$500,"open")))</x:f>
      </x:c>
      <x:c r="Q237" s="104" t="str">
        <x:f>IF($A237="","",ROUND(MIN(25,$N237/VALUE(INDEX('Settings'!$B$2:$B$100,MATCH("score_purchase_target",'Settings'!$A$2:$A$100,0)))*25)+MIN(25,$M237/VALUE(INDEX('Settings'!$B$2:$B$100,MATCH("score_value_target",'Settings'!$A$2:$A$100,0)))*25)+IF($L237="",0,MAX(0,25-(TODAY()-$L237)/VALUE(INDEX('Settings'!$B$2:$B$100,MATCH("score_recency_days",'Settings'!$A$2:$A$100,0)))*25))+MIN(15,COUNTIFS('FollowUps'!$B$2:$B$500,$A237,'FollowUps'!$H$2:$H$500,"done")/VALUE(INDEX('Settings'!$B$2:$B$100,MATCH("score_response_target",'Settings'!$A$2:$A$100,0)))*15)+IF(COUNTIFS('Interactions'!$B$2:$B$500,$A237,'Interactions'!$E$2:$E$500,"complaint")=0,10,0),0))</x:f>
      </x:c>
      <x:c r="R237" s="108" t="str">
        <x:f>IF($A237="","",IF($J237="inactive","inactive",IF($J237="at_risk","at_risk",IF($Q237&gt;=85,"vip",IF($Q237&gt;=70,"loyal",IF($Q237&gt;=50,"active",IF($N237=0,"new","needs_attention")))))))</x:f>
      </x:c>
      <x:c r="S237" s="19"/>
      <x:c r="T237" s="18"/>
      <x:c r="U237" s="19"/>
      <x:c r="V237" s="20"/>
      <x:c r="W237" s="26"/>
      <x:c r="X237" s="19"/>
      <x:c r="Y237" s="26"/>
      <x:c r="Z237" s="19"/>
      <x:c r="AA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20"/>
      <x:c r="J238" s="19"/>
      <x:c r="K238" s="19"/>
      <x:c r="L238" s="92" t="str">
        <x:f>IF($A238="","",IF(COUNTIFS('Orders'!$C$2:$C$500,$A238,'Orders'!$M$2:$M$500,"&lt;&gt;cancelled")=0,"",MAXIFS('Orders'!$G$2:$G$500,'Orders'!$C$2:$C$500,$A238,'Orders'!$M$2:$M$500,"&lt;&gt;cancelled")))</x:f>
      </x:c>
      <x:c r="M238" s="96" t="str">
        <x:f>IF($A238="","",SUMIFS('Orders'!$K$2:$K$500,'Orders'!$C$2:$C$500,$A238,'Orders'!$M$2:$M$500,"&lt;&gt;cancelled"))</x:f>
      </x:c>
      <x:c r="N238" s="96" t="str">
        <x:f>IF($A238="","",COUNTIFS('Orders'!$C$2:$C$500,$A238,'Orders'!$M$2:$M$500,"&lt;&gt;cancelled"))</x:f>
      </x:c>
      <x:c r="O238" s="100" t="str">
        <x:f>IF($A238="","",IF(COUNTIF('Interactions'!$B$2:$B$500,$A238)=0,"",MAXIFS('Interactions'!$G$2:$G$500,'Interactions'!$B$2:$B$500,$A238)))</x:f>
      </x:c>
      <x:c r="P238" s="100" t="str">
        <x:f>IF($A238="","",IF(COUNTIFS('FollowUps'!$B$2:$B$500,$A238,'FollowUps'!$H$2:$H$500,"open")=0,"",MINIFS('FollowUps'!$E$2:$E$500,'FollowUps'!$B$2:$B$500,$A238,'FollowUps'!$H$2:$H$500,"open")))</x:f>
      </x:c>
      <x:c r="Q238" s="104" t="str">
        <x:f>IF($A238="","",ROUND(MIN(25,$N238/VALUE(INDEX('Settings'!$B$2:$B$100,MATCH("score_purchase_target",'Settings'!$A$2:$A$100,0)))*25)+MIN(25,$M238/VALUE(INDEX('Settings'!$B$2:$B$100,MATCH("score_value_target",'Settings'!$A$2:$A$100,0)))*25)+IF($L238="",0,MAX(0,25-(TODAY()-$L238)/VALUE(INDEX('Settings'!$B$2:$B$100,MATCH("score_recency_days",'Settings'!$A$2:$A$100,0)))*25))+MIN(15,COUNTIFS('FollowUps'!$B$2:$B$500,$A238,'FollowUps'!$H$2:$H$500,"done")/VALUE(INDEX('Settings'!$B$2:$B$100,MATCH("score_response_target",'Settings'!$A$2:$A$100,0)))*15)+IF(COUNTIFS('Interactions'!$B$2:$B$500,$A238,'Interactions'!$E$2:$E$500,"complaint")=0,10,0),0))</x:f>
      </x:c>
      <x:c r="R238" s="108" t="str">
        <x:f>IF($A238="","",IF($J238="inactive","inactive",IF($J238="at_risk","at_risk",IF($Q238&gt;=85,"vip",IF($Q238&gt;=70,"loyal",IF($Q238&gt;=50,"active",IF($N238=0,"new","needs_attention")))))))</x:f>
      </x:c>
      <x:c r="S238" s="19"/>
      <x:c r="T238" s="18"/>
      <x:c r="U238" s="19"/>
      <x:c r="V238" s="20"/>
      <x:c r="W238" s="26"/>
      <x:c r="X238" s="19"/>
      <x:c r="Y238" s="26"/>
      <x:c r="Z238" s="19"/>
      <x:c r="AA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20"/>
      <x:c r="J239" s="19"/>
      <x:c r="K239" s="19"/>
      <x:c r="L239" s="92" t="str">
        <x:f>IF($A239="","",IF(COUNTIFS('Orders'!$C$2:$C$500,$A239,'Orders'!$M$2:$M$500,"&lt;&gt;cancelled")=0,"",MAXIFS('Orders'!$G$2:$G$500,'Orders'!$C$2:$C$500,$A239,'Orders'!$M$2:$M$500,"&lt;&gt;cancelled")))</x:f>
      </x:c>
      <x:c r="M239" s="96" t="str">
        <x:f>IF($A239="","",SUMIFS('Orders'!$K$2:$K$500,'Orders'!$C$2:$C$500,$A239,'Orders'!$M$2:$M$500,"&lt;&gt;cancelled"))</x:f>
      </x:c>
      <x:c r="N239" s="96" t="str">
        <x:f>IF($A239="","",COUNTIFS('Orders'!$C$2:$C$500,$A239,'Orders'!$M$2:$M$500,"&lt;&gt;cancelled"))</x:f>
      </x:c>
      <x:c r="O239" s="100" t="str">
        <x:f>IF($A239="","",IF(COUNTIF('Interactions'!$B$2:$B$500,$A239)=0,"",MAXIFS('Interactions'!$G$2:$G$500,'Interactions'!$B$2:$B$500,$A239)))</x:f>
      </x:c>
      <x:c r="P239" s="100" t="str">
        <x:f>IF($A239="","",IF(COUNTIFS('FollowUps'!$B$2:$B$500,$A239,'FollowUps'!$H$2:$H$500,"open")=0,"",MINIFS('FollowUps'!$E$2:$E$500,'FollowUps'!$B$2:$B$500,$A239,'FollowUps'!$H$2:$H$500,"open")))</x:f>
      </x:c>
      <x:c r="Q239" s="104" t="str">
        <x:f>IF($A239="","",ROUND(MIN(25,$N239/VALUE(INDEX('Settings'!$B$2:$B$100,MATCH("score_purchase_target",'Settings'!$A$2:$A$100,0)))*25)+MIN(25,$M239/VALUE(INDEX('Settings'!$B$2:$B$100,MATCH("score_value_target",'Settings'!$A$2:$A$100,0)))*25)+IF($L239="",0,MAX(0,25-(TODAY()-$L239)/VALUE(INDEX('Settings'!$B$2:$B$100,MATCH("score_recency_days",'Settings'!$A$2:$A$100,0)))*25))+MIN(15,COUNTIFS('FollowUps'!$B$2:$B$500,$A239,'FollowUps'!$H$2:$H$500,"done")/VALUE(INDEX('Settings'!$B$2:$B$100,MATCH("score_response_target",'Settings'!$A$2:$A$100,0)))*15)+IF(COUNTIFS('Interactions'!$B$2:$B$500,$A239,'Interactions'!$E$2:$E$500,"complaint")=0,10,0),0))</x:f>
      </x:c>
      <x:c r="R239" s="108" t="str">
        <x:f>IF($A239="","",IF($J239="inactive","inactive",IF($J239="at_risk","at_risk",IF($Q239&gt;=85,"vip",IF($Q239&gt;=70,"loyal",IF($Q239&gt;=50,"active",IF($N239=0,"new","needs_attention")))))))</x:f>
      </x:c>
      <x:c r="S239" s="19"/>
      <x:c r="T239" s="18"/>
      <x:c r="U239" s="19"/>
      <x:c r="V239" s="20"/>
      <x:c r="W239" s="26"/>
      <x:c r="X239" s="19"/>
      <x:c r="Y239" s="26"/>
      <x:c r="Z239" s="19"/>
      <x:c r="AA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20"/>
      <x:c r="J240" s="19"/>
      <x:c r="K240" s="19"/>
      <x:c r="L240" s="92" t="str">
        <x:f>IF($A240="","",IF(COUNTIFS('Orders'!$C$2:$C$500,$A240,'Orders'!$M$2:$M$500,"&lt;&gt;cancelled")=0,"",MAXIFS('Orders'!$G$2:$G$500,'Orders'!$C$2:$C$500,$A240,'Orders'!$M$2:$M$500,"&lt;&gt;cancelled")))</x:f>
      </x:c>
      <x:c r="M240" s="96" t="str">
        <x:f>IF($A240="","",SUMIFS('Orders'!$K$2:$K$500,'Orders'!$C$2:$C$500,$A240,'Orders'!$M$2:$M$500,"&lt;&gt;cancelled"))</x:f>
      </x:c>
      <x:c r="N240" s="96" t="str">
        <x:f>IF($A240="","",COUNTIFS('Orders'!$C$2:$C$500,$A240,'Orders'!$M$2:$M$500,"&lt;&gt;cancelled"))</x:f>
      </x:c>
      <x:c r="O240" s="100" t="str">
        <x:f>IF($A240="","",IF(COUNTIF('Interactions'!$B$2:$B$500,$A240)=0,"",MAXIFS('Interactions'!$G$2:$G$500,'Interactions'!$B$2:$B$500,$A240)))</x:f>
      </x:c>
      <x:c r="P240" s="100" t="str">
        <x:f>IF($A240="","",IF(COUNTIFS('FollowUps'!$B$2:$B$500,$A240,'FollowUps'!$H$2:$H$500,"open")=0,"",MINIFS('FollowUps'!$E$2:$E$500,'FollowUps'!$B$2:$B$500,$A240,'FollowUps'!$H$2:$H$500,"open")))</x:f>
      </x:c>
      <x:c r="Q240" s="104" t="str">
        <x:f>IF($A240="","",ROUND(MIN(25,$N240/VALUE(INDEX('Settings'!$B$2:$B$100,MATCH("score_purchase_target",'Settings'!$A$2:$A$100,0)))*25)+MIN(25,$M240/VALUE(INDEX('Settings'!$B$2:$B$100,MATCH("score_value_target",'Settings'!$A$2:$A$100,0)))*25)+IF($L240="",0,MAX(0,25-(TODAY()-$L240)/VALUE(INDEX('Settings'!$B$2:$B$100,MATCH("score_recency_days",'Settings'!$A$2:$A$100,0)))*25))+MIN(15,COUNTIFS('FollowUps'!$B$2:$B$500,$A240,'FollowUps'!$H$2:$H$500,"done")/VALUE(INDEX('Settings'!$B$2:$B$100,MATCH("score_response_target",'Settings'!$A$2:$A$100,0)))*15)+IF(COUNTIFS('Interactions'!$B$2:$B$500,$A240,'Interactions'!$E$2:$E$500,"complaint")=0,10,0),0))</x:f>
      </x:c>
      <x:c r="R240" s="108" t="str">
        <x:f>IF($A240="","",IF($J240="inactive","inactive",IF($J240="at_risk","at_risk",IF($Q240&gt;=85,"vip",IF($Q240&gt;=70,"loyal",IF($Q240&gt;=50,"active",IF($N240=0,"new","needs_attention")))))))</x:f>
      </x:c>
      <x:c r="S240" s="19"/>
      <x:c r="T240" s="18"/>
      <x:c r="U240" s="19"/>
      <x:c r="V240" s="20"/>
      <x:c r="W240" s="26"/>
      <x:c r="X240" s="19"/>
      <x:c r="Y240" s="26"/>
      <x:c r="Z240" s="19"/>
      <x:c r="AA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20"/>
      <x:c r="J241" s="19"/>
      <x:c r="K241" s="19"/>
      <x:c r="L241" s="92" t="str">
        <x:f>IF($A241="","",IF(COUNTIFS('Orders'!$C$2:$C$500,$A241,'Orders'!$M$2:$M$500,"&lt;&gt;cancelled")=0,"",MAXIFS('Orders'!$G$2:$G$500,'Orders'!$C$2:$C$500,$A241,'Orders'!$M$2:$M$500,"&lt;&gt;cancelled")))</x:f>
      </x:c>
      <x:c r="M241" s="96" t="str">
        <x:f>IF($A241="","",SUMIFS('Orders'!$K$2:$K$500,'Orders'!$C$2:$C$500,$A241,'Orders'!$M$2:$M$500,"&lt;&gt;cancelled"))</x:f>
      </x:c>
      <x:c r="N241" s="96" t="str">
        <x:f>IF($A241="","",COUNTIFS('Orders'!$C$2:$C$500,$A241,'Orders'!$M$2:$M$500,"&lt;&gt;cancelled"))</x:f>
      </x:c>
      <x:c r="O241" s="100" t="str">
        <x:f>IF($A241="","",IF(COUNTIF('Interactions'!$B$2:$B$500,$A241)=0,"",MAXIFS('Interactions'!$G$2:$G$500,'Interactions'!$B$2:$B$500,$A241)))</x:f>
      </x:c>
      <x:c r="P241" s="100" t="str">
        <x:f>IF($A241="","",IF(COUNTIFS('FollowUps'!$B$2:$B$500,$A241,'FollowUps'!$H$2:$H$500,"open")=0,"",MINIFS('FollowUps'!$E$2:$E$500,'FollowUps'!$B$2:$B$500,$A241,'FollowUps'!$H$2:$H$500,"open")))</x:f>
      </x:c>
      <x:c r="Q241" s="104" t="str">
        <x:f>IF($A241="","",ROUND(MIN(25,$N241/VALUE(INDEX('Settings'!$B$2:$B$100,MATCH("score_purchase_target",'Settings'!$A$2:$A$100,0)))*25)+MIN(25,$M241/VALUE(INDEX('Settings'!$B$2:$B$100,MATCH("score_value_target",'Settings'!$A$2:$A$100,0)))*25)+IF($L241="",0,MAX(0,25-(TODAY()-$L241)/VALUE(INDEX('Settings'!$B$2:$B$100,MATCH("score_recency_days",'Settings'!$A$2:$A$100,0)))*25))+MIN(15,COUNTIFS('FollowUps'!$B$2:$B$500,$A241,'FollowUps'!$H$2:$H$500,"done")/VALUE(INDEX('Settings'!$B$2:$B$100,MATCH("score_response_target",'Settings'!$A$2:$A$100,0)))*15)+IF(COUNTIFS('Interactions'!$B$2:$B$500,$A241,'Interactions'!$E$2:$E$500,"complaint")=0,10,0),0))</x:f>
      </x:c>
      <x:c r="R241" s="108" t="str">
        <x:f>IF($A241="","",IF($J241="inactive","inactive",IF($J241="at_risk","at_risk",IF($Q241&gt;=85,"vip",IF($Q241&gt;=70,"loyal",IF($Q241&gt;=50,"active",IF($N241=0,"new","needs_attention")))))))</x:f>
      </x:c>
      <x:c r="S241" s="19"/>
      <x:c r="T241" s="18"/>
      <x:c r="U241" s="19"/>
      <x:c r="V241" s="20"/>
      <x:c r="W241" s="26"/>
      <x:c r="X241" s="19"/>
      <x:c r="Y241" s="26"/>
      <x:c r="Z241" s="19"/>
      <x:c r="AA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20"/>
      <x:c r="J242" s="19"/>
      <x:c r="K242" s="19"/>
      <x:c r="L242" s="92" t="str">
        <x:f>IF($A242="","",IF(COUNTIFS('Orders'!$C$2:$C$500,$A242,'Orders'!$M$2:$M$500,"&lt;&gt;cancelled")=0,"",MAXIFS('Orders'!$G$2:$G$500,'Orders'!$C$2:$C$500,$A242,'Orders'!$M$2:$M$500,"&lt;&gt;cancelled")))</x:f>
      </x:c>
      <x:c r="M242" s="96" t="str">
        <x:f>IF($A242="","",SUMIFS('Orders'!$K$2:$K$500,'Orders'!$C$2:$C$500,$A242,'Orders'!$M$2:$M$500,"&lt;&gt;cancelled"))</x:f>
      </x:c>
      <x:c r="N242" s="96" t="str">
        <x:f>IF($A242="","",COUNTIFS('Orders'!$C$2:$C$500,$A242,'Orders'!$M$2:$M$500,"&lt;&gt;cancelled"))</x:f>
      </x:c>
      <x:c r="O242" s="100" t="str">
        <x:f>IF($A242="","",IF(COUNTIF('Interactions'!$B$2:$B$500,$A242)=0,"",MAXIFS('Interactions'!$G$2:$G$500,'Interactions'!$B$2:$B$500,$A242)))</x:f>
      </x:c>
      <x:c r="P242" s="100" t="str">
        <x:f>IF($A242="","",IF(COUNTIFS('FollowUps'!$B$2:$B$500,$A242,'FollowUps'!$H$2:$H$500,"open")=0,"",MINIFS('FollowUps'!$E$2:$E$500,'FollowUps'!$B$2:$B$500,$A242,'FollowUps'!$H$2:$H$500,"open")))</x:f>
      </x:c>
      <x:c r="Q242" s="104" t="str">
        <x:f>IF($A242="","",ROUND(MIN(25,$N242/VALUE(INDEX('Settings'!$B$2:$B$100,MATCH("score_purchase_target",'Settings'!$A$2:$A$100,0)))*25)+MIN(25,$M242/VALUE(INDEX('Settings'!$B$2:$B$100,MATCH("score_value_target",'Settings'!$A$2:$A$100,0)))*25)+IF($L242="",0,MAX(0,25-(TODAY()-$L242)/VALUE(INDEX('Settings'!$B$2:$B$100,MATCH("score_recency_days",'Settings'!$A$2:$A$100,0)))*25))+MIN(15,COUNTIFS('FollowUps'!$B$2:$B$500,$A242,'FollowUps'!$H$2:$H$500,"done")/VALUE(INDEX('Settings'!$B$2:$B$100,MATCH("score_response_target",'Settings'!$A$2:$A$100,0)))*15)+IF(COUNTIFS('Interactions'!$B$2:$B$500,$A242,'Interactions'!$E$2:$E$500,"complaint")=0,10,0),0))</x:f>
      </x:c>
      <x:c r="R242" s="108" t="str">
        <x:f>IF($A242="","",IF($J242="inactive","inactive",IF($J242="at_risk","at_risk",IF($Q242&gt;=85,"vip",IF($Q242&gt;=70,"loyal",IF($Q242&gt;=50,"active",IF($N242=0,"new","needs_attention")))))))</x:f>
      </x:c>
      <x:c r="S242" s="19"/>
      <x:c r="T242" s="18"/>
      <x:c r="U242" s="19"/>
      <x:c r="V242" s="20"/>
      <x:c r="W242" s="26"/>
      <x:c r="X242" s="19"/>
      <x:c r="Y242" s="26"/>
      <x:c r="Z242" s="19"/>
      <x:c r="AA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20"/>
      <x:c r="J243" s="19"/>
      <x:c r="K243" s="19"/>
      <x:c r="L243" s="92" t="str">
        <x:f>IF($A243="","",IF(COUNTIFS('Orders'!$C$2:$C$500,$A243,'Orders'!$M$2:$M$500,"&lt;&gt;cancelled")=0,"",MAXIFS('Orders'!$G$2:$G$500,'Orders'!$C$2:$C$500,$A243,'Orders'!$M$2:$M$500,"&lt;&gt;cancelled")))</x:f>
      </x:c>
      <x:c r="M243" s="96" t="str">
        <x:f>IF($A243="","",SUMIFS('Orders'!$K$2:$K$500,'Orders'!$C$2:$C$500,$A243,'Orders'!$M$2:$M$500,"&lt;&gt;cancelled"))</x:f>
      </x:c>
      <x:c r="N243" s="96" t="str">
        <x:f>IF($A243="","",COUNTIFS('Orders'!$C$2:$C$500,$A243,'Orders'!$M$2:$M$500,"&lt;&gt;cancelled"))</x:f>
      </x:c>
      <x:c r="O243" s="100" t="str">
        <x:f>IF($A243="","",IF(COUNTIF('Interactions'!$B$2:$B$500,$A243)=0,"",MAXIFS('Interactions'!$G$2:$G$500,'Interactions'!$B$2:$B$500,$A243)))</x:f>
      </x:c>
      <x:c r="P243" s="100" t="str">
        <x:f>IF($A243="","",IF(COUNTIFS('FollowUps'!$B$2:$B$500,$A243,'FollowUps'!$H$2:$H$500,"open")=0,"",MINIFS('FollowUps'!$E$2:$E$500,'FollowUps'!$B$2:$B$500,$A243,'FollowUps'!$H$2:$H$500,"open")))</x:f>
      </x:c>
      <x:c r="Q243" s="104" t="str">
        <x:f>IF($A243="","",ROUND(MIN(25,$N243/VALUE(INDEX('Settings'!$B$2:$B$100,MATCH("score_purchase_target",'Settings'!$A$2:$A$100,0)))*25)+MIN(25,$M243/VALUE(INDEX('Settings'!$B$2:$B$100,MATCH("score_value_target",'Settings'!$A$2:$A$100,0)))*25)+IF($L243="",0,MAX(0,25-(TODAY()-$L243)/VALUE(INDEX('Settings'!$B$2:$B$100,MATCH("score_recency_days",'Settings'!$A$2:$A$100,0)))*25))+MIN(15,COUNTIFS('FollowUps'!$B$2:$B$500,$A243,'FollowUps'!$H$2:$H$500,"done")/VALUE(INDEX('Settings'!$B$2:$B$100,MATCH("score_response_target",'Settings'!$A$2:$A$100,0)))*15)+IF(COUNTIFS('Interactions'!$B$2:$B$500,$A243,'Interactions'!$E$2:$E$500,"complaint")=0,10,0),0))</x:f>
      </x:c>
      <x:c r="R243" s="108" t="str">
        <x:f>IF($A243="","",IF($J243="inactive","inactive",IF($J243="at_risk","at_risk",IF($Q243&gt;=85,"vip",IF($Q243&gt;=70,"loyal",IF($Q243&gt;=50,"active",IF($N243=0,"new","needs_attention")))))))</x:f>
      </x:c>
      <x:c r="S243" s="19"/>
      <x:c r="T243" s="18"/>
      <x:c r="U243" s="19"/>
      <x:c r="V243" s="20"/>
      <x:c r="W243" s="26"/>
      <x:c r="X243" s="19"/>
      <x:c r="Y243" s="26"/>
      <x:c r="Z243" s="19"/>
      <x:c r="AA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20"/>
      <x:c r="J244" s="19"/>
      <x:c r="K244" s="19"/>
      <x:c r="L244" s="92" t="str">
        <x:f>IF($A244="","",IF(COUNTIFS('Orders'!$C$2:$C$500,$A244,'Orders'!$M$2:$M$500,"&lt;&gt;cancelled")=0,"",MAXIFS('Orders'!$G$2:$G$500,'Orders'!$C$2:$C$500,$A244,'Orders'!$M$2:$M$500,"&lt;&gt;cancelled")))</x:f>
      </x:c>
      <x:c r="M244" s="96" t="str">
        <x:f>IF($A244="","",SUMIFS('Orders'!$K$2:$K$500,'Orders'!$C$2:$C$500,$A244,'Orders'!$M$2:$M$500,"&lt;&gt;cancelled"))</x:f>
      </x:c>
      <x:c r="N244" s="96" t="str">
        <x:f>IF($A244="","",COUNTIFS('Orders'!$C$2:$C$500,$A244,'Orders'!$M$2:$M$500,"&lt;&gt;cancelled"))</x:f>
      </x:c>
      <x:c r="O244" s="100" t="str">
        <x:f>IF($A244="","",IF(COUNTIF('Interactions'!$B$2:$B$500,$A244)=0,"",MAXIFS('Interactions'!$G$2:$G$500,'Interactions'!$B$2:$B$500,$A244)))</x:f>
      </x:c>
      <x:c r="P244" s="100" t="str">
        <x:f>IF($A244="","",IF(COUNTIFS('FollowUps'!$B$2:$B$500,$A244,'FollowUps'!$H$2:$H$500,"open")=0,"",MINIFS('FollowUps'!$E$2:$E$500,'FollowUps'!$B$2:$B$500,$A244,'FollowUps'!$H$2:$H$500,"open")))</x:f>
      </x:c>
      <x:c r="Q244" s="104" t="str">
        <x:f>IF($A244="","",ROUND(MIN(25,$N244/VALUE(INDEX('Settings'!$B$2:$B$100,MATCH("score_purchase_target",'Settings'!$A$2:$A$100,0)))*25)+MIN(25,$M244/VALUE(INDEX('Settings'!$B$2:$B$100,MATCH("score_value_target",'Settings'!$A$2:$A$100,0)))*25)+IF($L244="",0,MAX(0,25-(TODAY()-$L244)/VALUE(INDEX('Settings'!$B$2:$B$100,MATCH("score_recency_days",'Settings'!$A$2:$A$100,0)))*25))+MIN(15,COUNTIFS('FollowUps'!$B$2:$B$500,$A244,'FollowUps'!$H$2:$H$500,"done")/VALUE(INDEX('Settings'!$B$2:$B$100,MATCH("score_response_target",'Settings'!$A$2:$A$100,0)))*15)+IF(COUNTIFS('Interactions'!$B$2:$B$500,$A244,'Interactions'!$E$2:$E$500,"complaint")=0,10,0),0))</x:f>
      </x:c>
      <x:c r="R244" s="108" t="str">
        <x:f>IF($A244="","",IF($J244="inactive","inactive",IF($J244="at_risk","at_risk",IF($Q244&gt;=85,"vip",IF($Q244&gt;=70,"loyal",IF($Q244&gt;=50,"active",IF($N244=0,"new","needs_attention")))))))</x:f>
      </x:c>
      <x:c r="S244" s="19"/>
      <x:c r="T244" s="18"/>
      <x:c r="U244" s="19"/>
      <x:c r="V244" s="20"/>
      <x:c r="W244" s="26"/>
      <x:c r="X244" s="19"/>
      <x:c r="Y244" s="26"/>
      <x:c r="Z244" s="19"/>
      <x:c r="AA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20"/>
      <x:c r="J245" s="19"/>
      <x:c r="K245" s="19"/>
      <x:c r="L245" s="92" t="str">
        <x:f>IF($A245="","",IF(COUNTIFS('Orders'!$C$2:$C$500,$A245,'Orders'!$M$2:$M$500,"&lt;&gt;cancelled")=0,"",MAXIFS('Orders'!$G$2:$G$500,'Orders'!$C$2:$C$500,$A245,'Orders'!$M$2:$M$500,"&lt;&gt;cancelled")))</x:f>
      </x:c>
      <x:c r="M245" s="96" t="str">
        <x:f>IF($A245="","",SUMIFS('Orders'!$K$2:$K$500,'Orders'!$C$2:$C$500,$A245,'Orders'!$M$2:$M$500,"&lt;&gt;cancelled"))</x:f>
      </x:c>
      <x:c r="N245" s="96" t="str">
        <x:f>IF($A245="","",COUNTIFS('Orders'!$C$2:$C$500,$A245,'Orders'!$M$2:$M$500,"&lt;&gt;cancelled"))</x:f>
      </x:c>
      <x:c r="O245" s="100" t="str">
        <x:f>IF($A245="","",IF(COUNTIF('Interactions'!$B$2:$B$500,$A245)=0,"",MAXIFS('Interactions'!$G$2:$G$500,'Interactions'!$B$2:$B$500,$A245)))</x:f>
      </x:c>
      <x:c r="P245" s="100" t="str">
        <x:f>IF($A245="","",IF(COUNTIFS('FollowUps'!$B$2:$B$500,$A245,'FollowUps'!$H$2:$H$500,"open")=0,"",MINIFS('FollowUps'!$E$2:$E$500,'FollowUps'!$B$2:$B$500,$A245,'FollowUps'!$H$2:$H$500,"open")))</x:f>
      </x:c>
      <x:c r="Q245" s="104" t="str">
        <x:f>IF($A245="","",ROUND(MIN(25,$N245/VALUE(INDEX('Settings'!$B$2:$B$100,MATCH("score_purchase_target",'Settings'!$A$2:$A$100,0)))*25)+MIN(25,$M245/VALUE(INDEX('Settings'!$B$2:$B$100,MATCH("score_value_target",'Settings'!$A$2:$A$100,0)))*25)+IF($L245="",0,MAX(0,25-(TODAY()-$L245)/VALUE(INDEX('Settings'!$B$2:$B$100,MATCH("score_recency_days",'Settings'!$A$2:$A$100,0)))*25))+MIN(15,COUNTIFS('FollowUps'!$B$2:$B$500,$A245,'FollowUps'!$H$2:$H$500,"done")/VALUE(INDEX('Settings'!$B$2:$B$100,MATCH("score_response_target",'Settings'!$A$2:$A$100,0)))*15)+IF(COUNTIFS('Interactions'!$B$2:$B$500,$A245,'Interactions'!$E$2:$E$500,"complaint")=0,10,0),0))</x:f>
      </x:c>
      <x:c r="R245" s="108" t="str">
        <x:f>IF($A245="","",IF($J245="inactive","inactive",IF($J245="at_risk","at_risk",IF($Q245&gt;=85,"vip",IF($Q245&gt;=70,"loyal",IF($Q245&gt;=50,"active",IF($N245=0,"new","needs_attention")))))))</x:f>
      </x:c>
      <x:c r="S245" s="19"/>
      <x:c r="T245" s="18"/>
      <x:c r="U245" s="19"/>
      <x:c r="V245" s="20"/>
      <x:c r="W245" s="26"/>
      <x:c r="X245" s="19"/>
      <x:c r="Y245" s="26"/>
      <x:c r="Z245" s="19"/>
      <x:c r="AA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20"/>
      <x:c r="J246" s="19"/>
      <x:c r="K246" s="19"/>
      <x:c r="L246" s="92" t="str">
        <x:f>IF($A246="","",IF(COUNTIFS('Orders'!$C$2:$C$500,$A246,'Orders'!$M$2:$M$500,"&lt;&gt;cancelled")=0,"",MAXIFS('Orders'!$G$2:$G$500,'Orders'!$C$2:$C$500,$A246,'Orders'!$M$2:$M$500,"&lt;&gt;cancelled")))</x:f>
      </x:c>
      <x:c r="M246" s="96" t="str">
        <x:f>IF($A246="","",SUMIFS('Orders'!$K$2:$K$500,'Orders'!$C$2:$C$500,$A246,'Orders'!$M$2:$M$500,"&lt;&gt;cancelled"))</x:f>
      </x:c>
      <x:c r="N246" s="96" t="str">
        <x:f>IF($A246="","",COUNTIFS('Orders'!$C$2:$C$500,$A246,'Orders'!$M$2:$M$500,"&lt;&gt;cancelled"))</x:f>
      </x:c>
      <x:c r="O246" s="100" t="str">
        <x:f>IF($A246="","",IF(COUNTIF('Interactions'!$B$2:$B$500,$A246)=0,"",MAXIFS('Interactions'!$G$2:$G$500,'Interactions'!$B$2:$B$500,$A246)))</x:f>
      </x:c>
      <x:c r="P246" s="100" t="str">
        <x:f>IF($A246="","",IF(COUNTIFS('FollowUps'!$B$2:$B$500,$A246,'FollowUps'!$H$2:$H$500,"open")=0,"",MINIFS('FollowUps'!$E$2:$E$500,'FollowUps'!$B$2:$B$500,$A246,'FollowUps'!$H$2:$H$500,"open")))</x:f>
      </x:c>
      <x:c r="Q246" s="104" t="str">
        <x:f>IF($A246="","",ROUND(MIN(25,$N246/VALUE(INDEX('Settings'!$B$2:$B$100,MATCH("score_purchase_target",'Settings'!$A$2:$A$100,0)))*25)+MIN(25,$M246/VALUE(INDEX('Settings'!$B$2:$B$100,MATCH("score_value_target",'Settings'!$A$2:$A$100,0)))*25)+IF($L246="",0,MAX(0,25-(TODAY()-$L246)/VALUE(INDEX('Settings'!$B$2:$B$100,MATCH("score_recency_days",'Settings'!$A$2:$A$100,0)))*25))+MIN(15,COUNTIFS('FollowUps'!$B$2:$B$500,$A246,'FollowUps'!$H$2:$H$500,"done")/VALUE(INDEX('Settings'!$B$2:$B$100,MATCH("score_response_target",'Settings'!$A$2:$A$100,0)))*15)+IF(COUNTIFS('Interactions'!$B$2:$B$500,$A246,'Interactions'!$E$2:$E$500,"complaint")=0,10,0),0))</x:f>
      </x:c>
      <x:c r="R246" s="108" t="str">
        <x:f>IF($A246="","",IF($J246="inactive","inactive",IF($J246="at_risk","at_risk",IF($Q246&gt;=85,"vip",IF($Q246&gt;=70,"loyal",IF($Q246&gt;=50,"active",IF($N246=0,"new","needs_attention")))))))</x:f>
      </x:c>
      <x:c r="S246" s="19"/>
      <x:c r="T246" s="18"/>
      <x:c r="U246" s="19"/>
      <x:c r="V246" s="20"/>
      <x:c r="W246" s="26"/>
      <x:c r="X246" s="19"/>
      <x:c r="Y246" s="26"/>
      <x:c r="Z246" s="19"/>
      <x:c r="AA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20"/>
      <x:c r="J247" s="19"/>
      <x:c r="K247" s="19"/>
      <x:c r="L247" s="92" t="str">
        <x:f>IF($A247="","",IF(COUNTIFS('Orders'!$C$2:$C$500,$A247,'Orders'!$M$2:$M$500,"&lt;&gt;cancelled")=0,"",MAXIFS('Orders'!$G$2:$G$500,'Orders'!$C$2:$C$500,$A247,'Orders'!$M$2:$M$500,"&lt;&gt;cancelled")))</x:f>
      </x:c>
      <x:c r="M247" s="96" t="str">
        <x:f>IF($A247="","",SUMIFS('Orders'!$K$2:$K$500,'Orders'!$C$2:$C$500,$A247,'Orders'!$M$2:$M$500,"&lt;&gt;cancelled"))</x:f>
      </x:c>
      <x:c r="N247" s="96" t="str">
        <x:f>IF($A247="","",COUNTIFS('Orders'!$C$2:$C$500,$A247,'Orders'!$M$2:$M$500,"&lt;&gt;cancelled"))</x:f>
      </x:c>
      <x:c r="O247" s="100" t="str">
        <x:f>IF($A247="","",IF(COUNTIF('Interactions'!$B$2:$B$500,$A247)=0,"",MAXIFS('Interactions'!$G$2:$G$500,'Interactions'!$B$2:$B$500,$A247)))</x:f>
      </x:c>
      <x:c r="P247" s="100" t="str">
        <x:f>IF($A247="","",IF(COUNTIFS('FollowUps'!$B$2:$B$500,$A247,'FollowUps'!$H$2:$H$500,"open")=0,"",MINIFS('FollowUps'!$E$2:$E$500,'FollowUps'!$B$2:$B$500,$A247,'FollowUps'!$H$2:$H$500,"open")))</x:f>
      </x:c>
      <x:c r="Q247" s="104" t="str">
        <x:f>IF($A247="","",ROUND(MIN(25,$N247/VALUE(INDEX('Settings'!$B$2:$B$100,MATCH("score_purchase_target",'Settings'!$A$2:$A$100,0)))*25)+MIN(25,$M247/VALUE(INDEX('Settings'!$B$2:$B$100,MATCH("score_value_target",'Settings'!$A$2:$A$100,0)))*25)+IF($L247="",0,MAX(0,25-(TODAY()-$L247)/VALUE(INDEX('Settings'!$B$2:$B$100,MATCH("score_recency_days",'Settings'!$A$2:$A$100,0)))*25))+MIN(15,COUNTIFS('FollowUps'!$B$2:$B$500,$A247,'FollowUps'!$H$2:$H$500,"done")/VALUE(INDEX('Settings'!$B$2:$B$100,MATCH("score_response_target",'Settings'!$A$2:$A$100,0)))*15)+IF(COUNTIFS('Interactions'!$B$2:$B$500,$A247,'Interactions'!$E$2:$E$500,"complaint")=0,10,0),0))</x:f>
      </x:c>
      <x:c r="R247" s="108" t="str">
        <x:f>IF($A247="","",IF($J247="inactive","inactive",IF($J247="at_risk","at_risk",IF($Q247&gt;=85,"vip",IF($Q247&gt;=70,"loyal",IF($Q247&gt;=50,"active",IF($N247=0,"new","needs_attention")))))))</x:f>
      </x:c>
      <x:c r="S247" s="19"/>
      <x:c r="T247" s="18"/>
      <x:c r="U247" s="19"/>
      <x:c r="V247" s="20"/>
      <x:c r="W247" s="26"/>
      <x:c r="X247" s="19"/>
      <x:c r="Y247" s="26"/>
      <x:c r="Z247" s="19"/>
      <x:c r="AA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20"/>
      <x:c r="J248" s="19"/>
      <x:c r="K248" s="19"/>
      <x:c r="L248" s="92" t="str">
        <x:f>IF($A248="","",IF(COUNTIFS('Orders'!$C$2:$C$500,$A248,'Orders'!$M$2:$M$500,"&lt;&gt;cancelled")=0,"",MAXIFS('Orders'!$G$2:$G$500,'Orders'!$C$2:$C$500,$A248,'Orders'!$M$2:$M$500,"&lt;&gt;cancelled")))</x:f>
      </x:c>
      <x:c r="M248" s="96" t="str">
        <x:f>IF($A248="","",SUMIFS('Orders'!$K$2:$K$500,'Orders'!$C$2:$C$500,$A248,'Orders'!$M$2:$M$500,"&lt;&gt;cancelled"))</x:f>
      </x:c>
      <x:c r="N248" s="96" t="str">
        <x:f>IF($A248="","",COUNTIFS('Orders'!$C$2:$C$500,$A248,'Orders'!$M$2:$M$500,"&lt;&gt;cancelled"))</x:f>
      </x:c>
      <x:c r="O248" s="100" t="str">
        <x:f>IF($A248="","",IF(COUNTIF('Interactions'!$B$2:$B$500,$A248)=0,"",MAXIFS('Interactions'!$G$2:$G$500,'Interactions'!$B$2:$B$500,$A248)))</x:f>
      </x:c>
      <x:c r="P248" s="100" t="str">
        <x:f>IF($A248="","",IF(COUNTIFS('FollowUps'!$B$2:$B$500,$A248,'FollowUps'!$H$2:$H$500,"open")=0,"",MINIFS('FollowUps'!$E$2:$E$500,'FollowUps'!$B$2:$B$500,$A248,'FollowUps'!$H$2:$H$500,"open")))</x:f>
      </x:c>
      <x:c r="Q248" s="104" t="str">
        <x:f>IF($A248="","",ROUND(MIN(25,$N248/VALUE(INDEX('Settings'!$B$2:$B$100,MATCH("score_purchase_target",'Settings'!$A$2:$A$100,0)))*25)+MIN(25,$M248/VALUE(INDEX('Settings'!$B$2:$B$100,MATCH("score_value_target",'Settings'!$A$2:$A$100,0)))*25)+IF($L248="",0,MAX(0,25-(TODAY()-$L248)/VALUE(INDEX('Settings'!$B$2:$B$100,MATCH("score_recency_days",'Settings'!$A$2:$A$100,0)))*25))+MIN(15,COUNTIFS('FollowUps'!$B$2:$B$500,$A248,'FollowUps'!$H$2:$H$500,"done")/VALUE(INDEX('Settings'!$B$2:$B$100,MATCH("score_response_target",'Settings'!$A$2:$A$100,0)))*15)+IF(COUNTIFS('Interactions'!$B$2:$B$500,$A248,'Interactions'!$E$2:$E$500,"complaint")=0,10,0),0))</x:f>
      </x:c>
      <x:c r="R248" s="108" t="str">
        <x:f>IF($A248="","",IF($J248="inactive","inactive",IF($J248="at_risk","at_risk",IF($Q248&gt;=85,"vip",IF($Q248&gt;=70,"loyal",IF($Q248&gt;=50,"active",IF($N248=0,"new","needs_attention")))))))</x:f>
      </x:c>
      <x:c r="S248" s="19"/>
      <x:c r="T248" s="18"/>
      <x:c r="U248" s="19"/>
      <x:c r="V248" s="20"/>
      <x:c r="W248" s="26"/>
      <x:c r="X248" s="19"/>
      <x:c r="Y248" s="26"/>
      <x:c r="Z248" s="19"/>
      <x:c r="AA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20"/>
      <x:c r="J249" s="19"/>
      <x:c r="K249" s="19"/>
      <x:c r="L249" s="92" t="str">
        <x:f>IF($A249="","",IF(COUNTIFS('Orders'!$C$2:$C$500,$A249,'Orders'!$M$2:$M$500,"&lt;&gt;cancelled")=0,"",MAXIFS('Orders'!$G$2:$G$500,'Orders'!$C$2:$C$500,$A249,'Orders'!$M$2:$M$500,"&lt;&gt;cancelled")))</x:f>
      </x:c>
      <x:c r="M249" s="96" t="str">
        <x:f>IF($A249="","",SUMIFS('Orders'!$K$2:$K$500,'Orders'!$C$2:$C$500,$A249,'Orders'!$M$2:$M$500,"&lt;&gt;cancelled"))</x:f>
      </x:c>
      <x:c r="N249" s="96" t="str">
        <x:f>IF($A249="","",COUNTIFS('Orders'!$C$2:$C$500,$A249,'Orders'!$M$2:$M$500,"&lt;&gt;cancelled"))</x:f>
      </x:c>
      <x:c r="O249" s="100" t="str">
        <x:f>IF($A249="","",IF(COUNTIF('Interactions'!$B$2:$B$500,$A249)=0,"",MAXIFS('Interactions'!$G$2:$G$500,'Interactions'!$B$2:$B$500,$A249)))</x:f>
      </x:c>
      <x:c r="P249" s="100" t="str">
        <x:f>IF($A249="","",IF(COUNTIFS('FollowUps'!$B$2:$B$500,$A249,'FollowUps'!$H$2:$H$500,"open")=0,"",MINIFS('FollowUps'!$E$2:$E$500,'FollowUps'!$B$2:$B$500,$A249,'FollowUps'!$H$2:$H$500,"open")))</x:f>
      </x:c>
      <x:c r="Q249" s="104" t="str">
        <x:f>IF($A249="","",ROUND(MIN(25,$N249/VALUE(INDEX('Settings'!$B$2:$B$100,MATCH("score_purchase_target",'Settings'!$A$2:$A$100,0)))*25)+MIN(25,$M249/VALUE(INDEX('Settings'!$B$2:$B$100,MATCH("score_value_target",'Settings'!$A$2:$A$100,0)))*25)+IF($L249="",0,MAX(0,25-(TODAY()-$L249)/VALUE(INDEX('Settings'!$B$2:$B$100,MATCH("score_recency_days",'Settings'!$A$2:$A$100,0)))*25))+MIN(15,COUNTIFS('FollowUps'!$B$2:$B$500,$A249,'FollowUps'!$H$2:$H$500,"done")/VALUE(INDEX('Settings'!$B$2:$B$100,MATCH("score_response_target",'Settings'!$A$2:$A$100,0)))*15)+IF(COUNTIFS('Interactions'!$B$2:$B$500,$A249,'Interactions'!$E$2:$E$500,"complaint")=0,10,0),0))</x:f>
      </x:c>
      <x:c r="R249" s="108" t="str">
        <x:f>IF($A249="","",IF($J249="inactive","inactive",IF($J249="at_risk","at_risk",IF($Q249&gt;=85,"vip",IF($Q249&gt;=70,"loyal",IF($Q249&gt;=50,"active",IF($N249=0,"new","needs_attention")))))))</x:f>
      </x:c>
      <x:c r="S249" s="19"/>
      <x:c r="T249" s="18"/>
      <x:c r="U249" s="19"/>
      <x:c r="V249" s="20"/>
      <x:c r="W249" s="26"/>
      <x:c r="X249" s="19"/>
      <x:c r="Y249" s="26"/>
      <x:c r="Z249" s="19"/>
      <x:c r="AA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20"/>
      <x:c r="J250" s="19"/>
      <x:c r="K250" s="19"/>
      <x:c r="L250" s="92" t="str">
        <x:f>IF($A250="","",IF(COUNTIFS('Orders'!$C$2:$C$500,$A250,'Orders'!$M$2:$M$500,"&lt;&gt;cancelled")=0,"",MAXIFS('Orders'!$G$2:$G$500,'Orders'!$C$2:$C$500,$A250,'Orders'!$M$2:$M$500,"&lt;&gt;cancelled")))</x:f>
      </x:c>
      <x:c r="M250" s="96" t="str">
        <x:f>IF($A250="","",SUMIFS('Orders'!$K$2:$K$500,'Orders'!$C$2:$C$500,$A250,'Orders'!$M$2:$M$500,"&lt;&gt;cancelled"))</x:f>
      </x:c>
      <x:c r="N250" s="96" t="str">
        <x:f>IF($A250="","",COUNTIFS('Orders'!$C$2:$C$500,$A250,'Orders'!$M$2:$M$500,"&lt;&gt;cancelled"))</x:f>
      </x:c>
      <x:c r="O250" s="100" t="str">
        <x:f>IF($A250="","",IF(COUNTIF('Interactions'!$B$2:$B$500,$A250)=0,"",MAXIFS('Interactions'!$G$2:$G$500,'Interactions'!$B$2:$B$500,$A250)))</x:f>
      </x:c>
      <x:c r="P250" s="100" t="str">
        <x:f>IF($A250="","",IF(COUNTIFS('FollowUps'!$B$2:$B$500,$A250,'FollowUps'!$H$2:$H$500,"open")=0,"",MINIFS('FollowUps'!$E$2:$E$500,'FollowUps'!$B$2:$B$500,$A250,'FollowUps'!$H$2:$H$500,"open")))</x:f>
      </x:c>
      <x:c r="Q250" s="104" t="str">
        <x:f>IF($A250="","",ROUND(MIN(25,$N250/VALUE(INDEX('Settings'!$B$2:$B$100,MATCH("score_purchase_target",'Settings'!$A$2:$A$100,0)))*25)+MIN(25,$M250/VALUE(INDEX('Settings'!$B$2:$B$100,MATCH("score_value_target",'Settings'!$A$2:$A$100,0)))*25)+IF($L250="",0,MAX(0,25-(TODAY()-$L250)/VALUE(INDEX('Settings'!$B$2:$B$100,MATCH("score_recency_days",'Settings'!$A$2:$A$100,0)))*25))+MIN(15,COUNTIFS('FollowUps'!$B$2:$B$500,$A250,'FollowUps'!$H$2:$H$500,"done")/VALUE(INDEX('Settings'!$B$2:$B$100,MATCH("score_response_target",'Settings'!$A$2:$A$100,0)))*15)+IF(COUNTIFS('Interactions'!$B$2:$B$500,$A250,'Interactions'!$E$2:$E$500,"complaint")=0,10,0),0))</x:f>
      </x:c>
      <x:c r="R250" s="108" t="str">
        <x:f>IF($A250="","",IF($J250="inactive","inactive",IF($J250="at_risk","at_risk",IF($Q250&gt;=85,"vip",IF($Q250&gt;=70,"loyal",IF($Q250&gt;=50,"active",IF($N250=0,"new","needs_attention")))))))</x:f>
      </x:c>
      <x:c r="S250" s="19"/>
      <x:c r="T250" s="18"/>
      <x:c r="U250" s="19"/>
      <x:c r="V250" s="20"/>
      <x:c r="W250" s="26"/>
      <x:c r="X250" s="19"/>
      <x:c r="Y250" s="26"/>
      <x:c r="Z250" s="19"/>
      <x:c r="AA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20"/>
      <x:c r="J251" s="19"/>
      <x:c r="K251" s="19"/>
      <x:c r="L251" s="92" t="str">
        <x:f>IF($A251="","",IF(COUNTIFS('Orders'!$C$2:$C$500,$A251,'Orders'!$M$2:$M$500,"&lt;&gt;cancelled")=0,"",MAXIFS('Orders'!$G$2:$G$500,'Orders'!$C$2:$C$500,$A251,'Orders'!$M$2:$M$500,"&lt;&gt;cancelled")))</x:f>
      </x:c>
      <x:c r="M251" s="96" t="str">
        <x:f>IF($A251="","",SUMIFS('Orders'!$K$2:$K$500,'Orders'!$C$2:$C$500,$A251,'Orders'!$M$2:$M$500,"&lt;&gt;cancelled"))</x:f>
      </x:c>
      <x:c r="N251" s="96" t="str">
        <x:f>IF($A251="","",COUNTIFS('Orders'!$C$2:$C$500,$A251,'Orders'!$M$2:$M$500,"&lt;&gt;cancelled"))</x:f>
      </x:c>
      <x:c r="O251" s="100" t="str">
        <x:f>IF($A251="","",IF(COUNTIF('Interactions'!$B$2:$B$500,$A251)=0,"",MAXIFS('Interactions'!$G$2:$G$500,'Interactions'!$B$2:$B$500,$A251)))</x:f>
      </x:c>
      <x:c r="P251" s="100" t="str">
        <x:f>IF($A251="","",IF(COUNTIFS('FollowUps'!$B$2:$B$500,$A251,'FollowUps'!$H$2:$H$500,"open")=0,"",MINIFS('FollowUps'!$E$2:$E$500,'FollowUps'!$B$2:$B$500,$A251,'FollowUps'!$H$2:$H$500,"open")))</x:f>
      </x:c>
      <x:c r="Q251" s="104" t="str">
        <x:f>IF($A251="","",ROUND(MIN(25,$N251/VALUE(INDEX('Settings'!$B$2:$B$100,MATCH("score_purchase_target",'Settings'!$A$2:$A$100,0)))*25)+MIN(25,$M251/VALUE(INDEX('Settings'!$B$2:$B$100,MATCH("score_value_target",'Settings'!$A$2:$A$100,0)))*25)+IF($L251="",0,MAX(0,25-(TODAY()-$L251)/VALUE(INDEX('Settings'!$B$2:$B$100,MATCH("score_recency_days",'Settings'!$A$2:$A$100,0)))*25))+MIN(15,COUNTIFS('FollowUps'!$B$2:$B$500,$A251,'FollowUps'!$H$2:$H$500,"done")/VALUE(INDEX('Settings'!$B$2:$B$100,MATCH("score_response_target",'Settings'!$A$2:$A$100,0)))*15)+IF(COUNTIFS('Interactions'!$B$2:$B$500,$A251,'Interactions'!$E$2:$E$500,"complaint")=0,10,0),0))</x:f>
      </x:c>
      <x:c r="R251" s="108" t="str">
        <x:f>IF($A251="","",IF($J251="inactive","inactive",IF($J251="at_risk","at_risk",IF($Q251&gt;=85,"vip",IF($Q251&gt;=70,"loyal",IF($Q251&gt;=50,"active",IF($N251=0,"new","needs_attention")))))))</x:f>
      </x:c>
      <x:c r="S251" s="19"/>
      <x:c r="T251" s="18"/>
      <x:c r="U251" s="19"/>
      <x:c r="V251" s="20"/>
      <x:c r="W251" s="26"/>
      <x:c r="X251" s="19"/>
      <x:c r="Y251" s="26"/>
      <x:c r="Z251" s="19"/>
      <x:c r="AA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20"/>
      <x:c r="J252" s="19"/>
      <x:c r="K252" s="19"/>
      <x:c r="L252" s="92" t="str">
        <x:f>IF($A252="","",IF(COUNTIFS('Orders'!$C$2:$C$500,$A252,'Orders'!$M$2:$M$500,"&lt;&gt;cancelled")=0,"",MAXIFS('Orders'!$G$2:$G$500,'Orders'!$C$2:$C$500,$A252,'Orders'!$M$2:$M$500,"&lt;&gt;cancelled")))</x:f>
      </x:c>
      <x:c r="M252" s="96" t="str">
        <x:f>IF($A252="","",SUMIFS('Orders'!$K$2:$K$500,'Orders'!$C$2:$C$500,$A252,'Orders'!$M$2:$M$500,"&lt;&gt;cancelled"))</x:f>
      </x:c>
      <x:c r="N252" s="96" t="str">
        <x:f>IF($A252="","",COUNTIFS('Orders'!$C$2:$C$500,$A252,'Orders'!$M$2:$M$500,"&lt;&gt;cancelled"))</x:f>
      </x:c>
      <x:c r="O252" s="100" t="str">
        <x:f>IF($A252="","",IF(COUNTIF('Interactions'!$B$2:$B$500,$A252)=0,"",MAXIFS('Interactions'!$G$2:$G$500,'Interactions'!$B$2:$B$500,$A252)))</x:f>
      </x:c>
      <x:c r="P252" s="100" t="str">
        <x:f>IF($A252="","",IF(COUNTIFS('FollowUps'!$B$2:$B$500,$A252,'FollowUps'!$H$2:$H$500,"open")=0,"",MINIFS('FollowUps'!$E$2:$E$500,'FollowUps'!$B$2:$B$500,$A252,'FollowUps'!$H$2:$H$500,"open")))</x:f>
      </x:c>
      <x:c r="Q252" s="104" t="str">
        <x:f>IF($A252="","",ROUND(MIN(25,$N252/VALUE(INDEX('Settings'!$B$2:$B$100,MATCH("score_purchase_target",'Settings'!$A$2:$A$100,0)))*25)+MIN(25,$M252/VALUE(INDEX('Settings'!$B$2:$B$100,MATCH("score_value_target",'Settings'!$A$2:$A$100,0)))*25)+IF($L252="",0,MAX(0,25-(TODAY()-$L252)/VALUE(INDEX('Settings'!$B$2:$B$100,MATCH("score_recency_days",'Settings'!$A$2:$A$100,0)))*25))+MIN(15,COUNTIFS('FollowUps'!$B$2:$B$500,$A252,'FollowUps'!$H$2:$H$500,"done")/VALUE(INDEX('Settings'!$B$2:$B$100,MATCH("score_response_target",'Settings'!$A$2:$A$100,0)))*15)+IF(COUNTIFS('Interactions'!$B$2:$B$500,$A252,'Interactions'!$E$2:$E$500,"complaint")=0,10,0),0))</x:f>
      </x:c>
      <x:c r="R252" s="108" t="str">
        <x:f>IF($A252="","",IF($J252="inactive","inactive",IF($J252="at_risk","at_risk",IF($Q252&gt;=85,"vip",IF($Q252&gt;=70,"loyal",IF($Q252&gt;=50,"active",IF($N252=0,"new","needs_attention")))))))</x:f>
      </x:c>
      <x:c r="S252" s="19"/>
      <x:c r="T252" s="18"/>
      <x:c r="U252" s="19"/>
      <x:c r="V252" s="20"/>
      <x:c r="W252" s="26"/>
      <x:c r="X252" s="19"/>
      <x:c r="Y252" s="26"/>
      <x:c r="Z252" s="19"/>
      <x:c r="AA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20"/>
      <x:c r="J253" s="19"/>
      <x:c r="K253" s="19"/>
      <x:c r="L253" s="92" t="str">
        <x:f>IF($A253="","",IF(COUNTIFS('Orders'!$C$2:$C$500,$A253,'Orders'!$M$2:$M$500,"&lt;&gt;cancelled")=0,"",MAXIFS('Orders'!$G$2:$G$500,'Orders'!$C$2:$C$500,$A253,'Orders'!$M$2:$M$500,"&lt;&gt;cancelled")))</x:f>
      </x:c>
      <x:c r="M253" s="96" t="str">
        <x:f>IF($A253="","",SUMIFS('Orders'!$K$2:$K$500,'Orders'!$C$2:$C$500,$A253,'Orders'!$M$2:$M$500,"&lt;&gt;cancelled"))</x:f>
      </x:c>
      <x:c r="N253" s="96" t="str">
        <x:f>IF($A253="","",COUNTIFS('Orders'!$C$2:$C$500,$A253,'Orders'!$M$2:$M$500,"&lt;&gt;cancelled"))</x:f>
      </x:c>
      <x:c r="O253" s="100" t="str">
        <x:f>IF($A253="","",IF(COUNTIF('Interactions'!$B$2:$B$500,$A253)=0,"",MAXIFS('Interactions'!$G$2:$G$500,'Interactions'!$B$2:$B$500,$A253)))</x:f>
      </x:c>
      <x:c r="P253" s="100" t="str">
        <x:f>IF($A253="","",IF(COUNTIFS('FollowUps'!$B$2:$B$500,$A253,'FollowUps'!$H$2:$H$500,"open")=0,"",MINIFS('FollowUps'!$E$2:$E$500,'FollowUps'!$B$2:$B$500,$A253,'FollowUps'!$H$2:$H$500,"open")))</x:f>
      </x:c>
      <x:c r="Q253" s="104" t="str">
        <x:f>IF($A253="","",ROUND(MIN(25,$N253/VALUE(INDEX('Settings'!$B$2:$B$100,MATCH("score_purchase_target",'Settings'!$A$2:$A$100,0)))*25)+MIN(25,$M253/VALUE(INDEX('Settings'!$B$2:$B$100,MATCH("score_value_target",'Settings'!$A$2:$A$100,0)))*25)+IF($L253="",0,MAX(0,25-(TODAY()-$L253)/VALUE(INDEX('Settings'!$B$2:$B$100,MATCH("score_recency_days",'Settings'!$A$2:$A$100,0)))*25))+MIN(15,COUNTIFS('FollowUps'!$B$2:$B$500,$A253,'FollowUps'!$H$2:$H$500,"done")/VALUE(INDEX('Settings'!$B$2:$B$100,MATCH("score_response_target",'Settings'!$A$2:$A$100,0)))*15)+IF(COUNTIFS('Interactions'!$B$2:$B$500,$A253,'Interactions'!$E$2:$E$500,"complaint")=0,10,0),0))</x:f>
      </x:c>
      <x:c r="R253" s="108" t="str">
        <x:f>IF($A253="","",IF($J253="inactive","inactive",IF($J253="at_risk","at_risk",IF($Q253&gt;=85,"vip",IF($Q253&gt;=70,"loyal",IF($Q253&gt;=50,"active",IF($N253=0,"new","needs_attention")))))))</x:f>
      </x:c>
      <x:c r="S253" s="19"/>
      <x:c r="T253" s="18"/>
      <x:c r="U253" s="19"/>
      <x:c r="V253" s="20"/>
      <x:c r="W253" s="26"/>
      <x:c r="X253" s="19"/>
      <x:c r="Y253" s="26"/>
      <x:c r="Z253" s="19"/>
      <x:c r="AA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20"/>
      <x:c r="J254" s="19"/>
      <x:c r="K254" s="19"/>
      <x:c r="L254" s="92" t="str">
        <x:f>IF($A254="","",IF(COUNTIFS('Orders'!$C$2:$C$500,$A254,'Orders'!$M$2:$M$500,"&lt;&gt;cancelled")=0,"",MAXIFS('Orders'!$G$2:$G$500,'Orders'!$C$2:$C$500,$A254,'Orders'!$M$2:$M$500,"&lt;&gt;cancelled")))</x:f>
      </x:c>
      <x:c r="M254" s="96" t="str">
        <x:f>IF($A254="","",SUMIFS('Orders'!$K$2:$K$500,'Orders'!$C$2:$C$500,$A254,'Orders'!$M$2:$M$500,"&lt;&gt;cancelled"))</x:f>
      </x:c>
      <x:c r="N254" s="96" t="str">
        <x:f>IF($A254="","",COUNTIFS('Orders'!$C$2:$C$500,$A254,'Orders'!$M$2:$M$500,"&lt;&gt;cancelled"))</x:f>
      </x:c>
      <x:c r="O254" s="100" t="str">
        <x:f>IF($A254="","",IF(COUNTIF('Interactions'!$B$2:$B$500,$A254)=0,"",MAXIFS('Interactions'!$G$2:$G$500,'Interactions'!$B$2:$B$500,$A254)))</x:f>
      </x:c>
      <x:c r="P254" s="100" t="str">
        <x:f>IF($A254="","",IF(COUNTIFS('FollowUps'!$B$2:$B$500,$A254,'FollowUps'!$H$2:$H$500,"open")=0,"",MINIFS('FollowUps'!$E$2:$E$500,'FollowUps'!$B$2:$B$500,$A254,'FollowUps'!$H$2:$H$500,"open")))</x:f>
      </x:c>
      <x:c r="Q254" s="104" t="str">
        <x:f>IF($A254="","",ROUND(MIN(25,$N254/VALUE(INDEX('Settings'!$B$2:$B$100,MATCH("score_purchase_target",'Settings'!$A$2:$A$100,0)))*25)+MIN(25,$M254/VALUE(INDEX('Settings'!$B$2:$B$100,MATCH("score_value_target",'Settings'!$A$2:$A$100,0)))*25)+IF($L254="",0,MAX(0,25-(TODAY()-$L254)/VALUE(INDEX('Settings'!$B$2:$B$100,MATCH("score_recency_days",'Settings'!$A$2:$A$100,0)))*25))+MIN(15,COUNTIFS('FollowUps'!$B$2:$B$500,$A254,'FollowUps'!$H$2:$H$500,"done")/VALUE(INDEX('Settings'!$B$2:$B$100,MATCH("score_response_target",'Settings'!$A$2:$A$100,0)))*15)+IF(COUNTIFS('Interactions'!$B$2:$B$500,$A254,'Interactions'!$E$2:$E$500,"complaint")=0,10,0),0))</x:f>
      </x:c>
      <x:c r="R254" s="108" t="str">
        <x:f>IF($A254="","",IF($J254="inactive","inactive",IF($J254="at_risk","at_risk",IF($Q254&gt;=85,"vip",IF($Q254&gt;=70,"loyal",IF($Q254&gt;=50,"active",IF($N254=0,"new","needs_attention")))))))</x:f>
      </x:c>
      <x:c r="S254" s="19"/>
      <x:c r="T254" s="18"/>
      <x:c r="U254" s="19"/>
      <x:c r="V254" s="20"/>
      <x:c r="W254" s="26"/>
      <x:c r="X254" s="19"/>
      <x:c r="Y254" s="26"/>
      <x:c r="Z254" s="19"/>
      <x:c r="AA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20"/>
      <x:c r="J255" s="19"/>
      <x:c r="K255" s="19"/>
      <x:c r="L255" s="92" t="str">
        <x:f>IF($A255="","",IF(COUNTIFS('Orders'!$C$2:$C$500,$A255,'Orders'!$M$2:$M$500,"&lt;&gt;cancelled")=0,"",MAXIFS('Orders'!$G$2:$G$500,'Orders'!$C$2:$C$500,$A255,'Orders'!$M$2:$M$500,"&lt;&gt;cancelled")))</x:f>
      </x:c>
      <x:c r="M255" s="96" t="str">
        <x:f>IF($A255="","",SUMIFS('Orders'!$K$2:$K$500,'Orders'!$C$2:$C$500,$A255,'Orders'!$M$2:$M$500,"&lt;&gt;cancelled"))</x:f>
      </x:c>
      <x:c r="N255" s="96" t="str">
        <x:f>IF($A255="","",COUNTIFS('Orders'!$C$2:$C$500,$A255,'Orders'!$M$2:$M$500,"&lt;&gt;cancelled"))</x:f>
      </x:c>
      <x:c r="O255" s="100" t="str">
        <x:f>IF($A255="","",IF(COUNTIF('Interactions'!$B$2:$B$500,$A255)=0,"",MAXIFS('Interactions'!$G$2:$G$500,'Interactions'!$B$2:$B$500,$A255)))</x:f>
      </x:c>
      <x:c r="P255" s="100" t="str">
        <x:f>IF($A255="","",IF(COUNTIFS('FollowUps'!$B$2:$B$500,$A255,'FollowUps'!$H$2:$H$500,"open")=0,"",MINIFS('FollowUps'!$E$2:$E$500,'FollowUps'!$B$2:$B$500,$A255,'FollowUps'!$H$2:$H$500,"open")))</x:f>
      </x:c>
      <x:c r="Q255" s="104" t="str">
        <x:f>IF($A255="","",ROUND(MIN(25,$N255/VALUE(INDEX('Settings'!$B$2:$B$100,MATCH("score_purchase_target",'Settings'!$A$2:$A$100,0)))*25)+MIN(25,$M255/VALUE(INDEX('Settings'!$B$2:$B$100,MATCH("score_value_target",'Settings'!$A$2:$A$100,0)))*25)+IF($L255="",0,MAX(0,25-(TODAY()-$L255)/VALUE(INDEX('Settings'!$B$2:$B$100,MATCH("score_recency_days",'Settings'!$A$2:$A$100,0)))*25))+MIN(15,COUNTIFS('FollowUps'!$B$2:$B$500,$A255,'FollowUps'!$H$2:$H$500,"done")/VALUE(INDEX('Settings'!$B$2:$B$100,MATCH("score_response_target",'Settings'!$A$2:$A$100,0)))*15)+IF(COUNTIFS('Interactions'!$B$2:$B$500,$A255,'Interactions'!$E$2:$E$500,"complaint")=0,10,0),0))</x:f>
      </x:c>
      <x:c r="R255" s="108" t="str">
        <x:f>IF($A255="","",IF($J255="inactive","inactive",IF($J255="at_risk","at_risk",IF($Q255&gt;=85,"vip",IF($Q255&gt;=70,"loyal",IF($Q255&gt;=50,"active",IF($N255=0,"new","needs_attention")))))))</x:f>
      </x:c>
      <x:c r="S255" s="19"/>
      <x:c r="T255" s="18"/>
      <x:c r="U255" s="19"/>
      <x:c r="V255" s="20"/>
      <x:c r="W255" s="26"/>
      <x:c r="X255" s="19"/>
      <x:c r="Y255" s="26"/>
      <x:c r="Z255" s="19"/>
      <x:c r="AA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20"/>
      <x:c r="J256" s="19"/>
      <x:c r="K256" s="19"/>
      <x:c r="L256" s="92" t="str">
        <x:f>IF($A256="","",IF(COUNTIFS('Orders'!$C$2:$C$500,$A256,'Orders'!$M$2:$M$500,"&lt;&gt;cancelled")=0,"",MAXIFS('Orders'!$G$2:$G$500,'Orders'!$C$2:$C$500,$A256,'Orders'!$M$2:$M$500,"&lt;&gt;cancelled")))</x:f>
      </x:c>
      <x:c r="M256" s="96" t="str">
        <x:f>IF($A256="","",SUMIFS('Orders'!$K$2:$K$500,'Orders'!$C$2:$C$500,$A256,'Orders'!$M$2:$M$500,"&lt;&gt;cancelled"))</x:f>
      </x:c>
      <x:c r="N256" s="96" t="str">
        <x:f>IF($A256="","",COUNTIFS('Orders'!$C$2:$C$500,$A256,'Orders'!$M$2:$M$500,"&lt;&gt;cancelled"))</x:f>
      </x:c>
      <x:c r="O256" s="100" t="str">
        <x:f>IF($A256="","",IF(COUNTIF('Interactions'!$B$2:$B$500,$A256)=0,"",MAXIFS('Interactions'!$G$2:$G$500,'Interactions'!$B$2:$B$500,$A256)))</x:f>
      </x:c>
      <x:c r="P256" s="100" t="str">
        <x:f>IF($A256="","",IF(COUNTIFS('FollowUps'!$B$2:$B$500,$A256,'FollowUps'!$H$2:$H$500,"open")=0,"",MINIFS('FollowUps'!$E$2:$E$500,'FollowUps'!$B$2:$B$500,$A256,'FollowUps'!$H$2:$H$500,"open")))</x:f>
      </x:c>
      <x:c r="Q256" s="104" t="str">
        <x:f>IF($A256="","",ROUND(MIN(25,$N256/VALUE(INDEX('Settings'!$B$2:$B$100,MATCH("score_purchase_target",'Settings'!$A$2:$A$100,0)))*25)+MIN(25,$M256/VALUE(INDEX('Settings'!$B$2:$B$100,MATCH("score_value_target",'Settings'!$A$2:$A$100,0)))*25)+IF($L256="",0,MAX(0,25-(TODAY()-$L256)/VALUE(INDEX('Settings'!$B$2:$B$100,MATCH("score_recency_days",'Settings'!$A$2:$A$100,0)))*25))+MIN(15,COUNTIFS('FollowUps'!$B$2:$B$500,$A256,'FollowUps'!$H$2:$H$500,"done")/VALUE(INDEX('Settings'!$B$2:$B$100,MATCH("score_response_target",'Settings'!$A$2:$A$100,0)))*15)+IF(COUNTIFS('Interactions'!$B$2:$B$500,$A256,'Interactions'!$E$2:$E$500,"complaint")=0,10,0),0))</x:f>
      </x:c>
      <x:c r="R256" s="108" t="str">
        <x:f>IF($A256="","",IF($J256="inactive","inactive",IF($J256="at_risk","at_risk",IF($Q256&gt;=85,"vip",IF($Q256&gt;=70,"loyal",IF($Q256&gt;=50,"active",IF($N256=0,"new","needs_attention")))))))</x:f>
      </x:c>
      <x:c r="S256" s="19"/>
      <x:c r="T256" s="18"/>
      <x:c r="U256" s="19"/>
      <x:c r="V256" s="20"/>
      <x:c r="W256" s="26"/>
      <x:c r="X256" s="19"/>
      <x:c r="Y256" s="26"/>
      <x:c r="Z256" s="19"/>
      <x:c r="AA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20"/>
      <x:c r="J257" s="19"/>
      <x:c r="K257" s="19"/>
      <x:c r="L257" s="92" t="str">
        <x:f>IF($A257="","",IF(COUNTIFS('Orders'!$C$2:$C$500,$A257,'Orders'!$M$2:$M$500,"&lt;&gt;cancelled")=0,"",MAXIFS('Orders'!$G$2:$G$500,'Orders'!$C$2:$C$500,$A257,'Orders'!$M$2:$M$500,"&lt;&gt;cancelled")))</x:f>
      </x:c>
      <x:c r="M257" s="96" t="str">
        <x:f>IF($A257="","",SUMIFS('Orders'!$K$2:$K$500,'Orders'!$C$2:$C$500,$A257,'Orders'!$M$2:$M$500,"&lt;&gt;cancelled"))</x:f>
      </x:c>
      <x:c r="N257" s="96" t="str">
        <x:f>IF($A257="","",COUNTIFS('Orders'!$C$2:$C$500,$A257,'Orders'!$M$2:$M$500,"&lt;&gt;cancelled"))</x:f>
      </x:c>
      <x:c r="O257" s="100" t="str">
        <x:f>IF($A257="","",IF(COUNTIF('Interactions'!$B$2:$B$500,$A257)=0,"",MAXIFS('Interactions'!$G$2:$G$500,'Interactions'!$B$2:$B$500,$A257)))</x:f>
      </x:c>
      <x:c r="P257" s="100" t="str">
        <x:f>IF($A257="","",IF(COUNTIFS('FollowUps'!$B$2:$B$500,$A257,'FollowUps'!$H$2:$H$500,"open")=0,"",MINIFS('FollowUps'!$E$2:$E$500,'FollowUps'!$B$2:$B$500,$A257,'FollowUps'!$H$2:$H$500,"open")))</x:f>
      </x:c>
      <x:c r="Q257" s="104" t="str">
        <x:f>IF($A257="","",ROUND(MIN(25,$N257/VALUE(INDEX('Settings'!$B$2:$B$100,MATCH("score_purchase_target",'Settings'!$A$2:$A$100,0)))*25)+MIN(25,$M257/VALUE(INDEX('Settings'!$B$2:$B$100,MATCH("score_value_target",'Settings'!$A$2:$A$100,0)))*25)+IF($L257="",0,MAX(0,25-(TODAY()-$L257)/VALUE(INDEX('Settings'!$B$2:$B$100,MATCH("score_recency_days",'Settings'!$A$2:$A$100,0)))*25))+MIN(15,COUNTIFS('FollowUps'!$B$2:$B$500,$A257,'FollowUps'!$H$2:$H$500,"done")/VALUE(INDEX('Settings'!$B$2:$B$100,MATCH("score_response_target",'Settings'!$A$2:$A$100,0)))*15)+IF(COUNTIFS('Interactions'!$B$2:$B$500,$A257,'Interactions'!$E$2:$E$500,"complaint")=0,10,0),0))</x:f>
      </x:c>
      <x:c r="R257" s="108" t="str">
        <x:f>IF($A257="","",IF($J257="inactive","inactive",IF($J257="at_risk","at_risk",IF($Q257&gt;=85,"vip",IF($Q257&gt;=70,"loyal",IF($Q257&gt;=50,"active",IF($N257=0,"new","needs_attention")))))))</x:f>
      </x:c>
      <x:c r="S257" s="19"/>
      <x:c r="T257" s="18"/>
      <x:c r="U257" s="19"/>
      <x:c r="V257" s="20"/>
      <x:c r="W257" s="26"/>
      <x:c r="X257" s="19"/>
      <x:c r="Y257" s="26"/>
      <x:c r="Z257" s="19"/>
      <x:c r="AA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20"/>
      <x:c r="J258" s="19"/>
      <x:c r="K258" s="19"/>
      <x:c r="L258" s="92" t="str">
        <x:f>IF($A258="","",IF(COUNTIFS('Orders'!$C$2:$C$500,$A258,'Orders'!$M$2:$M$500,"&lt;&gt;cancelled")=0,"",MAXIFS('Orders'!$G$2:$G$500,'Orders'!$C$2:$C$500,$A258,'Orders'!$M$2:$M$500,"&lt;&gt;cancelled")))</x:f>
      </x:c>
      <x:c r="M258" s="96" t="str">
        <x:f>IF($A258="","",SUMIFS('Orders'!$K$2:$K$500,'Orders'!$C$2:$C$500,$A258,'Orders'!$M$2:$M$500,"&lt;&gt;cancelled"))</x:f>
      </x:c>
      <x:c r="N258" s="96" t="str">
        <x:f>IF($A258="","",COUNTIFS('Orders'!$C$2:$C$500,$A258,'Orders'!$M$2:$M$500,"&lt;&gt;cancelled"))</x:f>
      </x:c>
      <x:c r="O258" s="100" t="str">
        <x:f>IF($A258="","",IF(COUNTIF('Interactions'!$B$2:$B$500,$A258)=0,"",MAXIFS('Interactions'!$G$2:$G$500,'Interactions'!$B$2:$B$500,$A258)))</x:f>
      </x:c>
      <x:c r="P258" s="100" t="str">
        <x:f>IF($A258="","",IF(COUNTIFS('FollowUps'!$B$2:$B$500,$A258,'FollowUps'!$H$2:$H$500,"open")=0,"",MINIFS('FollowUps'!$E$2:$E$500,'FollowUps'!$B$2:$B$500,$A258,'FollowUps'!$H$2:$H$500,"open")))</x:f>
      </x:c>
      <x:c r="Q258" s="104" t="str">
        <x:f>IF($A258="","",ROUND(MIN(25,$N258/VALUE(INDEX('Settings'!$B$2:$B$100,MATCH("score_purchase_target",'Settings'!$A$2:$A$100,0)))*25)+MIN(25,$M258/VALUE(INDEX('Settings'!$B$2:$B$100,MATCH("score_value_target",'Settings'!$A$2:$A$100,0)))*25)+IF($L258="",0,MAX(0,25-(TODAY()-$L258)/VALUE(INDEX('Settings'!$B$2:$B$100,MATCH("score_recency_days",'Settings'!$A$2:$A$100,0)))*25))+MIN(15,COUNTIFS('FollowUps'!$B$2:$B$500,$A258,'FollowUps'!$H$2:$H$500,"done")/VALUE(INDEX('Settings'!$B$2:$B$100,MATCH("score_response_target",'Settings'!$A$2:$A$100,0)))*15)+IF(COUNTIFS('Interactions'!$B$2:$B$500,$A258,'Interactions'!$E$2:$E$500,"complaint")=0,10,0),0))</x:f>
      </x:c>
      <x:c r="R258" s="108" t="str">
        <x:f>IF($A258="","",IF($J258="inactive","inactive",IF($J258="at_risk","at_risk",IF($Q258&gt;=85,"vip",IF($Q258&gt;=70,"loyal",IF($Q258&gt;=50,"active",IF($N258=0,"new","needs_attention")))))))</x:f>
      </x:c>
      <x:c r="S258" s="19"/>
      <x:c r="T258" s="18"/>
      <x:c r="U258" s="19"/>
      <x:c r="V258" s="20"/>
      <x:c r="W258" s="26"/>
      <x:c r="X258" s="19"/>
      <x:c r="Y258" s="26"/>
      <x:c r="Z258" s="19"/>
      <x:c r="AA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20"/>
      <x:c r="J259" s="19"/>
      <x:c r="K259" s="19"/>
      <x:c r="L259" s="92" t="str">
        <x:f>IF($A259="","",IF(COUNTIFS('Orders'!$C$2:$C$500,$A259,'Orders'!$M$2:$M$500,"&lt;&gt;cancelled")=0,"",MAXIFS('Orders'!$G$2:$G$500,'Orders'!$C$2:$C$500,$A259,'Orders'!$M$2:$M$500,"&lt;&gt;cancelled")))</x:f>
      </x:c>
      <x:c r="M259" s="96" t="str">
        <x:f>IF($A259="","",SUMIFS('Orders'!$K$2:$K$500,'Orders'!$C$2:$C$500,$A259,'Orders'!$M$2:$M$500,"&lt;&gt;cancelled"))</x:f>
      </x:c>
      <x:c r="N259" s="96" t="str">
        <x:f>IF($A259="","",COUNTIFS('Orders'!$C$2:$C$500,$A259,'Orders'!$M$2:$M$500,"&lt;&gt;cancelled"))</x:f>
      </x:c>
      <x:c r="O259" s="100" t="str">
        <x:f>IF($A259="","",IF(COUNTIF('Interactions'!$B$2:$B$500,$A259)=0,"",MAXIFS('Interactions'!$G$2:$G$500,'Interactions'!$B$2:$B$500,$A259)))</x:f>
      </x:c>
      <x:c r="P259" s="100" t="str">
        <x:f>IF($A259="","",IF(COUNTIFS('FollowUps'!$B$2:$B$500,$A259,'FollowUps'!$H$2:$H$500,"open")=0,"",MINIFS('FollowUps'!$E$2:$E$500,'FollowUps'!$B$2:$B$500,$A259,'FollowUps'!$H$2:$H$500,"open")))</x:f>
      </x:c>
      <x:c r="Q259" s="104" t="str">
        <x:f>IF($A259="","",ROUND(MIN(25,$N259/VALUE(INDEX('Settings'!$B$2:$B$100,MATCH("score_purchase_target",'Settings'!$A$2:$A$100,0)))*25)+MIN(25,$M259/VALUE(INDEX('Settings'!$B$2:$B$100,MATCH("score_value_target",'Settings'!$A$2:$A$100,0)))*25)+IF($L259="",0,MAX(0,25-(TODAY()-$L259)/VALUE(INDEX('Settings'!$B$2:$B$100,MATCH("score_recency_days",'Settings'!$A$2:$A$100,0)))*25))+MIN(15,COUNTIFS('FollowUps'!$B$2:$B$500,$A259,'FollowUps'!$H$2:$H$500,"done")/VALUE(INDEX('Settings'!$B$2:$B$100,MATCH("score_response_target",'Settings'!$A$2:$A$100,0)))*15)+IF(COUNTIFS('Interactions'!$B$2:$B$500,$A259,'Interactions'!$E$2:$E$500,"complaint")=0,10,0),0))</x:f>
      </x:c>
      <x:c r="R259" s="108" t="str">
        <x:f>IF($A259="","",IF($J259="inactive","inactive",IF($J259="at_risk","at_risk",IF($Q259&gt;=85,"vip",IF($Q259&gt;=70,"loyal",IF($Q259&gt;=50,"active",IF($N259=0,"new","needs_attention")))))))</x:f>
      </x:c>
      <x:c r="S259" s="19"/>
      <x:c r="T259" s="18"/>
      <x:c r="U259" s="19"/>
      <x:c r="V259" s="20"/>
      <x:c r="W259" s="26"/>
      <x:c r="X259" s="19"/>
      <x:c r="Y259" s="26"/>
      <x:c r="Z259" s="19"/>
      <x:c r="AA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20"/>
      <x:c r="J260" s="19"/>
      <x:c r="K260" s="19"/>
      <x:c r="L260" s="92" t="str">
        <x:f>IF($A260="","",IF(COUNTIFS('Orders'!$C$2:$C$500,$A260,'Orders'!$M$2:$M$500,"&lt;&gt;cancelled")=0,"",MAXIFS('Orders'!$G$2:$G$500,'Orders'!$C$2:$C$500,$A260,'Orders'!$M$2:$M$500,"&lt;&gt;cancelled")))</x:f>
      </x:c>
      <x:c r="M260" s="96" t="str">
        <x:f>IF($A260="","",SUMIFS('Orders'!$K$2:$K$500,'Orders'!$C$2:$C$500,$A260,'Orders'!$M$2:$M$500,"&lt;&gt;cancelled"))</x:f>
      </x:c>
      <x:c r="N260" s="96" t="str">
        <x:f>IF($A260="","",COUNTIFS('Orders'!$C$2:$C$500,$A260,'Orders'!$M$2:$M$500,"&lt;&gt;cancelled"))</x:f>
      </x:c>
      <x:c r="O260" s="100" t="str">
        <x:f>IF($A260="","",IF(COUNTIF('Interactions'!$B$2:$B$500,$A260)=0,"",MAXIFS('Interactions'!$G$2:$G$500,'Interactions'!$B$2:$B$500,$A260)))</x:f>
      </x:c>
      <x:c r="P260" s="100" t="str">
        <x:f>IF($A260="","",IF(COUNTIFS('FollowUps'!$B$2:$B$500,$A260,'FollowUps'!$H$2:$H$500,"open")=0,"",MINIFS('FollowUps'!$E$2:$E$500,'FollowUps'!$B$2:$B$500,$A260,'FollowUps'!$H$2:$H$500,"open")))</x:f>
      </x:c>
      <x:c r="Q260" s="104" t="str">
        <x:f>IF($A260="","",ROUND(MIN(25,$N260/VALUE(INDEX('Settings'!$B$2:$B$100,MATCH("score_purchase_target",'Settings'!$A$2:$A$100,0)))*25)+MIN(25,$M260/VALUE(INDEX('Settings'!$B$2:$B$100,MATCH("score_value_target",'Settings'!$A$2:$A$100,0)))*25)+IF($L260="",0,MAX(0,25-(TODAY()-$L260)/VALUE(INDEX('Settings'!$B$2:$B$100,MATCH("score_recency_days",'Settings'!$A$2:$A$100,0)))*25))+MIN(15,COUNTIFS('FollowUps'!$B$2:$B$500,$A260,'FollowUps'!$H$2:$H$500,"done")/VALUE(INDEX('Settings'!$B$2:$B$100,MATCH("score_response_target",'Settings'!$A$2:$A$100,0)))*15)+IF(COUNTIFS('Interactions'!$B$2:$B$500,$A260,'Interactions'!$E$2:$E$500,"complaint")=0,10,0),0))</x:f>
      </x:c>
      <x:c r="R260" s="108" t="str">
        <x:f>IF($A260="","",IF($J260="inactive","inactive",IF($J260="at_risk","at_risk",IF($Q260&gt;=85,"vip",IF($Q260&gt;=70,"loyal",IF($Q260&gt;=50,"active",IF($N260=0,"new","needs_attention")))))))</x:f>
      </x:c>
      <x:c r="S260" s="19"/>
      <x:c r="T260" s="18"/>
      <x:c r="U260" s="19"/>
      <x:c r="V260" s="20"/>
      <x:c r="W260" s="26"/>
      <x:c r="X260" s="19"/>
      <x:c r="Y260" s="26"/>
      <x:c r="Z260" s="19"/>
      <x:c r="AA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20"/>
      <x:c r="J261" s="19"/>
      <x:c r="K261" s="19"/>
      <x:c r="L261" s="92" t="str">
        <x:f>IF($A261="","",IF(COUNTIFS('Orders'!$C$2:$C$500,$A261,'Orders'!$M$2:$M$500,"&lt;&gt;cancelled")=0,"",MAXIFS('Orders'!$G$2:$G$500,'Orders'!$C$2:$C$500,$A261,'Orders'!$M$2:$M$500,"&lt;&gt;cancelled")))</x:f>
      </x:c>
      <x:c r="M261" s="96" t="str">
        <x:f>IF($A261="","",SUMIFS('Orders'!$K$2:$K$500,'Orders'!$C$2:$C$500,$A261,'Orders'!$M$2:$M$500,"&lt;&gt;cancelled"))</x:f>
      </x:c>
      <x:c r="N261" s="96" t="str">
        <x:f>IF($A261="","",COUNTIFS('Orders'!$C$2:$C$500,$A261,'Orders'!$M$2:$M$500,"&lt;&gt;cancelled"))</x:f>
      </x:c>
      <x:c r="O261" s="100" t="str">
        <x:f>IF($A261="","",IF(COUNTIF('Interactions'!$B$2:$B$500,$A261)=0,"",MAXIFS('Interactions'!$G$2:$G$500,'Interactions'!$B$2:$B$500,$A261)))</x:f>
      </x:c>
      <x:c r="P261" s="100" t="str">
        <x:f>IF($A261="","",IF(COUNTIFS('FollowUps'!$B$2:$B$500,$A261,'FollowUps'!$H$2:$H$500,"open")=0,"",MINIFS('FollowUps'!$E$2:$E$500,'FollowUps'!$B$2:$B$500,$A261,'FollowUps'!$H$2:$H$500,"open")))</x:f>
      </x:c>
      <x:c r="Q261" s="104" t="str">
        <x:f>IF($A261="","",ROUND(MIN(25,$N261/VALUE(INDEX('Settings'!$B$2:$B$100,MATCH("score_purchase_target",'Settings'!$A$2:$A$100,0)))*25)+MIN(25,$M261/VALUE(INDEX('Settings'!$B$2:$B$100,MATCH("score_value_target",'Settings'!$A$2:$A$100,0)))*25)+IF($L261="",0,MAX(0,25-(TODAY()-$L261)/VALUE(INDEX('Settings'!$B$2:$B$100,MATCH("score_recency_days",'Settings'!$A$2:$A$100,0)))*25))+MIN(15,COUNTIFS('FollowUps'!$B$2:$B$500,$A261,'FollowUps'!$H$2:$H$500,"done")/VALUE(INDEX('Settings'!$B$2:$B$100,MATCH("score_response_target",'Settings'!$A$2:$A$100,0)))*15)+IF(COUNTIFS('Interactions'!$B$2:$B$500,$A261,'Interactions'!$E$2:$E$500,"complaint")=0,10,0),0))</x:f>
      </x:c>
      <x:c r="R261" s="108" t="str">
        <x:f>IF($A261="","",IF($J261="inactive","inactive",IF($J261="at_risk","at_risk",IF($Q261&gt;=85,"vip",IF($Q261&gt;=70,"loyal",IF($Q261&gt;=50,"active",IF($N261=0,"new","needs_attention")))))))</x:f>
      </x:c>
      <x:c r="S261" s="19"/>
      <x:c r="T261" s="18"/>
      <x:c r="U261" s="19"/>
      <x:c r="V261" s="20"/>
      <x:c r="W261" s="26"/>
      <x:c r="X261" s="19"/>
      <x:c r="Y261" s="26"/>
      <x:c r="Z261" s="19"/>
      <x:c r="AA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20"/>
      <x:c r="J262" s="19"/>
      <x:c r="K262" s="19"/>
      <x:c r="L262" s="92" t="str">
        <x:f>IF($A262="","",IF(COUNTIFS('Orders'!$C$2:$C$500,$A262,'Orders'!$M$2:$M$500,"&lt;&gt;cancelled")=0,"",MAXIFS('Orders'!$G$2:$G$500,'Orders'!$C$2:$C$500,$A262,'Orders'!$M$2:$M$500,"&lt;&gt;cancelled")))</x:f>
      </x:c>
      <x:c r="M262" s="96" t="str">
        <x:f>IF($A262="","",SUMIFS('Orders'!$K$2:$K$500,'Orders'!$C$2:$C$500,$A262,'Orders'!$M$2:$M$500,"&lt;&gt;cancelled"))</x:f>
      </x:c>
      <x:c r="N262" s="96" t="str">
        <x:f>IF($A262="","",COUNTIFS('Orders'!$C$2:$C$500,$A262,'Orders'!$M$2:$M$500,"&lt;&gt;cancelled"))</x:f>
      </x:c>
      <x:c r="O262" s="100" t="str">
        <x:f>IF($A262="","",IF(COUNTIF('Interactions'!$B$2:$B$500,$A262)=0,"",MAXIFS('Interactions'!$G$2:$G$500,'Interactions'!$B$2:$B$500,$A262)))</x:f>
      </x:c>
      <x:c r="P262" s="100" t="str">
        <x:f>IF($A262="","",IF(COUNTIFS('FollowUps'!$B$2:$B$500,$A262,'FollowUps'!$H$2:$H$500,"open")=0,"",MINIFS('FollowUps'!$E$2:$E$500,'FollowUps'!$B$2:$B$500,$A262,'FollowUps'!$H$2:$H$500,"open")))</x:f>
      </x:c>
      <x:c r="Q262" s="104" t="str">
        <x:f>IF($A262="","",ROUND(MIN(25,$N262/VALUE(INDEX('Settings'!$B$2:$B$100,MATCH("score_purchase_target",'Settings'!$A$2:$A$100,0)))*25)+MIN(25,$M262/VALUE(INDEX('Settings'!$B$2:$B$100,MATCH("score_value_target",'Settings'!$A$2:$A$100,0)))*25)+IF($L262="",0,MAX(0,25-(TODAY()-$L262)/VALUE(INDEX('Settings'!$B$2:$B$100,MATCH("score_recency_days",'Settings'!$A$2:$A$100,0)))*25))+MIN(15,COUNTIFS('FollowUps'!$B$2:$B$500,$A262,'FollowUps'!$H$2:$H$500,"done")/VALUE(INDEX('Settings'!$B$2:$B$100,MATCH("score_response_target",'Settings'!$A$2:$A$100,0)))*15)+IF(COUNTIFS('Interactions'!$B$2:$B$500,$A262,'Interactions'!$E$2:$E$500,"complaint")=0,10,0),0))</x:f>
      </x:c>
      <x:c r="R262" s="108" t="str">
        <x:f>IF($A262="","",IF($J262="inactive","inactive",IF($J262="at_risk","at_risk",IF($Q262&gt;=85,"vip",IF($Q262&gt;=70,"loyal",IF($Q262&gt;=50,"active",IF($N262=0,"new","needs_attention")))))))</x:f>
      </x:c>
      <x:c r="S262" s="19"/>
      <x:c r="T262" s="18"/>
      <x:c r="U262" s="19"/>
      <x:c r="V262" s="20"/>
      <x:c r="W262" s="26"/>
      <x:c r="X262" s="19"/>
      <x:c r="Y262" s="26"/>
      <x:c r="Z262" s="19"/>
      <x:c r="AA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20"/>
      <x:c r="J263" s="19"/>
      <x:c r="K263" s="19"/>
      <x:c r="L263" s="92" t="str">
        <x:f>IF($A263="","",IF(COUNTIFS('Orders'!$C$2:$C$500,$A263,'Orders'!$M$2:$M$500,"&lt;&gt;cancelled")=0,"",MAXIFS('Orders'!$G$2:$G$500,'Orders'!$C$2:$C$500,$A263,'Orders'!$M$2:$M$500,"&lt;&gt;cancelled")))</x:f>
      </x:c>
      <x:c r="M263" s="96" t="str">
        <x:f>IF($A263="","",SUMIFS('Orders'!$K$2:$K$500,'Orders'!$C$2:$C$500,$A263,'Orders'!$M$2:$M$500,"&lt;&gt;cancelled"))</x:f>
      </x:c>
      <x:c r="N263" s="96" t="str">
        <x:f>IF($A263="","",COUNTIFS('Orders'!$C$2:$C$500,$A263,'Orders'!$M$2:$M$500,"&lt;&gt;cancelled"))</x:f>
      </x:c>
      <x:c r="O263" s="100" t="str">
        <x:f>IF($A263="","",IF(COUNTIF('Interactions'!$B$2:$B$500,$A263)=0,"",MAXIFS('Interactions'!$G$2:$G$500,'Interactions'!$B$2:$B$500,$A263)))</x:f>
      </x:c>
      <x:c r="P263" s="100" t="str">
        <x:f>IF($A263="","",IF(COUNTIFS('FollowUps'!$B$2:$B$500,$A263,'FollowUps'!$H$2:$H$500,"open")=0,"",MINIFS('FollowUps'!$E$2:$E$500,'FollowUps'!$B$2:$B$500,$A263,'FollowUps'!$H$2:$H$500,"open")))</x:f>
      </x:c>
      <x:c r="Q263" s="104" t="str">
        <x:f>IF($A263="","",ROUND(MIN(25,$N263/VALUE(INDEX('Settings'!$B$2:$B$100,MATCH("score_purchase_target",'Settings'!$A$2:$A$100,0)))*25)+MIN(25,$M263/VALUE(INDEX('Settings'!$B$2:$B$100,MATCH("score_value_target",'Settings'!$A$2:$A$100,0)))*25)+IF($L263="",0,MAX(0,25-(TODAY()-$L263)/VALUE(INDEX('Settings'!$B$2:$B$100,MATCH("score_recency_days",'Settings'!$A$2:$A$100,0)))*25))+MIN(15,COUNTIFS('FollowUps'!$B$2:$B$500,$A263,'FollowUps'!$H$2:$H$500,"done")/VALUE(INDEX('Settings'!$B$2:$B$100,MATCH("score_response_target",'Settings'!$A$2:$A$100,0)))*15)+IF(COUNTIFS('Interactions'!$B$2:$B$500,$A263,'Interactions'!$E$2:$E$500,"complaint")=0,10,0),0))</x:f>
      </x:c>
      <x:c r="R263" s="108" t="str">
        <x:f>IF($A263="","",IF($J263="inactive","inactive",IF($J263="at_risk","at_risk",IF($Q263&gt;=85,"vip",IF($Q263&gt;=70,"loyal",IF($Q263&gt;=50,"active",IF($N263=0,"new","needs_attention")))))))</x:f>
      </x:c>
      <x:c r="S263" s="19"/>
      <x:c r="T263" s="18"/>
      <x:c r="U263" s="19"/>
      <x:c r="V263" s="20"/>
      <x:c r="W263" s="26"/>
      <x:c r="X263" s="19"/>
      <x:c r="Y263" s="26"/>
      <x:c r="Z263" s="19"/>
      <x:c r="AA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20"/>
      <x:c r="J264" s="19"/>
      <x:c r="K264" s="19"/>
      <x:c r="L264" s="92" t="str">
        <x:f>IF($A264="","",IF(COUNTIFS('Orders'!$C$2:$C$500,$A264,'Orders'!$M$2:$M$500,"&lt;&gt;cancelled")=0,"",MAXIFS('Orders'!$G$2:$G$500,'Orders'!$C$2:$C$500,$A264,'Orders'!$M$2:$M$500,"&lt;&gt;cancelled")))</x:f>
      </x:c>
      <x:c r="M264" s="96" t="str">
        <x:f>IF($A264="","",SUMIFS('Orders'!$K$2:$K$500,'Orders'!$C$2:$C$500,$A264,'Orders'!$M$2:$M$500,"&lt;&gt;cancelled"))</x:f>
      </x:c>
      <x:c r="N264" s="96" t="str">
        <x:f>IF($A264="","",COUNTIFS('Orders'!$C$2:$C$500,$A264,'Orders'!$M$2:$M$500,"&lt;&gt;cancelled"))</x:f>
      </x:c>
      <x:c r="O264" s="100" t="str">
        <x:f>IF($A264="","",IF(COUNTIF('Interactions'!$B$2:$B$500,$A264)=0,"",MAXIFS('Interactions'!$G$2:$G$500,'Interactions'!$B$2:$B$500,$A264)))</x:f>
      </x:c>
      <x:c r="P264" s="100" t="str">
        <x:f>IF($A264="","",IF(COUNTIFS('FollowUps'!$B$2:$B$500,$A264,'FollowUps'!$H$2:$H$500,"open")=0,"",MINIFS('FollowUps'!$E$2:$E$500,'FollowUps'!$B$2:$B$500,$A264,'FollowUps'!$H$2:$H$500,"open")))</x:f>
      </x:c>
      <x:c r="Q264" s="104" t="str">
        <x:f>IF($A264="","",ROUND(MIN(25,$N264/VALUE(INDEX('Settings'!$B$2:$B$100,MATCH("score_purchase_target",'Settings'!$A$2:$A$100,0)))*25)+MIN(25,$M264/VALUE(INDEX('Settings'!$B$2:$B$100,MATCH("score_value_target",'Settings'!$A$2:$A$100,0)))*25)+IF($L264="",0,MAX(0,25-(TODAY()-$L264)/VALUE(INDEX('Settings'!$B$2:$B$100,MATCH("score_recency_days",'Settings'!$A$2:$A$100,0)))*25))+MIN(15,COUNTIFS('FollowUps'!$B$2:$B$500,$A264,'FollowUps'!$H$2:$H$500,"done")/VALUE(INDEX('Settings'!$B$2:$B$100,MATCH("score_response_target",'Settings'!$A$2:$A$100,0)))*15)+IF(COUNTIFS('Interactions'!$B$2:$B$500,$A264,'Interactions'!$E$2:$E$500,"complaint")=0,10,0),0))</x:f>
      </x:c>
      <x:c r="R264" s="108" t="str">
        <x:f>IF($A264="","",IF($J264="inactive","inactive",IF($J264="at_risk","at_risk",IF($Q264&gt;=85,"vip",IF($Q264&gt;=70,"loyal",IF($Q264&gt;=50,"active",IF($N264=0,"new","needs_attention")))))))</x:f>
      </x:c>
      <x:c r="S264" s="19"/>
      <x:c r="T264" s="18"/>
      <x:c r="U264" s="19"/>
      <x:c r="V264" s="20"/>
      <x:c r="W264" s="26"/>
      <x:c r="X264" s="19"/>
      <x:c r="Y264" s="26"/>
      <x:c r="Z264" s="19"/>
      <x:c r="AA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20"/>
      <x:c r="J265" s="19"/>
      <x:c r="K265" s="19"/>
      <x:c r="L265" s="92" t="str">
        <x:f>IF($A265="","",IF(COUNTIFS('Orders'!$C$2:$C$500,$A265,'Orders'!$M$2:$M$500,"&lt;&gt;cancelled")=0,"",MAXIFS('Orders'!$G$2:$G$500,'Orders'!$C$2:$C$500,$A265,'Orders'!$M$2:$M$500,"&lt;&gt;cancelled")))</x:f>
      </x:c>
      <x:c r="M265" s="96" t="str">
        <x:f>IF($A265="","",SUMIFS('Orders'!$K$2:$K$500,'Orders'!$C$2:$C$500,$A265,'Orders'!$M$2:$M$500,"&lt;&gt;cancelled"))</x:f>
      </x:c>
      <x:c r="N265" s="96" t="str">
        <x:f>IF($A265="","",COUNTIFS('Orders'!$C$2:$C$500,$A265,'Orders'!$M$2:$M$500,"&lt;&gt;cancelled"))</x:f>
      </x:c>
      <x:c r="O265" s="100" t="str">
        <x:f>IF($A265="","",IF(COUNTIF('Interactions'!$B$2:$B$500,$A265)=0,"",MAXIFS('Interactions'!$G$2:$G$500,'Interactions'!$B$2:$B$500,$A265)))</x:f>
      </x:c>
      <x:c r="P265" s="100" t="str">
        <x:f>IF($A265="","",IF(COUNTIFS('FollowUps'!$B$2:$B$500,$A265,'FollowUps'!$H$2:$H$500,"open")=0,"",MINIFS('FollowUps'!$E$2:$E$500,'FollowUps'!$B$2:$B$500,$A265,'FollowUps'!$H$2:$H$500,"open")))</x:f>
      </x:c>
      <x:c r="Q265" s="104" t="str">
        <x:f>IF($A265="","",ROUND(MIN(25,$N265/VALUE(INDEX('Settings'!$B$2:$B$100,MATCH("score_purchase_target",'Settings'!$A$2:$A$100,0)))*25)+MIN(25,$M265/VALUE(INDEX('Settings'!$B$2:$B$100,MATCH("score_value_target",'Settings'!$A$2:$A$100,0)))*25)+IF($L265="",0,MAX(0,25-(TODAY()-$L265)/VALUE(INDEX('Settings'!$B$2:$B$100,MATCH("score_recency_days",'Settings'!$A$2:$A$100,0)))*25))+MIN(15,COUNTIFS('FollowUps'!$B$2:$B$500,$A265,'FollowUps'!$H$2:$H$500,"done")/VALUE(INDEX('Settings'!$B$2:$B$100,MATCH("score_response_target",'Settings'!$A$2:$A$100,0)))*15)+IF(COUNTIFS('Interactions'!$B$2:$B$500,$A265,'Interactions'!$E$2:$E$500,"complaint")=0,10,0),0))</x:f>
      </x:c>
      <x:c r="R265" s="108" t="str">
        <x:f>IF($A265="","",IF($J265="inactive","inactive",IF($J265="at_risk","at_risk",IF($Q265&gt;=85,"vip",IF($Q265&gt;=70,"loyal",IF($Q265&gt;=50,"active",IF($N265=0,"new","needs_attention")))))))</x:f>
      </x:c>
      <x:c r="S265" s="19"/>
      <x:c r="T265" s="18"/>
      <x:c r="U265" s="19"/>
      <x:c r="V265" s="20"/>
      <x:c r="W265" s="26"/>
      <x:c r="X265" s="19"/>
      <x:c r="Y265" s="26"/>
      <x:c r="Z265" s="19"/>
      <x:c r="AA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20"/>
      <x:c r="J266" s="19"/>
      <x:c r="K266" s="19"/>
      <x:c r="L266" s="92" t="str">
        <x:f>IF($A266="","",IF(COUNTIFS('Orders'!$C$2:$C$500,$A266,'Orders'!$M$2:$M$500,"&lt;&gt;cancelled")=0,"",MAXIFS('Orders'!$G$2:$G$500,'Orders'!$C$2:$C$500,$A266,'Orders'!$M$2:$M$500,"&lt;&gt;cancelled")))</x:f>
      </x:c>
      <x:c r="M266" s="96" t="str">
        <x:f>IF($A266="","",SUMIFS('Orders'!$K$2:$K$500,'Orders'!$C$2:$C$500,$A266,'Orders'!$M$2:$M$500,"&lt;&gt;cancelled"))</x:f>
      </x:c>
      <x:c r="N266" s="96" t="str">
        <x:f>IF($A266="","",COUNTIFS('Orders'!$C$2:$C$500,$A266,'Orders'!$M$2:$M$500,"&lt;&gt;cancelled"))</x:f>
      </x:c>
      <x:c r="O266" s="100" t="str">
        <x:f>IF($A266="","",IF(COUNTIF('Interactions'!$B$2:$B$500,$A266)=0,"",MAXIFS('Interactions'!$G$2:$G$500,'Interactions'!$B$2:$B$500,$A266)))</x:f>
      </x:c>
      <x:c r="P266" s="100" t="str">
        <x:f>IF($A266="","",IF(COUNTIFS('FollowUps'!$B$2:$B$500,$A266,'FollowUps'!$H$2:$H$500,"open")=0,"",MINIFS('FollowUps'!$E$2:$E$500,'FollowUps'!$B$2:$B$500,$A266,'FollowUps'!$H$2:$H$500,"open")))</x:f>
      </x:c>
      <x:c r="Q266" s="104" t="str">
        <x:f>IF($A266="","",ROUND(MIN(25,$N266/VALUE(INDEX('Settings'!$B$2:$B$100,MATCH("score_purchase_target",'Settings'!$A$2:$A$100,0)))*25)+MIN(25,$M266/VALUE(INDEX('Settings'!$B$2:$B$100,MATCH("score_value_target",'Settings'!$A$2:$A$100,0)))*25)+IF($L266="",0,MAX(0,25-(TODAY()-$L266)/VALUE(INDEX('Settings'!$B$2:$B$100,MATCH("score_recency_days",'Settings'!$A$2:$A$100,0)))*25))+MIN(15,COUNTIFS('FollowUps'!$B$2:$B$500,$A266,'FollowUps'!$H$2:$H$500,"done")/VALUE(INDEX('Settings'!$B$2:$B$100,MATCH("score_response_target",'Settings'!$A$2:$A$100,0)))*15)+IF(COUNTIFS('Interactions'!$B$2:$B$500,$A266,'Interactions'!$E$2:$E$500,"complaint")=0,10,0),0))</x:f>
      </x:c>
      <x:c r="R266" s="108" t="str">
        <x:f>IF($A266="","",IF($J266="inactive","inactive",IF($J266="at_risk","at_risk",IF($Q266&gt;=85,"vip",IF($Q266&gt;=70,"loyal",IF($Q266&gt;=50,"active",IF($N266=0,"new","needs_attention")))))))</x:f>
      </x:c>
      <x:c r="S266" s="19"/>
      <x:c r="T266" s="18"/>
      <x:c r="U266" s="19"/>
      <x:c r="V266" s="20"/>
      <x:c r="W266" s="26"/>
      <x:c r="X266" s="19"/>
      <x:c r="Y266" s="26"/>
      <x:c r="Z266" s="19"/>
      <x:c r="AA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20"/>
      <x:c r="J267" s="19"/>
      <x:c r="K267" s="19"/>
      <x:c r="L267" s="92" t="str">
        <x:f>IF($A267="","",IF(COUNTIFS('Orders'!$C$2:$C$500,$A267,'Orders'!$M$2:$M$500,"&lt;&gt;cancelled")=0,"",MAXIFS('Orders'!$G$2:$G$500,'Orders'!$C$2:$C$500,$A267,'Orders'!$M$2:$M$500,"&lt;&gt;cancelled")))</x:f>
      </x:c>
      <x:c r="M267" s="96" t="str">
        <x:f>IF($A267="","",SUMIFS('Orders'!$K$2:$K$500,'Orders'!$C$2:$C$500,$A267,'Orders'!$M$2:$M$500,"&lt;&gt;cancelled"))</x:f>
      </x:c>
      <x:c r="N267" s="96" t="str">
        <x:f>IF($A267="","",COUNTIFS('Orders'!$C$2:$C$500,$A267,'Orders'!$M$2:$M$500,"&lt;&gt;cancelled"))</x:f>
      </x:c>
      <x:c r="O267" s="100" t="str">
        <x:f>IF($A267="","",IF(COUNTIF('Interactions'!$B$2:$B$500,$A267)=0,"",MAXIFS('Interactions'!$G$2:$G$500,'Interactions'!$B$2:$B$500,$A267)))</x:f>
      </x:c>
      <x:c r="P267" s="100" t="str">
        <x:f>IF($A267="","",IF(COUNTIFS('FollowUps'!$B$2:$B$500,$A267,'FollowUps'!$H$2:$H$500,"open")=0,"",MINIFS('FollowUps'!$E$2:$E$500,'FollowUps'!$B$2:$B$500,$A267,'FollowUps'!$H$2:$H$500,"open")))</x:f>
      </x:c>
      <x:c r="Q267" s="104" t="str">
        <x:f>IF($A267="","",ROUND(MIN(25,$N267/VALUE(INDEX('Settings'!$B$2:$B$100,MATCH("score_purchase_target",'Settings'!$A$2:$A$100,0)))*25)+MIN(25,$M267/VALUE(INDEX('Settings'!$B$2:$B$100,MATCH("score_value_target",'Settings'!$A$2:$A$100,0)))*25)+IF($L267="",0,MAX(0,25-(TODAY()-$L267)/VALUE(INDEX('Settings'!$B$2:$B$100,MATCH("score_recency_days",'Settings'!$A$2:$A$100,0)))*25))+MIN(15,COUNTIFS('FollowUps'!$B$2:$B$500,$A267,'FollowUps'!$H$2:$H$500,"done")/VALUE(INDEX('Settings'!$B$2:$B$100,MATCH("score_response_target",'Settings'!$A$2:$A$100,0)))*15)+IF(COUNTIFS('Interactions'!$B$2:$B$500,$A267,'Interactions'!$E$2:$E$500,"complaint")=0,10,0),0))</x:f>
      </x:c>
      <x:c r="R267" s="108" t="str">
        <x:f>IF($A267="","",IF($J267="inactive","inactive",IF($J267="at_risk","at_risk",IF($Q267&gt;=85,"vip",IF($Q267&gt;=70,"loyal",IF($Q267&gt;=50,"active",IF($N267=0,"new","needs_attention")))))))</x:f>
      </x:c>
      <x:c r="S267" s="19"/>
      <x:c r="T267" s="18"/>
      <x:c r="U267" s="19"/>
      <x:c r="V267" s="20"/>
      <x:c r="W267" s="26"/>
      <x:c r="X267" s="19"/>
      <x:c r="Y267" s="26"/>
      <x:c r="Z267" s="19"/>
      <x:c r="AA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20"/>
      <x:c r="J268" s="19"/>
      <x:c r="K268" s="19"/>
      <x:c r="L268" s="92" t="str">
        <x:f>IF($A268="","",IF(COUNTIFS('Orders'!$C$2:$C$500,$A268,'Orders'!$M$2:$M$500,"&lt;&gt;cancelled")=0,"",MAXIFS('Orders'!$G$2:$G$500,'Orders'!$C$2:$C$500,$A268,'Orders'!$M$2:$M$500,"&lt;&gt;cancelled")))</x:f>
      </x:c>
      <x:c r="M268" s="96" t="str">
        <x:f>IF($A268="","",SUMIFS('Orders'!$K$2:$K$500,'Orders'!$C$2:$C$500,$A268,'Orders'!$M$2:$M$500,"&lt;&gt;cancelled"))</x:f>
      </x:c>
      <x:c r="N268" s="96" t="str">
        <x:f>IF($A268="","",COUNTIFS('Orders'!$C$2:$C$500,$A268,'Orders'!$M$2:$M$500,"&lt;&gt;cancelled"))</x:f>
      </x:c>
      <x:c r="O268" s="100" t="str">
        <x:f>IF($A268="","",IF(COUNTIF('Interactions'!$B$2:$B$500,$A268)=0,"",MAXIFS('Interactions'!$G$2:$G$500,'Interactions'!$B$2:$B$500,$A268)))</x:f>
      </x:c>
      <x:c r="P268" s="100" t="str">
        <x:f>IF($A268="","",IF(COUNTIFS('FollowUps'!$B$2:$B$500,$A268,'FollowUps'!$H$2:$H$500,"open")=0,"",MINIFS('FollowUps'!$E$2:$E$500,'FollowUps'!$B$2:$B$500,$A268,'FollowUps'!$H$2:$H$500,"open")))</x:f>
      </x:c>
      <x:c r="Q268" s="104" t="str">
        <x:f>IF($A268="","",ROUND(MIN(25,$N268/VALUE(INDEX('Settings'!$B$2:$B$100,MATCH("score_purchase_target",'Settings'!$A$2:$A$100,0)))*25)+MIN(25,$M268/VALUE(INDEX('Settings'!$B$2:$B$100,MATCH("score_value_target",'Settings'!$A$2:$A$100,0)))*25)+IF($L268="",0,MAX(0,25-(TODAY()-$L268)/VALUE(INDEX('Settings'!$B$2:$B$100,MATCH("score_recency_days",'Settings'!$A$2:$A$100,0)))*25))+MIN(15,COUNTIFS('FollowUps'!$B$2:$B$500,$A268,'FollowUps'!$H$2:$H$500,"done")/VALUE(INDEX('Settings'!$B$2:$B$100,MATCH("score_response_target",'Settings'!$A$2:$A$100,0)))*15)+IF(COUNTIFS('Interactions'!$B$2:$B$500,$A268,'Interactions'!$E$2:$E$500,"complaint")=0,10,0),0))</x:f>
      </x:c>
      <x:c r="R268" s="108" t="str">
        <x:f>IF($A268="","",IF($J268="inactive","inactive",IF($J268="at_risk","at_risk",IF($Q268&gt;=85,"vip",IF($Q268&gt;=70,"loyal",IF($Q268&gt;=50,"active",IF($N268=0,"new","needs_attention")))))))</x:f>
      </x:c>
      <x:c r="S268" s="19"/>
      <x:c r="T268" s="18"/>
      <x:c r="U268" s="19"/>
      <x:c r="V268" s="20"/>
      <x:c r="W268" s="26"/>
      <x:c r="X268" s="19"/>
      <x:c r="Y268" s="26"/>
      <x:c r="Z268" s="19"/>
      <x:c r="AA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20"/>
      <x:c r="J269" s="19"/>
      <x:c r="K269" s="19"/>
      <x:c r="L269" s="92" t="str">
        <x:f>IF($A269="","",IF(COUNTIFS('Orders'!$C$2:$C$500,$A269,'Orders'!$M$2:$M$500,"&lt;&gt;cancelled")=0,"",MAXIFS('Orders'!$G$2:$G$500,'Orders'!$C$2:$C$500,$A269,'Orders'!$M$2:$M$500,"&lt;&gt;cancelled")))</x:f>
      </x:c>
      <x:c r="M269" s="96" t="str">
        <x:f>IF($A269="","",SUMIFS('Orders'!$K$2:$K$500,'Orders'!$C$2:$C$500,$A269,'Orders'!$M$2:$M$500,"&lt;&gt;cancelled"))</x:f>
      </x:c>
      <x:c r="N269" s="96" t="str">
        <x:f>IF($A269="","",COUNTIFS('Orders'!$C$2:$C$500,$A269,'Orders'!$M$2:$M$500,"&lt;&gt;cancelled"))</x:f>
      </x:c>
      <x:c r="O269" s="100" t="str">
        <x:f>IF($A269="","",IF(COUNTIF('Interactions'!$B$2:$B$500,$A269)=0,"",MAXIFS('Interactions'!$G$2:$G$500,'Interactions'!$B$2:$B$500,$A269)))</x:f>
      </x:c>
      <x:c r="P269" s="100" t="str">
        <x:f>IF($A269="","",IF(COUNTIFS('FollowUps'!$B$2:$B$500,$A269,'FollowUps'!$H$2:$H$500,"open")=0,"",MINIFS('FollowUps'!$E$2:$E$500,'FollowUps'!$B$2:$B$500,$A269,'FollowUps'!$H$2:$H$500,"open")))</x:f>
      </x:c>
      <x:c r="Q269" s="104" t="str">
        <x:f>IF($A269="","",ROUND(MIN(25,$N269/VALUE(INDEX('Settings'!$B$2:$B$100,MATCH("score_purchase_target",'Settings'!$A$2:$A$100,0)))*25)+MIN(25,$M269/VALUE(INDEX('Settings'!$B$2:$B$100,MATCH("score_value_target",'Settings'!$A$2:$A$100,0)))*25)+IF($L269="",0,MAX(0,25-(TODAY()-$L269)/VALUE(INDEX('Settings'!$B$2:$B$100,MATCH("score_recency_days",'Settings'!$A$2:$A$100,0)))*25))+MIN(15,COUNTIFS('FollowUps'!$B$2:$B$500,$A269,'FollowUps'!$H$2:$H$500,"done")/VALUE(INDEX('Settings'!$B$2:$B$100,MATCH("score_response_target",'Settings'!$A$2:$A$100,0)))*15)+IF(COUNTIFS('Interactions'!$B$2:$B$500,$A269,'Interactions'!$E$2:$E$500,"complaint")=0,10,0),0))</x:f>
      </x:c>
      <x:c r="R269" s="108" t="str">
        <x:f>IF($A269="","",IF($J269="inactive","inactive",IF($J269="at_risk","at_risk",IF($Q269&gt;=85,"vip",IF($Q269&gt;=70,"loyal",IF($Q269&gt;=50,"active",IF($N269=0,"new","needs_attention")))))))</x:f>
      </x:c>
      <x:c r="S269" s="19"/>
      <x:c r="T269" s="18"/>
      <x:c r="U269" s="19"/>
      <x:c r="V269" s="20"/>
      <x:c r="W269" s="26"/>
      <x:c r="X269" s="19"/>
      <x:c r="Y269" s="26"/>
      <x:c r="Z269" s="19"/>
      <x:c r="AA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20"/>
      <x:c r="J270" s="19"/>
      <x:c r="K270" s="19"/>
      <x:c r="L270" s="92" t="str">
        <x:f>IF($A270="","",IF(COUNTIFS('Orders'!$C$2:$C$500,$A270,'Orders'!$M$2:$M$500,"&lt;&gt;cancelled")=0,"",MAXIFS('Orders'!$G$2:$G$500,'Orders'!$C$2:$C$500,$A270,'Orders'!$M$2:$M$500,"&lt;&gt;cancelled")))</x:f>
      </x:c>
      <x:c r="M270" s="96" t="str">
        <x:f>IF($A270="","",SUMIFS('Orders'!$K$2:$K$500,'Orders'!$C$2:$C$500,$A270,'Orders'!$M$2:$M$500,"&lt;&gt;cancelled"))</x:f>
      </x:c>
      <x:c r="N270" s="96" t="str">
        <x:f>IF($A270="","",COUNTIFS('Orders'!$C$2:$C$500,$A270,'Orders'!$M$2:$M$500,"&lt;&gt;cancelled"))</x:f>
      </x:c>
      <x:c r="O270" s="100" t="str">
        <x:f>IF($A270="","",IF(COUNTIF('Interactions'!$B$2:$B$500,$A270)=0,"",MAXIFS('Interactions'!$G$2:$G$500,'Interactions'!$B$2:$B$500,$A270)))</x:f>
      </x:c>
      <x:c r="P270" s="100" t="str">
        <x:f>IF($A270="","",IF(COUNTIFS('FollowUps'!$B$2:$B$500,$A270,'FollowUps'!$H$2:$H$500,"open")=0,"",MINIFS('FollowUps'!$E$2:$E$500,'FollowUps'!$B$2:$B$500,$A270,'FollowUps'!$H$2:$H$500,"open")))</x:f>
      </x:c>
      <x:c r="Q270" s="104" t="str">
        <x:f>IF($A270="","",ROUND(MIN(25,$N270/VALUE(INDEX('Settings'!$B$2:$B$100,MATCH("score_purchase_target",'Settings'!$A$2:$A$100,0)))*25)+MIN(25,$M270/VALUE(INDEX('Settings'!$B$2:$B$100,MATCH("score_value_target",'Settings'!$A$2:$A$100,0)))*25)+IF($L270="",0,MAX(0,25-(TODAY()-$L270)/VALUE(INDEX('Settings'!$B$2:$B$100,MATCH("score_recency_days",'Settings'!$A$2:$A$100,0)))*25))+MIN(15,COUNTIFS('FollowUps'!$B$2:$B$500,$A270,'FollowUps'!$H$2:$H$500,"done")/VALUE(INDEX('Settings'!$B$2:$B$100,MATCH("score_response_target",'Settings'!$A$2:$A$100,0)))*15)+IF(COUNTIFS('Interactions'!$B$2:$B$500,$A270,'Interactions'!$E$2:$E$500,"complaint")=0,10,0),0))</x:f>
      </x:c>
      <x:c r="R270" s="108" t="str">
        <x:f>IF($A270="","",IF($J270="inactive","inactive",IF($J270="at_risk","at_risk",IF($Q270&gt;=85,"vip",IF($Q270&gt;=70,"loyal",IF($Q270&gt;=50,"active",IF($N270=0,"new","needs_attention")))))))</x:f>
      </x:c>
      <x:c r="S270" s="19"/>
      <x:c r="T270" s="18"/>
      <x:c r="U270" s="19"/>
      <x:c r="V270" s="20"/>
      <x:c r="W270" s="26"/>
      <x:c r="X270" s="19"/>
      <x:c r="Y270" s="26"/>
      <x:c r="Z270" s="19"/>
      <x:c r="AA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20"/>
      <x:c r="J271" s="19"/>
      <x:c r="K271" s="19"/>
      <x:c r="L271" s="92" t="str">
        <x:f>IF($A271="","",IF(COUNTIFS('Orders'!$C$2:$C$500,$A271,'Orders'!$M$2:$M$500,"&lt;&gt;cancelled")=0,"",MAXIFS('Orders'!$G$2:$G$500,'Orders'!$C$2:$C$500,$A271,'Orders'!$M$2:$M$500,"&lt;&gt;cancelled")))</x:f>
      </x:c>
      <x:c r="M271" s="96" t="str">
        <x:f>IF($A271="","",SUMIFS('Orders'!$K$2:$K$500,'Orders'!$C$2:$C$500,$A271,'Orders'!$M$2:$M$500,"&lt;&gt;cancelled"))</x:f>
      </x:c>
      <x:c r="N271" s="96" t="str">
        <x:f>IF($A271="","",COUNTIFS('Orders'!$C$2:$C$500,$A271,'Orders'!$M$2:$M$500,"&lt;&gt;cancelled"))</x:f>
      </x:c>
      <x:c r="O271" s="100" t="str">
        <x:f>IF($A271="","",IF(COUNTIF('Interactions'!$B$2:$B$500,$A271)=0,"",MAXIFS('Interactions'!$G$2:$G$500,'Interactions'!$B$2:$B$500,$A271)))</x:f>
      </x:c>
      <x:c r="P271" s="100" t="str">
        <x:f>IF($A271="","",IF(COUNTIFS('FollowUps'!$B$2:$B$500,$A271,'FollowUps'!$H$2:$H$500,"open")=0,"",MINIFS('FollowUps'!$E$2:$E$500,'FollowUps'!$B$2:$B$500,$A271,'FollowUps'!$H$2:$H$500,"open")))</x:f>
      </x:c>
      <x:c r="Q271" s="104" t="str">
        <x:f>IF($A271="","",ROUND(MIN(25,$N271/VALUE(INDEX('Settings'!$B$2:$B$100,MATCH("score_purchase_target",'Settings'!$A$2:$A$100,0)))*25)+MIN(25,$M271/VALUE(INDEX('Settings'!$B$2:$B$100,MATCH("score_value_target",'Settings'!$A$2:$A$100,0)))*25)+IF($L271="",0,MAX(0,25-(TODAY()-$L271)/VALUE(INDEX('Settings'!$B$2:$B$100,MATCH("score_recency_days",'Settings'!$A$2:$A$100,0)))*25))+MIN(15,COUNTIFS('FollowUps'!$B$2:$B$500,$A271,'FollowUps'!$H$2:$H$500,"done")/VALUE(INDEX('Settings'!$B$2:$B$100,MATCH("score_response_target",'Settings'!$A$2:$A$100,0)))*15)+IF(COUNTIFS('Interactions'!$B$2:$B$500,$A271,'Interactions'!$E$2:$E$500,"complaint")=0,10,0),0))</x:f>
      </x:c>
      <x:c r="R271" s="108" t="str">
        <x:f>IF($A271="","",IF($J271="inactive","inactive",IF($J271="at_risk","at_risk",IF($Q271&gt;=85,"vip",IF($Q271&gt;=70,"loyal",IF($Q271&gt;=50,"active",IF($N271=0,"new","needs_attention")))))))</x:f>
      </x:c>
      <x:c r="S271" s="19"/>
      <x:c r="T271" s="18"/>
      <x:c r="U271" s="19"/>
      <x:c r="V271" s="20"/>
      <x:c r="W271" s="26"/>
      <x:c r="X271" s="19"/>
      <x:c r="Y271" s="26"/>
      <x:c r="Z271" s="19"/>
      <x:c r="AA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20"/>
      <x:c r="J272" s="19"/>
      <x:c r="K272" s="19"/>
      <x:c r="L272" s="92" t="str">
        <x:f>IF($A272="","",IF(COUNTIFS('Orders'!$C$2:$C$500,$A272,'Orders'!$M$2:$M$500,"&lt;&gt;cancelled")=0,"",MAXIFS('Orders'!$G$2:$G$500,'Orders'!$C$2:$C$500,$A272,'Orders'!$M$2:$M$500,"&lt;&gt;cancelled")))</x:f>
      </x:c>
      <x:c r="M272" s="96" t="str">
        <x:f>IF($A272="","",SUMIFS('Orders'!$K$2:$K$500,'Orders'!$C$2:$C$500,$A272,'Orders'!$M$2:$M$500,"&lt;&gt;cancelled"))</x:f>
      </x:c>
      <x:c r="N272" s="96" t="str">
        <x:f>IF($A272="","",COUNTIFS('Orders'!$C$2:$C$500,$A272,'Orders'!$M$2:$M$500,"&lt;&gt;cancelled"))</x:f>
      </x:c>
      <x:c r="O272" s="100" t="str">
        <x:f>IF($A272="","",IF(COUNTIF('Interactions'!$B$2:$B$500,$A272)=0,"",MAXIFS('Interactions'!$G$2:$G$500,'Interactions'!$B$2:$B$500,$A272)))</x:f>
      </x:c>
      <x:c r="P272" s="100" t="str">
        <x:f>IF($A272="","",IF(COUNTIFS('FollowUps'!$B$2:$B$500,$A272,'FollowUps'!$H$2:$H$500,"open")=0,"",MINIFS('FollowUps'!$E$2:$E$500,'FollowUps'!$B$2:$B$500,$A272,'FollowUps'!$H$2:$H$500,"open")))</x:f>
      </x:c>
      <x:c r="Q272" s="104" t="str">
        <x:f>IF($A272="","",ROUND(MIN(25,$N272/VALUE(INDEX('Settings'!$B$2:$B$100,MATCH("score_purchase_target",'Settings'!$A$2:$A$100,0)))*25)+MIN(25,$M272/VALUE(INDEX('Settings'!$B$2:$B$100,MATCH("score_value_target",'Settings'!$A$2:$A$100,0)))*25)+IF($L272="",0,MAX(0,25-(TODAY()-$L272)/VALUE(INDEX('Settings'!$B$2:$B$100,MATCH("score_recency_days",'Settings'!$A$2:$A$100,0)))*25))+MIN(15,COUNTIFS('FollowUps'!$B$2:$B$500,$A272,'FollowUps'!$H$2:$H$500,"done")/VALUE(INDEX('Settings'!$B$2:$B$100,MATCH("score_response_target",'Settings'!$A$2:$A$100,0)))*15)+IF(COUNTIFS('Interactions'!$B$2:$B$500,$A272,'Interactions'!$E$2:$E$500,"complaint")=0,10,0),0))</x:f>
      </x:c>
      <x:c r="R272" s="108" t="str">
        <x:f>IF($A272="","",IF($J272="inactive","inactive",IF($J272="at_risk","at_risk",IF($Q272&gt;=85,"vip",IF($Q272&gt;=70,"loyal",IF($Q272&gt;=50,"active",IF($N272=0,"new","needs_attention")))))))</x:f>
      </x:c>
      <x:c r="S272" s="19"/>
      <x:c r="T272" s="18"/>
      <x:c r="U272" s="19"/>
      <x:c r="V272" s="20"/>
      <x:c r="W272" s="26"/>
      <x:c r="X272" s="19"/>
      <x:c r="Y272" s="26"/>
      <x:c r="Z272" s="19"/>
      <x:c r="AA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20"/>
      <x:c r="J273" s="19"/>
      <x:c r="K273" s="19"/>
      <x:c r="L273" s="92" t="str">
        <x:f>IF($A273="","",IF(COUNTIFS('Orders'!$C$2:$C$500,$A273,'Orders'!$M$2:$M$500,"&lt;&gt;cancelled")=0,"",MAXIFS('Orders'!$G$2:$G$500,'Orders'!$C$2:$C$500,$A273,'Orders'!$M$2:$M$500,"&lt;&gt;cancelled")))</x:f>
      </x:c>
      <x:c r="M273" s="96" t="str">
        <x:f>IF($A273="","",SUMIFS('Orders'!$K$2:$K$500,'Orders'!$C$2:$C$500,$A273,'Orders'!$M$2:$M$500,"&lt;&gt;cancelled"))</x:f>
      </x:c>
      <x:c r="N273" s="96" t="str">
        <x:f>IF($A273="","",COUNTIFS('Orders'!$C$2:$C$500,$A273,'Orders'!$M$2:$M$500,"&lt;&gt;cancelled"))</x:f>
      </x:c>
      <x:c r="O273" s="100" t="str">
        <x:f>IF($A273="","",IF(COUNTIF('Interactions'!$B$2:$B$500,$A273)=0,"",MAXIFS('Interactions'!$G$2:$G$500,'Interactions'!$B$2:$B$500,$A273)))</x:f>
      </x:c>
      <x:c r="P273" s="100" t="str">
        <x:f>IF($A273="","",IF(COUNTIFS('FollowUps'!$B$2:$B$500,$A273,'FollowUps'!$H$2:$H$500,"open")=0,"",MINIFS('FollowUps'!$E$2:$E$500,'FollowUps'!$B$2:$B$500,$A273,'FollowUps'!$H$2:$H$500,"open")))</x:f>
      </x:c>
      <x:c r="Q273" s="104" t="str">
        <x:f>IF($A273="","",ROUND(MIN(25,$N273/VALUE(INDEX('Settings'!$B$2:$B$100,MATCH("score_purchase_target",'Settings'!$A$2:$A$100,0)))*25)+MIN(25,$M273/VALUE(INDEX('Settings'!$B$2:$B$100,MATCH("score_value_target",'Settings'!$A$2:$A$100,0)))*25)+IF($L273="",0,MAX(0,25-(TODAY()-$L273)/VALUE(INDEX('Settings'!$B$2:$B$100,MATCH("score_recency_days",'Settings'!$A$2:$A$100,0)))*25))+MIN(15,COUNTIFS('FollowUps'!$B$2:$B$500,$A273,'FollowUps'!$H$2:$H$500,"done")/VALUE(INDEX('Settings'!$B$2:$B$100,MATCH("score_response_target",'Settings'!$A$2:$A$100,0)))*15)+IF(COUNTIFS('Interactions'!$B$2:$B$500,$A273,'Interactions'!$E$2:$E$500,"complaint")=0,10,0),0))</x:f>
      </x:c>
      <x:c r="R273" s="108" t="str">
        <x:f>IF($A273="","",IF($J273="inactive","inactive",IF($J273="at_risk","at_risk",IF($Q273&gt;=85,"vip",IF($Q273&gt;=70,"loyal",IF($Q273&gt;=50,"active",IF($N273=0,"new","needs_attention")))))))</x:f>
      </x:c>
      <x:c r="S273" s="19"/>
      <x:c r="T273" s="18"/>
      <x:c r="U273" s="19"/>
      <x:c r="V273" s="20"/>
      <x:c r="W273" s="26"/>
      <x:c r="X273" s="19"/>
      <x:c r="Y273" s="26"/>
      <x:c r="Z273" s="19"/>
      <x:c r="AA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20"/>
      <x:c r="J274" s="19"/>
      <x:c r="K274" s="19"/>
      <x:c r="L274" s="92" t="str">
        <x:f>IF($A274="","",IF(COUNTIFS('Orders'!$C$2:$C$500,$A274,'Orders'!$M$2:$M$500,"&lt;&gt;cancelled")=0,"",MAXIFS('Orders'!$G$2:$G$500,'Orders'!$C$2:$C$500,$A274,'Orders'!$M$2:$M$500,"&lt;&gt;cancelled")))</x:f>
      </x:c>
      <x:c r="M274" s="96" t="str">
        <x:f>IF($A274="","",SUMIFS('Orders'!$K$2:$K$500,'Orders'!$C$2:$C$500,$A274,'Orders'!$M$2:$M$500,"&lt;&gt;cancelled"))</x:f>
      </x:c>
      <x:c r="N274" s="96" t="str">
        <x:f>IF($A274="","",COUNTIFS('Orders'!$C$2:$C$500,$A274,'Orders'!$M$2:$M$500,"&lt;&gt;cancelled"))</x:f>
      </x:c>
      <x:c r="O274" s="100" t="str">
        <x:f>IF($A274="","",IF(COUNTIF('Interactions'!$B$2:$B$500,$A274)=0,"",MAXIFS('Interactions'!$G$2:$G$500,'Interactions'!$B$2:$B$500,$A274)))</x:f>
      </x:c>
      <x:c r="P274" s="100" t="str">
        <x:f>IF($A274="","",IF(COUNTIFS('FollowUps'!$B$2:$B$500,$A274,'FollowUps'!$H$2:$H$500,"open")=0,"",MINIFS('FollowUps'!$E$2:$E$500,'FollowUps'!$B$2:$B$500,$A274,'FollowUps'!$H$2:$H$500,"open")))</x:f>
      </x:c>
      <x:c r="Q274" s="104" t="str">
        <x:f>IF($A274="","",ROUND(MIN(25,$N274/VALUE(INDEX('Settings'!$B$2:$B$100,MATCH("score_purchase_target",'Settings'!$A$2:$A$100,0)))*25)+MIN(25,$M274/VALUE(INDEX('Settings'!$B$2:$B$100,MATCH("score_value_target",'Settings'!$A$2:$A$100,0)))*25)+IF($L274="",0,MAX(0,25-(TODAY()-$L274)/VALUE(INDEX('Settings'!$B$2:$B$100,MATCH("score_recency_days",'Settings'!$A$2:$A$100,0)))*25))+MIN(15,COUNTIFS('FollowUps'!$B$2:$B$500,$A274,'FollowUps'!$H$2:$H$500,"done")/VALUE(INDEX('Settings'!$B$2:$B$100,MATCH("score_response_target",'Settings'!$A$2:$A$100,0)))*15)+IF(COUNTIFS('Interactions'!$B$2:$B$500,$A274,'Interactions'!$E$2:$E$500,"complaint")=0,10,0),0))</x:f>
      </x:c>
      <x:c r="R274" s="108" t="str">
        <x:f>IF($A274="","",IF($J274="inactive","inactive",IF($J274="at_risk","at_risk",IF($Q274&gt;=85,"vip",IF($Q274&gt;=70,"loyal",IF($Q274&gt;=50,"active",IF($N274=0,"new","needs_attention")))))))</x:f>
      </x:c>
      <x:c r="S274" s="19"/>
      <x:c r="T274" s="18"/>
      <x:c r="U274" s="19"/>
      <x:c r="V274" s="20"/>
      <x:c r="W274" s="26"/>
      <x:c r="X274" s="19"/>
      <x:c r="Y274" s="26"/>
      <x:c r="Z274" s="19"/>
      <x:c r="AA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20"/>
      <x:c r="J275" s="19"/>
      <x:c r="K275" s="19"/>
      <x:c r="L275" s="92" t="str">
        <x:f>IF($A275="","",IF(COUNTIFS('Orders'!$C$2:$C$500,$A275,'Orders'!$M$2:$M$500,"&lt;&gt;cancelled")=0,"",MAXIFS('Orders'!$G$2:$G$500,'Orders'!$C$2:$C$500,$A275,'Orders'!$M$2:$M$500,"&lt;&gt;cancelled")))</x:f>
      </x:c>
      <x:c r="M275" s="96" t="str">
        <x:f>IF($A275="","",SUMIFS('Orders'!$K$2:$K$500,'Orders'!$C$2:$C$500,$A275,'Orders'!$M$2:$M$500,"&lt;&gt;cancelled"))</x:f>
      </x:c>
      <x:c r="N275" s="96" t="str">
        <x:f>IF($A275="","",COUNTIFS('Orders'!$C$2:$C$500,$A275,'Orders'!$M$2:$M$500,"&lt;&gt;cancelled"))</x:f>
      </x:c>
      <x:c r="O275" s="100" t="str">
        <x:f>IF($A275="","",IF(COUNTIF('Interactions'!$B$2:$B$500,$A275)=0,"",MAXIFS('Interactions'!$G$2:$G$500,'Interactions'!$B$2:$B$500,$A275)))</x:f>
      </x:c>
      <x:c r="P275" s="100" t="str">
        <x:f>IF($A275="","",IF(COUNTIFS('FollowUps'!$B$2:$B$500,$A275,'FollowUps'!$H$2:$H$500,"open")=0,"",MINIFS('FollowUps'!$E$2:$E$500,'FollowUps'!$B$2:$B$500,$A275,'FollowUps'!$H$2:$H$500,"open")))</x:f>
      </x:c>
      <x:c r="Q275" s="104" t="str">
        <x:f>IF($A275="","",ROUND(MIN(25,$N275/VALUE(INDEX('Settings'!$B$2:$B$100,MATCH("score_purchase_target",'Settings'!$A$2:$A$100,0)))*25)+MIN(25,$M275/VALUE(INDEX('Settings'!$B$2:$B$100,MATCH("score_value_target",'Settings'!$A$2:$A$100,0)))*25)+IF($L275="",0,MAX(0,25-(TODAY()-$L275)/VALUE(INDEX('Settings'!$B$2:$B$100,MATCH("score_recency_days",'Settings'!$A$2:$A$100,0)))*25))+MIN(15,COUNTIFS('FollowUps'!$B$2:$B$500,$A275,'FollowUps'!$H$2:$H$500,"done")/VALUE(INDEX('Settings'!$B$2:$B$100,MATCH("score_response_target",'Settings'!$A$2:$A$100,0)))*15)+IF(COUNTIFS('Interactions'!$B$2:$B$500,$A275,'Interactions'!$E$2:$E$500,"complaint")=0,10,0),0))</x:f>
      </x:c>
      <x:c r="R275" s="108" t="str">
        <x:f>IF($A275="","",IF($J275="inactive","inactive",IF($J275="at_risk","at_risk",IF($Q275&gt;=85,"vip",IF($Q275&gt;=70,"loyal",IF($Q275&gt;=50,"active",IF($N275=0,"new","needs_attention")))))))</x:f>
      </x:c>
      <x:c r="S275" s="19"/>
      <x:c r="T275" s="18"/>
      <x:c r="U275" s="19"/>
      <x:c r="V275" s="20"/>
      <x:c r="W275" s="26"/>
      <x:c r="X275" s="19"/>
      <x:c r="Y275" s="26"/>
      <x:c r="Z275" s="19"/>
      <x:c r="AA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20"/>
      <x:c r="J276" s="19"/>
      <x:c r="K276" s="19"/>
      <x:c r="L276" s="92" t="str">
        <x:f>IF($A276="","",IF(COUNTIFS('Orders'!$C$2:$C$500,$A276,'Orders'!$M$2:$M$500,"&lt;&gt;cancelled")=0,"",MAXIFS('Orders'!$G$2:$G$500,'Orders'!$C$2:$C$500,$A276,'Orders'!$M$2:$M$500,"&lt;&gt;cancelled")))</x:f>
      </x:c>
      <x:c r="M276" s="96" t="str">
        <x:f>IF($A276="","",SUMIFS('Orders'!$K$2:$K$500,'Orders'!$C$2:$C$500,$A276,'Orders'!$M$2:$M$500,"&lt;&gt;cancelled"))</x:f>
      </x:c>
      <x:c r="N276" s="96" t="str">
        <x:f>IF($A276="","",COUNTIFS('Orders'!$C$2:$C$500,$A276,'Orders'!$M$2:$M$500,"&lt;&gt;cancelled"))</x:f>
      </x:c>
      <x:c r="O276" s="100" t="str">
        <x:f>IF($A276="","",IF(COUNTIF('Interactions'!$B$2:$B$500,$A276)=0,"",MAXIFS('Interactions'!$G$2:$G$500,'Interactions'!$B$2:$B$500,$A276)))</x:f>
      </x:c>
      <x:c r="P276" s="100" t="str">
        <x:f>IF($A276="","",IF(COUNTIFS('FollowUps'!$B$2:$B$500,$A276,'FollowUps'!$H$2:$H$500,"open")=0,"",MINIFS('FollowUps'!$E$2:$E$500,'FollowUps'!$B$2:$B$500,$A276,'FollowUps'!$H$2:$H$500,"open")))</x:f>
      </x:c>
      <x:c r="Q276" s="104" t="str">
        <x:f>IF($A276="","",ROUND(MIN(25,$N276/VALUE(INDEX('Settings'!$B$2:$B$100,MATCH("score_purchase_target",'Settings'!$A$2:$A$100,0)))*25)+MIN(25,$M276/VALUE(INDEX('Settings'!$B$2:$B$100,MATCH("score_value_target",'Settings'!$A$2:$A$100,0)))*25)+IF($L276="",0,MAX(0,25-(TODAY()-$L276)/VALUE(INDEX('Settings'!$B$2:$B$100,MATCH("score_recency_days",'Settings'!$A$2:$A$100,0)))*25))+MIN(15,COUNTIFS('FollowUps'!$B$2:$B$500,$A276,'FollowUps'!$H$2:$H$500,"done")/VALUE(INDEX('Settings'!$B$2:$B$100,MATCH("score_response_target",'Settings'!$A$2:$A$100,0)))*15)+IF(COUNTIFS('Interactions'!$B$2:$B$500,$A276,'Interactions'!$E$2:$E$500,"complaint")=0,10,0),0))</x:f>
      </x:c>
      <x:c r="R276" s="108" t="str">
        <x:f>IF($A276="","",IF($J276="inactive","inactive",IF($J276="at_risk","at_risk",IF($Q276&gt;=85,"vip",IF($Q276&gt;=70,"loyal",IF($Q276&gt;=50,"active",IF($N276=0,"new","needs_attention")))))))</x:f>
      </x:c>
      <x:c r="S276" s="19"/>
      <x:c r="T276" s="18"/>
      <x:c r="U276" s="19"/>
      <x:c r="V276" s="20"/>
      <x:c r="W276" s="26"/>
      <x:c r="X276" s="19"/>
      <x:c r="Y276" s="26"/>
      <x:c r="Z276" s="19"/>
      <x:c r="AA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20"/>
      <x:c r="J277" s="19"/>
      <x:c r="K277" s="19"/>
      <x:c r="L277" s="92" t="str">
        <x:f>IF($A277="","",IF(COUNTIFS('Orders'!$C$2:$C$500,$A277,'Orders'!$M$2:$M$500,"&lt;&gt;cancelled")=0,"",MAXIFS('Orders'!$G$2:$G$500,'Orders'!$C$2:$C$500,$A277,'Orders'!$M$2:$M$500,"&lt;&gt;cancelled")))</x:f>
      </x:c>
      <x:c r="M277" s="96" t="str">
        <x:f>IF($A277="","",SUMIFS('Orders'!$K$2:$K$500,'Orders'!$C$2:$C$500,$A277,'Orders'!$M$2:$M$500,"&lt;&gt;cancelled"))</x:f>
      </x:c>
      <x:c r="N277" s="96" t="str">
        <x:f>IF($A277="","",COUNTIFS('Orders'!$C$2:$C$500,$A277,'Orders'!$M$2:$M$500,"&lt;&gt;cancelled"))</x:f>
      </x:c>
      <x:c r="O277" s="100" t="str">
        <x:f>IF($A277="","",IF(COUNTIF('Interactions'!$B$2:$B$500,$A277)=0,"",MAXIFS('Interactions'!$G$2:$G$500,'Interactions'!$B$2:$B$500,$A277)))</x:f>
      </x:c>
      <x:c r="P277" s="100" t="str">
        <x:f>IF($A277="","",IF(COUNTIFS('FollowUps'!$B$2:$B$500,$A277,'FollowUps'!$H$2:$H$500,"open")=0,"",MINIFS('FollowUps'!$E$2:$E$500,'FollowUps'!$B$2:$B$500,$A277,'FollowUps'!$H$2:$H$500,"open")))</x:f>
      </x:c>
      <x:c r="Q277" s="104" t="str">
        <x:f>IF($A277="","",ROUND(MIN(25,$N277/VALUE(INDEX('Settings'!$B$2:$B$100,MATCH("score_purchase_target",'Settings'!$A$2:$A$100,0)))*25)+MIN(25,$M277/VALUE(INDEX('Settings'!$B$2:$B$100,MATCH("score_value_target",'Settings'!$A$2:$A$100,0)))*25)+IF($L277="",0,MAX(0,25-(TODAY()-$L277)/VALUE(INDEX('Settings'!$B$2:$B$100,MATCH("score_recency_days",'Settings'!$A$2:$A$100,0)))*25))+MIN(15,COUNTIFS('FollowUps'!$B$2:$B$500,$A277,'FollowUps'!$H$2:$H$500,"done")/VALUE(INDEX('Settings'!$B$2:$B$100,MATCH("score_response_target",'Settings'!$A$2:$A$100,0)))*15)+IF(COUNTIFS('Interactions'!$B$2:$B$500,$A277,'Interactions'!$E$2:$E$500,"complaint")=0,10,0),0))</x:f>
      </x:c>
      <x:c r="R277" s="108" t="str">
        <x:f>IF($A277="","",IF($J277="inactive","inactive",IF($J277="at_risk","at_risk",IF($Q277&gt;=85,"vip",IF($Q277&gt;=70,"loyal",IF($Q277&gt;=50,"active",IF($N277=0,"new","needs_attention")))))))</x:f>
      </x:c>
      <x:c r="S277" s="19"/>
      <x:c r="T277" s="18"/>
      <x:c r="U277" s="19"/>
      <x:c r="V277" s="20"/>
      <x:c r="W277" s="26"/>
      <x:c r="X277" s="19"/>
      <x:c r="Y277" s="26"/>
      <x:c r="Z277" s="19"/>
      <x:c r="AA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20"/>
      <x:c r="J278" s="19"/>
      <x:c r="K278" s="19"/>
      <x:c r="L278" s="92" t="str">
        <x:f>IF($A278="","",IF(COUNTIFS('Orders'!$C$2:$C$500,$A278,'Orders'!$M$2:$M$500,"&lt;&gt;cancelled")=0,"",MAXIFS('Orders'!$G$2:$G$500,'Orders'!$C$2:$C$500,$A278,'Orders'!$M$2:$M$500,"&lt;&gt;cancelled")))</x:f>
      </x:c>
      <x:c r="M278" s="96" t="str">
        <x:f>IF($A278="","",SUMIFS('Orders'!$K$2:$K$500,'Orders'!$C$2:$C$500,$A278,'Orders'!$M$2:$M$500,"&lt;&gt;cancelled"))</x:f>
      </x:c>
      <x:c r="N278" s="96" t="str">
        <x:f>IF($A278="","",COUNTIFS('Orders'!$C$2:$C$500,$A278,'Orders'!$M$2:$M$500,"&lt;&gt;cancelled"))</x:f>
      </x:c>
      <x:c r="O278" s="100" t="str">
        <x:f>IF($A278="","",IF(COUNTIF('Interactions'!$B$2:$B$500,$A278)=0,"",MAXIFS('Interactions'!$G$2:$G$500,'Interactions'!$B$2:$B$500,$A278)))</x:f>
      </x:c>
      <x:c r="P278" s="100" t="str">
        <x:f>IF($A278="","",IF(COUNTIFS('FollowUps'!$B$2:$B$500,$A278,'FollowUps'!$H$2:$H$500,"open")=0,"",MINIFS('FollowUps'!$E$2:$E$500,'FollowUps'!$B$2:$B$500,$A278,'FollowUps'!$H$2:$H$500,"open")))</x:f>
      </x:c>
      <x:c r="Q278" s="104" t="str">
        <x:f>IF($A278="","",ROUND(MIN(25,$N278/VALUE(INDEX('Settings'!$B$2:$B$100,MATCH("score_purchase_target",'Settings'!$A$2:$A$100,0)))*25)+MIN(25,$M278/VALUE(INDEX('Settings'!$B$2:$B$100,MATCH("score_value_target",'Settings'!$A$2:$A$100,0)))*25)+IF($L278="",0,MAX(0,25-(TODAY()-$L278)/VALUE(INDEX('Settings'!$B$2:$B$100,MATCH("score_recency_days",'Settings'!$A$2:$A$100,0)))*25))+MIN(15,COUNTIFS('FollowUps'!$B$2:$B$500,$A278,'FollowUps'!$H$2:$H$500,"done")/VALUE(INDEX('Settings'!$B$2:$B$100,MATCH("score_response_target",'Settings'!$A$2:$A$100,0)))*15)+IF(COUNTIFS('Interactions'!$B$2:$B$500,$A278,'Interactions'!$E$2:$E$500,"complaint")=0,10,0),0))</x:f>
      </x:c>
      <x:c r="R278" s="108" t="str">
        <x:f>IF($A278="","",IF($J278="inactive","inactive",IF($J278="at_risk","at_risk",IF($Q278&gt;=85,"vip",IF($Q278&gt;=70,"loyal",IF($Q278&gt;=50,"active",IF($N278=0,"new","needs_attention")))))))</x:f>
      </x:c>
      <x:c r="S278" s="19"/>
      <x:c r="T278" s="18"/>
      <x:c r="U278" s="19"/>
      <x:c r="V278" s="20"/>
      <x:c r="W278" s="26"/>
      <x:c r="X278" s="19"/>
      <x:c r="Y278" s="26"/>
      <x:c r="Z278" s="19"/>
      <x:c r="AA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20"/>
      <x:c r="J279" s="19"/>
      <x:c r="K279" s="19"/>
      <x:c r="L279" s="92" t="str">
        <x:f>IF($A279="","",IF(COUNTIFS('Orders'!$C$2:$C$500,$A279,'Orders'!$M$2:$M$500,"&lt;&gt;cancelled")=0,"",MAXIFS('Orders'!$G$2:$G$500,'Orders'!$C$2:$C$500,$A279,'Orders'!$M$2:$M$500,"&lt;&gt;cancelled")))</x:f>
      </x:c>
      <x:c r="M279" s="96" t="str">
        <x:f>IF($A279="","",SUMIFS('Orders'!$K$2:$K$500,'Orders'!$C$2:$C$500,$A279,'Orders'!$M$2:$M$500,"&lt;&gt;cancelled"))</x:f>
      </x:c>
      <x:c r="N279" s="96" t="str">
        <x:f>IF($A279="","",COUNTIFS('Orders'!$C$2:$C$500,$A279,'Orders'!$M$2:$M$500,"&lt;&gt;cancelled"))</x:f>
      </x:c>
      <x:c r="O279" s="100" t="str">
        <x:f>IF($A279="","",IF(COUNTIF('Interactions'!$B$2:$B$500,$A279)=0,"",MAXIFS('Interactions'!$G$2:$G$500,'Interactions'!$B$2:$B$500,$A279)))</x:f>
      </x:c>
      <x:c r="P279" s="100" t="str">
        <x:f>IF($A279="","",IF(COUNTIFS('FollowUps'!$B$2:$B$500,$A279,'FollowUps'!$H$2:$H$500,"open")=0,"",MINIFS('FollowUps'!$E$2:$E$500,'FollowUps'!$B$2:$B$500,$A279,'FollowUps'!$H$2:$H$500,"open")))</x:f>
      </x:c>
      <x:c r="Q279" s="104" t="str">
        <x:f>IF($A279="","",ROUND(MIN(25,$N279/VALUE(INDEX('Settings'!$B$2:$B$100,MATCH("score_purchase_target",'Settings'!$A$2:$A$100,0)))*25)+MIN(25,$M279/VALUE(INDEX('Settings'!$B$2:$B$100,MATCH("score_value_target",'Settings'!$A$2:$A$100,0)))*25)+IF($L279="",0,MAX(0,25-(TODAY()-$L279)/VALUE(INDEX('Settings'!$B$2:$B$100,MATCH("score_recency_days",'Settings'!$A$2:$A$100,0)))*25))+MIN(15,COUNTIFS('FollowUps'!$B$2:$B$500,$A279,'FollowUps'!$H$2:$H$500,"done")/VALUE(INDEX('Settings'!$B$2:$B$100,MATCH("score_response_target",'Settings'!$A$2:$A$100,0)))*15)+IF(COUNTIFS('Interactions'!$B$2:$B$500,$A279,'Interactions'!$E$2:$E$500,"complaint")=0,10,0),0))</x:f>
      </x:c>
      <x:c r="R279" s="108" t="str">
        <x:f>IF($A279="","",IF($J279="inactive","inactive",IF($J279="at_risk","at_risk",IF($Q279&gt;=85,"vip",IF($Q279&gt;=70,"loyal",IF($Q279&gt;=50,"active",IF($N279=0,"new","needs_attention")))))))</x:f>
      </x:c>
      <x:c r="S279" s="19"/>
      <x:c r="T279" s="18"/>
      <x:c r="U279" s="19"/>
      <x:c r="V279" s="20"/>
      <x:c r="W279" s="26"/>
      <x:c r="X279" s="19"/>
      <x:c r="Y279" s="26"/>
      <x:c r="Z279" s="19"/>
      <x:c r="AA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20"/>
      <x:c r="J280" s="19"/>
      <x:c r="K280" s="19"/>
      <x:c r="L280" s="92" t="str">
        <x:f>IF($A280="","",IF(COUNTIFS('Orders'!$C$2:$C$500,$A280,'Orders'!$M$2:$M$500,"&lt;&gt;cancelled")=0,"",MAXIFS('Orders'!$G$2:$G$500,'Orders'!$C$2:$C$500,$A280,'Orders'!$M$2:$M$500,"&lt;&gt;cancelled")))</x:f>
      </x:c>
      <x:c r="M280" s="96" t="str">
        <x:f>IF($A280="","",SUMIFS('Orders'!$K$2:$K$500,'Orders'!$C$2:$C$500,$A280,'Orders'!$M$2:$M$500,"&lt;&gt;cancelled"))</x:f>
      </x:c>
      <x:c r="N280" s="96" t="str">
        <x:f>IF($A280="","",COUNTIFS('Orders'!$C$2:$C$500,$A280,'Orders'!$M$2:$M$500,"&lt;&gt;cancelled"))</x:f>
      </x:c>
      <x:c r="O280" s="100" t="str">
        <x:f>IF($A280="","",IF(COUNTIF('Interactions'!$B$2:$B$500,$A280)=0,"",MAXIFS('Interactions'!$G$2:$G$500,'Interactions'!$B$2:$B$500,$A280)))</x:f>
      </x:c>
      <x:c r="P280" s="100" t="str">
        <x:f>IF($A280="","",IF(COUNTIFS('FollowUps'!$B$2:$B$500,$A280,'FollowUps'!$H$2:$H$500,"open")=0,"",MINIFS('FollowUps'!$E$2:$E$500,'FollowUps'!$B$2:$B$500,$A280,'FollowUps'!$H$2:$H$500,"open")))</x:f>
      </x:c>
      <x:c r="Q280" s="104" t="str">
        <x:f>IF($A280="","",ROUND(MIN(25,$N280/VALUE(INDEX('Settings'!$B$2:$B$100,MATCH("score_purchase_target",'Settings'!$A$2:$A$100,0)))*25)+MIN(25,$M280/VALUE(INDEX('Settings'!$B$2:$B$100,MATCH("score_value_target",'Settings'!$A$2:$A$100,0)))*25)+IF($L280="",0,MAX(0,25-(TODAY()-$L280)/VALUE(INDEX('Settings'!$B$2:$B$100,MATCH("score_recency_days",'Settings'!$A$2:$A$100,0)))*25))+MIN(15,COUNTIFS('FollowUps'!$B$2:$B$500,$A280,'FollowUps'!$H$2:$H$500,"done")/VALUE(INDEX('Settings'!$B$2:$B$100,MATCH("score_response_target",'Settings'!$A$2:$A$100,0)))*15)+IF(COUNTIFS('Interactions'!$B$2:$B$500,$A280,'Interactions'!$E$2:$E$500,"complaint")=0,10,0),0))</x:f>
      </x:c>
      <x:c r="R280" s="108" t="str">
        <x:f>IF($A280="","",IF($J280="inactive","inactive",IF($J280="at_risk","at_risk",IF($Q280&gt;=85,"vip",IF($Q280&gt;=70,"loyal",IF($Q280&gt;=50,"active",IF($N280=0,"new","needs_attention")))))))</x:f>
      </x:c>
      <x:c r="S280" s="19"/>
      <x:c r="T280" s="18"/>
      <x:c r="U280" s="19"/>
      <x:c r="V280" s="20"/>
      <x:c r="W280" s="26"/>
      <x:c r="X280" s="19"/>
      <x:c r="Y280" s="26"/>
      <x:c r="Z280" s="19"/>
      <x:c r="AA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20"/>
      <x:c r="J281" s="19"/>
      <x:c r="K281" s="19"/>
      <x:c r="L281" s="92" t="str">
        <x:f>IF($A281="","",IF(COUNTIFS('Orders'!$C$2:$C$500,$A281,'Orders'!$M$2:$M$500,"&lt;&gt;cancelled")=0,"",MAXIFS('Orders'!$G$2:$G$500,'Orders'!$C$2:$C$500,$A281,'Orders'!$M$2:$M$500,"&lt;&gt;cancelled")))</x:f>
      </x:c>
      <x:c r="M281" s="96" t="str">
        <x:f>IF($A281="","",SUMIFS('Orders'!$K$2:$K$500,'Orders'!$C$2:$C$500,$A281,'Orders'!$M$2:$M$500,"&lt;&gt;cancelled"))</x:f>
      </x:c>
      <x:c r="N281" s="96" t="str">
        <x:f>IF($A281="","",COUNTIFS('Orders'!$C$2:$C$500,$A281,'Orders'!$M$2:$M$500,"&lt;&gt;cancelled"))</x:f>
      </x:c>
      <x:c r="O281" s="100" t="str">
        <x:f>IF($A281="","",IF(COUNTIF('Interactions'!$B$2:$B$500,$A281)=0,"",MAXIFS('Interactions'!$G$2:$G$500,'Interactions'!$B$2:$B$500,$A281)))</x:f>
      </x:c>
      <x:c r="P281" s="100" t="str">
        <x:f>IF($A281="","",IF(COUNTIFS('FollowUps'!$B$2:$B$500,$A281,'FollowUps'!$H$2:$H$500,"open")=0,"",MINIFS('FollowUps'!$E$2:$E$500,'FollowUps'!$B$2:$B$500,$A281,'FollowUps'!$H$2:$H$500,"open")))</x:f>
      </x:c>
      <x:c r="Q281" s="104" t="str">
        <x:f>IF($A281="","",ROUND(MIN(25,$N281/VALUE(INDEX('Settings'!$B$2:$B$100,MATCH("score_purchase_target",'Settings'!$A$2:$A$100,0)))*25)+MIN(25,$M281/VALUE(INDEX('Settings'!$B$2:$B$100,MATCH("score_value_target",'Settings'!$A$2:$A$100,0)))*25)+IF($L281="",0,MAX(0,25-(TODAY()-$L281)/VALUE(INDEX('Settings'!$B$2:$B$100,MATCH("score_recency_days",'Settings'!$A$2:$A$100,0)))*25))+MIN(15,COUNTIFS('FollowUps'!$B$2:$B$500,$A281,'FollowUps'!$H$2:$H$500,"done")/VALUE(INDEX('Settings'!$B$2:$B$100,MATCH("score_response_target",'Settings'!$A$2:$A$100,0)))*15)+IF(COUNTIFS('Interactions'!$B$2:$B$500,$A281,'Interactions'!$E$2:$E$500,"complaint")=0,10,0),0))</x:f>
      </x:c>
      <x:c r="R281" s="108" t="str">
        <x:f>IF($A281="","",IF($J281="inactive","inactive",IF($J281="at_risk","at_risk",IF($Q281&gt;=85,"vip",IF($Q281&gt;=70,"loyal",IF($Q281&gt;=50,"active",IF($N281=0,"new","needs_attention")))))))</x:f>
      </x:c>
      <x:c r="S281" s="19"/>
      <x:c r="T281" s="18"/>
      <x:c r="U281" s="19"/>
      <x:c r="V281" s="20"/>
      <x:c r="W281" s="26"/>
      <x:c r="X281" s="19"/>
      <x:c r="Y281" s="26"/>
      <x:c r="Z281" s="19"/>
      <x:c r="AA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20"/>
      <x:c r="J282" s="19"/>
      <x:c r="K282" s="19"/>
      <x:c r="L282" s="92" t="str">
        <x:f>IF($A282="","",IF(COUNTIFS('Orders'!$C$2:$C$500,$A282,'Orders'!$M$2:$M$500,"&lt;&gt;cancelled")=0,"",MAXIFS('Orders'!$G$2:$G$500,'Orders'!$C$2:$C$500,$A282,'Orders'!$M$2:$M$500,"&lt;&gt;cancelled")))</x:f>
      </x:c>
      <x:c r="M282" s="96" t="str">
        <x:f>IF($A282="","",SUMIFS('Orders'!$K$2:$K$500,'Orders'!$C$2:$C$500,$A282,'Orders'!$M$2:$M$500,"&lt;&gt;cancelled"))</x:f>
      </x:c>
      <x:c r="N282" s="96" t="str">
        <x:f>IF($A282="","",COUNTIFS('Orders'!$C$2:$C$500,$A282,'Orders'!$M$2:$M$500,"&lt;&gt;cancelled"))</x:f>
      </x:c>
      <x:c r="O282" s="100" t="str">
        <x:f>IF($A282="","",IF(COUNTIF('Interactions'!$B$2:$B$500,$A282)=0,"",MAXIFS('Interactions'!$G$2:$G$500,'Interactions'!$B$2:$B$500,$A282)))</x:f>
      </x:c>
      <x:c r="P282" s="100" t="str">
        <x:f>IF($A282="","",IF(COUNTIFS('FollowUps'!$B$2:$B$500,$A282,'FollowUps'!$H$2:$H$500,"open")=0,"",MINIFS('FollowUps'!$E$2:$E$500,'FollowUps'!$B$2:$B$500,$A282,'FollowUps'!$H$2:$H$500,"open")))</x:f>
      </x:c>
      <x:c r="Q282" s="104" t="str">
        <x:f>IF($A282="","",ROUND(MIN(25,$N282/VALUE(INDEX('Settings'!$B$2:$B$100,MATCH("score_purchase_target",'Settings'!$A$2:$A$100,0)))*25)+MIN(25,$M282/VALUE(INDEX('Settings'!$B$2:$B$100,MATCH("score_value_target",'Settings'!$A$2:$A$100,0)))*25)+IF($L282="",0,MAX(0,25-(TODAY()-$L282)/VALUE(INDEX('Settings'!$B$2:$B$100,MATCH("score_recency_days",'Settings'!$A$2:$A$100,0)))*25))+MIN(15,COUNTIFS('FollowUps'!$B$2:$B$500,$A282,'FollowUps'!$H$2:$H$500,"done")/VALUE(INDEX('Settings'!$B$2:$B$100,MATCH("score_response_target",'Settings'!$A$2:$A$100,0)))*15)+IF(COUNTIFS('Interactions'!$B$2:$B$500,$A282,'Interactions'!$E$2:$E$500,"complaint")=0,10,0),0))</x:f>
      </x:c>
      <x:c r="R282" s="108" t="str">
        <x:f>IF($A282="","",IF($J282="inactive","inactive",IF($J282="at_risk","at_risk",IF($Q282&gt;=85,"vip",IF($Q282&gt;=70,"loyal",IF($Q282&gt;=50,"active",IF($N282=0,"new","needs_attention")))))))</x:f>
      </x:c>
      <x:c r="S282" s="19"/>
      <x:c r="T282" s="18"/>
      <x:c r="U282" s="19"/>
      <x:c r="V282" s="20"/>
      <x:c r="W282" s="26"/>
      <x:c r="X282" s="19"/>
      <x:c r="Y282" s="26"/>
      <x:c r="Z282" s="19"/>
      <x:c r="AA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20"/>
      <x:c r="J283" s="19"/>
      <x:c r="K283" s="19"/>
      <x:c r="L283" s="92" t="str">
        <x:f>IF($A283="","",IF(COUNTIFS('Orders'!$C$2:$C$500,$A283,'Orders'!$M$2:$M$500,"&lt;&gt;cancelled")=0,"",MAXIFS('Orders'!$G$2:$G$500,'Orders'!$C$2:$C$500,$A283,'Orders'!$M$2:$M$500,"&lt;&gt;cancelled")))</x:f>
      </x:c>
      <x:c r="M283" s="96" t="str">
        <x:f>IF($A283="","",SUMIFS('Orders'!$K$2:$K$500,'Orders'!$C$2:$C$500,$A283,'Orders'!$M$2:$M$500,"&lt;&gt;cancelled"))</x:f>
      </x:c>
      <x:c r="N283" s="96" t="str">
        <x:f>IF($A283="","",COUNTIFS('Orders'!$C$2:$C$500,$A283,'Orders'!$M$2:$M$500,"&lt;&gt;cancelled"))</x:f>
      </x:c>
      <x:c r="O283" s="100" t="str">
        <x:f>IF($A283="","",IF(COUNTIF('Interactions'!$B$2:$B$500,$A283)=0,"",MAXIFS('Interactions'!$G$2:$G$500,'Interactions'!$B$2:$B$500,$A283)))</x:f>
      </x:c>
      <x:c r="P283" s="100" t="str">
        <x:f>IF($A283="","",IF(COUNTIFS('FollowUps'!$B$2:$B$500,$A283,'FollowUps'!$H$2:$H$500,"open")=0,"",MINIFS('FollowUps'!$E$2:$E$500,'FollowUps'!$B$2:$B$500,$A283,'FollowUps'!$H$2:$H$500,"open")))</x:f>
      </x:c>
      <x:c r="Q283" s="104" t="str">
        <x:f>IF($A283="","",ROUND(MIN(25,$N283/VALUE(INDEX('Settings'!$B$2:$B$100,MATCH("score_purchase_target",'Settings'!$A$2:$A$100,0)))*25)+MIN(25,$M283/VALUE(INDEX('Settings'!$B$2:$B$100,MATCH("score_value_target",'Settings'!$A$2:$A$100,0)))*25)+IF($L283="",0,MAX(0,25-(TODAY()-$L283)/VALUE(INDEX('Settings'!$B$2:$B$100,MATCH("score_recency_days",'Settings'!$A$2:$A$100,0)))*25))+MIN(15,COUNTIFS('FollowUps'!$B$2:$B$500,$A283,'FollowUps'!$H$2:$H$500,"done")/VALUE(INDEX('Settings'!$B$2:$B$100,MATCH("score_response_target",'Settings'!$A$2:$A$100,0)))*15)+IF(COUNTIFS('Interactions'!$B$2:$B$500,$A283,'Interactions'!$E$2:$E$500,"complaint")=0,10,0),0))</x:f>
      </x:c>
      <x:c r="R283" s="108" t="str">
        <x:f>IF($A283="","",IF($J283="inactive","inactive",IF($J283="at_risk","at_risk",IF($Q283&gt;=85,"vip",IF($Q283&gt;=70,"loyal",IF($Q283&gt;=50,"active",IF($N283=0,"new","needs_attention")))))))</x:f>
      </x:c>
      <x:c r="S283" s="19"/>
      <x:c r="T283" s="18"/>
      <x:c r="U283" s="19"/>
      <x:c r="V283" s="20"/>
      <x:c r="W283" s="26"/>
      <x:c r="X283" s="19"/>
      <x:c r="Y283" s="26"/>
      <x:c r="Z283" s="19"/>
      <x:c r="AA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20"/>
      <x:c r="J284" s="19"/>
      <x:c r="K284" s="19"/>
      <x:c r="L284" s="92" t="str">
        <x:f>IF($A284="","",IF(COUNTIFS('Orders'!$C$2:$C$500,$A284,'Orders'!$M$2:$M$500,"&lt;&gt;cancelled")=0,"",MAXIFS('Orders'!$G$2:$G$500,'Orders'!$C$2:$C$500,$A284,'Orders'!$M$2:$M$500,"&lt;&gt;cancelled")))</x:f>
      </x:c>
      <x:c r="M284" s="96" t="str">
        <x:f>IF($A284="","",SUMIFS('Orders'!$K$2:$K$500,'Orders'!$C$2:$C$500,$A284,'Orders'!$M$2:$M$500,"&lt;&gt;cancelled"))</x:f>
      </x:c>
      <x:c r="N284" s="96" t="str">
        <x:f>IF($A284="","",COUNTIFS('Orders'!$C$2:$C$500,$A284,'Orders'!$M$2:$M$500,"&lt;&gt;cancelled"))</x:f>
      </x:c>
      <x:c r="O284" s="100" t="str">
        <x:f>IF($A284="","",IF(COUNTIF('Interactions'!$B$2:$B$500,$A284)=0,"",MAXIFS('Interactions'!$G$2:$G$500,'Interactions'!$B$2:$B$500,$A284)))</x:f>
      </x:c>
      <x:c r="P284" s="100" t="str">
        <x:f>IF($A284="","",IF(COUNTIFS('FollowUps'!$B$2:$B$500,$A284,'FollowUps'!$H$2:$H$500,"open")=0,"",MINIFS('FollowUps'!$E$2:$E$500,'FollowUps'!$B$2:$B$500,$A284,'FollowUps'!$H$2:$H$500,"open")))</x:f>
      </x:c>
      <x:c r="Q284" s="104" t="str">
        <x:f>IF($A284="","",ROUND(MIN(25,$N284/VALUE(INDEX('Settings'!$B$2:$B$100,MATCH("score_purchase_target",'Settings'!$A$2:$A$100,0)))*25)+MIN(25,$M284/VALUE(INDEX('Settings'!$B$2:$B$100,MATCH("score_value_target",'Settings'!$A$2:$A$100,0)))*25)+IF($L284="",0,MAX(0,25-(TODAY()-$L284)/VALUE(INDEX('Settings'!$B$2:$B$100,MATCH("score_recency_days",'Settings'!$A$2:$A$100,0)))*25))+MIN(15,COUNTIFS('FollowUps'!$B$2:$B$500,$A284,'FollowUps'!$H$2:$H$500,"done")/VALUE(INDEX('Settings'!$B$2:$B$100,MATCH("score_response_target",'Settings'!$A$2:$A$100,0)))*15)+IF(COUNTIFS('Interactions'!$B$2:$B$500,$A284,'Interactions'!$E$2:$E$500,"complaint")=0,10,0),0))</x:f>
      </x:c>
      <x:c r="R284" s="108" t="str">
        <x:f>IF($A284="","",IF($J284="inactive","inactive",IF($J284="at_risk","at_risk",IF($Q284&gt;=85,"vip",IF($Q284&gt;=70,"loyal",IF($Q284&gt;=50,"active",IF($N284=0,"new","needs_attention")))))))</x:f>
      </x:c>
      <x:c r="S284" s="19"/>
      <x:c r="T284" s="18"/>
      <x:c r="U284" s="19"/>
      <x:c r="V284" s="20"/>
      <x:c r="W284" s="26"/>
      <x:c r="X284" s="19"/>
      <x:c r="Y284" s="26"/>
      <x:c r="Z284" s="19"/>
      <x:c r="AA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20"/>
      <x:c r="J285" s="19"/>
      <x:c r="K285" s="19"/>
      <x:c r="L285" s="92" t="str">
        <x:f>IF($A285="","",IF(COUNTIFS('Orders'!$C$2:$C$500,$A285,'Orders'!$M$2:$M$500,"&lt;&gt;cancelled")=0,"",MAXIFS('Orders'!$G$2:$G$500,'Orders'!$C$2:$C$500,$A285,'Orders'!$M$2:$M$500,"&lt;&gt;cancelled")))</x:f>
      </x:c>
      <x:c r="M285" s="96" t="str">
        <x:f>IF($A285="","",SUMIFS('Orders'!$K$2:$K$500,'Orders'!$C$2:$C$500,$A285,'Orders'!$M$2:$M$500,"&lt;&gt;cancelled"))</x:f>
      </x:c>
      <x:c r="N285" s="96" t="str">
        <x:f>IF($A285="","",COUNTIFS('Orders'!$C$2:$C$500,$A285,'Orders'!$M$2:$M$500,"&lt;&gt;cancelled"))</x:f>
      </x:c>
      <x:c r="O285" s="100" t="str">
        <x:f>IF($A285="","",IF(COUNTIF('Interactions'!$B$2:$B$500,$A285)=0,"",MAXIFS('Interactions'!$G$2:$G$500,'Interactions'!$B$2:$B$500,$A285)))</x:f>
      </x:c>
      <x:c r="P285" s="100" t="str">
        <x:f>IF($A285="","",IF(COUNTIFS('FollowUps'!$B$2:$B$500,$A285,'FollowUps'!$H$2:$H$500,"open")=0,"",MINIFS('FollowUps'!$E$2:$E$500,'FollowUps'!$B$2:$B$500,$A285,'FollowUps'!$H$2:$H$500,"open")))</x:f>
      </x:c>
      <x:c r="Q285" s="104" t="str">
        <x:f>IF($A285="","",ROUND(MIN(25,$N285/VALUE(INDEX('Settings'!$B$2:$B$100,MATCH("score_purchase_target",'Settings'!$A$2:$A$100,0)))*25)+MIN(25,$M285/VALUE(INDEX('Settings'!$B$2:$B$100,MATCH("score_value_target",'Settings'!$A$2:$A$100,0)))*25)+IF($L285="",0,MAX(0,25-(TODAY()-$L285)/VALUE(INDEX('Settings'!$B$2:$B$100,MATCH("score_recency_days",'Settings'!$A$2:$A$100,0)))*25))+MIN(15,COUNTIFS('FollowUps'!$B$2:$B$500,$A285,'FollowUps'!$H$2:$H$500,"done")/VALUE(INDEX('Settings'!$B$2:$B$100,MATCH("score_response_target",'Settings'!$A$2:$A$100,0)))*15)+IF(COUNTIFS('Interactions'!$B$2:$B$500,$A285,'Interactions'!$E$2:$E$500,"complaint")=0,10,0),0))</x:f>
      </x:c>
      <x:c r="R285" s="108" t="str">
        <x:f>IF($A285="","",IF($J285="inactive","inactive",IF($J285="at_risk","at_risk",IF($Q285&gt;=85,"vip",IF($Q285&gt;=70,"loyal",IF($Q285&gt;=50,"active",IF($N285=0,"new","needs_attention")))))))</x:f>
      </x:c>
      <x:c r="S285" s="19"/>
      <x:c r="T285" s="18"/>
      <x:c r="U285" s="19"/>
      <x:c r="V285" s="20"/>
      <x:c r="W285" s="26"/>
      <x:c r="X285" s="19"/>
      <x:c r="Y285" s="26"/>
      <x:c r="Z285" s="19"/>
      <x:c r="AA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20"/>
      <x:c r="J286" s="19"/>
      <x:c r="K286" s="19"/>
      <x:c r="L286" s="92" t="str">
        <x:f>IF($A286="","",IF(COUNTIFS('Orders'!$C$2:$C$500,$A286,'Orders'!$M$2:$M$500,"&lt;&gt;cancelled")=0,"",MAXIFS('Orders'!$G$2:$G$500,'Orders'!$C$2:$C$500,$A286,'Orders'!$M$2:$M$500,"&lt;&gt;cancelled")))</x:f>
      </x:c>
      <x:c r="M286" s="96" t="str">
        <x:f>IF($A286="","",SUMIFS('Orders'!$K$2:$K$500,'Orders'!$C$2:$C$500,$A286,'Orders'!$M$2:$M$500,"&lt;&gt;cancelled"))</x:f>
      </x:c>
      <x:c r="N286" s="96" t="str">
        <x:f>IF($A286="","",COUNTIFS('Orders'!$C$2:$C$500,$A286,'Orders'!$M$2:$M$500,"&lt;&gt;cancelled"))</x:f>
      </x:c>
      <x:c r="O286" s="100" t="str">
        <x:f>IF($A286="","",IF(COUNTIF('Interactions'!$B$2:$B$500,$A286)=0,"",MAXIFS('Interactions'!$G$2:$G$500,'Interactions'!$B$2:$B$500,$A286)))</x:f>
      </x:c>
      <x:c r="P286" s="100" t="str">
        <x:f>IF($A286="","",IF(COUNTIFS('FollowUps'!$B$2:$B$500,$A286,'FollowUps'!$H$2:$H$500,"open")=0,"",MINIFS('FollowUps'!$E$2:$E$500,'FollowUps'!$B$2:$B$500,$A286,'FollowUps'!$H$2:$H$500,"open")))</x:f>
      </x:c>
      <x:c r="Q286" s="104" t="str">
        <x:f>IF($A286="","",ROUND(MIN(25,$N286/VALUE(INDEX('Settings'!$B$2:$B$100,MATCH("score_purchase_target",'Settings'!$A$2:$A$100,0)))*25)+MIN(25,$M286/VALUE(INDEX('Settings'!$B$2:$B$100,MATCH("score_value_target",'Settings'!$A$2:$A$100,0)))*25)+IF($L286="",0,MAX(0,25-(TODAY()-$L286)/VALUE(INDEX('Settings'!$B$2:$B$100,MATCH("score_recency_days",'Settings'!$A$2:$A$100,0)))*25))+MIN(15,COUNTIFS('FollowUps'!$B$2:$B$500,$A286,'FollowUps'!$H$2:$H$500,"done")/VALUE(INDEX('Settings'!$B$2:$B$100,MATCH("score_response_target",'Settings'!$A$2:$A$100,0)))*15)+IF(COUNTIFS('Interactions'!$B$2:$B$500,$A286,'Interactions'!$E$2:$E$500,"complaint")=0,10,0),0))</x:f>
      </x:c>
      <x:c r="R286" s="108" t="str">
        <x:f>IF($A286="","",IF($J286="inactive","inactive",IF($J286="at_risk","at_risk",IF($Q286&gt;=85,"vip",IF($Q286&gt;=70,"loyal",IF($Q286&gt;=50,"active",IF($N286=0,"new","needs_attention")))))))</x:f>
      </x:c>
      <x:c r="S286" s="19"/>
      <x:c r="T286" s="18"/>
      <x:c r="U286" s="19"/>
      <x:c r="V286" s="20"/>
      <x:c r="W286" s="26"/>
      <x:c r="X286" s="19"/>
      <x:c r="Y286" s="26"/>
      <x:c r="Z286" s="19"/>
      <x:c r="AA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20"/>
      <x:c r="J287" s="19"/>
      <x:c r="K287" s="19"/>
      <x:c r="L287" s="92" t="str">
        <x:f>IF($A287="","",IF(COUNTIFS('Orders'!$C$2:$C$500,$A287,'Orders'!$M$2:$M$500,"&lt;&gt;cancelled")=0,"",MAXIFS('Orders'!$G$2:$G$500,'Orders'!$C$2:$C$500,$A287,'Orders'!$M$2:$M$500,"&lt;&gt;cancelled")))</x:f>
      </x:c>
      <x:c r="M287" s="96" t="str">
        <x:f>IF($A287="","",SUMIFS('Orders'!$K$2:$K$500,'Orders'!$C$2:$C$500,$A287,'Orders'!$M$2:$M$500,"&lt;&gt;cancelled"))</x:f>
      </x:c>
      <x:c r="N287" s="96" t="str">
        <x:f>IF($A287="","",COUNTIFS('Orders'!$C$2:$C$500,$A287,'Orders'!$M$2:$M$500,"&lt;&gt;cancelled"))</x:f>
      </x:c>
      <x:c r="O287" s="100" t="str">
        <x:f>IF($A287="","",IF(COUNTIF('Interactions'!$B$2:$B$500,$A287)=0,"",MAXIFS('Interactions'!$G$2:$G$500,'Interactions'!$B$2:$B$500,$A287)))</x:f>
      </x:c>
      <x:c r="P287" s="100" t="str">
        <x:f>IF($A287="","",IF(COUNTIFS('FollowUps'!$B$2:$B$500,$A287,'FollowUps'!$H$2:$H$500,"open")=0,"",MINIFS('FollowUps'!$E$2:$E$500,'FollowUps'!$B$2:$B$500,$A287,'FollowUps'!$H$2:$H$500,"open")))</x:f>
      </x:c>
      <x:c r="Q287" s="104" t="str">
        <x:f>IF($A287="","",ROUND(MIN(25,$N287/VALUE(INDEX('Settings'!$B$2:$B$100,MATCH("score_purchase_target",'Settings'!$A$2:$A$100,0)))*25)+MIN(25,$M287/VALUE(INDEX('Settings'!$B$2:$B$100,MATCH("score_value_target",'Settings'!$A$2:$A$100,0)))*25)+IF($L287="",0,MAX(0,25-(TODAY()-$L287)/VALUE(INDEX('Settings'!$B$2:$B$100,MATCH("score_recency_days",'Settings'!$A$2:$A$100,0)))*25))+MIN(15,COUNTIFS('FollowUps'!$B$2:$B$500,$A287,'FollowUps'!$H$2:$H$500,"done")/VALUE(INDEX('Settings'!$B$2:$B$100,MATCH("score_response_target",'Settings'!$A$2:$A$100,0)))*15)+IF(COUNTIFS('Interactions'!$B$2:$B$500,$A287,'Interactions'!$E$2:$E$500,"complaint")=0,10,0),0))</x:f>
      </x:c>
      <x:c r="R287" s="108" t="str">
        <x:f>IF($A287="","",IF($J287="inactive","inactive",IF($J287="at_risk","at_risk",IF($Q287&gt;=85,"vip",IF($Q287&gt;=70,"loyal",IF($Q287&gt;=50,"active",IF($N287=0,"new","needs_attention")))))))</x:f>
      </x:c>
      <x:c r="S287" s="19"/>
      <x:c r="T287" s="18"/>
      <x:c r="U287" s="19"/>
      <x:c r="V287" s="20"/>
      <x:c r="W287" s="26"/>
      <x:c r="X287" s="19"/>
      <x:c r="Y287" s="26"/>
      <x:c r="Z287" s="19"/>
      <x:c r="AA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20"/>
      <x:c r="J288" s="19"/>
      <x:c r="K288" s="19"/>
      <x:c r="L288" s="92" t="str">
        <x:f>IF($A288="","",IF(COUNTIFS('Orders'!$C$2:$C$500,$A288,'Orders'!$M$2:$M$500,"&lt;&gt;cancelled")=0,"",MAXIFS('Orders'!$G$2:$G$500,'Orders'!$C$2:$C$500,$A288,'Orders'!$M$2:$M$500,"&lt;&gt;cancelled")))</x:f>
      </x:c>
      <x:c r="M288" s="96" t="str">
        <x:f>IF($A288="","",SUMIFS('Orders'!$K$2:$K$500,'Orders'!$C$2:$C$500,$A288,'Orders'!$M$2:$M$500,"&lt;&gt;cancelled"))</x:f>
      </x:c>
      <x:c r="N288" s="96" t="str">
        <x:f>IF($A288="","",COUNTIFS('Orders'!$C$2:$C$500,$A288,'Orders'!$M$2:$M$500,"&lt;&gt;cancelled"))</x:f>
      </x:c>
      <x:c r="O288" s="100" t="str">
        <x:f>IF($A288="","",IF(COUNTIF('Interactions'!$B$2:$B$500,$A288)=0,"",MAXIFS('Interactions'!$G$2:$G$500,'Interactions'!$B$2:$B$500,$A288)))</x:f>
      </x:c>
      <x:c r="P288" s="100" t="str">
        <x:f>IF($A288="","",IF(COUNTIFS('FollowUps'!$B$2:$B$500,$A288,'FollowUps'!$H$2:$H$500,"open")=0,"",MINIFS('FollowUps'!$E$2:$E$500,'FollowUps'!$B$2:$B$500,$A288,'FollowUps'!$H$2:$H$500,"open")))</x:f>
      </x:c>
      <x:c r="Q288" s="104" t="str">
        <x:f>IF($A288="","",ROUND(MIN(25,$N288/VALUE(INDEX('Settings'!$B$2:$B$100,MATCH("score_purchase_target",'Settings'!$A$2:$A$100,0)))*25)+MIN(25,$M288/VALUE(INDEX('Settings'!$B$2:$B$100,MATCH("score_value_target",'Settings'!$A$2:$A$100,0)))*25)+IF($L288="",0,MAX(0,25-(TODAY()-$L288)/VALUE(INDEX('Settings'!$B$2:$B$100,MATCH("score_recency_days",'Settings'!$A$2:$A$100,0)))*25))+MIN(15,COUNTIFS('FollowUps'!$B$2:$B$500,$A288,'FollowUps'!$H$2:$H$500,"done")/VALUE(INDEX('Settings'!$B$2:$B$100,MATCH("score_response_target",'Settings'!$A$2:$A$100,0)))*15)+IF(COUNTIFS('Interactions'!$B$2:$B$500,$A288,'Interactions'!$E$2:$E$500,"complaint")=0,10,0),0))</x:f>
      </x:c>
      <x:c r="R288" s="108" t="str">
        <x:f>IF($A288="","",IF($J288="inactive","inactive",IF($J288="at_risk","at_risk",IF($Q288&gt;=85,"vip",IF($Q288&gt;=70,"loyal",IF($Q288&gt;=50,"active",IF($N288=0,"new","needs_attention")))))))</x:f>
      </x:c>
      <x:c r="S288" s="19"/>
      <x:c r="T288" s="18"/>
      <x:c r="U288" s="19"/>
      <x:c r="V288" s="20"/>
      <x:c r="W288" s="26"/>
      <x:c r="X288" s="19"/>
      <x:c r="Y288" s="26"/>
      <x:c r="Z288" s="19"/>
      <x:c r="AA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20"/>
      <x:c r="J289" s="19"/>
      <x:c r="K289" s="19"/>
      <x:c r="L289" s="92" t="str">
        <x:f>IF($A289="","",IF(COUNTIFS('Orders'!$C$2:$C$500,$A289,'Orders'!$M$2:$M$500,"&lt;&gt;cancelled")=0,"",MAXIFS('Orders'!$G$2:$G$500,'Orders'!$C$2:$C$500,$A289,'Orders'!$M$2:$M$500,"&lt;&gt;cancelled")))</x:f>
      </x:c>
      <x:c r="M289" s="96" t="str">
        <x:f>IF($A289="","",SUMIFS('Orders'!$K$2:$K$500,'Orders'!$C$2:$C$500,$A289,'Orders'!$M$2:$M$500,"&lt;&gt;cancelled"))</x:f>
      </x:c>
      <x:c r="N289" s="96" t="str">
        <x:f>IF($A289="","",COUNTIFS('Orders'!$C$2:$C$500,$A289,'Orders'!$M$2:$M$500,"&lt;&gt;cancelled"))</x:f>
      </x:c>
      <x:c r="O289" s="100" t="str">
        <x:f>IF($A289="","",IF(COUNTIF('Interactions'!$B$2:$B$500,$A289)=0,"",MAXIFS('Interactions'!$G$2:$G$500,'Interactions'!$B$2:$B$500,$A289)))</x:f>
      </x:c>
      <x:c r="P289" s="100" t="str">
        <x:f>IF($A289="","",IF(COUNTIFS('FollowUps'!$B$2:$B$500,$A289,'FollowUps'!$H$2:$H$500,"open")=0,"",MINIFS('FollowUps'!$E$2:$E$500,'FollowUps'!$B$2:$B$500,$A289,'FollowUps'!$H$2:$H$500,"open")))</x:f>
      </x:c>
      <x:c r="Q289" s="104" t="str">
        <x:f>IF($A289="","",ROUND(MIN(25,$N289/VALUE(INDEX('Settings'!$B$2:$B$100,MATCH("score_purchase_target",'Settings'!$A$2:$A$100,0)))*25)+MIN(25,$M289/VALUE(INDEX('Settings'!$B$2:$B$100,MATCH("score_value_target",'Settings'!$A$2:$A$100,0)))*25)+IF($L289="",0,MAX(0,25-(TODAY()-$L289)/VALUE(INDEX('Settings'!$B$2:$B$100,MATCH("score_recency_days",'Settings'!$A$2:$A$100,0)))*25))+MIN(15,COUNTIFS('FollowUps'!$B$2:$B$500,$A289,'FollowUps'!$H$2:$H$500,"done")/VALUE(INDEX('Settings'!$B$2:$B$100,MATCH("score_response_target",'Settings'!$A$2:$A$100,0)))*15)+IF(COUNTIFS('Interactions'!$B$2:$B$500,$A289,'Interactions'!$E$2:$E$500,"complaint")=0,10,0),0))</x:f>
      </x:c>
      <x:c r="R289" s="108" t="str">
        <x:f>IF($A289="","",IF($J289="inactive","inactive",IF($J289="at_risk","at_risk",IF($Q289&gt;=85,"vip",IF($Q289&gt;=70,"loyal",IF($Q289&gt;=50,"active",IF($N289=0,"new","needs_attention")))))))</x:f>
      </x:c>
      <x:c r="S289" s="19"/>
      <x:c r="T289" s="18"/>
      <x:c r="U289" s="19"/>
      <x:c r="V289" s="20"/>
      <x:c r="W289" s="26"/>
      <x:c r="X289" s="19"/>
      <x:c r="Y289" s="26"/>
      <x:c r="Z289" s="19"/>
      <x:c r="AA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20"/>
      <x:c r="J290" s="19"/>
      <x:c r="K290" s="19"/>
      <x:c r="L290" s="92" t="str">
        <x:f>IF($A290="","",IF(COUNTIFS('Orders'!$C$2:$C$500,$A290,'Orders'!$M$2:$M$500,"&lt;&gt;cancelled")=0,"",MAXIFS('Orders'!$G$2:$G$500,'Orders'!$C$2:$C$500,$A290,'Orders'!$M$2:$M$500,"&lt;&gt;cancelled")))</x:f>
      </x:c>
      <x:c r="M290" s="96" t="str">
        <x:f>IF($A290="","",SUMIFS('Orders'!$K$2:$K$500,'Orders'!$C$2:$C$500,$A290,'Orders'!$M$2:$M$500,"&lt;&gt;cancelled"))</x:f>
      </x:c>
      <x:c r="N290" s="96" t="str">
        <x:f>IF($A290="","",COUNTIFS('Orders'!$C$2:$C$500,$A290,'Orders'!$M$2:$M$500,"&lt;&gt;cancelled"))</x:f>
      </x:c>
      <x:c r="O290" s="100" t="str">
        <x:f>IF($A290="","",IF(COUNTIF('Interactions'!$B$2:$B$500,$A290)=0,"",MAXIFS('Interactions'!$G$2:$G$500,'Interactions'!$B$2:$B$500,$A290)))</x:f>
      </x:c>
      <x:c r="P290" s="100" t="str">
        <x:f>IF($A290="","",IF(COUNTIFS('FollowUps'!$B$2:$B$500,$A290,'FollowUps'!$H$2:$H$500,"open")=0,"",MINIFS('FollowUps'!$E$2:$E$500,'FollowUps'!$B$2:$B$500,$A290,'FollowUps'!$H$2:$H$500,"open")))</x:f>
      </x:c>
      <x:c r="Q290" s="104" t="str">
        <x:f>IF($A290="","",ROUND(MIN(25,$N290/VALUE(INDEX('Settings'!$B$2:$B$100,MATCH("score_purchase_target",'Settings'!$A$2:$A$100,0)))*25)+MIN(25,$M290/VALUE(INDEX('Settings'!$B$2:$B$100,MATCH("score_value_target",'Settings'!$A$2:$A$100,0)))*25)+IF($L290="",0,MAX(0,25-(TODAY()-$L290)/VALUE(INDEX('Settings'!$B$2:$B$100,MATCH("score_recency_days",'Settings'!$A$2:$A$100,0)))*25))+MIN(15,COUNTIFS('FollowUps'!$B$2:$B$500,$A290,'FollowUps'!$H$2:$H$500,"done")/VALUE(INDEX('Settings'!$B$2:$B$100,MATCH("score_response_target",'Settings'!$A$2:$A$100,0)))*15)+IF(COUNTIFS('Interactions'!$B$2:$B$500,$A290,'Interactions'!$E$2:$E$500,"complaint")=0,10,0),0))</x:f>
      </x:c>
      <x:c r="R290" s="108" t="str">
        <x:f>IF($A290="","",IF($J290="inactive","inactive",IF($J290="at_risk","at_risk",IF($Q290&gt;=85,"vip",IF($Q290&gt;=70,"loyal",IF($Q290&gt;=50,"active",IF($N290=0,"new","needs_attention")))))))</x:f>
      </x:c>
      <x:c r="S290" s="19"/>
      <x:c r="T290" s="18"/>
      <x:c r="U290" s="19"/>
      <x:c r="V290" s="20"/>
      <x:c r="W290" s="26"/>
      <x:c r="X290" s="19"/>
      <x:c r="Y290" s="26"/>
      <x:c r="Z290" s="19"/>
      <x:c r="AA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20"/>
      <x:c r="J291" s="19"/>
      <x:c r="K291" s="19"/>
      <x:c r="L291" s="92" t="str">
        <x:f>IF($A291="","",IF(COUNTIFS('Orders'!$C$2:$C$500,$A291,'Orders'!$M$2:$M$500,"&lt;&gt;cancelled")=0,"",MAXIFS('Orders'!$G$2:$G$500,'Orders'!$C$2:$C$500,$A291,'Orders'!$M$2:$M$500,"&lt;&gt;cancelled")))</x:f>
      </x:c>
      <x:c r="M291" s="96" t="str">
        <x:f>IF($A291="","",SUMIFS('Orders'!$K$2:$K$500,'Orders'!$C$2:$C$500,$A291,'Orders'!$M$2:$M$500,"&lt;&gt;cancelled"))</x:f>
      </x:c>
      <x:c r="N291" s="96" t="str">
        <x:f>IF($A291="","",COUNTIFS('Orders'!$C$2:$C$500,$A291,'Orders'!$M$2:$M$500,"&lt;&gt;cancelled"))</x:f>
      </x:c>
      <x:c r="O291" s="100" t="str">
        <x:f>IF($A291="","",IF(COUNTIF('Interactions'!$B$2:$B$500,$A291)=0,"",MAXIFS('Interactions'!$G$2:$G$500,'Interactions'!$B$2:$B$500,$A291)))</x:f>
      </x:c>
      <x:c r="P291" s="100" t="str">
        <x:f>IF($A291="","",IF(COUNTIFS('FollowUps'!$B$2:$B$500,$A291,'FollowUps'!$H$2:$H$500,"open")=0,"",MINIFS('FollowUps'!$E$2:$E$500,'FollowUps'!$B$2:$B$500,$A291,'FollowUps'!$H$2:$H$500,"open")))</x:f>
      </x:c>
      <x:c r="Q291" s="104" t="str">
        <x:f>IF($A291="","",ROUND(MIN(25,$N291/VALUE(INDEX('Settings'!$B$2:$B$100,MATCH("score_purchase_target",'Settings'!$A$2:$A$100,0)))*25)+MIN(25,$M291/VALUE(INDEX('Settings'!$B$2:$B$100,MATCH("score_value_target",'Settings'!$A$2:$A$100,0)))*25)+IF($L291="",0,MAX(0,25-(TODAY()-$L291)/VALUE(INDEX('Settings'!$B$2:$B$100,MATCH("score_recency_days",'Settings'!$A$2:$A$100,0)))*25))+MIN(15,COUNTIFS('FollowUps'!$B$2:$B$500,$A291,'FollowUps'!$H$2:$H$500,"done")/VALUE(INDEX('Settings'!$B$2:$B$100,MATCH("score_response_target",'Settings'!$A$2:$A$100,0)))*15)+IF(COUNTIFS('Interactions'!$B$2:$B$500,$A291,'Interactions'!$E$2:$E$500,"complaint")=0,10,0),0))</x:f>
      </x:c>
      <x:c r="R291" s="108" t="str">
        <x:f>IF($A291="","",IF($J291="inactive","inactive",IF($J291="at_risk","at_risk",IF($Q291&gt;=85,"vip",IF($Q291&gt;=70,"loyal",IF($Q291&gt;=50,"active",IF($N291=0,"new","needs_attention")))))))</x:f>
      </x:c>
      <x:c r="S291" s="19"/>
      <x:c r="T291" s="18"/>
      <x:c r="U291" s="19"/>
      <x:c r="V291" s="20"/>
      <x:c r="W291" s="26"/>
      <x:c r="X291" s="19"/>
      <x:c r="Y291" s="26"/>
      <x:c r="Z291" s="19"/>
      <x:c r="AA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20"/>
      <x:c r="J292" s="19"/>
      <x:c r="K292" s="19"/>
      <x:c r="L292" s="92" t="str">
        <x:f>IF($A292="","",IF(COUNTIFS('Orders'!$C$2:$C$500,$A292,'Orders'!$M$2:$M$500,"&lt;&gt;cancelled")=0,"",MAXIFS('Orders'!$G$2:$G$500,'Orders'!$C$2:$C$500,$A292,'Orders'!$M$2:$M$500,"&lt;&gt;cancelled")))</x:f>
      </x:c>
      <x:c r="M292" s="96" t="str">
        <x:f>IF($A292="","",SUMIFS('Orders'!$K$2:$K$500,'Orders'!$C$2:$C$500,$A292,'Orders'!$M$2:$M$500,"&lt;&gt;cancelled"))</x:f>
      </x:c>
      <x:c r="N292" s="96" t="str">
        <x:f>IF($A292="","",COUNTIFS('Orders'!$C$2:$C$500,$A292,'Orders'!$M$2:$M$500,"&lt;&gt;cancelled"))</x:f>
      </x:c>
      <x:c r="O292" s="100" t="str">
        <x:f>IF($A292="","",IF(COUNTIF('Interactions'!$B$2:$B$500,$A292)=0,"",MAXIFS('Interactions'!$G$2:$G$500,'Interactions'!$B$2:$B$500,$A292)))</x:f>
      </x:c>
      <x:c r="P292" s="100" t="str">
        <x:f>IF($A292="","",IF(COUNTIFS('FollowUps'!$B$2:$B$500,$A292,'FollowUps'!$H$2:$H$500,"open")=0,"",MINIFS('FollowUps'!$E$2:$E$500,'FollowUps'!$B$2:$B$500,$A292,'FollowUps'!$H$2:$H$500,"open")))</x:f>
      </x:c>
      <x:c r="Q292" s="104" t="str">
        <x:f>IF($A292="","",ROUND(MIN(25,$N292/VALUE(INDEX('Settings'!$B$2:$B$100,MATCH("score_purchase_target",'Settings'!$A$2:$A$100,0)))*25)+MIN(25,$M292/VALUE(INDEX('Settings'!$B$2:$B$100,MATCH("score_value_target",'Settings'!$A$2:$A$100,0)))*25)+IF($L292="",0,MAX(0,25-(TODAY()-$L292)/VALUE(INDEX('Settings'!$B$2:$B$100,MATCH("score_recency_days",'Settings'!$A$2:$A$100,0)))*25))+MIN(15,COUNTIFS('FollowUps'!$B$2:$B$500,$A292,'FollowUps'!$H$2:$H$500,"done")/VALUE(INDEX('Settings'!$B$2:$B$100,MATCH("score_response_target",'Settings'!$A$2:$A$100,0)))*15)+IF(COUNTIFS('Interactions'!$B$2:$B$500,$A292,'Interactions'!$E$2:$E$500,"complaint")=0,10,0),0))</x:f>
      </x:c>
      <x:c r="R292" s="108" t="str">
        <x:f>IF($A292="","",IF($J292="inactive","inactive",IF($J292="at_risk","at_risk",IF($Q292&gt;=85,"vip",IF($Q292&gt;=70,"loyal",IF($Q292&gt;=50,"active",IF($N292=0,"new","needs_attention")))))))</x:f>
      </x:c>
      <x:c r="S292" s="19"/>
      <x:c r="T292" s="18"/>
      <x:c r="U292" s="19"/>
      <x:c r="V292" s="20"/>
      <x:c r="W292" s="26"/>
      <x:c r="X292" s="19"/>
      <x:c r="Y292" s="26"/>
      <x:c r="Z292" s="19"/>
      <x:c r="AA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20"/>
      <x:c r="J293" s="19"/>
      <x:c r="K293" s="19"/>
      <x:c r="L293" s="92" t="str">
        <x:f>IF($A293="","",IF(COUNTIFS('Orders'!$C$2:$C$500,$A293,'Orders'!$M$2:$M$500,"&lt;&gt;cancelled")=0,"",MAXIFS('Orders'!$G$2:$G$500,'Orders'!$C$2:$C$500,$A293,'Orders'!$M$2:$M$500,"&lt;&gt;cancelled")))</x:f>
      </x:c>
      <x:c r="M293" s="96" t="str">
        <x:f>IF($A293="","",SUMIFS('Orders'!$K$2:$K$500,'Orders'!$C$2:$C$500,$A293,'Orders'!$M$2:$M$500,"&lt;&gt;cancelled"))</x:f>
      </x:c>
      <x:c r="N293" s="96" t="str">
        <x:f>IF($A293="","",COUNTIFS('Orders'!$C$2:$C$500,$A293,'Orders'!$M$2:$M$500,"&lt;&gt;cancelled"))</x:f>
      </x:c>
      <x:c r="O293" s="100" t="str">
        <x:f>IF($A293="","",IF(COUNTIF('Interactions'!$B$2:$B$500,$A293)=0,"",MAXIFS('Interactions'!$G$2:$G$500,'Interactions'!$B$2:$B$500,$A293)))</x:f>
      </x:c>
      <x:c r="P293" s="100" t="str">
        <x:f>IF($A293="","",IF(COUNTIFS('FollowUps'!$B$2:$B$500,$A293,'FollowUps'!$H$2:$H$500,"open")=0,"",MINIFS('FollowUps'!$E$2:$E$500,'FollowUps'!$B$2:$B$500,$A293,'FollowUps'!$H$2:$H$500,"open")))</x:f>
      </x:c>
      <x:c r="Q293" s="104" t="str">
        <x:f>IF($A293="","",ROUND(MIN(25,$N293/VALUE(INDEX('Settings'!$B$2:$B$100,MATCH("score_purchase_target",'Settings'!$A$2:$A$100,0)))*25)+MIN(25,$M293/VALUE(INDEX('Settings'!$B$2:$B$100,MATCH("score_value_target",'Settings'!$A$2:$A$100,0)))*25)+IF($L293="",0,MAX(0,25-(TODAY()-$L293)/VALUE(INDEX('Settings'!$B$2:$B$100,MATCH("score_recency_days",'Settings'!$A$2:$A$100,0)))*25))+MIN(15,COUNTIFS('FollowUps'!$B$2:$B$500,$A293,'FollowUps'!$H$2:$H$500,"done")/VALUE(INDEX('Settings'!$B$2:$B$100,MATCH("score_response_target",'Settings'!$A$2:$A$100,0)))*15)+IF(COUNTIFS('Interactions'!$B$2:$B$500,$A293,'Interactions'!$E$2:$E$500,"complaint")=0,10,0),0))</x:f>
      </x:c>
      <x:c r="R293" s="108" t="str">
        <x:f>IF($A293="","",IF($J293="inactive","inactive",IF($J293="at_risk","at_risk",IF($Q293&gt;=85,"vip",IF($Q293&gt;=70,"loyal",IF($Q293&gt;=50,"active",IF($N293=0,"new","needs_attention")))))))</x:f>
      </x:c>
      <x:c r="S293" s="19"/>
      <x:c r="T293" s="18"/>
      <x:c r="U293" s="19"/>
      <x:c r="V293" s="20"/>
      <x:c r="W293" s="26"/>
      <x:c r="X293" s="19"/>
      <x:c r="Y293" s="26"/>
      <x:c r="Z293" s="19"/>
      <x:c r="AA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20"/>
      <x:c r="J294" s="19"/>
      <x:c r="K294" s="19"/>
      <x:c r="L294" s="92" t="str">
        <x:f>IF($A294="","",IF(COUNTIFS('Orders'!$C$2:$C$500,$A294,'Orders'!$M$2:$M$500,"&lt;&gt;cancelled")=0,"",MAXIFS('Orders'!$G$2:$G$500,'Orders'!$C$2:$C$500,$A294,'Orders'!$M$2:$M$500,"&lt;&gt;cancelled")))</x:f>
      </x:c>
      <x:c r="M294" s="96" t="str">
        <x:f>IF($A294="","",SUMIFS('Orders'!$K$2:$K$500,'Orders'!$C$2:$C$500,$A294,'Orders'!$M$2:$M$500,"&lt;&gt;cancelled"))</x:f>
      </x:c>
      <x:c r="N294" s="96" t="str">
        <x:f>IF($A294="","",COUNTIFS('Orders'!$C$2:$C$500,$A294,'Orders'!$M$2:$M$500,"&lt;&gt;cancelled"))</x:f>
      </x:c>
      <x:c r="O294" s="100" t="str">
        <x:f>IF($A294="","",IF(COUNTIF('Interactions'!$B$2:$B$500,$A294)=0,"",MAXIFS('Interactions'!$G$2:$G$500,'Interactions'!$B$2:$B$500,$A294)))</x:f>
      </x:c>
      <x:c r="P294" s="100" t="str">
        <x:f>IF($A294="","",IF(COUNTIFS('FollowUps'!$B$2:$B$500,$A294,'FollowUps'!$H$2:$H$500,"open")=0,"",MINIFS('FollowUps'!$E$2:$E$500,'FollowUps'!$B$2:$B$500,$A294,'FollowUps'!$H$2:$H$500,"open")))</x:f>
      </x:c>
      <x:c r="Q294" s="104" t="str">
        <x:f>IF($A294="","",ROUND(MIN(25,$N294/VALUE(INDEX('Settings'!$B$2:$B$100,MATCH("score_purchase_target",'Settings'!$A$2:$A$100,0)))*25)+MIN(25,$M294/VALUE(INDEX('Settings'!$B$2:$B$100,MATCH("score_value_target",'Settings'!$A$2:$A$100,0)))*25)+IF($L294="",0,MAX(0,25-(TODAY()-$L294)/VALUE(INDEX('Settings'!$B$2:$B$100,MATCH("score_recency_days",'Settings'!$A$2:$A$100,0)))*25))+MIN(15,COUNTIFS('FollowUps'!$B$2:$B$500,$A294,'FollowUps'!$H$2:$H$500,"done")/VALUE(INDEX('Settings'!$B$2:$B$100,MATCH("score_response_target",'Settings'!$A$2:$A$100,0)))*15)+IF(COUNTIFS('Interactions'!$B$2:$B$500,$A294,'Interactions'!$E$2:$E$500,"complaint")=0,10,0),0))</x:f>
      </x:c>
      <x:c r="R294" s="108" t="str">
        <x:f>IF($A294="","",IF($J294="inactive","inactive",IF($J294="at_risk","at_risk",IF($Q294&gt;=85,"vip",IF($Q294&gt;=70,"loyal",IF($Q294&gt;=50,"active",IF($N294=0,"new","needs_attention")))))))</x:f>
      </x:c>
      <x:c r="S294" s="19"/>
      <x:c r="T294" s="18"/>
      <x:c r="U294" s="19"/>
      <x:c r="V294" s="20"/>
      <x:c r="W294" s="26"/>
      <x:c r="X294" s="19"/>
      <x:c r="Y294" s="26"/>
      <x:c r="Z294" s="19"/>
      <x:c r="AA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20"/>
      <x:c r="J295" s="19"/>
      <x:c r="K295" s="19"/>
      <x:c r="L295" s="92" t="str">
        <x:f>IF($A295="","",IF(COUNTIFS('Orders'!$C$2:$C$500,$A295,'Orders'!$M$2:$M$500,"&lt;&gt;cancelled")=0,"",MAXIFS('Orders'!$G$2:$G$500,'Orders'!$C$2:$C$500,$A295,'Orders'!$M$2:$M$500,"&lt;&gt;cancelled")))</x:f>
      </x:c>
      <x:c r="M295" s="96" t="str">
        <x:f>IF($A295="","",SUMIFS('Orders'!$K$2:$K$500,'Orders'!$C$2:$C$500,$A295,'Orders'!$M$2:$M$500,"&lt;&gt;cancelled"))</x:f>
      </x:c>
      <x:c r="N295" s="96" t="str">
        <x:f>IF($A295="","",COUNTIFS('Orders'!$C$2:$C$500,$A295,'Orders'!$M$2:$M$500,"&lt;&gt;cancelled"))</x:f>
      </x:c>
      <x:c r="O295" s="100" t="str">
        <x:f>IF($A295="","",IF(COUNTIF('Interactions'!$B$2:$B$500,$A295)=0,"",MAXIFS('Interactions'!$G$2:$G$500,'Interactions'!$B$2:$B$500,$A295)))</x:f>
      </x:c>
      <x:c r="P295" s="100" t="str">
        <x:f>IF($A295="","",IF(COUNTIFS('FollowUps'!$B$2:$B$500,$A295,'FollowUps'!$H$2:$H$500,"open")=0,"",MINIFS('FollowUps'!$E$2:$E$500,'FollowUps'!$B$2:$B$500,$A295,'FollowUps'!$H$2:$H$500,"open")))</x:f>
      </x:c>
      <x:c r="Q295" s="104" t="str">
        <x:f>IF($A295="","",ROUND(MIN(25,$N295/VALUE(INDEX('Settings'!$B$2:$B$100,MATCH("score_purchase_target",'Settings'!$A$2:$A$100,0)))*25)+MIN(25,$M295/VALUE(INDEX('Settings'!$B$2:$B$100,MATCH("score_value_target",'Settings'!$A$2:$A$100,0)))*25)+IF($L295="",0,MAX(0,25-(TODAY()-$L295)/VALUE(INDEX('Settings'!$B$2:$B$100,MATCH("score_recency_days",'Settings'!$A$2:$A$100,0)))*25))+MIN(15,COUNTIFS('FollowUps'!$B$2:$B$500,$A295,'FollowUps'!$H$2:$H$500,"done")/VALUE(INDEX('Settings'!$B$2:$B$100,MATCH("score_response_target",'Settings'!$A$2:$A$100,0)))*15)+IF(COUNTIFS('Interactions'!$B$2:$B$500,$A295,'Interactions'!$E$2:$E$500,"complaint")=0,10,0),0))</x:f>
      </x:c>
      <x:c r="R295" s="108" t="str">
        <x:f>IF($A295="","",IF($J295="inactive","inactive",IF($J295="at_risk","at_risk",IF($Q295&gt;=85,"vip",IF($Q295&gt;=70,"loyal",IF($Q295&gt;=50,"active",IF($N295=0,"new","needs_attention")))))))</x:f>
      </x:c>
      <x:c r="S295" s="19"/>
      <x:c r="T295" s="18"/>
      <x:c r="U295" s="19"/>
      <x:c r="V295" s="20"/>
      <x:c r="W295" s="26"/>
      <x:c r="X295" s="19"/>
      <x:c r="Y295" s="26"/>
      <x:c r="Z295" s="19"/>
      <x:c r="AA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20"/>
      <x:c r="J296" s="19"/>
      <x:c r="K296" s="19"/>
      <x:c r="L296" s="92" t="str">
        <x:f>IF($A296="","",IF(COUNTIFS('Orders'!$C$2:$C$500,$A296,'Orders'!$M$2:$M$500,"&lt;&gt;cancelled")=0,"",MAXIFS('Orders'!$G$2:$G$500,'Orders'!$C$2:$C$500,$A296,'Orders'!$M$2:$M$500,"&lt;&gt;cancelled")))</x:f>
      </x:c>
      <x:c r="M296" s="96" t="str">
        <x:f>IF($A296="","",SUMIFS('Orders'!$K$2:$K$500,'Orders'!$C$2:$C$500,$A296,'Orders'!$M$2:$M$500,"&lt;&gt;cancelled"))</x:f>
      </x:c>
      <x:c r="N296" s="96" t="str">
        <x:f>IF($A296="","",COUNTIFS('Orders'!$C$2:$C$500,$A296,'Orders'!$M$2:$M$500,"&lt;&gt;cancelled"))</x:f>
      </x:c>
      <x:c r="O296" s="100" t="str">
        <x:f>IF($A296="","",IF(COUNTIF('Interactions'!$B$2:$B$500,$A296)=0,"",MAXIFS('Interactions'!$G$2:$G$500,'Interactions'!$B$2:$B$500,$A296)))</x:f>
      </x:c>
      <x:c r="P296" s="100" t="str">
        <x:f>IF($A296="","",IF(COUNTIFS('FollowUps'!$B$2:$B$500,$A296,'FollowUps'!$H$2:$H$500,"open")=0,"",MINIFS('FollowUps'!$E$2:$E$500,'FollowUps'!$B$2:$B$500,$A296,'FollowUps'!$H$2:$H$500,"open")))</x:f>
      </x:c>
      <x:c r="Q296" s="104" t="str">
        <x:f>IF($A296="","",ROUND(MIN(25,$N296/VALUE(INDEX('Settings'!$B$2:$B$100,MATCH("score_purchase_target",'Settings'!$A$2:$A$100,0)))*25)+MIN(25,$M296/VALUE(INDEX('Settings'!$B$2:$B$100,MATCH("score_value_target",'Settings'!$A$2:$A$100,0)))*25)+IF($L296="",0,MAX(0,25-(TODAY()-$L296)/VALUE(INDEX('Settings'!$B$2:$B$100,MATCH("score_recency_days",'Settings'!$A$2:$A$100,0)))*25))+MIN(15,COUNTIFS('FollowUps'!$B$2:$B$500,$A296,'FollowUps'!$H$2:$H$500,"done")/VALUE(INDEX('Settings'!$B$2:$B$100,MATCH("score_response_target",'Settings'!$A$2:$A$100,0)))*15)+IF(COUNTIFS('Interactions'!$B$2:$B$500,$A296,'Interactions'!$E$2:$E$500,"complaint")=0,10,0),0))</x:f>
      </x:c>
      <x:c r="R296" s="108" t="str">
        <x:f>IF($A296="","",IF($J296="inactive","inactive",IF($J296="at_risk","at_risk",IF($Q296&gt;=85,"vip",IF($Q296&gt;=70,"loyal",IF($Q296&gt;=50,"active",IF($N296=0,"new","needs_attention")))))))</x:f>
      </x:c>
      <x:c r="S296" s="19"/>
      <x:c r="T296" s="18"/>
      <x:c r="U296" s="19"/>
      <x:c r="V296" s="20"/>
      <x:c r="W296" s="26"/>
      <x:c r="X296" s="19"/>
      <x:c r="Y296" s="26"/>
      <x:c r="Z296" s="19"/>
      <x:c r="AA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20"/>
      <x:c r="J297" s="19"/>
      <x:c r="K297" s="19"/>
      <x:c r="L297" s="92" t="str">
        <x:f>IF($A297="","",IF(COUNTIFS('Orders'!$C$2:$C$500,$A297,'Orders'!$M$2:$M$500,"&lt;&gt;cancelled")=0,"",MAXIFS('Orders'!$G$2:$G$500,'Orders'!$C$2:$C$500,$A297,'Orders'!$M$2:$M$500,"&lt;&gt;cancelled")))</x:f>
      </x:c>
      <x:c r="M297" s="96" t="str">
        <x:f>IF($A297="","",SUMIFS('Orders'!$K$2:$K$500,'Orders'!$C$2:$C$500,$A297,'Orders'!$M$2:$M$500,"&lt;&gt;cancelled"))</x:f>
      </x:c>
      <x:c r="N297" s="96" t="str">
        <x:f>IF($A297="","",COUNTIFS('Orders'!$C$2:$C$500,$A297,'Orders'!$M$2:$M$500,"&lt;&gt;cancelled"))</x:f>
      </x:c>
      <x:c r="O297" s="100" t="str">
        <x:f>IF($A297="","",IF(COUNTIF('Interactions'!$B$2:$B$500,$A297)=0,"",MAXIFS('Interactions'!$G$2:$G$500,'Interactions'!$B$2:$B$500,$A297)))</x:f>
      </x:c>
      <x:c r="P297" s="100" t="str">
        <x:f>IF($A297="","",IF(COUNTIFS('FollowUps'!$B$2:$B$500,$A297,'FollowUps'!$H$2:$H$500,"open")=0,"",MINIFS('FollowUps'!$E$2:$E$500,'FollowUps'!$B$2:$B$500,$A297,'FollowUps'!$H$2:$H$500,"open")))</x:f>
      </x:c>
      <x:c r="Q297" s="104" t="str">
        <x:f>IF($A297="","",ROUND(MIN(25,$N297/VALUE(INDEX('Settings'!$B$2:$B$100,MATCH("score_purchase_target",'Settings'!$A$2:$A$100,0)))*25)+MIN(25,$M297/VALUE(INDEX('Settings'!$B$2:$B$100,MATCH("score_value_target",'Settings'!$A$2:$A$100,0)))*25)+IF($L297="",0,MAX(0,25-(TODAY()-$L297)/VALUE(INDEX('Settings'!$B$2:$B$100,MATCH("score_recency_days",'Settings'!$A$2:$A$100,0)))*25))+MIN(15,COUNTIFS('FollowUps'!$B$2:$B$500,$A297,'FollowUps'!$H$2:$H$500,"done")/VALUE(INDEX('Settings'!$B$2:$B$100,MATCH("score_response_target",'Settings'!$A$2:$A$100,0)))*15)+IF(COUNTIFS('Interactions'!$B$2:$B$500,$A297,'Interactions'!$E$2:$E$500,"complaint")=0,10,0),0))</x:f>
      </x:c>
      <x:c r="R297" s="108" t="str">
        <x:f>IF($A297="","",IF($J297="inactive","inactive",IF($J297="at_risk","at_risk",IF($Q297&gt;=85,"vip",IF($Q297&gt;=70,"loyal",IF($Q297&gt;=50,"active",IF($N297=0,"new","needs_attention")))))))</x:f>
      </x:c>
      <x:c r="S297" s="19"/>
      <x:c r="T297" s="18"/>
      <x:c r="U297" s="19"/>
      <x:c r="V297" s="20"/>
      <x:c r="W297" s="26"/>
      <x:c r="X297" s="19"/>
      <x:c r="Y297" s="26"/>
      <x:c r="Z297" s="19"/>
      <x:c r="AA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20"/>
      <x:c r="J298" s="19"/>
      <x:c r="K298" s="19"/>
      <x:c r="L298" s="92" t="str">
        <x:f>IF($A298="","",IF(COUNTIFS('Orders'!$C$2:$C$500,$A298,'Orders'!$M$2:$M$500,"&lt;&gt;cancelled")=0,"",MAXIFS('Orders'!$G$2:$G$500,'Orders'!$C$2:$C$500,$A298,'Orders'!$M$2:$M$500,"&lt;&gt;cancelled")))</x:f>
      </x:c>
      <x:c r="M298" s="96" t="str">
        <x:f>IF($A298="","",SUMIFS('Orders'!$K$2:$K$500,'Orders'!$C$2:$C$500,$A298,'Orders'!$M$2:$M$500,"&lt;&gt;cancelled"))</x:f>
      </x:c>
      <x:c r="N298" s="96" t="str">
        <x:f>IF($A298="","",COUNTIFS('Orders'!$C$2:$C$500,$A298,'Orders'!$M$2:$M$500,"&lt;&gt;cancelled"))</x:f>
      </x:c>
      <x:c r="O298" s="100" t="str">
        <x:f>IF($A298="","",IF(COUNTIF('Interactions'!$B$2:$B$500,$A298)=0,"",MAXIFS('Interactions'!$G$2:$G$500,'Interactions'!$B$2:$B$500,$A298)))</x:f>
      </x:c>
      <x:c r="P298" s="100" t="str">
        <x:f>IF($A298="","",IF(COUNTIFS('FollowUps'!$B$2:$B$500,$A298,'FollowUps'!$H$2:$H$500,"open")=0,"",MINIFS('FollowUps'!$E$2:$E$500,'FollowUps'!$B$2:$B$500,$A298,'FollowUps'!$H$2:$H$500,"open")))</x:f>
      </x:c>
      <x:c r="Q298" s="104" t="str">
        <x:f>IF($A298="","",ROUND(MIN(25,$N298/VALUE(INDEX('Settings'!$B$2:$B$100,MATCH("score_purchase_target",'Settings'!$A$2:$A$100,0)))*25)+MIN(25,$M298/VALUE(INDEX('Settings'!$B$2:$B$100,MATCH("score_value_target",'Settings'!$A$2:$A$100,0)))*25)+IF($L298="",0,MAX(0,25-(TODAY()-$L298)/VALUE(INDEX('Settings'!$B$2:$B$100,MATCH("score_recency_days",'Settings'!$A$2:$A$100,0)))*25))+MIN(15,COUNTIFS('FollowUps'!$B$2:$B$500,$A298,'FollowUps'!$H$2:$H$500,"done")/VALUE(INDEX('Settings'!$B$2:$B$100,MATCH("score_response_target",'Settings'!$A$2:$A$100,0)))*15)+IF(COUNTIFS('Interactions'!$B$2:$B$500,$A298,'Interactions'!$E$2:$E$500,"complaint")=0,10,0),0))</x:f>
      </x:c>
      <x:c r="R298" s="108" t="str">
        <x:f>IF($A298="","",IF($J298="inactive","inactive",IF($J298="at_risk","at_risk",IF($Q298&gt;=85,"vip",IF($Q298&gt;=70,"loyal",IF($Q298&gt;=50,"active",IF($N298=0,"new","needs_attention")))))))</x:f>
      </x:c>
      <x:c r="S298" s="19"/>
      <x:c r="T298" s="18"/>
      <x:c r="U298" s="19"/>
      <x:c r="V298" s="20"/>
      <x:c r="W298" s="26"/>
      <x:c r="X298" s="19"/>
      <x:c r="Y298" s="26"/>
      <x:c r="Z298" s="19"/>
      <x:c r="AA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20"/>
      <x:c r="J299" s="19"/>
      <x:c r="K299" s="19"/>
      <x:c r="L299" s="92" t="str">
        <x:f>IF($A299="","",IF(COUNTIFS('Orders'!$C$2:$C$500,$A299,'Orders'!$M$2:$M$500,"&lt;&gt;cancelled")=0,"",MAXIFS('Orders'!$G$2:$G$500,'Orders'!$C$2:$C$500,$A299,'Orders'!$M$2:$M$500,"&lt;&gt;cancelled")))</x:f>
      </x:c>
      <x:c r="M299" s="96" t="str">
        <x:f>IF($A299="","",SUMIFS('Orders'!$K$2:$K$500,'Orders'!$C$2:$C$500,$A299,'Orders'!$M$2:$M$500,"&lt;&gt;cancelled"))</x:f>
      </x:c>
      <x:c r="N299" s="96" t="str">
        <x:f>IF($A299="","",COUNTIFS('Orders'!$C$2:$C$500,$A299,'Orders'!$M$2:$M$500,"&lt;&gt;cancelled"))</x:f>
      </x:c>
      <x:c r="O299" s="100" t="str">
        <x:f>IF($A299="","",IF(COUNTIF('Interactions'!$B$2:$B$500,$A299)=0,"",MAXIFS('Interactions'!$G$2:$G$500,'Interactions'!$B$2:$B$500,$A299)))</x:f>
      </x:c>
      <x:c r="P299" s="100" t="str">
        <x:f>IF($A299="","",IF(COUNTIFS('FollowUps'!$B$2:$B$500,$A299,'FollowUps'!$H$2:$H$500,"open")=0,"",MINIFS('FollowUps'!$E$2:$E$500,'FollowUps'!$B$2:$B$500,$A299,'FollowUps'!$H$2:$H$500,"open")))</x:f>
      </x:c>
      <x:c r="Q299" s="104" t="str">
        <x:f>IF($A299="","",ROUND(MIN(25,$N299/VALUE(INDEX('Settings'!$B$2:$B$100,MATCH("score_purchase_target",'Settings'!$A$2:$A$100,0)))*25)+MIN(25,$M299/VALUE(INDEX('Settings'!$B$2:$B$100,MATCH("score_value_target",'Settings'!$A$2:$A$100,0)))*25)+IF($L299="",0,MAX(0,25-(TODAY()-$L299)/VALUE(INDEX('Settings'!$B$2:$B$100,MATCH("score_recency_days",'Settings'!$A$2:$A$100,0)))*25))+MIN(15,COUNTIFS('FollowUps'!$B$2:$B$500,$A299,'FollowUps'!$H$2:$H$500,"done")/VALUE(INDEX('Settings'!$B$2:$B$100,MATCH("score_response_target",'Settings'!$A$2:$A$100,0)))*15)+IF(COUNTIFS('Interactions'!$B$2:$B$500,$A299,'Interactions'!$E$2:$E$500,"complaint")=0,10,0),0))</x:f>
      </x:c>
      <x:c r="R299" s="108" t="str">
        <x:f>IF($A299="","",IF($J299="inactive","inactive",IF($J299="at_risk","at_risk",IF($Q299&gt;=85,"vip",IF($Q299&gt;=70,"loyal",IF($Q299&gt;=50,"active",IF($N299=0,"new","needs_attention")))))))</x:f>
      </x:c>
      <x:c r="S299" s="19"/>
      <x:c r="T299" s="18"/>
      <x:c r="U299" s="19"/>
      <x:c r="V299" s="20"/>
      <x:c r="W299" s="26"/>
      <x:c r="X299" s="19"/>
      <x:c r="Y299" s="26"/>
      <x:c r="Z299" s="19"/>
      <x:c r="AA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20"/>
      <x:c r="J300" s="19"/>
      <x:c r="K300" s="19"/>
      <x:c r="L300" s="92" t="str">
        <x:f>IF($A300="","",IF(COUNTIFS('Orders'!$C$2:$C$500,$A300,'Orders'!$M$2:$M$500,"&lt;&gt;cancelled")=0,"",MAXIFS('Orders'!$G$2:$G$500,'Orders'!$C$2:$C$500,$A300,'Orders'!$M$2:$M$500,"&lt;&gt;cancelled")))</x:f>
      </x:c>
      <x:c r="M300" s="96" t="str">
        <x:f>IF($A300="","",SUMIFS('Orders'!$K$2:$K$500,'Orders'!$C$2:$C$500,$A300,'Orders'!$M$2:$M$500,"&lt;&gt;cancelled"))</x:f>
      </x:c>
      <x:c r="N300" s="96" t="str">
        <x:f>IF($A300="","",COUNTIFS('Orders'!$C$2:$C$500,$A300,'Orders'!$M$2:$M$500,"&lt;&gt;cancelled"))</x:f>
      </x:c>
      <x:c r="O300" s="100" t="str">
        <x:f>IF($A300="","",IF(COUNTIF('Interactions'!$B$2:$B$500,$A300)=0,"",MAXIFS('Interactions'!$G$2:$G$500,'Interactions'!$B$2:$B$500,$A300)))</x:f>
      </x:c>
      <x:c r="P300" s="100" t="str">
        <x:f>IF($A300="","",IF(COUNTIFS('FollowUps'!$B$2:$B$500,$A300,'FollowUps'!$H$2:$H$500,"open")=0,"",MINIFS('FollowUps'!$E$2:$E$500,'FollowUps'!$B$2:$B$500,$A300,'FollowUps'!$H$2:$H$500,"open")))</x:f>
      </x:c>
      <x:c r="Q300" s="104" t="str">
        <x:f>IF($A300="","",ROUND(MIN(25,$N300/VALUE(INDEX('Settings'!$B$2:$B$100,MATCH("score_purchase_target",'Settings'!$A$2:$A$100,0)))*25)+MIN(25,$M300/VALUE(INDEX('Settings'!$B$2:$B$100,MATCH("score_value_target",'Settings'!$A$2:$A$100,0)))*25)+IF($L300="",0,MAX(0,25-(TODAY()-$L300)/VALUE(INDEX('Settings'!$B$2:$B$100,MATCH("score_recency_days",'Settings'!$A$2:$A$100,0)))*25))+MIN(15,COUNTIFS('FollowUps'!$B$2:$B$500,$A300,'FollowUps'!$H$2:$H$500,"done")/VALUE(INDEX('Settings'!$B$2:$B$100,MATCH("score_response_target",'Settings'!$A$2:$A$100,0)))*15)+IF(COUNTIFS('Interactions'!$B$2:$B$500,$A300,'Interactions'!$E$2:$E$500,"complaint")=0,10,0),0))</x:f>
      </x:c>
      <x:c r="R300" s="108" t="str">
        <x:f>IF($A300="","",IF($J300="inactive","inactive",IF($J300="at_risk","at_risk",IF($Q300&gt;=85,"vip",IF($Q300&gt;=70,"loyal",IF($Q300&gt;=50,"active",IF($N300=0,"new","needs_attention")))))))</x:f>
      </x:c>
      <x:c r="S300" s="19"/>
      <x:c r="T300" s="18"/>
      <x:c r="U300" s="19"/>
      <x:c r="V300" s="20"/>
      <x:c r="W300" s="26"/>
      <x:c r="X300" s="19"/>
      <x:c r="Y300" s="26"/>
      <x:c r="Z300" s="19"/>
      <x:c r="AA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20"/>
      <x:c r="J301" s="19"/>
      <x:c r="K301" s="19"/>
      <x:c r="L301" s="92" t="str">
        <x:f>IF($A301="","",IF(COUNTIFS('Orders'!$C$2:$C$500,$A301,'Orders'!$M$2:$M$500,"&lt;&gt;cancelled")=0,"",MAXIFS('Orders'!$G$2:$G$500,'Orders'!$C$2:$C$500,$A301,'Orders'!$M$2:$M$500,"&lt;&gt;cancelled")))</x:f>
      </x:c>
      <x:c r="M301" s="96" t="str">
        <x:f>IF($A301="","",SUMIFS('Orders'!$K$2:$K$500,'Orders'!$C$2:$C$500,$A301,'Orders'!$M$2:$M$500,"&lt;&gt;cancelled"))</x:f>
      </x:c>
      <x:c r="N301" s="96" t="str">
        <x:f>IF($A301="","",COUNTIFS('Orders'!$C$2:$C$500,$A301,'Orders'!$M$2:$M$500,"&lt;&gt;cancelled"))</x:f>
      </x:c>
      <x:c r="O301" s="100" t="str">
        <x:f>IF($A301="","",IF(COUNTIF('Interactions'!$B$2:$B$500,$A301)=0,"",MAXIFS('Interactions'!$G$2:$G$500,'Interactions'!$B$2:$B$500,$A301)))</x:f>
      </x:c>
      <x:c r="P301" s="100" t="str">
        <x:f>IF($A301="","",IF(COUNTIFS('FollowUps'!$B$2:$B$500,$A301,'FollowUps'!$H$2:$H$500,"open")=0,"",MINIFS('FollowUps'!$E$2:$E$500,'FollowUps'!$B$2:$B$500,$A301,'FollowUps'!$H$2:$H$500,"open")))</x:f>
      </x:c>
      <x:c r="Q301" s="104" t="str">
        <x:f>IF($A301="","",ROUND(MIN(25,$N301/VALUE(INDEX('Settings'!$B$2:$B$100,MATCH("score_purchase_target",'Settings'!$A$2:$A$100,0)))*25)+MIN(25,$M301/VALUE(INDEX('Settings'!$B$2:$B$100,MATCH("score_value_target",'Settings'!$A$2:$A$100,0)))*25)+IF($L301="",0,MAX(0,25-(TODAY()-$L301)/VALUE(INDEX('Settings'!$B$2:$B$100,MATCH("score_recency_days",'Settings'!$A$2:$A$100,0)))*25))+MIN(15,COUNTIFS('FollowUps'!$B$2:$B$500,$A301,'FollowUps'!$H$2:$H$500,"done")/VALUE(INDEX('Settings'!$B$2:$B$100,MATCH("score_response_target",'Settings'!$A$2:$A$100,0)))*15)+IF(COUNTIFS('Interactions'!$B$2:$B$500,$A301,'Interactions'!$E$2:$E$500,"complaint")=0,10,0),0))</x:f>
      </x:c>
      <x:c r="R301" s="108" t="str">
        <x:f>IF($A301="","",IF($J301="inactive","inactive",IF($J301="at_risk","at_risk",IF($Q301&gt;=85,"vip",IF($Q301&gt;=70,"loyal",IF($Q301&gt;=50,"active",IF($N301=0,"new","needs_attention")))))))</x:f>
      </x:c>
      <x:c r="S301" s="19"/>
      <x:c r="T301" s="18"/>
      <x:c r="U301" s="19"/>
      <x:c r="V301" s="20"/>
      <x:c r="W301" s="26"/>
      <x:c r="X301" s="19"/>
      <x:c r="Y301" s="26"/>
      <x:c r="Z301" s="19"/>
      <x:c r="AA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20"/>
      <x:c r="J302" s="19"/>
      <x:c r="K302" s="19"/>
      <x:c r="L302" s="92" t="str">
        <x:f>IF($A302="","",IF(COUNTIFS('Orders'!$C$2:$C$500,$A302,'Orders'!$M$2:$M$500,"&lt;&gt;cancelled")=0,"",MAXIFS('Orders'!$G$2:$G$500,'Orders'!$C$2:$C$500,$A302,'Orders'!$M$2:$M$500,"&lt;&gt;cancelled")))</x:f>
      </x:c>
      <x:c r="M302" s="96" t="str">
        <x:f>IF($A302="","",SUMIFS('Orders'!$K$2:$K$500,'Orders'!$C$2:$C$500,$A302,'Orders'!$M$2:$M$500,"&lt;&gt;cancelled"))</x:f>
      </x:c>
      <x:c r="N302" s="96" t="str">
        <x:f>IF($A302="","",COUNTIFS('Orders'!$C$2:$C$500,$A302,'Orders'!$M$2:$M$500,"&lt;&gt;cancelled"))</x:f>
      </x:c>
      <x:c r="O302" s="100" t="str">
        <x:f>IF($A302="","",IF(COUNTIF('Interactions'!$B$2:$B$500,$A302)=0,"",MAXIFS('Interactions'!$G$2:$G$500,'Interactions'!$B$2:$B$500,$A302)))</x:f>
      </x:c>
      <x:c r="P302" s="100" t="str">
        <x:f>IF($A302="","",IF(COUNTIFS('FollowUps'!$B$2:$B$500,$A302,'FollowUps'!$H$2:$H$500,"open")=0,"",MINIFS('FollowUps'!$E$2:$E$500,'FollowUps'!$B$2:$B$500,$A302,'FollowUps'!$H$2:$H$500,"open")))</x:f>
      </x:c>
      <x:c r="Q302" s="104" t="str">
        <x:f>IF($A302="","",ROUND(MIN(25,$N302/VALUE(INDEX('Settings'!$B$2:$B$100,MATCH("score_purchase_target",'Settings'!$A$2:$A$100,0)))*25)+MIN(25,$M302/VALUE(INDEX('Settings'!$B$2:$B$100,MATCH("score_value_target",'Settings'!$A$2:$A$100,0)))*25)+IF($L302="",0,MAX(0,25-(TODAY()-$L302)/VALUE(INDEX('Settings'!$B$2:$B$100,MATCH("score_recency_days",'Settings'!$A$2:$A$100,0)))*25))+MIN(15,COUNTIFS('FollowUps'!$B$2:$B$500,$A302,'FollowUps'!$H$2:$H$500,"done")/VALUE(INDEX('Settings'!$B$2:$B$100,MATCH("score_response_target",'Settings'!$A$2:$A$100,0)))*15)+IF(COUNTIFS('Interactions'!$B$2:$B$500,$A302,'Interactions'!$E$2:$E$500,"complaint")=0,10,0),0))</x:f>
      </x:c>
      <x:c r="R302" s="108" t="str">
        <x:f>IF($A302="","",IF($J302="inactive","inactive",IF($J302="at_risk","at_risk",IF($Q302&gt;=85,"vip",IF($Q302&gt;=70,"loyal",IF($Q302&gt;=50,"active",IF($N302=0,"new","needs_attention")))))))</x:f>
      </x:c>
      <x:c r="S302" s="19"/>
      <x:c r="T302" s="18"/>
      <x:c r="U302" s="19"/>
      <x:c r="V302" s="20"/>
      <x:c r="W302" s="26"/>
      <x:c r="X302" s="19"/>
      <x:c r="Y302" s="26"/>
      <x:c r="Z302" s="19"/>
      <x:c r="AA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20"/>
      <x:c r="J303" s="19"/>
      <x:c r="K303" s="19"/>
      <x:c r="L303" s="92" t="str">
        <x:f>IF($A303="","",IF(COUNTIFS('Orders'!$C$2:$C$500,$A303,'Orders'!$M$2:$M$500,"&lt;&gt;cancelled")=0,"",MAXIFS('Orders'!$G$2:$G$500,'Orders'!$C$2:$C$500,$A303,'Orders'!$M$2:$M$500,"&lt;&gt;cancelled")))</x:f>
      </x:c>
      <x:c r="M303" s="96" t="str">
        <x:f>IF($A303="","",SUMIFS('Orders'!$K$2:$K$500,'Orders'!$C$2:$C$500,$A303,'Orders'!$M$2:$M$500,"&lt;&gt;cancelled"))</x:f>
      </x:c>
      <x:c r="N303" s="96" t="str">
        <x:f>IF($A303="","",COUNTIFS('Orders'!$C$2:$C$500,$A303,'Orders'!$M$2:$M$500,"&lt;&gt;cancelled"))</x:f>
      </x:c>
      <x:c r="O303" s="100" t="str">
        <x:f>IF($A303="","",IF(COUNTIF('Interactions'!$B$2:$B$500,$A303)=0,"",MAXIFS('Interactions'!$G$2:$G$500,'Interactions'!$B$2:$B$500,$A303)))</x:f>
      </x:c>
      <x:c r="P303" s="100" t="str">
        <x:f>IF($A303="","",IF(COUNTIFS('FollowUps'!$B$2:$B$500,$A303,'FollowUps'!$H$2:$H$500,"open")=0,"",MINIFS('FollowUps'!$E$2:$E$500,'FollowUps'!$B$2:$B$500,$A303,'FollowUps'!$H$2:$H$500,"open")))</x:f>
      </x:c>
      <x:c r="Q303" s="104" t="str">
        <x:f>IF($A303="","",ROUND(MIN(25,$N303/VALUE(INDEX('Settings'!$B$2:$B$100,MATCH("score_purchase_target",'Settings'!$A$2:$A$100,0)))*25)+MIN(25,$M303/VALUE(INDEX('Settings'!$B$2:$B$100,MATCH("score_value_target",'Settings'!$A$2:$A$100,0)))*25)+IF($L303="",0,MAX(0,25-(TODAY()-$L303)/VALUE(INDEX('Settings'!$B$2:$B$100,MATCH("score_recency_days",'Settings'!$A$2:$A$100,0)))*25))+MIN(15,COUNTIFS('FollowUps'!$B$2:$B$500,$A303,'FollowUps'!$H$2:$H$500,"done")/VALUE(INDEX('Settings'!$B$2:$B$100,MATCH("score_response_target",'Settings'!$A$2:$A$100,0)))*15)+IF(COUNTIFS('Interactions'!$B$2:$B$500,$A303,'Interactions'!$E$2:$E$500,"complaint")=0,10,0),0))</x:f>
      </x:c>
      <x:c r="R303" s="108" t="str">
        <x:f>IF($A303="","",IF($J303="inactive","inactive",IF($J303="at_risk","at_risk",IF($Q303&gt;=85,"vip",IF($Q303&gt;=70,"loyal",IF($Q303&gt;=50,"active",IF($N303=0,"new","needs_attention")))))))</x:f>
      </x:c>
      <x:c r="S303" s="19"/>
      <x:c r="T303" s="18"/>
      <x:c r="U303" s="19"/>
      <x:c r="V303" s="20"/>
      <x:c r="W303" s="26"/>
      <x:c r="X303" s="19"/>
      <x:c r="Y303" s="26"/>
      <x:c r="Z303" s="19"/>
      <x:c r="AA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20"/>
      <x:c r="J304" s="19"/>
      <x:c r="K304" s="19"/>
      <x:c r="L304" s="92" t="str">
        <x:f>IF($A304="","",IF(COUNTIFS('Orders'!$C$2:$C$500,$A304,'Orders'!$M$2:$M$500,"&lt;&gt;cancelled")=0,"",MAXIFS('Orders'!$G$2:$G$500,'Orders'!$C$2:$C$500,$A304,'Orders'!$M$2:$M$500,"&lt;&gt;cancelled")))</x:f>
      </x:c>
      <x:c r="M304" s="96" t="str">
        <x:f>IF($A304="","",SUMIFS('Orders'!$K$2:$K$500,'Orders'!$C$2:$C$500,$A304,'Orders'!$M$2:$M$500,"&lt;&gt;cancelled"))</x:f>
      </x:c>
      <x:c r="N304" s="96" t="str">
        <x:f>IF($A304="","",COUNTIFS('Orders'!$C$2:$C$500,$A304,'Orders'!$M$2:$M$500,"&lt;&gt;cancelled"))</x:f>
      </x:c>
      <x:c r="O304" s="100" t="str">
        <x:f>IF($A304="","",IF(COUNTIF('Interactions'!$B$2:$B$500,$A304)=0,"",MAXIFS('Interactions'!$G$2:$G$500,'Interactions'!$B$2:$B$500,$A304)))</x:f>
      </x:c>
      <x:c r="P304" s="100" t="str">
        <x:f>IF($A304="","",IF(COUNTIFS('FollowUps'!$B$2:$B$500,$A304,'FollowUps'!$H$2:$H$500,"open")=0,"",MINIFS('FollowUps'!$E$2:$E$500,'FollowUps'!$B$2:$B$500,$A304,'FollowUps'!$H$2:$H$500,"open")))</x:f>
      </x:c>
      <x:c r="Q304" s="104" t="str">
        <x:f>IF($A304="","",ROUND(MIN(25,$N304/VALUE(INDEX('Settings'!$B$2:$B$100,MATCH("score_purchase_target",'Settings'!$A$2:$A$100,0)))*25)+MIN(25,$M304/VALUE(INDEX('Settings'!$B$2:$B$100,MATCH("score_value_target",'Settings'!$A$2:$A$100,0)))*25)+IF($L304="",0,MAX(0,25-(TODAY()-$L304)/VALUE(INDEX('Settings'!$B$2:$B$100,MATCH("score_recency_days",'Settings'!$A$2:$A$100,0)))*25))+MIN(15,COUNTIFS('FollowUps'!$B$2:$B$500,$A304,'FollowUps'!$H$2:$H$500,"done")/VALUE(INDEX('Settings'!$B$2:$B$100,MATCH("score_response_target",'Settings'!$A$2:$A$100,0)))*15)+IF(COUNTIFS('Interactions'!$B$2:$B$500,$A304,'Interactions'!$E$2:$E$500,"complaint")=0,10,0),0))</x:f>
      </x:c>
      <x:c r="R304" s="108" t="str">
        <x:f>IF($A304="","",IF($J304="inactive","inactive",IF($J304="at_risk","at_risk",IF($Q304&gt;=85,"vip",IF($Q304&gt;=70,"loyal",IF($Q304&gt;=50,"active",IF($N304=0,"new","needs_attention")))))))</x:f>
      </x:c>
      <x:c r="S304" s="19"/>
      <x:c r="T304" s="18"/>
      <x:c r="U304" s="19"/>
      <x:c r="V304" s="20"/>
      <x:c r="W304" s="26"/>
      <x:c r="X304" s="19"/>
      <x:c r="Y304" s="26"/>
      <x:c r="Z304" s="19"/>
      <x:c r="AA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20"/>
      <x:c r="J305" s="19"/>
      <x:c r="K305" s="19"/>
      <x:c r="L305" s="92" t="str">
        <x:f>IF($A305="","",IF(COUNTIFS('Orders'!$C$2:$C$500,$A305,'Orders'!$M$2:$M$500,"&lt;&gt;cancelled")=0,"",MAXIFS('Orders'!$G$2:$G$500,'Orders'!$C$2:$C$500,$A305,'Orders'!$M$2:$M$500,"&lt;&gt;cancelled")))</x:f>
      </x:c>
      <x:c r="M305" s="96" t="str">
        <x:f>IF($A305="","",SUMIFS('Orders'!$K$2:$K$500,'Orders'!$C$2:$C$500,$A305,'Orders'!$M$2:$M$500,"&lt;&gt;cancelled"))</x:f>
      </x:c>
      <x:c r="N305" s="96" t="str">
        <x:f>IF($A305="","",COUNTIFS('Orders'!$C$2:$C$500,$A305,'Orders'!$M$2:$M$500,"&lt;&gt;cancelled"))</x:f>
      </x:c>
      <x:c r="O305" s="100" t="str">
        <x:f>IF($A305="","",IF(COUNTIF('Interactions'!$B$2:$B$500,$A305)=0,"",MAXIFS('Interactions'!$G$2:$G$500,'Interactions'!$B$2:$B$500,$A305)))</x:f>
      </x:c>
      <x:c r="P305" s="100" t="str">
        <x:f>IF($A305="","",IF(COUNTIFS('FollowUps'!$B$2:$B$500,$A305,'FollowUps'!$H$2:$H$500,"open")=0,"",MINIFS('FollowUps'!$E$2:$E$500,'FollowUps'!$B$2:$B$500,$A305,'FollowUps'!$H$2:$H$500,"open")))</x:f>
      </x:c>
      <x:c r="Q305" s="104" t="str">
        <x:f>IF($A305="","",ROUND(MIN(25,$N305/VALUE(INDEX('Settings'!$B$2:$B$100,MATCH("score_purchase_target",'Settings'!$A$2:$A$100,0)))*25)+MIN(25,$M305/VALUE(INDEX('Settings'!$B$2:$B$100,MATCH("score_value_target",'Settings'!$A$2:$A$100,0)))*25)+IF($L305="",0,MAX(0,25-(TODAY()-$L305)/VALUE(INDEX('Settings'!$B$2:$B$100,MATCH("score_recency_days",'Settings'!$A$2:$A$100,0)))*25))+MIN(15,COUNTIFS('FollowUps'!$B$2:$B$500,$A305,'FollowUps'!$H$2:$H$500,"done")/VALUE(INDEX('Settings'!$B$2:$B$100,MATCH("score_response_target",'Settings'!$A$2:$A$100,0)))*15)+IF(COUNTIFS('Interactions'!$B$2:$B$500,$A305,'Interactions'!$E$2:$E$500,"complaint")=0,10,0),0))</x:f>
      </x:c>
      <x:c r="R305" s="108" t="str">
        <x:f>IF($A305="","",IF($J305="inactive","inactive",IF($J305="at_risk","at_risk",IF($Q305&gt;=85,"vip",IF($Q305&gt;=70,"loyal",IF($Q305&gt;=50,"active",IF($N305=0,"new","needs_attention")))))))</x:f>
      </x:c>
      <x:c r="S305" s="19"/>
      <x:c r="T305" s="18"/>
      <x:c r="U305" s="19"/>
      <x:c r="V305" s="20"/>
      <x:c r="W305" s="26"/>
      <x:c r="X305" s="19"/>
      <x:c r="Y305" s="26"/>
      <x:c r="Z305" s="19"/>
      <x:c r="AA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20"/>
      <x:c r="J306" s="19"/>
      <x:c r="K306" s="19"/>
      <x:c r="L306" s="92" t="str">
        <x:f>IF($A306="","",IF(COUNTIFS('Orders'!$C$2:$C$500,$A306,'Orders'!$M$2:$M$500,"&lt;&gt;cancelled")=0,"",MAXIFS('Orders'!$G$2:$G$500,'Orders'!$C$2:$C$500,$A306,'Orders'!$M$2:$M$500,"&lt;&gt;cancelled")))</x:f>
      </x:c>
      <x:c r="M306" s="96" t="str">
        <x:f>IF($A306="","",SUMIFS('Orders'!$K$2:$K$500,'Orders'!$C$2:$C$500,$A306,'Orders'!$M$2:$M$500,"&lt;&gt;cancelled"))</x:f>
      </x:c>
      <x:c r="N306" s="96" t="str">
        <x:f>IF($A306="","",COUNTIFS('Orders'!$C$2:$C$500,$A306,'Orders'!$M$2:$M$500,"&lt;&gt;cancelled"))</x:f>
      </x:c>
      <x:c r="O306" s="100" t="str">
        <x:f>IF($A306="","",IF(COUNTIF('Interactions'!$B$2:$B$500,$A306)=0,"",MAXIFS('Interactions'!$G$2:$G$500,'Interactions'!$B$2:$B$500,$A306)))</x:f>
      </x:c>
      <x:c r="P306" s="100" t="str">
        <x:f>IF($A306="","",IF(COUNTIFS('FollowUps'!$B$2:$B$500,$A306,'FollowUps'!$H$2:$H$500,"open")=0,"",MINIFS('FollowUps'!$E$2:$E$500,'FollowUps'!$B$2:$B$500,$A306,'FollowUps'!$H$2:$H$500,"open")))</x:f>
      </x:c>
      <x:c r="Q306" s="104" t="str">
        <x:f>IF($A306="","",ROUND(MIN(25,$N306/VALUE(INDEX('Settings'!$B$2:$B$100,MATCH("score_purchase_target",'Settings'!$A$2:$A$100,0)))*25)+MIN(25,$M306/VALUE(INDEX('Settings'!$B$2:$B$100,MATCH("score_value_target",'Settings'!$A$2:$A$100,0)))*25)+IF($L306="",0,MAX(0,25-(TODAY()-$L306)/VALUE(INDEX('Settings'!$B$2:$B$100,MATCH("score_recency_days",'Settings'!$A$2:$A$100,0)))*25))+MIN(15,COUNTIFS('FollowUps'!$B$2:$B$500,$A306,'FollowUps'!$H$2:$H$500,"done")/VALUE(INDEX('Settings'!$B$2:$B$100,MATCH("score_response_target",'Settings'!$A$2:$A$100,0)))*15)+IF(COUNTIFS('Interactions'!$B$2:$B$500,$A306,'Interactions'!$E$2:$E$500,"complaint")=0,10,0),0))</x:f>
      </x:c>
      <x:c r="R306" s="108" t="str">
        <x:f>IF($A306="","",IF($J306="inactive","inactive",IF($J306="at_risk","at_risk",IF($Q306&gt;=85,"vip",IF($Q306&gt;=70,"loyal",IF($Q306&gt;=50,"active",IF($N306=0,"new","needs_attention")))))))</x:f>
      </x:c>
      <x:c r="S306" s="19"/>
      <x:c r="T306" s="18"/>
      <x:c r="U306" s="19"/>
      <x:c r="V306" s="20"/>
      <x:c r="W306" s="26"/>
      <x:c r="X306" s="19"/>
      <x:c r="Y306" s="26"/>
      <x:c r="Z306" s="19"/>
      <x:c r="AA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20"/>
      <x:c r="J307" s="19"/>
      <x:c r="K307" s="19"/>
      <x:c r="L307" s="92" t="str">
        <x:f>IF($A307="","",IF(COUNTIFS('Orders'!$C$2:$C$500,$A307,'Orders'!$M$2:$M$500,"&lt;&gt;cancelled")=0,"",MAXIFS('Orders'!$G$2:$G$500,'Orders'!$C$2:$C$500,$A307,'Orders'!$M$2:$M$500,"&lt;&gt;cancelled")))</x:f>
      </x:c>
      <x:c r="M307" s="96" t="str">
        <x:f>IF($A307="","",SUMIFS('Orders'!$K$2:$K$500,'Orders'!$C$2:$C$500,$A307,'Orders'!$M$2:$M$500,"&lt;&gt;cancelled"))</x:f>
      </x:c>
      <x:c r="N307" s="96" t="str">
        <x:f>IF($A307="","",COUNTIFS('Orders'!$C$2:$C$500,$A307,'Orders'!$M$2:$M$500,"&lt;&gt;cancelled"))</x:f>
      </x:c>
      <x:c r="O307" s="100" t="str">
        <x:f>IF($A307="","",IF(COUNTIF('Interactions'!$B$2:$B$500,$A307)=0,"",MAXIFS('Interactions'!$G$2:$G$500,'Interactions'!$B$2:$B$500,$A307)))</x:f>
      </x:c>
      <x:c r="P307" s="100" t="str">
        <x:f>IF($A307="","",IF(COUNTIFS('FollowUps'!$B$2:$B$500,$A307,'FollowUps'!$H$2:$H$500,"open")=0,"",MINIFS('FollowUps'!$E$2:$E$500,'FollowUps'!$B$2:$B$500,$A307,'FollowUps'!$H$2:$H$500,"open")))</x:f>
      </x:c>
      <x:c r="Q307" s="104" t="str">
        <x:f>IF($A307="","",ROUND(MIN(25,$N307/VALUE(INDEX('Settings'!$B$2:$B$100,MATCH("score_purchase_target",'Settings'!$A$2:$A$100,0)))*25)+MIN(25,$M307/VALUE(INDEX('Settings'!$B$2:$B$100,MATCH("score_value_target",'Settings'!$A$2:$A$100,0)))*25)+IF($L307="",0,MAX(0,25-(TODAY()-$L307)/VALUE(INDEX('Settings'!$B$2:$B$100,MATCH("score_recency_days",'Settings'!$A$2:$A$100,0)))*25))+MIN(15,COUNTIFS('FollowUps'!$B$2:$B$500,$A307,'FollowUps'!$H$2:$H$500,"done")/VALUE(INDEX('Settings'!$B$2:$B$100,MATCH("score_response_target",'Settings'!$A$2:$A$100,0)))*15)+IF(COUNTIFS('Interactions'!$B$2:$B$500,$A307,'Interactions'!$E$2:$E$500,"complaint")=0,10,0),0))</x:f>
      </x:c>
      <x:c r="R307" s="108" t="str">
        <x:f>IF($A307="","",IF($J307="inactive","inactive",IF($J307="at_risk","at_risk",IF($Q307&gt;=85,"vip",IF($Q307&gt;=70,"loyal",IF($Q307&gt;=50,"active",IF($N307=0,"new","needs_attention")))))))</x:f>
      </x:c>
      <x:c r="S307" s="19"/>
      <x:c r="T307" s="18"/>
      <x:c r="U307" s="19"/>
      <x:c r="V307" s="20"/>
      <x:c r="W307" s="26"/>
      <x:c r="X307" s="19"/>
      <x:c r="Y307" s="26"/>
      <x:c r="Z307" s="19"/>
      <x:c r="AA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20"/>
      <x:c r="J308" s="19"/>
      <x:c r="K308" s="19"/>
      <x:c r="L308" s="92" t="str">
        <x:f>IF($A308="","",IF(COUNTIFS('Orders'!$C$2:$C$500,$A308,'Orders'!$M$2:$M$500,"&lt;&gt;cancelled")=0,"",MAXIFS('Orders'!$G$2:$G$500,'Orders'!$C$2:$C$500,$A308,'Orders'!$M$2:$M$500,"&lt;&gt;cancelled")))</x:f>
      </x:c>
      <x:c r="M308" s="96" t="str">
        <x:f>IF($A308="","",SUMIFS('Orders'!$K$2:$K$500,'Orders'!$C$2:$C$500,$A308,'Orders'!$M$2:$M$500,"&lt;&gt;cancelled"))</x:f>
      </x:c>
      <x:c r="N308" s="96" t="str">
        <x:f>IF($A308="","",COUNTIFS('Orders'!$C$2:$C$500,$A308,'Orders'!$M$2:$M$500,"&lt;&gt;cancelled"))</x:f>
      </x:c>
      <x:c r="O308" s="100" t="str">
        <x:f>IF($A308="","",IF(COUNTIF('Interactions'!$B$2:$B$500,$A308)=0,"",MAXIFS('Interactions'!$G$2:$G$500,'Interactions'!$B$2:$B$500,$A308)))</x:f>
      </x:c>
      <x:c r="P308" s="100" t="str">
        <x:f>IF($A308="","",IF(COUNTIFS('FollowUps'!$B$2:$B$500,$A308,'FollowUps'!$H$2:$H$500,"open")=0,"",MINIFS('FollowUps'!$E$2:$E$500,'FollowUps'!$B$2:$B$500,$A308,'FollowUps'!$H$2:$H$500,"open")))</x:f>
      </x:c>
      <x:c r="Q308" s="104" t="str">
        <x:f>IF($A308="","",ROUND(MIN(25,$N308/VALUE(INDEX('Settings'!$B$2:$B$100,MATCH("score_purchase_target",'Settings'!$A$2:$A$100,0)))*25)+MIN(25,$M308/VALUE(INDEX('Settings'!$B$2:$B$100,MATCH("score_value_target",'Settings'!$A$2:$A$100,0)))*25)+IF($L308="",0,MAX(0,25-(TODAY()-$L308)/VALUE(INDEX('Settings'!$B$2:$B$100,MATCH("score_recency_days",'Settings'!$A$2:$A$100,0)))*25))+MIN(15,COUNTIFS('FollowUps'!$B$2:$B$500,$A308,'FollowUps'!$H$2:$H$500,"done")/VALUE(INDEX('Settings'!$B$2:$B$100,MATCH("score_response_target",'Settings'!$A$2:$A$100,0)))*15)+IF(COUNTIFS('Interactions'!$B$2:$B$500,$A308,'Interactions'!$E$2:$E$500,"complaint")=0,10,0),0))</x:f>
      </x:c>
      <x:c r="R308" s="108" t="str">
        <x:f>IF($A308="","",IF($J308="inactive","inactive",IF($J308="at_risk","at_risk",IF($Q308&gt;=85,"vip",IF($Q308&gt;=70,"loyal",IF($Q308&gt;=50,"active",IF($N308=0,"new","needs_attention")))))))</x:f>
      </x:c>
      <x:c r="S308" s="19"/>
      <x:c r="T308" s="18"/>
      <x:c r="U308" s="19"/>
      <x:c r="V308" s="20"/>
      <x:c r="W308" s="26"/>
      <x:c r="X308" s="19"/>
      <x:c r="Y308" s="26"/>
      <x:c r="Z308" s="19"/>
      <x:c r="AA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20"/>
      <x:c r="J309" s="19"/>
      <x:c r="K309" s="19"/>
      <x:c r="L309" s="92" t="str">
        <x:f>IF($A309="","",IF(COUNTIFS('Orders'!$C$2:$C$500,$A309,'Orders'!$M$2:$M$500,"&lt;&gt;cancelled")=0,"",MAXIFS('Orders'!$G$2:$G$500,'Orders'!$C$2:$C$500,$A309,'Orders'!$M$2:$M$500,"&lt;&gt;cancelled")))</x:f>
      </x:c>
      <x:c r="M309" s="96" t="str">
        <x:f>IF($A309="","",SUMIFS('Orders'!$K$2:$K$500,'Orders'!$C$2:$C$500,$A309,'Orders'!$M$2:$M$500,"&lt;&gt;cancelled"))</x:f>
      </x:c>
      <x:c r="N309" s="96" t="str">
        <x:f>IF($A309="","",COUNTIFS('Orders'!$C$2:$C$500,$A309,'Orders'!$M$2:$M$500,"&lt;&gt;cancelled"))</x:f>
      </x:c>
      <x:c r="O309" s="100" t="str">
        <x:f>IF($A309="","",IF(COUNTIF('Interactions'!$B$2:$B$500,$A309)=0,"",MAXIFS('Interactions'!$G$2:$G$500,'Interactions'!$B$2:$B$500,$A309)))</x:f>
      </x:c>
      <x:c r="P309" s="100" t="str">
        <x:f>IF($A309="","",IF(COUNTIFS('FollowUps'!$B$2:$B$500,$A309,'FollowUps'!$H$2:$H$500,"open")=0,"",MINIFS('FollowUps'!$E$2:$E$500,'FollowUps'!$B$2:$B$500,$A309,'FollowUps'!$H$2:$H$500,"open")))</x:f>
      </x:c>
      <x:c r="Q309" s="104" t="str">
        <x:f>IF($A309="","",ROUND(MIN(25,$N309/VALUE(INDEX('Settings'!$B$2:$B$100,MATCH("score_purchase_target",'Settings'!$A$2:$A$100,0)))*25)+MIN(25,$M309/VALUE(INDEX('Settings'!$B$2:$B$100,MATCH("score_value_target",'Settings'!$A$2:$A$100,0)))*25)+IF($L309="",0,MAX(0,25-(TODAY()-$L309)/VALUE(INDEX('Settings'!$B$2:$B$100,MATCH("score_recency_days",'Settings'!$A$2:$A$100,0)))*25))+MIN(15,COUNTIFS('FollowUps'!$B$2:$B$500,$A309,'FollowUps'!$H$2:$H$500,"done")/VALUE(INDEX('Settings'!$B$2:$B$100,MATCH("score_response_target",'Settings'!$A$2:$A$100,0)))*15)+IF(COUNTIFS('Interactions'!$B$2:$B$500,$A309,'Interactions'!$E$2:$E$500,"complaint")=0,10,0),0))</x:f>
      </x:c>
      <x:c r="R309" s="108" t="str">
        <x:f>IF($A309="","",IF($J309="inactive","inactive",IF($J309="at_risk","at_risk",IF($Q309&gt;=85,"vip",IF($Q309&gt;=70,"loyal",IF($Q309&gt;=50,"active",IF($N309=0,"new","needs_attention")))))))</x:f>
      </x:c>
      <x:c r="S309" s="19"/>
      <x:c r="T309" s="18"/>
      <x:c r="U309" s="19"/>
      <x:c r="V309" s="20"/>
      <x:c r="W309" s="26"/>
      <x:c r="X309" s="19"/>
      <x:c r="Y309" s="26"/>
      <x:c r="Z309" s="19"/>
      <x:c r="AA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20"/>
      <x:c r="J310" s="19"/>
      <x:c r="K310" s="19"/>
      <x:c r="L310" s="92" t="str">
        <x:f>IF($A310="","",IF(COUNTIFS('Orders'!$C$2:$C$500,$A310,'Orders'!$M$2:$M$500,"&lt;&gt;cancelled")=0,"",MAXIFS('Orders'!$G$2:$G$500,'Orders'!$C$2:$C$500,$A310,'Orders'!$M$2:$M$500,"&lt;&gt;cancelled")))</x:f>
      </x:c>
      <x:c r="M310" s="96" t="str">
        <x:f>IF($A310="","",SUMIFS('Orders'!$K$2:$K$500,'Orders'!$C$2:$C$500,$A310,'Orders'!$M$2:$M$500,"&lt;&gt;cancelled"))</x:f>
      </x:c>
      <x:c r="N310" s="96" t="str">
        <x:f>IF($A310="","",COUNTIFS('Orders'!$C$2:$C$500,$A310,'Orders'!$M$2:$M$500,"&lt;&gt;cancelled"))</x:f>
      </x:c>
      <x:c r="O310" s="100" t="str">
        <x:f>IF($A310="","",IF(COUNTIF('Interactions'!$B$2:$B$500,$A310)=0,"",MAXIFS('Interactions'!$G$2:$G$500,'Interactions'!$B$2:$B$500,$A310)))</x:f>
      </x:c>
      <x:c r="P310" s="100" t="str">
        <x:f>IF($A310="","",IF(COUNTIFS('FollowUps'!$B$2:$B$500,$A310,'FollowUps'!$H$2:$H$500,"open")=0,"",MINIFS('FollowUps'!$E$2:$E$500,'FollowUps'!$B$2:$B$500,$A310,'FollowUps'!$H$2:$H$500,"open")))</x:f>
      </x:c>
      <x:c r="Q310" s="104" t="str">
        <x:f>IF($A310="","",ROUND(MIN(25,$N310/VALUE(INDEX('Settings'!$B$2:$B$100,MATCH("score_purchase_target",'Settings'!$A$2:$A$100,0)))*25)+MIN(25,$M310/VALUE(INDEX('Settings'!$B$2:$B$100,MATCH("score_value_target",'Settings'!$A$2:$A$100,0)))*25)+IF($L310="",0,MAX(0,25-(TODAY()-$L310)/VALUE(INDEX('Settings'!$B$2:$B$100,MATCH("score_recency_days",'Settings'!$A$2:$A$100,0)))*25))+MIN(15,COUNTIFS('FollowUps'!$B$2:$B$500,$A310,'FollowUps'!$H$2:$H$500,"done")/VALUE(INDEX('Settings'!$B$2:$B$100,MATCH("score_response_target",'Settings'!$A$2:$A$100,0)))*15)+IF(COUNTIFS('Interactions'!$B$2:$B$500,$A310,'Interactions'!$E$2:$E$500,"complaint")=0,10,0),0))</x:f>
      </x:c>
      <x:c r="R310" s="108" t="str">
        <x:f>IF($A310="","",IF($J310="inactive","inactive",IF($J310="at_risk","at_risk",IF($Q310&gt;=85,"vip",IF($Q310&gt;=70,"loyal",IF($Q310&gt;=50,"active",IF($N310=0,"new","needs_attention")))))))</x:f>
      </x:c>
      <x:c r="S310" s="19"/>
      <x:c r="T310" s="18"/>
      <x:c r="U310" s="19"/>
      <x:c r="V310" s="20"/>
      <x:c r="W310" s="26"/>
      <x:c r="X310" s="19"/>
      <x:c r="Y310" s="26"/>
      <x:c r="Z310" s="19"/>
      <x:c r="AA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20"/>
      <x:c r="J311" s="19"/>
      <x:c r="K311" s="19"/>
      <x:c r="L311" s="92" t="str">
        <x:f>IF($A311="","",IF(COUNTIFS('Orders'!$C$2:$C$500,$A311,'Orders'!$M$2:$M$500,"&lt;&gt;cancelled")=0,"",MAXIFS('Orders'!$G$2:$G$500,'Orders'!$C$2:$C$500,$A311,'Orders'!$M$2:$M$500,"&lt;&gt;cancelled")))</x:f>
      </x:c>
      <x:c r="M311" s="96" t="str">
        <x:f>IF($A311="","",SUMIFS('Orders'!$K$2:$K$500,'Orders'!$C$2:$C$500,$A311,'Orders'!$M$2:$M$500,"&lt;&gt;cancelled"))</x:f>
      </x:c>
      <x:c r="N311" s="96" t="str">
        <x:f>IF($A311="","",COUNTIFS('Orders'!$C$2:$C$500,$A311,'Orders'!$M$2:$M$500,"&lt;&gt;cancelled"))</x:f>
      </x:c>
      <x:c r="O311" s="100" t="str">
        <x:f>IF($A311="","",IF(COUNTIF('Interactions'!$B$2:$B$500,$A311)=0,"",MAXIFS('Interactions'!$G$2:$G$500,'Interactions'!$B$2:$B$500,$A311)))</x:f>
      </x:c>
      <x:c r="P311" s="100" t="str">
        <x:f>IF($A311="","",IF(COUNTIFS('FollowUps'!$B$2:$B$500,$A311,'FollowUps'!$H$2:$H$500,"open")=0,"",MINIFS('FollowUps'!$E$2:$E$500,'FollowUps'!$B$2:$B$500,$A311,'FollowUps'!$H$2:$H$500,"open")))</x:f>
      </x:c>
      <x:c r="Q311" s="104" t="str">
        <x:f>IF($A311="","",ROUND(MIN(25,$N311/VALUE(INDEX('Settings'!$B$2:$B$100,MATCH("score_purchase_target",'Settings'!$A$2:$A$100,0)))*25)+MIN(25,$M311/VALUE(INDEX('Settings'!$B$2:$B$100,MATCH("score_value_target",'Settings'!$A$2:$A$100,0)))*25)+IF($L311="",0,MAX(0,25-(TODAY()-$L311)/VALUE(INDEX('Settings'!$B$2:$B$100,MATCH("score_recency_days",'Settings'!$A$2:$A$100,0)))*25))+MIN(15,COUNTIFS('FollowUps'!$B$2:$B$500,$A311,'FollowUps'!$H$2:$H$500,"done")/VALUE(INDEX('Settings'!$B$2:$B$100,MATCH("score_response_target",'Settings'!$A$2:$A$100,0)))*15)+IF(COUNTIFS('Interactions'!$B$2:$B$500,$A311,'Interactions'!$E$2:$E$500,"complaint")=0,10,0),0))</x:f>
      </x:c>
      <x:c r="R311" s="108" t="str">
        <x:f>IF($A311="","",IF($J311="inactive","inactive",IF($J311="at_risk","at_risk",IF($Q311&gt;=85,"vip",IF($Q311&gt;=70,"loyal",IF($Q311&gt;=50,"active",IF($N311=0,"new","needs_attention")))))))</x:f>
      </x:c>
      <x:c r="S311" s="19"/>
      <x:c r="T311" s="18"/>
      <x:c r="U311" s="19"/>
      <x:c r="V311" s="20"/>
      <x:c r="W311" s="26"/>
      <x:c r="X311" s="19"/>
      <x:c r="Y311" s="26"/>
      <x:c r="Z311" s="19"/>
      <x:c r="AA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20"/>
      <x:c r="J312" s="19"/>
      <x:c r="K312" s="19"/>
      <x:c r="L312" s="92" t="str">
        <x:f>IF($A312="","",IF(COUNTIFS('Orders'!$C$2:$C$500,$A312,'Orders'!$M$2:$M$500,"&lt;&gt;cancelled")=0,"",MAXIFS('Orders'!$G$2:$G$500,'Orders'!$C$2:$C$500,$A312,'Orders'!$M$2:$M$500,"&lt;&gt;cancelled")))</x:f>
      </x:c>
      <x:c r="M312" s="96" t="str">
        <x:f>IF($A312="","",SUMIFS('Orders'!$K$2:$K$500,'Orders'!$C$2:$C$500,$A312,'Orders'!$M$2:$M$500,"&lt;&gt;cancelled"))</x:f>
      </x:c>
      <x:c r="N312" s="96" t="str">
        <x:f>IF($A312="","",COUNTIFS('Orders'!$C$2:$C$500,$A312,'Orders'!$M$2:$M$500,"&lt;&gt;cancelled"))</x:f>
      </x:c>
      <x:c r="O312" s="100" t="str">
        <x:f>IF($A312="","",IF(COUNTIF('Interactions'!$B$2:$B$500,$A312)=0,"",MAXIFS('Interactions'!$G$2:$G$500,'Interactions'!$B$2:$B$500,$A312)))</x:f>
      </x:c>
      <x:c r="P312" s="100" t="str">
        <x:f>IF($A312="","",IF(COUNTIFS('FollowUps'!$B$2:$B$500,$A312,'FollowUps'!$H$2:$H$500,"open")=0,"",MINIFS('FollowUps'!$E$2:$E$500,'FollowUps'!$B$2:$B$500,$A312,'FollowUps'!$H$2:$H$500,"open")))</x:f>
      </x:c>
      <x:c r="Q312" s="104" t="str">
        <x:f>IF($A312="","",ROUND(MIN(25,$N312/VALUE(INDEX('Settings'!$B$2:$B$100,MATCH("score_purchase_target",'Settings'!$A$2:$A$100,0)))*25)+MIN(25,$M312/VALUE(INDEX('Settings'!$B$2:$B$100,MATCH("score_value_target",'Settings'!$A$2:$A$100,0)))*25)+IF($L312="",0,MAX(0,25-(TODAY()-$L312)/VALUE(INDEX('Settings'!$B$2:$B$100,MATCH("score_recency_days",'Settings'!$A$2:$A$100,0)))*25))+MIN(15,COUNTIFS('FollowUps'!$B$2:$B$500,$A312,'FollowUps'!$H$2:$H$500,"done")/VALUE(INDEX('Settings'!$B$2:$B$100,MATCH("score_response_target",'Settings'!$A$2:$A$100,0)))*15)+IF(COUNTIFS('Interactions'!$B$2:$B$500,$A312,'Interactions'!$E$2:$E$500,"complaint")=0,10,0),0))</x:f>
      </x:c>
      <x:c r="R312" s="108" t="str">
        <x:f>IF($A312="","",IF($J312="inactive","inactive",IF($J312="at_risk","at_risk",IF($Q312&gt;=85,"vip",IF($Q312&gt;=70,"loyal",IF($Q312&gt;=50,"active",IF($N312=0,"new","needs_attention")))))))</x:f>
      </x:c>
      <x:c r="S312" s="19"/>
      <x:c r="T312" s="18"/>
      <x:c r="U312" s="19"/>
      <x:c r="V312" s="20"/>
      <x:c r="W312" s="26"/>
      <x:c r="X312" s="19"/>
      <x:c r="Y312" s="26"/>
      <x:c r="Z312" s="19"/>
      <x:c r="AA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20"/>
      <x:c r="J313" s="19"/>
      <x:c r="K313" s="19"/>
      <x:c r="L313" s="92" t="str">
        <x:f>IF($A313="","",IF(COUNTIFS('Orders'!$C$2:$C$500,$A313,'Orders'!$M$2:$M$500,"&lt;&gt;cancelled")=0,"",MAXIFS('Orders'!$G$2:$G$500,'Orders'!$C$2:$C$500,$A313,'Orders'!$M$2:$M$500,"&lt;&gt;cancelled")))</x:f>
      </x:c>
      <x:c r="M313" s="96" t="str">
        <x:f>IF($A313="","",SUMIFS('Orders'!$K$2:$K$500,'Orders'!$C$2:$C$500,$A313,'Orders'!$M$2:$M$500,"&lt;&gt;cancelled"))</x:f>
      </x:c>
      <x:c r="N313" s="96" t="str">
        <x:f>IF($A313="","",COUNTIFS('Orders'!$C$2:$C$500,$A313,'Orders'!$M$2:$M$500,"&lt;&gt;cancelled"))</x:f>
      </x:c>
      <x:c r="O313" s="100" t="str">
        <x:f>IF($A313="","",IF(COUNTIF('Interactions'!$B$2:$B$500,$A313)=0,"",MAXIFS('Interactions'!$G$2:$G$500,'Interactions'!$B$2:$B$500,$A313)))</x:f>
      </x:c>
      <x:c r="P313" s="100" t="str">
        <x:f>IF($A313="","",IF(COUNTIFS('FollowUps'!$B$2:$B$500,$A313,'FollowUps'!$H$2:$H$500,"open")=0,"",MINIFS('FollowUps'!$E$2:$E$500,'FollowUps'!$B$2:$B$500,$A313,'FollowUps'!$H$2:$H$500,"open")))</x:f>
      </x:c>
      <x:c r="Q313" s="104" t="str">
        <x:f>IF($A313="","",ROUND(MIN(25,$N313/VALUE(INDEX('Settings'!$B$2:$B$100,MATCH("score_purchase_target",'Settings'!$A$2:$A$100,0)))*25)+MIN(25,$M313/VALUE(INDEX('Settings'!$B$2:$B$100,MATCH("score_value_target",'Settings'!$A$2:$A$100,0)))*25)+IF($L313="",0,MAX(0,25-(TODAY()-$L313)/VALUE(INDEX('Settings'!$B$2:$B$100,MATCH("score_recency_days",'Settings'!$A$2:$A$100,0)))*25))+MIN(15,COUNTIFS('FollowUps'!$B$2:$B$500,$A313,'FollowUps'!$H$2:$H$500,"done")/VALUE(INDEX('Settings'!$B$2:$B$100,MATCH("score_response_target",'Settings'!$A$2:$A$100,0)))*15)+IF(COUNTIFS('Interactions'!$B$2:$B$500,$A313,'Interactions'!$E$2:$E$500,"complaint")=0,10,0),0))</x:f>
      </x:c>
      <x:c r="R313" s="108" t="str">
        <x:f>IF($A313="","",IF($J313="inactive","inactive",IF($J313="at_risk","at_risk",IF($Q313&gt;=85,"vip",IF($Q313&gt;=70,"loyal",IF($Q313&gt;=50,"active",IF($N313=0,"new","needs_attention")))))))</x:f>
      </x:c>
      <x:c r="S313" s="19"/>
      <x:c r="T313" s="18"/>
      <x:c r="U313" s="19"/>
      <x:c r="V313" s="20"/>
      <x:c r="W313" s="26"/>
      <x:c r="X313" s="19"/>
      <x:c r="Y313" s="26"/>
      <x:c r="Z313" s="19"/>
      <x:c r="AA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20"/>
      <x:c r="J314" s="19"/>
      <x:c r="K314" s="19"/>
      <x:c r="L314" s="92" t="str">
        <x:f>IF($A314="","",IF(COUNTIFS('Orders'!$C$2:$C$500,$A314,'Orders'!$M$2:$M$500,"&lt;&gt;cancelled")=0,"",MAXIFS('Orders'!$G$2:$G$500,'Orders'!$C$2:$C$500,$A314,'Orders'!$M$2:$M$500,"&lt;&gt;cancelled")))</x:f>
      </x:c>
      <x:c r="M314" s="96" t="str">
        <x:f>IF($A314="","",SUMIFS('Orders'!$K$2:$K$500,'Orders'!$C$2:$C$500,$A314,'Orders'!$M$2:$M$500,"&lt;&gt;cancelled"))</x:f>
      </x:c>
      <x:c r="N314" s="96" t="str">
        <x:f>IF($A314="","",COUNTIFS('Orders'!$C$2:$C$500,$A314,'Orders'!$M$2:$M$500,"&lt;&gt;cancelled"))</x:f>
      </x:c>
      <x:c r="O314" s="100" t="str">
        <x:f>IF($A314="","",IF(COUNTIF('Interactions'!$B$2:$B$500,$A314)=0,"",MAXIFS('Interactions'!$G$2:$G$500,'Interactions'!$B$2:$B$500,$A314)))</x:f>
      </x:c>
      <x:c r="P314" s="100" t="str">
        <x:f>IF($A314="","",IF(COUNTIFS('FollowUps'!$B$2:$B$500,$A314,'FollowUps'!$H$2:$H$500,"open")=0,"",MINIFS('FollowUps'!$E$2:$E$500,'FollowUps'!$B$2:$B$500,$A314,'FollowUps'!$H$2:$H$500,"open")))</x:f>
      </x:c>
      <x:c r="Q314" s="104" t="str">
        <x:f>IF($A314="","",ROUND(MIN(25,$N314/VALUE(INDEX('Settings'!$B$2:$B$100,MATCH("score_purchase_target",'Settings'!$A$2:$A$100,0)))*25)+MIN(25,$M314/VALUE(INDEX('Settings'!$B$2:$B$100,MATCH("score_value_target",'Settings'!$A$2:$A$100,0)))*25)+IF($L314="",0,MAX(0,25-(TODAY()-$L314)/VALUE(INDEX('Settings'!$B$2:$B$100,MATCH("score_recency_days",'Settings'!$A$2:$A$100,0)))*25))+MIN(15,COUNTIFS('FollowUps'!$B$2:$B$500,$A314,'FollowUps'!$H$2:$H$500,"done")/VALUE(INDEX('Settings'!$B$2:$B$100,MATCH("score_response_target",'Settings'!$A$2:$A$100,0)))*15)+IF(COUNTIFS('Interactions'!$B$2:$B$500,$A314,'Interactions'!$E$2:$E$500,"complaint")=0,10,0),0))</x:f>
      </x:c>
      <x:c r="R314" s="108" t="str">
        <x:f>IF($A314="","",IF($J314="inactive","inactive",IF($J314="at_risk","at_risk",IF($Q314&gt;=85,"vip",IF($Q314&gt;=70,"loyal",IF($Q314&gt;=50,"active",IF($N314=0,"new","needs_attention")))))))</x:f>
      </x:c>
      <x:c r="S314" s="19"/>
      <x:c r="T314" s="18"/>
      <x:c r="U314" s="19"/>
      <x:c r="V314" s="20"/>
      <x:c r="W314" s="26"/>
      <x:c r="X314" s="19"/>
      <x:c r="Y314" s="26"/>
      <x:c r="Z314" s="19"/>
      <x:c r="AA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20"/>
      <x:c r="J315" s="19"/>
      <x:c r="K315" s="19"/>
      <x:c r="L315" s="92" t="str">
        <x:f>IF($A315="","",IF(COUNTIFS('Orders'!$C$2:$C$500,$A315,'Orders'!$M$2:$M$500,"&lt;&gt;cancelled")=0,"",MAXIFS('Orders'!$G$2:$G$500,'Orders'!$C$2:$C$500,$A315,'Orders'!$M$2:$M$500,"&lt;&gt;cancelled")))</x:f>
      </x:c>
      <x:c r="M315" s="96" t="str">
        <x:f>IF($A315="","",SUMIFS('Orders'!$K$2:$K$500,'Orders'!$C$2:$C$500,$A315,'Orders'!$M$2:$M$500,"&lt;&gt;cancelled"))</x:f>
      </x:c>
      <x:c r="N315" s="96" t="str">
        <x:f>IF($A315="","",COUNTIFS('Orders'!$C$2:$C$500,$A315,'Orders'!$M$2:$M$500,"&lt;&gt;cancelled"))</x:f>
      </x:c>
      <x:c r="O315" s="100" t="str">
        <x:f>IF($A315="","",IF(COUNTIF('Interactions'!$B$2:$B$500,$A315)=0,"",MAXIFS('Interactions'!$G$2:$G$500,'Interactions'!$B$2:$B$500,$A315)))</x:f>
      </x:c>
      <x:c r="P315" s="100" t="str">
        <x:f>IF($A315="","",IF(COUNTIFS('FollowUps'!$B$2:$B$500,$A315,'FollowUps'!$H$2:$H$500,"open")=0,"",MINIFS('FollowUps'!$E$2:$E$500,'FollowUps'!$B$2:$B$500,$A315,'FollowUps'!$H$2:$H$500,"open")))</x:f>
      </x:c>
      <x:c r="Q315" s="104" t="str">
        <x:f>IF($A315="","",ROUND(MIN(25,$N315/VALUE(INDEX('Settings'!$B$2:$B$100,MATCH("score_purchase_target",'Settings'!$A$2:$A$100,0)))*25)+MIN(25,$M315/VALUE(INDEX('Settings'!$B$2:$B$100,MATCH("score_value_target",'Settings'!$A$2:$A$100,0)))*25)+IF($L315="",0,MAX(0,25-(TODAY()-$L315)/VALUE(INDEX('Settings'!$B$2:$B$100,MATCH("score_recency_days",'Settings'!$A$2:$A$100,0)))*25))+MIN(15,COUNTIFS('FollowUps'!$B$2:$B$500,$A315,'FollowUps'!$H$2:$H$500,"done")/VALUE(INDEX('Settings'!$B$2:$B$100,MATCH("score_response_target",'Settings'!$A$2:$A$100,0)))*15)+IF(COUNTIFS('Interactions'!$B$2:$B$500,$A315,'Interactions'!$E$2:$E$500,"complaint")=0,10,0),0))</x:f>
      </x:c>
      <x:c r="R315" s="108" t="str">
        <x:f>IF($A315="","",IF($J315="inactive","inactive",IF($J315="at_risk","at_risk",IF($Q315&gt;=85,"vip",IF($Q315&gt;=70,"loyal",IF($Q315&gt;=50,"active",IF($N315=0,"new","needs_attention")))))))</x:f>
      </x:c>
      <x:c r="S315" s="19"/>
      <x:c r="T315" s="18"/>
      <x:c r="U315" s="19"/>
      <x:c r="V315" s="20"/>
      <x:c r="W315" s="26"/>
      <x:c r="X315" s="19"/>
      <x:c r="Y315" s="26"/>
      <x:c r="Z315" s="19"/>
      <x:c r="AA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20"/>
      <x:c r="J316" s="19"/>
      <x:c r="K316" s="19"/>
      <x:c r="L316" s="92" t="str">
        <x:f>IF($A316="","",IF(COUNTIFS('Orders'!$C$2:$C$500,$A316,'Orders'!$M$2:$M$500,"&lt;&gt;cancelled")=0,"",MAXIFS('Orders'!$G$2:$G$500,'Orders'!$C$2:$C$500,$A316,'Orders'!$M$2:$M$500,"&lt;&gt;cancelled")))</x:f>
      </x:c>
      <x:c r="M316" s="96" t="str">
        <x:f>IF($A316="","",SUMIFS('Orders'!$K$2:$K$500,'Orders'!$C$2:$C$500,$A316,'Orders'!$M$2:$M$500,"&lt;&gt;cancelled"))</x:f>
      </x:c>
      <x:c r="N316" s="96" t="str">
        <x:f>IF($A316="","",COUNTIFS('Orders'!$C$2:$C$500,$A316,'Orders'!$M$2:$M$500,"&lt;&gt;cancelled"))</x:f>
      </x:c>
      <x:c r="O316" s="100" t="str">
        <x:f>IF($A316="","",IF(COUNTIF('Interactions'!$B$2:$B$500,$A316)=0,"",MAXIFS('Interactions'!$G$2:$G$500,'Interactions'!$B$2:$B$500,$A316)))</x:f>
      </x:c>
      <x:c r="P316" s="100" t="str">
        <x:f>IF($A316="","",IF(COUNTIFS('FollowUps'!$B$2:$B$500,$A316,'FollowUps'!$H$2:$H$500,"open")=0,"",MINIFS('FollowUps'!$E$2:$E$500,'FollowUps'!$B$2:$B$500,$A316,'FollowUps'!$H$2:$H$500,"open")))</x:f>
      </x:c>
      <x:c r="Q316" s="104" t="str">
        <x:f>IF($A316="","",ROUND(MIN(25,$N316/VALUE(INDEX('Settings'!$B$2:$B$100,MATCH("score_purchase_target",'Settings'!$A$2:$A$100,0)))*25)+MIN(25,$M316/VALUE(INDEX('Settings'!$B$2:$B$100,MATCH("score_value_target",'Settings'!$A$2:$A$100,0)))*25)+IF($L316="",0,MAX(0,25-(TODAY()-$L316)/VALUE(INDEX('Settings'!$B$2:$B$100,MATCH("score_recency_days",'Settings'!$A$2:$A$100,0)))*25))+MIN(15,COUNTIFS('FollowUps'!$B$2:$B$500,$A316,'FollowUps'!$H$2:$H$500,"done")/VALUE(INDEX('Settings'!$B$2:$B$100,MATCH("score_response_target",'Settings'!$A$2:$A$100,0)))*15)+IF(COUNTIFS('Interactions'!$B$2:$B$500,$A316,'Interactions'!$E$2:$E$500,"complaint")=0,10,0),0))</x:f>
      </x:c>
      <x:c r="R316" s="108" t="str">
        <x:f>IF($A316="","",IF($J316="inactive","inactive",IF($J316="at_risk","at_risk",IF($Q316&gt;=85,"vip",IF($Q316&gt;=70,"loyal",IF($Q316&gt;=50,"active",IF($N316=0,"new","needs_attention")))))))</x:f>
      </x:c>
      <x:c r="S316" s="19"/>
      <x:c r="T316" s="18"/>
      <x:c r="U316" s="19"/>
      <x:c r="V316" s="20"/>
      <x:c r="W316" s="26"/>
      <x:c r="X316" s="19"/>
      <x:c r="Y316" s="26"/>
      <x:c r="Z316" s="19"/>
      <x:c r="AA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20"/>
      <x:c r="J317" s="19"/>
      <x:c r="K317" s="19"/>
      <x:c r="L317" s="92" t="str">
        <x:f>IF($A317="","",IF(COUNTIFS('Orders'!$C$2:$C$500,$A317,'Orders'!$M$2:$M$500,"&lt;&gt;cancelled")=0,"",MAXIFS('Orders'!$G$2:$G$500,'Orders'!$C$2:$C$500,$A317,'Orders'!$M$2:$M$500,"&lt;&gt;cancelled")))</x:f>
      </x:c>
      <x:c r="M317" s="96" t="str">
        <x:f>IF($A317="","",SUMIFS('Orders'!$K$2:$K$500,'Orders'!$C$2:$C$500,$A317,'Orders'!$M$2:$M$500,"&lt;&gt;cancelled"))</x:f>
      </x:c>
      <x:c r="N317" s="96" t="str">
        <x:f>IF($A317="","",COUNTIFS('Orders'!$C$2:$C$500,$A317,'Orders'!$M$2:$M$500,"&lt;&gt;cancelled"))</x:f>
      </x:c>
      <x:c r="O317" s="100" t="str">
        <x:f>IF($A317="","",IF(COUNTIF('Interactions'!$B$2:$B$500,$A317)=0,"",MAXIFS('Interactions'!$G$2:$G$500,'Interactions'!$B$2:$B$500,$A317)))</x:f>
      </x:c>
      <x:c r="P317" s="100" t="str">
        <x:f>IF($A317="","",IF(COUNTIFS('FollowUps'!$B$2:$B$500,$A317,'FollowUps'!$H$2:$H$500,"open")=0,"",MINIFS('FollowUps'!$E$2:$E$500,'FollowUps'!$B$2:$B$500,$A317,'FollowUps'!$H$2:$H$500,"open")))</x:f>
      </x:c>
      <x:c r="Q317" s="104" t="str">
        <x:f>IF($A317="","",ROUND(MIN(25,$N317/VALUE(INDEX('Settings'!$B$2:$B$100,MATCH("score_purchase_target",'Settings'!$A$2:$A$100,0)))*25)+MIN(25,$M317/VALUE(INDEX('Settings'!$B$2:$B$100,MATCH("score_value_target",'Settings'!$A$2:$A$100,0)))*25)+IF($L317="",0,MAX(0,25-(TODAY()-$L317)/VALUE(INDEX('Settings'!$B$2:$B$100,MATCH("score_recency_days",'Settings'!$A$2:$A$100,0)))*25))+MIN(15,COUNTIFS('FollowUps'!$B$2:$B$500,$A317,'FollowUps'!$H$2:$H$500,"done")/VALUE(INDEX('Settings'!$B$2:$B$100,MATCH("score_response_target",'Settings'!$A$2:$A$100,0)))*15)+IF(COUNTIFS('Interactions'!$B$2:$B$500,$A317,'Interactions'!$E$2:$E$500,"complaint")=0,10,0),0))</x:f>
      </x:c>
      <x:c r="R317" s="108" t="str">
        <x:f>IF($A317="","",IF($J317="inactive","inactive",IF($J317="at_risk","at_risk",IF($Q317&gt;=85,"vip",IF($Q317&gt;=70,"loyal",IF($Q317&gt;=50,"active",IF($N317=0,"new","needs_attention")))))))</x:f>
      </x:c>
      <x:c r="S317" s="19"/>
      <x:c r="T317" s="18"/>
      <x:c r="U317" s="19"/>
      <x:c r="V317" s="20"/>
      <x:c r="W317" s="26"/>
      <x:c r="X317" s="19"/>
      <x:c r="Y317" s="26"/>
      <x:c r="Z317" s="19"/>
      <x:c r="AA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20"/>
      <x:c r="J318" s="19"/>
      <x:c r="K318" s="19"/>
      <x:c r="L318" s="92" t="str">
        <x:f>IF($A318="","",IF(COUNTIFS('Orders'!$C$2:$C$500,$A318,'Orders'!$M$2:$M$500,"&lt;&gt;cancelled")=0,"",MAXIFS('Orders'!$G$2:$G$500,'Orders'!$C$2:$C$500,$A318,'Orders'!$M$2:$M$500,"&lt;&gt;cancelled")))</x:f>
      </x:c>
      <x:c r="M318" s="96" t="str">
        <x:f>IF($A318="","",SUMIFS('Orders'!$K$2:$K$500,'Orders'!$C$2:$C$500,$A318,'Orders'!$M$2:$M$500,"&lt;&gt;cancelled"))</x:f>
      </x:c>
      <x:c r="N318" s="96" t="str">
        <x:f>IF($A318="","",COUNTIFS('Orders'!$C$2:$C$500,$A318,'Orders'!$M$2:$M$500,"&lt;&gt;cancelled"))</x:f>
      </x:c>
      <x:c r="O318" s="100" t="str">
        <x:f>IF($A318="","",IF(COUNTIF('Interactions'!$B$2:$B$500,$A318)=0,"",MAXIFS('Interactions'!$G$2:$G$500,'Interactions'!$B$2:$B$500,$A318)))</x:f>
      </x:c>
      <x:c r="P318" s="100" t="str">
        <x:f>IF($A318="","",IF(COUNTIFS('FollowUps'!$B$2:$B$500,$A318,'FollowUps'!$H$2:$H$500,"open")=0,"",MINIFS('FollowUps'!$E$2:$E$500,'FollowUps'!$B$2:$B$500,$A318,'FollowUps'!$H$2:$H$500,"open")))</x:f>
      </x:c>
      <x:c r="Q318" s="104" t="str">
        <x:f>IF($A318="","",ROUND(MIN(25,$N318/VALUE(INDEX('Settings'!$B$2:$B$100,MATCH("score_purchase_target",'Settings'!$A$2:$A$100,0)))*25)+MIN(25,$M318/VALUE(INDEX('Settings'!$B$2:$B$100,MATCH("score_value_target",'Settings'!$A$2:$A$100,0)))*25)+IF($L318="",0,MAX(0,25-(TODAY()-$L318)/VALUE(INDEX('Settings'!$B$2:$B$100,MATCH("score_recency_days",'Settings'!$A$2:$A$100,0)))*25))+MIN(15,COUNTIFS('FollowUps'!$B$2:$B$500,$A318,'FollowUps'!$H$2:$H$500,"done")/VALUE(INDEX('Settings'!$B$2:$B$100,MATCH("score_response_target",'Settings'!$A$2:$A$100,0)))*15)+IF(COUNTIFS('Interactions'!$B$2:$B$500,$A318,'Interactions'!$E$2:$E$500,"complaint")=0,10,0),0))</x:f>
      </x:c>
      <x:c r="R318" s="108" t="str">
        <x:f>IF($A318="","",IF($J318="inactive","inactive",IF($J318="at_risk","at_risk",IF($Q318&gt;=85,"vip",IF($Q318&gt;=70,"loyal",IF($Q318&gt;=50,"active",IF($N318=0,"new","needs_attention")))))))</x:f>
      </x:c>
      <x:c r="S318" s="19"/>
      <x:c r="T318" s="18"/>
      <x:c r="U318" s="19"/>
      <x:c r="V318" s="20"/>
      <x:c r="W318" s="26"/>
      <x:c r="X318" s="19"/>
      <x:c r="Y318" s="26"/>
      <x:c r="Z318" s="19"/>
      <x:c r="AA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20"/>
      <x:c r="J319" s="19"/>
      <x:c r="K319" s="19"/>
      <x:c r="L319" s="92" t="str">
        <x:f>IF($A319="","",IF(COUNTIFS('Orders'!$C$2:$C$500,$A319,'Orders'!$M$2:$M$500,"&lt;&gt;cancelled")=0,"",MAXIFS('Orders'!$G$2:$G$500,'Orders'!$C$2:$C$500,$A319,'Orders'!$M$2:$M$500,"&lt;&gt;cancelled")))</x:f>
      </x:c>
      <x:c r="M319" s="96" t="str">
        <x:f>IF($A319="","",SUMIFS('Orders'!$K$2:$K$500,'Orders'!$C$2:$C$500,$A319,'Orders'!$M$2:$M$500,"&lt;&gt;cancelled"))</x:f>
      </x:c>
      <x:c r="N319" s="96" t="str">
        <x:f>IF($A319="","",COUNTIFS('Orders'!$C$2:$C$500,$A319,'Orders'!$M$2:$M$500,"&lt;&gt;cancelled"))</x:f>
      </x:c>
      <x:c r="O319" s="100" t="str">
        <x:f>IF($A319="","",IF(COUNTIF('Interactions'!$B$2:$B$500,$A319)=0,"",MAXIFS('Interactions'!$G$2:$G$500,'Interactions'!$B$2:$B$500,$A319)))</x:f>
      </x:c>
      <x:c r="P319" s="100" t="str">
        <x:f>IF($A319="","",IF(COUNTIFS('FollowUps'!$B$2:$B$500,$A319,'FollowUps'!$H$2:$H$500,"open")=0,"",MINIFS('FollowUps'!$E$2:$E$500,'FollowUps'!$B$2:$B$500,$A319,'FollowUps'!$H$2:$H$500,"open")))</x:f>
      </x:c>
      <x:c r="Q319" s="104" t="str">
        <x:f>IF($A319="","",ROUND(MIN(25,$N319/VALUE(INDEX('Settings'!$B$2:$B$100,MATCH("score_purchase_target",'Settings'!$A$2:$A$100,0)))*25)+MIN(25,$M319/VALUE(INDEX('Settings'!$B$2:$B$100,MATCH("score_value_target",'Settings'!$A$2:$A$100,0)))*25)+IF($L319="",0,MAX(0,25-(TODAY()-$L319)/VALUE(INDEX('Settings'!$B$2:$B$100,MATCH("score_recency_days",'Settings'!$A$2:$A$100,0)))*25))+MIN(15,COUNTIFS('FollowUps'!$B$2:$B$500,$A319,'FollowUps'!$H$2:$H$500,"done")/VALUE(INDEX('Settings'!$B$2:$B$100,MATCH("score_response_target",'Settings'!$A$2:$A$100,0)))*15)+IF(COUNTIFS('Interactions'!$B$2:$B$500,$A319,'Interactions'!$E$2:$E$500,"complaint")=0,10,0),0))</x:f>
      </x:c>
      <x:c r="R319" s="108" t="str">
        <x:f>IF($A319="","",IF($J319="inactive","inactive",IF($J319="at_risk","at_risk",IF($Q319&gt;=85,"vip",IF($Q319&gt;=70,"loyal",IF($Q319&gt;=50,"active",IF($N319=0,"new","needs_attention")))))))</x:f>
      </x:c>
      <x:c r="S319" s="19"/>
      <x:c r="T319" s="18"/>
      <x:c r="U319" s="19"/>
      <x:c r="V319" s="20"/>
      <x:c r="W319" s="26"/>
      <x:c r="X319" s="19"/>
      <x:c r="Y319" s="26"/>
      <x:c r="Z319" s="19"/>
      <x:c r="AA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20"/>
      <x:c r="J320" s="19"/>
      <x:c r="K320" s="19"/>
      <x:c r="L320" s="92" t="str">
        <x:f>IF($A320="","",IF(COUNTIFS('Orders'!$C$2:$C$500,$A320,'Orders'!$M$2:$M$500,"&lt;&gt;cancelled")=0,"",MAXIFS('Orders'!$G$2:$G$500,'Orders'!$C$2:$C$500,$A320,'Orders'!$M$2:$M$500,"&lt;&gt;cancelled")))</x:f>
      </x:c>
      <x:c r="M320" s="96" t="str">
        <x:f>IF($A320="","",SUMIFS('Orders'!$K$2:$K$500,'Orders'!$C$2:$C$500,$A320,'Orders'!$M$2:$M$500,"&lt;&gt;cancelled"))</x:f>
      </x:c>
      <x:c r="N320" s="96" t="str">
        <x:f>IF($A320="","",COUNTIFS('Orders'!$C$2:$C$500,$A320,'Orders'!$M$2:$M$500,"&lt;&gt;cancelled"))</x:f>
      </x:c>
      <x:c r="O320" s="100" t="str">
        <x:f>IF($A320="","",IF(COUNTIF('Interactions'!$B$2:$B$500,$A320)=0,"",MAXIFS('Interactions'!$G$2:$G$500,'Interactions'!$B$2:$B$500,$A320)))</x:f>
      </x:c>
      <x:c r="P320" s="100" t="str">
        <x:f>IF($A320="","",IF(COUNTIFS('FollowUps'!$B$2:$B$500,$A320,'FollowUps'!$H$2:$H$500,"open")=0,"",MINIFS('FollowUps'!$E$2:$E$500,'FollowUps'!$B$2:$B$500,$A320,'FollowUps'!$H$2:$H$500,"open")))</x:f>
      </x:c>
      <x:c r="Q320" s="104" t="str">
        <x:f>IF($A320="","",ROUND(MIN(25,$N320/VALUE(INDEX('Settings'!$B$2:$B$100,MATCH("score_purchase_target",'Settings'!$A$2:$A$100,0)))*25)+MIN(25,$M320/VALUE(INDEX('Settings'!$B$2:$B$100,MATCH("score_value_target",'Settings'!$A$2:$A$100,0)))*25)+IF($L320="",0,MAX(0,25-(TODAY()-$L320)/VALUE(INDEX('Settings'!$B$2:$B$100,MATCH("score_recency_days",'Settings'!$A$2:$A$100,0)))*25))+MIN(15,COUNTIFS('FollowUps'!$B$2:$B$500,$A320,'FollowUps'!$H$2:$H$500,"done")/VALUE(INDEX('Settings'!$B$2:$B$100,MATCH("score_response_target",'Settings'!$A$2:$A$100,0)))*15)+IF(COUNTIFS('Interactions'!$B$2:$B$500,$A320,'Interactions'!$E$2:$E$500,"complaint")=0,10,0),0))</x:f>
      </x:c>
      <x:c r="R320" s="108" t="str">
        <x:f>IF($A320="","",IF($J320="inactive","inactive",IF($J320="at_risk","at_risk",IF($Q320&gt;=85,"vip",IF($Q320&gt;=70,"loyal",IF($Q320&gt;=50,"active",IF($N320=0,"new","needs_attention")))))))</x:f>
      </x:c>
      <x:c r="S320" s="19"/>
      <x:c r="T320" s="18"/>
      <x:c r="U320" s="19"/>
      <x:c r="V320" s="20"/>
      <x:c r="W320" s="26"/>
      <x:c r="X320" s="19"/>
      <x:c r="Y320" s="26"/>
      <x:c r="Z320" s="19"/>
      <x:c r="AA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20"/>
      <x:c r="J321" s="19"/>
      <x:c r="K321" s="19"/>
      <x:c r="L321" s="92" t="str">
        <x:f>IF($A321="","",IF(COUNTIFS('Orders'!$C$2:$C$500,$A321,'Orders'!$M$2:$M$500,"&lt;&gt;cancelled")=0,"",MAXIFS('Orders'!$G$2:$G$500,'Orders'!$C$2:$C$500,$A321,'Orders'!$M$2:$M$500,"&lt;&gt;cancelled")))</x:f>
      </x:c>
      <x:c r="M321" s="96" t="str">
        <x:f>IF($A321="","",SUMIFS('Orders'!$K$2:$K$500,'Orders'!$C$2:$C$500,$A321,'Orders'!$M$2:$M$500,"&lt;&gt;cancelled"))</x:f>
      </x:c>
      <x:c r="N321" s="96" t="str">
        <x:f>IF($A321="","",COUNTIFS('Orders'!$C$2:$C$500,$A321,'Orders'!$M$2:$M$500,"&lt;&gt;cancelled"))</x:f>
      </x:c>
      <x:c r="O321" s="100" t="str">
        <x:f>IF($A321="","",IF(COUNTIF('Interactions'!$B$2:$B$500,$A321)=0,"",MAXIFS('Interactions'!$G$2:$G$500,'Interactions'!$B$2:$B$500,$A321)))</x:f>
      </x:c>
      <x:c r="P321" s="100" t="str">
        <x:f>IF($A321="","",IF(COUNTIFS('FollowUps'!$B$2:$B$500,$A321,'FollowUps'!$H$2:$H$500,"open")=0,"",MINIFS('FollowUps'!$E$2:$E$500,'FollowUps'!$B$2:$B$500,$A321,'FollowUps'!$H$2:$H$500,"open")))</x:f>
      </x:c>
      <x:c r="Q321" s="104" t="str">
        <x:f>IF($A321="","",ROUND(MIN(25,$N321/VALUE(INDEX('Settings'!$B$2:$B$100,MATCH("score_purchase_target",'Settings'!$A$2:$A$100,0)))*25)+MIN(25,$M321/VALUE(INDEX('Settings'!$B$2:$B$100,MATCH("score_value_target",'Settings'!$A$2:$A$100,0)))*25)+IF($L321="",0,MAX(0,25-(TODAY()-$L321)/VALUE(INDEX('Settings'!$B$2:$B$100,MATCH("score_recency_days",'Settings'!$A$2:$A$100,0)))*25))+MIN(15,COUNTIFS('FollowUps'!$B$2:$B$500,$A321,'FollowUps'!$H$2:$H$500,"done")/VALUE(INDEX('Settings'!$B$2:$B$100,MATCH("score_response_target",'Settings'!$A$2:$A$100,0)))*15)+IF(COUNTIFS('Interactions'!$B$2:$B$500,$A321,'Interactions'!$E$2:$E$500,"complaint")=0,10,0),0))</x:f>
      </x:c>
      <x:c r="R321" s="108" t="str">
        <x:f>IF($A321="","",IF($J321="inactive","inactive",IF($J321="at_risk","at_risk",IF($Q321&gt;=85,"vip",IF($Q321&gt;=70,"loyal",IF($Q321&gt;=50,"active",IF($N321=0,"new","needs_attention")))))))</x:f>
      </x:c>
      <x:c r="S321" s="19"/>
      <x:c r="T321" s="18"/>
      <x:c r="U321" s="19"/>
      <x:c r="V321" s="20"/>
      <x:c r="W321" s="26"/>
      <x:c r="X321" s="19"/>
      <x:c r="Y321" s="26"/>
      <x:c r="Z321" s="19"/>
      <x:c r="AA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20"/>
      <x:c r="J322" s="19"/>
      <x:c r="K322" s="19"/>
      <x:c r="L322" s="92" t="str">
        <x:f>IF($A322="","",IF(COUNTIFS('Orders'!$C$2:$C$500,$A322,'Orders'!$M$2:$M$500,"&lt;&gt;cancelled")=0,"",MAXIFS('Orders'!$G$2:$G$500,'Orders'!$C$2:$C$500,$A322,'Orders'!$M$2:$M$500,"&lt;&gt;cancelled")))</x:f>
      </x:c>
      <x:c r="M322" s="96" t="str">
        <x:f>IF($A322="","",SUMIFS('Orders'!$K$2:$K$500,'Orders'!$C$2:$C$500,$A322,'Orders'!$M$2:$M$500,"&lt;&gt;cancelled"))</x:f>
      </x:c>
      <x:c r="N322" s="96" t="str">
        <x:f>IF($A322="","",COUNTIFS('Orders'!$C$2:$C$500,$A322,'Orders'!$M$2:$M$500,"&lt;&gt;cancelled"))</x:f>
      </x:c>
      <x:c r="O322" s="100" t="str">
        <x:f>IF($A322="","",IF(COUNTIF('Interactions'!$B$2:$B$500,$A322)=0,"",MAXIFS('Interactions'!$G$2:$G$500,'Interactions'!$B$2:$B$500,$A322)))</x:f>
      </x:c>
      <x:c r="P322" s="100" t="str">
        <x:f>IF($A322="","",IF(COUNTIFS('FollowUps'!$B$2:$B$500,$A322,'FollowUps'!$H$2:$H$500,"open")=0,"",MINIFS('FollowUps'!$E$2:$E$500,'FollowUps'!$B$2:$B$500,$A322,'FollowUps'!$H$2:$H$500,"open")))</x:f>
      </x:c>
      <x:c r="Q322" s="104" t="str">
        <x:f>IF($A322="","",ROUND(MIN(25,$N322/VALUE(INDEX('Settings'!$B$2:$B$100,MATCH("score_purchase_target",'Settings'!$A$2:$A$100,0)))*25)+MIN(25,$M322/VALUE(INDEX('Settings'!$B$2:$B$100,MATCH("score_value_target",'Settings'!$A$2:$A$100,0)))*25)+IF($L322="",0,MAX(0,25-(TODAY()-$L322)/VALUE(INDEX('Settings'!$B$2:$B$100,MATCH("score_recency_days",'Settings'!$A$2:$A$100,0)))*25))+MIN(15,COUNTIFS('FollowUps'!$B$2:$B$500,$A322,'FollowUps'!$H$2:$H$500,"done")/VALUE(INDEX('Settings'!$B$2:$B$100,MATCH("score_response_target",'Settings'!$A$2:$A$100,0)))*15)+IF(COUNTIFS('Interactions'!$B$2:$B$500,$A322,'Interactions'!$E$2:$E$500,"complaint")=0,10,0),0))</x:f>
      </x:c>
      <x:c r="R322" s="108" t="str">
        <x:f>IF($A322="","",IF($J322="inactive","inactive",IF($J322="at_risk","at_risk",IF($Q322&gt;=85,"vip",IF($Q322&gt;=70,"loyal",IF($Q322&gt;=50,"active",IF($N322=0,"new","needs_attention")))))))</x:f>
      </x:c>
      <x:c r="S322" s="19"/>
      <x:c r="T322" s="18"/>
      <x:c r="U322" s="19"/>
      <x:c r="V322" s="20"/>
      <x:c r="W322" s="26"/>
      <x:c r="X322" s="19"/>
      <x:c r="Y322" s="26"/>
      <x:c r="Z322" s="19"/>
      <x:c r="AA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20"/>
      <x:c r="J323" s="19"/>
      <x:c r="K323" s="19"/>
      <x:c r="L323" s="92" t="str">
        <x:f>IF($A323="","",IF(COUNTIFS('Orders'!$C$2:$C$500,$A323,'Orders'!$M$2:$M$500,"&lt;&gt;cancelled")=0,"",MAXIFS('Orders'!$G$2:$G$500,'Orders'!$C$2:$C$500,$A323,'Orders'!$M$2:$M$500,"&lt;&gt;cancelled")))</x:f>
      </x:c>
      <x:c r="M323" s="96" t="str">
        <x:f>IF($A323="","",SUMIFS('Orders'!$K$2:$K$500,'Orders'!$C$2:$C$500,$A323,'Orders'!$M$2:$M$500,"&lt;&gt;cancelled"))</x:f>
      </x:c>
      <x:c r="N323" s="96" t="str">
        <x:f>IF($A323="","",COUNTIFS('Orders'!$C$2:$C$500,$A323,'Orders'!$M$2:$M$500,"&lt;&gt;cancelled"))</x:f>
      </x:c>
      <x:c r="O323" s="100" t="str">
        <x:f>IF($A323="","",IF(COUNTIF('Interactions'!$B$2:$B$500,$A323)=0,"",MAXIFS('Interactions'!$G$2:$G$500,'Interactions'!$B$2:$B$500,$A323)))</x:f>
      </x:c>
      <x:c r="P323" s="100" t="str">
        <x:f>IF($A323="","",IF(COUNTIFS('FollowUps'!$B$2:$B$500,$A323,'FollowUps'!$H$2:$H$500,"open")=0,"",MINIFS('FollowUps'!$E$2:$E$500,'FollowUps'!$B$2:$B$500,$A323,'FollowUps'!$H$2:$H$500,"open")))</x:f>
      </x:c>
      <x:c r="Q323" s="104" t="str">
        <x:f>IF($A323="","",ROUND(MIN(25,$N323/VALUE(INDEX('Settings'!$B$2:$B$100,MATCH("score_purchase_target",'Settings'!$A$2:$A$100,0)))*25)+MIN(25,$M323/VALUE(INDEX('Settings'!$B$2:$B$100,MATCH("score_value_target",'Settings'!$A$2:$A$100,0)))*25)+IF($L323="",0,MAX(0,25-(TODAY()-$L323)/VALUE(INDEX('Settings'!$B$2:$B$100,MATCH("score_recency_days",'Settings'!$A$2:$A$100,0)))*25))+MIN(15,COUNTIFS('FollowUps'!$B$2:$B$500,$A323,'FollowUps'!$H$2:$H$500,"done")/VALUE(INDEX('Settings'!$B$2:$B$100,MATCH("score_response_target",'Settings'!$A$2:$A$100,0)))*15)+IF(COUNTIFS('Interactions'!$B$2:$B$500,$A323,'Interactions'!$E$2:$E$500,"complaint")=0,10,0),0))</x:f>
      </x:c>
      <x:c r="R323" s="108" t="str">
        <x:f>IF($A323="","",IF($J323="inactive","inactive",IF($J323="at_risk","at_risk",IF($Q323&gt;=85,"vip",IF($Q323&gt;=70,"loyal",IF($Q323&gt;=50,"active",IF($N323=0,"new","needs_attention")))))))</x:f>
      </x:c>
      <x:c r="S323" s="19"/>
      <x:c r="T323" s="18"/>
      <x:c r="U323" s="19"/>
      <x:c r="V323" s="20"/>
      <x:c r="W323" s="26"/>
      <x:c r="X323" s="19"/>
      <x:c r="Y323" s="26"/>
      <x:c r="Z323" s="19"/>
      <x:c r="AA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20"/>
      <x:c r="J324" s="19"/>
      <x:c r="K324" s="19"/>
      <x:c r="L324" s="92" t="str">
        <x:f>IF($A324="","",IF(COUNTIFS('Orders'!$C$2:$C$500,$A324,'Orders'!$M$2:$M$500,"&lt;&gt;cancelled")=0,"",MAXIFS('Orders'!$G$2:$G$500,'Orders'!$C$2:$C$500,$A324,'Orders'!$M$2:$M$500,"&lt;&gt;cancelled")))</x:f>
      </x:c>
      <x:c r="M324" s="96" t="str">
        <x:f>IF($A324="","",SUMIFS('Orders'!$K$2:$K$500,'Orders'!$C$2:$C$500,$A324,'Orders'!$M$2:$M$500,"&lt;&gt;cancelled"))</x:f>
      </x:c>
      <x:c r="N324" s="96" t="str">
        <x:f>IF($A324="","",COUNTIFS('Orders'!$C$2:$C$500,$A324,'Orders'!$M$2:$M$500,"&lt;&gt;cancelled"))</x:f>
      </x:c>
      <x:c r="O324" s="100" t="str">
        <x:f>IF($A324="","",IF(COUNTIF('Interactions'!$B$2:$B$500,$A324)=0,"",MAXIFS('Interactions'!$G$2:$G$500,'Interactions'!$B$2:$B$500,$A324)))</x:f>
      </x:c>
      <x:c r="P324" s="100" t="str">
        <x:f>IF($A324="","",IF(COUNTIFS('FollowUps'!$B$2:$B$500,$A324,'FollowUps'!$H$2:$H$500,"open")=0,"",MINIFS('FollowUps'!$E$2:$E$500,'FollowUps'!$B$2:$B$500,$A324,'FollowUps'!$H$2:$H$500,"open")))</x:f>
      </x:c>
      <x:c r="Q324" s="104" t="str">
        <x:f>IF($A324="","",ROUND(MIN(25,$N324/VALUE(INDEX('Settings'!$B$2:$B$100,MATCH("score_purchase_target",'Settings'!$A$2:$A$100,0)))*25)+MIN(25,$M324/VALUE(INDEX('Settings'!$B$2:$B$100,MATCH("score_value_target",'Settings'!$A$2:$A$100,0)))*25)+IF($L324="",0,MAX(0,25-(TODAY()-$L324)/VALUE(INDEX('Settings'!$B$2:$B$100,MATCH("score_recency_days",'Settings'!$A$2:$A$100,0)))*25))+MIN(15,COUNTIFS('FollowUps'!$B$2:$B$500,$A324,'FollowUps'!$H$2:$H$500,"done")/VALUE(INDEX('Settings'!$B$2:$B$100,MATCH("score_response_target",'Settings'!$A$2:$A$100,0)))*15)+IF(COUNTIFS('Interactions'!$B$2:$B$500,$A324,'Interactions'!$E$2:$E$500,"complaint")=0,10,0),0))</x:f>
      </x:c>
      <x:c r="R324" s="108" t="str">
        <x:f>IF($A324="","",IF($J324="inactive","inactive",IF($J324="at_risk","at_risk",IF($Q324&gt;=85,"vip",IF($Q324&gt;=70,"loyal",IF($Q324&gt;=50,"active",IF($N324=0,"new","needs_attention")))))))</x:f>
      </x:c>
      <x:c r="S324" s="19"/>
      <x:c r="T324" s="18"/>
      <x:c r="U324" s="19"/>
      <x:c r="V324" s="20"/>
      <x:c r="W324" s="26"/>
      <x:c r="X324" s="19"/>
      <x:c r="Y324" s="26"/>
      <x:c r="Z324" s="19"/>
      <x:c r="AA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20"/>
      <x:c r="J325" s="19"/>
      <x:c r="K325" s="19"/>
      <x:c r="L325" s="92" t="str">
        <x:f>IF($A325="","",IF(COUNTIFS('Orders'!$C$2:$C$500,$A325,'Orders'!$M$2:$M$500,"&lt;&gt;cancelled")=0,"",MAXIFS('Orders'!$G$2:$G$500,'Orders'!$C$2:$C$500,$A325,'Orders'!$M$2:$M$500,"&lt;&gt;cancelled")))</x:f>
      </x:c>
      <x:c r="M325" s="96" t="str">
        <x:f>IF($A325="","",SUMIFS('Orders'!$K$2:$K$500,'Orders'!$C$2:$C$500,$A325,'Orders'!$M$2:$M$500,"&lt;&gt;cancelled"))</x:f>
      </x:c>
      <x:c r="N325" s="96" t="str">
        <x:f>IF($A325="","",COUNTIFS('Orders'!$C$2:$C$500,$A325,'Orders'!$M$2:$M$500,"&lt;&gt;cancelled"))</x:f>
      </x:c>
      <x:c r="O325" s="100" t="str">
        <x:f>IF($A325="","",IF(COUNTIF('Interactions'!$B$2:$B$500,$A325)=0,"",MAXIFS('Interactions'!$G$2:$G$500,'Interactions'!$B$2:$B$500,$A325)))</x:f>
      </x:c>
      <x:c r="P325" s="100" t="str">
        <x:f>IF($A325="","",IF(COUNTIFS('FollowUps'!$B$2:$B$500,$A325,'FollowUps'!$H$2:$H$500,"open")=0,"",MINIFS('FollowUps'!$E$2:$E$500,'FollowUps'!$B$2:$B$500,$A325,'FollowUps'!$H$2:$H$500,"open")))</x:f>
      </x:c>
      <x:c r="Q325" s="104" t="str">
        <x:f>IF($A325="","",ROUND(MIN(25,$N325/VALUE(INDEX('Settings'!$B$2:$B$100,MATCH("score_purchase_target",'Settings'!$A$2:$A$100,0)))*25)+MIN(25,$M325/VALUE(INDEX('Settings'!$B$2:$B$100,MATCH("score_value_target",'Settings'!$A$2:$A$100,0)))*25)+IF($L325="",0,MAX(0,25-(TODAY()-$L325)/VALUE(INDEX('Settings'!$B$2:$B$100,MATCH("score_recency_days",'Settings'!$A$2:$A$100,0)))*25))+MIN(15,COUNTIFS('FollowUps'!$B$2:$B$500,$A325,'FollowUps'!$H$2:$H$500,"done")/VALUE(INDEX('Settings'!$B$2:$B$100,MATCH("score_response_target",'Settings'!$A$2:$A$100,0)))*15)+IF(COUNTIFS('Interactions'!$B$2:$B$500,$A325,'Interactions'!$E$2:$E$500,"complaint")=0,10,0),0))</x:f>
      </x:c>
      <x:c r="R325" s="108" t="str">
        <x:f>IF($A325="","",IF($J325="inactive","inactive",IF($J325="at_risk","at_risk",IF($Q325&gt;=85,"vip",IF($Q325&gt;=70,"loyal",IF($Q325&gt;=50,"active",IF($N325=0,"new","needs_attention")))))))</x:f>
      </x:c>
      <x:c r="S325" s="19"/>
      <x:c r="T325" s="18"/>
      <x:c r="U325" s="19"/>
      <x:c r="V325" s="20"/>
      <x:c r="W325" s="26"/>
      <x:c r="X325" s="19"/>
      <x:c r="Y325" s="26"/>
      <x:c r="Z325" s="19"/>
      <x:c r="AA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20"/>
      <x:c r="J326" s="19"/>
      <x:c r="K326" s="19"/>
      <x:c r="L326" s="92" t="str">
        <x:f>IF($A326="","",IF(COUNTIFS('Orders'!$C$2:$C$500,$A326,'Orders'!$M$2:$M$500,"&lt;&gt;cancelled")=0,"",MAXIFS('Orders'!$G$2:$G$500,'Orders'!$C$2:$C$500,$A326,'Orders'!$M$2:$M$500,"&lt;&gt;cancelled")))</x:f>
      </x:c>
      <x:c r="M326" s="96" t="str">
        <x:f>IF($A326="","",SUMIFS('Orders'!$K$2:$K$500,'Orders'!$C$2:$C$500,$A326,'Orders'!$M$2:$M$500,"&lt;&gt;cancelled"))</x:f>
      </x:c>
      <x:c r="N326" s="96" t="str">
        <x:f>IF($A326="","",COUNTIFS('Orders'!$C$2:$C$500,$A326,'Orders'!$M$2:$M$500,"&lt;&gt;cancelled"))</x:f>
      </x:c>
      <x:c r="O326" s="100" t="str">
        <x:f>IF($A326="","",IF(COUNTIF('Interactions'!$B$2:$B$500,$A326)=0,"",MAXIFS('Interactions'!$G$2:$G$500,'Interactions'!$B$2:$B$500,$A326)))</x:f>
      </x:c>
      <x:c r="P326" s="100" t="str">
        <x:f>IF($A326="","",IF(COUNTIFS('FollowUps'!$B$2:$B$500,$A326,'FollowUps'!$H$2:$H$500,"open")=0,"",MINIFS('FollowUps'!$E$2:$E$500,'FollowUps'!$B$2:$B$500,$A326,'FollowUps'!$H$2:$H$500,"open")))</x:f>
      </x:c>
      <x:c r="Q326" s="104" t="str">
        <x:f>IF($A326="","",ROUND(MIN(25,$N326/VALUE(INDEX('Settings'!$B$2:$B$100,MATCH("score_purchase_target",'Settings'!$A$2:$A$100,0)))*25)+MIN(25,$M326/VALUE(INDEX('Settings'!$B$2:$B$100,MATCH("score_value_target",'Settings'!$A$2:$A$100,0)))*25)+IF($L326="",0,MAX(0,25-(TODAY()-$L326)/VALUE(INDEX('Settings'!$B$2:$B$100,MATCH("score_recency_days",'Settings'!$A$2:$A$100,0)))*25))+MIN(15,COUNTIFS('FollowUps'!$B$2:$B$500,$A326,'FollowUps'!$H$2:$H$500,"done")/VALUE(INDEX('Settings'!$B$2:$B$100,MATCH("score_response_target",'Settings'!$A$2:$A$100,0)))*15)+IF(COUNTIFS('Interactions'!$B$2:$B$500,$A326,'Interactions'!$E$2:$E$500,"complaint")=0,10,0),0))</x:f>
      </x:c>
      <x:c r="R326" s="108" t="str">
        <x:f>IF($A326="","",IF($J326="inactive","inactive",IF($J326="at_risk","at_risk",IF($Q326&gt;=85,"vip",IF($Q326&gt;=70,"loyal",IF($Q326&gt;=50,"active",IF($N326=0,"new","needs_attention")))))))</x:f>
      </x:c>
      <x:c r="S326" s="19"/>
      <x:c r="T326" s="18"/>
      <x:c r="U326" s="19"/>
      <x:c r="V326" s="20"/>
      <x:c r="W326" s="26"/>
      <x:c r="X326" s="19"/>
      <x:c r="Y326" s="26"/>
      <x:c r="Z326" s="19"/>
      <x:c r="AA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20"/>
      <x:c r="J327" s="19"/>
      <x:c r="K327" s="19"/>
      <x:c r="L327" s="92" t="str">
        <x:f>IF($A327="","",IF(COUNTIFS('Orders'!$C$2:$C$500,$A327,'Orders'!$M$2:$M$500,"&lt;&gt;cancelled")=0,"",MAXIFS('Orders'!$G$2:$G$500,'Orders'!$C$2:$C$500,$A327,'Orders'!$M$2:$M$500,"&lt;&gt;cancelled")))</x:f>
      </x:c>
      <x:c r="M327" s="96" t="str">
        <x:f>IF($A327="","",SUMIFS('Orders'!$K$2:$K$500,'Orders'!$C$2:$C$500,$A327,'Orders'!$M$2:$M$500,"&lt;&gt;cancelled"))</x:f>
      </x:c>
      <x:c r="N327" s="96" t="str">
        <x:f>IF($A327="","",COUNTIFS('Orders'!$C$2:$C$500,$A327,'Orders'!$M$2:$M$500,"&lt;&gt;cancelled"))</x:f>
      </x:c>
      <x:c r="O327" s="100" t="str">
        <x:f>IF($A327="","",IF(COUNTIF('Interactions'!$B$2:$B$500,$A327)=0,"",MAXIFS('Interactions'!$G$2:$G$500,'Interactions'!$B$2:$B$500,$A327)))</x:f>
      </x:c>
      <x:c r="P327" s="100" t="str">
        <x:f>IF($A327="","",IF(COUNTIFS('FollowUps'!$B$2:$B$500,$A327,'FollowUps'!$H$2:$H$500,"open")=0,"",MINIFS('FollowUps'!$E$2:$E$500,'FollowUps'!$B$2:$B$500,$A327,'FollowUps'!$H$2:$H$500,"open")))</x:f>
      </x:c>
      <x:c r="Q327" s="104" t="str">
        <x:f>IF($A327="","",ROUND(MIN(25,$N327/VALUE(INDEX('Settings'!$B$2:$B$100,MATCH("score_purchase_target",'Settings'!$A$2:$A$100,0)))*25)+MIN(25,$M327/VALUE(INDEX('Settings'!$B$2:$B$100,MATCH("score_value_target",'Settings'!$A$2:$A$100,0)))*25)+IF($L327="",0,MAX(0,25-(TODAY()-$L327)/VALUE(INDEX('Settings'!$B$2:$B$100,MATCH("score_recency_days",'Settings'!$A$2:$A$100,0)))*25))+MIN(15,COUNTIFS('FollowUps'!$B$2:$B$500,$A327,'FollowUps'!$H$2:$H$500,"done")/VALUE(INDEX('Settings'!$B$2:$B$100,MATCH("score_response_target",'Settings'!$A$2:$A$100,0)))*15)+IF(COUNTIFS('Interactions'!$B$2:$B$500,$A327,'Interactions'!$E$2:$E$500,"complaint")=0,10,0),0))</x:f>
      </x:c>
      <x:c r="R327" s="108" t="str">
        <x:f>IF($A327="","",IF($J327="inactive","inactive",IF($J327="at_risk","at_risk",IF($Q327&gt;=85,"vip",IF($Q327&gt;=70,"loyal",IF($Q327&gt;=50,"active",IF($N327=0,"new","needs_attention")))))))</x:f>
      </x:c>
      <x:c r="S327" s="19"/>
      <x:c r="T327" s="18"/>
      <x:c r="U327" s="19"/>
      <x:c r="V327" s="20"/>
      <x:c r="W327" s="26"/>
      <x:c r="X327" s="19"/>
      <x:c r="Y327" s="26"/>
      <x:c r="Z327" s="19"/>
      <x:c r="AA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20"/>
      <x:c r="J328" s="19"/>
      <x:c r="K328" s="19"/>
      <x:c r="L328" s="92" t="str">
        <x:f>IF($A328="","",IF(COUNTIFS('Orders'!$C$2:$C$500,$A328,'Orders'!$M$2:$M$500,"&lt;&gt;cancelled")=0,"",MAXIFS('Orders'!$G$2:$G$500,'Orders'!$C$2:$C$500,$A328,'Orders'!$M$2:$M$500,"&lt;&gt;cancelled")))</x:f>
      </x:c>
      <x:c r="M328" s="96" t="str">
        <x:f>IF($A328="","",SUMIFS('Orders'!$K$2:$K$500,'Orders'!$C$2:$C$500,$A328,'Orders'!$M$2:$M$500,"&lt;&gt;cancelled"))</x:f>
      </x:c>
      <x:c r="N328" s="96" t="str">
        <x:f>IF($A328="","",COUNTIFS('Orders'!$C$2:$C$500,$A328,'Orders'!$M$2:$M$500,"&lt;&gt;cancelled"))</x:f>
      </x:c>
      <x:c r="O328" s="100" t="str">
        <x:f>IF($A328="","",IF(COUNTIF('Interactions'!$B$2:$B$500,$A328)=0,"",MAXIFS('Interactions'!$G$2:$G$500,'Interactions'!$B$2:$B$500,$A328)))</x:f>
      </x:c>
      <x:c r="P328" s="100" t="str">
        <x:f>IF($A328="","",IF(COUNTIFS('FollowUps'!$B$2:$B$500,$A328,'FollowUps'!$H$2:$H$500,"open")=0,"",MINIFS('FollowUps'!$E$2:$E$500,'FollowUps'!$B$2:$B$500,$A328,'FollowUps'!$H$2:$H$500,"open")))</x:f>
      </x:c>
      <x:c r="Q328" s="104" t="str">
        <x:f>IF($A328="","",ROUND(MIN(25,$N328/VALUE(INDEX('Settings'!$B$2:$B$100,MATCH("score_purchase_target",'Settings'!$A$2:$A$100,0)))*25)+MIN(25,$M328/VALUE(INDEX('Settings'!$B$2:$B$100,MATCH("score_value_target",'Settings'!$A$2:$A$100,0)))*25)+IF($L328="",0,MAX(0,25-(TODAY()-$L328)/VALUE(INDEX('Settings'!$B$2:$B$100,MATCH("score_recency_days",'Settings'!$A$2:$A$100,0)))*25))+MIN(15,COUNTIFS('FollowUps'!$B$2:$B$500,$A328,'FollowUps'!$H$2:$H$500,"done")/VALUE(INDEX('Settings'!$B$2:$B$100,MATCH("score_response_target",'Settings'!$A$2:$A$100,0)))*15)+IF(COUNTIFS('Interactions'!$B$2:$B$500,$A328,'Interactions'!$E$2:$E$500,"complaint")=0,10,0),0))</x:f>
      </x:c>
      <x:c r="R328" s="108" t="str">
        <x:f>IF($A328="","",IF($J328="inactive","inactive",IF($J328="at_risk","at_risk",IF($Q328&gt;=85,"vip",IF($Q328&gt;=70,"loyal",IF($Q328&gt;=50,"active",IF($N328=0,"new","needs_attention")))))))</x:f>
      </x:c>
      <x:c r="S328" s="19"/>
      <x:c r="T328" s="18"/>
      <x:c r="U328" s="19"/>
      <x:c r="V328" s="20"/>
      <x:c r="W328" s="26"/>
      <x:c r="X328" s="19"/>
      <x:c r="Y328" s="26"/>
      <x:c r="Z328" s="19"/>
      <x:c r="AA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20"/>
      <x:c r="J329" s="19"/>
      <x:c r="K329" s="19"/>
      <x:c r="L329" s="92" t="str">
        <x:f>IF($A329="","",IF(COUNTIFS('Orders'!$C$2:$C$500,$A329,'Orders'!$M$2:$M$500,"&lt;&gt;cancelled")=0,"",MAXIFS('Orders'!$G$2:$G$500,'Orders'!$C$2:$C$500,$A329,'Orders'!$M$2:$M$500,"&lt;&gt;cancelled")))</x:f>
      </x:c>
      <x:c r="M329" s="96" t="str">
        <x:f>IF($A329="","",SUMIFS('Orders'!$K$2:$K$500,'Orders'!$C$2:$C$500,$A329,'Orders'!$M$2:$M$500,"&lt;&gt;cancelled"))</x:f>
      </x:c>
      <x:c r="N329" s="96" t="str">
        <x:f>IF($A329="","",COUNTIFS('Orders'!$C$2:$C$500,$A329,'Orders'!$M$2:$M$500,"&lt;&gt;cancelled"))</x:f>
      </x:c>
      <x:c r="O329" s="100" t="str">
        <x:f>IF($A329="","",IF(COUNTIF('Interactions'!$B$2:$B$500,$A329)=0,"",MAXIFS('Interactions'!$G$2:$G$500,'Interactions'!$B$2:$B$500,$A329)))</x:f>
      </x:c>
      <x:c r="P329" s="100" t="str">
        <x:f>IF($A329="","",IF(COUNTIFS('FollowUps'!$B$2:$B$500,$A329,'FollowUps'!$H$2:$H$500,"open")=0,"",MINIFS('FollowUps'!$E$2:$E$500,'FollowUps'!$B$2:$B$500,$A329,'FollowUps'!$H$2:$H$500,"open")))</x:f>
      </x:c>
      <x:c r="Q329" s="104" t="str">
        <x:f>IF($A329="","",ROUND(MIN(25,$N329/VALUE(INDEX('Settings'!$B$2:$B$100,MATCH("score_purchase_target",'Settings'!$A$2:$A$100,0)))*25)+MIN(25,$M329/VALUE(INDEX('Settings'!$B$2:$B$100,MATCH("score_value_target",'Settings'!$A$2:$A$100,0)))*25)+IF($L329="",0,MAX(0,25-(TODAY()-$L329)/VALUE(INDEX('Settings'!$B$2:$B$100,MATCH("score_recency_days",'Settings'!$A$2:$A$100,0)))*25))+MIN(15,COUNTIFS('FollowUps'!$B$2:$B$500,$A329,'FollowUps'!$H$2:$H$500,"done")/VALUE(INDEX('Settings'!$B$2:$B$100,MATCH("score_response_target",'Settings'!$A$2:$A$100,0)))*15)+IF(COUNTIFS('Interactions'!$B$2:$B$500,$A329,'Interactions'!$E$2:$E$500,"complaint")=0,10,0),0))</x:f>
      </x:c>
      <x:c r="R329" s="108" t="str">
        <x:f>IF($A329="","",IF($J329="inactive","inactive",IF($J329="at_risk","at_risk",IF($Q329&gt;=85,"vip",IF($Q329&gt;=70,"loyal",IF($Q329&gt;=50,"active",IF($N329=0,"new","needs_attention")))))))</x:f>
      </x:c>
      <x:c r="S329" s="19"/>
      <x:c r="T329" s="18"/>
      <x:c r="U329" s="19"/>
      <x:c r="V329" s="20"/>
      <x:c r="W329" s="26"/>
      <x:c r="X329" s="19"/>
      <x:c r="Y329" s="26"/>
      <x:c r="Z329" s="19"/>
      <x:c r="AA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20"/>
      <x:c r="J330" s="19"/>
      <x:c r="K330" s="19"/>
      <x:c r="L330" s="92" t="str">
        <x:f>IF($A330="","",IF(COUNTIFS('Orders'!$C$2:$C$500,$A330,'Orders'!$M$2:$M$500,"&lt;&gt;cancelled")=0,"",MAXIFS('Orders'!$G$2:$G$500,'Orders'!$C$2:$C$500,$A330,'Orders'!$M$2:$M$500,"&lt;&gt;cancelled")))</x:f>
      </x:c>
      <x:c r="M330" s="96" t="str">
        <x:f>IF($A330="","",SUMIFS('Orders'!$K$2:$K$500,'Orders'!$C$2:$C$500,$A330,'Orders'!$M$2:$M$500,"&lt;&gt;cancelled"))</x:f>
      </x:c>
      <x:c r="N330" s="96" t="str">
        <x:f>IF($A330="","",COUNTIFS('Orders'!$C$2:$C$500,$A330,'Orders'!$M$2:$M$500,"&lt;&gt;cancelled"))</x:f>
      </x:c>
      <x:c r="O330" s="100" t="str">
        <x:f>IF($A330="","",IF(COUNTIF('Interactions'!$B$2:$B$500,$A330)=0,"",MAXIFS('Interactions'!$G$2:$G$500,'Interactions'!$B$2:$B$500,$A330)))</x:f>
      </x:c>
      <x:c r="P330" s="100" t="str">
        <x:f>IF($A330="","",IF(COUNTIFS('FollowUps'!$B$2:$B$500,$A330,'FollowUps'!$H$2:$H$500,"open")=0,"",MINIFS('FollowUps'!$E$2:$E$500,'FollowUps'!$B$2:$B$500,$A330,'FollowUps'!$H$2:$H$500,"open")))</x:f>
      </x:c>
      <x:c r="Q330" s="104" t="str">
        <x:f>IF($A330="","",ROUND(MIN(25,$N330/VALUE(INDEX('Settings'!$B$2:$B$100,MATCH("score_purchase_target",'Settings'!$A$2:$A$100,0)))*25)+MIN(25,$M330/VALUE(INDEX('Settings'!$B$2:$B$100,MATCH("score_value_target",'Settings'!$A$2:$A$100,0)))*25)+IF($L330="",0,MAX(0,25-(TODAY()-$L330)/VALUE(INDEX('Settings'!$B$2:$B$100,MATCH("score_recency_days",'Settings'!$A$2:$A$100,0)))*25))+MIN(15,COUNTIFS('FollowUps'!$B$2:$B$500,$A330,'FollowUps'!$H$2:$H$500,"done")/VALUE(INDEX('Settings'!$B$2:$B$100,MATCH("score_response_target",'Settings'!$A$2:$A$100,0)))*15)+IF(COUNTIFS('Interactions'!$B$2:$B$500,$A330,'Interactions'!$E$2:$E$500,"complaint")=0,10,0),0))</x:f>
      </x:c>
      <x:c r="R330" s="108" t="str">
        <x:f>IF($A330="","",IF($J330="inactive","inactive",IF($J330="at_risk","at_risk",IF($Q330&gt;=85,"vip",IF($Q330&gt;=70,"loyal",IF($Q330&gt;=50,"active",IF($N330=0,"new","needs_attention")))))))</x:f>
      </x:c>
      <x:c r="S330" s="19"/>
      <x:c r="T330" s="18"/>
      <x:c r="U330" s="19"/>
      <x:c r="V330" s="20"/>
      <x:c r="W330" s="26"/>
      <x:c r="X330" s="19"/>
      <x:c r="Y330" s="26"/>
      <x:c r="Z330" s="19"/>
      <x:c r="AA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20"/>
      <x:c r="J331" s="19"/>
      <x:c r="K331" s="19"/>
      <x:c r="L331" s="92" t="str">
        <x:f>IF($A331="","",IF(COUNTIFS('Orders'!$C$2:$C$500,$A331,'Orders'!$M$2:$M$500,"&lt;&gt;cancelled")=0,"",MAXIFS('Orders'!$G$2:$G$500,'Orders'!$C$2:$C$500,$A331,'Orders'!$M$2:$M$500,"&lt;&gt;cancelled")))</x:f>
      </x:c>
      <x:c r="M331" s="96" t="str">
        <x:f>IF($A331="","",SUMIFS('Orders'!$K$2:$K$500,'Orders'!$C$2:$C$500,$A331,'Orders'!$M$2:$M$500,"&lt;&gt;cancelled"))</x:f>
      </x:c>
      <x:c r="N331" s="96" t="str">
        <x:f>IF($A331="","",COUNTIFS('Orders'!$C$2:$C$500,$A331,'Orders'!$M$2:$M$500,"&lt;&gt;cancelled"))</x:f>
      </x:c>
      <x:c r="O331" s="100" t="str">
        <x:f>IF($A331="","",IF(COUNTIF('Interactions'!$B$2:$B$500,$A331)=0,"",MAXIFS('Interactions'!$G$2:$G$500,'Interactions'!$B$2:$B$500,$A331)))</x:f>
      </x:c>
      <x:c r="P331" s="100" t="str">
        <x:f>IF($A331="","",IF(COUNTIFS('FollowUps'!$B$2:$B$500,$A331,'FollowUps'!$H$2:$H$500,"open")=0,"",MINIFS('FollowUps'!$E$2:$E$500,'FollowUps'!$B$2:$B$500,$A331,'FollowUps'!$H$2:$H$500,"open")))</x:f>
      </x:c>
      <x:c r="Q331" s="104" t="str">
        <x:f>IF($A331="","",ROUND(MIN(25,$N331/VALUE(INDEX('Settings'!$B$2:$B$100,MATCH("score_purchase_target",'Settings'!$A$2:$A$100,0)))*25)+MIN(25,$M331/VALUE(INDEX('Settings'!$B$2:$B$100,MATCH("score_value_target",'Settings'!$A$2:$A$100,0)))*25)+IF($L331="",0,MAX(0,25-(TODAY()-$L331)/VALUE(INDEX('Settings'!$B$2:$B$100,MATCH("score_recency_days",'Settings'!$A$2:$A$100,0)))*25))+MIN(15,COUNTIFS('FollowUps'!$B$2:$B$500,$A331,'FollowUps'!$H$2:$H$500,"done")/VALUE(INDEX('Settings'!$B$2:$B$100,MATCH("score_response_target",'Settings'!$A$2:$A$100,0)))*15)+IF(COUNTIFS('Interactions'!$B$2:$B$500,$A331,'Interactions'!$E$2:$E$500,"complaint")=0,10,0),0))</x:f>
      </x:c>
      <x:c r="R331" s="108" t="str">
        <x:f>IF($A331="","",IF($J331="inactive","inactive",IF($J331="at_risk","at_risk",IF($Q331&gt;=85,"vip",IF($Q331&gt;=70,"loyal",IF($Q331&gt;=50,"active",IF($N331=0,"new","needs_attention")))))))</x:f>
      </x:c>
      <x:c r="S331" s="19"/>
      <x:c r="T331" s="18"/>
      <x:c r="U331" s="19"/>
      <x:c r="V331" s="20"/>
      <x:c r="W331" s="26"/>
      <x:c r="X331" s="19"/>
      <x:c r="Y331" s="26"/>
      <x:c r="Z331" s="19"/>
      <x:c r="AA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20"/>
      <x:c r="J332" s="19"/>
      <x:c r="K332" s="19"/>
      <x:c r="L332" s="92" t="str">
        <x:f>IF($A332="","",IF(COUNTIFS('Orders'!$C$2:$C$500,$A332,'Orders'!$M$2:$M$500,"&lt;&gt;cancelled")=0,"",MAXIFS('Orders'!$G$2:$G$500,'Orders'!$C$2:$C$500,$A332,'Orders'!$M$2:$M$500,"&lt;&gt;cancelled")))</x:f>
      </x:c>
      <x:c r="M332" s="96" t="str">
        <x:f>IF($A332="","",SUMIFS('Orders'!$K$2:$K$500,'Orders'!$C$2:$C$500,$A332,'Orders'!$M$2:$M$500,"&lt;&gt;cancelled"))</x:f>
      </x:c>
      <x:c r="N332" s="96" t="str">
        <x:f>IF($A332="","",COUNTIFS('Orders'!$C$2:$C$500,$A332,'Orders'!$M$2:$M$500,"&lt;&gt;cancelled"))</x:f>
      </x:c>
      <x:c r="O332" s="100" t="str">
        <x:f>IF($A332="","",IF(COUNTIF('Interactions'!$B$2:$B$500,$A332)=0,"",MAXIFS('Interactions'!$G$2:$G$500,'Interactions'!$B$2:$B$500,$A332)))</x:f>
      </x:c>
      <x:c r="P332" s="100" t="str">
        <x:f>IF($A332="","",IF(COUNTIFS('FollowUps'!$B$2:$B$500,$A332,'FollowUps'!$H$2:$H$500,"open")=0,"",MINIFS('FollowUps'!$E$2:$E$500,'FollowUps'!$B$2:$B$500,$A332,'FollowUps'!$H$2:$H$500,"open")))</x:f>
      </x:c>
      <x:c r="Q332" s="104" t="str">
        <x:f>IF($A332="","",ROUND(MIN(25,$N332/VALUE(INDEX('Settings'!$B$2:$B$100,MATCH("score_purchase_target",'Settings'!$A$2:$A$100,0)))*25)+MIN(25,$M332/VALUE(INDEX('Settings'!$B$2:$B$100,MATCH("score_value_target",'Settings'!$A$2:$A$100,0)))*25)+IF($L332="",0,MAX(0,25-(TODAY()-$L332)/VALUE(INDEX('Settings'!$B$2:$B$100,MATCH("score_recency_days",'Settings'!$A$2:$A$100,0)))*25))+MIN(15,COUNTIFS('FollowUps'!$B$2:$B$500,$A332,'FollowUps'!$H$2:$H$500,"done")/VALUE(INDEX('Settings'!$B$2:$B$100,MATCH("score_response_target",'Settings'!$A$2:$A$100,0)))*15)+IF(COUNTIFS('Interactions'!$B$2:$B$500,$A332,'Interactions'!$E$2:$E$500,"complaint")=0,10,0),0))</x:f>
      </x:c>
      <x:c r="R332" s="108" t="str">
        <x:f>IF($A332="","",IF($J332="inactive","inactive",IF($J332="at_risk","at_risk",IF($Q332&gt;=85,"vip",IF($Q332&gt;=70,"loyal",IF($Q332&gt;=50,"active",IF($N332=0,"new","needs_attention")))))))</x:f>
      </x:c>
      <x:c r="S332" s="19"/>
      <x:c r="T332" s="18"/>
      <x:c r="U332" s="19"/>
      <x:c r="V332" s="20"/>
      <x:c r="W332" s="26"/>
      <x:c r="X332" s="19"/>
      <x:c r="Y332" s="26"/>
      <x:c r="Z332" s="19"/>
      <x:c r="AA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20"/>
      <x:c r="J333" s="19"/>
      <x:c r="K333" s="19"/>
      <x:c r="L333" s="92" t="str">
        <x:f>IF($A333="","",IF(COUNTIFS('Orders'!$C$2:$C$500,$A333,'Orders'!$M$2:$M$500,"&lt;&gt;cancelled")=0,"",MAXIFS('Orders'!$G$2:$G$500,'Orders'!$C$2:$C$500,$A333,'Orders'!$M$2:$M$500,"&lt;&gt;cancelled")))</x:f>
      </x:c>
      <x:c r="M333" s="96" t="str">
        <x:f>IF($A333="","",SUMIFS('Orders'!$K$2:$K$500,'Orders'!$C$2:$C$500,$A333,'Orders'!$M$2:$M$500,"&lt;&gt;cancelled"))</x:f>
      </x:c>
      <x:c r="N333" s="96" t="str">
        <x:f>IF($A333="","",COUNTIFS('Orders'!$C$2:$C$500,$A333,'Orders'!$M$2:$M$500,"&lt;&gt;cancelled"))</x:f>
      </x:c>
      <x:c r="O333" s="100" t="str">
        <x:f>IF($A333="","",IF(COUNTIF('Interactions'!$B$2:$B$500,$A333)=0,"",MAXIFS('Interactions'!$G$2:$G$500,'Interactions'!$B$2:$B$500,$A333)))</x:f>
      </x:c>
      <x:c r="P333" s="100" t="str">
        <x:f>IF($A333="","",IF(COUNTIFS('FollowUps'!$B$2:$B$500,$A333,'FollowUps'!$H$2:$H$500,"open")=0,"",MINIFS('FollowUps'!$E$2:$E$500,'FollowUps'!$B$2:$B$500,$A333,'FollowUps'!$H$2:$H$500,"open")))</x:f>
      </x:c>
      <x:c r="Q333" s="104" t="str">
        <x:f>IF($A333="","",ROUND(MIN(25,$N333/VALUE(INDEX('Settings'!$B$2:$B$100,MATCH("score_purchase_target",'Settings'!$A$2:$A$100,0)))*25)+MIN(25,$M333/VALUE(INDEX('Settings'!$B$2:$B$100,MATCH("score_value_target",'Settings'!$A$2:$A$100,0)))*25)+IF($L333="",0,MAX(0,25-(TODAY()-$L333)/VALUE(INDEX('Settings'!$B$2:$B$100,MATCH("score_recency_days",'Settings'!$A$2:$A$100,0)))*25))+MIN(15,COUNTIFS('FollowUps'!$B$2:$B$500,$A333,'FollowUps'!$H$2:$H$500,"done")/VALUE(INDEX('Settings'!$B$2:$B$100,MATCH("score_response_target",'Settings'!$A$2:$A$100,0)))*15)+IF(COUNTIFS('Interactions'!$B$2:$B$500,$A333,'Interactions'!$E$2:$E$500,"complaint")=0,10,0),0))</x:f>
      </x:c>
      <x:c r="R333" s="108" t="str">
        <x:f>IF($A333="","",IF($J333="inactive","inactive",IF($J333="at_risk","at_risk",IF($Q333&gt;=85,"vip",IF($Q333&gt;=70,"loyal",IF($Q333&gt;=50,"active",IF($N333=0,"new","needs_attention")))))))</x:f>
      </x:c>
      <x:c r="S333" s="19"/>
      <x:c r="T333" s="18"/>
      <x:c r="U333" s="19"/>
      <x:c r="V333" s="20"/>
      <x:c r="W333" s="26"/>
      <x:c r="X333" s="19"/>
      <x:c r="Y333" s="26"/>
      <x:c r="Z333" s="19"/>
      <x:c r="AA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20"/>
      <x:c r="J334" s="19"/>
      <x:c r="K334" s="19"/>
      <x:c r="L334" s="92" t="str">
        <x:f>IF($A334="","",IF(COUNTIFS('Orders'!$C$2:$C$500,$A334,'Orders'!$M$2:$M$500,"&lt;&gt;cancelled")=0,"",MAXIFS('Orders'!$G$2:$G$500,'Orders'!$C$2:$C$500,$A334,'Orders'!$M$2:$M$500,"&lt;&gt;cancelled")))</x:f>
      </x:c>
      <x:c r="M334" s="96" t="str">
        <x:f>IF($A334="","",SUMIFS('Orders'!$K$2:$K$500,'Orders'!$C$2:$C$500,$A334,'Orders'!$M$2:$M$500,"&lt;&gt;cancelled"))</x:f>
      </x:c>
      <x:c r="N334" s="96" t="str">
        <x:f>IF($A334="","",COUNTIFS('Orders'!$C$2:$C$500,$A334,'Orders'!$M$2:$M$500,"&lt;&gt;cancelled"))</x:f>
      </x:c>
      <x:c r="O334" s="100" t="str">
        <x:f>IF($A334="","",IF(COUNTIF('Interactions'!$B$2:$B$500,$A334)=0,"",MAXIFS('Interactions'!$G$2:$G$500,'Interactions'!$B$2:$B$500,$A334)))</x:f>
      </x:c>
      <x:c r="P334" s="100" t="str">
        <x:f>IF($A334="","",IF(COUNTIFS('FollowUps'!$B$2:$B$500,$A334,'FollowUps'!$H$2:$H$500,"open")=0,"",MINIFS('FollowUps'!$E$2:$E$500,'FollowUps'!$B$2:$B$500,$A334,'FollowUps'!$H$2:$H$500,"open")))</x:f>
      </x:c>
      <x:c r="Q334" s="104" t="str">
        <x:f>IF($A334="","",ROUND(MIN(25,$N334/VALUE(INDEX('Settings'!$B$2:$B$100,MATCH("score_purchase_target",'Settings'!$A$2:$A$100,0)))*25)+MIN(25,$M334/VALUE(INDEX('Settings'!$B$2:$B$100,MATCH("score_value_target",'Settings'!$A$2:$A$100,0)))*25)+IF($L334="",0,MAX(0,25-(TODAY()-$L334)/VALUE(INDEX('Settings'!$B$2:$B$100,MATCH("score_recency_days",'Settings'!$A$2:$A$100,0)))*25))+MIN(15,COUNTIFS('FollowUps'!$B$2:$B$500,$A334,'FollowUps'!$H$2:$H$500,"done")/VALUE(INDEX('Settings'!$B$2:$B$100,MATCH("score_response_target",'Settings'!$A$2:$A$100,0)))*15)+IF(COUNTIFS('Interactions'!$B$2:$B$500,$A334,'Interactions'!$E$2:$E$500,"complaint")=0,10,0),0))</x:f>
      </x:c>
      <x:c r="R334" s="108" t="str">
        <x:f>IF($A334="","",IF($J334="inactive","inactive",IF($J334="at_risk","at_risk",IF($Q334&gt;=85,"vip",IF($Q334&gt;=70,"loyal",IF($Q334&gt;=50,"active",IF($N334=0,"new","needs_attention")))))))</x:f>
      </x:c>
      <x:c r="S334" s="19"/>
      <x:c r="T334" s="18"/>
      <x:c r="U334" s="19"/>
      <x:c r="V334" s="20"/>
      <x:c r="W334" s="26"/>
      <x:c r="X334" s="19"/>
      <x:c r="Y334" s="26"/>
      <x:c r="Z334" s="19"/>
      <x:c r="AA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20"/>
      <x:c r="J335" s="19"/>
      <x:c r="K335" s="19"/>
      <x:c r="L335" s="92" t="str">
        <x:f>IF($A335="","",IF(COUNTIFS('Orders'!$C$2:$C$500,$A335,'Orders'!$M$2:$M$500,"&lt;&gt;cancelled")=0,"",MAXIFS('Orders'!$G$2:$G$500,'Orders'!$C$2:$C$500,$A335,'Orders'!$M$2:$M$500,"&lt;&gt;cancelled")))</x:f>
      </x:c>
      <x:c r="M335" s="96" t="str">
        <x:f>IF($A335="","",SUMIFS('Orders'!$K$2:$K$500,'Orders'!$C$2:$C$500,$A335,'Orders'!$M$2:$M$500,"&lt;&gt;cancelled"))</x:f>
      </x:c>
      <x:c r="N335" s="96" t="str">
        <x:f>IF($A335="","",COUNTIFS('Orders'!$C$2:$C$500,$A335,'Orders'!$M$2:$M$500,"&lt;&gt;cancelled"))</x:f>
      </x:c>
      <x:c r="O335" s="100" t="str">
        <x:f>IF($A335="","",IF(COUNTIF('Interactions'!$B$2:$B$500,$A335)=0,"",MAXIFS('Interactions'!$G$2:$G$500,'Interactions'!$B$2:$B$500,$A335)))</x:f>
      </x:c>
      <x:c r="P335" s="100" t="str">
        <x:f>IF($A335="","",IF(COUNTIFS('FollowUps'!$B$2:$B$500,$A335,'FollowUps'!$H$2:$H$500,"open")=0,"",MINIFS('FollowUps'!$E$2:$E$500,'FollowUps'!$B$2:$B$500,$A335,'FollowUps'!$H$2:$H$500,"open")))</x:f>
      </x:c>
      <x:c r="Q335" s="104" t="str">
        <x:f>IF($A335="","",ROUND(MIN(25,$N335/VALUE(INDEX('Settings'!$B$2:$B$100,MATCH("score_purchase_target",'Settings'!$A$2:$A$100,0)))*25)+MIN(25,$M335/VALUE(INDEX('Settings'!$B$2:$B$100,MATCH("score_value_target",'Settings'!$A$2:$A$100,0)))*25)+IF($L335="",0,MAX(0,25-(TODAY()-$L335)/VALUE(INDEX('Settings'!$B$2:$B$100,MATCH("score_recency_days",'Settings'!$A$2:$A$100,0)))*25))+MIN(15,COUNTIFS('FollowUps'!$B$2:$B$500,$A335,'FollowUps'!$H$2:$H$500,"done")/VALUE(INDEX('Settings'!$B$2:$B$100,MATCH("score_response_target",'Settings'!$A$2:$A$100,0)))*15)+IF(COUNTIFS('Interactions'!$B$2:$B$500,$A335,'Interactions'!$E$2:$E$500,"complaint")=0,10,0),0))</x:f>
      </x:c>
      <x:c r="R335" s="108" t="str">
        <x:f>IF($A335="","",IF($J335="inactive","inactive",IF($J335="at_risk","at_risk",IF($Q335&gt;=85,"vip",IF($Q335&gt;=70,"loyal",IF($Q335&gt;=50,"active",IF($N335=0,"new","needs_attention")))))))</x:f>
      </x:c>
      <x:c r="S335" s="19"/>
      <x:c r="T335" s="18"/>
      <x:c r="U335" s="19"/>
      <x:c r="V335" s="20"/>
      <x:c r="W335" s="26"/>
      <x:c r="X335" s="19"/>
      <x:c r="Y335" s="26"/>
      <x:c r="Z335" s="19"/>
      <x:c r="AA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20"/>
      <x:c r="J336" s="19"/>
      <x:c r="K336" s="19"/>
      <x:c r="L336" s="92" t="str">
        <x:f>IF($A336="","",IF(COUNTIFS('Orders'!$C$2:$C$500,$A336,'Orders'!$M$2:$M$500,"&lt;&gt;cancelled")=0,"",MAXIFS('Orders'!$G$2:$G$500,'Orders'!$C$2:$C$500,$A336,'Orders'!$M$2:$M$500,"&lt;&gt;cancelled")))</x:f>
      </x:c>
      <x:c r="M336" s="96" t="str">
        <x:f>IF($A336="","",SUMIFS('Orders'!$K$2:$K$500,'Orders'!$C$2:$C$500,$A336,'Orders'!$M$2:$M$500,"&lt;&gt;cancelled"))</x:f>
      </x:c>
      <x:c r="N336" s="96" t="str">
        <x:f>IF($A336="","",COUNTIFS('Orders'!$C$2:$C$500,$A336,'Orders'!$M$2:$M$500,"&lt;&gt;cancelled"))</x:f>
      </x:c>
      <x:c r="O336" s="100" t="str">
        <x:f>IF($A336="","",IF(COUNTIF('Interactions'!$B$2:$B$500,$A336)=0,"",MAXIFS('Interactions'!$G$2:$G$500,'Interactions'!$B$2:$B$500,$A336)))</x:f>
      </x:c>
      <x:c r="P336" s="100" t="str">
        <x:f>IF($A336="","",IF(COUNTIFS('FollowUps'!$B$2:$B$500,$A336,'FollowUps'!$H$2:$H$500,"open")=0,"",MINIFS('FollowUps'!$E$2:$E$500,'FollowUps'!$B$2:$B$500,$A336,'FollowUps'!$H$2:$H$500,"open")))</x:f>
      </x:c>
      <x:c r="Q336" s="104" t="str">
        <x:f>IF($A336="","",ROUND(MIN(25,$N336/VALUE(INDEX('Settings'!$B$2:$B$100,MATCH("score_purchase_target",'Settings'!$A$2:$A$100,0)))*25)+MIN(25,$M336/VALUE(INDEX('Settings'!$B$2:$B$100,MATCH("score_value_target",'Settings'!$A$2:$A$100,0)))*25)+IF($L336="",0,MAX(0,25-(TODAY()-$L336)/VALUE(INDEX('Settings'!$B$2:$B$100,MATCH("score_recency_days",'Settings'!$A$2:$A$100,0)))*25))+MIN(15,COUNTIFS('FollowUps'!$B$2:$B$500,$A336,'FollowUps'!$H$2:$H$500,"done")/VALUE(INDEX('Settings'!$B$2:$B$100,MATCH("score_response_target",'Settings'!$A$2:$A$100,0)))*15)+IF(COUNTIFS('Interactions'!$B$2:$B$500,$A336,'Interactions'!$E$2:$E$500,"complaint")=0,10,0),0))</x:f>
      </x:c>
      <x:c r="R336" s="108" t="str">
        <x:f>IF($A336="","",IF($J336="inactive","inactive",IF($J336="at_risk","at_risk",IF($Q336&gt;=85,"vip",IF($Q336&gt;=70,"loyal",IF($Q336&gt;=50,"active",IF($N336=0,"new","needs_attention")))))))</x:f>
      </x:c>
      <x:c r="S336" s="19"/>
      <x:c r="T336" s="18"/>
      <x:c r="U336" s="19"/>
      <x:c r="V336" s="20"/>
      <x:c r="W336" s="26"/>
      <x:c r="X336" s="19"/>
      <x:c r="Y336" s="26"/>
      <x:c r="Z336" s="19"/>
      <x:c r="AA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20"/>
      <x:c r="J337" s="19"/>
      <x:c r="K337" s="19"/>
      <x:c r="L337" s="92" t="str">
        <x:f>IF($A337="","",IF(COUNTIFS('Orders'!$C$2:$C$500,$A337,'Orders'!$M$2:$M$500,"&lt;&gt;cancelled")=0,"",MAXIFS('Orders'!$G$2:$G$500,'Orders'!$C$2:$C$500,$A337,'Orders'!$M$2:$M$500,"&lt;&gt;cancelled")))</x:f>
      </x:c>
      <x:c r="M337" s="96" t="str">
        <x:f>IF($A337="","",SUMIFS('Orders'!$K$2:$K$500,'Orders'!$C$2:$C$500,$A337,'Orders'!$M$2:$M$500,"&lt;&gt;cancelled"))</x:f>
      </x:c>
      <x:c r="N337" s="96" t="str">
        <x:f>IF($A337="","",COUNTIFS('Orders'!$C$2:$C$500,$A337,'Orders'!$M$2:$M$500,"&lt;&gt;cancelled"))</x:f>
      </x:c>
      <x:c r="O337" s="100" t="str">
        <x:f>IF($A337="","",IF(COUNTIF('Interactions'!$B$2:$B$500,$A337)=0,"",MAXIFS('Interactions'!$G$2:$G$500,'Interactions'!$B$2:$B$500,$A337)))</x:f>
      </x:c>
      <x:c r="P337" s="100" t="str">
        <x:f>IF($A337="","",IF(COUNTIFS('FollowUps'!$B$2:$B$500,$A337,'FollowUps'!$H$2:$H$500,"open")=0,"",MINIFS('FollowUps'!$E$2:$E$500,'FollowUps'!$B$2:$B$500,$A337,'FollowUps'!$H$2:$H$500,"open")))</x:f>
      </x:c>
      <x:c r="Q337" s="104" t="str">
        <x:f>IF($A337="","",ROUND(MIN(25,$N337/VALUE(INDEX('Settings'!$B$2:$B$100,MATCH("score_purchase_target",'Settings'!$A$2:$A$100,0)))*25)+MIN(25,$M337/VALUE(INDEX('Settings'!$B$2:$B$100,MATCH("score_value_target",'Settings'!$A$2:$A$100,0)))*25)+IF($L337="",0,MAX(0,25-(TODAY()-$L337)/VALUE(INDEX('Settings'!$B$2:$B$100,MATCH("score_recency_days",'Settings'!$A$2:$A$100,0)))*25))+MIN(15,COUNTIFS('FollowUps'!$B$2:$B$500,$A337,'FollowUps'!$H$2:$H$500,"done")/VALUE(INDEX('Settings'!$B$2:$B$100,MATCH("score_response_target",'Settings'!$A$2:$A$100,0)))*15)+IF(COUNTIFS('Interactions'!$B$2:$B$500,$A337,'Interactions'!$E$2:$E$500,"complaint")=0,10,0),0))</x:f>
      </x:c>
      <x:c r="R337" s="108" t="str">
        <x:f>IF($A337="","",IF($J337="inactive","inactive",IF($J337="at_risk","at_risk",IF($Q337&gt;=85,"vip",IF($Q337&gt;=70,"loyal",IF($Q337&gt;=50,"active",IF($N337=0,"new","needs_attention")))))))</x:f>
      </x:c>
      <x:c r="S337" s="19"/>
      <x:c r="T337" s="18"/>
      <x:c r="U337" s="19"/>
      <x:c r="V337" s="20"/>
      <x:c r="W337" s="26"/>
      <x:c r="X337" s="19"/>
      <x:c r="Y337" s="26"/>
      <x:c r="Z337" s="19"/>
      <x:c r="AA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20"/>
      <x:c r="J338" s="19"/>
      <x:c r="K338" s="19"/>
      <x:c r="L338" s="92" t="str">
        <x:f>IF($A338="","",IF(COUNTIFS('Orders'!$C$2:$C$500,$A338,'Orders'!$M$2:$M$500,"&lt;&gt;cancelled")=0,"",MAXIFS('Orders'!$G$2:$G$500,'Orders'!$C$2:$C$500,$A338,'Orders'!$M$2:$M$500,"&lt;&gt;cancelled")))</x:f>
      </x:c>
      <x:c r="M338" s="96" t="str">
        <x:f>IF($A338="","",SUMIFS('Orders'!$K$2:$K$500,'Orders'!$C$2:$C$500,$A338,'Orders'!$M$2:$M$500,"&lt;&gt;cancelled"))</x:f>
      </x:c>
      <x:c r="N338" s="96" t="str">
        <x:f>IF($A338="","",COUNTIFS('Orders'!$C$2:$C$500,$A338,'Orders'!$M$2:$M$500,"&lt;&gt;cancelled"))</x:f>
      </x:c>
      <x:c r="O338" s="100" t="str">
        <x:f>IF($A338="","",IF(COUNTIF('Interactions'!$B$2:$B$500,$A338)=0,"",MAXIFS('Interactions'!$G$2:$G$500,'Interactions'!$B$2:$B$500,$A338)))</x:f>
      </x:c>
      <x:c r="P338" s="100" t="str">
        <x:f>IF($A338="","",IF(COUNTIFS('FollowUps'!$B$2:$B$500,$A338,'FollowUps'!$H$2:$H$500,"open")=0,"",MINIFS('FollowUps'!$E$2:$E$500,'FollowUps'!$B$2:$B$500,$A338,'FollowUps'!$H$2:$H$500,"open")))</x:f>
      </x:c>
      <x:c r="Q338" s="104" t="str">
        <x:f>IF($A338="","",ROUND(MIN(25,$N338/VALUE(INDEX('Settings'!$B$2:$B$100,MATCH("score_purchase_target",'Settings'!$A$2:$A$100,0)))*25)+MIN(25,$M338/VALUE(INDEX('Settings'!$B$2:$B$100,MATCH("score_value_target",'Settings'!$A$2:$A$100,0)))*25)+IF($L338="",0,MAX(0,25-(TODAY()-$L338)/VALUE(INDEX('Settings'!$B$2:$B$100,MATCH("score_recency_days",'Settings'!$A$2:$A$100,0)))*25))+MIN(15,COUNTIFS('FollowUps'!$B$2:$B$500,$A338,'FollowUps'!$H$2:$H$500,"done")/VALUE(INDEX('Settings'!$B$2:$B$100,MATCH("score_response_target",'Settings'!$A$2:$A$100,0)))*15)+IF(COUNTIFS('Interactions'!$B$2:$B$500,$A338,'Interactions'!$E$2:$E$500,"complaint")=0,10,0),0))</x:f>
      </x:c>
      <x:c r="R338" s="108" t="str">
        <x:f>IF($A338="","",IF($J338="inactive","inactive",IF($J338="at_risk","at_risk",IF($Q338&gt;=85,"vip",IF($Q338&gt;=70,"loyal",IF($Q338&gt;=50,"active",IF($N338=0,"new","needs_attention")))))))</x:f>
      </x:c>
      <x:c r="S338" s="19"/>
      <x:c r="T338" s="18"/>
      <x:c r="U338" s="19"/>
      <x:c r="V338" s="20"/>
      <x:c r="W338" s="26"/>
      <x:c r="X338" s="19"/>
      <x:c r="Y338" s="26"/>
      <x:c r="Z338" s="19"/>
      <x:c r="AA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20"/>
      <x:c r="J339" s="19"/>
      <x:c r="K339" s="19"/>
      <x:c r="L339" s="92" t="str">
        <x:f>IF($A339="","",IF(COUNTIFS('Orders'!$C$2:$C$500,$A339,'Orders'!$M$2:$M$500,"&lt;&gt;cancelled")=0,"",MAXIFS('Orders'!$G$2:$G$500,'Orders'!$C$2:$C$500,$A339,'Orders'!$M$2:$M$500,"&lt;&gt;cancelled")))</x:f>
      </x:c>
      <x:c r="M339" s="96" t="str">
        <x:f>IF($A339="","",SUMIFS('Orders'!$K$2:$K$500,'Orders'!$C$2:$C$500,$A339,'Orders'!$M$2:$M$500,"&lt;&gt;cancelled"))</x:f>
      </x:c>
      <x:c r="N339" s="96" t="str">
        <x:f>IF($A339="","",COUNTIFS('Orders'!$C$2:$C$500,$A339,'Orders'!$M$2:$M$500,"&lt;&gt;cancelled"))</x:f>
      </x:c>
      <x:c r="O339" s="100" t="str">
        <x:f>IF($A339="","",IF(COUNTIF('Interactions'!$B$2:$B$500,$A339)=0,"",MAXIFS('Interactions'!$G$2:$G$500,'Interactions'!$B$2:$B$500,$A339)))</x:f>
      </x:c>
      <x:c r="P339" s="100" t="str">
        <x:f>IF($A339="","",IF(COUNTIFS('FollowUps'!$B$2:$B$500,$A339,'FollowUps'!$H$2:$H$500,"open")=0,"",MINIFS('FollowUps'!$E$2:$E$500,'FollowUps'!$B$2:$B$500,$A339,'FollowUps'!$H$2:$H$500,"open")))</x:f>
      </x:c>
      <x:c r="Q339" s="104" t="str">
        <x:f>IF($A339="","",ROUND(MIN(25,$N339/VALUE(INDEX('Settings'!$B$2:$B$100,MATCH("score_purchase_target",'Settings'!$A$2:$A$100,0)))*25)+MIN(25,$M339/VALUE(INDEX('Settings'!$B$2:$B$100,MATCH("score_value_target",'Settings'!$A$2:$A$100,0)))*25)+IF($L339="",0,MAX(0,25-(TODAY()-$L339)/VALUE(INDEX('Settings'!$B$2:$B$100,MATCH("score_recency_days",'Settings'!$A$2:$A$100,0)))*25))+MIN(15,COUNTIFS('FollowUps'!$B$2:$B$500,$A339,'FollowUps'!$H$2:$H$500,"done")/VALUE(INDEX('Settings'!$B$2:$B$100,MATCH("score_response_target",'Settings'!$A$2:$A$100,0)))*15)+IF(COUNTIFS('Interactions'!$B$2:$B$500,$A339,'Interactions'!$E$2:$E$500,"complaint")=0,10,0),0))</x:f>
      </x:c>
      <x:c r="R339" s="108" t="str">
        <x:f>IF($A339="","",IF($J339="inactive","inactive",IF($J339="at_risk","at_risk",IF($Q339&gt;=85,"vip",IF($Q339&gt;=70,"loyal",IF($Q339&gt;=50,"active",IF($N339=0,"new","needs_attention")))))))</x:f>
      </x:c>
      <x:c r="S339" s="19"/>
      <x:c r="T339" s="18"/>
      <x:c r="U339" s="19"/>
      <x:c r="V339" s="20"/>
      <x:c r="W339" s="26"/>
      <x:c r="X339" s="19"/>
      <x:c r="Y339" s="26"/>
      <x:c r="Z339" s="19"/>
      <x:c r="AA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20"/>
      <x:c r="J340" s="19"/>
      <x:c r="K340" s="19"/>
      <x:c r="L340" s="92" t="str">
        <x:f>IF($A340="","",IF(COUNTIFS('Orders'!$C$2:$C$500,$A340,'Orders'!$M$2:$M$500,"&lt;&gt;cancelled")=0,"",MAXIFS('Orders'!$G$2:$G$500,'Orders'!$C$2:$C$500,$A340,'Orders'!$M$2:$M$500,"&lt;&gt;cancelled")))</x:f>
      </x:c>
      <x:c r="M340" s="96" t="str">
        <x:f>IF($A340="","",SUMIFS('Orders'!$K$2:$K$500,'Orders'!$C$2:$C$500,$A340,'Orders'!$M$2:$M$500,"&lt;&gt;cancelled"))</x:f>
      </x:c>
      <x:c r="N340" s="96" t="str">
        <x:f>IF($A340="","",COUNTIFS('Orders'!$C$2:$C$500,$A340,'Orders'!$M$2:$M$500,"&lt;&gt;cancelled"))</x:f>
      </x:c>
      <x:c r="O340" s="100" t="str">
        <x:f>IF($A340="","",IF(COUNTIF('Interactions'!$B$2:$B$500,$A340)=0,"",MAXIFS('Interactions'!$G$2:$G$500,'Interactions'!$B$2:$B$500,$A340)))</x:f>
      </x:c>
      <x:c r="P340" s="100" t="str">
        <x:f>IF($A340="","",IF(COUNTIFS('FollowUps'!$B$2:$B$500,$A340,'FollowUps'!$H$2:$H$500,"open")=0,"",MINIFS('FollowUps'!$E$2:$E$500,'FollowUps'!$B$2:$B$500,$A340,'FollowUps'!$H$2:$H$500,"open")))</x:f>
      </x:c>
      <x:c r="Q340" s="104" t="str">
        <x:f>IF($A340="","",ROUND(MIN(25,$N340/VALUE(INDEX('Settings'!$B$2:$B$100,MATCH("score_purchase_target",'Settings'!$A$2:$A$100,0)))*25)+MIN(25,$M340/VALUE(INDEX('Settings'!$B$2:$B$100,MATCH("score_value_target",'Settings'!$A$2:$A$100,0)))*25)+IF($L340="",0,MAX(0,25-(TODAY()-$L340)/VALUE(INDEX('Settings'!$B$2:$B$100,MATCH("score_recency_days",'Settings'!$A$2:$A$100,0)))*25))+MIN(15,COUNTIFS('FollowUps'!$B$2:$B$500,$A340,'FollowUps'!$H$2:$H$500,"done")/VALUE(INDEX('Settings'!$B$2:$B$100,MATCH("score_response_target",'Settings'!$A$2:$A$100,0)))*15)+IF(COUNTIFS('Interactions'!$B$2:$B$500,$A340,'Interactions'!$E$2:$E$500,"complaint")=0,10,0),0))</x:f>
      </x:c>
      <x:c r="R340" s="108" t="str">
        <x:f>IF($A340="","",IF($J340="inactive","inactive",IF($J340="at_risk","at_risk",IF($Q340&gt;=85,"vip",IF($Q340&gt;=70,"loyal",IF($Q340&gt;=50,"active",IF($N340=0,"new","needs_attention")))))))</x:f>
      </x:c>
      <x:c r="S340" s="19"/>
      <x:c r="T340" s="18"/>
      <x:c r="U340" s="19"/>
      <x:c r="V340" s="20"/>
      <x:c r="W340" s="26"/>
      <x:c r="X340" s="19"/>
      <x:c r="Y340" s="26"/>
      <x:c r="Z340" s="19"/>
      <x:c r="AA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20"/>
      <x:c r="J341" s="19"/>
      <x:c r="K341" s="19"/>
      <x:c r="L341" s="92" t="str">
        <x:f>IF($A341="","",IF(COUNTIFS('Orders'!$C$2:$C$500,$A341,'Orders'!$M$2:$M$500,"&lt;&gt;cancelled")=0,"",MAXIFS('Orders'!$G$2:$G$500,'Orders'!$C$2:$C$500,$A341,'Orders'!$M$2:$M$500,"&lt;&gt;cancelled")))</x:f>
      </x:c>
      <x:c r="M341" s="96" t="str">
        <x:f>IF($A341="","",SUMIFS('Orders'!$K$2:$K$500,'Orders'!$C$2:$C$500,$A341,'Orders'!$M$2:$M$500,"&lt;&gt;cancelled"))</x:f>
      </x:c>
      <x:c r="N341" s="96" t="str">
        <x:f>IF($A341="","",COUNTIFS('Orders'!$C$2:$C$500,$A341,'Orders'!$M$2:$M$500,"&lt;&gt;cancelled"))</x:f>
      </x:c>
      <x:c r="O341" s="100" t="str">
        <x:f>IF($A341="","",IF(COUNTIF('Interactions'!$B$2:$B$500,$A341)=0,"",MAXIFS('Interactions'!$G$2:$G$500,'Interactions'!$B$2:$B$500,$A341)))</x:f>
      </x:c>
      <x:c r="P341" s="100" t="str">
        <x:f>IF($A341="","",IF(COUNTIFS('FollowUps'!$B$2:$B$500,$A341,'FollowUps'!$H$2:$H$500,"open")=0,"",MINIFS('FollowUps'!$E$2:$E$500,'FollowUps'!$B$2:$B$500,$A341,'FollowUps'!$H$2:$H$500,"open")))</x:f>
      </x:c>
      <x:c r="Q341" s="104" t="str">
        <x:f>IF($A341="","",ROUND(MIN(25,$N341/VALUE(INDEX('Settings'!$B$2:$B$100,MATCH("score_purchase_target",'Settings'!$A$2:$A$100,0)))*25)+MIN(25,$M341/VALUE(INDEX('Settings'!$B$2:$B$100,MATCH("score_value_target",'Settings'!$A$2:$A$100,0)))*25)+IF($L341="",0,MAX(0,25-(TODAY()-$L341)/VALUE(INDEX('Settings'!$B$2:$B$100,MATCH("score_recency_days",'Settings'!$A$2:$A$100,0)))*25))+MIN(15,COUNTIFS('FollowUps'!$B$2:$B$500,$A341,'FollowUps'!$H$2:$H$500,"done")/VALUE(INDEX('Settings'!$B$2:$B$100,MATCH("score_response_target",'Settings'!$A$2:$A$100,0)))*15)+IF(COUNTIFS('Interactions'!$B$2:$B$500,$A341,'Interactions'!$E$2:$E$500,"complaint")=0,10,0),0))</x:f>
      </x:c>
      <x:c r="R341" s="108" t="str">
        <x:f>IF($A341="","",IF($J341="inactive","inactive",IF($J341="at_risk","at_risk",IF($Q341&gt;=85,"vip",IF($Q341&gt;=70,"loyal",IF($Q341&gt;=50,"active",IF($N341=0,"new","needs_attention")))))))</x:f>
      </x:c>
      <x:c r="S341" s="19"/>
      <x:c r="T341" s="18"/>
      <x:c r="U341" s="19"/>
      <x:c r="V341" s="20"/>
      <x:c r="W341" s="26"/>
      <x:c r="X341" s="19"/>
      <x:c r="Y341" s="26"/>
      <x:c r="Z341" s="19"/>
      <x:c r="AA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20"/>
      <x:c r="J342" s="19"/>
      <x:c r="K342" s="19"/>
      <x:c r="L342" s="92" t="str">
        <x:f>IF($A342="","",IF(COUNTIFS('Orders'!$C$2:$C$500,$A342,'Orders'!$M$2:$M$500,"&lt;&gt;cancelled")=0,"",MAXIFS('Orders'!$G$2:$G$500,'Orders'!$C$2:$C$500,$A342,'Orders'!$M$2:$M$500,"&lt;&gt;cancelled")))</x:f>
      </x:c>
      <x:c r="M342" s="96" t="str">
        <x:f>IF($A342="","",SUMIFS('Orders'!$K$2:$K$500,'Orders'!$C$2:$C$500,$A342,'Orders'!$M$2:$M$500,"&lt;&gt;cancelled"))</x:f>
      </x:c>
      <x:c r="N342" s="96" t="str">
        <x:f>IF($A342="","",COUNTIFS('Orders'!$C$2:$C$500,$A342,'Orders'!$M$2:$M$500,"&lt;&gt;cancelled"))</x:f>
      </x:c>
      <x:c r="O342" s="100" t="str">
        <x:f>IF($A342="","",IF(COUNTIF('Interactions'!$B$2:$B$500,$A342)=0,"",MAXIFS('Interactions'!$G$2:$G$500,'Interactions'!$B$2:$B$500,$A342)))</x:f>
      </x:c>
      <x:c r="P342" s="100" t="str">
        <x:f>IF($A342="","",IF(COUNTIFS('FollowUps'!$B$2:$B$500,$A342,'FollowUps'!$H$2:$H$500,"open")=0,"",MINIFS('FollowUps'!$E$2:$E$500,'FollowUps'!$B$2:$B$500,$A342,'FollowUps'!$H$2:$H$500,"open")))</x:f>
      </x:c>
      <x:c r="Q342" s="104" t="str">
        <x:f>IF($A342="","",ROUND(MIN(25,$N342/VALUE(INDEX('Settings'!$B$2:$B$100,MATCH("score_purchase_target",'Settings'!$A$2:$A$100,0)))*25)+MIN(25,$M342/VALUE(INDEX('Settings'!$B$2:$B$100,MATCH("score_value_target",'Settings'!$A$2:$A$100,0)))*25)+IF($L342="",0,MAX(0,25-(TODAY()-$L342)/VALUE(INDEX('Settings'!$B$2:$B$100,MATCH("score_recency_days",'Settings'!$A$2:$A$100,0)))*25))+MIN(15,COUNTIFS('FollowUps'!$B$2:$B$500,$A342,'FollowUps'!$H$2:$H$500,"done")/VALUE(INDEX('Settings'!$B$2:$B$100,MATCH("score_response_target",'Settings'!$A$2:$A$100,0)))*15)+IF(COUNTIFS('Interactions'!$B$2:$B$500,$A342,'Interactions'!$E$2:$E$500,"complaint")=0,10,0),0))</x:f>
      </x:c>
      <x:c r="R342" s="108" t="str">
        <x:f>IF($A342="","",IF($J342="inactive","inactive",IF($J342="at_risk","at_risk",IF($Q342&gt;=85,"vip",IF($Q342&gt;=70,"loyal",IF($Q342&gt;=50,"active",IF($N342=0,"new","needs_attention")))))))</x:f>
      </x:c>
      <x:c r="S342" s="19"/>
      <x:c r="T342" s="18"/>
      <x:c r="U342" s="19"/>
      <x:c r="V342" s="20"/>
      <x:c r="W342" s="26"/>
      <x:c r="X342" s="19"/>
      <x:c r="Y342" s="26"/>
      <x:c r="Z342" s="19"/>
      <x:c r="AA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20"/>
      <x:c r="J343" s="19"/>
      <x:c r="K343" s="19"/>
      <x:c r="L343" s="92" t="str">
        <x:f>IF($A343="","",IF(COUNTIFS('Orders'!$C$2:$C$500,$A343,'Orders'!$M$2:$M$500,"&lt;&gt;cancelled")=0,"",MAXIFS('Orders'!$G$2:$G$500,'Orders'!$C$2:$C$500,$A343,'Orders'!$M$2:$M$500,"&lt;&gt;cancelled")))</x:f>
      </x:c>
      <x:c r="M343" s="96" t="str">
        <x:f>IF($A343="","",SUMIFS('Orders'!$K$2:$K$500,'Orders'!$C$2:$C$500,$A343,'Orders'!$M$2:$M$500,"&lt;&gt;cancelled"))</x:f>
      </x:c>
      <x:c r="N343" s="96" t="str">
        <x:f>IF($A343="","",COUNTIFS('Orders'!$C$2:$C$500,$A343,'Orders'!$M$2:$M$500,"&lt;&gt;cancelled"))</x:f>
      </x:c>
      <x:c r="O343" s="100" t="str">
        <x:f>IF($A343="","",IF(COUNTIF('Interactions'!$B$2:$B$500,$A343)=0,"",MAXIFS('Interactions'!$G$2:$G$500,'Interactions'!$B$2:$B$500,$A343)))</x:f>
      </x:c>
      <x:c r="P343" s="100" t="str">
        <x:f>IF($A343="","",IF(COUNTIFS('FollowUps'!$B$2:$B$500,$A343,'FollowUps'!$H$2:$H$500,"open")=0,"",MINIFS('FollowUps'!$E$2:$E$500,'FollowUps'!$B$2:$B$500,$A343,'FollowUps'!$H$2:$H$500,"open")))</x:f>
      </x:c>
      <x:c r="Q343" s="104" t="str">
        <x:f>IF($A343="","",ROUND(MIN(25,$N343/VALUE(INDEX('Settings'!$B$2:$B$100,MATCH("score_purchase_target",'Settings'!$A$2:$A$100,0)))*25)+MIN(25,$M343/VALUE(INDEX('Settings'!$B$2:$B$100,MATCH("score_value_target",'Settings'!$A$2:$A$100,0)))*25)+IF($L343="",0,MAX(0,25-(TODAY()-$L343)/VALUE(INDEX('Settings'!$B$2:$B$100,MATCH("score_recency_days",'Settings'!$A$2:$A$100,0)))*25))+MIN(15,COUNTIFS('FollowUps'!$B$2:$B$500,$A343,'FollowUps'!$H$2:$H$500,"done")/VALUE(INDEX('Settings'!$B$2:$B$100,MATCH("score_response_target",'Settings'!$A$2:$A$100,0)))*15)+IF(COUNTIFS('Interactions'!$B$2:$B$500,$A343,'Interactions'!$E$2:$E$500,"complaint")=0,10,0),0))</x:f>
      </x:c>
      <x:c r="R343" s="108" t="str">
        <x:f>IF($A343="","",IF($J343="inactive","inactive",IF($J343="at_risk","at_risk",IF($Q343&gt;=85,"vip",IF($Q343&gt;=70,"loyal",IF($Q343&gt;=50,"active",IF($N343=0,"new","needs_attention")))))))</x:f>
      </x:c>
      <x:c r="S343" s="19"/>
      <x:c r="T343" s="18"/>
      <x:c r="U343" s="19"/>
      <x:c r="V343" s="20"/>
      <x:c r="W343" s="26"/>
      <x:c r="X343" s="19"/>
      <x:c r="Y343" s="26"/>
      <x:c r="Z343" s="19"/>
      <x:c r="AA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20"/>
      <x:c r="J344" s="19"/>
      <x:c r="K344" s="19"/>
      <x:c r="L344" s="92" t="str">
        <x:f>IF($A344="","",IF(COUNTIFS('Orders'!$C$2:$C$500,$A344,'Orders'!$M$2:$M$500,"&lt;&gt;cancelled")=0,"",MAXIFS('Orders'!$G$2:$G$500,'Orders'!$C$2:$C$500,$A344,'Orders'!$M$2:$M$500,"&lt;&gt;cancelled")))</x:f>
      </x:c>
      <x:c r="M344" s="96" t="str">
        <x:f>IF($A344="","",SUMIFS('Orders'!$K$2:$K$500,'Orders'!$C$2:$C$500,$A344,'Orders'!$M$2:$M$500,"&lt;&gt;cancelled"))</x:f>
      </x:c>
      <x:c r="N344" s="96" t="str">
        <x:f>IF($A344="","",COUNTIFS('Orders'!$C$2:$C$500,$A344,'Orders'!$M$2:$M$500,"&lt;&gt;cancelled"))</x:f>
      </x:c>
      <x:c r="O344" s="100" t="str">
        <x:f>IF($A344="","",IF(COUNTIF('Interactions'!$B$2:$B$500,$A344)=0,"",MAXIFS('Interactions'!$G$2:$G$500,'Interactions'!$B$2:$B$500,$A344)))</x:f>
      </x:c>
      <x:c r="P344" s="100" t="str">
        <x:f>IF($A344="","",IF(COUNTIFS('FollowUps'!$B$2:$B$500,$A344,'FollowUps'!$H$2:$H$500,"open")=0,"",MINIFS('FollowUps'!$E$2:$E$500,'FollowUps'!$B$2:$B$500,$A344,'FollowUps'!$H$2:$H$500,"open")))</x:f>
      </x:c>
      <x:c r="Q344" s="104" t="str">
        <x:f>IF($A344="","",ROUND(MIN(25,$N344/VALUE(INDEX('Settings'!$B$2:$B$100,MATCH("score_purchase_target",'Settings'!$A$2:$A$100,0)))*25)+MIN(25,$M344/VALUE(INDEX('Settings'!$B$2:$B$100,MATCH("score_value_target",'Settings'!$A$2:$A$100,0)))*25)+IF($L344="",0,MAX(0,25-(TODAY()-$L344)/VALUE(INDEX('Settings'!$B$2:$B$100,MATCH("score_recency_days",'Settings'!$A$2:$A$100,0)))*25))+MIN(15,COUNTIFS('FollowUps'!$B$2:$B$500,$A344,'FollowUps'!$H$2:$H$500,"done")/VALUE(INDEX('Settings'!$B$2:$B$100,MATCH("score_response_target",'Settings'!$A$2:$A$100,0)))*15)+IF(COUNTIFS('Interactions'!$B$2:$B$500,$A344,'Interactions'!$E$2:$E$500,"complaint")=0,10,0),0))</x:f>
      </x:c>
      <x:c r="R344" s="108" t="str">
        <x:f>IF($A344="","",IF($J344="inactive","inactive",IF($J344="at_risk","at_risk",IF($Q344&gt;=85,"vip",IF($Q344&gt;=70,"loyal",IF($Q344&gt;=50,"active",IF($N344=0,"new","needs_attention")))))))</x:f>
      </x:c>
      <x:c r="S344" s="19"/>
      <x:c r="T344" s="18"/>
      <x:c r="U344" s="19"/>
      <x:c r="V344" s="20"/>
      <x:c r="W344" s="26"/>
      <x:c r="X344" s="19"/>
      <x:c r="Y344" s="26"/>
      <x:c r="Z344" s="19"/>
      <x:c r="AA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20"/>
      <x:c r="J345" s="19"/>
      <x:c r="K345" s="19"/>
      <x:c r="L345" s="92" t="str">
        <x:f>IF($A345="","",IF(COUNTIFS('Orders'!$C$2:$C$500,$A345,'Orders'!$M$2:$M$500,"&lt;&gt;cancelled")=0,"",MAXIFS('Orders'!$G$2:$G$500,'Orders'!$C$2:$C$500,$A345,'Orders'!$M$2:$M$500,"&lt;&gt;cancelled")))</x:f>
      </x:c>
      <x:c r="M345" s="96" t="str">
        <x:f>IF($A345="","",SUMIFS('Orders'!$K$2:$K$500,'Orders'!$C$2:$C$500,$A345,'Orders'!$M$2:$M$500,"&lt;&gt;cancelled"))</x:f>
      </x:c>
      <x:c r="N345" s="96" t="str">
        <x:f>IF($A345="","",COUNTIFS('Orders'!$C$2:$C$500,$A345,'Orders'!$M$2:$M$500,"&lt;&gt;cancelled"))</x:f>
      </x:c>
      <x:c r="O345" s="100" t="str">
        <x:f>IF($A345="","",IF(COUNTIF('Interactions'!$B$2:$B$500,$A345)=0,"",MAXIFS('Interactions'!$G$2:$G$500,'Interactions'!$B$2:$B$500,$A345)))</x:f>
      </x:c>
      <x:c r="P345" s="100" t="str">
        <x:f>IF($A345="","",IF(COUNTIFS('FollowUps'!$B$2:$B$500,$A345,'FollowUps'!$H$2:$H$500,"open")=0,"",MINIFS('FollowUps'!$E$2:$E$500,'FollowUps'!$B$2:$B$500,$A345,'FollowUps'!$H$2:$H$500,"open")))</x:f>
      </x:c>
      <x:c r="Q345" s="104" t="str">
        <x:f>IF($A345="","",ROUND(MIN(25,$N345/VALUE(INDEX('Settings'!$B$2:$B$100,MATCH("score_purchase_target",'Settings'!$A$2:$A$100,0)))*25)+MIN(25,$M345/VALUE(INDEX('Settings'!$B$2:$B$100,MATCH("score_value_target",'Settings'!$A$2:$A$100,0)))*25)+IF($L345="",0,MAX(0,25-(TODAY()-$L345)/VALUE(INDEX('Settings'!$B$2:$B$100,MATCH("score_recency_days",'Settings'!$A$2:$A$100,0)))*25))+MIN(15,COUNTIFS('FollowUps'!$B$2:$B$500,$A345,'FollowUps'!$H$2:$H$500,"done")/VALUE(INDEX('Settings'!$B$2:$B$100,MATCH("score_response_target",'Settings'!$A$2:$A$100,0)))*15)+IF(COUNTIFS('Interactions'!$B$2:$B$500,$A345,'Interactions'!$E$2:$E$500,"complaint")=0,10,0),0))</x:f>
      </x:c>
      <x:c r="R345" s="108" t="str">
        <x:f>IF($A345="","",IF($J345="inactive","inactive",IF($J345="at_risk","at_risk",IF($Q345&gt;=85,"vip",IF($Q345&gt;=70,"loyal",IF($Q345&gt;=50,"active",IF($N345=0,"new","needs_attention")))))))</x:f>
      </x:c>
      <x:c r="S345" s="19"/>
      <x:c r="T345" s="18"/>
      <x:c r="U345" s="19"/>
      <x:c r="V345" s="20"/>
      <x:c r="W345" s="26"/>
      <x:c r="X345" s="19"/>
      <x:c r="Y345" s="26"/>
      <x:c r="Z345" s="19"/>
      <x:c r="AA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20"/>
      <x:c r="J346" s="19"/>
      <x:c r="K346" s="19"/>
      <x:c r="L346" s="92" t="str">
        <x:f>IF($A346="","",IF(COUNTIFS('Orders'!$C$2:$C$500,$A346,'Orders'!$M$2:$M$500,"&lt;&gt;cancelled")=0,"",MAXIFS('Orders'!$G$2:$G$500,'Orders'!$C$2:$C$500,$A346,'Orders'!$M$2:$M$500,"&lt;&gt;cancelled")))</x:f>
      </x:c>
      <x:c r="M346" s="96" t="str">
        <x:f>IF($A346="","",SUMIFS('Orders'!$K$2:$K$500,'Orders'!$C$2:$C$500,$A346,'Orders'!$M$2:$M$500,"&lt;&gt;cancelled"))</x:f>
      </x:c>
      <x:c r="N346" s="96" t="str">
        <x:f>IF($A346="","",COUNTIFS('Orders'!$C$2:$C$500,$A346,'Orders'!$M$2:$M$500,"&lt;&gt;cancelled"))</x:f>
      </x:c>
      <x:c r="O346" s="100" t="str">
        <x:f>IF($A346="","",IF(COUNTIF('Interactions'!$B$2:$B$500,$A346)=0,"",MAXIFS('Interactions'!$G$2:$G$500,'Interactions'!$B$2:$B$500,$A346)))</x:f>
      </x:c>
      <x:c r="P346" s="100" t="str">
        <x:f>IF($A346="","",IF(COUNTIFS('FollowUps'!$B$2:$B$500,$A346,'FollowUps'!$H$2:$H$500,"open")=0,"",MINIFS('FollowUps'!$E$2:$E$500,'FollowUps'!$B$2:$B$500,$A346,'FollowUps'!$H$2:$H$500,"open")))</x:f>
      </x:c>
      <x:c r="Q346" s="104" t="str">
        <x:f>IF($A346="","",ROUND(MIN(25,$N346/VALUE(INDEX('Settings'!$B$2:$B$100,MATCH("score_purchase_target",'Settings'!$A$2:$A$100,0)))*25)+MIN(25,$M346/VALUE(INDEX('Settings'!$B$2:$B$100,MATCH("score_value_target",'Settings'!$A$2:$A$100,0)))*25)+IF($L346="",0,MAX(0,25-(TODAY()-$L346)/VALUE(INDEX('Settings'!$B$2:$B$100,MATCH("score_recency_days",'Settings'!$A$2:$A$100,0)))*25))+MIN(15,COUNTIFS('FollowUps'!$B$2:$B$500,$A346,'FollowUps'!$H$2:$H$500,"done")/VALUE(INDEX('Settings'!$B$2:$B$100,MATCH("score_response_target",'Settings'!$A$2:$A$100,0)))*15)+IF(COUNTIFS('Interactions'!$B$2:$B$500,$A346,'Interactions'!$E$2:$E$500,"complaint")=0,10,0),0))</x:f>
      </x:c>
      <x:c r="R346" s="108" t="str">
        <x:f>IF($A346="","",IF($J346="inactive","inactive",IF($J346="at_risk","at_risk",IF($Q346&gt;=85,"vip",IF($Q346&gt;=70,"loyal",IF($Q346&gt;=50,"active",IF($N346=0,"new","needs_attention")))))))</x:f>
      </x:c>
      <x:c r="S346" s="19"/>
      <x:c r="T346" s="18"/>
      <x:c r="U346" s="19"/>
      <x:c r="V346" s="20"/>
      <x:c r="W346" s="26"/>
      <x:c r="X346" s="19"/>
      <x:c r="Y346" s="26"/>
      <x:c r="Z346" s="19"/>
      <x:c r="AA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20"/>
      <x:c r="J347" s="19"/>
      <x:c r="K347" s="19"/>
      <x:c r="L347" s="92" t="str">
        <x:f>IF($A347="","",IF(COUNTIFS('Orders'!$C$2:$C$500,$A347,'Orders'!$M$2:$M$500,"&lt;&gt;cancelled")=0,"",MAXIFS('Orders'!$G$2:$G$500,'Orders'!$C$2:$C$500,$A347,'Orders'!$M$2:$M$500,"&lt;&gt;cancelled")))</x:f>
      </x:c>
      <x:c r="M347" s="96" t="str">
        <x:f>IF($A347="","",SUMIFS('Orders'!$K$2:$K$500,'Orders'!$C$2:$C$500,$A347,'Orders'!$M$2:$M$500,"&lt;&gt;cancelled"))</x:f>
      </x:c>
      <x:c r="N347" s="96" t="str">
        <x:f>IF($A347="","",COUNTIFS('Orders'!$C$2:$C$500,$A347,'Orders'!$M$2:$M$500,"&lt;&gt;cancelled"))</x:f>
      </x:c>
      <x:c r="O347" s="100" t="str">
        <x:f>IF($A347="","",IF(COUNTIF('Interactions'!$B$2:$B$500,$A347)=0,"",MAXIFS('Interactions'!$G$2:$G$500,'Interactions'!$B$2:$B$500,$A347)))</x:f>
      </x:c>
      <x:c r="P347" s="100" t="str">
        <x:f>IF($A347="","",IF(COUNTIFS('FollowUps'!$B$2:$B$500,$A347,'FollowUps'!$H$2:$H$500,"open")=0,"",MINIFS('FollowUps'!$E$2:$E$500,'FollowUps'!$B$2:$B$500,$A347,'FollowUps'!$H$2:$H$500,"open")))</x:f>
      </x:c>
      <x:c r="Q347" s="104" t="str">
        <x:f>IF($A347="","",ROUND(MIN(25,$N347/VALUE(INDEX('Settings'!$B$2:$B$100,MATCH("score_purchase_target",'Settings'!$A$2:$A$100,0)))*25)+MIN(25,$M347/VALUE(INDEX('Settings'!$B$2:$B$100,MATCH("score_value_target",'Settings'!$A$2:$A$100,0)))*25)+IF($L347="",0,MAX(0,25-(TODAY()-$L347)/VALUE(INDEX('Settings'!$B$2:$B$100,MATCH("score_recency_days",'Settings'!$A$2:$A$100,0)))*25))+MIN(15,COUNTIFS('FollowUps'!$B$2:$B$500,$A347,'FollowUps'!$H$2:$H$500,"done")/VALUE(INDEX('Settings'!$B$2:$B$100,MATCH("score_response_target",'Settings'!$A$2:$A$100,0)))*15)+IF(COUNTIFS('Interactions'!$B$2:$B$500,$A347,'Interactions'!$E$2:$E$500,"complaint")=0,10,0),0))</x:f>
      </x:c>
      <x:c r="R347" s="108" t="str">
        <x:f>IF($A347="","",IF($J347="inactive","inactive",IF($J347="at_risk","at_risk",IF($Q347&gt;=85,"vip",IF($Q347&gt;=70,"loyal",IF($Q347&gt;=50,"active",IF($N347=0,"new","needs_attention")))))))</x:f>
      </x:c>
      <x:c r="S347" s="19"/>
      <x:c r="T347" s="18"/>
      <x:c r="U347" s="19"/>
      <x:c r="V347" s="20"/>
      <x:c r="W347" s="26"/>
      <x:c r="X347" s="19"/>
      <x:c r="Y347" s="26"/>
      <x:c r="Z347" s="19"/>
      <x:c r="AA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20"/>
      <x:c r="J348" s="19"/>
      <x:c r="K348" s="19"/>
      <x:c r="L348" s="92" t="str">
        <x:f>IF($A348="","",IF(COUNTIFS('Orders'!$C$2:$C$500,$A348,'Orders'!$M$2:$M$500,"&lt;&gt;cancelled")=0,"",MAXIFS('Orders'!$G$2:$G$500,'Orders'!$C$2:$C$500,$A348,'Orders'!$M$2:$M$500,"&lt;&gt;cancelled")))</x:f>
      </x:c>
      <x:c r="M348" s="96" t="str">
        <x:f>IF($A348="","",SUMIFS('Orders'!$K$2:$K$500,'Orders'!$C$2:$C$500,$A348,'Orders'!$M$2:$M$500,"&lt;&gt;cancelled"))</x:f>
      </x:c>
      <x:c r="N348" s="96" t="str">
        <x:f>IF($A348="","",COUNTIFS('Orders'!$C$2:$C$500,$A348,'Orders'!$M$2:$M$500,"&lt;&gt;cancelled"))</x:f>
      </x:c>
      <x:c r="O348" s="100" t="str">
        <x:f>IF($A348="","",IF(COUNTIF('Interactions'!$B$2:$B$500,$A348)=0,"",MAXIFS('Interactions'!$G$2:$G$500,'Interactions'!$B$2:$B$500,$A348)))</x:f>
      </x:c>
      <x:c r="P348" s="100" t="str">
        <x:f>IF($A348="","",IF(COUNTIFS('FollowUps'!$B$2:$B$500,$A348,'FollowUps'!$H$2:$H$500,"open")=0,"",MINIFS('FollowUps'!$E$2:$E$500,'FollowUps'!$B$2:$B$500,$A348,'FollowUps'!$H$2:$H$500,"open")))</x:f>
      </x:c>
      <x:c r="Q348" s="104" t="str">
        <x:f>IF($A348="","",ROUND(MIN(25,$N348/VALUE(INDEX('Settings'!$B$2:$B$100,MATCH("score_purchase_target",'Settings'!$A$2:$A$100,0)))*25)+MIN(25,$M348/VALUE(INDEX('Settings'!$B$2:$B$100,MATCH("score_value_target",'Settings'!$A$2:$A$100,0)))*25)+IF($L348="",0,MAX(0,25-(TODAY()-$L348)/VALUE(INDEX('Settings'!$B$2:$B$100,MATCH("score_recency_days",'Settings'!$A$2:$A$100,0)))*25))+MIN(15,COUNTIFS('FollowUps'!$B$2:$B$500,$A348,'FollowUps'!$H$2:$H$500,"done")/VALUE(INDEX('Settings'!$B$2:$B$100,MATCH("score_response_target",'Settings'!$A$2:$A$100,0)))*15)+IF(COUNTIFS('Interactions'!$B$2:$B$500,$A348,'Interactions'!$E$2:$E$500,"complaint")=0,10,0),0))</x:f>
      </x:c>
      <x:c r="R348" s="108" t="str">
        <x:f>IF($A348="","",IF($J348="inactive","inactive",IF($J348="at_risk","at_risk",IF($Q348&gt;=85,"vip",IF($Q348&gt;=70,"loyal",IF($Q348&gt;=50,"active",IF($N348=0,"new","needs_attention")))))))</x:f>
      </x:c>
      <x:c r="S348" s="19"/>
      <x:c r="T348" s="18"/>
      <x:c r="U348" s="19"/>
      <x:c r="V348" s="20"/>
      <x:c r="W348" s="26"/>
      <x:c r="X348" s="19"/>
      <x:c r="Y348" s="26"/>
      <x:c r="Z348" s="19"/>
      <x:c r="AA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20"/>
      <x:c r="J349" s="19"/>
      <x:c r="K349" s="19"/>
      <x:c r="L349" s="92" t="str">
        <x:f>IF($A349="","",IF(COUNTIFS('Orders'!$C$2:$C$500,$A349,'Orders'!$M$2:$M$500,"&lt;&gt;cancelled")=0,"",MAXIFS('Orders'!$G$2:$G$500,'Orders'!$C$2:$C$500,$A349,'Orders'!$M$2:$M$500,"&lt;&gt;cancelled")))</x:f>
      </x:c>
      <x:c r="M349" s="96" t="str">
        <x:f>IF($A349="","",SUMIFS('Orders'!$K$2:$K$500,'Orders'!$C$2:$C$500,$A349,'Orders'!$M$2:$M$500,"&lt;&gt;cancelled"))</x:f>
      </x:c>
      <x:c r="N349" s="96" t="str">
        <x:f>IF($A349="","",COUNTIFS('Orders'!$C$2:$C$500,$A349,'Orders'!$M$2:$M$500,"&lt;&gt;cancelled"))</x:f>
      </x:c>
      <x:c r="O349" s="100" t="str">
        <x:f>IF($A349="","",IF(COUNTIF('Interactions'!$B$2:$B$500,$A349)=0,"",MAXIFS('Interactions'!$G$2:$G$500,'Interactions'!$B$2:$B$500,$A349)))</x:f>
      </x:c>
      <x:c r="P349" s="100" t="str">
        <x:f>IF($A349="","",IF(COUNTIFS('FollowUps'!$B$2:$B$500,$A349,'FollowUps'!$H$2:$H$500,"open")=0,"",MINIFS('FollowUps'!$E$2:$E$500,'FollowUps'!$B$2:$B$500,$A349,'FollowUps'!$H$2:$H$500,"open")))</x:f>
      </x:c>
      <x:c r="Q349" s="104" t="str">
        <x:f>IF($A349="","",ROUND(MIN(25,$N349/VALUE(INDEX('Settings'!$B$2:$B$100,MATCH("score_purchase_target",'Settings'!$A$2:$A$100,0)))*25)+MIN(25,$M349/VALUE(INDEX('Settings'!$B$2:$B$100,MATCH("score_value_target",'Settings'!$A$2:$A$100,0)))*25)+IF($L349="",0,MAX(0,25-(TODAY()-$L349)/VALUE(INDEX('Settings'!$B$2:$B$100,MATCH("score_recency_days",'Settings'!$A$2:$A$100,0)))*25))+MIN(15,COUNTIFS('FollowUps'!$B$2:$B$500,$A349,'FollowUps'!$H$2:$H$500,"done")/VALUE(INDEX('Settings'!$B$2:$B$100,MATCH("score_response_target",'Settings'!$A$2:$A$100,0)))*15)+IF(COUNTIFS('Interactions'!$B$2:$B$500,$A349,'Interactions'!$E$2:$E$500,"complaint")=0,10,0),0))</x:f>
      </x:c>
      <x:c r="R349" s="108" t="str">
        <x:f>IF($A349="","",IF($J349="inactive","inactive",IF($J349="at_risk","at_risk",IF($Q349&gt;=85,"vip",IF($Q349&gt;=70,"loyal",IF($Q349&gt;=50,"active",IF($N349=0,"new","needs_attention")))))))</x:f>
      </x:c>
      <x:c r="S349" s="19"/>
      <x:c r="T349" s="18"/>
      <x:c r="U349" s="19"/>
      <x:c r="V349" s="20"/>
      <x:c r="W349" s="26"/>
      <x:c r="X349" s="19"/>
      <x:c r="Y349" s="26"/>
      <x:c r="Z349" s="19"/>
      <x:c r="AA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20"/>
      <x:c r="J350" s="19"/>
      <x:c r="K350" s="19"/>
      <x:c r="L350" s="92" t="str">
        <x:f>IF($A350="","",IF(COUNTIFS('Orders'!$C$2:$C$500,$A350,'Orders'!$M$2:$M$500,"&lt;&gt;cancelled")=0,"",MAXIFS('Orders'!$G$2:$G$500,'Orders'!$C$2:$C$500,$A350,'Orders'!$M$2:$M$500,"&lt;&gt;cancelled")))</x:f>
      </x:c>
      <x:c r="M350" s="96" t="str">
        <x:f>IF($A350="","",SUMIFS('Orders'!$K$2:$K$500,'Orders'!$C$2:$C$500,$A350,'Orders'!$M$2:$M$500,"&lt;&gt;cancelled"))</x:f>
      </x:c>
      <x:c r="N350" s="96" t="str">
        <x:f>IF($A350="","",COUNTIFS('Orders'!$C$2:$C$500,$A350,'Orders'!$M$2:$M$500,"&lt;&gt;cancelled"))</x:f>
      </x:c>
      <x:c r="O350" s="100" t="str">
        <x:f>IF($A350="","",IF(COUNTIF('Interactions'!$B$2:$B$500,$A350)=0,"",MAXIFS('Interactions'!$G$2:$G$500,'Interactions'!$B$2:$B$500,$A350)))</x:f>
      </x:c>
      <x:c r="P350" s="100" t="str">
        <x:f>IF($A350="","",IF(COUNTIFS('FollowUps'!$B$2:$B$500,$A350,'FollowUps'!$H$2:$H$500,"open")=0,"",MINIFS('FollowUps'!$E$2:$E$500,'FollowUps'!$B$2:$B$500,$A350,'FollowUps'!$H$2:$H$500,"open")))</x:f>
      </x:c>
      <x:c r="Q350" s="104" t="str">
        <x:f>IF($A350="","",ROUND(MIN(25,$N350/VALUE(INDEX('Settings'!$B$2:$B$100,MATCH("score_purchase_target",'Settings'!$A$2:$A$100,0)))*25)+MIN(25,$M350/VALUE(INDEX('Settings'!$B$2:$B$100,MATCH("score_value_target",'Settings'!$A$2:$A$100,0)))*25)+IF($L350="",0,MAX(0,25-(TODAY()-$L350)/VALUE(INDEX('Settings'!$B$2:$B$100,MATCH("score_recency_days",'Settings'!$A$2:$A$100,0)))*25))+MIN(15,COUNTIFS('FollowUps'!$B$2:$B$500,$A350,'FollowUps'!$H$2:$H$500,"done")/VALUE(INDEX('Settings'!$B$2:$B$100,MATCH("score_response_target",'Settings'!$A$2:$A$100,0)))*15)+IF(COUNTIFS('Interactions'!$B$2:$B$500,$A350,'Interactions'!$E$2:$E$500,"complaint")=0,10,0),0))</x:f>
      </x:c>
      <x:c r="R350" s="108" t="str">
        <x:f>IF($A350="","",IF($J350="inactive","inactive",IF($J350="at_risk","at_risk",IF($Q350&gt;=85,"vip",IF($Q350&gt;=70,"loyal",IF($Q350&gt;=50,"active",IF($N350=0,"new","needs_attention")))))))</x:f>
      </x:c>
      <x:c r="S350" s="19"/>
      <x:c r="T350" s="18"/>
      <x:c r="U350" s="19"/>
      <x:c r="V350" s="20"/>
      <x:c r="W350" s="26"/>
      <x:c r="X350" s="19"/>
      <x:c r="Y350" s="26"/>
      <x:c r="Z350" s="19"/>
      <x:c r="AA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20"/>
      <x:c r="J351" s="19"/>
      <x:c r="K351" s="19"/>
      <x:c r="L351" s="92" t="str">
        <x:f>IF($A351="","",IF(COUNTIFS('Orders'!$C$2:$C$500,$A351,'Orders'!$M$2:$M$500,"&lt;&gt;cancelled")=0,"",MAXIFS('Orders'!$G$2:$G$500,'Orders'!$C$2:$C$500,$A351,'Orders'!$M$2:$M$500,"&lt;&gt;cancelled")))</x:f>
      </x:c>
      <x:c r="M351" s="96" t="str">
        <x:f>IF($A351="","",SUMIFS('Orders'!$K$2:$K$500,'Orders'!$C$2:$C$500,$A351,'Orders'!$M$2:$M$500,"&lt;&gt;cancelled"))</x:f>
      </x:c>
      <x:c r="N351" s="96" t="str">
        <x:f>IF($A351="","",COUNTIFS('Orders'!$C$2:$C$500,$A351,'Orders'!$M$2:$M$500,"&lt;&gt;cancelled"))</x:f>
      </x:c>
      <x:c r="O351" s="100" t="str">
        <x:f>IF($A351="","",IF(COUNTIF('Interactions'!$B$2:$B$500,$A351)=0,"",MAXIFS('Interactions'!$G$2:$G$500,'Interactions'!$B$2:$B$500,$A351)))</x:f>
      </x:c>
      <x:c r="P351" s="100" t="str">
        <x:f>IF($A351="","",IF(COUNTIFS('FollowUps'!$B$2:$B$500,$A351,'FollowUps'!$H$2:$H$500,"open")=0,"",MINIFS('FollowUps'!$E$2:$E$500,'FollowUps'!$B$2:$B$500,$A351,'FollowUps'!$H$2:$H$500,"open")))</x:f>
      </x:c>
      <x:c r="Q351" s="104" t="str">
        <x:f>IF($A351="","",ROUND(MIN(25,$N351/VALUE(INDEX('Settings'!$B$2:$B$100,MATCH("score_purchase_target",'Settings'!$A$2:$A$100,0)))*25)+MIN(25,$M351/VALUE(INDEX('Settings'!$B$2:$B$100,MATCH("score_value_target",'Settings'!$A$2:$A$100,0)))*25)+IF($L351="",0,MAX(0,25-(TODAY()-$L351)/VALUE(INDEX('Settings'!$B$2:$B$100,MATCH("score_recency_days",'Settings'!$A$2:$A$100,0)))*25))+MIN(15,COUNTIFS('FollowUps'!$B$2:$B$500,$A351,'FollowUps'!$H$2:$H$500,"done")/VALUE(INDEX('Settings'!$B$2:$B$100,MATCH("score_response_target",'Settings'!$A$2:$A$100,0)))*15)+IF(COUNTIFS('Interactions'!$B$2:$B$500,$A351,'Interactions'!$E$2:$E$500,"complaint")=0,10,0),0))</x:f>
      </x:c>
      <x:c r="R351" s="108" t="str">
        <x:f>IF($A351="","",IF($J351="inactive","inactive",IF($J351="at_risk","at_risk",IF($Q351&gt;=85,"vip",IF($Q351&gt;=70,"loyal",IF($Q351&gt;=50,"active",IF($N351=0,"new","needs_attention")))))))</x:f>
      </x:c>
      <x:c r="S351" s="19"/>
      <x:c r="T351" s="18"/>
      <x:c r="U351" s="19"/>
      <x:c r="V351" s="20"/>
      <x:c r="W351" s="26"/>
      <x:c r="X351" s="19"/>
      <x:c r="Y351" s="26"/>
      <x:c r="Z351" s="19"/>
      <x:c r="AA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20"/>
      <x:c r="J352" s="19"/>
      <x:c r="K352" s="19"/>
      <x:c r="L352" s="92" t="str">
        <x:f>IF($A352="","",IF(COUNTIFS('Orders'!$C$2:$C$500,$A352,'Orders'!$M$2:$M$500,"&lt;&gt;cancelled")=0,"",MAXIFS('Orders'!$G$2:$G$500,'Orders'!$C$2:$C$500,$A352,'Orders'!$M$2:$M$500,"&lt;&gt;cancelled")))</x:f>
      </x:c>
      <x:c r="M352" s="96" t="str">
        <x:f>IF($A352="","",SUMIFS('Orders'!$K$2:$K$500,'Orders'!$C$2:$C$500,$A352,'Orders'!$M$2:$M$500,"&lt;&gt;cancelled"))</x:f>
      </x:c>
      <x:c r="N352" s="96" t="str">
        <x:f>IF($A352="","",COUNTIFS('Orders'!$C$2:$C$500,$A352,'Orders'!$M$2:$M$500,"&lt;&gt;cancelled"))</x:f>
      </x:c>
      <x:c r="O352" s="100" t="str">
        <x:f>IF($A352="","",IF(COUNTIF('Interactions'!$B$2:$B$500,$A352)=0,"",MAXIFS('Interactions'!$G$2:$G$500,'Interactions'!$B$2:$B$500,$A352)))</x:f>
      </x:c>
      <x:c r="P352" s="100" t="str">
        <x:f>IF($A352="","",IF(COUNTIFS('FollowUps'!$B$2:$B$500,$A352,'FollowUps'!$H$2:$H$500,"open")=0,"",MINIFS('FollowUps'!$E$2:$E$500,'FollowUps'!$B$2:$B$500,$A352,'FollowUps'!$H$2:$H$500,"open")))</x:f>
      </x:c>
      <x:c r="Q352" s="104" t="str">
        <x:f>IF($A352="","",ROUND(MIN(25,$N352/VALUE(INDEX('Settings'!$B$2:$B$100,MATCH("score_purchase_target",'Settings'!$A$2:$A$100,0)))*25)+MIN(25,$M352/VALUE(INDEX('Settings'!$B$2:$B$100,MATCH("score_value_target",'Settings'!$A$2:$A$100,0)))*25)+IF($L352="",0,MAX(0,25-(TODAY()-$L352)/VALUE(INDEX('Settings'!$B$2:$B$100,MATCH("score_recency_days",'Settings'!$A$2:$A$100,0)))*25))+MIN(15,COUNTIFS('FollowUps'!$B$2:$B$500,$A352,'FollowUps'!$H$2:$H$500,"done")/VALUE(INDEX('Settings'!$B$2:$B$100,MATCH("score_response_target",'Settings'!$A$2:$A$100,0)))*15)+IF(COUNTIFS('Interactions'!$B$2:$B$500,$A352,'Interactions'!$E$2:$E$500,"complaint")=0,10,0),0))</x:f>
      </x:c>
      <x:c r="R352" s="108" t="str">
        <x:f>IF($A352="","",IF($J352="inactive","inactive",IF($J352="at_risk","at_risk",IF($Q352&gt;=85,"vip",IF($Q352&gt;=70,"loyal",IF($Q352&gt;=50,"active",IF($N352=0,"new","needs_attention")))))))</x:f>
      </x:c>
      <x:c r="S352" s="19"/>
      <x:c r="T352" s="18"/>
      <x:c r="U352" s="19"/>
      <x:c r="V352" s="20"/>
      <x:c r="W352" s="26"/>
      <x:c r="X352" s="19"/>
      <x:c r="Y352" s="26"/>
      <x:c r="Z352" s="19"/>
      <x:c r="AA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20"/>
      <x:c r="J353" s="19"/>
      <x:c r="K353" s="19"/>
      <x:c r="L353" s="92" t="str">
        <x:f>IF($A353="","",IF(COUNTIFS('Orders'!$C$2:$C$500,$A353,'Orders'!$M$2:$M$500,"&lt;&gt;cancelled")=0,"",MAXIFS('Orders'!$G$2:$G$500,'Orders'!$C$2:$C$500,$A353,'Orders'!$M$2:$M$500,"&lt;&gt;cancelled")))</x:f>
      </x:c>
      <x:c r="M353" s="96" t="str">
        <x:f>IF($A353="","",SUMIFS('Orders'!$K$2:$K$500,'Orders'!$C$2:$C$500,$A353,'Orders'!$M$2:$M$500,"&lt;&gt;cancelled"))</x:f>
      </x:c>
      <x:c r="N353" s="96" t="str">
        <x:f>IF($A353="","",COUNTIFS('Orders'!$C$2:$C$500,$A353,'Orders'!$M$2:$M$500,"&lt;&gt;cancelled"))</x:f>
      </x:c>
      <x:c r="O353" s="100" t="str">
        <x:f>IF($A353="","",IF(COUNTIF('Interactions'!$B$2:$B$500,$A353)=0,"",MAXIFS('Interactions'!$G$2:$G$500,'Interactions'!$B$2:$B$500,$A353)))</x:f>
      </x:c>
      <x:c r="P353" s="100" t="str">
        <x:f>IF($A353="","",IF(COUNTIFS('FollowUps'!$B$2:$B$500,$A353,'FollowUps'!$H$2:$H$500,"open")=0,"",MINIFS('FollowUps'!$E$2:$E$500,'FollowUps'!$B$2:$B$500,$A353,'FollowUps'!$H$2:$H$500,"open")))</x:f>
      </x:c>
      <x:c r="Q353" s="104" t="str">
        <x:f>IF($A353="","",ROUND(MIN(25,$N353/VALUE(INDEX('Settings'!$B$2:$B$100,MATCH("score_purchase_target",'Settings'!$A$2:$A$100,0)))*25)+MIN(25,$M353/VALUE(INDEX('Settings'!$B$2:$B$100,MATCH("score_value_target",'Settings'!$A$2:$A$100,0)))*25)+IF($L353="",0,MAX(0,25-(TODAY()-$L353)/VALUE(INDEX('Settings'!$B$2:$B$100,MATCH("score_recency_days",'Settings'!$A$2:$A$100,0)))*25))+MIN(15,COUNTIFS('FollowUps'!$B$2:$B$500,$A353,'FollowUps'!$H$2:$H$500,"done")/VALUE(INDEX('Settings'!$B$2:$B$100,MATCH("score_response_target",'Settings'!$A$2:$A$100,0)))*15)+IF(COUNTIFS('Interactions'!$B$2:$B$500,$A353,'Interactions'!$E$2:$E$500,"complaint")=0,10,0),0))</x:f>
      </x:c>
      <x:c r="R353" s="108" t="str">
        <x:f>IF($A353="","",IF($J353="inactive","inactive",IF($J353="at_risk","at_risk",IF($Q353&gt;=85,"vip",IF($Q353&gt;=70,"loyal",IF($Q353&gt;=50,"active",IF($N353=0,"new","needs_attention")))))))</x:f>
      </x:c>
      <x:c r="S353" s="19"/>
      <x:c r="T353" s="18"/>
      <x:c r="U353" s="19"/>
      <x:c r="V353" s="20"/>
      <x:c r="W353" s="26"/>
      <x:c r="X353" s="19"/>
      <x:c r="Y353" s="26"/>
      <x:c r="Z353" s="19"/>
      <x:c r="AA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20"/>
      <x:c r="J354" s="19"/>
      <x:c r="K354" s="19"/>
      <x:c r="L354" s="92" t="str">
        <x:f>IF($A354="","",IF(COUNTIFS('Orders'!$C$2:$C$500,$A354,'Orders'!$M$2:$M$500,"&lt;&gt;cancelled")=0,"",MAXIFS('Orders'!$G$2:$G$500,'Orders'!$C$2:$C$500,$A354,'Orders'!$M$2:$M$500,"&lt;&gt;cancelled")))</x:f>
      </x:c>
      <x:c r="M354" s="96" t="str">
        <x:f>IF($A354="","",SUMIFS('Orders'!$K$2:$K$500,'Orders'!$C$2:$C$500,$A354,'Orders'!$M$2:$M$500,"&lt;&gt;cancelled"))</x:f>
      </x:c>
      <x:c r="N354" s="96" t="str">
        <x:f>IF($A354="","",COUNTIFS('Orders'!$C$2:$C$500,$A354,'Orders'!$M$2:$M$500,"&lt;&gt;cancelled"))</x:f>
      </x:c>
      <x:c r="O354" s="100" t="str">
        <x:f>IF($A354="","",IF(COUNTIF('Interactions'!$B$2:$B$500,$A354)=0,"",MAXIFS('Interactions'!$G$2:$G$500,'Interactions'!$B$2:$B$500,$A354)))</x:f>
      </x:c>
      <x:c r="P354" s="100" t="str">
        <x:f>IF($A354="","",IF(COUNTIFS('FollowUps'!$B$2:$B$500,$A354,'FollowUps'!$H$2:$H$500,"open")=0,"",MINIFS('FollowUps'!$E$2:$E$500,'FollowUps'!$B$2:$B$500,$A354,'FollowUps'!$H$2:$H$500,"open")))</x:f>
      </x:c>
      <x:c r="Q354" s="104" t="str">
        <x:f>IF($A354="","",ROUND(MIN(25,$N354/VALUE(INDEX('Settings'!$B$2:$B$100,MATCH("score_purchase_target",'Settings'!$A$2:$A$100,0)))*25)+MIN(25,$M354/VALUE(INDEX('Settings'!$B$2:$B$100,MATCH("score_value_target",'Settings'!$A$2:$A$100,0)))*25)+IF($L354="",0,MAX(0,25-(TODAY()-$L354)/VALUE(INDEX('Settings'!$B$2:$B$100,MATCH("score_recency_days",'Settings'!$A$2:$A$100,0)))*25))+MIN(15,COUNTIFS('FollowUps'!$B$2:$B$500,$A354,'FollowUps'!$H$2:$H$500,"done")/VALUE(INDEX('Settings'!$B$2:$B$100,MATCH("score_response_target",'Settings'!$A$2:$A$100,0)))*15)+IF(COUNTIFS('Interactions'!$B$2:$B$500,$A354,'Interactions'!$E$2:$E$500,"complaint")=0,10,0),0))</x:f>
      </x:c>
      <x:c r="R354" s="108" t="str">
        <x:f>IF($A354="","",IF($J354="inactive","inactive",IF($J354="at_risk","at_risk",IF($Q354&gt;=85,"vip",IF($Q354&gt;=70,"loyal",IF($Q354&gt;=50,"active",IF($N354=0,"new","needs_attention")))))))</x:f>
      </x:c>
      <x:c r="S354" s="19"/>
      <x:c r="T354" s="18"/>
      <x:c r="U354" s="19"/>
      <x:c r="V354" s="20"/>
      <x:c r="W354" s="26"/>
      <x:c r="X354" s="19"/>
      <x:c r="Y354" s="26"/>
      <x:c r="Z354" s="19"/>
      <x:c r="AA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20"/>
      <x:c r="J355" s="19"/>
      <x:c r="K355" s="19"/>
      <x:c r="L355" s="92" t="str">
        <x:f>IF($A355="","",IF(COUNTIFS('Orders'!$C$2:$C$500,$A355,'Orders'!$M$2:$M$500,"&lt;&gt;cancelled")=0,"",MAXIFS('Orders'!$G$2:$G$500,'Orders'!$C$2:$C$500,$A355,'Orders'!$M$2:$M$500,"&lt;&gt;cancelled")))</x:f>
      </x:c>
      <x:c r="M355" s="96" t="str">
        <x:f>IF($A355="","",SUMIFS('Orders'!$K$2:$K$500,'Orders'!$C$2:$C$500,$A355,'Orders'!$M$2:$M$500,"&lt;&gt;cancelled"))</x:f>
      </x:c>
      <x:c r="N355" s="96" t="str">
        <x:f>IF($A355="","",COUNTIFS('Orders'!$C$2:$C$500,$A355,'Orders'!$M$2:$M$500,"&lt;&gt;cancelled"))</x:f>
      </x:c>
      <x:c r="O355" s="100" t="str">
        <x:f>IF($A355="","",IF(COUNTIF('Interactions'!$B$2:$B$500,$A355)=0,"",MAXIFS('Interactions'!$G$2:$G$500,'Interactions'!$B$2:$B$500,$A355)))</x:f>
      </x:c>
      <x:c r="P355" s="100" t="str">
        <x:f>IF($A355="","",IF(COUNTIFS('FollowUps'!$B$2:$B$500,$A355,'FollowUps'!$H$2:$H$500,"open")=0,"",MINIFS('FollowUps'!$E$2:$E$500,'FollowUps'!$B$2:$B$500,$A355,'FollowUps'!$H$2:$H$500,"open")))</x:f>
      </x:c>
      <x:c r="Q355" s="104" t="str">
        <x:f>IF($A355="","",ROUND(MIN(25,$N355/VALUE(INDEX('Settings'!$B$2:$B$100,MATCH("score_purchase_target",'Settings'!$A$2:$A$100,0)))*25)+MIN(25,$M355/VALUE(INDEX('Settings'!$B$2:$B$100,MATCH("score_value_target",'Settings'!$A$2:$A$100,0)))*25)+IF($L355="",0,MAX(0,25-(TODAY()-$L355)/VALUE(INDEX('Settings'!$B$2:$B$100,MATCH("score_recency_days",'Settings'!$A$2:$A$100,0)))*25))+MIN(15,COUNTIFS('FollowUps'!$B$2:$B$500,$A355,'FollowUps'!$H$2:$H$500,"done")/VALUE(INDEX('Settings'!$B$2:$B$100,MATCH("score_response_target",'Settings'!$A$2:$A$100,0)))*15)+IF(COUNTIFS('Interactions'!$B$2:$B$500,$A355,'Interactions'!$E$2:$E$500,"complaint")=0,10,0),0))</x:f>
      </x:c>
      <x:c r="R355" s="108" t="str">
        <x:f>IF($A355="","",IF($J355="inactive","inactive",IF($J355="at_risk","at_risk",IF($Q355&gt;=85,"vip",IF($Q355&gt;=70,"loyal",IF($Q355&gt;=50,"active",IF($N355=0,"new","needs_attention")))))))</x:f>
      </x:c>
      <x:c r="S355" s="19"/>
      <x:c r="T355" s="18"/>
      <x:c r="U355" s="19"/>
      <x:c r="V355" s="20"/>
      <x:c r="W355" s="26"/>
      <x:c r="X355" s="19"/>
      <x:c r="Y355" s="26"/>
      <x:c r="Z355" s="19"/>
      <x:c r="AA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20"/>
      <x:c r="J356" s="19"/>
      <x:c r="K356" s="19"/>
      <x:c r="L356" s="92" t="str">
        <x:f>IF($A356="","",IF(COUNTIFS('Orders'!$C$2:$C$500,$A356,'Orders'!$M$2:$M$500,"&lt;&gt;cancelled")=0,"",MAXIFS('Orders'!$G$2:$G$500,'Orders'!$C$2:$C$500,$A356,'Orders'!$M$2:$M$500,"&lt;&gt;cancelled")))</x:f>
      </x:c>
      <x:c r="M356" s="96" t="str">
        <x:f>IF($A356="","",SUMIFS('Orders'!$K$2:$K$500,'Orders'!$C$2:$C$500,$A356,'Orders'!$M$2:$M$500,"&lt;&gt;cancelled"))</x:f>
      </x:c>
      <x:c r="N356" s="96" t="str">
        <x:f>IF($A356="","",COUNTIFS('Orders'!$C$2:$C$500,$A356,'Orders'!$M$2:$M$500,"&lt;&gt;cancelled"))</x:f>
      </x:c>
      <x:c r="O356" s="100" t="str">
        <x:f>IF($A356="","",IF(COUNTIF('Interactions'!$B$2:$B$500,$A356)=0,"",MAXIFS('Interactions'!$G$2:$G$500,'Interactions'!$B$2:$B$500,$A356)))</x:f>
      </x:c>
      <x:c r="P356" s="100" t="str">
        <x:f>IF($A356="","",IF(COUNTIFS('FollowUps'!$B$2:$B$500,$A356,'FollowUps'!$H$2:$H$500,"open")=0,"",MINIFS('FollowUps'!$E$2:$E$500,'FollowUps'!$B$2:$B$500,$A356,'FollowUps'!$H$2:$H$500,"open")))</x:f>
      </x:c>
      <x:c r="Q356" s="104" t="str">
        <x:f>IF($A356="","",ROUND(MIN(25,$N356/VALUE(INDEX('Settings'!$B$2:$B$100,MATCH("score_purchase_target",'Settings'!$A$2:$A$100,0)))*25)+MIN(25,$M356/VALUE(INDEX('Settings'!$B$2:$B$100,MATCH("score_value_target",'Settings'!$A$2:$A$100,0)))*25)+IF($L356="",0,MAX(0,25-(TODAY()-$L356)/VALUE(INDEX('Settings'!$B$2:$B$100,MATCH("score_recency_days",'Settings'!$A$2:$A$100,0)))*25))+MIN(15,COUNTIFS('FollowUps'!$B$2:$B$500,$A356,'FollowUps'!$H$2:$H$500,"done")/VALUE(INDEX('Settings'!$B$2:$B$100,MATCH("score_response_target",'Settings'!$A$2:$A$100,0)))*15)+IF(COUNTIFS('Interactions'!$B$2:$B$500,$A356,'Interactions'!$E$2:$E$500,"complaint")=0,10,0),0))</x:f>
      </x:c>
      <x:c r="R356" s="108" t="str">
        <x:f>IF($A356="","",IF($J356="inactive","inactive",IF($J356="at_risk","at_risk",IF($Q356&gt;=85,"vip",IF($Q356&gt;=70,"loyal",IF($Q356&gt;=50,"active",IF($N356=0,"new","needs_attention")))))))</x:f>
      </x:c>
      <x:c r="S356" s="19"/>
      <x:c r="T356" s="18"/>
      <x:c r="U356" s="19"/>
      <x:c r="V356" s="20"/>
      <x:c r="W356" s="26"/>
      <x:c r="X356" s="19"/>
      <x:c r="Y356" s="26"/>
      <x:c r="Z356" s="19"/>
      <x:c r="AA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20"/>
      <x:c r="J357" s="19"/>
      <x:c r="K357" s="19"/>
      <x:c r="L357" s="92" t="str">
        <x:f>IF($A357="","",IF(COUNTIFS('Orders'!$C$2:$C$500,$A357,'Orders'!$M$2:$M$500,"&lt;&gt;cancelled")=0,"",MAXIFS('Orders'!$G$2:$G$500,'Orders'!$C$2:$C$500,$A357,'Orders'!$M$2:$M$500,"&lt;&gt;cancelled")))</x:f>
      </x:c>
      <x:c r="M357" s="96" t="str">
        <x:f>IF($A357="","",SUMIFS('Orders'!$K$2:$K$500,'Orders'!$C$2:$C$500,$A357,'Orders'!$M$2:$M$500,"&lt;&gt;cancelled"))</x:f>
      </x:c>
      <x:c r="N357" s="96" t="str">
        <x:f>IF($A357="","",COUNTIFS('Orders'!$C$2:$C$500,$A357,'Orders'!$M$2:$M$500,"&lt;&gt;cancelled"))</x:f>
      </x:c>
      <x:c r="O357" s="100" t="str">
        <x:f>IF($A357="","",IF(COUNTIF('Interactions'!$B$2:$B$500,$A357)=0,"",MAXIFS('Interactions'!$G$2:$G$500,'Interactions'!$B$2:$B$500,$A357)))</x:f>
      </x:c>
      <x:c r="P357" s="100" t="str">
        <x:f>IF($A357="","",IF(COUNTIFS('FollowUps'!$B$2:$B$500,$A357,'FollowUps'!$H$2:$H$500,"open")=0,"",MINIFS('FollowUps'!$E$2:$E$500,'FollowUps'!$B$2:$B$500,$A357,'FollowUps'!$H$2:$H$500,"open")))</x:f>
      </x:c>
      <x:c r="Q357" s="104" t="str">
        <x:f>IF($A357="","",ROUND(MIN(25,$N357/VALUE(INDEX('Settings'!$B$2:$B$100,MATCH("score_purchase_target",'Settings'!$A$2:$A$100,0)))*25)+MIN(25,$M357/VALUE(INDEX('Settings'!$B$2:$B$100,MATCH("score_value_target",'Settings'!$A$2:$A$100,0)))*25)+IF($L357="",0,MAX(0,25-(TODAY()-$L357)/VALUE(INDEX('Settings'!$B$2:$B$100,MATCH("score_recency_days",'Settings'!$A$2:$A$100,0)))*25))+MIN(15,COUNTIFS('FollowUps'!$B$2:$B$500,$A357,'FollowUps'!$H$2:$H$500,"done")/VALUE(INDEX('Settings'!$B$2:$B$100,MATCH("score_response_target",'Settings'!$A$2:$A$100,0)))*15)+IF(COUNTIFS('Interactions'!$B$2:$B$500,$A357,'Interactions'!$E$2:$E$500,"complaint")=0,10,0),0))</x:f>
      </x:c>
      <x:c r="R357" s="108" t="str">
        <x:f>IF($A357="","",IF($J357="inactive","inactive",IF($J357="at_risk","at_risk",IF($Q357&gt;=85,"vip",IF($Q357&gt;=70,"loyal",IF($Q357&gt;=50,"active",IF($N357=0,"new","needs_attention")))))))</x:f>
      </x:c>
      <x:c r="S357" s="19"/>
      <x:c r="T357" s="18"/>
      <x:c r="U357" s="19"/>
      <x:c r="V357" s="20"/>
      <x:c r="W357" s="26"/>
      <x:c r="X357" s="19"/>
      <x:c r="Y357" s="26"/>
      <x:c r="Z357" s="19"/>
      <x:c r="AA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20"/>
      <x:c r="J358" s="19"/>
      <x:c r="K358" s="19"/>
      <x:c r="L358" s="92" t="str">
        <x:f>IF($A358="","",IF(COUNTIFS('Orders'!$C$2:$C$500,$A358,'Orders'!$M$2:$M$500,"&lt;&gt;cancelled")=0,"",MAXIFS('Orders'!$G$2:$G$500,'Orders'!$C$2:$C$500,$A358,'Orders'!$M$2:$M$500,"&lt;&gt;cancelled")))</x:f>
      </x:c>
      <x:c r="M358" s="96" t="str">
        <x:f>IF($A358="","",SUMIFS('Orders'!$K$2:$K$500,'Orders'!$C$2:$C$500,$A358,'Orders'!$M$2:$M$500,"&lt;&gt;cancelled"))</x:f>
      </x:c>
      <x:c r="N358" s="96" t="str">
        <x:f>IF($A358="","",COUNTIFS('Orders'!$C$2:$C$500,$A358,'Orders'!$M$2:$M$500,"&lt;&gt;cancelled"))</x:f>
      </x:c>
      <x:c r="O358" s="100" t="str">
        <x:f>IF($A358="","",IF(COUNTIF('Interactions'!$B$2:$B$500,$A358)=0,"",MAXIFS('Interactions'!$G$2:$G$500,'Interactions'!$B$2:$B$500,$A358)))</x:f>
      </x:c>
      <x:c r="P358" s="100" t="str">
        <x:f>IF($A358="","",IF(COUNTIFS('FollowUps'!$B$2:$B$500,$A358,'FollowUps'!$H$2:$H$500,"open")=0,"",MINIFS('FollowUps'!$E$2:$E$500,'FollowUps'!$B$2:$B$500,$A358,'FollowUps'!$H$2:$H$500,"open")))</x:f>
      </x:c>
      <x:c r="Q358" s="104" t="str">
        <x:f>IF($A358="","",ROUND(MIN(25,$N358/VALUE(INDEX('Settings'!$B$2:$B$100,MATCH("score_purchase_target",'Settings'!$A$2:$A$100,0)))*25)+MIN(25,$M358/VALUE(INDEX('Settings'!$B$2:$B$100,MATCH("score_value_target",'Settings'!$A$2:$A$100,0)))*25)+IF($L358="",0,MAX(0,25-(TODAY()-$L358)/VALUE(INDEX('Settings'!$B$2:$B$100,MATCH("score_recency_days",'Settings'!$A$2:$A$100,0)))*25))+MIN(15,COUNTIFS('FollowUps'!$B$2:$B$500,$A358,'FollowUps'!$H$2:$H$500,"done")/VALUE(INDEX('Settings'!$B$2:$B$100,MATCH("score_response_target",'Settings'!$A$2:$A$100,0)))*15)+IF(COUNTIFS('Interactions'!$B$2:$B$500,$A358,'Interactions'!$E$2:$E$500,"complaint")=0,10,0),0))</x:f>
      </x:c>
      <x:c r="R358" s="108" t="str">
        <x:f>IF($A358="","",IF($J358="inactive","inactive",IF($J358="at_risk","at_risk",IF($Q358&gt;=85,"vip",IF($Q358&gt;=70,"loyal",IF($Q358&gt;=50,"active",IF($N358=0,"new","needs_attention")))))))</x:f>
      </x:c>
      <x:c r="S358" s="19"/>
      <x:c r="T358" s="18"/>
      <x:c r="U358" s="19"/>
      <x:c r="V358" s="20"/>
      <x:c r="W358" s="26"/>
      <x:c r="X358" s="19"/>
      <x:c r="Y358" s="26"/>
      <x:c r="Z358" s="19"/>
      <x:c r="AA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20"/>
      <x:c r="J359" s="19"/>
      <x:c r="K359" s="19"/>
      <x:c r="L359" s="92" t="str">
        <x:f>IF($A359="","",IF(COUNTIFS('Orders'!$C$2:$C$500,$A359,'Orders'!$M$2:$M$500,"&lt;&gt;cancelled")=0,"",MAXIFS('Orders'!$G$2:$G$500,'Orders'!$C$2:$C$500,$A359,'Orders'!$M$2:$M$500,"&lt;&gt;cancelled")))</x:f>
      </x:c>
      <x:c r="M359" s="96" t="str">
        <x:f>IF($A359="","",SUMIFS('Orders'!$K$2:$K$500,'Orders'!$C$2:$C$500,$A359,'Orders'!$M$2:$M$500,"&lt;&gt;cancelled"))</x:f>
      </x:c>
      <x:c r="N359" s="96" t="str">
        <x:f>IF($A359="","",COUNTIFS('Orders'!$C$2:$C$500,$A359,'Orders'!$M$2:$M$500,"&lt;&gt;cancelled"))</x:f>
      </x:c>
      <x:c r="O359" s="100" t="str">
        <x:f>IF($A359="","",IF(COUNTIF('Interactions'!$B$2:$B$500,$A359)=0,"",MAXIFS('Interactions'!$G$2:$G$500,'Interactions'!$B$2:$B$500,$A359)))</x:f>
      </x:c>
      <x:c r="P359" s="100" t="str">
        <x:f>IF($A359="","",IF(COUNTIFS('FollowUps'!$B$2:$B$500,$A359,'FollowUps'!$H$2:$H$500,"open")=0,"",MINIFS('FollowUps'!$E$2:$E$500,'FollowUps'!$B$2:$B$500,$A359,'FollowUps'!$H$2:$H$500,"open")))</x:f>
      </x:c>
      <x:c r="Q359" s="104" t="str">
        <x:f>IF($A359="","",ROUND(MIN(25,$N359/VALUE(INDEX('Settings'!$B$2:$B$100,MATCH("score_purchase_target",'Settings'!$A$2:$A$100,0)))*25)+MIN(25,$M359/VALUE(INDEX('Settings'!$B$2:$B$100,MATCH("score_value_target",'Settings'!$A$2:$A$100,0)))*25)+IF($L359="",0,MAX(0,25-(TODAY()-$L359)/VALUE(INDEX('Settings'!$B$2:$B$100,MATCH("score_recency_days",'Settings'!$A$2:$A$100,0)))*25))+MIN(15,COUNTIFS('FollowUps'!$B$2:$B$500,$A359,'FollowUps'!$H$2:$H$500,"done")/VALUE(INDEX('Settings'!$B$2:$B$100,MATCH("score_response_target",'Settings'!$A$2:$A$100,0)))*15)+IF(COUNTIFS('Interactions'!$B$2:$B$500,$A359,'Interactions'!$E$2:$E$500,"complaint")=0,10,0),0))</x:f>
      </x:c>
      <x:c r="R359" s="108" t="str">
        <x:f>IF($A359="","",IF($J359="inactive","inactive",IF($J359="at_risk","at_risk",IF($Q359&gt;=85,"vip",IF($Q359&gt;=70,"loyal",IF($Q359&gt;=50,"active",IF($N359=0,"new","needs_attention")))))))</x:f>
      </x:c>
      <x:c r="S359" s="19"/>
      <x:c r="T359" s="18"/>
      <x:c r="U359" s="19"/>
      <x:c r="V359" s="20"/>
      <x:c r="W359" s="26"/>
      <x:c r="X359" s="19"/>
      <x:c r="Y359" s="26"/>
      <x:c r="Z359" s="19"/>
      <x:c r="AA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20"/>
      <x:c r="J360" s="19"/>
      <x:c r="K360" s="19"/>
      <x:c r="L360" s="92" t="str">
        <x:f>IF($A360="","",IF(COUNTIFS('Orders'!$C$2:$C$500,$A360,'Orders'!$M$2:$M$500,"&lt;&gt;cancelled")=0,"",MAXIFS('Orders'!$G$2:$G$500,'Orders'!$C$2:$C$500,$A360,'Orders'!$M$2:$M$500,"&lt;&gt;cancelled")))</x:f>
      </x:c>
      <x:c r="M360" s="96" t="str">
        <x:f>IF($A360="","",SUMIFS('Orders'!$K$2:$K$500,'Orders'!$C$2:$C$500,$A360,'Orders'!$M$2:$M$500,"&lt;&gt;cancelled"))</x:f>
      </x:c>
      <x:c r="N360" s="96" t="str">
        <x:f>IF($A360="","",COUNTIFS('Orders'!$C$2:$C$500,$A360,'Orders'!$M$2:$M$500,"&lt;&gt;cancelled"))</x:f>
      </x:c>
      <x:c r="O360" s="100" t="str">
        <x:f>IF($A360="","",IF(COUNTIF('Interactions'!$B$2:$B$500,$A360)=0,"",MAXIFS('Interactions'!$G$2:$G$500,'Interactions'!$B$2:$B$500,$A360)))</x:f>
      </x:c>
      <x:c r="P360" s="100" t="str">
        <x:f>IF($A360="","",IF(COUNTIFS('FollowUps'!$B$2:$B$500,$A360,'FollowUps'!$H$2:$H$500,"open")=0,"",MINIFS('FollowUps'!$E$2:$E$500,'FollowUps'!$B$2:$B$500,$A360,'FollowUps'!$H$2:$H$500,"open")))</x:f>
      </x:c>
      <x:c r="Q360" s="104" t="str">
        <x:f>IF($A360="","",ROUND(MIN(25,$N360/VALUE(INDEX('Settings'!$B$2:$B$100,MATCH("score_purchase_target",'Settings'!$A$2:$A$100,0)))*25)+MIN(25,$M360/VALUE(INDEX('Settings'!$B$2:$B$100,MATCH("score_value_target",'Settings'!$A$2:$A$100,0)))*25)+IF($L360="",0,MAX(0,25-(TODAY()-$L360)/VALUE(INDEX('Settings'!$B$2:$B$100,MATCH("score_recency_days",'Settings'!$A$2:$A$100,0)))*25))+MIN(15,COUNTIFS('FollowUps'!$B$2:$B$500,$A360,'FollowUps'!$H$2:$H$500,"done")/VALUE(INDEX('Settings'!$B$2:$B$100,MATCH("score_response_target",'Settings'!$A$2:$A$100,0)))*15)+IF(COUNTIFS('Interactions'!$B$2:$B$500,$A360,'Interactions'!$E$2:$E$500,"complaint")=0,10,0),0))</x:f>
      </x:c>
      <x:c r="R360" s="108" t="str">
        <x:f>IF($A360="","",IF($J360="inactive","inactive",IF($J360="at_risk","at_risk",IF($Q360&gt;=85,"vip",IF($Q360&gt;=70,"loyal",IF($Q360&gt;=50,"active",IF($N360=0,"new","needs_attention")))))))</x:f>
      </x:c>
      <x:c r="S360" s="19"/>
      <x:c r="T360" s="18"/>
      <x:c r="U360" s="19"/>
      <x:c r="V360" s="20"/>
      <x:c r="W360" s="26"/>
      <x:c r="X360" s="19"/>
      <x:c r="Y360" s="26"/>
      <x:c r="Z360" s="19"/>
      <x:c r="AA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20"/>
      <x:c r="J361" s="19"/>
      <x:c r="K361" s="19"/>
      <x:c r="L361" s="92" t="str">
        <x:f>IF($A361="","",IF(COUNTIFS('Orders'!$C$2:$C$500,$A361,'Orders'!$M$2:$M$500,"&lt;&gt;cancelled")=0,"",MAXIFS('Orders'!$G$2:$G$500,'Orders'!$C$2:$C$500,$A361,'Orders'!$M$2:$M$500,"&lt;&gt;cancelled")))</x:f>
      </x:c>
      <x:c r="M361" s="96" t="str">
        <x:f>IF($A361="","",SUMIFS('Orders'!$K$2:$K$500,'Orders'!$C$2:$C$500,$A361,'Orders'!$M$2:$M$500,"&lt;&gt;cancelled"))</x:f>
      </x:c>
      <x:c r="N361" s="96" t="str">
        <x:f>IF($A361="","",COUNTIFS('Orders'!$C$2:$C$500,$A361,'Orders'!$M$2:$M$500,"&lt;&gt;cancelled"))</x:f>
      </x:c>
      <x:c r="O361" s="100" t="str">
        <x:f>IF($A361="","",IF(COUNTIF('Interactions'!$B$2:$B$500,$A361)=0,"",MAXIFS('Interactions'!$G$2:$G$500,'Interactions'!$B$2:$B$500,$A361)))</x:f>
      </x:c>
      <x:c r="P361" s="100" t="str">
        <x:f>IF($A361="","",IF(COUNTIFS('FollowUps'!$B$2:$B$500,$A361,'FollowUps'!$H$2:$H$500,"open")=0,"",MINIFS('FollowUps'!$E$2:$E$500,'FollowUps'!$B$2:$B$500,$A361,'FollowUps'!$H$2:$H$500,"open")))</x:f>
      </x:c>
      <x:c r="Q361" s="104" t="str">
        <x:f>IF($A361="","",ROUND(MIN(25,$N361/VALUE(INDEX('Settings'!$B$2:$B$100,MATCH("score_purchase_target",'Settings'!$A$2:$A$100,0)))*25)+MIN(25,$M361/VALUE(INDEX('Settings'!$B$2:$B$100,MATCH("score_value_target",'Settings'!$A$2:$A$100,0)))*25)+IF($L361="",0,MAX(0,25-(TODAY()-$L361)/VALUE(INDEX('Settings'!$B$2:$B$100,MATCH("score_recency_days",'Settings'!$A$2:$A$100,0)))*25))+MIN(15,COUNTIFS('FollowUps'!$B$2:$B$500,$A361,'FollowUps'!$H$2:$H$500,"done")/VALUE(INDEX('Settings'!$B$2:$B$100,MATCH("score_response_target",'Settings'!$A$2:$A$100,0)))*15)+IF(COUNTIFS('Interactions'!$B$2:$B$500,$A361,'Interactions'!$E$2:$E$500,"complaint")=0,10,0),0))</x:f>
      </x:c>
      <x:c r="R361" s="108" t="str">
        <x:f>IF($A361="","",IF($J361="inactive","inactive",IF($J361="at_risk","at_risk",IF($Q361&gt;=85,"vip",IF($Q361&gt;=70,"loyal",IF($Q361&gt;=50,"active",IF($N361=0,"new","needs_attention")))))))</x:f>
      </x:c>
      <x:c r="S361" s="19"/>
      <x:c r="T361" s="18"/>
      <x:c r="U361" s="19"/>
      <x:c r="V361" s="20"/>
      <x:c r="W361" s="26"/>
      <x:c r="X361" s="19"/>
      <x:c r="Y361" s="26"/>
      <x:c r="Z361" s="19"/>
      <x:c r="AA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20"/>
      <x:c r="J362" s="19"/>
      <x:c r="K362" s="19"/>
      <x:c r="L362" s="92" t="str">
        <x:f>IF($A362="","",IF(COUNTIFS('Orders'!$C$2:$C$500,$A362,'Orders'!$M$2:$M$500,"&lt;&gt;cancelled")=0,"",MAXIFS('Orders'!$G$2:$G$500,'Orders'!$C$2:$C$500,$A362,'Orders'!$M$2:$M$500,"&lt;&gt;cancelled")))</x:f>
      </x:c>
      <x:c r="M362" s="96" t="str">
        <x:f>IF($A362="","",SUMIFS('Orders'!$K$2:$K$500,'Orders'!$C$2:$C$500,$A362,'Orders'!$M$2:$M$500,"&lt;&gt;cancelled"))</x:f>
      </x:c>
      <x:c r="N362" s="96" t="str">
        <x:f>IF($A362="","",COUNTIFS('Orders'!$C$2:$C$500,$A362,'Orders'!$M$2:$M$500,"&lt;&gt;cancelled"))</x:f>
      </x:c>
      <x:c r="O362" s="100" t="str">
        <x:f>IF($A362="","",IF(COUNTIF('Interactions'!$B$2:$B$500,$A362)=0,"",MAXIFS('Interactions'!$G$2:$G$500,'Interactions'!$B$2:$B$500,$A362)))</x:f>
      </x:c>
      <x:c r="P362" s="100" t="str">
        <x:f>IF($A362="","",IF(COUNTIFS('FollowUps'!$B$2:$B$500,$A362,'FollowUps'!$H$2:$H$500,"open")=0,"",MINIFS('FollowUps'!$E$2:$E$500,'FollowUps'!$B$2:$B$500,$A362,'FollowUps'!$H$2:$H$500,"open")))</x:f>
      </x:c>
      <x:c r="Q362" s="104" t="str">
        <x:f>IF($A362="","",ROUND(MIN(25,$N362/VALUE(INDEX('Settings'!$B$2:$B$100,MATCH("score_purchase_target",'Settings'!$A$2:$A$100,0)))*25)+MIN(25,$M362/VALUE(INDEX('Settings'!$B$2:$B$100,MATCH("score_value_target",'Settings'!$A$2:$A$100,0)))*25)+IF($L362="",0,MAX(0,25-(TODAY()-$L362)/VALUE(INDEX('Settings'!$B$2:$B$100,MATCH("score_recency_days",'Settings'!$A$2:$A$100,0)))*25))+MIN(15,COUNTIFS('FollowUps'!$B$2:$B$500,$A362,'FollowUps'!$H$2:$H$500,"done")/VALUE(INDEX('Settings'!$B$2:$B$100,MATCH("score_response_target",'Settings'!$A$2:$A$100,0)))*15)+IF(COUNTIFS('Interactions'!$B$2:$B$500,$A362,'Interactions'!$E$2:$E$500,"complaint")=0,10,0),0))</x:f>
      </x:c>
      <x:c r="R362" s="108" t="str">
        <x:f>IF($A362="","",IF($J362="inactive","inactive",IF($J362="at_risk","at_risk",IF($Q362&gt;=85,"vip",IF($Q362&gt;=70,"loyal",IF($Q362&gt;=50,"active",IF($N362=0,"new","needs_attention")))))))</x:f>
      </x:c>
      <x:c r="S362" s="19"/>
      <x:c r="T362" s="18"/>
      <x:c r="U362" s="19"/>
      <x:c r="V362" s="20"/>
      <x:c r="W362" s="26"/>
      <x:c r="X362" s="19"/>
      <x:c r="Y362" s="26"/>
      <x:c r="Z362" s="19"/>
      <x:c r="AA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20"/>
      <x:c r="J363" s="19"/>
      <x:c r="K363" s="19"/>
      <x:c r="L363" s="92" t="str">
        <x:f>IF($A363="","",IF(COUNTIFS('Orders'!$C$2:$C$500,$A363,'Orders'!$M$2:$M$500,"&lt;&gt;cancelled")=0,"",MAXIFS('Orders'!$G$2:$G$500,'Orders'!$C$2:$C$500,$A363,'Orders'!$M$2:$M$500,"&lt;&gt;cancelled")))</x:f>
      </x:c>
      <x:c r="M363" s="96" t="str">
        <x:f>IF($A363="","",SUMIFS('Orders'!$K$2:$K$500,'Orders'!$C$2:$C$500,$A363,'Orders'!$M$2:$M$500,"&lt;&gt;cancelled"))</x:f>
      </x:c>
      <x:c r="N363" s="96" t="str">
        <x:f>IF($A363="","",COUNTIFS('Orders'!$C$2:$C$500,$A363,'Orders'!$M$2:$M$500,"&lt;&gt;cancelled"))</x:f>
      </x:c>
      <x:c r="O363" s="100" t="str">
        <x:f>IF($A363="","",IF(COUNTIF('Interactions'!$B$2:$B$500,$A363)=0,"",MAXIFS('Interactions'!$G$2:$G$500,'Interactions'!$B$2:$B$500,$A363)))</x:f>
      </x:c>
      <x:c r="P363" s="100" t="str">
        <x:f>IF($A363="","",IF(COUNTIFS('FollowUps'!$B$2:$B$500,$A363,'FollowUps'!$H$2:$H$500,"open")=0,"",MINIFS('FollowUps'!$E$2:$E$500,'FollowUps'!$B$2:$B$500,$A363,'FollowUps'!$H$2:$H$500,"open")))</x:f>
      </x:c>
      <x:c r="Q363" s="104" t="str">
        <x:f>IF($A363="","",ROUND(MIN(25,$N363/VALUE(INDEX('Settings'!$B$2:$B$100,MATCH("score_purchase_target",'Settings'!$A$2:$A$100,0)))*25)+MIN(25,$M363/VALUE(INDEX('Settings'!$B$2:$B$100,MATCH("score_value_target",'Settings'!$A$2:$A$100,0)))*25)+IF($L363="",0,MAX(0,25-(TODAY()-$L363)/VALUE(INDEX('Settings'!$B$2:$B$100,MATCH("score_recency_days",'Settings'!$A$2:$A$100,0)))*25))+MIN(15,COUNTIFS('FollowUps'!$B$2:$B$500,$A363,'FollowUps'!$H$2:$H$500,"done")/VALUE(INDEX('Settings'!$B$2:$B$100,MATCH("score_response_target",'Settings'!$A$2:$A$100,0)))*15)+IF(COUNTIFS('Interactions'!$B$2:$B$500,$A363,'Interactions'!$E$2:$E$500,"complaint")=0,10,0),0))</x:f>
      </x:c>
      <x:c r="R363" s="108" t="str">
        <x:f>IF($A363="","",IF($J363="inactive","inactive",IF($J363="at_risk","at_risk",IF($Q363&gt;=85,"vip",IF($Q363&gt;=70,"loyal",IF($Q363&gt;=50,"active",IF($N363=0,"new","needs_attention")))))))</x:f>
      </x:c>
      <x:c r="S363" s="19"/>
      <x:c r="T363" s="18"/>
      <x:c r="U363" s="19"/>
      <x:c r="V363" s="20"/>
      <x:c r="W363" s="26"/>
      <x:c r="X363" s="19"/>
      <x:c r="Y363" s="26"/>
      <x:c r="Z363" s="19"/>
      <x:c r="AA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20"/>
      <x:c r="J364" s="19"/>
      <x:c r="K364" s="19"/>
      <x:c r="L364" s="92" t="str">
        <x:f>IF($A364="","",IF(COUNTIFS('Orders'!$C$2:$C$500,$A364,'Orders'!$M$2:$M$500,"&lt;&gt;cancelled")=0,"",MAXIFS('Orders'!$G$2:$G$500,'Orders'!$C$2:$C$500,$A364,'Orders'!$M$2:$M$500,"&lt;&gt;cancelled")))</x:f>
      </x:c>
      <x:c r="M364" s="96" t="str">
        <x:f>IF($A364="","",SUMIFS('Orders'!$K$2:$K$500,'Orders'!$C$2:$C$500,$A364,'Orders'!$M$2:$M$500,"&lt;&gt;cancelled"))</x:f>
      </x:c>
      <x:c r="N364" s="96" t="str">
        <x:f>IF($A364="","",COUNTIFS('Orders'!$C$2:$C$500,$A364,'Orders'!$M$2:$M$500,"&lt;&gt;cancelled"))</x:f>
      </x:c>
      <x:c r="O364" s="100" t="str">
        <x:f>IF($A364="","",IF(COUNTIF('Interactions'!$B$2:$B$500,$A364)=0,"",MAXIFS('Interactions'!$G$2:$G$500,'Interactions'!$B$2:$B$500,$A364)))</x:f>
      </x:c>
      <x:c r="P364" s="100" t="str">
        <x:f>IF($A364="","",IF(COUNTIFS('FollowUps'!$B$2:$B$500,$A364,'FollowUps'!$H$2:$H$500,"open")=0,"",MINIFS('FollowUps'!$E$2:$E$500,'FollowUps'!$B$2:$B$500,$A364,'FollowUps'!$H$2:$H$500,"open")))</x:f>
      </x:c>
      <x:c r="Q364" s="104" t="str">
        <x:f>IF($A364="","",ROUND(MIN(25,$N364/VALUE(INDEX('Settings'!$B$2:$B$100,MATCH("score_purchase_target",'Settings'!$A$2:$A$100,0)))*25)+MIN(25,$M364/VALUE(INDEX('Settings'!$B$2:$B$100,MATCH("score_value_target",'Settings'!$A$2:$A$100,0)))*25)+IF($L364="",0,MAX(0,25-(TODAY()-$L364)/VALUE(INDEX('Settings'!$B$2:$B$100,MATCH("score_recency_days",'Settings'!$A$2:$A$100,0)))*25))+MIN(15,COUNTIFS('FollowUps'!$B$2:$B$500,$A364,'FollowUps'!$H$2:$H$500,"done")/VALUE(INDEX('Settings'!$B$2:$B$100,MATCH("score_response_target",'Settings'!$A$2:$A$100,0)))*15)+IF(COUNTIFS('Interactions'!$B$2:$B$500,$A364,'Interactions'!$E$2:$E$500,"complaint")=0,10,0),0))</x:f>
      </x:c>
      <x:c r="R364" s="108" t="str">
        <x:f>IF($A364="","",IF($J364="inactive","inactive",IF($J364="at_risk","at_risk",IF($Q364&gt;=85,"vip",IF($Q364&gt;=70,"loyal",IF($Q364&gt;=50,"active",IF($N364=0,"new","needs_attention")))))))</x:f>
      </x:c>
      <x:c r="S364" s="19"/>
      <x:c r="T364" s="18"/>
      <x:c r="U364" s="19"/>
      <x:c r="V364" s="20"/>
      <x:c r="W364" s="26"/>
      <x:c r="X364" s="19"/>
      <x:c r="Y364" s="26"/>
      <x:c r="Z364" s="19"/>
      <x:c r="AA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20"/>
      <x:c r="J365" s="19"/>
      <x:c r="K365" s="19"/>
      <x:c r="L365" s="92" t="str">
        <x:f>IF($A365="","",IF(COUNTIFS('Orders'!$C$2:$C$500,$A365,'Orders'!$M$2:$M$500,"&lt;&gt;cancelled")=0,"",MAXIFS('Orders'!$G$2:$G$500,'Orders'!$C$2:$C$500,$A365,'Orders'!$M$2:$M$500,"&lt;&gt;cancelled")))</x:f>
      </x:c>
      <x:c r="M365" s="96" t="str">
        <x:f>IF($A365="","",SUMIFS('Orders'!$K$2:$K$500,'Orders'!$C$2:$C$500,$A365,'Orders'!$M$2:$M$500,"&lt;&gt;cancelled"))</x:f>
      </x:c>
      <x:c r="N365" s="96" t="str">
        <x:f>IF($A365="","",COUNTIFS('Orders'!$C$2:$C$500,$A365,'Orders'!$M$2:$M$500,"&lt;&gt;cancelled"))</x:f>
      </x:c>
      <x:c r="O365" s="100" t="str">
        <x:f>IF($A365="","",IF(COUNTIF('Interactions'!$B$2:$B$500,$A365)=0,"",MAXIFS('Interactions'!$G$2:$G$500,'Interactions'!$B$2:$B$500,$A365)))</x:f>
      </x:c>
      <x:c r="P365" s="100" t="str">
        <x:f>IF($A365="","",IF(COUNTIFS('FollowUps'!$B$2:$B$500,$A365,'FollowUps'!$H$2:$H$500,"open")=0,"",MINIFS('FollowUps'!$E$2:$E$500,'FollowUps'!$B$2:$B$500,$A365,'FollowUps'!$H$2:$H$500,"open")))</x:f>
      </x:c>
      <x:c r="Q365" s="104" t="str">
        <x:f>IF($A365="","",ROUND(MIN(25,$N365/VALUE(INDEX('Settings'!$B$2:$B$100,MATCH("score_purchase_target",'Settings'!$A$2:$A$100,0)))*25)+MIN(25,$M365/VALUE(INDEX('Settings'!$B$2:$B$100,MATCH("score_value_target",'Settings'!$A$2:$A$100,0)))*25)+IF($L365="",0,MAX(0,25-(TODAY()-$L365)/VALUE(INDEX('Settings'!$B$2:$B$100,MATCH("score_recency_days",'Settings'!$A$2:$A$100,0)))*25))+MIN(15,COUNTIFS('FollowUps'!$B$2:$B$500,$A365,'FollowUps'!$H$2:$H$500,"done")/VALUE(INDEX('Settings'!$B$2:$B$100,MATCH("score_response_target",'Settings'!$A$2:$A$100,0)))*15)+IF(COUNTIFS('Interactions'!$B$2:$B$500,$A365,'Interactions'!$E$2:$E$500,"complaint")=0,10,0),0))</x:f>
      </x:c>
      <x:c r="R365" s="108" t="str">
        <x:f>IF($A365="","",IF($J365="inactive","inactive",IF($J365="at_risk","at_risk",IF($Q365&gt;=85,"vip",IF($Q365&gt;=70,"loyal",IF($Q365&gt;=50,"active",IF($N365=0,"new","needs_attention")))))))</x:f>
      </x:c>
      <x:c r="S365" s="19"/>
      <x:c r="T365" s="18"/>
      <x:c r="U365" s="19"/>
      <x:c r="V365" s="20"/>
      <x:c r="W365" s="26"/>
      <x:c r="X365" s="19"/>
      <x:c r="Y365" s="26"/>
      <x:c r="Z365" s="19"/>
      <x:c r="AA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20"/>
      <x:c r="J366" s="19"/>
      <x:c r="K366" s="19"/>
      <x:c r="L366" s="92" t="str">
        <x:f>IF($A366="","",IF(COUNTIFS('Orders'!$C$2:$C$500,$A366,'Orders'!$M$2:$M$500,"&lt;&gt;cancelled")=0,"",MAXIFS('Orders'!$G$2:$G$500,'Orders'!$C$2:$C$500,$A366,'Orders'!$M$2:$M$500,"&lt;&gt;cancelled")))</x:f>
      </x:c>
      <x:c r="M366" s="96" t="str">
        <x:f>IF($A366="","",SUMIFS('Orders'!$K$2:$K$500,'Orders'!$C$2:$C$500,$A366,'Orders'!$M$2:$M$500,"&lt;&gt;cancelled"))</x:f>
      </x:c>
      <x:c r="N366" s="96" t="str">
        <x:f>IF($A366="","",COUNTIFS('Orders'!$C$2:$C$500,$A366,'Orders'!$M$2:$M$500,"&lt;&gt;cancelled"))</x:f>
      </x:c>
      <x:c r="O366" s="100" t="str">
        <x:f>IF($A366="","",IF(COUNTIF('Interactions'!$B$2:$B$500,$A366)=0,"",MAXIFS('Interactions'!$G$2:$G$500,'Interactions'!$B$2:$B$500,$A366)))</x:f>
      </x:c>
      <x:c r="P366" s="100" t="str">
        <x:f>IF($A366="","",IF(COUNTIFS('FollowUps'!$B$2:$B$500,$A366,'FollowUps'!$H$2:$H$500,"open")=0,"",MINIFS('FollowUps'!$E$2:$E$500,'FollowUps'!$B$2:$B$500,$A366,'FollowUps'!$H$2:$H$500,"open")))</x:f>
      </x:c>
      <x:c r="Q366" s="104" t="str">
        <x:f>IF($A366="","",ROUND(MIN(25,$N366/VALUE(INDEX('Settings'!$B$2:$B$100,MATCH("score_purchase_target",'Settings'!$A$2:$A$100,0)))*25)+MIN(25,$M366/VALUE(INDEX('Settings'!$B$2:$B$100,MATCH("score_value_target",'Settings'!$A$2:$A$100,0)))*25)+IF($L366="",0,MAX(0,25-(TODAY()-$L366)/VALUE(INDEX('Settings'!$B$2:$B$100,MATCH("score_recency_days",'Settings'!$A$2:$A$100,0)))*25))+MIN(15,COUNTIFS('FollowUps'!$B$2:$B$500,$A366,'FollowUps'!$H$2:$H$500,"done")/VALUE(INDEX('Settings'!$B$2:$B$100,MATCH("score_response_target",'Settings'!$A$2:$A$100,0)))*15)+IF(COUNTIFS('Interactions'!$B$2:$B$500,$A366,'Interactions'!$E$2:$E$500,"complaint")=0,10,0),0))</x:f>
      </x:c>
      <x:c r="R366" s="108" t="str">
        <x:f>IF($A366="","",IF($J366="inactive","inactive",IF($J366="at_risk","at_risk",IF($Q366&gt;=85,"vip",IF($Q366&gt;=70,"loyal",IF($Q366&gt;=50,"active",IF($N366=0,"new","needs_attention")))))))</x:f>
      </x:c>
      <x:c r="S366" s="19"/>
      <x:c r="T366" s="18"/>
      <x:c r="U366" s="19"/>
      <x:c r="V366" s="20"/>
      <x:c r="W366" s="26"/>
      <x:c r="X366" s="19"/>
      <x:c r="Y366" s="26"/>
      <x:c r="Z366" s="19"/>
      <x:c r="AA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20"/>
      <x:c r="J367" s="19"/>
      <x:c r="K367" s="19"/>
      <x:c r="L367" s="92" t="str">
        <x:f>IF($A367="","",IF(COUNTIFS('Orders'!$C$2:$C$500,$A367,'Orders'!$M$2:$M$500,"&lt;&gt;cancelled")=0,"",MAXIFS('Orders'!$G$2:$G$500,'Orders'!$C$2:$C$500,$A367,'Orders'!$M$2:$M$500,"&lt;&gt;cancelled")))</x:f>
      </x:c>
      <x:c r="M367" s="96" t="str">
        <x:f>IF($A367="","",SUMIFS('Orders'!$K$2:$K$500,'Orders'!$C$2:$C$500,$A367,'Orders'!$M$2:$M$500,"&lt;&gt;cancelled"))</x:f>
      </x:c>
      <x:c r="N367" s="96" t="str">
        <x:f>IF($A367="","",COUNTIFS('Orders'!$C$2:$C$500,$A367,'Orders'!$M$2:$M$500,"&lt;&gt;cancelled"))</x:f>
      </x:c>
      <x:c r="O367" s="100" t="str">
        <x:f>IF($A367="","",IF(COUNTIF('Interactions'!$B$2:$B$500,$A367)=0,"",MAXIFS('Interactions'!$G$2:$G$500,'Interactions'!$B$2:$B$500,$A367)))</x:f>
      </x:c>
      <x:c r="P367" s="100" t="str">
        <x:f>IF($A367="","",IF(COUNTIFS('FollowUps'!$B$2:$B$500,$A367,'FollowUps'!$H$2:$H$500,"open")=0,"",MINIFS('FollowUps'!$E$2:$E$500,'FollowUps'!$B$2:$B$500,$A367,'FollowUps'!$H$2:$H$500,"open")))</x:f>
      </x:c>
      <x:c r="Q367" s="104" t="str">
        <x:f>IF($A367="","",ROUND(MIN(25,$N367/VALUE(INDEX('Settings'!$B$2:$B$100,MATCH("score_purchase_target",'Settings'!$A$2:$A$100,0)))*25)+MIN(25,$M367/VALUE(INDEX('Settings'!$B$2:$B$100,MATCH("score_value_target",'Settings'!$A$2:$A$100,0)))*25)+IF($L367="",0,MAX(0,25-(TODAY()-$L367)/VALUE(INDEX('Settings'!$B$2:$B$100,MATCH("score_recency_days",'Settings'!$A$2:$A$100,0)))*25))+MIN(15,COUNTIFS('FollowUps'!$B$2:$B$500,$A367,'FollowUps'!$H$2:$H$500,"done")/VALUE(INDEX('Settings'!$B$2:$B$100,MATCH("score_response_target",'Settings'!$A$2:$A$100,0)))*15)+IF(COUNTIFS('Interactions'!$B$2:$B$500,$A367,'Interactions'!$E$2:$E$500,"complaint")=0,10,0),0))</x:f>
      </x:c>
      <x:c r="R367" s="108" t="str">
        <x:f>IF($A367="","",IF($J367="inactive","inactive",IF($J367="at_risk","at_risk",IF($Q367&gt;=85,"vip",IF($Q367&gt;=70,"loyal",IF($Q367&gt;=50,"active",IF($N367=0,"new","needs_attention")))))))</x:f>
      </x:c>
      <x:c r="S367" s="19"/>
      <x:c r="T367" s="18"/>
      <x:c r="U367" s="19"/>
      <x:c r="V367" s="20"/>
      <x:c r="W367" s="26"/>
      <x:c r="X367" s="19"/>
      <x:c r="Y367" s="26"/>
      <x:c r="Z367" s="19"/>
      <x:c r="AA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20"/>
      <x:c r="J368" s="19"/>
      <x:c r="K368" s="19"/>
      <x:c r="L368" s="92" t="str">
        <x:f>IF($A368="","",IF(COUNTIFS('Orders'!$C$2:$C$500,$A368,'Orders'!$M$2:$M$500,"&lt;&gt;cancelled")=0,"",MAXIFS('Orders'!$G$2:$G$500,'Orders'!$C$2:$C$500,$A368,'Orders'!$M$2:$M$500,"&lt;&gt;cancelled")))</x:f>
      </x:c>
      <x:c r="M368" s="96" t="str">
        <x:f>IF($A368="","",SUMIFS('Orders'!$K$2:$K$500,'Orders'!$C$2:$C$500,$A368,'Orders'!$M$2:$M$500,"&lt;&gt;cancelled"))</x:f>
      </x:c>
      <x:c r="N368" s="96" t="str">
        <x:f>IF($A368="","",COUNTIFS('Orders'!$C$2:$C$500,$A368,'Orders'!$M$2:$M$500,"&lt;&gt;cancelled"))</x:f>
      </x:c>
      <x:c r="O368" s="100" t="str">
        <x:f>IF($A368="","",IF(COUNTIF('Interactions'!$B$2:$B$500,$A368)=0,"",MAXIFS('Interactions'!$G$2:$G$500,'Interactions'!$B$2:$B$500,$A368)))</x:f>
      </x:c>
      <x:c r="P368" s="100" t="str">
        <x:f>IF($A368="","",IF(COUNTIFS('FollowUps'!$B$2:$B$500,$A368,'FollowUps'!$H$2:$H$500,"open")=0,"",MINIFS('FollowUps'!$E$2:$E$500,'FollowUps'!$B$2:$B$500,$A368,'FollowUps'!$H$2:$H$500,"open")))</x:f>
      </x:c>
      <x:c r="Q368" s="104" t="str">
        <x:f>IF($A368="","",ROUND(MIN(25,$N368/VALUE(INDEX('Settings'!$B$2:$B$100,MATCH("score_purchase_target",'Settings'!$A$2:$A$100,0)))*25)+MIN(25,$M368/VALUE(INDEX('Settings'!$B$2:$B$100,MATCH("score_value_target",'Settings'!$A$2:$A$100,0)))*25)+IF($L368="",0,MAX(0,25-(TODAY()-$L368)/VALUE(INDEX('Settings'!$B$2:$B$100,MATCH("score_recency_days",'Settings'!$A$2:$A$100,0)))*25))+MIN(15,COUNTIFS('FollowUps'!$B$2:$B$500,$A368,'FollowUps'!$H$2:$H$500,"done")/VALUE(INDEX('Settings'!$B$2:$B$100,MATCH("score_response_target",'Settings'!$A$2:$A$100,0)))*15)+IF(COUNTIFS('Interactions'!$B$2:$B$500,$A368,'Interactions'!$E$2:$E$500,"complaint")=0,10,0),0))</x:f>
      </x:c>
      <x:c r="R368" s="108" t="str">
        <x:f>IF($A368="","",IF($J368="inactive","inactive",IF($J368="at_risk","at_risk",IF($Q368&gt;=85,"vip",IF($Q368&gt;=70,"loyal",IF($Q368&gt;=50,"active",IF($N368=0,"new","needs_attention")))))))</x:f>
      </x:c>
      <x:c r="S368" s="19"/>
      <x:c r="T368" s="18"/>
      <x:c r="U368" s="19"/>
      <x:c r="V368" s="20"/>
      <x:c r="W368" s="26"/>
      <x:c r="X368" s="19"/>
      <x:c r="Y368" s="26"/>
      <x:c r="Z368" s="19"/>
      <x:c r="AA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20"/>
      <x:c r="J369" s="19"/>
      <x:c r="K369" s="19"/>
      <x:c r="L369" s="92" t="str">
        <x:f>IF($A369="","",IF(COUNTIFS('Orders'!$C$2:$C$500,$A369,'Orders'!$M$2:$M$500,"&lt;&gt;cancelled")=0,"",MAXIFS('Orders'!$G$2:$G$500,'Orders'!$C$2:$C$500,$A369,'Orders'!$M$2:$M$500,"&lt;&gt;cancelled")))</x:f>
      </x:c>
      <x:c r="M369" s="96" t="str">
        <x:f>IF($A369="","",SUMIFS('Orders'!$K$2:$K$500,'Orders'!$C$2:$C$500,$A369,'Orders'!$M$2:$M$500,"&lt;&gt;cancelled"))</x:f>
      </x:c>
      <x:c r="N369" s="96" t="str">
        <x:f>IF($A369="","",COUNTIFS('Orders'!$C$2:$C$500,$A369,'Orders'!$M$2:$M$500,"&lt;&gt;cancelled"))</x:f>
      </x:c>
      <x:c r="O369" s="100" t="str">
        <x:f>IF($A369="","",IF(COUNTIF('Interactions'!$B$2:$B$500,$A369)=0,"",MAXIFS('Interactions'!$G$2:$G$500,'Interactions'!$B$2:$B$500,$A369)))</x:f>
      </x:c>
      <x:c r="P369" s="100" t="str">
        <x:f>IF($A369="","",IF(COUNTIFS('FollowUps'!$B$2:$B$500,$A369,'FollowUps'!$H$2:$H$500,"open")=0,"",MINIFS('FollowUps'!$E$2:$E$500,'FollowUps'!$B$2:$B$500,$A369,'FollowUps'!$H$2:$H$500,"open")))</x:f>
      </x:c>
      <x:c r="Q369" s="104" t="str">
        <x:f>IF($A369="","",ROUND(MIN(25,$N369/VALUE(INDEX('Settings'!$B$2:$B$100,MATCH("score_purchase_target",'Settings'!$A$2:$A$100,0)))*25)+MIN(25,$M369/VALUE(INDEX('Settings'!$B$2:$B$100,MATCH("score_value_target",'Settings'!$A$2:$A$100,0)))*25)+IF($L369="",0,MAX(0,25-(TODAY()-$L369)/VALUE(INDEX('Settings'!$B$2:$B$100,MATCH("score_recency_days",'Settings'!$A$2:$A$100,0)))*25))+MIN(15,COUNTIFS('FollowUps'!$B$2:$B$500,$A369,'FollowUps'!$H$2:$H$500,"done")/VALUE(INDEX('Settings'!$B$2:$B$100,MATCH("score_response_target",'Settings'!$A$2:$A$100,0)))*15)+IF(COUNTIFS('Interactions'!$B$2:$B$500,$A369,'Interactions'!$E$2:$E$500,"complaint")=0,10,0),0))</x:f>
      </x:c>
      <x:c r="R369" s="108" t="str">
        <x:f>IF($A369="","",IF($J369="inactive","inactive",IF($J369="at_risk","at_risk",IF($Q369&gt;=85,"vip",IF($Q369&gt;=70,"loyal",IF($Q369&gt;=50,"active",IF($N369=0,"new","needs_attention")))))))</x:f>
      </x:c>
      <x:c r="S369" s="19"/>
      <x:c r="T369" s="18"/>
      <x:c r="U369" s="19"/>
      <x:c r="V369" s="20"/>
      <x:c r="W369" s="26"/>
      <x:c r="X369" s="19"/>
      <x:c r="Y369" s="26"/>
      <x:c r="Z369" s="19"/>
      <x:c r="AA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20"/>
      <x:c r="J370" s="19"/>
      <x:c r="K370" s="19"/>
      <x:c r="L370" s="92" t="str">
        <x:f>IF($A370="","",IF(COUNTIFS('Orders'!$C$2:$C$500,$A370,'Orders'!$M$2:$M$500,"&lt;&gt;cancelled")=0,"",MAXIFS('Orders'!$G$2:$G$500,'Orders'!$C$2:$C$500,$A370,'Orders'!$M$2:$M$500,"&lt;&gt;cancelled")))</x:f>
      </x:c>
      <x:c r="M370" s="96" t="str">
        <x:f>IF($A370="","",SUMIFS('Orders'!$K$2:$K$500,'Orders'!$C$2:$C$500,$A370,'Orders'!$M$2:$M$500,"&lt;&gt;cancelled"))</x:f>
      </x:c>
      <x:c r="N370" s="96" t="str">
        <x:f>IF($A370="","",COUNTIFS('Orders'!$C$2:$C$500,$A370,'Orders'!$M$2:$M$500,"&lt;&gt;cancelled"))</x:f>
      </x:c>
      <x:c r="O370" s="100" t="str">
        <x:f>IF($A370="","",IF(COUNTIF('Interactions'!$B$2:$B$500,$A370)=0,"",MAXIFS('Interactions'!$G$2:$G$500,'Interactions'!$B$2:$B$500,$A370)))</x:f>
      </x:c>
      <x:c r="P370" s="100" t="str">
        <x:f>IF($A370="","",IF(COUNTIFS('FollowUps'!$B$2:$B$500,$A370,'FollowUps'!$H$2:$H$500,"open")=0,"",MINIFS('FollowUps'!$E$2:$E$500,'FollowUps'!$B$2:$B$500,$A370,'FollowUps'!$H$2:$H$500,"open")))</x:f>
      </x:c>
      <x:c r="Q370" s="104" t="str">
        <x:f>IF($A370="","",ROUND(MIN(25,$N370/VALUE(INDEX('Settings'!$B$2:$B$100,MATCH("score_purchase_target",'Settings'!$A$2:$A$100,0)))*25)+MIN(25,$M370/VALUE(INDEX('Settings'!$B$2:$B$100,MATCH("score_value_target",'Settings'!$A$2:$A$100,0)))*25)+IF($L370="",0,MAX(0,25-(TODAY()-$L370)/VALUE(INDEX('Settings'!$B$2:$B$100,MATCH("score_recency_days",'Settings'!$A$2:$A$100,0)))*25))+MIN(15,COUNTIFS('FollowUps'!$B$2:$B$500,$A370,'FollowUps'!$H$2:$H$500,"done")/VALUE(INDEX('Settings'!$B$2:$B$100,MATCH("score_response_target",'Settings'!$A$2:$A$100,0)))*15)+IF(COUNTIFS('Interactions'!$B$2:$B$500,$A370,'Interactions'!$E$2:$E$500,"complaint")=0,10,0),0))</x:f>
      </x:c>
      <x:c r="R370" s="108" t="str">
        <x:f>IF($A370="","",IF($J370="inactive","inactive",IF($J370="at_risk","at_risk",IF($Q370&gt;=85,"vip",IF($Q370&gt;=70,"loyal",IF($Q370&gt;=50,"active",IF($N370=0,"new","needs_attention")))))))</x:f>
      </x:c>
      <x:c r="S370" s="19"/>
      <x:c r="T370" s="18"/>
      <x:c r="U370" s="19"/>
      <x:c r="V370" s="20"/>
      <x:c r="W370" s="26"/>
      <x:c r="X370" s="19"/>
      <x:c r="Y370" s="26"/>
      <x:c r="Z370" s="19"/>
      <x:c r="AA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20"/>
      <x:c r="J371" s="19"/>
      <x:c r="K371" s="19"/>
      <x:c r="L371" s="92" t="str">
        <x:f>IF($A371="","",IF(COUNTIFS('Orders'!$C$2:$C$500,$A371,'Orders'!$M$2:$M$500,"&lt;&gt;cancelled")=0,"",MAXIFS('Orders'!$G$2:$G$500,'Orders'!$C$2:$C$500,$A371,'Orders'!$M$2:$M$500,"&lt;&gt;cancelled")))</x:f>
      </x:c>
      <x:c r="M371" s="96" t="str">
        <x:f>IF($A371="","",SUMIFS('Orders'!$K$2:$K$500,'Orders'!$C$2:$C$500,$A371,'Orders'!$M$2:$M$500,"&lt;&gt;cancelled"))</x:f>
      </x:c>
      <x:c r="N371" s="96" t="str">
        <x:f>IF($A371="","",COUNTIFS('Orders'!$C$2:$C$500,$A371,'Orders'!$M$2:$M$500,"&lt;&gt;cancelled"))</x:f>
      </x:c>
      <x:c r="O371" s="100" t="str">
        <x:f>IF($A371="","",IF(COUNTIF('Interactions'!$B$2:$B$500,$A371)=0,"",MAXIFS('Interactions'!$G$2:$G$500,'Interactions'!$B$2:$B$500,$A371)))</x:f>
      </x:c>
      <x:c r="P371" s="100" t="str">
        <x:f>IF($A371="","",IF(COUNTIFS('FollowUps'!$B$2:$B$500,$A371,'FollowUps'!$H$2:$H$500,"open")=0,"",MINIFS('FollowUps'!$E$2:$E$500,'FollowUps'!$B$2:$B$500,$A371,'FollowUps'!$H$2:$H$500,"open")))</x:f>
      </x:c>
      <x:c r="Q371" s="104" t="str">
        <x:f>IF($A371="","",ROUND(MIN(25,$N371/VALUE(INDEX('Settings'!$B$2:$B$100,MATCH("score_purchase_target",'Settings'!$A$2:$A$100,0)))*25)+MIN(25,$M371/VALUE(INDEX('Settings'!$B$2:$B$100,MATCH("score_value_target",'Settings'!$A$2:$A$100,0)))*25)+IF($L371="",0,MAX(0,25-(TODAY()-$L371)/VALUE(INDEX('Settings'!$B$2:$B$100,MATCH("score_recency_days",'Settings'!$A$2:$A$100,0)))*25))+MIN(15,COUNTIFS('FollowUps'!$B$2:$B$500,$A371,'FollowUps'!$H$2:$H$500,"done")/VALUE(INDEX('Settings'!$B$2:$B$100,MATCH("score_response_target",'Settings'!$A$2:$A$100,0)))*15)+IF(COUNTIFS('Interactions'!$B$2:$B$500,$A371,'Interactions'!$E$2:$E$500,"complaint")=0,10,0),0))</x:f>
      </x:c>
      <x:c r="R371" s="108" t="str">
        <x:f>IF($A371="","",IF($J371="inactive","inactive",IF($J371="at_risk","at_risk",IF($Q371&gt;=85,"vip",IF($Q371&gt;=70,"loyal",IF($Q371&gt;=50,"active",IF($N371=0,"new","needs_attention")))))))</x:f>
      </x:c>
      <x:c r="S371" s="19"/>
      <x:c r="T371" s="18"/>
      <x:c r="U371" s="19"/>
      <x:c r="V371" s="20"/>
      <x:c r="W371" s="26"/>
      <x:c r="X371" s="19"/>
      <x:c r="Y371" s="26"/>
      <x:c r="Z371" s="19"/>
      <x:c r="AA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20"/>
      <x:c r="J372" s="19"/>
      <x:c r="K372" s="19"/>
      <x:c r="L372" s="92" t="str">
        <x:f>IF($A372="","",IF(COUNTIFS('Orders'!$C$2:$C$500,$A372,'Orders'!$M$2:$M$500,"&lt;&gt;cancelled")=0,"",MAXIFS('Orders'!$G$2:$G$500,'Orders'!$C$2:$C$500,$A372,'Orders'!$M$2:$M$500,"&lt;&gt;cancelled")))</x:f>
      </x:c>
      <x:c r="M372" s="96" t="str">
        <x:f>IF($A372="","",SUMIFS('Orders'!$K$2:$K$500,'Orders'!$C$2:$C$500,$A372,'Orders'!$M$2:$M$500,"&lt;&gt;cancelled"))</x:f>
      </x:c>
      <x:c r="N372" s="96" t="str">
        <x:f>IF($A372="","",COUNTIFS('Orders'!$C$2:$C$500,$A372,'Orders'!$M$2:$M$500,"&lt;&gt;cancelled"))</x:f>
      </x:c>
      <x:c r="O372" s="100" t="str">
        <x:f>IF($A372="","",IF(COUNTIF('Interactions'!$B$2:$B$500,$A372)=0,"",MAXIFS('Interactions'!$G$2:$G$500,'Interactions'!$B$2:$B$500,$A372)))</x:f>
      </x:c>
      <x:c r="P372" s="100" t="str">
        <x:f>IF($A372="","",IF(COUNTIFS('FollowUps'!$B$2:$B$500,$A372,'FollowUps'!$H$2:$H$500,"open")=0,"",MINIFS('FollowUps'!$E$2:$E$500,'FollowUps'!$B$2:$B$500,$A372,'FollowUps'!$H$2:$H$500,"open")))</x:f>
      </x:c>
      <x:c r="Q372" s="104" t="str">
        <x:f>IF($A372="","",ROUND(MIN(25,$N372/VALUE(INDEX('Settings'!$B$2:$B$100,MATCH("score_purchase_target",'Settings'!$A$2:$A$100,0)))*25)+MIN(25,$M372/VALUE(INDEX('Settings'!$B$2:$B$100,MATCH("score_value_target",'Settings'!$A$2:$A$100,0)))*25)+IF($L372="",0,MAX(0,25-(TODAY()-$L372)/VALUE(INDEX('Settings'!$B$2:$B$100,MATCH("score_recency_days",'Settings'!$A$2:$A$100,0)))*25))+MIN(15,COUNTIFS('FollowUps'!$B$2:$B$500,$A372,'FollowUps'!$H$2:$H$500,"done")/VALUE(INDEX('Settings'!$B$2:$B$100,MATCH("score_response_target",'Settings'!$A$2:$A$100,0)))*15)+IF(COUNTIFS('Interactions'!$B$2:$B$500,$A372,'Interactions'!$E$2:$E$500,"complaint")=0,10,0),0))</x:f>
      </x:c>
      <x:c r="R372" s="108" t="str">
        <x:f>IF($A372="","",IF($J372="inactive","inactive",IF($J372="at_risk","at_risk",IF($Q372&gt;=85,"vip",IF($Q372&gt;=70,"loyal",IF($Q372&gt;=50,"active",IF($N372=0,"new","needs_attention")))))))</x:f>
      </x:c>
      <x:c r="S372" s="19"/>
      <x:c r="T372" s="18"/>
      <x:c r="U372" s="19"/>
      <x:c r="V372" s="20"/>
      <x:c r="W372" s="26"/>
      <x:c r="X372" s="19"/>
      <x:c r="Y372" s="26"/>
      <x:c r="Z372" s="19"/>
      <x:c r="AA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20"/>
      <x:c r="J373" s="19"/>
      <x:c r="K373" s="19"/>
      <x:c r="L373" s="92" t="str">
        <x:f>IF($A373="","",IF(COUNTIFS('Orders'!$C$2:$C$500,$A373,'Orders'!$M$2:$M$500,"&lt;&gt;cancelled")=0,"",MAXIFS('Orders'!$G$2:$G$500,'Orders'!$C$2:$C$500,$A373,'Orders'!$M$2:$M$500,"&lt;&gt;cancelled")))</x:f>
      </x:c>
      <x:c r="M373" s="96" t="str">
        <x:f>IF($A373="","",SUMIFS('Orders'!$K$2:$K$500,'Orders'!$C$2:$C$500,$A373,'Orders'!$M$2:$M$500,"&lt;&gt;cancelled"))</x:f>
      </x:c>
      <x:c r="N373" s="96" t="str">
        <x:f>IF($A373="","",COUNTIFS('Orders'!$C$2:$C$500,$A373,'Orders'!$M$2:$M$500,"&lt;&gt;cancelled"))</x:f>
      </x:c>
      <x:c r="O373" s="100" t="str">
        <x:f>IF($A373="","",IF(COUNTIF('Interactions'!$B$2:$B$500,$A373)=0,"",MAXIFS('Interactions'!$G$2:$G$500,'Interactions'!$B$2:$B$500,$A373)))</x:f>
      </x:c>
      <x:c r="P373" s="100" t="str">
        <x:f>IF($A373="","",IF(COUNTIFS('FollowUps'!$B$2:$B$500,$A373,'FollowUps'!$H$2:$H$500,"open")=0,"",MINIFS('FollowUps'!$E$2:$E$500,'FollowUps'!$B$2:$B$500,$A373,'FollowUps'!$H$2:$H$500,"open")))</x:f>
      </x:c>
      <x:c r="Q373" s="104" t="str">
        <x:f>IF($A373="","",ROUND(MIN(25,$N373/VALUE(INDEX('Settings'!$B$2:$B$100,MATCH("score_purchase_target",'Settings'!$A$2:$A$100,0)))*25)+MIN(25,$M373/VALUE(INDEX('Settings'!$B$2:$B$100,MATCH("score_value_target",'Settings'!$A$2:$A$100,0)))*25)+IF($L373="",0,MAX(0,25-(TODAY()-$L373)/VALUE(INDEX('Settings'!$B$2:$B$100,MATCH("score_recency_days",'Settings'!$A$2:$A$100,0)))*25))+MIN(15,COUNTIFS('FollowUps'!$B$2:$B$500,$A373,'FollowUps'!$H$2:$H$500,"done")/VALUE(INDEX('Settings'!$B$2:$B$100,MATCH("score_response_target",'Settings'!$A$2:$A$100,0)))*15)+IF(COUNTIFS('Interactions'!$B$2:$B$500,$A373,'Interactions'!$E$2:$E$500,"complaint")=0,10,0),0))</x:f>
      </x:c>
      <x:c r="R373" s="108" t="str">
        <x:f>IF($A373="","",IF($J373="inactive","inactive",IF($J373="at_risk","at_risk",IF($Q373&gt;=85,"vip",IF($Q373&gt;=70,"loyal",IF($Q373&gt;=50,"active",IF($N373=0,"new","needs_attention")))))))</x:f>
      </x:c>
      <x:c r="S373" s="19"/>
      <x:c r="T373" s="18"/>
      <x:c r="U373" s="19"/>
      <x:c r="V373" s="20"/>
      <x:c r="W373" s="26"/>
      <x:c r="X373" s="19"/>
      <x:c r="Y373" s="26"/>
      <x:c r="Z373" s="19"/>
      <x:c r="AA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20"/>
      <x:c r="J374" s="19"/>
      <x:c r="K374" s="19"/>
      <x:c r="L374" s="92" t="str">
        <x:f>IF($A374="","",IF(COUNTIFS('Orders'!$C$2:$C$500,$A374,'Orders'!$M$2:$M$500,"&lt;&gt;cancelled")=0,"",MAXIFS('Orders'!$G$2:$G$500,'Orders'!$C$2:$C$500,$A374,'Orders'!$M$2:$M$500,"&lt;&gt;cancelled")))</x:f>
      </x:c>
      <x:c r="M374" s="96" t="str">
        <x:f>IF($A374="","",SUMIFS('Orders'!$K$2:$K$500,'Orders'!$C$2:$C$500,$A374,'Orders'!$M$2:$M$500,"&lt;&gt;cancelled"))</x:f>
      </x:c>
      <x:c r="N374" s="96" t="str">
        <x:f>IF($A374="","",COUNTIFS('Orders'!$C$2:$C$500,$A374,'Orders'!$M$2:$M$500,"&lt;&gt;cancelled"))</x:f>
      </x:c>
      <x:c r="O374" s="100" t="str">
        <x:f>IF($A374="","",IF(COUNTIF('Interactions'!$B$2:$B$500,$A374)=0,"",MAXIFS('Interactions'!$G$2:$G$500,'Interactions'!$B$2:$B$500,$A374)))</x:f>
      </x:c>
      <x:c r="P374" s="100" t="str">
        <x:f>IF($A374="","",IF(COUNTIFS('FollowUps'!$B$2:$B$500,$A374,'FollowUps'!$H$2:$H$500,"open")=0,"",MINIFS('FollowUps'!$E$2:$E$500,'FollowUps'!$B$2:$B$500,$A374,'FollowUps'!$H$2:$H$500,"open")))</x:f>
      </x:c>
      <x:c r="Q374" s="104" t="str">
        <x:f>IF($A374="","",ROUND(MIN(25,$N374/VALUE(INDEX('Settings'!$B$2:$B$100,MATCH("score_purchase_target",'Settings'!$A$2:$A$100,0)))*25)+MIN(25,$M374/VALUE(INDEX('Settings'!$B$2:$B$100,MATCH("score_value_target",'Settings'!$A$2:$A$100,0)))*25)+IF($L374="",0,MAX(0,25-(TODAY()-$L374)/VALUE(INDEX('Settings'!$B$2:$B$100,MATCH("score_recency_days",'Settings'!$A$2:$A$100,0)))*25))+MIN(15,COUNTIFS('FollowUps'!$B$2:$B$500,$A374,'FollowUps'!$H$2:$H$500,"done")/VALUE(INDEX('Settings'!$B$2:$B$100,MATCH("score_response_target",'Settings'!$A$2:$A$100,0)))*15)+IF(COUNTIFS('Interactions'!$B$2:$B$500,$A374,'Interactions'!$E$2:$E$500,"complaint")=0,10,0),0))</x:f>
      </x:c>
      <x:c r="R374" s="108" t="str">
        <x:f>IF($A374="","",IF($J374="inactive","inactive",IF($J374="at_risk","at_risk",IF($Q374&gt;=85,"vip",IF($Q374&gt;=70,"loyal",IF($Q374&gt;=50,"active",IF($N374=0,"new","needs_attention")))))))</x:f>
      </x:c>
      <x:c r="S374" s="19"/>
      <x:c r="T374" s="18"/>
      <x:c r="U374" s="19"/>
      <x:c r="V374" s="20"/>
      <x:c r="W374" s="26"/>
      <x:c r="X374" s="19"/>
      <x:c r="Y374" s="26"/>
      <x:c r="Z374" s="19"/>
      <x:c r="AA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20"/>
      <x:c r="J375" s="19"/>
      <x:c r="K375" s="19"/>
      <x:c r="L375" s="92" t="str">
        <x:f>IF($A375="","",IF(COUNTIFS('Orders'!$C$2:$C$500,$A375,'Orders'!$M$2:$M$500,"&lt;&gt;cancelled")=0,"",MAXIFS('Orders'!$G$2:$G$500,'Orders'!$C$2:$C$500,$A375,'Orders'!$M$2:$M$500,"&lt;&gt;cancelled")))</x:f>
      </x:c>
      <x:c r="M375" s="96" t="str">
        <x:f>IF($A375="","",SUMIFS('Orders'!$K$2:$K$500,'Orders'!$C$2:$C$500,$A375,'Orders'!$M$2:$M$500,"&lt;&gt;cancelled"))</x:f>
      </x:c>
      <x:c r="N375" s="96" t="str">
        <x:f>IF($A375="","",COUNTIFS('Orders'!$C$2:$C$500,$A375,'Orders'!$M$2:$M$500,"&lt;&gt;cancelled"))</x:f>
      </x:c>
      <x:c r="O375" s="100" t="str">
        <x:f>IF($A375="","",IF(COUNTIF('Interactions'!$B$2:$B$500,$A375)=0,"",MAXIFS('Interactions'!$G$2:$G$500,'Interactions'!$B$2:$B$500,$A375)))</x:f>
      </x:c>
      <x:c r="P375" s="100" t="str">
        <x:f>IF($A375="","",IF(COUNTIFS('FollowUps'!$B$2:$B$500,$A375,'FollowUps'!$H$2:$H$500,"open")=0,"",MINIFS('FollowUps'!$E$2:$E$500,'FollowUps'!$B$2:$B$500,$A375,'FollowUps'!$H$2:$H$500,"open")))</x:f>
      </x:c>
      <x:c r="Q375" s="104" t="str">
        <x:f>IF($A375="","",ROUND(MIN(25,$N375/VALUE(INDEX('Settings'!$B$2:$B$100,MATCH("score_purchase_target",'Settings'!$A$2:$A$100,0)))*25)+MIN(25,$M375/VALUE(INDEX('Settings'!$B$2:$B$100,MATCH("score_value_target",'Settings'!$A$2:$A$100,0)))*25)+IF($L375="",0,MAX(0,25-(TODAY()-$L375)/VALUE(INDEX('Settings'!$B$2:$B$100,MATCH("score_recency_days",'Settings'!$A$2:$A$100,0)))*25))+MIN(15,COUNTIFS('FollowUps'!$B$2:$B$500,$A375,'FollowUps'!$H$2:$H$500,"done")/VALUE(INDEX('Settings'!$B$2:$B$100,MATCH("score_response_target",'Settings'!$A$2:$A$100,0)))*15)+IF(COUNTIFS('Interactions'!$B$2:$B$500,$A375,'Interactions'!$E$2:$E$500,"complaint")=0,10,0),0))</x:f>
      </x:c>
      <x:c r="R375" s="108" t="str">
        <x:f>IF($A375="","",IF($J375="inactive","inactive",IF($J375="at_risk","at_risk",IF($Q375&gt;=85,"vip",IF($Q375&gt;=70,"loyal",IF($Q375&gt;=50,"active",IF($N375=0,"new","needs_attention")))))))</x:f>
      </x:c>
      <x:c r="S375" s="19"/>
      <x:c r="T375" s="18"/>
      <x:c r="U375" s="19"/>
      <x:c r="V375" s="20"/>
      <x:c r="W375" s="26"/>
      <x:c r="X375" s="19"/>
      <x:c r="Y375" s="26"/>
      <x:c r="Z375" s="19"/>
      <x:c r="AA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20"/>
      <x:c r="J376" s="19"/>
      <x:c r="K376" s="19"/>
      <x:c r="L376" s="92" t="str">
        <x:f>IF($A376="","",IF(COUNTIFS('Orders'!$C$2:$C$500,$A376,'Orders'!$M$2:$M$500,"&lt;&gt;cancelled")=0,"",MAXIFS('Orders'!$G$2:$G$500,'Orders'!$C$2:$C$500,$A376,'Orders'!$M$2:$M$500,"&lt;&gt;cancelled")))</x:f>
      </x:c>
      <x:c r="M376" s="96" t="str">
        <x:f>IF($A376="","",SUMIFS('Orders'!$K$2:$K$500,'Orders'!$C$2:$C$500,$A376,'Orders'!$M$2:$M$500,"&lt;&gt;cancelled"))</x:f>
      </x:c>
      <x:c r="N376" s="96" t="str">
        <x:f>IF($A376="","",COUNTIFS('Orders'!$C$2:$C$500,$A376,'Orders'!$M$2:$M$500,"&lt;&gt;cancelled"))</x:f>
      </x:c>
      <x:c r="O376" s="100" t="str">
        <x:f>IF($A376="","",IF(COUNTIF('Interactions'!$B$2:$B$500,$A376)=0,"",MAXIFS('Interactions'!$G$2:$G$500,'Interactions'!$B$2:$B$500,$A376)))</x:f>
      </x:c>
      <x:c r="P376" s="100" t="str">
        <x:f>IF($A376="","",IF(COUNTIFS('FollowUps'!$B$2:$B$500,$A376,'FollowUps'!$H$2:$H$500,"open")=0,"",MINIFS('FollowUps'!$E$2:$E$500,'FollowUps'!$B$2:$B$500,$A376,'FollowUps'!$H$2:$H$500,"open")))</x:f>
      </x:c>
      <x:c r="Q376" s="104" t="str">
        <x:f>IF($A376="","",ROUND(MIN(25,$N376/VALUE(INDEX('Settings'!$B$2:$B$100,MATCH("score_purchase_target",'Settings'!$A$2:$A$100,0)))*25)+MIN(25,$M376/VALUE(INDEX('Settings'!$B$2:$B$100,MATCH("score_value_target",'Settings'!$A$2:$A$100,0)))*25)+IF($L376="",0,MAX(0,25-(TODAY()-$L376)/VALUE(INDEX('Settings'!$B$2:$B$100,MATCH("score_recency_days",'Settings'!$A$2:$A$100,0)))*25))+MIN(15,COUNTIFS('FollowUps'!$B$2:$B$500,$A376,'FollowUps'!$H$2:$H$500,"done")/VALUE(INDEX('Settings'!$B$2:$B$100,MATCH("score_response_target",'Settings'!$A$2:$A$100,0)))*15)+IF(COUNTIFS('Interactions'!$B$2:$B$500,$A376,'Interactions'!$E$2:$E$500,"complaint")=0,10,0),0))</x:f>
      </x:c>
      <x:c r="R376" s="108" t="str">
        <x:f>IF($A376="","",IF($J376="inactive","inactive",IF($J376="at_risk","at_risk",IF($Q376&gt;=85,"vip",IF($Q376&gt;=70,"loyal",IF($Q376&gt;=50,"active",IF($N376=0,"new","needs_attention")))))))</x:f>
      </x:c>
      <x:c r="S376" s="19"/>
      <x:c r="T376" s="18"/>
      <x:c r="U376" s="19"/>
      <x:c r="V376" s="20"/>
      <x:c r="W376" s="26"/>
      <x:c r="X376" s="19"/>
      <x:c r="Y376" s="26"/>
      <x:c r="Z376" s="19"/>
      <x:c r="AA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20"/>
      <x:c r="J377" s="19"/>
      <x:c r="K377" s="19"/>
      <x:c r="L377" s="92" t="str">
        <x:f>IF($A377="","",IF(COUNTIFS('Orders'!$C$2:$C$500,$A377,'Orders'!$M$2:$M$500,"&lt;&gt;cancelled")=0,"",MAXIFS('Orders'!$G$2:$G$500,'Orders'!$C$2:$C$500,$A377,'Orders'!$M$2:$M$500,"&lt;&gt;cancelled")))</x:f>
      </x:c>
      <x:c r="M377" s="96" t="str">
        <x:f>IF($A377="","",SUMIFS('Orders'!$K$2:$K$500,'Orders'!$C$2:$C$500,$A377,'Orders'!$M$2:$M$500,"&lt;&gt;cancelled"))</x:f>
      </x:c>
      <x:c r="N377" s="96" t="str">
        <x:f>IF($A377="","",COUNTIFS('Orders'!$C$2:$C$500,$A377,'Orders'!$M$2:$M$500,"&lt;&gt;cancelled"))</x:f>
      </x:c>
      <x:c r="O377" s="100" t="str">
        <x:f>IF($A377="","",IF(COUNTIF('Interactions'!$B$2:$B$500,$A377)=0,"",MAXIFS('Interactions'!$G$2:$G$500,'Interactions'!$B$2:$B$500,$A377)))</x:f>
      </x:c>
      <x:c r="P377" s="100" t="str">
        <x:f>IF($A377="","",IF(COUNTIFS('FollowUps'!$B$2:$B$500,$A377,'FollowUps'!$H$2:$H$500,"open")=0,"",MINIFS('FollowUps'!$E$2:$E$500,'FollowUps'!$B$2:$B$500,$A377,'FollowUps'!$H$2:$H$500,"open")))</x:f>
      </x:c>
      <x:c r="Q377" s="104" t="str">
        <x:f>IF($A377="","",ROUND(MIN(25,$N377/VALUE(INDEX('Settings'!$B$2:$B$100,MATCH("score_purchase_target",'Settings'!$A$2:$A$100,0)))*25)+MIN(25,$M377/VALUE(INDEX('Settings'!$B$2:$B$100,MATCH("score_value_target",'Settings'!$A$2:$A$100,0)))*25)+IF($L377="",0,MAX(0,25-(TODAY()-$L377)/VALUE(INDEX('Settings'!$B$2:$B$100,MATCH("score_recency_days",'Settings'!$A$2:$A$100,0)))*25))+MIN(15,COUNTIFS('FollowUps'!$B$2:$B$500,$A377,'FollowUps'!$H$2:$H$500,"done")/VALUE(INDEX('Settings'!$B$2:$B$100,MATCH("score_response_target",'Settings'!$A$2:$A$100,0)))*15)+IF(COUNTIFS('Interactions'!$B$2:$B$500,$A377,'Interactions'!$E$2:$E$500,"complaint")=0,10,0),0))</x:f>
      </x:c>
      <x:c r="R377" s="108" t="str">
        <x:f>IF($A377="","",IF($J377="inactive","inactive",IF($J377="at_risk","at_risk",IF($Q377&gt;=85,"vip",IF($Q377&gt;=70,"loyal",IF($Q377&gt;=50,"active",IF($N377=0,"new","needs_attention")))))))</x:f>
      </x:c>
      <x:c r="S377" s="19"/>
      <x:c r="T377" s="18"/>
      <x:c r="U377" s="19"/>
      <x:c r="V377" s="20"/>
      <x:c r="W377" s="26"/>
      <x:c r="X377" s="19"/>
      <x:c r="Y377" s="26"/>
      <x:c r="Z377" s="19"/>
      <x:c r="AA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20"/>
      <x:c r="J378" s="19"/>
      <x:c r="K378" s="19"/>
      <x:c r="L378" s="92" t="str">
        <x:f>IF($A378="","",IF(COUNTIFS('Orders'!$C$2:$C$500,$A378,'Orders'!$M$2:$M$500,"&lt;&gt;cancelled")=0,"",MAXIFS('Orders'!$G$2:$G$500,'Orders'!$C$2:$C$500,$A378,'Orders'!$M$2:$M$500,"&lt;&gt;cancelled")))</x:f>
      </x:c>
      <x:c r="M378" s="96" t="str">
        <x:f>IF($A378="","",SUMIFS('Orders'!$K$2:$K$500,'Orders'!$C$2:$C$500,$A378,'Orders'!$M$2:$M$500,"&lt;&gt;cancelled"))</x:f>
      </x:c>
      <x:c r="N378" s="96" t="str">
        <x:f>IF($A378="","",COUNTIFS('Orders'!$C$2:$C$500,$A378,'Orders'!$M$2:$M$500,"&lt;&gt;cancelled"))</x:f>
      </x:c>
      <x:c r="O378" s="100" t="str">
        <x:f>IF($A378="","",IF(COUNTIF('Interactions'!$B$2:$B$500,$A378)=0,"",MAXIFS('Interactions'!$G$2:$G$500,'Interactions'!$B$2:$B$500,$A378)))</x:f>
      </x:c>
      <x:c r="P378" s="100" t="str">
        <x:f>IF($A378="","",IF(COUNTIFS('FollowUps'!$B$2:$B$500,$A378,'FollowUps'!$H$2:$H$500,"open")=0,"",MINIFS('FollowUps'!$E$2:$E$500,'FollowUps'!$B$2:$B$500,$A378,'FollowUps'!$H$2:$H$500,"open")))</x:f>
      </x:c>
      <x:c r="Q378" s="104" t="str">
        <x:f>IF($A378="","",ROUND(MIN(25,$N378/VALUE(INDEX('Settings'!$B$2:$B$100,MATCH("score_purchase_target",'Settings'!$A$2:$A$100,0)))*25)+MIN(25,$M378/VALUE(INDEX('Settings'!$B$2:$B$100,MATCH("score_value_target",'Settings'!$A$2:$A$100,0)))*25)+IF($L378="",0,MAX(0,25-(TODAY()-$L378)/VALUE(INDEX('Settings'!$B$2:$B$100,MATCH("score_recency_days",'Settings'!$A$2:$A$100,0)))*25))+MIN(15,COUNTIFS('FollowUps'!$B$2:$B$500,$A378,'FollowUps'!$H$2:$H$500,"done")/VALUE(INDEX('Settings'!$B$2:$B$100,MATCH("score_response_target",'Settings'!$A$2:$A$100,0)))*15)+IF(COUNTIFS('Interactions'!$B$2:$B$500,$A378,'Interactions'!$E$2:$E$500,"complaint")=0,10,0),0))</x:f>
      </x:c>
      <x:c r="R378" s="108" t="str">
        <x:f>IF($A378="","",IF($J378="inactive","inactive",IF($J378="at_risk","at_risk",IF($Q378&gt;=85,"vip",IF($Q378&gt;=70,"loyal",IF($Q378&gt;=50,"active",IF($N378=0,"new","needs_attention")))))))</x:f>
      </x:c>
      <x:c r="S378" s="19"/>
      <x:c r="T378" s="18"/>
      <x:c r="U378" s="19"/>
      <x:c r="V378" s="20"/>
      <x:c r="W378" s="26"/>
      <x:c r="X378" s="19"/>
      <x:c r="Y378" s="26"/>
      <x:c r="Z378" s="19"/>
      <x:c r="AA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20"/>
      <x:c r="J379" s="19"/>
      <x:c r="K379" s="19"/>
      <x:c r="L379" s="92" t="str">
        <x:f>IF($A379="","",IF(COUNTIFS('Orders'!$C$2:$C$500,$A379,'Orders'!$M$2:$M$500,"&lt;&gt;cancelled")=0,"",MAXIFS('Orders'!$G$2:$G$500,'Orders'!$C$2:$C$500,$A379,'Orders'!$M$2:$M$500,"&lt;&gt;cancelled")))</x:f>
      </x:c>
      <x:c r="M379" s="96" t="str">
        <x:f>IF($A379="","",SUMIFS('Orders'!$K$2:$K$500,'Orders'!$C$2:$C$500,$A379,'Orders'!$M$2:$M$500,"&lt;&gt;cancelled"))</x:f>
      </x:c>
      <x:c r="N379" s="96" t="str">
        <x:f>IF($A379="","",COUNTIFS('Orders'!$C$2:$C$500,$A379,'Orders'!$M$2:$M$500,"&lt;&gt;cancelled"))</x:f>
      </x:c>
      <x:c r="O379" s="100" t="str">
        <x:f>IF($A379="","",IF(COUNTIF('Interactions'!$B$2:$B$500,$A379)=0,"",MAXIFS('Interactions'!$G$2:$G$500,'Interactions'!$B$2:$B$500,$A379)))</x:f>
      </x:c>
      <x:c r="P379" s="100" t="str">
        <x:f>IF($A379="","",IF(COUNTIFS('FollowUps'!$B$2:$B$500,$A379,'FollowUps'!$H$2:$H$500,"open")=0,"",MINIFS('FollowUps'!$E$2:$E$500,'FollowUps'!$B$2:$B$500,$A379,'FollowUps'!$H$2:$H$500,"open")))</x:f>
      </x:c>
      <x:c r="Q379" s="104" t="str">
        <x:f>IF($A379="","",ROUND(MIN(25,$N379/VALUE(INDEX('Settings'!$B$2:$B$100,MATCH("score_purchase_target",'Settings'!$A$2:$A$100,0)))*25)+MIN(25,$M379/VALUE(INDEX('Settings'!$B$2:$B$100,MATCH("score_value_target",'Settings'!$A$2:$A$100,0)))*25)+IF($L379="",0,MAX(0,25-(TODAY()-$L379)/VALUE(INDEX('Settings'!$B$2:$B$100,MATCH("score_recency_days",'Settings'!$A$2:$A$100,0)))*25))+MIN(15,COUNTIFS('FollowUps'!$B$2:$B$500,$A379,'FollowUps'!$H$2:$H$500,"done")/VALUE(INDEX('Settings'!$B$2:$B$100,MATCH("score_response_target",'Settings'!$A$2:$A$100,0)))*15)+IF(COUNTIFS('Interactions'!$B$2:$B$500,$A379,'Interactions'!$E$2:$E$500,"complaint")=0,10,0),0))</x:f>
      </x:c>
      <x:c r="R379" s="108" t="str">
        <x:f>IF($A379="","",IF($J379="inactive","inactive",IF($J379="at_risk","at_risk",IF($Q379&gt;=85,"vip",IF($Q379&gt;=70,"loyal",IF($Q379&gt;=50,"active",IF($N379=0,"new","needs_attention")))))))</x:f>
      </x:c>
      <x:c r="S379" s="19"/>
      <x:c r="T379" s="18"/>
      <x:c r="U379" s="19"/>
      <x:c r="V379" s="20"/>
      <x:c r="W379" s="26"/>
      <x:c r="X379" s="19"/>
      <x:c r="Y379" s="26"/>
      <x:c r="Z379" s="19"/>
      <x:c r="AA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20"/>
      <x:c r="J380" s="19"/>
      <x:c r="K380" s="19"/>
      <x:c r="L380" s="92" t="str">
        <x:f>IF($A380="","",IF(COUNTIFS('Orders'!$C$2:$C$500,$A380,'Orders'!$M$2:$M$500,"&lt;&gt;cancelled")=0,"",MAXIFS('Orders'!$G$2:$G$500,'Orders'!$C$2:$C$500,$A380,'Orders'!$M$2:$M$500,"&lt;&gt;cancelled")))</x:f>
      </x:c>
      <x:c r="M380" s="96" t="str">
        <x:f>IF($A380="","",SUMIFS('Orders'!$K$2:$K$500,'Orders'!$C$2:$C$500,$A380,'Orders'!$M$2:$M$500,"&lt;&gt;cancelled"))</x:f>
      </x:c>
      <x:c r="N380" s="96" t="str">
        <x:f>IF($A380="","",COUNTIFS('Orders'!$C$2:$C$500,$A380,'Orders'!$M$2:$M$500,"&lt;&gt;cancelled"))</x:f>
      </x:c>
      <x:c r="O380" s="100" t="str">
        <x:f>IF($A380="","",IF(COUNTIF('Interactions'!$B$2:$B$500,$A380)=0,"",MAXIFS('Interactions'!$G$2:$G$500,'Interactions'!$B$2:$B$500,$A380)))</x:f>
      </x:c>
      <x:c r="P380" s="100" t="str">
        <x:f>IF($A380="","",IF(COUNTIFS('FollowUps'!$B$2:$B$500,$A380,'FollowUps'!$H$2:$H$500,"open")=0,"",MINIFS('FollowUps'!$E$2:$E$500,'FollowUps'!$B$2:$B$500,$A380,'FollowUps'!$H$2:$H$500,"open")))</x:f>
      </x:c>
      <x:c r="Q380" s="104" t="str">
        <x:f>IF($A380="","",ROUND(MIN(25,$N380/VALUE(INDEX('Settings'!$B$2:$B$100,MATCH("score_purchase_target",'Settings'!$A$2:$A$100,0)))*25)+MIN(25,$M380/VALUE(INDEX('Settings'!$B$2:$B$100,MATCH("score_value_target",'Settings'!$A$2:$A$100,0)))*25)+IF($L380="",0,MAX(0,25-(TODAY()-$L380)/VALUE(INDEX('Settings'!$B$2:$B$100,MATCH("score_recency_days",'Settings'!$A$2:$A$100,0)))*25))+MIN(15,COUNTIFS('FollowUps'!$B$2:$B$500,$A380,'FollowUps'!$H$2:$H$500,"done")/VALUE(INDEX('Settings'!$B$2:$B$100,MATCH("score_response_target",'Settings'!$A$2:$A$100,0)))*15)+IF(COUNTIFS('Interactions'!$B$2:$B$500,$A380,'Interactions'!$E$2:$E$500,"complaint")=0,10,0),0))</x:f>
      </x:c>
      <x:c r="R380" s="108" t="str">
        <x:f>IF($A380="","",IF($J380="inactive","inactive",IF($J380="at_risk","at_risk",IF($Q380&gt;=85,"vip",IF($Q380&gt;=70,"loyal",IF($Q380&gt;=50,"active",IF($N380=0,"new","needs_attention")))))))</x:f>
      </x:c>
      <x:c r="S380" s="19"/>
      <x:c r="T380" s="18"/>
      <x:c r="U380" s="19"/>
      <x:c r="V380" s="20"/>
      <x:c r="W380" s="26"/>
      <x:c r="X380" s="19"/>
      <x:c r="Y380" s="26"/>
      <x:c r="Z380" s="19"/>
      <x:c r="AA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20"/>
      <x:c r="J381" s="19"/>
      <x:c r="K381" s="19"/>
      <x:c r="L381" s="92" t="str">
        <x:f>IF($A381="","",IF(COUNTIFS('Orders'!$C$2:$C$500,$A381,'Orders'!$M$2:$M$500,"&lt;&gt;cancelled")=0,"",MAXIFS('Orders'!$G$2:$G$500,'Orders'!$C$2:$C$500,$A381,'Orders'!$M$2:$M$500,"&lt;&gt;cancelled")))</x:f>
      </x:c>
      <x:c r="M381" s="96" t="str">
        <x:f>IF($A381="","",SUMIFS('Orders'!$K$2:$K$500,'Orders'!$C$2:$C$500,$A381,'Orders'!$M$2:$M$500,"&lt;&gt;cancelled"))</x:f>
      </x:c>
      <x:c r="N381" s="96" t="str">
        <x:f>IF($A381="","",COUNTIFS('Orders'!$C$2:$C$500,$A381,'Orders'!$M$2:$M$500,"&lt;&gt;cancelled"))</x:f>
      </x:c>
      <x:c r="O381" s="100" t="str">
        <x:f>IF($A381="","",IF(COUNTIF('Interactions'!$B$2:$B$500,$A381)=0,"",MAXIFS('Interactions'!$G$2:$G$500,'Interactions'!$B$2:$B$500,$A381)))</x:f>
      </x:c>
      <x:c r="P381" s="100" t="str">
        <x:f>IF($A381="","",IF(COUNTIFS('FollowUps'!$B$2:$B$500,$A381,'FollowUps'!$H$2:$H$500,"open")=0,"",MINIFS('FollowUps'!$E$2:$E$500,'FollowUps'!$B$2:$B$500,$A381,'FollowUps'!$H$2:$H$500,"open")))</x:f>
      </x:c>
      <x:c r="Q381" s="104" t="str">
        <x:f>IF($A381="","",ROUND(MIN(25,$N381/VALUE(INDEX('Settings'!$B$2:$B$100,MATCH("score_purchase_target",'Settings'!$A$2:$A$100,0)))*25)+MIN(25,$M381/VALUE(INDEX('Settings'!$B$2:$B$100,MATCH("score_value_target",'Settings'!$A$2:$A$100,0)))*25)+IF($L381="",0,MAX(0,25-(TODAY()-$L381)/VALUE(INDEX('Settings'!$B$2:$B$100,MATCH("score_recency_days",'Settings'!$A$2:$A$100,0)))*25))+MIN(15,COUNTIFS('FollowUps'!$B$2:$B$500,$A381,'FollowUps'!$H$2:$H$500,"done")/VALUE(INDEX('Settings'!$B$2:$B$100,MATCH("score_response_target",'Settings'!$A$2:$A$100,0)))*15)+IF(COUNTIFS('Interactions'!$B$2:$B$500,$A381,'Interactions'!$E$2:$E$500,"complaint")=0,10,0),0))</x:f>
      </x:c>
      <x:c r="R381" s="108" t="str">
        <x:f>IF($A381="","",IF($J381="inactive","inactive",IF($J381="at_risk","at_risk",IF($Q381&gt;=85,"vip",IF($Q381&gt;=70,"loyal",IF($Q381&gt;=50,"active",IF($N381=0,"new","needs_attention")))))))</x:f>
      </x:c>
      <x:c r="S381" s="19"/>
      <x:c r="T381" s="18"/>
      <x:c r="U381" s="19"/>
      <x:c r="V381" s="20"/>
      <x:c r="W381" s="26"/>
      <x:c r="X381" s="19"/>
      <x:c r="Y381" s="26"/>
      <x:c r="Z381" s="19"/>
      <x:c r="AA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20"/>
      <x:c r="J382" s="19"/>
      <x:c r="K382" s="19"/>
      <x:c r="L382" s="92" t="str">
        <x:f>IF($A382="","",IF(COUNTIFS('Orders'!$C$2:$C$500,$A382,'Orders'!$M$2:$M$500,"&lt;&gt;cancelled")=0,"",MAXIFS('Orders'!$G$2:$G$500,'Orders'!$C$2:$C$500,$A382,'Orders'!$M$2:$M$500,"&lt;&gt;cancelled")))</x:f>
      </x:c>
      <x:c r="M382" s="96" t="str">
        <x:f>IF($A382="","",SUMIFS('Orders'!$K$2:$K$500,'Orders'!$C$2:$C$500,$A382,'Orders'!$M$2:$M$500,"&lt;&gt;cancelled"))</x:f>
      </x:c>
      <x:c r="N382" s="96" t="str">
        <x:f>IF($A382="","",COUNTIFS('Orders'!$C$2:$C$500,$A382,'Orders'!$M$2:$M$500,"&lt;&gt;cancelled"))</x:f>
      </x:c>
      <x:c r="O382" s="100" t="str">
        <x:f>IF($A382="","",IF(COUNTIF('Interactions'!$B$2:$B$500,$A382)=0,"",MAXIFS('Interactions'!$G$2:$G$500,'Interactions'!$B$2:$B$500,$A382)))</x:f>
      </x:c>
      <x:c r="P382" s="100" t="str">
        <x:f>IF($A382="","",IF(COUNTIFS('FollowUps'!$B$2:$B$500,$A382,'FollowUps'!$H$2:$H$500,"open")=0,"",MINIFS('FollowUps'!$E$2:$E$500,'FollowUps'!$B$2:$B$500,$A382,'FollowUps'!$H$2:$H$500,"open")))</x:f>
      </x:c>
      <x:c r="Q382" s="104" t="str">
        <x:f>IF($A382="","",ROUND(MIN(25,$N382/VALUE(INDEX('Settings'!$B$2:$B$100,MATCH("score_purchase_target",'Settings'!$A$2:$A$100,0)))*25)+MIN(25,$M382/VALUE(INDEX('Settings'!$B$2:$B$100,MATCH("score_value_target",'Settings'!$A$2:$A$100,0)))*25)+IF($L382="",0,MAX(0,25-(TODAY()-$L382)/VALUE(INDEX('Settings'!$B$2:$B$100,MATCH("score_recency_days",'Settings'!$A$2:$A$100,0)))*25))+MIN(15,COUNTIFS('FollowUps'!$B$2:$B$500,$A382,'FollowUps'!$H$2:$H$500,"done")/VALUE(INDEX('Settings'!$B$2:$B$100,MATCH("score_response_target",'Settings'!$A$2:$A$100,0)))*15)+IF(COUNTIFS('Interactions'!$B$2:$B$500,$A382,'Interactions'!$E$2:$E$500,"complaint")=0,10,0),0))</x:f>
      </x:c>
      <x:c r="R382" s="108" t="str">
        <x:f>IF($A382="","",IF($J382="inactive","inactive",IF($J382="at_risk","at_risk",IF($Q382&gt;=85,"vip",IF($Q382&gt;=70,"loyal",IF($Q382&gt;=50,"active",IF($N382=0,"new","needs_attention")))))))</x:f>
      </x:c>
      <x:c r="S382" s="19"/>
      <x:c r="T382" s="18"/>
      <x:c r="U382" s="19"/>
      <x:c r="V382" s="20"/>
      <x:c r="W382" s="26"/>
      <x:c r="X382" s="19"/>
      <x:c r="Y382" s="26"/>
      <x:c r="Z382" s="19"/>
      <x:c r="AA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20"/>
      <x:c r="J383" s="19"/>
      <x:c r="K383" s="19"/>
      <x:c r="L383" s="92" t="str">
        <x:f>IF($A383="","",IF(COUNTIFS('Orders'!$C$2:$C$500,$A383,'Orders'!$M$2:$M$500,"&lt;&gt;cancelled")=0,"",MAXIFS('Orders'!$G$2:$G$500,'Orders'!$C$2:$C$500,$A383,'Orders'!$M$2:$M$500,"&lt;&gt;cancelled")))</x:f>
      </x:c>
      <x:c r="M383" s="96" t="str">
        <x:f>IF($A383="","",SUMIFS('Orders'!$K$2:$K$500,'Orders'!$C$2:$C$500,$A383,'Orders'!$M$2:$M$500,"&lt;&gt;cancelled"))</x:f>
      </x:c>
      <x:c r="N383" s="96" t="str">
        <x:f>IF($A383="","",COUNTIFS('Orders'!$C$2:$C$500,$A383,'Orders'!$M$2:$M$500,"&lt;&gt;cancelled"))</x:f>
      </x:c>
      <x:c r="O383" s="100" t="str">
        <x:f>IF($A383="","",IF(COUNTIF('Interactions'!$B$2:$B$500,$A383)=0,"",MAXIFS('Interactions'!$G$2:$G$500,'Interactions'!$B$2:$B$500,$A383)))</x:f>
      </x:c>
      <x:c r="P383" s="100" t="str">
        <x:f>IF($A383="","",IF(COUNTIFS('FollowUps'!$B$2:$B$500,$A383,'FollowUps'!$H$2:$H$500,"open")=0,"",MINIFS('FollowUps'!$E$2:$E$500,'FollowUps'!$B$2:$B$500,$A383,'FollowUps'!$H$2:$H$500,"open")))</x:f>
      </x:c>
      <x:c r="Q383" s="104" t="str">
        <x:f>IF($A383="","",ROUND(MIN(25,$N383/VALUE(INDEX('Settings'!$B$2:$B$100,MATCH("score_purchase_target",'Settings'!$A$2:$A$100,0)))*25)+MIN(25,$M383/VALUE(INDEX('Settings'!$B$2:$B$100,MATCH("score_value_target",'Settings'!$A$2:$A$100,0)))*25)+IF($L383="",0,MAX(0,25-(TODAY()-$L383)/VALUE(INDEX('Settings'!$B$2:$B$100,MATCH("score_recency_days",'Settings'!$A$2:$A$100,0)))*25))+MIN(15,COUNTIFS('FollowUps'!$B$2:$B$500,$A383,'FollowUps'!$H$2:$H$500,"done")/VALUE(INDEX('Settings'!$B$2:$B$100,MATCH("score_response_target",'Settings'!$A$2:$A$100,0)))*15)+IF(COUNTIFS('Interactions'!$B$2:$B$500,$A383,'Interactions'!$E$2:$E$500,"complaint")=0,10,0),0))</x:f>
      </x:c>
      <x:c r="R383" s="108" t="str">
        <x:f>IF($A383="","",IF($J383="inactive","inactive",IF($J383="at_risk","at_risk",IF($Q383&gt;=85,"vip",IF($Q383&gt;=70,"loyal",IF($Q383&gt;=50,"active",IF($N383=0,"new","needs_attention")))))))</x:f>
      </x:c>
      <x:c r="S383" s="19"/>
      <x:c r="T383" s="18"/>
      <x:c r="U383" s="19"/>
      <x:c r="V383" s="20"/>
      <x:c r="W383" s="26"/>
      <x:c r="X383" s="19"/>
      <x:c r="Y383" s="26"/>
      <x:c r="Z383" s="19"/>
      <x:c r="AA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20"/>
      <x:c r="J384" s="19"/>
      <x:c r="K384" s="19"/>
      <x:c r="L384" s="92" t="str">
        <x:f>IF($A384="","",IF(COUNTIFS('Orders'!$C$2:$C$500,$A384,'Orders'!$M$2:$M$500,"&lt;&gt;cancelled")=0,"",MAXIFS('Orders'!$G$2:$G$500,'Orders'!$C$2:$C$500,$A384,'Orders'!$M$2:$M$500,"&lt;&gt;cancelled")))</x:f>
      </x:c>
      <x:c r="M384" s="96" t="str">
        <x:f>IF($A384="","",SUMIFS('Orders'!$K$2:$K$500,'Orders'!$C$2:$C$500,$A384,'Orders'!$M$2:$M$500,"&lt;&gt;cancelled"))</x:f>
      </x:c>
      <x:c r="N384" s="96" t="str">
        <x:f>IF($A384="","",COUNTIFS('Orders'!$C$2:$C$500,$A384,'Orders'!$M$2:$M$500,"&lt;&gt;cancelled"))</x:f>
      </x:c>
      <x:c r="O384" s="100" t="str">
        <x:f>IF($A384="","",IF(COUNTIF('Interactions'!$B$2:$B$500,$A384)=0,"",MAXIFS('Interactions'!$G$2:$G$500,'Interactions'!$B$2:$B$500,$A384)))</x:f>
      </x:c>
      <x:c r="P384" s="100" t="str">
        <x:f>IF($A384="","",IF(COUNTIFS('FollowUps'!$B$2:$B$500,$A384,'FollowUps'!$H$2:$H$500,"open")=0,"",MINIFS('FollowUps'!$E$2:$E$500,'FollowUps'!$B$2:$B$500,$A384,'FollowUps'!$H$2:$H$500,"open")))</x:f>
      </x:c>
      <x:c r="Q384" s="104" t="str">
        <x:f>IF($A384="","",ROUND(MIN(25,$N384/VALUE(INDEX('Settings'!$B$2:$B$100,MATCH("score_purchase_target",'Settings'!$A$2:$A$100,0)))*25)+MIN(25,$M384/VALUE(INDEX('Settings'!$B$2:$B$100,MATCH("score_value_target",'Settings'!$A$2:$A$100,0)))*25)+IF($L384="",0,MAX(0,25-(TODAY()-$L384)/VALUE(INDEX('Settings'!$B$2:$B$100,MATCH("score_recency_days",'Settings'!$A$2:$A$100,0)))*25))+MIN(15,COUNTIFS('FollowUps'!$B$2:$B$500,$A384,'FollowUps'!$H$2:$H$500,"done")/VALUE(INDEX('Settings'!$B$2:$B$100,MATCH("score_response_target",'Settings'!$A$2:$A$100,0)))*15)+IF(COUNTIFS('Interactions'!$B$2:$B$500,$A384,'Interactions'!$E$2:$E$500,"complaint")=0,10,0),0))</x:f>
      </x:c>
      <x:c r="R384" s="108" t="str">
        <x:f>IF($A384="","",IF($J384="inactive","inactive",IF($J384="at_risk","at_risk",IF($Q384&gt;=85,"vip",IF($Q384&gt;=70,"loyal",IF($Q384&gt;=50,"active",IF($N384=0,"new","needs_attention")))))))</x:f>
      </x:c>
      <x:c r="S384" s="19"/>
      <x:c r="T384" s="18"/>
      <x:c r="U384" s="19"/>
      <x:c r="V384" s="20"/>
      <x:c r="W384" s="26"/>
      <x:c r="X384" s="19"/>
      <x:c r="Y384" s="26"/>
      <x:c r="Z384" s="19"/>
      <x:c r="AA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20"/>
      <x:c r="J385" s="19"/>
      <x:c r="K385" s="19"/>
      <x:c r="L385" s="92" t="str">
        <x:f>IF($A385="","",IF(COUNTIFS('Orders'!$C$2:$C$500,$A385,'Orders'!$M$2:$M$500,"&lt;&gt;cancelled")=0,"",MAXIFS('Orders'!$G$2:$G$500,'Orders'!$C$2:$C$500,$A385,'Orders'!$M$2:$M$500,"&lt;&gt;cancelled")))</x:f>
      </x:c>
      <x:c r="M385" s="96" t="str">
        <x:f>IF($A385="","",SUMIFS('Orders'!$K$2:$K$500,'Orders'!$C$2:$C$500,$A385,'Orders'!$M$2:$M$500,"&lt;&gt;cancelled"))</x:f>
      </x:c>
      <x:c r="N385" s="96" t="str">
        <x:f>IF($A385="","",COUNTIFS('Orders'!$C$2:$C$500,$A385,'Orders'!$M$2:$M$500,"&lt;&gt;cancelled"))</x:f>
      </x:c>
      <x:c r="O385" s="100" t="str">
        <x:f>IF($A385="","",IF(COUNTIF('Interactions'!$B$2:$B$500,$A385)=0,"",MAXIFS('Interactions'!$G$2:$G$500,'Interactions'!$B$2:$B$500,$A385)))</x:f>
      </x:c>
      <x:c r="P385" s="100" t="str">
        <x:f>IF($A385="","",IF(COUNTIFS('FollowUps'!$B$2:$B$500,$A385,'FollowUps'!$H$2:$H$500,"open")=0,"",MINIFS('FollowUps'!$E$2:$E$500,'FollowUps'!$B$2:$B$500,$A385,'FollowUps'!$H$2:$H$500,"open")))</x:f>
      </x:c>
      <x:c r="Q385" s="104" t="str">
        <x:f>IF($A385="","",ROUND(MIN(25,$N385/VALUE(INDEX('Settings'!$B$2:$B$100,MATCH("score_purchase_target",'Settings'!$A$2:$A$100,0)))*25)+MIN(25,$M385/VALUE(INDEX('Settings'!$B$2:$B$100,MATCH("score_value_target",'Settings'!$A$2:$A$100,0)))*25)+IF($L385="",0,MAX(0,25-(TODAY()-$L385)/VALUE(INDEX('Settings'!$B$2:$B$100,MATCH("score_recency_days",'Settings'!$A$2:$A$100,0)))*25))+MIN(15,COUNTIFS('FollowUps'!$B$2:$B$500,$A385,'FollowUps'!$H$2:$H$500,"done")/VALUE(INDEX('Settings'!$B$2:$B$100,MATCH("score_response_target",'Settings'!$A$2:$A$100,0)))*15)+IF(COUNTIFS('Interactions'!$B$2:$B$500,$A385,'Interactions'!$E$2:$E$500,"complaint")=0,10,0),0))</x:f>
      </x:c>
      <x:c r="R385" s="108" t="str">
        <x:f>IF($A385="","",IF($J385="inactive","inactive",IF($J385="at_risk","at_risk",IF($Q385&gt;=85,"vip",IF($Q385&gt;=70,"loyal",IF($Q385&gt;=50,"active",IF($N385=0,"new","needs_attention")))))))</x:f>
      </x:c>
      <x:c r="S385" s="19"/>
      <x:c r="T385" s="18"/>
      <x:c r="U385" s="19"/>
      <x:c r="V385" s="20"/>
      <x:c r="W385" s="26"/>
      <x:c r="X385" s="19"/>
      <x:c r="Y385" s="26"/>
      <x:c r="Z385" s="19"/>
      <x:c r="AA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20"/>
      <x:c r="J386" s="19"/>
      <x:c r="K386" s="19"/>
      <x:c r="L386" s="92" t="str">
        <x:f>IF($A386="","",IF(COUNTIFS('Orders'!$C$2:$C$500,$A386,'Orders'!$M$2:$M$500,"&lt;&gt;cancelled")=0,"",MAXIFS('Orders'!$G$2:$G$500,'Orders'!$C$2:$C$500,$A386,'Orders'!$M$2:$M$500,"&lt;&gt;cancelled")))</x:f>
      </x:c>
      <x:c r="M386" s="96" t="str">
        <x:f>IF($A386="","",SUMIFS('Orders'!$K$2:$K$500,'Orders'!$C$2:$C$500,$A386,'Orders'!$M$2:$M$500,"&lt;&gt;cancelled"))</x:f>
      </x:c>
      <x:c r="N386" s="96" t="str">
        <x:f>IF($A386="","",COUNTIFS('Orders'!$C$2:$C$500,$A386,'Orders'!$M$2:$M$500,"&lt;&gt;cancelled"))</x:f>
      </x:c>
      <x:c r="O386" s="100" t="str">
        <x:f>IF($A386="","",IF(COUNTIF('Interactions'!$B$2:$B$500,$A386)=0,"",MAXIFS('Interactions'!$G$2:$G$500,'Interactions'!$B$2:$B$500,$A386)))</x:f>
      </x:c>
      <x:c r="P386" s="100" t="str">
        <x:f>IF($A386="","",IF(COUNTIFS('FollowUps'!$B$2:$B$500,$A386,'FollowUps'!$H$2:$H$500,"open")=0,"",MINIFS('FollowUps'!$E$2:$E$500,'FollowUps'!$B$2:$B$500,$A386,'FollowUps'!$H$2:$H$500,"open")))</x:f>
      </x:c>
      <x:c r="Q386" s="104" t="str">
        <x:f>IF($A386="","",ROUND(MIN(25,$N386/VALUE(INDEX('Settings'!$B$2:$B$100,MATCH("score_purchase_target",'Settings'!$A$2:$A$100,0)))*25)+MIN(25,$M386/VALUE(INDEX('Settings'!$B$2:$B$100,MATCH("score_value_target",'Settings'!$A$2:$A$100,0)))*25)+IF($L386="",0,MAX(0,25-(TODAY()-$L386)/VALUE(INDEX('Settings'!$B$2:$B$100,MATCH("score_recency_days",'Settings'!$A$2:$A$100,0)))*25))+MIN(15,COUNTIFS('FollowUps'!$B$2:$B$500,$A386,'FollowUps'!$H$2:$H$500,"done")/VALUE(INDEX('Settings'!$B$2:$B$100,MATCH("score_response_target",'Settings'!$A$2:$A$100,0)))*15)+IF(COUNTIFS('Interactions'!$B$2:$B$500,$A386,'Interactions'!$E$2:$E$500,"complaint")=0,10,0),0))</x:f>
      </x:c>
      <x:c r="R386" s="108" t="str">
        <x:f>IF($A386="","",IF($J386="inactive","inactive",IF($J386="at_risk","at_risk",IF($Q386&gt;=85,"vip",IF($Q386&gt;=70,"loyal",IF($Q386&gt;=50,"active",IF($N386=0,"new","needs_attention")))))))</x:f>
      </x:c>
      <x:c r="S386" s="19"/>
      <x:c r="T386" s="18"/>
      <x:c r="U386" s="19"/>
      <x:c r="V386" s="20"/>
      <x:c r="W386" s="26"/>
      <x:c r="X386" s="19"/>
      <x:c r="Y386" s="26"/>
      <x:c r="Z386" s="19"/>
      <x:c r="AA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20"/>
      <x:c r="J387" s="19"/>
      <x:c r="K387" s="19"/>
      <x:c r="L387" s="92" t="str">
        <x:f>IF($A387="","",IF(COUNTIFS('Orders'!$C$2:$C$500,$A387,'Orders'!$M$2:$M$500,"&lt;&gt;cancelled")=0,"",MAXIFS('Orders'!$G$2:$G$500,'Orders'!$C$2:$C$500,$A387,'Orders'!$M$2:$M$500,"&lt;&gt;cancelled")))</x:f>
      </x:c>
      <x:c r="M387" s="96" t="str">
        <x:f>IF($A387="","",SUMIFS('Orders'!$K$2:$K$500,'Orders'!$C$2:$C$500,$A387,'Orders'!$M$2:$M$500,"&lt;&gt;cancelled"))</x:f>
      </x:c>
      <x:c r="N387" s="96" t="str">
        <x:f>IF($A387="","",COUNTIFS('Orders'!$C$2:$C$500,$A387,'Orders'!$M$2:$M$500,"&lt;&gt;cancelled"))</x:f>
      </x:c>
      <x:c r="O387" s="100" t="str">
        <x:f>IF($A387="","",IF(COUNTIF('Interactions'!$B$2:$B$500,$A387)=0,"",MAXIFS('Interactions'!$G$2:$G$500,'Interactions'!$B$2:$B$500,$A387)))</x:f>
      </x:c>
      <x:c r="P387" s="100" t="str">
        <x:f>IF($A387="","",IF(COUNTIFS('FollowUps'!$B$2:$B$500,$A387,'FollowUps'!$H$2:$H$500,"open")=0,"",MINIFS('FollowUps'!$E$2:$E$500,'FollowUps'!$B$2:$B$500,$A387,'FollowUps'!$H$2:$H$500,"open")))</x:f>
      </x:c>
      <x:c r="Q387" s="104" t="str">
        <x:f>IF($A387="","",ROUND(MIN(25,$N387/VALUE(INDEX('Settings'!$B$2:$B$100,MATCH("score_purchase_target",'Settings'!$A$2:$A$100,0)))*25)+MIN(25,$M387/VALUE(INDEX('Settings'!$B$2:$B$100,MATCH("score_value_target",'Settings'!$A$2:$A$100,0)))*25)+IF($L387="",0,MAX(0,25-(TODAY()-$L387)/VALUE(INDEX('Settings'!$B$2:$B$100,MATCH("score_recency_days",'Settings'!$A$2:$A$100,0)))*25))+MIN(15,COUNTIFS('FollowUps'!$B$2:$B$500,$A387,'FollowUps'!$H$2:$H$500,"done")/VALUE(INDEX('Settings'!$B$2:$B$100,MATCH("score_response_target",'Settings'!$A$2:$A$100,0)))*15)+IF(COUNTIFS('Interactions'!$B$2:$B$500,$A387,'Interactions'!$E$2:$E$500,"complaint")=0,10,0),0))</x:f>
      </x:c>
      <x:c r="R387" s="108" t="str">
        <x:f>IF($A387="","",IF($J387="inactive","inactive",IF($J387="at_risk","at_risk",IF($Q387&gt;=85,"vip",IF($Q387&gt;=70,"loyal",IF($Q387&gt;=50,"active",IF($N387=0,"new","needs_attention")))))))</x:f>
      </x:c>
      <x:c r="S387" s="19"/>
      <x:c r="T387" s="18"/>
      <x:c r="U387" s="19"/>
      <x:c r="V387" s="20"/>
      <x:c r="W387" s="26"/>
      <x:c r="X387" s="19"/>
      <x:c r="Y387" s="26"/>
      <x:c r="Z387" s="19"/>
      <x:c r="AA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20"/>
      <x:c r="J388" s="19"/>
      <x:c r="K388" s="19"/>
      <x:c r="L388" s="92" t="str">
        <x:f>IF($A388="","",IF(COUNTIFS('Orders'!$C$2:$C$500,$A388,'Orders'!$M$2:$M$500,"&lt;&gt;cancelled")=0,"",MAXIFS('Orders'!$G$2:$G$500,'Orders'!$C$2:$C$500,$A388,'Orders'!$M$2:$M$500,"&lt;&gt;cancelled")))</x:f>
      </x:c>
      <x:c r="M388" s="96" t="str">
        <x:f>IF($A388="","",SUMIFS('Orders'!$K$2:$K$500,'Orders'!$C$2:$C$500,$A388,'Orders'!$M$2:$M$500,"&lt;&gt;cancelled"))</x:f>
      </x:c>
      <x:c r="N388" s="96" t="str">
        <x:f>IF($A388="","",COUNTIFS('Orders'!$C$2:$C$500,$A388,'Orders'!$M$2:$M$500,"&lt;&gt;cancelled"))</x:f>
      </x:c>
      <x:c r="O388" s="100" t="str">
        <x:f>IF($A388="","",IF(COUNTIF('Interactions'!$B$2:$B$500,$A388)=0,"",MAXIFS('Interactions'!$G$2:$G$500,'Interactions'!$B$2:$B$500,$A388)))</x:f>
      </x:c>
      <x:c r="P388" s="100" t="str">
        <x:f>IF($A388="","",IF(COUNTIFS('FollowUps'!$B$2:$B$500,$A388,'FollowUps'!$H$2:$H$500,"open")=0,"",MINIFS('FollowUps'!$E$2:$E$500,'FollowUps'!$B$2:$B$500,$A388,'FollowUps'!$H$2:$H$500,"open")))</x:f>
      </x:c>
      <x:c r="Q388" s="104" t="str">
        <x:f>IF($A388="","",ROUND(MIN(25,$N388/VALUE(INDEX('Settings'!$B$2:$B$100,MATCH("score_purchase_target",'Settings'!$A$2:$A$100,0)))*25)+MIN(25,$M388/VALUE(INDEX('Settings'!$B$2:$B$100,MATCH("score_value_target",'Settings'!$A$2:$A$100,0)))*25)+IF($L388="",0,MAX(0,25-(TODAY()-$L388)/VALUE(INDEX('Settings'!$B$2:$B$100,MATCH("score_recency_days",'Settings'!$A$2:$A$100,0)))*25))+MIN(15,COUNTIFS('FollowUps'!$B$2:$B$500,$A388,'FollowUps'!$H$2:$H$500,"done")/VALUE(INDEX('Settings'!$B$2:$B$100,MATCH("score_response_target",'Settings'!$A$2:$A$100,0)))*15)+IF(COUNTIFS('Interactions'!$B$2:$B$500,$A388,'Interactions'!$E$2:$E$500,"complaint")=0,10,0),0))</x:f>
      </x:c>
      <x:c r="R388" s="108" t="str">
        <x:f>IF($A388="","",IF($J388="inactive","inactive",IF($J388="at_risk","at_risk",IF($Q388&gt;=85,"vip",IF($Q388&gt;=70,"loyal",IF($Q388&gt;=50,"active",IF($N388=0,"new","needs_attention")))))))</x:f>
      </x:c>
      <x:c r="S388" s="19"/>
      <x:c r="T388" s="18"/>
      <x:c r="U388" s="19"/>
      <x:c r="V388" s="20"/>
      <x:c r="W388" s="26"/>
      <x:c r="X388" s="19"/>
      <x:c r="Y388" s="26"/>
      <x:c r="Z388" s="19"/>
      <x:c r="AA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20"/>
      <x:c r="J389" s="19"/>
      <x:c r="K389" s="19"/>
      <x:c r="L389" s="92" t="str">
        <x:f>IF($A389="","",IF(COUNTIFS('Orders'!$C$2:$C$500,$A389,'Orders'!$M$2:$M$500,"&lt;&gt;cancelled")=0,"",MAXIFS('Orders'!$G$2:$G$500,'Orders'!$C$2:$C$500,$A389,'Orders'!$M$2:$M$500,"&lt;&gt;cancelled")))</x:f>
      </x:c>
      <x:c r="M389" s="96" t="str">
        <x:f>IF($A389="","",SUMIFS('Orders'!$K$2:$K$500,'Orders'!$C$2:$C$500,$A389,'Orders'!$M$2:$M$500,"&lt;&gt;cancelled"))</x:f>
      </x:c>
      <x:c r="N389" s="96" t="str">
        <x:f>IF($A389="","",COUNTIFS('Orders'!$C$2:$C$500,$A389,'Orders'!$M$2:$M$500,"&lt;&gt;cancelled"))</x:f>
      </x:c>
      <x:c r="O389" s="100" t="str">
        <x:f>IF($A389="","",IF(COUNTIF('Interactions'!$B$2:$B$500,$A389)=0,"",MAXIFS('Interactions'!$G$2:$G$500,'Interactions'!$B$2:$B$500,$A389)))</x:f>
      </x:c>
      <x:c r="P389" s="100" t="str">
        <x:f>IF($A389="","",IF(COUNTIFS('FollowUps'!$B$2:$B$500,$A389,'FollowUps'!$H$2:$H$500,"open")=0,"",MINIFS('FollowUps'!$E$2:$E$500,'FollowUps'!$B$2:$B$500,$A389,'FollowUps'!$H$2:$H$500,"open")))</x:f>
      </x:c>
      <x:c r="Q389" s="104" t="str">
        <x:f>IF($A389="","",ROUND(MIN(25,$N389/VALUE(INDEX('Settings'!$B$2:$B$100,MATCH("score_purchase_target",'Settings'!$A$2:$A$100,0)))*25)+MIN(25,$M389/VALUE(INDEX('Settings'!$B$2:$B$100,MATCH("score_value_target",'Settings'!$A$2:$A$100,0)))*25)+IF($L389="",0,MAX(0,25-(TODAY()-$L389)/VALUE(INDEX('Settings'!$B$2:$B$100,MATCH("score_recency_days",'Settings'!$A$2:$A$100,0)))*25))+MIN(15,COUNTIFS('FollowUps'!$B$2:$B$500,$A389,'FollowUps'!$H$2:$H$500,"done")/VALUE(INDEX('Settings'!$B$2:$B$100,MATCH("score_response_target",'Settings'!$A$2:$A$100,0)))*15)+IF(COUNTIFS('Interactions'!$B$2:$B$500,$A389,'Interactions'!$E$2:$E$500,"complaint")=0,10,0),0))</x:f>
      </x:c>
      <x:c r="R389" s="108" t="str">
        <x:f>IF($A389="","",IF($J389="inactive","inactive",IF($J389="at_risk","at_risk",IF($Q389&gt;=85,"vip",IF($Q389&gt;=70,"loyal",IF($Q389&gt;=50,"active",IF($N389=0,"new","needs_attention")))))))</x:f>
      </x:c>
      <x:c r="S389" s="19"/>
      <x:c r="T389" s="18"/>
      <x:c r="U389" s="19"/>
      <x:c r="V389" s="20"/>
      <x:c r="W389" s="26"/>
      <x:c r="X389" s="19"/>
      <x:c r="Y389" s="26"/>
      <x:c r="Z389" s="19"/>
      <x:c r="AA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20"/>
      <x:c r="J390" s="19"/>
      <x:c r="K390" s="19"/>
      <x:c r="L390" s="92" t="str">
        <x:f>IF($A390="","",IF(COUNTIFS('Orders'!$C$2:$C$500,$A390,'Orders'!$M$2:$M$500,"&lt;&gt;cancelled")=0,"",MAXIFS('Orders'!$G$2:$G$500,'Orders'!$C$2:$C$500,$A390,'Orders'!$M$2:$M$500,"&lt;&gt;cancelled")))</x:f>
      </x:c>
      <x:c r="M390" s="96" t="str">
        <x:f>IF($A390="","",SUMIFS('Orders'!$K$2:$K$500,'Orders'!$C$2:$C$500,$A390,'Orders'!$M$2:$M$500,"&lt;&gt;cancelled"))</x:f>
      </x:c>
      <x:c r="N390" s="96" t="str">
        <x:f>IF($A390="","",COUNTIFS('Orders'!$C$2:$C$500,$A390,'Orders'!$M$2:$M$500,"&lt;&gt;cancelled"))</x:f>
      </x:c>
      <x:c r="O390" s="100" t="str">
        <x:f>IF($A390="","",IF(COUNTIF('Interactions'!$B$2:$B$500,$A390)=0,"",MAXIFS('Interactions'!$G$2:$G$500,'Interactions'!$B$2:$B$500,$A390)))</x:f>
      </x:c>
      <x:c r="P390" s="100" t="str">
        <x:f>IF($A390="","",IF(COUNTIFS('FollowUps'!$B$2:$B$500,$A390,'FollowUps'!$H$2:$H$500,"open")=0,"",MINIFS('FollowUps'!$E$2:$E$500,'FollowUps'!$B$2:$B$500,$A390,'FollowUps'!$H$2:$H$500,"open")))</x:f>
      </x:c>
      <x:c r="Q390" s="104" t="str">
        <x:f>IF($A390="","",ROUND(MIN(25,$N390/VALUE(INDEX('Settings'!$B$2:$B$100,MATCH("score_purchase_target",'Settings'!$A$2:$A$100,0)))*25)+MIN(25,$M390/VALUE(INDEX('Settings'!$B$2:$B$100,MATCH("score_value_target",'Settings'!$A$2:$A$100,0)))*25)+IF($L390="",0,MAX(0,25-(TODAY()-$L390)/VALUE(INDEX('Settings'!$B$2:$B$100,MATCH("score_recency_days",'Settings'!$A$2:$A$100,0)))*25))+MIN(15,COUNTIFS('FollowUps'!$B$2:$B$500,$A390,'FollowUps'!$H$2:$H$500,"done")/VALUE(INDEX('Settings'!$B$2:$B$100,MATCH("score_response_target",'Settings'!$A$2:$A$100,0)))*15)+IF(COUNTIFS('Interactions'!$B$2:$B$500,$A390,'Interactions'!$E$2:$E$500,"complaint")=0,10,0),0))</x:f>
      </x:c>
      <x:c r="R390" s="108" t="str">
        <x:f>IF($A390="","",IF($J390="inactive","inactive",IF($J390="at_risk","at_risk",IF($Q390&gt;=85,"vip",IF($Q390&gt;=70,"loyal",IF($Q390&gt;=50,"active",IF($N390=0,"new","needs_attention")))))))</x:f>
      </x:c>
      <x:c r="S390" s="19"/>
      <x:c r="T390" s="18"/>
      <x:c r="U390" s="19"/>
      <x:c r="V390" s="20"/>
      <x:c r="W390" s="26"/>
      <x:c r="X390" s="19"/>
      <x:c r="Y390" s="26"/>
      <x:c r="Z390" s="19"/>
      <x:c r="AA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20"/>
      <x:c r="J391" s="19"/>
      <x:c r="K391" s="19"/>
      <x:c r="L391" s="92" t="str">
        <x:f>IF($A391="","",IF(COUNTIFS('Orders'!$C$2:$C$500,$A391,'Orders'!$M$2:$M$500,"&lt;&gt;cancelled")=0,"",MAXIFS('Orders'!$G$2:$G$500,'Orders'!$C$2:$C$500,$A391,'Orders'!$M$2:$M$500,"&lt;&gt;cancelled")))</x:f>
      </x:c>
      <x:c r="M391" s="96" t="str">
        <x:f>IF($A391="","",SUMIFS('Orders'!$K$2:$K$500,'Orders'!$C$2:$C$500,$A391,'Orders'!$M$2:$M$500,"&lt;&gt;cancelled"))</x:f>
      </x:c>
      <x:c r="N391" s="96" t="str">
        <x:f>IF($A391="","",COUNTIFS('Orders'!$C$2:$C$500,$A391,'Orders'!$M$2:$M$500,"&lt;&gt;cancelled"))</x:f>
      </x:c>
      <x:c r="O391" s="100" t="str">
        <x:f>IF($A391="","",IF(COUNTIF('Interactions'!$B$2:$B$500,$A391)=0,"",MAXIFS('Interactions'!$G$2:$G$500,'Interactions'!$B$2:$B$500,$A391)))</x:f>
      </x:c>
      <x:c r="P391" s="100" t="str">
        <x:f>IF($A391="","",IF(COUNTIFS('FollowUps'!$B$2:$B$500,$A391,'FollowUps'!$H$2:$H$500,"open")=0,"",MINIFS('FollowUps'!$E$2:$E$500,'FollowUps'!$B$2:$B$500,$A391,'FollowUps'!$H$2:$H$500,"open")))</x:f>
      </x:c>
      <x:c r="Q391" s="104" t="str">
        <x:f>IF($A391="","",ROUND(MIN(25,$N391/VALUE(INDEX('Settings'!$B$2:$B$100,MATCH("score_purchase_target",'Settings'!$A$2:$A$100,0)))*25)+MIN(25,$M391/VALUE(INDEX('Settings'!$B$2:$B$100,MATCH("score_value_target",'Settings'!$A$2:$A$100,0)))*25)+IF($L391="",0,MAX(0,25-(TODAY()-$L391)/VALUE(INDEX('Settings'!$B$2:$B$100,MATCH("score_recency_days",'Settings'!$A$2:$A$100,0)))*25))+MIN(15,COUNTIFS('FollowUps'!$B$2:$B$500,$A391,'FollowUps'!$H$2:$H$500,"done")/VALUE(INDEX('Settings'!$B$2:$B$100,MATCH("score_response_target",'Settings'!$A$2:$A$100,0)))*15)+IF(COUNTIFS('Interactions'!$B$2:$B$500,$A391,'Interactions'!$E$2:$E$500,"complaint")=0,10,0),0))</x:f>
      </x:c>
      <x:c r="R391" s="108" t="str">
        <x:f>IF($A391="","",IF($J391="inactive","inactive",IF($J391="at_risk","at_risk",IF($Q391&gt;=85,"vip",IF($Q391&gt;=70,"loyal",IF($Q391&gt;=50,"active",IF($N391=0,"new","needs_attention")))))))</x:f>
      </x:c>
      <x:c r="S391" s="19"/>
      <x:c r="T391" s="18"/>
      <x:c r="U391" s="19"/>
      <x:c r="V391" s="20"/>
      <x:c r="W391" s="26"/>
      <x:c r="X391" s="19"/>
      <x:c r="Y391" s="26"/>
      <x:c r="Z391" s="19"/>
      <x:c r="AA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20"/>
      <x:c r="J392" s="19"/>
      <x:c r="K392" s="19"/>
      <x:c r="L392" s="92" t="str">
        <x:f>IF($A392="","",IF(COUNTIFS('Orders'!$C$2:$C$500,$A392,'Orders'!$M$2:$M$500,"&lt;&gt;cancelled")=0,"",MAXIFS('Orders'!$G$2:$G$500,'Orders'!$C$2:$C$500,$A392,'Orders'!$M$2:$M$500,"&lt;&gt;cancelled")))</x:f>
      </x:c>
      <x:c r="M392" s="96" t="str">
        <x:f>IF($A392="","",SUMIFS('Orders'!$K$2:$K$500,'Orders'!$C$2:$C$500,$A392,'Orders'!$M$2:$M$500,"&lt;&gt;cancelled"))</x:f>
      </x:c>
      <x:c r="N392" s="96" t="str">
        <x:f>IF($A392="","",COUNTIFS('Orders'!$C$2:$C$500,$A392,'Orders'!$M$2:$M$500,"&lt;&gt;cancelled"))</x:f>
      </x:c>
      <x:c r="O392" s="100" t="str">
        <x:f>IF($A392="","",IF(COUNTIF('Interactions'!$B$2:$B$500,$A392)=0,"",MAXIFS('Interactions'!$G$2:$G$500,'Interactions'!$B$2:$B$500,$A392)))</x:f>
      </x:c>
      <x:c r="P392" s="100" t="str">
        <x:f>IF($A392="","",IF(COUNTIFS('FollowUps'!$B$2:$B$500,$A392,'FollowUps'!$H$2:$H$500,"open")=0,"",MINIFS('FollowUps'!$E$2:$E$500,'FollowUps'!$B$2:$B$500,$A392,'FollowUps'!$H$2:$H$500,"open")))</x:f>
      </x:c>
      <x:c r="Q392" s="104" t="str">
        <x:f>IF($A392="","",ROUND(MIN(25,$N392/VALUE(INDEX('Settings'!$B$2:$B$100,MATCH("score_purchase_target",'Settings'!$A$2:$A$100,0)))*25)+MIN(25,$M392/VALUE(INDEX('Settings'!$B$2:$B$100,MATCH("score_value_target",'Settings'!$A$2:$A$100,0)))*25)+IF($L392="",0,MAX(0,25-(TODAY()-$L392)/VALUE(INDEX('Settings'!$B$2:$B$100,MATCH("score_recency_days",'Settings'!$A$2:$A$100,0)))*25))+MIN(15,COUNTIFS('FollowUps'!$B$2:$B$500,$A392,'FollowUps'!$H$2:$H$500,"done")/VALUE(INDEX('Settings'!$B$2:$B$100,MATCH("score_response_target",'Settings'!$A$2:$A$100,0)))*15)+IF(COUNTIFS('Interactions'!$B$2:$B$500,$A392,'Interactions'!$E$2:$E$500,"complaint")=0,10,0),0))</x:f>
      </x:c>
      <x:c r="R392" s="108" t="str">
        <x:f>IF($A392="","",IF($J392="inactive","inactive",IF($J392="at_risk","at_risk",IF($Q392&gt;=85,"vip",IF($Q392&gt;=70,"loyal",IF($Q392&gt;=50,"active",IF($N392=0,"new","needs_attention")))))))</x:f>
      </x:c>
      <x:c r="S392" s="19"/>
      <x:c r="T392" s="18"/>
      <x:c r="U392" s="19"/>
      <x:c r="V392" s="20"/>
      <x:c r="W392" s="26"/>
      <x:c r="X392" s="19"/>
      <x:c r="Y392" s="26"/>
      <x:c r="Z392" s="19"/>
      <x:c r="AA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20"/>
      <x:c r="J393" s="19"/>
      <x:c r="K393" s="19"/>
      <x:c r="L393" s="92" t="str">
        <x:f>IF($A393="","",IF(COUNTIFS('Orders'!$C$2:$C$500,$A393,'Orders'!$M$2:$M$500,"&lt;&gt;cancelled")=0,"",MAXIFS('Orders'!$G$2:$G$500,'Orders'!$C$2:$C$500,$A393,'Orders'!$M$2:$M$500,"&lt;&gt;cancelled")))</x:f>
      </x:c>
      <x:c r="M393" s="96" t="str">
        <x:f>IF($A393="","",SUMIFS('Orders'!$K$2:$K$500,'Orders'!$C$2:$C$500,$A393,'Orders'!$M$2:$M$500,"&lt;&gt;cancelled"))</x:f>
      </x:c>
      <x:c r="N393" s="96" t="str">
        <x:f>IF($A393="","",COUNTIFS('Orders'!$C$2:$C$500,$A393,'Orders'!$M$2:$M$500,"&lt;&gt;cancelled"))</x:f>
      </x:c>
      <x:c r="O393" s="100" t="str">
        <x:f>IF($A393="","",IF(COUNTIF('Interactions'!$B$2:$B$500,$A393)=0,"",MAXIFS('Interactions'!$G$2:$G$500,'Interactions'!$B$2:$B$500,$A393)))</x:f>
      </x:c>
      <x:c r="P393" s="100" t="str">
        <x:f>IF($A393="","",IF(COUNTIFS('FollowUps'!$B$2:$B$500,$A393,'FollowUps'!$H$2:$H$500,"open")=0,"",MINIFS('FollowUps'!$E$2:$E$500,'FollowUps'!$B$2:$B$500,$A393,'FollowUps'!$H$2:$H$500,"open")))</x:f>
      </x:c>
      <x:c r="Q393" s="104" t="str">
        <x:f>IF($A393="","",ROUND(MIN(25,$N393/VALUE(INDEX('Settings'!$B$2:$B$100,MATCH("score_purchase_target",'Settings'!$A$2:$A$100,0)))*25)+MIN(25,$M393/VALUE(INDEX('Settings'!$B$2:$B$100,MATCH("score_value_target",'Settings'!$A$2:$A$100,0)))*25)+IF($L393="",0,MAX(0,25-(TODAY()-$L393)/VALUE(INDEX('Settings'!$B$2:$B$100,MATCH("score_recency_days",'Settings'!$A$2:$A$100,0)))*25))+MIN(15,COUNTIFS('FollowUps'!$B$2:$B$500,$A393,'FollowUps'!$H$2:$H$500,"done")/VALUE(INDEX('Settings'!$B$2:$B$100,MATCH("score_response_target",'Settings'!$A$2:$A$100,0)))*15)+IF(COUNTIFS('Interactions'!$B$2:$B$500,$A393,'Interactions'!$E$2:$E$500,"complaint")=0,10,0),0))</x:f>
      </x:c>
      <x:c r="R393" s="108" t="str">
        <x:f>IF($A393="","",IF($J393="inactive","inactive",IF($J393="at_risk","at_risk",IF($Q393&gt;=85,"vip",IF($Q393&gt;=70,"loyal",IF($Q393&gt;=50,"active",IF($N393=0,"new","needs_attention")))))))</x:f>
      </x:c>
      <x:c r="S393" s="19"/>
      <x:c r="T393" s="18"/>
      <x:c r="U393" s="19"/>
      <x:c r="V393" s="20"/>
      <x:c r="W393" s="26"/>
      <x:c r="X393" s="19"/>
      <x:c r="Y393" s="26"/>
      <x:c r="Z393" s="19"/>
      <x:c r="AA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20"/>
      <x:c r="J394" s="19"/>
      <x:c r="K394" s="19"/>
      <x:c r="L394" s="92" t="str">
        <x:f>IF($A394="","",IF(COUNTIFS('Orders'!$C$2:$C$500,$A394,'Orders'!$M$2:$M$500,"&lt;&gt;cancelled")=0,"",MAXIFS('Orders'!$G$2:$G$500,'Orders'!$C$2:$C$500,$A394,'Orders'!$M$2:$M$500,"&lt;&gt;cancelled")))</x:f>
      </x:c>
      <x:c r="M394" s="96" t="str">
        <x:f>IF($A394="","",SUMIFS('Orders'!$K$2:$K$500,'Orders'!$C$2:$C$500,$A394,'Orders'!$M$2:$M$500,"&lt;&gt;cancelled"))</x:f>
      </x:c>
      <x:c r="N394" s="96" t="str">
        <x:f>IF($A394="","",COUNTIFS('Orders'!$C$2:$C$500,$A394,'Orders'!$M$2:$M$500,"&lt;&gt;cancelled"))</x:f>
      </x:c>
      <x:c r="O394" s="100" t="str">
        <x:f>IF($A394="","",IF(COUNTIF('Interactions'!$B$2:$B$500,$A394)=0,"",MAXIFS('Interactions'!$G$2:$G$500,'Interactions'!$B$2:$B$500,$A394)))</x:f>
      </x:c>
      <x:c r="P394" s="100" t="str">
        <x:f>IF($A394="","",IF(COUNTIFS('FollowUps'!$B$2:$B$500,$A394,'FollowUps'!$H$2:$H$500,"open")=0,"",MINIFS('FollowUps'!$E$2:$E$500,'FollowUps'!$B$2:$B$500,$A394,'FollowUps'!$H$2:$H$500,"open")))</x:f>
      </x:c>
      <x:c r="Q394" s="104" t="str">
        <x:f>IF($A394="","",ROUND(MIN(25,$N394/VALUE(INDEX('Settings'!$B$2:$B$100,MATCH("score_purchase_target",'Settings'!$A$2:$A$100,0)))*25)+MIN(25,$M394/VALUE(INDEX('Settings'!$B$2:$B$100,MATCH("score_value_target",'Settings'!$A$2:$A$100,0)))*25)+IF($L394="",0,MAX(0,25-(TODAY()-$L394)/VALUE(INDEX('Settings'!$B$2:$B$100,MATCH("score_recency_days",'Settings'!$A$2:$A$100,0)))*25))+MIN(15,COUNTIFS('FollowUps'!$B$2:$B$500,$A394,'FollowUps'!$H$2:$H$500,"done")/VALUE(INDEX('Settings'!$B$2:$B$100,MATCH("score_response_target",'Settings'!$A$2:$A$100,0)))*15)+IF(COUNTIFS('Interactions'!$B$2:$B$500,$A394,'Interactions'!$E$2:$E$500,"complaint")=0,10,0),0))</x:f>
      </x:c>
      <x:c r="R394" s="108" t="str">
        <x:f>IF($A394="","",IF($J394="inactive","inactive",IF($J394="at_risk","at_risk",IF($Q394&gt;=85,"vip",IF($Q394&gt;=70,"loyal",IF($Q394&gt;=50,"active",IF($N394=0,"new","needs_attention")))))))</x:f>
      </x:c>
      <x:c r="S394" s="19"/>
      <x:c r="T394" s="18"/>
      <x:c r="U394" s="19"/>
      <x:c r="V394" s="20"/>
      <x:c r="W394" s="26"/>
      <x:c r="X394" s="19"/>
      <x:c r="Y394" s="26"/>
      <x:c r="Z394" s="19"/>
      <x:c r="AA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20"/>
      <x:c r="J395" s="19"/>
      <x:c r="K395" s="19"/>
      <x:c r="L395" s="92" t="str">
        <x:f>IF($A395="","",IF(COUNTIFS('Orders'!$C$2:$C$500,$A395,'Orders'!$M$2:$M$500,"&lt;&gt;cancelled")=0,"",MAXIFS('Orders'!$G$2:$G$500,'Orders'!$C$2:$C$500,$A395,'Orders'!$M$2:$M$500,"&lt;&gt;cancelled")))</x:f>
      </x:c>
      <x:c r="M395" s="96" t="str">
        <x:f>IF($A395="","",SUMIFS('Orders'!$K$2:$K$500,'Orders'!$C$2:$C$500,$A395,'Orders'!$M$2:$M$500,"&lt;&gt;cancelled"))</x:f>
      </x:c>
      <x:c r="N395" s="96" t="str">
        <x:f>IF($A395="","",COUNTIFS('Orders'!$C$2:$C$500,$A395,'Orders'!$M$2:$M$500,"&lt;&gt;cancelled"))</x:f>
      </x:c>
      <x:c r="O395" s="100" t="str">
        <x:f>IF($A395="","",IF(COUNTIF('Interactions'!$B$2:$B$500,$A395)=0,"",MAXIFS('Interactions'!$G$2:$G$500,'Interactions'!$B$2:$B$500,$A395)))</x:f>
      </x:c>
      <x:c r="P395" s="100" t="str">
        <x:f>IF($A395="","",IF(COUNTIFS('FollowUps'!$B$2:$B$500,$A395,'FollowUps'!$H$2:$H$500,"open")=0,"",MINIFS('FollowUps'!$E$2:$E$500,'FollowUps'!$B$2:$B$500,$A395,'FollowUps'!$H$2:$H$500,"open")))</x:f>
      </x:c>
      <x:c r="Q395" s="104" t="str">
        <x:f>IF($A395="","",ROUND(MIN(25,$N395/VALUE(INDEX('Settings'!$B$2:$B$100,MATCH("score_purchase_target",'Settings'!$A$2:$A$100,0)))*25)+MIN(25,$M395/VALUE(INDEX('Settings'!$B$2:$B$100,MATCH("score_value_target",'Settings'!$A$2:$A$100,0)))*25)+IF($L395="",0,MAX(0,25-(TODAY()-$L395)/VALUE(INDEX('Settings'!$B$2:$B$100,MATCH("score_recency_days",'Settings'!$A$2:$A$100,0)))*25))+MIN(15,COUNTIFS('FollowUps'!$B$2:$B$500,$A395,'FollowUps'!$H$2:$H$500,"done")/VALUE(INDEX('Settings'!$B$2:$B$100,MATCH("score_response_target",'Settings'!$A$2:$A$100,0)))*15)+IF(COUNTIFS('Interactions'!$B$2:$B$500,$A395,'Interactions'!$E$2:$E$500,"complaint")=0,10,0),0))</x:f>
      </x:c>
      <x:c r="R395" s="108" t="str">
        <x:f>IF($A395="","",IF($J395="inactive","inactive",IF($J395="at_risk","at_risk",IF($Q395&gt;=85,"vip",IF($Q395&gt;=70,"loyal",IF($Q395&gt;=50,"active",IF($N395=0,"new","needs_attention")))))))</x:f>
      </x:c>
      <x:c r="S395" s="19"/>
      <x:c r="T395" s="18"/>
      <x:c r="U395" s="19"/>
      <x:c r="V395" s="20"/>
      <x:c r="W395" s="26"/>
      <x:c r="X395" s="19"/>
      <x:c r="Y395" s="26"/>
      <x:c r="Z395" s="19"/>
      <x:c r="AA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20"/>
      <x:c r="J396" s="19"/>
      <x:c r="K396" s="19"/>
      <x:c r="L396" s="92" t="str">
        <x:f>IF($A396="","",IF(COUNTIFS('Orders'!$C$2:$C$500,$A396,'Orders'!$M$2:$M$500,"&lt;&gt;cancelled")=0,"",MAXIFS('Orders'!$G$2:$G$500,'Orders'!$C$2:$C$500,$A396,'Orders'!$M$2:$M$500,"&lt;&gt;cancelled")))</x:f>
      </x:c>
      <x:c r="M396" s="96" t="str">
        <x:f>IF($A396="","",SUMIFS('Orders'!$K$2:$K$500,'Orders'!$C$2:$C$500,$A396,'Orders'!$M$2:$M$500,"&lt;&gt;cancelled"))</x:f>
      </x:c>
      <x:c r="N396" s="96" t="str">
        <x:f>IF($A396="","",COUNTIFS('Orders'!$C$2:$C$500,$A396,'Orders'!$M$2:$M$500,"&lt;&gt;cancelled"))</x:f>
      </x:c>
      <x:c r="O396" s="100" t="str">
        <x:f>IF($A396="","",IF(COUNTIF('Interactions'!$B$2:$B$500,$A396)=0,"",MAXIFS('Interactions'!$G$2:$G$500,'Interactions'!$B$2:$B$500,$A396)))</x:f>
      </x:c>
      <x:c r="P396" s="100" t="str">
        <x:f>IF($A396="","",IF(COUNTIFS('FollowUps'!$B$2:$B$500,$A396,'FollowUps'!$H$2:$H$500,"open")=0,"",MINIFS('FollowUps'!$E$2:$E$500,'FollowUps'!$B$2:$B$500,$A396,'FollowUps'!$H$2:$H$500,"open")))</x:f>
      </x:c>
      <x:c r="Q396" s="104" t="str">
        <x:f>IF($A396="","",ROUND(MIN(25,$N396/VALUE(INDEX('Settings'!$B$2:$B$100,MATCH("score_purchase_target",'Settings'!$A$2:$A$100,0)))*25)+MIN(25,$M396/VALUE(INDEX('Settings'!$B$2:$B$100,MATCH("score_value_target",'Settings'!$A$2:$A$100,0)))*25)+IF($L396="",0,MAX(0,25-(TODAY()-$L396)/VALUE(INDEX('Settings'!$B$2:$B$100,MATCH("score_recency_days",'Settings'!$A$2:$A$100,0)))*25))+MIN(15,COUNTIFS('FollowUps'!$B$2:$B$500,$A396,'FollowUps'!$H$2:$H$500,"done")/VALUE(INDEX('Settings'!$B$2:$B$100,MATCH("score_response_target",'Settings'!$A$2:$A$100,0)))*15)+IF(COUNTIFS('Interactions'!$B$2:$B$500,$A396,'Interactions'!$E$2:$E$500,"complaint")=0,10,0),0))</x:f>
      </x:c>
      <x:c r="R396" s="108" t="str">
        <x:f>IF($A396="","",IF($J396="inactive","inactive",IF($J396="at_risk","at_risk",IF($Q396&gt;=85,"vip",IF($Q396&gt;=70,"loyal",IF($Q396&gt;=50,"active",IF($N396=0,"new","needs_attention")))))))</x:f>
      </x:c>
      <x:c r="S396" s="19"/>
      <x:c r="T396" s="18"/>
      <x:c r="U396" s="19"/>
      <x:c r="V396" s="20"/>
      <x:c r="W396" s="26"/>
      <x:c r="X396" s="19"/>
      <x:c r="Y396" s="26"/>
      <x:c r="Z396" s="19"/>
      <x:c r="AA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20"/>
      <x:c r="J397" s="19"/>
      <x:c r="K397" s="19"/>
      <x:c r="L397" s="92" t="str">
        <x:f>IF($A397="","",IF(COUNTIFS('Orders'!$C$2:$C$500,$A397,'Orders'!$M$2:$M$500,"&lt;&gt;cancelled")=0,"",MAXIFS('Orders'!$G$2:$G$500,'Orders'!$C$2:$C$500,$A397,'Orders'!$M$2:$M$500,"&lt;&gt;cancelled")))</x:f>
      </x:c>
      <x:c r="M397" s="96" t="str">
        <x:f>IF($A397="","",SUMIFS('Orders'!$K$2:$K$500,'Orders'!$C$2:$C$500,$A397,'Orders'!$M$2:$M$500,"&lt;&gt;cancelled"))</x:f>
      </x:c>
      <x:c r="N397" s="96" t="str">
        <x:f>IF($A397="","",COUNTIFS('Orders'!$C$2:$C$500,$A397,'Orders'!$M$2:$M$500,"&lt;&gt;cancelled"))</x:f>
      </x:c>
      <x:c r="O397" s="100" t="str">
        <x:f>IF($A397="","",IF(COUNTIF('Interactions'!$B$2:$B$500,$A397)=0,"",MAXIFS('Interactions'!$G$2:$G$500,'Interactions'!$B$2:$B$500,$A397)))</x:f>
      </x:c>
      <x:c r="P397" s="100" t="str">
        <x:f>IF($A397="","",IF(COUNTIFS('FollowUps'!$B$2:$B$500,$A397,'FollowUps'!$H$2:$H$500,"open")=0,"",MINIFS('FollowUps'!$E$2:$E$500,'FollowUps'!$B$2:$B$500,$A397,'FollowUps'!$H$2:$H$500,"open")))</x:f>
      </x:c>
      <x:c r="Q397" s="104" t="str">
        <x:f>IF($A397="","",ROUND(MIN(25,$N397/VALUE(INDEX('Settings'!$B$2:$B$100,MATCH("score_purchase_target",'Settings'!$A$2:$A$100,0)))*25)+MIN(25,$M397/VALUE(INDEX('Settings'!$B$2:$B$100,MATCH("score_value_target",'Settings'!$A$2:$A$100,0)))*25)+IF($L397="",0,MAX(0,25-(TODAY()-$L397)/VALUE(INDEX('Settings'!$B$2:$B$100,MATCH("score_recency_days",'Settings'!$A$2:$A$100,0)))*25))+MIN(15,COUNTIFS('FollowUps'!$B$2:$B$500,$A397,'FollowUps'!$H$2:$H$500,"done")/VALUE(INDEX('Settings'!$B$2:$B$100,MATCH("score_response_target",'Settings'!$A$2:$A$100,0)))*15)+IF(COUNTIFS('Interactions'!$B$2:$B$500,$A397,'Interactions'!$E$2:$E$500,"complaint")=0,10,0),0))</x:f>
      </x:c>
      <x:c r="R397" s="108" t="str">
        <x:f>IF($A397="","",IF($J397="inactive","inactive",IF($J397="at_risk","at_risk",IF($Q397&gt;=85,"vip",IF($Q397&gt;=70,"loyal",IF($Q397&gt;=50,"active",IF($N397=0,"new","needs_attention")))))))</x:f>
      </x:c>
      <x:c r="S397" s="19"/>
      <x:c r="T397" s="18"/>
      <x:c r="U397" s="19"/>
      <x:c r="V397" s="20"/>
      <x:c r="W397" s="26"/>
      <x:c r="X397" s="19"/>
      <x:c r="Y397" s="26"/>
      <x:c r="Z397" s="19"/>
      <x:c r="AA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20"/>
      <x:c r="J398" s="19"/>
      <x:c r="K398" s="19"/>
      <x:c r="L398" s="92" t="str">
        <x:f>IF($A398="","",IF(COUNTIFS('Orders'!$C$2:$C$500,$A398,'Orders'!$M$2:$M$500,"&lt;&gt;cancelled")=0,"",MAXIFS('Orders'!$G$2:$G$500,'Orders'!$C$2:$C$500,$A398,'Orders'!$M$2:$M$500,"&lt;&gt;cancelled")))</x:f>
      </x:c>
      <x:c r="M398" s="96" t="str">
        <x:f>IF($A398="","",SUMIFS('Orders'!$K$2:$K$500,'Orders'!$C$2:$C$500,$A398,'Orders'!$M$2:$M$500,"&lt;&gt;cancelled"))</x:f>
      </x:c>
      <x:c r="N398" s="96" t="str">
        <x:f>IF($A398="","",COUNTIFS('Orders'!$C$2:$C$500,$A398,'Orders'!$M$2:$M$500,"&lt;&gt;cancelled"))</x:f>
      </x:c>
      <x:c r="O398" s="100" t="str">
        <x:f>IF($A398="","",IF(COUNTIF('Interactions'!$B$2:$B$500,$A398)=0,"",MAXIFS('Interactions'!$G$2:$G$500,'Interactions'!$B$2:$B$500,$A398)))</x:f>
      </x:c>
      <x:c r="P398" s="100" t="str">
        <x:f>IF($A398="","",IF(COUNTIFS('FollowUps'!$B$2:$B$500,$A398,'FollowUps'!$H$2:$H$500,"open")=0,"",MINIFS('FollowUps'!$E$2:$E$500,'FollowUps'!$B$2:$B$500,$A398,'FollowUps'!$H$2:$H$500,"open")))</x:f>
      </x:c>
      <x:c r="Q398" s="104" t="str">
        <x:f>IF($A398="","",ROUND(MIN(25,$N398/VALUE(INDEX('Settings'!$B$2:$B$100,MATCH("score_purchase_target",'Settings'!$A$2:$A$100,0)))*25)+MIN(25,$M398/VALUE(INDEX('Settings'!$B$2:$B$100,MATCH("score_value_target",'Settings'!$A$2:$A$100,0)))*25)+IF($L398="",0,MAX(0,25-(TODAY()-$L398)/VALUE(INDEX('Settings'!$B$2:$B$100,MATCH("score_recency_days",'Settings'!$A$2:$A$100,0)))*25))+MIN(15,COUNTIFS('FollowUps'!$B$2:$B$500,$A398,'FollowUps'!$H$2:$H$500,"done")/VALUE(INDEX('Settings'!$B$2:$B$100,MATCH("score_response_target",'Settings'!$A$2:$A$100,0)))*15)+IF(COUNTIFS('Interactions'!$B$2:$B$500,$A398,'Interactions'!$E$2:$E$500,"complaint")=0,10,0),0))</x:f>
      </x:c>
      <x:c r="R398" s="108" t="str">
        <x:f>IF($A398="","",IF($J398="inactive","inactive",IF($J398="at_risk","at_risk",IF($Q398&gt;=85,"vip",IF($Q398&gt;=70,"loyal",IF($Q398&gt;=50,"active",IF($N398=0,"new","needs_attention")))))))</x:f>
      </x:c>
      <x:c r="S398" s="19"/>
      <x:c r="T398" s="18"/>
      <x:c r="U398" s="19"/>
      <x:c r="V398" s="20"/>
      <x:c r="W398" s="26"/>
      <x:c r="X398" s="19"/>
      <x:c r="Y398" s="26"/>
      <x:c r="Z398" s="19"/>
      <x:c r="AA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20"/>
      <x:c r="J399" s="19"/>
      <x:c r="K399" s="19"/>
      <x:c r="L399" s="92" t="str">
        <x:f>IF($A399="","",IF(COUNTIFS('Orders'!$C$2:$C$500,$A399,'Orders'!$M$2:$M$500,"&lt;&gt;cancelled")=0,"",MAXIFS('Orders'!$G$2:$G$500,'Orders'!$C$2:$C$500,$A399,'Orders'!$M$2:$M$500,"&lt;&gt;cancelled")))</x:f>
      </x:c>
      <x:c r="M399" s="96" t="str">
        <x:f>IF($A399="","",SUMIFS('Orders'!$K$2:$K$500,'Orders'!$C$2:$C$500,$A399,'Orders'!$M$2:$M$500,"&lt;&gt;cancelled"))</x:f>
      </x:c>
      <x:c r="N399" s="96" t="str">
        <x:f>IF($A399="","",COUNTIFS('Orders'!$C$2:$C$500,$A399,'Orders'!$M$2:$M$500,"&lt;&gt;cancelled"))</x:f>
      </x:c>
      <x:c r="O399" s="100" t="str">
        <x:f>IF($A399="","",IF(COUNTIF('Interactions'!$B$2:$B$500,$A399)=0,"",MAXIFS('Interactions'!$G$2:$G$500,'Interactions'!$B$2:$B$500,$A399)))</x:f>
      </x:c>
      <x:c r="P399" s="100" t="str">
        <x:f>IF($A399="","",IF(COUNTIFS('FollowUps'!$B$2:$B$500,$A399,'FollowUps'!$H$2:$H$500,"open")=0,"",MINIFS('FollowUps'!$E$2:$E$500,'FollowUps'!$B$2:$B$500,$A399,'FollowUps'!$H$2:$H$500,"open")))</x:f>
      </x:c>
      <x:c r="Q399" s="104" t="str">
        <x:f>IF($A399="","",ROUND(MIN(25,$N399/VALUE(INDEX('Settings'!$B$2:$B$100,MATCH("score_purchase_target",'Settings'!$A$2:$A$100,0)))*25)+MIN(25,$M399/VALUE(INDEX('Settings'!$B$2:$B$100,MATCH("score_value_target",'Settings'!$A$2:$A$100,0)))*25)+IF($L399="",0,MAX(0,25-(TODAY()-$L399)/VALUE(INDEX('Settings'!$B$2:$B$100,MATCH("score_recency_days",'Settings'!$A$2:$A$100,0)))*25))+MIN(15,COUNTIFS('FollowUps'!$B$2:$B$500,$A399,'FollowUps'!$H$2:$H$500,"done")/VALUE(INDEX('Settings'!$B$2:$B$100,MATCH("score_response_target",'Settings'!$A$2:$A$100,0)))*15)+IF(COUNTIFS('Interactions'!$B$2:$B$500,$A399,'Interactions'!$E$2:$E$500,"complaint")=0,10,0),0))</x:f>
      </x:c>
      <x:c r="R399" s="108" t="str">
        <x:f>IF($A399="","",IF($J399="inactive","inactive",IF($J399="at_risk","at_risk",IF($Q399&gt;=85,"vip",IF($Q399&gt;=70,"loyal",IF($Q399&gt;=50,"active",IF($N399=0,"new","needs_attention")))))))</x:f>
      </x:c>
      <x:c r="S399" s="19"/>
      <x:c r="T399" s="18"/>
      <x:c r="U399" s="19"/>
      <x:c r="V399" s="20"/>
      <x:c r="W399" s="26"/>
      <x:c r="X399" s="19"/>
      <x:c r="Y399" s="26"/>
      <x:c r="Z399" s="19"/>
      <x:c r="AA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20"/>
      <x:c r="J400" s="19"/>
      <x:c r="K400" s="19"/>
      <x:c r="L400" s="92" t="str">
        <x:f>IF($A400="","",IF(COUNTIFS('Orders'!$C$2:$C$500,$A400,'Orders'!$M$2:$M$500,"&lt;&gt;cancelled")=0,"",MAXIFS('Orders'!$G$2:$G$500,'Orders'!$C$2:$C$500,$A400,'Orders'!$M$2:$M$500,"&lt;&gt;cancelled")))</x:f>
      </x:c>
      <x:c r="M400" s="96" t="str">
        <x:f>IF($A400="","",SUMIFS('Orders'!$K$2:$K$500,'Orders'!$C$2:$C$500,$A400,'Orders'!$M$2:$M$500,"&lt;&gt;cancelled"))</x:f>
      </x:c>
      <x:c r="N400" s="96" t="str">
        <x:f>IF($A400="","",COUNTIFS('Orders'!$C$2:$C$500,$A400,'Orders'!$M$2:$M$500,"&lt;&gt;cancelled"))</x:f>
      </x:c>
      <x:c r="O400" s="100" t="str">
        <x:f>IF($A400="","",IF(COUNTIF('Interactions'!$B$2:$B$500,$A400)=0,"",MAXIFS('Interactions'!$G$2:$G$500,'Interactions'!$B$2:$B$500,$A400)))</x:f>
      </x:c>
      <x:c r="P400" s="100" t="str">
        <x:f>IF($A400="","",IF(COUNTIFS('FollowUps'!$B$2:$B$500,$A400,'FollowUps'!$H$2:$H$500,"open")=0,"",MINIFS('FollowUps'!$E$2:$E$500,'FollowUps'!$B$2:$B$500,$A400,'FollowUps'!$H$2:$H$500,"open")))</x:f>
      </x:c>
      <x:c r="Q400" s="104" t="str">
        <x:f>IF($A400="","",ROUND(MIN(25,$N400/VALUE(INDEX('Settings'!$B$2:$B$100,MATCH("score_purchase_target",'Settings'!$A$2:$A$100,0)))*25)+MIN(25,$M400/VALUE(INDEX('Settings'!$B$2:$B$100,MATCH("score_value_target",'Settings'!$A$2:$A$100,0)))*25)+IF($L400="",0,MAX(0,25-(TODAY()-$L400)/VALUE(INDEX('Settings'!$B$2:$B$100,MATCH("score_recency_days",'Settings'!$A$2:$A$100,0)))*25))+MIN(15,COUNTIFS('FollowUps'!$B$2:$B$500,$A400,'FollowUps'!$H$2:$H$500,"done")/VALUE(INDEX('Settings'!$B$2:$B$100,MATCH("score_response_target",'Settings'!$A$2:$A$100,0)))*15)+IF(COUNTIFS('Interactions'!$B$2:$B$500,$A400,'Interactions'!$E$2:$E$500,"complaint")=0,10,0),0))</x:f>
      </x:c>
      <x:c r="R400" s="108" t="str">
        <x:f>IF($A400="","",IF($J400="inactive","inactive",IF($J400="at_risk","at_risk",IF($Q400&gt;=85,"vip",IF($Q400&gt;=70,"loyal",IF($Q400&gt;=50,"active",IF($N400=0,"new","needs_attention")))))))</x:f>
      </x:c>
      <x:c r="S400" s="19"/>
      <x:c r="T400" s="18"/>
      <x:c r="U400" s="19"/>
      <x:c r="V400" s="20"/>
      <x:c r="W400" s="26"/>
      <x:c r="X400" s="19"/>
      <x:c r="Y400" s="26"/>
      <x:c r="Z400" s="19"/>
      <x:c r="AA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20"/>
      <x:c r="J401" s="19"/>
      <x:c r="K401" s="19"/>
      <x:c r="L401" s="92" t="str">
        <x:f>IF($A401="","",IF(COUNTIFS('Orders'!$C$2:$C$500,$A401,'Orders'!$M$2:$M$500,"&lt;&gt;cancelled")=0,"",MAXIFS('Orders'!$G$2:$G$500,'Orders'!$C$2:$C$500,$A401,'Orders'!$M$2:$M$500,"&lt;&gt;cancelled")))</x:f>
      </x:c>
      <x:c r="M401" s="96" t="str">
        <x:f>IF($A401="","",SUMIFS('Orders'!$K$2:$K$500,'Orders'!$C$2:$C$500,$A401,'Orders'!$M$2:$M$500,"&lt;&gt;cancelled"))</x:f>
      </x:c>
      <x:c r="N401" s="96" t="str">
        <x:f>IF($A401="","",COUNTIFS('Orders'!$C$2:$C$500,$A401,'Orders'!$M$2:$M$500,"&lt;&gt;cancelled"))</x:f>
      </x:c>
      <x:c r="O401" s="100" t="str">
        <x:f>IF($A401="","",IF(COUNTIF('Interactions'!$B$2:$B$500,$A401)=0,"",MAXIFS('Interactions'!$G$2:$G$500,'Interactions'!$B$2:$B$500,$A401)))</x:f>
      </x:c>
      <x:c r="P401" s="100" t="str">
        <x:f>IF($A401="","",IF(COUNTIFS('FollowUps'!$B$2:$B$500,$A401,'FollowUps'!$H$2:$H$500,"open")=0,"",MINIFS('FollowUps'!$E$2:$E$500,'FollowUps'!$B$2:$B$500,$A401,'FollowUps'!$H$2:$H$500,"open")))</x:f>
      </x:c>
      <x:c r="Q401" s="104" t="str">
        <x:f>IF($A401="","",ROUND(MIN(25,$N401/VALUE(INDEX('Settings'!$B$2:$B$100,MATCH("score_purchase_target",'Settings'!$A$2:$A$100,0)))*25)+MIN(25,$M401/VALUE(INDEX('Settings'!$B$2:$B$100,MATCH("score_value_target",'Settings'!$A$2:$A$100,0)))*25)+IF($L401="",0,MAX(0,25-(TODAY()-$L401)/VALUE(INDEX('Settings'!$B$2:$B$100,MATCH("score_recency_days",'Settings'!$A$2:$A$100,0)))*25))+MIN(15,COUNTIFS('FollowUps'!$B$2:$B$500,$A401,'FollowUps'!$H$2:$H$500,"done")/VALUE(INDEX('Settings'!$B$2:$B$100,MATCH("score_response_target",'Settings'!$A$2:$A$100,0)))*15)+IF(COUNTIFS('Interactions'!$B$2:$B$500,$A401,'Interactions'!$E$2:$E$500,"complaint")=0,10,0),0))</x:f>
      </x:c>
      <x:c r="R401" s="108" t="str">
        <x:f>IF($A401="","",IF($J401="inactive","inactive",IF($J401="at_risk","at_risk",IF($Q401&gt;=85,"vip",IF($Q401&gt;=70,"loyal",IF($Q401&gt;=50,"active",IF($N401=0,"new","needs_attention")))))))</x:f>
      </x:c>
      <x:c r="S401" s="19"/>
      <x:c r="T401" s="18"/>
      <x:c r="U401" s="19"/>
      <x:c r="V401" s="20"/>
      <x:c r="W401" s="26"/>
      <x:c r="X401" s="19"/>
      <x:c r="Y401" s="26"/>
      <x:c r="Z401" s="19"/>
      <x:c r="AA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20"/>
      <x:c r="J402" s="19"/>
      <x:c r="K402" s="19"/>
      <x:c r="L402" s="92" t="str">
        <x:f>IF($A402="","",IF(COUNTIFS('Orders'!$C$2:$C$500,$A402,'Orders'!$M$2:$M$500,"&lt;&gt;cancelled")=0,"",MAXIFS('Orders'!$G$2:$G$500,'Orders'!$C$2:$C$500,$A402,'Orders'!$M$2:$M$500,"&lt;&gt;cancelled")))</x:f>
      </x:c>
      <x:c r="M402" s="96" t="str">
        <x:f>IF($A402="","",SUMIFS('Orders'!$K$2:$K$500,'Orders'!$C$2:$C$500,$A402,'Orders'!$M$2:$M$500,"&lt;&gt;cancelled"))</x:f>
      </x:c>
      <x:c r="N402" s="96" t="str">
        <x:f>IF($A402="","",COUNTIFS('Orders'!$C$2:$C$500,$A402,'Orders'!$M$2:$M$500,"&lt;&gt;cancelled"))</x:f>
      </x:c>
      <x:c r="O402" s="100" t="str">
        <x:f>IF($A402="","",IF(COUNTIF('Interactions'!$B$2:$B$500,$A402)=0,"",MAXIFS('Interactions'!$G$2:$G$500,'Interactions'!$B$2:$B$500,$A402)))</x:f>
      </x:c>
      <x:c r="P402" s="100" t="str">
        <x:f>IF($A402="","",IF(COUNTIFS('FollowUps'!$B$2:$B$500,$A402,'FollowUps'!$H$2:$H$500,"open")=0,"",MINIFS('FollowUps'!$E$2:$E$500,'FollowUps'!$B$2:$B$500,$A402,'FollowUps'!$H$2:$H$500,"open")))</x:f>
      </x:c>
      <x:c r="Q402" s="104" t="str">
        <x:f>IF($A402="","",ROUND(MIN(25,$N402/VALUE(INDEX('Settings'!$B$2:$B$100,MATCH("score_purchase_target",'Settings'!$A$2:$A$100,0)))*25)+MIN(25,$M402/VALUE(INDEX('Settings'!$B$2:$B$100,MATCH("score_value_target",'Settings'!$A$2:$A$100,0)))*25)+IF($L402="",0,MAX(0,25-(TODAY()-$L402)/VALUE(INDEX('Settings'!$B$2:$B$100,MATCH("score_recency_days",'Settings'!$A$2:$A$100,0)))*25))+MIN(15,COUNTIFS('FollowUps'!$B$2:$B$500,$A402,'FollowUps'!$H$2:$H$500,"done")/VALUE(INDEX('Settings'!$B$2:$B$100,MATCH("score_response_target",'Settings'!$A$2:$A$100,0)))*15)+IF(COUNTIFS('Interactions'!$B$2:$B$500,$A402,'Interactions'!$E$2:$E$500,"complaint")=0,10,0),0))</x:f>
      </x:c>
      <x:c r="R402" s="108" t="str">
        <x:f>IF($A402="","",IF($J402="inactive","inactive",IF($J402="at_risk","at_risk",IF($Q402&gt;=85,"vip",IF($Q402&gt;=70,"loyal",IF($Q402&gt;=50,"active",IF($N402=0,"new","needs_attention")))))))</x:f>
      </x:c>
      <x:c r="S402" s="19"/>
      <x:c r="T402" s="18"/>
      <x:c r="U402" s="19"/>
      <x:c r="V402" s="20"/>
      <x:c r="W402" s="26"/>
      <x:c r="X402" s="19"/>
      <x:c r="Y402" s="26"/>
      <x:c r="Z402" s="19"/>
      <x:c r="AA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20"/>
      <x:c r="J403" s="19"/>
      <x:c r="K403" s="19"/>
      <x:c r="L403" s="92" t="str">
        <x:f>IF($A403="","",IF(COUNTIFS('Orders'!$C$2:$C$500,$A403,'Orders'!$M$2:$M$500,"&lt;&gt;cancelled")=0,"",MAXIFS('Orders'!$G$2:$G$500,'Orders'!$C$2:$C$500,$A403,'Orders'!$M$2:$M$500,"&lt;&gt;cancelled")))</x:f>
      </x:c>
      <x:c r="M403" s="96" t="str">
        <x:f>IF($A403="","",SUMIFS('Orders'!$K$2:$K$500,'Orders'!$C$2:$C$500,$A403,'Orders'!$M$2:$M$500,"&lt;&gt;cancelled"))</x:f>
      </x:c>
      <x:c r="N403" s="96" t="str">
        <x:f>IF($A403="","",COUNTIFS('Orders'!$C$2:$C$500,$A403,'Orders'!$M$2:$M$500,"&lt;&gt;cancelled"))</x:f>
      </x:c>
      <x:c r="O403" s="100" t="str">
        <x:f>IF($A403="","",IF(COUNTIF('Interactions'!$B$2:$B$500,$A403)=0,"",MAXIFS('Interactions'!$G$2:$G$500,'Interactions'!$B$2:$B$500,$A403)))</x:f>
      </x:c>
      <x:c r="P403" s="100" t="str">
        <x:f>IF($A403="","",IF(COUNTIFS('FollowUps'!$B$2:$B$500,$A403,'FollowUps'!$H$2:$H$500,"open")=0,"",MINIFS('FollowUps'!$E$2:$E$500,'FollowUps'!$B$2:$B$500,$A403,'FollowUps'!$H$2:$H$500,"open")))</x:f>
      </x:c>
      <x:c r="Q403" s="104" t="str">
        <x:f>IF($A403="","",ROUND(MIN(25,$N403/VALUE(INDEX('Settings'!$B$2:$B$100,MATCH("score_purchase_target",'Settings'!$A$2:$A$100,0)))*25)+MIN(25,$M403/VALUE(INDEX('Settings'!$B$2:$B$100,MATCH("score_value_target",'Settings'!$A$2:$A$100,0)))*25)+IF($L403="",0,MAX(0,25-(TODAY()-$L403)/VALUE(INDEX('Settings'!$B$2:$B$100,MATCH("score_recency_days",'Settings'!$A$2:$A$100,0)))*25))+MIN(15,COUNTIFS('FollowUps'!$B$2:$B$500,$A403,'FollowUps'!$H$2:$H$500,"done")/VALUE(INDEX('Settings'!$B$2:$B$100,MATCH("score_response_target",'Settings'!$A$2:$A$100,0)))*15)+IF(COUNTIFS('Interactions'!$B$2:$B$500,$A403,'Interactions'!$E$2:$E$500,"complaint")=0,10,0),0))</x:f>
      </x:c>
      <x:c r="R403" s="108" t="str">
        <x:f>IF($A403="","",IF($J403="inactive","inactive",IF($J403="at_risk","at_risk",IF($Q403&gt;=85,"vip",IF($Q403&gt;=70,"loyal",IF($Q403&gt;=50,"active",IF($N403=0,"new","needs_attention")))))))</x:f>
      </x:c>
      <x:c r="S403" s="19"/>
      <x:c r="T403" s="18"/>
      <x:c r="U403" s="19"/>
      <x:c r="V403" s="20"/>
      <x:c r="W403" s="26"/>
      <x:c r="X403" s="19"/>
      <x:c r="Y403" s="26"/>
      <x:c r="Z403" s="19"/>
      <x:c r="AA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20"/>
      <x:c r="J404" s="19"/>
      <x:c r="K404" s="19"/>
      <x:c r="L404" s="92" t="str">
        <x:f>IF($A404="","",IF(COUNTIFS('Orders'!$C$2:$C$500,$A404,'Orders'!$M$2:$M$500,"&lt;&gt;cancelled")=0,"",MAXIFS('Orders'!$G$2:$G$500,'Orders'!$C$2:$C$500,$A404,'Orders'!$M$2:$M$500,"&lt;&gt;cancelled")))</x:f>
      </x:c>
      <x:c r="M404" s="96" t="str">
        <x:f>IF($A404="","",SUMIFS('Orders'!$K$2:$K$500,'Orders'!$C$2:$C$500,$A404,'Orders'!$M$2:$M$500,"&lt;&gt;cancelled"))</x:f>
      </x:c>
      <x:c r="N404" s="96" t="str">
        <x:f>IF($A404="","",COUNTIFS('Orders'!$C$2:$C$500,$A404,'Orders'!$M$2:$M$500,"&lt;&gt;cancelled"))</x:f>
      </x:c>
      <x:c r="O404" s="100" t="str">
        <x:f>IF($A404="","",IF(COUNTIF('Interactions'!$B$2:$B$500,$A404)=0,"",MAXIFS('Interactions'!$G$2:$G$500,'Interactions'!$B$2:$B$500,$A404)))</x:f>
      </x:c>
      <x:c r="P404" s="100" t="str">
        <x:f>IF($A404="","",IF(COUNTIFS('FollowUps'!$B$2:$B$500,$A404,'FollowUps'!$H$2:$H$500,"open")=0,"",MINIFS('FollowUps'!$E$2:$E$500,'FollowUps'!$B$2:$B$500,$A404,'FollowUps'!$H$2:$H$500,"open")))</x:f>
      </x:c>
      <x:c r="Q404" s="104" t="str">
        <x:f>IF($A404="","",ROUND(MIN(25,$N404/VALUE(INDEX('Settings'!$B$2:$B$100,MATCH("score_purchase_target",'Settings'!$A$2:$A$100,0)))*25)+MIN(25,$M404/VALUE(INDEX('Settings'!$B$2:$B$100,MATCH("score_value_target",'Settings'!$A$2:$A$100,0)))*25)+IF($L404="",0,MAX(0,25-(TODAY()-$L404)/VALUE(INDEX('Settings'!$B$2:$B$100,MATCH("score_recency_days",'Settings'!$A$2:$A$100,0)))*25))+MIN(15,COUNTIFS('FollowUps'!$B$2:$B$500,$A404,'FollowUps'!$H$2:$H$500,"done")/VALUE(INDEX('Settings'!$B$2:$B$100,MATCH("score_response_target",'Settings'!$A$2:$A$100,0)))*15)+IF(COUNTIFS('Interactions'!$B$2:$B$500,$A404,'Interactions'!$E$2:$E$500,"complaint")=0,10,0),0))</x:f>
      </x:c>
      <x:c r="R404" s="108" t="str">
        <x:f>IF($A404="","",IF($J404="inactive","inactive",IF($J404="at_risk","at_risk",IF($Q404&gt;=85,"vip",IF($Q404&gt;=70,"loyal",IF($Q404&gt;=50,"active",IF($N404=0,"new","needs_attention")))))))</x:f>
      </x:c>
      <x:c r="S404" s="19"/>
      <x:c r="T404" s="18"/>
      <x:c r="U404" s="19"/>
      <x:c r="V404" s="20"/>
      <x:c r="W404" s="26"/>
      <x:c r="X404" s="19"/>
      <x:c r="Y404" s="26"/>
      <x:c r="Z404" s="19"/>
      <x:c r="AA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20"/>
      <x:c r="J405" s="19"/>
      <x:c r="K405" s="19"/>
      <x:c r="L405" s="92" t="str">
        <x:f>IF($A405="","",IF(COUNTIFS('Orders'!$C$2:$C$500,$A405,'Orders'!$M$2:$M$500,"&lt;&gt;cancelled")=0,"",MAXIFS('Orders'!$G$2:$G$500,'Orders'!$C$2:$C$500,$A405,'Orders'!$M$2:$M$500,"&lt;&gt;cancelled")))</x:f>
      </x:c>
      <x:c r="M405" s="96" t="str">
        <x:f>IF($A405="","",SUMIFS('Orders'!$K$2:$K$500,'Orders'!$C$2:$C$500,$A405,'Orders'!$M$2:$M$500,"&lt;&gt;cancelled"))</x:f>
      </x:c>
      <x:c r="N405" s="96" t="str">
        <x:f>IF($A405="","",COUNTIFS('Orders'!$C$2:$C$500,$A405,'Orders'!$M$2:$M$500,"&lt;&gt;cancelled"))</x:f>
      </x:c>
      <x:c r="O405" s="100" t="str">
        <x:f>IF($A405="","",IF(COUNTIF('Interactions'!$B$2:$B$500,$A405)=0,"",MAXIFS('Interactions'!$G$2:$G$500,'Interactions'!$B$2:$B$500,$A405)))</x:f>
      </x:c>
      <x:c r="P405" s="100" t="str">
        <x:f>IF($A405="","",IF(COUNTIFS('FollowUps'!$B$2:$B$500,$A405,'FollowUps'!$H$2:$H$500,"open")=0,"",MINIFS('FollowUps'!$E$2:$E$500,'FollowUps'!$B$2:$B$500,$A405,'FollowUps'!$H$2:$H$500,"open")))</x:f>
      </x:c>
      <x:c r="Q405" s="104" t="str">
        <x:f>IF($A405="","",ROUND(MIN(25,$N405/VALUE(INDEX('Settings'!$B$2:$B$100,MATCH("score_purchase_target",'Settings'!$A$2:$A$100,0)))*25)+MIN(25,$M405/VALUE(INDEX('Settings'!$B$2:$B$100,MATCH("score_value_target",'Settings'!$A$2:$A$100,0)))*25)+IF($L405="",0,MAX(0,25-(TODAY()-$L405)/VALUE(INDEX('Settings'!$B$2:$B$100,MATCH("score_recency_days",'Settings'!$A$2:$A$100,0)))*25))+MIN(15,COUNTIFS('FollowUps'!$B$2:$B$500,$A405,'FollowUps'!$H$2:$H$500,"done")/VALUE(INDEX('Settings'!$B$2:$B$100,MATCH("score_response_target",'Settings'!$A$2:$A$100,0)))*15)+IF(COUNTIFS('Interactions'!$B$2:$B$500,$A405,'Interactions'!$E$2:$E$500,"complaint")=0,10,0),0))</x:f>
      </x:c>
      <x:c r="R405" s="108" t="str">
        <x:f>IF($A405="","",IF($J405="inactive","inactive",IF($J405="at_risk","at_risk",IF($Q405&gt;=85,"vip",IF($Q405&gt;=70,"loyal",IF($Q405&gt;=50,"active",IF($N405=0,"new","needs_attention")))))))</x:f>
      </x:c>
      <x:c r="S405" s="19"/>
      <x:c r="T405" s="18"/>
      <x:c r="U405" s="19"/>
      <x:c r="V405" s="20"/>
      <x:c r="W405" s="26"/>
      <x:c r="X405" s="19"/>
      <x:c r="Y405" s="26"/>
      <x:c r="Z405" s="19"/>
      <x:c r="AA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20"/>
      <x:c r="J406" s="19"/>
      <x:c r="K406" s="19"/>
      <x:c r="L406" s="92" t="str">
        <x:f>IF($A406="","",IF(COUNTIFS('Orders'!$C$2:$C$500,$A406,'Orders'!$M$2:$M$500,"&lt;&gt;cancelled")=0,"",MAXIFS('Orders'!$G$2:$G$500,'Orders'!$C$2:$C$500,$A406,'Orders'!$M$2:$M$500,"&lt;&gt;cancelled")))</x:f>
      </x:c>
      <x:c r="M406" s="96" t="str">
        <x:f>IF($A406="","",SUMIFS('Orders'!$K$2:$K$500,'Orders'!$C$2:$C$500,$A406,'Orders'!$M$2:$M$500,"&lt;&gt;cancelled"))</x:f>
      </x:c>
      <x:c r="N406" s="96" t="str">
        <x:f>IF($A406="","",COUNTIFS('Orders'!$C$2:$C$500,$A406,'Orders'!$M$2:$M$500,"&lt;&gt;cancelled"))</x:f>
      </x:c>
      <x:c r="O406" s="100" t="str">
        <x:f>IF($A406="","",IF(COUNTIF('Interactions'!$B$2:$B$500,$A406)=0,"",MAXIFS('Interactions'!$G$2:$G$500,'Interactions'!$B$2:$B$500,$A406)))</x:f>
      </x:c>
      <x:c r="P406" s="100" t="str">
        <x:f>IF($A406="","",IF(COUNTIFS('FollowUps'!$B$2:$B$500,$A406,'FollowUps'!$H$2:$H$500,"open")=0,"",MINIFS('FollowUps'!$E$2:$E$500,'FollowUps'!$B$2:$B$500,$A406,'FollowUps'!$H$2:$H$500,"open")))</x:f>
      </x:c>
      <x:c r="Q406" s="104" t="str">
        <x:f>IF($A406="","",ROUND(MIN(25,$N406/VALUE(INDEX('Settings'!$B$2:$B$100,MATCH("score_purchase_target",'Settings'!$A$2:$A$100,0)))*25)+MIN(25,$M406/VALUE(INDEX('Settings'!$B$2:$B$100,MATCH("score_value_target",'Settings'!$A$2:$A$100,0)))*25)+IF($L406="",0,MAX(0,25-(TODAY()-$L406)/VALUE(INDEX('Settings'!$B$2:$B$100,MATCH("score_recency_days",'Settings'!$A$2:$A$100,0)))*25))+MIN(15,COUNTIFS('FollowUps'!$B$2:$B$500,$A406,'FollowUps'!$H$2:$H$500,"done")/VALUE(INDEX('Settings'!$B$2:$B$100,MATCH("score_response_target",'Settings'!$A$2:$A$100,0)))*15)+IF(COUNTIFS('Interactions'!$B$2:$B$500,$A406,'Interactions'!$E$2:$E$500,"complaint")=0,10,0),0))</x:f>
      </x:c>
      <x:c r="R406" s="108" t="str">
        <x:f>IF($A406="","",IF($J406="inactive","inactive",IF($J406="at_risk","at_risk",IF($Q406&gt;=85,"vip",IF($Q406&gt;=70,"loyal",IF($Q406&gt;=50,"active",IF($N406=0,"new","needs_attention")))))))</x:f>
      </x:c>
      <x:c r="S406" s="19"/>
      <x:c r="T406" s="18"/>
      <x:c r="U406" s="19"/>
      <x:c r="V406" s="20"/>
      <x:c r="W406" s="26"/>
      <x:c r="X406" s="19"/>
      <x:c r="Y406" s="26"/>
      <x:c r="Z406" s="19"/>
      <x:c r="AA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20"/>
      <x:c r="J407" s="19"/>
      <x:c r="K407" s="19"/>
      <x:c r="L407" s="92" t="str">
        <x:f>IF($A407="","",IF(COUNTIFS('Orders'!$C$2:$C$500,$A407,'Orders'!$M$2:$M$500,"&lt;&gt;cancelled")=0,"",MAXIFS('Orders'!$G$2:$G$500,'Orders'!$C$2:$C$500,$A407,'Orders'!$M$2:$M$500,"&lt;&gt;cancelled")))</x:f>
      </x:c>
      <x:c r="M407" s="96" t="str">
        <x:f>IF($A407="","",SUMIFS('Orders'!$K$2:$K$500,'Orders'!$C$2:$C$500,$A407,'Orders'!$M$2:$M$500,"&lt;&gt;cancelled"))</x:f>
      </x:c>
      <x:c r="N407" s="96" t="str">
        <x:f>IF($A407="","",COUNTIFS('Orders'!$C$2:$C$500,$A407,'Orders'!$M$2:$M$500,"&lt;&gt;cancelled"))</x:f>
      </x:c>
      <x:c r="O407" s="100" t="str">
        <x:f>IF($A407="","",IF(COUNTIF('Interactions'!$B$2:$B$500,$A407)=0,"",MAXIFS('Interactions'!$G$2:$G$500,'Interactions'!$B$2:$B$500,$A407)))</x:f>
      </x:c>
      <x:c r="P407" s="100" t="str">
        <x:f>IF($A407="","",IF(COUNTIFS('FollowUps'!$B$2:$B$500,$A407,'FollowUps'!$H$2:$H$500,"open")=0,"",MINIFS('FollowUps'!$E$2:$E$500,'FollowUps'!$B$2:$B$500,$A407,'FollowUps'!$H$2:$H$500,"open")))</x:f>
      </x:c>
      <x:c r="Q407" s="104" t="str">
        <x:f>IF($A407="","",ROUND(MIN(25,$N407/VALUE(INDEX('Settings'!$B$2:$B$100,MATCH("score_purchase_target",'Settings'!$A$2:$A$100,0)))*25)+MIN(25,$M407/VALUE(INDEX('Settings'!$B$2:$B$100,MATCH("score_value_target",'Settings'!$A$2:$A$100,0)))*25)+IF($L407="",0,MAX(0,25-(TODAY()-$L407)/VALUE(INDEX('Settings'!$B$2:$B$100,MATCH("score_recency_days",'Settings'!$A$2:$A$100,0)))*25))+MIN(15,COUNTIFS('FollowUps'!$B$2:$B$500,$A407,'FollowUps'!$H$2:$H$500,"done")/VALUE(INDEX('Settings'!$B$2:$B$100,MATCH("score_response_target",'Settings'!$A$2:$A$100,0)))*15)+IF(COUNTIFS('Interactions'!$B$2:$B$500,$A407,'Interactions'!$E$2:$E$500,"complaint")=0,10,0),0))</x:f>
      </x:c>
      <x:c r="R407" s="108" t="str">
        <x:f>IF($A407="","",IF($J407="inactive","inactive",IF($J407="at_risk","at_risk",IF($Q407&gt;=85,"vip",IF($Q407&gt;=70,"loyal",IF($Q407&gt;=50,"active",IF($N407=0,"new","needs_attention")))))))</x:f>
      </x:c>
      <x:c r="S407" s="19"/>
      <x:c r="T407" s="18"/>
      <x:c r="U407" s="19"/>
      <x:c r="V407" s="20"/>
      <x:c r="W407" s="26"/>
      <x:c r="X407" s="19"/>
      <x:c r="Y407" s="26"/>
      <x:c r="Z407" s="19"/>
      <x:c r="AA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20"/>
      <x:c r="J408" s="19"/>
      <x:c r="K408" s="19"/>
      <x:c r="L408" s="92" t="str">
        <x:f>IF($A408="","",IF(COUNTIFS('Orders'!$C$2:$C$500,$A408,'Orders'!$M$2:$M$500,"&lt;&gt;cancelled")=0,"",MAXIFS('Orders'!$G$2:$G$500,'Orders'!$C$2:$C$500,$A408,'Orders'!$M$2:$M$500,"&lt;&gt;cancelled")))</x:f>
      </x:c>
      <x:c r="M408" s="96" t="str">
        <x:f>IF($A408="","",SUMIFS('Orders'!$K$2:$K$500,'Orders'!$C$2:$C$500,$A408,'Orders'!$M$2:$M$500,"&lt;&gt;cancelled"))</x:f>
      </x:c>
      <x:c r="N408" s="96" t="str">
        <x:f>IF($A408="","",COUNTIFS('Orders'!$C$2:$C$500,$A408,'Orders'!$M$2:$M$500,"&lt;&gt;cancelled"))</x:f>
      </x:c>
      <x:c r="O408" s="100" t="str">
        <x:f>IF($A408="","",IF(COUNTIF('Interactions'!$B$2:$B$500,$A408)=0,"",MAXIFS('Interactions'!$G$2:$G$500,'Interactions'!$B$2:$B$500,$A408)))</x:f>
      </x:c>
      <x:c r="P408" s="100" t="str">
        <x:f>IF($A408="","",IF(COUNTIFS('FollowUps'!$B$2:$B$500,$A408,'FollowUps'!$H$2:$H$500,"open")=0,"",MINIFS('FollowUps'!$E$2:$E$500,'FollowUps'!$B$2:$B$500,$A408,'FollowUps'!$H$2:$H$500,"open")))</x:f>
      </x:c>
      <x:c r="Q408" s="104" t="str">
        <x:f>IF($A408="","",ROUND(MIN(25,$N408/VALUE(INDEX('Settings'!$B$2:$B$100,MATCH("score_purchase_target",'Settings'!$A$2:$A$100,0)))*25)+MIN(25,$M408/VALUE(INDEX('Settings'!$B$2:$B$100,MATCH("score_value_target",'Settings'!$A$2:$A$100,0)))*25)+IF($L408="",0,MAX(0,25-(TODAY()-$L408)/VALUE(INDEX('Settings'!$B$2:$B$100,MATCH("score_recency_days",'Settings'!$A$2:$A$100,0)))*25))+MIN(15,COUNTIFS('FollowUps'!$B$2:$B$500,$A408,'FollowUps'!$H$2:$H$500,"done")/VALUE(INDEX('Settings'!$B$2:$B$100,MATCH("score_response_target",'Settings'!$A$2:$A$100,0)))*15)+IF(COUNTIFS('Interactions'!$B$2:$B$500,$A408,'Interactions'!$E$2:$E$500,"complaint")=0,10,0),0))</x:f>
      </x:c>
      <x:c r="R408" s="108" t="str">
        <x:f>IF($A408="","",IF($J408="inactive","inactive",IF($J408="at_risk","at_risk",IF($Q408&gt;=85,"vip",IF($Q408&gt;=70,"loyal",IF($Q408&gt;=50,"active",IF($N408=0,"new","needs_attention")))))))</x:f>
      </x:c>
      <x:c r="S408" s="19"/>
      <x:c r="T408" s="18"/>
      <x:c r="U408" s="19"/>
      <x:c r="V408" s="20"/>
      <x:c r="W408" s="26"/>
      <x:c r="X408" s="19"/>
      <x:c r="Y408" s="26"/>
      <x:c r="Z408" s="19"/>
      <x:c r="AA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20"/>
      <x:c r="J409" s="19"/>
      <x:c r="K409" s="19"/>
      <x:c r="L409" s="92" t="str">
        <x:f>IF($A409="","",IF(COUNTIFS('Orders'!$C$2:$C$500,$A409,'Orders'!$M$2:$M$500,"&lt;&gt;cancelled")=0,"",MAXIFS('Orders'!$G$2:$G$500,'Orders'!$C$2:$C$500,$A409,'Orders'!$M$2:$M$500,"&lt;&gt;cancelled")))</x:f>
      </x:c>
      <x:c r="M409" s="96" t="str">
        <x:f>IF($A409="","",SUMIFS('Orders'!$K$2:$K$500,'Orders'!$C$2:$C$500,$A409,'Orders'!$M$2:$M$500,"&lt;&gt;cancelled"))</x:f>
      </x:c>
      <x:c r="N409" s="96" t="str">
        <x:f>IF($A409="","",COUNTIFS('Orders'!$C$2:$C$500,$A409,'Orders'!$M$2:$M$500,"&lt;&gt;cancelled"))</x:f>
      </x:c>
      <x:c r="O409" s="100" t="str">
        <x:f>IF($A409="","",IF(COUNTIF('Interactions'!$B$2:$B$500,$A409)=0,"",MAXIFS('Interactions'!$G$2:$G$500,'Interactions'!$B$2:$B$500,$A409)))</x:f>
      </x:c>
      <x:c r="P409" s="100" t="str">
        <x:f>IF($A409="","",IF(COUNTIFS('FollowUps'!$B$2:$B$500,$A409,'FollowUps'!$H$2:$H$500,"open")=0,"",MINIFS('FollowUps'!$E$2:$E$500,'FollowUps'!$B$2:$B$500,$A409,'FollowUps'!$H$2:$H$500,"open")))</x:f>
      </x:c>
      <x:c r="Q409" s="104" t="str">
        <x:f>IF($A409="","",ROUND(MIN(25,$N409/VALUE(INDEX('Settings'!$B$2:$B$100,MATCH("score_purchase_target",'Settings'!$A$2:$A$100,0)))*25)+MIN(25,$M409/VALUE(INDEX('Settings'!$B$2:$B$100,MATCH("score_value_target",'Settings'!$A$2:$A$100,0)))*25)+IF($L409="",0,MAX(0,25-(TODAY()-$L409)/VALUE(INDEX('Settings'!$B$2:$B$100,MATCH("score_recency_days",'Settings'!$A$2:$A$100,0)))*25))+MIN(15,COUNTIFS('FollowUps'!$B$2:$B$500,$A409,'FollowUps'!$H$2:$H$500,"done")/VALUE(INDEX('Settings'!$B$2:$B$100,MATCH("score_response_target",'Settings'!$A$2:$A$100,0)))*15)+IF(COUNTIFS('Interactions'!$B$2:$B$500,$A409,'Interactions'!$E$2:$E$500,"complaint")=0,10,0),0))</x:f>
      </x:c>
      <x:c r="R409" s="108" t="str">
        <x:f>IF($A409="","",IF($J409="inactive","inactive",IF($J409="at_risk","at_risk",IF($Q409&gt;=85,"vip",IF($Q409&gt;=70,"loyal",IF($Q409&gt;=50,"active",IF($N409=0,"new","needs_attention")))))))</x:f>
      </x:c>
      <x:c r="S409" s="19"/>
      <x:c r="T409" s="18"/>
      <x:c r="U409" s="19"/>
      <x:c r="V409" s="20"/>
      <x:c r="W409" s="26"/>
      <x:c r="X409" s="19"/>
      <x:c r="Y409" s="26"/>
      <x:c r="Z409" s="19"/>
      <x:c r="AA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20"/>
      <x:c r="J410" s="19"/>
      <x:c r="K410" s="19"/>
      <x:c r="L410" s="92" t="str">
        <x:f>IF($A410="","",IF(COUNTIFS('Orders'!$C$2:$C$500,$A410,'Orders'!$M$2:$M$500,"&lt;&gt;cancelled")=0,"",MAXIFS('Orders'!$G$2:$G$500,'Orders'!$C$2:$C$500,$A410,'Orders'!$M$2:$M$500,"&lt;&gt;cancelled")))</x:f>
      </x:c>
      <x:c r="M410" s="96" t="str">
        <x:f>IF($A410="","",SUMIFS('Orders'!$K$2:$K$500,'Orders'!$C$2:$C$500,$A410,'Orders'!$M$2:$M$500,"&lt;&gt;cancelled"))</x:f>
      </x:c>
      <x:c r="N410" s="96" t="str">
        <x:f>IF($A410="","",COUNTIFS('Orders'!$C$2:$C$500,$A410,'Orders'!$M$2:$M$500,"&lt;&gt;cancelled"))</x:f>
      </x:c>
      <x:c r="O410" s="100" t="str">
        <x:f>IF($A410="","",IF(COUNTIF('Interactions'!$B$2:$B$500,$A410)=0,"",MAXIFS('Interactions'!$G$2:$G$500,'Interactions'!$B$2:$B$500,$A410)))</x:f>
      </x:c>
      <x:c r="P410" s="100" t="str">
        <x:f>IF($A410="","",IF(COUNTIFS('FollowUps'!$B$2:$B$500,$A410,'FollowUps'!$H$2:$H$500,"open")=0,"",MINIFS('FollowUps'!$E$2:$E$500,'FollowUps'!$B$2:$B$500,$A410,'FollowUps'!$H$2:$H$500,"open")))</x:f>
      </x:c>
      <x:c r="Q410" s="104" t="str">
        <x:f>IF($A410="","",ROUND(MIN(25,$N410/VALUE(INDEX('Settings'!$B$2:$B$100,MATCH("score_purchase_target",'Settings'!$A$2:$A$100,0)))*25)+MIN(25,$M410/VALUE(INDEX('Settings'!$B$2:$B$100,MATCH("score_value_target",'Settings'!$A$2:$A$100,0)))*25)+IF($L410="",0,MAX(0,25-(TODAY()-$L410)/VALUE(INDEX('Settings'!$B$2:$B$100,MATCH("score_recency_days",'Settings'!$A$2:$A$100,0)))*25))+MIN(15,COUNTIFS('FollowUps'!$B$2:$B$500,$A410,'FollowUps'!$H$2:$H$500,"done")/VALUE(INDEX('Settings'!$B$2:$B$100,MATCH("score_response_target",'Settings'!$A$2:$A$100,0)))*15)+IF(COUNTIFS('Interactions'!$B$2:$B$500,$A410,'Interactions'!$E$2:$E$500,"complaint")=0,10,0),0))</x:f>
      </x:c>
      <x:c r="R410" s="108" t="str">
        <x:f>IF($A410="","",IF($J410="inactive","inactive",IF($J410="at_risk","at_risk",IF($Q410&gt;=85,"vip",IF($Q410&gt;=70,"loyal",IF($Q410&gt;=50,"active",IF($N410=0,"new","needs_attention")))))))</x:f>
      </x:c>
      <x:c r="S410" s="19"/>
      <x:c r="T410" s="18"/>
      <x:c r="U410" s="19"/>
      <x:c r="V410" s="20"/>
      <x:c r="W410" s="26"/>
      <x:c r="X410" s="19"/>
      <x:c r="Y410" s="26"/>
      <x:c r="Z410" s="19"/>
      <x:c r="AA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20"/>
      <x:c r="J411" s="19"/>
      <x:c r="K411" s="19"/>
      <x:c r="L411" s="92" t="str">
        <x:f>IF($A411="","",IF(COUNTIFS('Orders'!$C$2:$C$500,$A411,'Orders'!$M$2:$M$500,"&lt;&gt;cancelled")=0,"",MAXIFS('Orders'!$G$2:$G$500,'Orders'!$C$2:$C$500,$A411,'Orders'!$M$2:$M$500,"&lt;&gt;cancelled")))</x:f>
      </x:c>
      <x:c r="M411" s="96" t="str">
        <x:f>IF($A411="","",SUMIFS('Orders'!$K$2:$K$500,'Orders'!$C$2:$C$500,$A411,'Orders'!$M$2:$M$500,"&lt;&gt;cancelled"))</x:f>
      </x:c>
      <x:c r="N411" s="96" t="str">
        <x:f>IF($A411="","",COUNTIFS('Orders'!$C$2:$C$500,$A411,'Orders'!$M$2:$M$500,"&lt;&gt;cancelled"))</x:f>
      </x:c>
      <x:c r="O411" s="100" t="str">
        <x:f>IF($A411="","",IF(COUNTIF('Interactions'!$B$2:$B$500,$A411)=0,"",MAXIFS('Interactions'!$G$2:$G$500,'Interactions'!$B$2:$B$500,$A411)))</x:f>
      </x:c>
      <x:c r="P411" s="100" t="str">
        <x:f>IF($A411="","",IF(COUNTIFS('FollowUps'!$B$2:$B$500,$A411,'FollowUps'!$H$2:$H$500,"open")=0,"",MINIFS('FollowUps'!$E$2:$E$500,'FollowUps'!$B$2:$B$500,$A411,'FollowUps'!$H$2:$H$500,"open")))</x:f>
      </x:c>
      <x:c r="Q411" s="104" t="str">
        <x:f>IF($A411="","",ROUND(MIN(25,$N411/VALUE(INDEX('Settings'!$B$2:$B$100,MATCH("score_purchase_target",'Settings'!$A$2:$A$100,0)))*25)+MIN(25,$M411/VALUE(INDEX('Settings'!$B$2:$B$100,MATCH("score_value_target",'Settings'!$A$2:$A$100,0)))*25)+IF($L411="",0,MAX(0,25-(TODAY()-$L411)/VALUE(INDEX('Settings'!$B$2:$B$100,MATCH("score_recency_days",'Settings'!$A$2:$A$100,0)))*25))+MIN(15,COUNTIFS('FollowUps'!$B$2:$B$500,$A411,'FollowUps'!$H$2:$H$500,"done")/VALUE(INDEX('Settings'!$B$2:$B$100,MATCH("score_response_target",'Settings'!$A$2:$A$100,0)))*15)+IF(COUNTIFS('Interactions'!$B$2:$B$500,$A411,'Interactions'!$E$2:$E$500,"complaint")=0,10,0),0))</x:f>
      </x:c>
      <x:c r="R411" s="108" t="str">
        <x:f>IF($A411="","",IF($J411="inactive","inactive",IF($J411="at_risk","at_risk",IF($Q411&gt;=85,"vip",IF($Q411&gt;=70,"loyal",IF($Q411&gt;=50,"active",IF($N411=0,"new","needs_attention")))))))</x:f>
      </x:c>
      <x:c r="S411" s="19"/>
      <x:c r="T411" s="18"/>
      <x:c r="U411" s="19"/>
      <x:c r="V411" s="20"/>
      <x:c r="W411" s="26"/>
      <x:c r="X411" s="19"/>
      <x:c r="Y411" s="26"/>
      <x:c r="Z411" s="19"/>
      <x:c r="AA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20"/>
      <x:c r="J412" s="19"/>
      <x:c r="K412" s="19"/>
      <x:c r="L412" s="92" t="str">
        <x:f>IF($A412="","",IF(COUNTIFS('Orders'!$C$2:$C$500,$A412,'Orders'!$M$2:$M$500,"&lt;&gt;cancelled")=0,"",MAXIFS('Orders'!$G$2:$G$500,'Orders'!$C$2:$C$500,$A412,'Orders'!$M$2:$M$500,"&lt;&gt;cancelled")))</x:f>
      </x:c>
      <x:c r="M412" s="96" t="str">
        <x:f>IF($A412="","",SUMIFS('Orders'!$K$2:$K$500,'Orders'!$C$2:$C$500,$A412,'Orders'!$M$2:$M$500,"&lt;&gt;cancelled"))</x:f>
      </x:c>
      <x:c r="N412" s="96" t="str">
        <x:f>IF($A412="","",COUNTIFS('Orders'!$C$2:$C$500,$A412,'Orders'!$M$2:$M$500,"&lt;&gt;cancelled"))</x:f>
      </x:c>
      <x:c r="O412" s="100" t="str">
        <x:f>IF($A412="","",IF(COUNTIF('Interactions'!$B$2:$B$500,$A412)=0,"",MAXIFS('Interactions'!$G$2:$G$500,'Interactions'!$B$2:$B$500,$A412)))</x:f>
      </x:c>
      <x:c r="P412" s="100" t="str">
        <x:f>IF($A412="","",IF(COUNTIFS('FollowUps'!$B$2:$B$500,$A412,'FollowUps'!$H$2:$H$500,"open")=0,"",MINIFS('FollowUps'!$E$2:$E$500,'FollowUps'!$B$2:$B$500,$A412,'FollowUps'!$H$2:$H$500,"open")))</x:f>
      </x:c>
      <x:c r="Q412" s="104" t="str">
        <x:f>IF($A412="","",ROUND(MIN(25,$N412/VALUE(INDEX('Settings'!$B$2:$B$100,MATCH("score_purchase_target",'Settings'!$A$2:$A$100,0)))*25)+MIN(25,$M412/VALUE(INDEX('Settings'!$B$2:$B$100,MATCH("score_value_target",'Settings'!$A$2:$A$100,0)))*25)+IF($L412="",0,MAX(0,25-(TODAY()-$L412)/VALUE(INDEX('Settings'!$B$2:$B$100,MATCH("score_recency_days",'Settings'!$A$2:$A$100,0)))*25))+MIN(15,COUNTIFS('FollowUps'!$B$2:$B$500,$A412,'FollowUps'!$H$2:$H$500,"done")/VALUE(INDEX('Settings'!$B$2:$B$100,MATCH("score_response_target",'Settings'!$A$2:$A$100,0)))*15)+IF(COUNTIFS('Interactions'!$B$2:$B$500,$A412,'Interactions'!$E$2:$E$500,"complaint")=0,10,0),0))</x:f>
      </x:c>
      <x:c r="R412" s="108" t="str">
        <x:f>IF($A412="","",IF($J412="inactive","inactive",IF($J412="at_risk","at_risk",IF($Q412&gt;=85,"vip",IF($Q412&gt;=70,"loyal",IF($Q412&gt;=50,"active",IF($N412=0,"new","needs_attention")))))))</x:f>
      </x:c>
      <x:c r="S412" s="19"/>
      <x:c r="T412" s="18"/>
      <x:c r="U412" s="19"/>
      <x:c r="V412" s="20"/>
      <x:c r="W412" s="26"/>
      <x:c r="X412" s="19"/>
      <x:c r="Y412" s="26"/>
      <x:c r="Z412" s="19"/>
      <x:c r="AA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20"/>
      <x:c r="J413" s="19"/>
      <x:c r="K413" s="19"/>
      <x:c r="L413" s="92" t="str">
        <x:f>IF($A413="","",IF(COUNTIFS('Orders'!$C$2:$C$500,$A413,'Orders'!$M$2:$M$500,"&lt;&gt;cancelled")=0,"",MAXIFS('Orders'!$G$2:$G$500,'Orders'!$C$2:$C$500,$A413,'Orders'!$M$2:$M$500,"&lt;&gt;cancelled")))</x:f>
      </x:c>
      <x:c r="M413" s="96" t="str">
        <x:f>IF($A413="","",SUMIFS('Orders'!$K$2:$K$500,'Orders'!$C$2:$C$500,$A413,'Orders'!$M$2:$M$500,"&lt;&gt;cancelled"))</x:f>
      </x:c>
      <x:c r="N413" s="96" t="str">
        <x:f>IF($A413="","",COUNTIFS('Orders'!$C$2:$C$500,$A413,'Orders'!$M$2:$M$500,"&lt;&gt;cancelled"))</x:f>
      </x:c>
      <x:c r="O413" s="100" t="str">
        <x:f>IF($A413="","",IF(COUNTIF('Interactions'!$B$2:$B$500,$A413)=0,"",MAXIFS('Interactions'!$G$2:$G$500,'Interactions'!$B$2:$B$500,$A413)))</x:f>
      </x:c>
      <x:c r="P413" s="100" t="str">
        <x:f>IF($A413="","",IF(COUNTIFS('FollowUps'!$B$2:$B$500,$A413,'FollowUps'!$H$2:$H$500,"open")=0,"",MINIFS('FollowUps'!$E$2:$E$500,'FollowUps'!$B$2:$B$500,$A413,'FollowUps'!$H$2:$H$500,"open")))</x:f>
      </x:c>
      <x:c r="Q413" s="104" t="str">
        <x:f>IF($A413="","",ROUND(MIN(25,$N413/VALUE(INDEX('Settings'!$B$2:$B$100,MATCH("score_purchase_target",'Settings'!$A$2:$A$100,0)))*25)+MIN(25,$M413/VALUE(INDEX('Settings'!$B$2:$B$100,MATCH("score_value_target",'Settings'!$A$2:$A$100,0)))*25)+IF($L413="",0,MAX(0,25-(TODAY()-$L413)/VALUE(INDEX('Settings'!$B$2:$B$100,MATCH("score_recency_days",'Settings'!$A$2:$A$100,0)))*25))+MIN(15,COUNTIFS('FollowUps'!$B$2:$B$500,$A413,'FollowUps'!$H$2:$H$500,"done")/VALUE(INDEX('Settings'!$B$2:$B$100,MATCH("score_response_target",'Settings'!$A$2:$A$100,0)))*15)+IF(COUNTIFS('Interactions'!$B$2:$B$500,$A413,'Interactions'!$E$2:$E$500,"complaint")=0,10,0),0))</x:f>
      </x:c>
      <x:c r="R413" s="108" t="str">
        <x:f>IF($A413="","",IF($J413="inactive","inactive",IF($J413="at_risk","at_risk",IF($Q413&gt;=85,"vip",IF($Q413&gt;=70,"loyal",IF($Q413&gt;=50,"active",IF($N413=0,"new","needs_attention")))))))</x:f>
      </x:c>
      <x:c r="S413" s="19"/>
      <x:c r="T413" s="18"/>
      <x:c r="U413" s="19"/>
      <x:c r="V413" s="20"/>
      <x:c r="W413" s="26"/>
      <x:c r="X413" s="19"/>
      <x:c r="Y413" s="26"/>
      <x:c r="Z413" s="19"/>
      <x:c r="AA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20"/>
      <x:c r="J414" s="19"/>
      <x:c r="K414" s="19"/>
      <x:c r="L414" s="92" t="str">
        <x:f>IF($A414="","",IF(COUNTIFS('Orders'!$C$2:$C$500,$A414,'Orders'!$M$2:$M$500,"&lt;&gt;cancelled")=0,"",MAXIFS('Orders'!$G$2:$G$500,'Orders'!$C$2:$C$500,$A414,'Orders'!$M$2:$M$500,"&lt;&gt;cancelled")))</x:f>
      </x:c>
      <x:c r="M414" s="96" t="str">
        <x:f>IF($A414="","",SUMIFS('Orders'!$K$2:$K$500,'Orders'!$C$2:$C$500,$A414,'Orders'!$M$2:$M$500,"&lt;&gt;cancelled"))</x:f>
      </x:c>
      <x:c r="N414" s="96" t="str">
        <x:f>IF($A414="","",COUNTIFS('Orders'!$C$2:$C$500,$A414,'Orders'!$M$2:$M$500,"&lt;&gt;cancelled"))</x:f>
      </x:c>
      <x:c r="O414" s="100" t="str">
        <x:f>IF($A414="","",IF(COUNTIF('Interactions'!$B$2:$B$500,$A414)=0,"",MAXIFS('Interactions'!$G$2:$G$500,'Interactions'!$B$2:$B$500,$A414)))</x:f>
      </x:c>
      <x:c r="P414" s="100" t="str">
        <x:f>IF($A414="","",IF(COUNTIFS('FollowUps'!$B$2:$B$500,$A414,'FollowUps'!$H$2:$H$500,"open")=0,"",MINIFS('FollowUps'!$E$2:$E$500,'FollowUps'!$B$2:$B$500,$A414,'FollowUps'!$H$2:$H$500,"open")))</x:f>
      </x:c>
      <x:c r="Q414" s="104" t="str">
        <x:f>IF($A414="","",ROUND(MIN(25,$N414/VALUE(INDEX('Settings'!$B$2:$B$100,MATCH("score_purchase_target",'Settings'!$A$2:$A$100,0)))*25)+MIN(25,$M414/VALUE(INDEX('Settings'!$B$2:$B$100,MATCH("score_value_target",'Settings'!$A$2:$A$100,0)))*25)+IF($L414="",0,MAX(0,25-(TODAY()-$L414)/VALUE(INDEX('Settings'!$B$2:$B$100,MATCH("score_recency_days",'Settings'!$A$2:$A$100,0)))*25))+MIN(15,COUNTIFS('FollowUps'!$B$2:$B$500,$A414,'FollowUps'!$H$2:$H$500,"done")/VALUE(INDEX('Settings'!$B$2:$B$100,MATCH("score_response_target",'Settings'!$A$2:$A$100,0)))*15)+IF(COUNTIFS('Interactions'!$B$2:$B$500,$A414,'Interactions'!$E$2:$E$500,"complaint")=0,10,0),0))</x:f>
      </x:c>
      <x:c r="R414" s="108" t="str">
        <x:f>IF($A414="","",IF($J414="inactive","inactive",IF($J414="at_risk","at_risk",IF($Q414&gt;=85,"vip",IF($Q414&gt;=70,"loyal",IF($Q414&gt;=50,"active",IF($N414=0,"new","needs_attention")))))))</x:f>
      </x:c>
      <x:c r="S414" s="19"/>
      <x:c r="T414" s="18"/>
      <x:c r="U414" s="19"/>
      <x:c r="V414" s="20"/>
      <x:c r="W414" s="26"/>
      <x:c r="X414" s="19"/>
      <x:c r="Y414" s="26"/>
      <x:c r="Z414" s="19"/>
      <x:c r="AA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20"/>
      <x:c r="J415" s="19"/>
      <x:c r="K415" s="19"/>
      <x:c r="L415" s="92" t="str">
        <x:f>IF($A415="","",IF(COUNTIFS('Orders'!$C$2:$C$500,$A415,'Orders'!$M$2:$M$500,"&lt;&gt;cancelled")=0,"",MAXIFS('Orders'!$G$2:$G$500,'Orders'!$C$2:$C$500,$A415,'Orders'!$M$2:$M$500,"&lt;&gt;cancelled")))</x:f>
      </x:c>
      <x:c r="M415" s="96" t="str">
        <x:f>IF($A415="","",SUMIFS('Orders'!$K$2:$K$500,'Orders'!$C$2:$C$500,$A415,'Orders'!$M$2:$M$500,"&lt;&gt;cancelled"))</x:f>
      </x:c>
      <x:c r="N415" s="96" t="str">
        <x:f>IF($A415="","",COUNTIFS('Orders'!$C$2:$C$500,$A415,'Orders'!$M$2:$M$500,"&lt;&gt;cancelled"))</x:f>
      </x:c>
      <x:c r="O415" s="100" t="str">
        <x:f>IF($A415="","",IF(COUNTIF('Interactions'!$B$2:$B$500,$A415)=0,"",MAXIFS('Interactions'!$G$2:$G$500,'Interactions'!$B$2:$B$500,$A415)))</x:f>
      </x:c>
      <x:c r="P415" s="100" t="str">
        <x:f>IF($A415="","",IF(COUNTIFS('FollowUps'!$B$2:$B$500,$A415,'FollowUps'!$H$2:$H$500,"open")=0,"",MINIFS('FollowUps'!$E$2:$E$500,'FollowUps'!$B$2:$B$500,$A415,'FollowUps'!$H$2:$H$500,"open")))</x:f>
      </x:c>
      <x:c r="Q415" s="104" t="str">
        <x:f>IF($A415="","",ROUND(MIN(25,$N415/VALUE(INDEX('Settings'!$B$2:$B$100,MATCH("score_purchase_target",'Settings'!$A$2:$A$100,0)))*25)+MIN(25,$M415/VALUE(INDEX('Settings'!$B$2:$B$100,MATCH("score_value_target",'Settings'!$A$2:$A$100,0)))*25)+IF($L415="",0,MAX(0,25-(TODAY()-$L415)/VALUE(INDEX('Settings'!$B$2:$B$100,MATCH("score_recency_days",'Settings'!$A$2:$A$100,0)))*25))+MIN(15,COUNTIFS('FollowUps'!$B$2:$B$500,$A415,'FollowUps'!$H$2:$H$500,"done")/VALUE(INDEX('Settings'!$B$2:$B$100,MATCH("score_response_target",'Settings'!$A$2:$A$100,0)))*15)+IF(COUNTIFS('Interactions'!$B$2:$B$500,$A415,'Interactions'!$E$2:$E$500,"complaint")=0,10,0),0))</x:f>
      </x:c>
      <x:c r="R415" s="108" t="str">
        <x:f>IF($A415="","",IF($J415="inactive","inactive",IF($J415="at_risk","at_risk",IF($Q415&gt;=85,"vip",IF($Q415&gt;=70,"loyal",IF($Q415&gt;=50,"active",IF($N415=0,"new","needs_attention")))))))</x:f>
      </x:c>
      <x:c r="S415" s="19"/>
      <x:c r="T415" s="18"/>
      <x:c r="U415" s="19"/>
      <x:c r="V415" s="20"/>
      <x:c r="W415" s="26"/>
      <x:c r="X415" s="19"/>
      <x:c r="Y415" s="26"/>
      <x:c r="Z415" s="19"/>
      <x:c r="AA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20"/>
      <x:c r="J416" s="19"/>
      <x:c r="K416" s="19"/>
      <x:c r="L416" s="92" t="str">
        <x:f>IF($A416="","",IF(COUNTIFS('Orders'!$C$2:$C$500,$A416,'Orders'!$M$2:$M$500,"&lt;&gt;cancelled")=0,"",MAXIFS('Orders'!$G$2:$G$500,'Orders'!$C$2:$C$500,$A416,'Orders'!$M$2:$M$500,"&lt;&gt;cancelled")))</x:f>
      </x:c>
      <x:c r="M416" s="96" t="str">
        <x:f>IF($A416="","",SUMIFS('Orders'!$K$2:$K$500,'Orders'!$C$2:$C$500,$A416,'Orders'!$M$2:$M$500,"&lt;&gt;cancelled"))</x:f>
      </x:c>
      <x:c r="N416" s="96" t="str">
        <x:f>IF($A416="","",COUNTIFS('Orders'!$C$2:$C$500,$A416,'Orders'!$M$2:$M$500,"&lt;&gt;cancelled"))</x:f>
      </x:c>
      <x:c r="O416" s="100" t="str">
        <x:f>IF($A416="","",IF(COUNTIF('Interactions'!$B$2:$B$500,$A416)=0,"",MAXIFS('Interactions'!$G$2:$G$500,'Interactions'!$B$2:$B$500,$A416)))</x:f>
      </x:c>
      <x:c r="P416" s="100" t="str">
        <x:f>IF($A416="","",IF(COUNTIFS('FollowUps'!$B$2:$B$500,$A416,'FollowUps'!$H$2:$H$500,"open")=0,"",MINIFS('FollowUps'!$E$2:$E$500,'FollowUps'!$B$2:$B$500,$A416,'FollowUps'!$H$2:$H$500,"open")))</x:f>
      </x:c>
      <x:c r="Q416" s="104" t="str">
        <x:f>IF($A416="","",ROUND(MIN(25,$N416/VALUE(INDEX('Settings'!$B$2:$B$100,MATCH("score_purchase_target",'Settings'!$A$2:$A$100,0)))*25)+MIN(25,$M416/VALUE(INDEX('Settings'!$B$2:$B$100,MATCH("score_value_target",'Settings'!$A$2:$A$100,0)))*25)+IF($L416="",0,MAX(0,25-(TODAY()-$L416)/VALUE(INDEX('Settings'!$B$2:$B$100,MATCH("score_recency_days",'Settings'!$A$2:$A$100,0)))*25))+MIN(15,COUNTIFS('FollowUps'!$B$2:$B$500,$A416,'FollowUps'!$H$2:$H$500,"done")/VALUE(INDEX('Settings'!$B$2:$B$100,MATCH("score_response_target",'Settings'!$A$2:$A$100,0)))*15)+IF(COUNTIFS('Interactions'!$B$2:$B$500,$A416,'Interactions'!$E$2:$E$500,"complaint")=0,10,0),0))</x:f>
      </x:c>
      <x:c r="R416" s="108" t="str">
        <x:f>IF($A416="","",IF($J416="inactive","inactive",IF($J416="at_risk","at_risk",IF($Q416&gt;=85,"vip",IF($Q416&gt;=70,"loyal",IF($Q416&gt;=50,"active",IF($N416=0,"new","needs_attention")))))))</x:f>
      </x:c>
      <x:c r="S416" s="19"/>
      <x:c r="T416" s="18"/>
      <x:c r="U416" s="19"/>
      <x:c r="V416" s="20"/>
      <x:c r="W416" s="26"/>
      <x:c r="X416" s="19"/>
      <x:c r="Y416" s="26"/>
      <x:c r="Z416" s="19"/>
      <x:c r="AA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20"/>
      <x:c r="J417" s="19"/>
      <x:c r="K417" s="19"/>
      <x:c r="L417" s="92" t="str">
        <x:f>IF($A417="","",IF(COUNTIFS('Orders'!$C$2:$C$500,$A417,'Orders'!$M$2:$M$500,"&lt;&gt;cancelled")=0,"",MAXIFS('Orders'!$G$2:$G$500,'Orders'!$C$2:$C$500,$A417,'Orders'!$M$2:$M$500,"&lt;&gt;cancelled")))</x:f>
      </x:c>
      <x:c r="M417" s="96" t="str">
        <x:f>IF($A417="","",SUMIFS('Orders'!$K$2:$K$500,'Orders'!$C$2:$C$500,$A417,'Orders'!$M$2:$M$500,"&lt;&gt;cancelled"))</x:f>
      </x:c>
      <x:c r="N417" s="96" t="str">
        <x:f>IF($A417="","",COUNTIFS('Orders'!$C$2:$C$500,$A417,'Orders'!$M$2:$M$500,"&lt;&gt;cancelled"))</x:f>
      </x:c>
      <x:c r="O417" s="100" t="str">
        <x:f>IF($A417="","",IF(COUNTIF('Interactions'!$B$2:$B$500,$A417)=0,"",MAXIFS('Interactions'!$G$2:$G$500,'Interactions'!$B$2:$B$500,$A417)))</x:f>
      </x:c>
      <x:c r="P417" s="100" t="str">
        <x:f>IF($A417="","",IF(COUNTIFS('FollowUps'!$B$2:$B$500,$A417,'FollowUps'!$H$2:$H$500,"open")=0,"",MINIFS('FollowUps'!$E$2:$E$500,'FollowUps'!$B$2:$B$500,$A417,'FollowUps'!$H$2:$H$500,"open")))</x:f>
      </x:c>
      <x:c r="Q417" s="104" t="str">
        <x:f>IF($A417="","",ROUND(MIN(25,$N417/VALUE(INDEX('Settings'!$B$2:$B$100,MATCH("score_purchase_target",'Settings'!$A$2:$A$100,0)))*25)+MIN(25,$M417/VALUE(INDEX('Settings'!$B$2:$B$100,MATCH("score_value_target",'Settings'!$A$2:$A$100,0)))*25)+IF($L417="",0,MAX(0,25-(TODAY()-$L417)/VALUE(INDEX('Settings'!$B$2:$B$100,MATCH("score_recency_days",'Settings'!$A$2:$A$100,0)))*25))+MIN(15,COUNTIFS('FollowUps'!$B$2:$B$500,$A417,'FollowUps'!$H$2:$H$500,"done")/VALUE(INDEX('Settings'!$B$2:$B$100,MATCH("score_response_target",'Settings'!$A$2:$A$100,0)))*15)+IF(COUNTIFS('Interactions'!$B$2:$B$500,$A417,'Interactions'!$E$2:$E$500,"complaint")=0,10,0),0))</x:f>
      </x:c>
      <x:c r="R417" s="108" t="str">
        <x:f>IF($A417="","",IF($J417="inactive","inactive",IF($J417="at_risk","at_risk",IF($Q417&gt;=85,"vip",IF($Q417&gt;=70,"loyal",IF($Q417&gt;=50,"active",IF($N417=0,"new","needs_attention")))))))</x:f>
      </x:c>
      <x:c r="S417" s="19"/>
      <x:c r="T417" s="18"/>
      <x:c r="U417" s="19"/>
      <x:c r="V417" s="20"/>
      <x:c r="W417" s="26"/>
      <x:c r="X417" s="19"/>
      <x:c r="Y417" s="26"/>
      <x:c r="Z417" s="19"/>
      <x:c r="AA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20"/>
      <x:c r="J418" s="19"/>
      <x:c r="K418" s="19"/>
      <x:c r="L418" s="92" t="str">
        <x:f>IF($A418="","",IF(COUNTIFS('Orders'!$C$2:$C$500,$A418,'Orders'!$M$2:$M$500,"&lt;&gt;cancelled")=0,"",MAXIFS('Orders'!$G$2:$G$500,'Orders'!$C$2:$C$500,$A418,'Orders'!$M$2:$M$500,"&lt;&gt;cancelled")))</x:f>
      </x:c>
      <x:c r="M418" s="96" t="str">
        <x:f>IF($A418="","",SUMIFS('Orders'!$K$2:$K$500,'Orders'!$C$2:$C$500,$A418,'Orders'!$M$2:$M$500,"&lt;&gt;cancelled"))</x:f>
      </x:c>
      <x:c r="N418" s="96" t="str">
        <x:f>IF($A418="","",COUNTIFS('Orders'!$C$2:$C$500,$A418,'Orders'!$M$2:$M$500,"&lt;&gt;cancelled"))</x:f>
      </x:c>
      <x:c r="O418" s="100" t="str">
        <x:f>IF($A418="","",IF(COUNTIF('Interactions'!$B$2:$B$500,$A418)=0,"",MAXIFS('Interactions'!$G$2:$G$500,'Interactions'!$B$2:$B$500,$A418)))</x:f>
      </x:c>
      <x:c r="P418" s="100" t="str">
        <x:f>IF($A418="","",IF(COUNTIFS('FollowUps'!$B$2:$B$500,$A418,'FollowUps'!$H$2:$H$500,"open")=0,"",MINIFS('FollowUps'!$E$2:$E$500,'FollowUps'!$B$2:$B$500,$A418,'FollowUps'!$H$2:$H$500,"open")))</x:f>
      </x:c>
      <x:c r="Q418" s="104" t="str">
        <x:f>IF($A418="","",ROUND(MIN(25,$N418/VALUE(INDEX('Settings'!$B$2:$B$100,MATCH("score_purchase_target",'Settings'!$A$2:$A$100,0)))*25)+MIN(25,$M418/VALUE(INDEX('Settings'!$B$2:$B$100,MATCH("score_value_target",'Settings'!$A$2:$A$100,0)))*25)+IF($L418="",0,MAX(0,25-(TODAY()-$L418)/VALUE(INDEX('Settings'!$B$2:$B$100,MATCH("score_recency_days",'Settings'!$A$2:$A$100,0)))*25))+MIN(15,COUNTIFS('FollowUps'!$B$2:$B$500,$A418,'FollowUps'!$H$2:$H$500,"done")/VALUE(INDEX('Settings'!$B$2:$B$100,MATCH("score_response_target",'Settings'!$A$2:$A$100,0)))*15)+IF(COUNTIFS('Interactions'!$B$2:$B$500,$A418,'Interactions'!$E$2:$E$500,"complaint")=0,10,0),0))</x:f>
      </x:c>
      <x:c r="R418" s="108" t="str">
        <x:f>IF($A418="","",IF($J418="inactive","inactive",IF($J418="at_risk","at_risk",IF($Q418&gt;=85,"vip",IF($Q418&gt;=70,"loyal",IF($Q418&gt;=50,"active",IF($N418=0,"new","needs_attention")))))))</x:f>
      </x:c>
      <x:c r="S418" s="19"/>
      <x:c r="T418" s="18"/>
      <x:c r="U418" s="19"/>
      <x:c r="V418" s="20"/>
      <x:c r="W418" s="26"/>
      <x:c r="X418" s="19"/>
      <x:c r="Y418" s="26"/>
      <x:c r="Z418" s="19"/>
      <x:c r="AA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20"/>
      <x:c r="J419" s="19"/>
      <x:c r="K419" s="19"/>
      <x:c r="L419" s="92" t="str">
        <x:f>IF($A419="","",IF(COUNTIFS('Orders'!$C$2:$C$500,$A419,'Orders'!$M$2:$M$500,"&lt;&gt;cancelled")=0,"",MAXIFS('Orders'!$G$2:$G$500,'Orders'!$C$2:$C$500,$A419,'Orders'!$M$2:$M$500,"&lt;&gt;cancelled")))</x:f>
      </x:c>
      <x:c r="M419" s="96" t="str">
        <x:f>IF($A419="","",SUMIFS('Orders'!$K$2:$K$500,'Orders'!$C$2:$C$500,$A419,'Orders'!$M$2:$M$500,"&lt;&gt;cancelled"))</x:f>
      </x:c>
      <x:c r="N419" s="96" t="str">
        <x:f>IF($A419="","",COUNTIFS('Orders'!$C$2:$C$500,$A419,'Orders'!$M$2:$M$500,"&lt;&gt;cancelled"))</x:f>
      </x:c>
      <x:c r="O419" s="100" t="str">
        <x:f>IF($A419="","",IF(COUNTIF('Interactions'!$B$2:$B$500,$A419)=0,"",MAXIFS('Interactions'!$G$2:$G$500,'Interactions'!$B$2:$B$500,$A419)))</x:f>
      </x:c>
      <x:c r="P419" s="100" t="str">
        <x:f>IF($A419="","",IF(COUNTIFS('FollowUps'!$B$2:$B$500,$A419,'FollowUps'!$H$2:$H$500,"open")=0,"",MINIFS('FollowUps'!$E$2:$E$500,'FollowUps'!$B$2:$B$500,$A419,'FollowUps'!$H$2:$H$500,"open")))</x:f>
      </x:c>
      <x:c r="Q419" s="104" t="str">
        <x:f>IF($A419="","",ROUND(MIN(25,$N419/VALUE(INDEX('Settings'!$B$2:$B$100,MATCH("score_purchase_target",'Settings'!$A$2:$A$100,0)))*25)+MIN(25,$M419/VALUE(INDEX('Settings'!$B$2:$B$100,MATCH("score_value_target",'Settings'!$A$2:$A$100,0)))*25)+IF($L419="",0,MAX(0,25-(TODAY()-$L419)/VALUE(INDEX('Settings'!$B$2:$B$100,MATCH("score_recency_days",'Settings'!$A$2:$A$100,0)))*25))+MIN(15,COUNTIFS('FollowUps'!$B$2:$B$500,$A419,'FollowUps'!$H$2:$H$500,"done")/VALUE(INDEX('Settings'!$B$2:$B$100,MATCH("score_response_target",'Settings'!$A$2:$A$100,0)))*15)+IF(COUNTIFS('Interactions'!$B$2:$B$500,$A419,'Interactions'!$E$2:$E$500,"complaint")=0,10,0),0))</x:f>
      </x:c>
      <x:c r="R419" s="108" t="str">
        <x:f>IF($A419="","",IF($J419="inactive","inactive",IF($J419="at_risk","at_risk",IF($Q419&gt;=85,"vip",IF($Q419&gt;=70,"loyal",IF($Q419&gt;=50,"active",IF($N419=0,"new","needs_attention")))))))</x:f>
      </x:c>
      <x:c r="S419" s="19"/>
      <x:c r="T419" s="18"/>
      <x:c r="U419" s="19"/>
      <x:c r="V419" s="20"/>
      <x:c r="W419" s="26"/>
      <x:c r="X419" s="19"/>
      <x:c r="Y419" s="26"/>
      <x:c r="Z419" s="19"/>
      <x:c r="AA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20"/>
      <x:c r="J420" s="19"/>
      <x:c r="K420" s="19"/>
      <x:c r="L420" s="92" t="str">
        <x:f>IF($A420="","",IF(COUNTIFS('Orders'!$C$2:$C$500,$A420,'Orders'!$M$2:$M$500,"&lt;&gt;cancelled")=0,"",MAXIFS('Orders'!$G$2:$G$500,'Orders'!$C$2:$C$500,$A420,'Orders'!$M$2:$M$500,"&lt;&gt;cancelled")))</x:f>
      </x:c>
      <x:c r="M420" s="96" t="str">
        <x:f>IF($A420="","",SUMIFS('Orders'!$K$2:$K$500,'Orders'!$C$2:$C$500,$A420,'Orders'!$M$2:$M$500,"&lt;&gt;cancelled"))</x:f>
      </x:c>
      <x:c r="N420" s="96" t="str">
        <x:f>IF($A420="","",COUNTIFS('Orders'!$C$2:$C$500,$A420,'Orders'!$M$2:$M$500,"&lt;&gt;cancelled"))</x:f>
      </x:c>
      <x:c r="O420" s="100" t="str">
        <x:f>IF($A420="","",IF(COUNTIF('Interactions'!$B$2:$B$500,$A420)=0,"",MAXIFS('Interactions'!$G$2:$G$500,'Interactions'!$B$2:$B$500,$A420)))</x:f>
      </x:c>
      <x:c r="P420" s="100" t="str">
        <x:f>IF($A420="","",IF(COUNTIFS('FollowUps'!$B$2:$B$500,$A420,'FollowUps'!$H$2:$H$500,"open")=0,"",MINIFS('FollowUps'!$E$2:$E$500,'FollowUps'!$B$2:$B$500,$A420,'FollowUps'!$H$2:$H$500,"open")))</x:f>
      </x:c>
      <x:c r="Q420" s="104" t="str">
        <x:f>IF($A420="","",ROUND(MIN(25,$N420/VALUE(INDEX('Settings'!$B$2:$B$100,MATCH("score_purchase_target",'Settings'!$A$2:$A$100,0)))*25)+MIN(25,$M420/VALUE(INDEX('Settings'!$B$2:$B$100,MATCH("score_value_target",'Settings'!$A$2:$A$100,0)))*25)+IF($L420="",0,MAX(0,25-(TODAY()-$L420)/VALUE(INDEX('Settings'!$B$2:$B$100,MATCH("score_recency_days",'Settings'!$A$2:$A$100,0)))*25))+MIN(15,COUNTIFS('FollowUps'!$B$2:$B$500,$A420,'FollowUps'!$H$2:$H$500,"done")/VALUE(INDEX('Settings'!$B$2:$B$100,MATCH("score_response_target",'Settings'!$A$2:$A$100,0)))*15)+IF(COUNTIFS('Interactions'!$B$2:$B$500,$A420,'Interactions'!$E$2:$E$500,"complaint")=0,10,0),0))</x:f>
      </x:c>
      <x:c r="R420" s="108" t="str">
        <x:f>IF($A420="","",IF($J420="inactive","inactive",IF($J420="at_risk","at_risk",IF($Q420&gt;=85,"vip",IF($Q420&gt;=70,"loyal",IF($Q420&gt;=50,"active",IF($N420=0,"new","needs_attention")))))))</x:f>
      </x:c>
      <x:c r="S420" s="19"/>
      <x:c r="T420" s="18"/>
      <x:c r="U420" s="19"/>
      <x:c r="V420" s="20"/>
      <x:c r="W420" s="26"/>
      <x:c r="X420" s="19"/>
      <x:c r="Y420" s="26"/>
      <x:c r="Z420" s="19"/>
      <x:c r="AA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20"/>
      <x:c r="J421" s="19"/>
      <x:c r="K421" s="19"/>
      <x:c r="L421" s="92" t="str">
        <x:f>IF($A421="","",IF(COUNTIFS('Orders'!$C$2:$C$500,$A421,'Orders'!$M$2:$M$500,"&lt;&gt;cancelled")=0,"",MAXIFS('Orders'!$G$2:$G$500,'Orders'!$C$2:$C$500,$A421,'Orders'!$M$2:$M$500,"&lt;&gt;cancelled")))</x:f>
      </x:c>
      <x:c r="M421" s="96" t="str">
        <x:f>IF($A421="","",SUMIFS('Orders'!$K$2:$K$500,'Orders'!$C$2:$C$500,$A421,'Orders'!$M$2:$M$500,"&lt;&gt;cancelled"))</x:f>
      </x:c>
      <x:c r="N421" s="96" t="str">
        <x:f>IF($A421="","",COUNTIFS('Orders'!$C$2:$C$500,$A421,'Orders'!$M$2:$M$500,"&lt;&gt;cancelled"))</x:f>
      </x:c>
      <x:c r="O421" s="100" t="str">
        <x:f>IF($A421="","",IF(COUNTIF('Interactions'!$B$2:$B$500,$A421)=0,"",MAXIFS('Interactions'!$G$2:$G$500,'Interactions'!$B$2:$B$500,$A421)))</x:f>
      </x:c>
      <x:c r="P421" s="100" t="str">
        <x:f>IF($A421="","",IF(COUNTIFS('FollowUps'!$B$2:$B$500,$A421,'FollowUps'!$H$2:$H$500,"open")=0,"",MINIFS('FollowUps'!$E$2:$E$500,'FollowUps'!$B$2:$B$500,$A421,'FollowUps'!$H$2:$H$500,"open")))</x:f>
      </x:c>
      <x:c r="Q421" s="104" t="str">
        <x:f>IF($A421="","",ROUND(MIN(25,$N421/VALUE(INDEX('Settings'!$B$2:$B$100,MATCH("score_purchase_target",'Settings'!$A$2:$A$100,0)))*25)+MIN(25,$M421/VALUE(INDEX('Settings'!$B$2:$B$100,MATCH("score_value_target",'Settings'!$A$2:$A$100,0)))*25)+IF($L421="",0,MAX(0,25-(TODAY()-$L421)/VALUE(INDEX('Settings'!$B$2:$B$100,MATCH("score_recency_days",'Settings'!$A$2:$A$100,0)))*25))+MIN(15,COUNTIFS('FollowUps'!$B$2:$B$500,$A421,'FollowUps'!$H$2:$H$500,"done")/VALUE(INDEX('Settings'!$B$2:$B$100,MATCH("score_response_target",'Settings'!$A$2:$A$100,0)))*15)+IF(COUNTIFS('Interactions'!$B$2:$B$500,$A421,'Interactions'!$E$2:$E$500,"complaint")=0,10,0),0))</x:f>
      </x:c>
      <x:c r="R421" s="108" t="str">
        <x:f>IF($A421="","",IF($J421="inactive","inactive",IF($J421="at_risk","at_risk",IF($Q421&gt;=85,"vip",IF($Q421&gt;=70,"loyal",IF($Q421&gt;=50,"active",IF($N421=0,"new","needs_attention")))))))</x:f>
      </x:c>
      <x:c r="S421" s="19"/>
      <x:c r="T421" s="18"/>
      <x:c r="U421" s="19"/>
      <x:c r="V421" s="20"/>
      <x:c r="W421" s="26"/>
      <x:c r="X421" s="19"/>
      <x:c r="Y421" s="26"/>
      <x:c r="Z421" s="19"/>
      <x:c r="AA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20"/>
      <x:c r="J422" s="19"/>
      <x:c r="K422" s="19"/>
      <x:c r="L422" s="92" t="str">
        <x:f>IF($A422="","",IF(COUNTIFS('Orders'!$C$2:$C$500,$A422,'Orders'!$M$2:$M$500,"&lt;&gt;cancelled")=0,"",MAXIFS('Orders'!$G$2:$G$500,'Orders'!$C$2:$C$500,$A422,'Orders'!$M$2:$M$500,"&lt;&gt;cancelled")))</x:f>
      </x:c>
      <x:c r="M422" s="96" t="str">
        <x:f>IF($A422="","",SUMIFS('Orders'!$K$2:$K$500,'Orders'!$C$2:$C$500,$A422,'Orders'!$M$2:$M$500,"&lt;&gt;cancelled"))</x:f>
      </x:c>
      <x:c r="N422" s="96" t="str">
        <x:f>IF($A422="","",COUNTIFS('Orders'!$C$2:$C$500,$A422,'Orders'!$M$2:$M$500,"&lt;&gt;cancelled"))</x:f>
      </x:c>
      <x:c r="O422" s="100" t="str">
        <x:f>IF($A422="","",IF(COUNTIF('Interactions'!$B$2:$B$500,$A422)=0,"",MAXIFS('Interactions'!$G$2:$G$500,'Interactions'!$B$2:$B$500,$A422)))</x:f>
      </x:c>
      <x:c r="P422" s="100" t="str">
        <x:f>IF($A422="","",IF(COUNTIFS('FollowUps'!$B$2:$B$500,$A422,'FollowUps'!$H$2:$H$500,"open")=0,"",MINIFS('FollowUps'!$E$2:$E$500,'FollowUps'!$B$2:$B$500,$A422,'FollowUps'!$H$2:$H$500,"open")))</x:f>
      </x:c>
      <x:c r="Q422" s="104" t="str">
        <x:f>IF($A422="","",ROUND(MIN(25,$N422/VALUE(INDEX('Settings'!$B$2:$B$100,MATCH("score_purchase_target",'Settings'!$A$2:$A$100,0)))*25)+MIN(25,$M422/VALUE(INDEX('Settings'!$B$2:$B$100,MATCH("score_value_target",'Settings'!$A$2:$A$100,0)))*25)+IF($L422="",0,MAX(0,25-(TODAY()-$L422)/VALUE(INDEX('Settings'!$B$2:$B$100,MATCH("score_recency_days",'Settings'!$A$2:$A$100,0)))*25))+MIN(15,COUNTIFS('FollowUps'!$B$2:$B$500,$A422,'FollowUps'!$H$2:$H$500,"done")/VALUE(INDEX('Settings'!$B$2:$B$100,MATCH("score_response_target",'Settings'!$A$2:$A$100,0)))*15)+IF(COUNTIFS('Interactions'!$B$2:$B$500,$A422,'Interactions'!$E$2:$E$500,"complaint")=0,10,0),0))</x:f>
      </x:c>
      <x:c r="R422" s="108" t="str">
        <x:f>IF($A422="","",IF($J422="inactive","inactive",IF($J422="at_risk","at_risk",IF($Q422&gt;=85,"vip",IF($Q422&gt;=70,"loyal",IF($Q422&gt;=50,"active",IF($N422=0,"new","needs_attention")))))))</x:f>
      </x:c>
      <x:c r="S422" s="19"/>
      <x:c r="T422" s="18"/>
      <x:c r="U422" s="19"/>
      <x:c r="V422" s="20"/>
      <x:c r="W422" s="26"/>
      <x:c r="X422" s="19"/>
      <x:c r="Y422" s="26"/>
      <x:c r="Z422" s="19"/>
      <x:c r="AA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20"/>
      <x:c r="J423" s="19"/>
      <x:c r="K423" s="19"/>
      <x:c r="L423" s="92" t="str">
        <x:f>IF($A423="","",IF(COUNTIFS('Orders'!$C$2:$C$500,$A423,'Orders'!$M$2:$M$500,"&lt;&gt;cancelled")=0,"",MAXIFS('Orders'!$G$2:$G$500,'Orders'!$C$2:$C$500,$A423,'Orders'!$M$2:$M$500,"&lt;&gt;cancelled")))</x:f>
      </x:c>
      <x:c r="M423" s="96" t="str">
        <x:f>IF($A423="","",SUMIFS('Orders'!$K$2:$K$500,'Orders'!$C$2:$C$500,$A423,'Orders'!$M$2:$M$500,"&lt;&gt;cancelled"))</x:f>
      </x:c>
      <x:c r="N423" s="96" t="str">
        <x:f>IF($A423="","",COUNTIFS('Orders'!$C$2:$C$500,$A423,'Orders'!$M$2:$M$500,"&lt;&gt;cancelled"))</x:f>
      </x:c>
      <x:c r="O423" s="100" t="str">
        <x:f>IF($A423="","",IF(COUNTIF('Interactions'!$B$2:$B$500,$A423)=0,"",MAXIFS('Interactions'!$G$2:$G$500,'Interactions'!$B$2:$B$500,$A423)))</x:f>
      </x:c>
      <x:c r="P423" s="100" t="str">
        <x:f>IF($A423="","",IF(COUNTIFS('FollowUps'!$B$2:$B$500,$A423,'FollowUps'!$H$2:$H$500,"open")=0,"",MINIFS('FollowUps'!$E$2:$E$500,'FollowUps'!$B$2:$B$500,$A423,'FollowUps'!$H$2:$H$500,"open")))</x:f>
      </x:c>
      <x:c r="Q423" s="104" t="str">
        <x:f>IF($A423="","",ROUND(MIN(25,$N423/VALUE(INDEX('Settings'!$B$2:$B$100,MATCH("score_purchase_target",'Settings'!$A$2:$A$100,0)))*25)+MIN(25,$M423/VALUE(INDEX('Settings'!$B$2:$B$100,MATCH("score_value_target",'Settings'!$A$2:$A$100,0)))*25)+IF($L423="",0,MAX(0,25-(TODAY()-$L423)/VALUE(INDEX('Settings'!$B$2:$B$100,MATCH("score_recency_days",'Settings'!$A$2:$A$100,0)))*25))+MIN(15,COUNTIFS('FollowUps'!$B$2:$B$500,$A423,'FollowUps'!$H$2:$H$500,"done")/VALUE(INDEX('Settings'!$B$2:$B$100,MATCH("score_response_target",'Settings'!$A$2:$A$100,0)))*15)+IF(COUNTIFS('Interactions'!$B$2:$B$500,$A423,'Interactions'!$E$2:$E$500,"complaint")=0,10,0),0))</x:f>
      </x:c>
      <x:c r="R423" s="108" t="str">
        <x:f>IF($A423="","",IF($J423="inactive","inactive",IF($J423="at_risk","at_risk",IF($Q423&gt;=85,"vip",IF($Q423&gt;=70,"loyal",IF($Q423&gt;=50,"active",IF($N423=0,"new","needs_attention")))))))</x:f>
      </x:c>
      <x:c r="S423" s="19"/>
      <x:c r="T423" s="18"/>
      <x:c r="U423" s="19"/>
      <x:c r="V423" s="20"/>
      <x:c r="W423" s="26"/>
      <x:c r="X423" s="19"/>
      <x:c r="Y423" s="26"/>
      <x:c r="Z423" s="19"/>
      <x:c r="AA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20"/>
      <x:c r="J424" s="19"/>
      <x:c r="K424" s="19"/>
      <x:c r="L424" s="92" t="str">
        <x:f>IF($A424="","",IF(COUNTIFS('Orders'!$C$2:$C$500,$A424,'Orders'!$M$2:$M$500,"&lt;&gt;cancelled")=0,"",MAXIFS('Orders'!$G$2:$G$500,'Orders'!$C$2:$C$500,$A424,'Orders'!$M$2:$M$500,"&lt;&gt;cancelled")))</x:f>
      </x:c>
      <x:c r="M424" s="96" t="str">
        <x:f>IF($A424="","",SUMIFS('Orders'!$K$2:$K$500,'Orders'!$C$2:$C$500,$A424,'Orders'!$M$2:$M$500,"&lt;&gt;cancelled"))</x:f>
      </x:c>
      <x:c r="N424" s="96" t="str">
        <x:f>IF($A424="","",COUNTIFS('Orders'!$C$2:$C$500,$A424,'Orders'!$M$2:$M$500,"&lt;&gt;cancelled"))</x:f>
      </x:c>
      <x:c r="O424" s="100" t="str">
        <x:f>IF($A424="","",IF(COUNTIF('Interactions'!$B$2:$B$500,$A424)=0,"",MAXIFS('Interactions'!$G$2:$G$500,'Interactions'!$B$2:$B$500,$A424)))</x:f>
      </x:c>
      <x:c r="P424" s="100" t="str">
        <x:f>IF($A424="","",IF(COUNTIFS('FollowUps'!$B$2:$B$500,$A424,'FollowUps'!$H$2:$H$500,"open")=0,"",MINIFS('FollowUps'!$E$2:$E$500,'FollowUps'!$B$2:$B$500,$A424,'FollowUps'!$H$2:$H$500,"open")))</x:f>
      </x:c>
      <x:c r="Q424" s="104" t="str">
        <x:f>IF($A424="","",ROUND(MIN(25,$N424/VALUE(INDEX('Settings'!$B$2:$B$100,MATCH("score_purchase_target",'Settings'!$A$2:$A$100,0)))*25)+MIN(25,$M424/VALUE(INDEX('Settings'!$B$2:$B$100,MATCH("score_value_target",'Settings'!$A$2:$A$100,0)))*25)+IF($L424="",0,MAX(0,25-(TODAY()-$L424)/VALUE(INDEX('Settings'!$B$2:$B$100,MATCH("score_recency_days",'Settings'!$A$2:$A$100,0)))*25))+MIN(15,COUNTIFS('FollowUps'!$B$2:$B$500,$A424,'FollowUps'!$H$2:$H$500,"done")/VALUE(INDEX('Settings'!$B$2:$B$100,MATCH("score_response_target",'Settings'!$A$2:$A$100,0)))*15)+IF(COUNTIFS('Interactions'!$B$2:$B$500,$A424,'Interactions'!$E$2:$E$500,"complaint")=0,10,0),0))</x:f>
      </x:c>
      <x:c r="R424" s="108" t="str">
        <x:f>IF($A424="","",IF($J424="inactive","inactive",IF($J424="at_risk","at_risk",IF($Q424&gt;=85,"vip",IF($Q424&gt;=70,"loyal",IF($Q424&gt;=50,"active",IF($N424=0,"new","needs_attention")))))))</x:f>
      </x:c>
      <x:c r="S424" s="19"/>
      <x:c r="T424" s="18"/>
      <x:c r="U424" s="19"/>
      <x:c r="V424" s="20"/>
      <x:c r="W424" s="26"/>
      <x:c r="X424" s="19"/>
      <x:c r="Y424" s="26"/>
      <x:c r="Z424" s="19"/>
      <x:c r="AA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20"/>
      <x:c r="J425" s="19"/>
      <x:c r="K425" s="19"/>
      <x:c r="L425" s="92" t="str">
        <x:f>IF($A425="","",IF(COUNTIFS('Orders'!$C$2:$C$500,$A425,'Orders'!$M$2:$M$500,"&lt;&gt;cancelled")=0,"",MAXIFS('Orders'!$G$2:$G$500,'Orders'!$C$2:$C$500,$A425,'Orders'!$M$2:$M$500,"&lt;&gt;cancelled")))</x:f>
      </x:c>
      <x:c r="M425" s="96" t="str">
        <x:f>IF($A425="","",SUMIFS('Orders'!$K$2:$K$500,'Orders'!$C$2:$C$500,$A425,'Orders'!$M$2:$M$500,"&lt;&gt;cancelled"))</x:f>
      </x:c>
      <x:c r="N425" s="96" t="str">
        <x:f>IF($A425="","",COUNTIFS('Orders'!$C$2:$C$500,$A425,'Orders'!$M$2:$M$500,"&lt;&gt;cancelled"))</x:f>
      </x:c>
      <x:c r="O425" s="100" t="str">
        <x:f>IF($A425="","",IF(COUNTIF('Interactions'!$B$2:$B$500,$A425)=0,"",MAXIFS('Interactions'!$G$2:$G$500,'Interactions'!$B$2:$B$500,$A425)))</x:f>
      </x:c>
      <x:c r="P425" s="100" t="str">
        <x:f>IF($A425="","",IF(COUNTIFS('FollowUps'!$B$2:$B$500,$A425,'FollowUps'!$H$2:$H$500,"open")=0,"",MINIFS('FollowUps'!$E$2:$E$500,'FollowUps'!$B$2:$B$500,$A425,'FollowUps'!$H$2:$H$500,"open")))</x:f>
      </x:c>
      <x:c r="Q425" s="104" t="str">
        <x:f>IF($A425="","",ROUND(MIN(25,$N425/VALUE(INDEX('Settings'!$B$2:$B$100,MATCH("score_purchase_target",'Settings'!$A$2:$A$100,0)))*25)+MIN(25,$M425/VALUE(INDEX('Settings'!$B$2:$B$100,MATCH("score_value_target",'Settings'!$A$2:$A$100,0)))*25)+IF($L425="",0,MAX(0,25-(TODAY()-$L425)/VALUE(INDEX('Settings'!$B$2:$B$100,MATCH("score_recency_days",'Settings'!$A$2:$A$100,0)))*25))+MIN(15,COUNTIFS('FollowUps'!$B$2:$B$500,$A425,'FollowUps'!$H$2:$H$500,"done")/VALUE(INDEX('Settings'!$B$2:$B$100,MATCH("score_response_target",'Settings'!$A$2:$A$100,0)))*15)+IF(COUNTIFS('Interactions'!$B$2:$B$500,$A425,'Interactions'!$E$2:$E$500,"complaint")=0,10,0),0))</x:f>
      </x:c>
      <x:c r="R425" s="108" t="str">
        <x:f>IF($A425="","",IF($J425="inactive","inactive",IF($J425="at_risk","at_risk",IF($Q425&gt;=85,"vip",IF($Q425&gt;=70,"loyal",IF($Q425&gt;=50,"active",IF($N425=0,"new","needs_attention")))))))</x:f>
      </x:c>
      <x:c r="S425" s="19"/>
      <x:c r="T425" s="18"/>
      <x:c r="U425" s="19"/>
      <x:c r="V425" s="20"/>
      <x:c r="W425" s="26"/>
      <x:c r="X425" s="19"/>
      <x:c r="Y425" s="26"/>
      <x:c r="Z425" s="19"/>
      <x:c r="AA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20"/>
      <x:c r="J426" s="19"/>
      <x:c r="K426" s="19"/>
      <x:c r="L426" s="92" t="str">
        <x:f>IF($A426="","",IF(COUNTIFS('Orders'!$C$2:$C$500,$A426,'Orders'!$M$2:$M$500,"&lt;&gt;cancelled")=0,"",MAXIFS('Orders'!$G$2:$G$500,'Orders'!$C$2:$C$500,$A426,'Orders'!$M$2:$M$500,"&lt;&gt;cancelled")))</x:f>
      </x:c>
      <x:c r="M426" s="96" t="str">
        <x:f>IF($A426="","",SUMIFS('Orders'!$K$2:$K$500,'Orders'!$C$2:$C$500,$A426,'Orders'!$M$2:$M$500,"&lt;&gt;cancelled"))</x:f>
      </x:c>
      <x:c r="N426" s="96" t="str">
        <x:f>IF($A426="","",COUNTIFS('Orders'!$C$2:$C$500,$A426,'Orders'!$M$2:$M$500,"&lt;&gt;cancelled"))</x:f>
      </x:c>
      <x:c r="O426" s="100" t="str">
        <x:f>IF($A426="","",IF(COUNTIF('Interactions'!$B$2:$B$500,$A426)=0,"",MAXIFS('Interactions'!$G$2:$G$500,'Interactions'!$B$2:$B$500,$A426)))</x:f>
      </x:c>
      <x:c r="P426" s="100" t="str">
        <x:f>IF($A426="","",IF(COUNTIFS('FollowUps'!$B$2:$B$500,$A426,'FollowUps'!$H$2:$H$500,"open")=0,"",MINIFS('FollowUps'!$E$2:$E$500,'FollowUps'!$B$2:$B$500,$A426,'FollowUps'!$H$2:$H$500,"open")))</x:f>
      </x:c>
      <x:c r="Q426" s="104" t="str">
        <x:f>IF($A426="","",ROUND(MIN(25,$N426/VALUE(INDEX('Settings'!$B$2:$B$100,MATCH("score_purchase_target",'Settings'!$A$2:$A$100,0)))*25)+MIN(25,$M426/VALUE(INDEX('Settings'!$B$2:$B$100,MATCH("score_value_target",'Settings'!$A$2:$A$100,0)))*25)+IF($L426="",0,MAX(0,25-(TODAY()-$L426)/VALUE(INDEX('Settings'!$B$2:$B$100,MATCH("score_recency_days",'Settings'!$A$2:$A$100,0)))*25))+MIN(15,COUNTIFS('FollowUps'!$B$2:$B$500,$A426,'FollowUps'!$H$2:$H$500,"done")/VALUE(INDEX('Settings'!$B$2:$B$100,MATCH("score_response_target",'Settings'!$A$2:$A$100,0)))*15)+IF(COUNTIFS('Interactions'!$B$2:$B$500,$A426,'Interactions'!$E$2:$E$500,"complaint")=0,10,0),0))</x:f>
      </x:c>
      <x:c r="R426" s="108" t="str">
        <x:f>IF($A426="","",IF($J426="inactive","inactive",IF($J426="at_risk","at_risk",IF($Q426&gt;=85,"vip",IF($Q426&gt;=70,"loyal",IF($Q426&gt;=50,"active",IF($N426=0,"new","needs_attention")))))))</x:f>
      </x:c>
      <x:c r="S426" s="19"/>
      <x:c r="T426" s="18"/>
      <x:c r="U426" s="19"/>
      <x:c r="V426" s="20"/>
      <x:c r="W426" s="26"/>
      <x:c r="X426" s="19"/>
      <x:c r="Y426" s="26"/>
      <x:c r="Z426" s="19"/>
      <x:c r="AA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20"/>
      <x:c r="J427" s="19"/>
      <x:c r="K427" s="19"/>
      <x:c r="L427" s="92" t="str">
        <x:f>IF($A427="","",IF(COUNTIFS('Orders'!$C$2:$C$500,$A427,'Orders'!$M$2:$M$500,"&lt;&gt;cancelled")=0,"",MAXIFS('Orders'!$G$2:$G$500,'Orders'!$C$2:$C$500,$A427,'Orders'!$M$2:$M$500,"&lt;&gt;cancelled")))</x:f>
      </x:c>
      <x:c r="M427" s="96" t="str">
        <x:f>IF($A427="","",SUMIFS('Orders'!$K$2:$K$500,'Orders'!$C$2:$C$500,$A427,'Orders'!$M$2:$M$500,"&lt;&gt;cancelled"))</x:f>
      </x:c>
      <x:c r="N427" s="96" t="str">
        <x:f>IF($A427="","",COUNTIFS('Orders'!$C$2:$C$500,$A427,'Orders'!$M$2:$M$500,"&lt;&gt;cancelled"))</x:f>
      </x:c>
      <x:c r="O427" s="100" t="str">
        <x:f>IF($A427="","",IF(COUNTIF('Interactions'!$B$2:$B$500,$A427)=0,"",MAXIFS('Interactions'!$G$2:$G$500,'Interactions'!$B$2:$B$500,$A427)))</x:f>
      </x:c>
      <x:c r="P427" s="100" t="str">
        <x:f>IF($A427="","",IF(COUNTIFS('FollowUps'!$B$2:$B$500,$A427,'FollowUps'!$H$2:$H$500,"open")=0,"",MINIFS('FollowUps'!$E$2:$E$500,'FollowUps'!$B$2:$B$500,$A427,'FollowUps'!$H$2:$H$500,"open")))</x:f>
      </x:c>
      <x:c r="Q427" s="104" t="str">
        <x:f>IF($A427="","",ROUND(MIN(25,$N427/VALUE(INDEX('Settings'!$B$2:$B$100,MATCH("score_purchase_target",'Settings'!$A$2:$A$100,0)))*25)+MIN(25,$M427/VALUE(INDEX('Settings'!$B$2:$B$100,MATCH("score_value_target",'Settings'!$A$2:$A$100,0)))*25)+IF($L427="",0,MAX(0,25-(TODAY()-$L427)/VALUE(INDEX('Settings'!$B$2:$B$100,MATCH("score_recency_days",'Settings'!$A$2:$A$100,0)))*25))+MIN(15,COUNTIFS('FollowUps'!$B$2:$B$500,$A427,'FollowUps'!$H$2:$H$500,"done")/VALUE(INDEX('Settings'!$B$2:$B$100,MATCH("score_response_target",'Settings'!$A$2:$A$100,0)))*15)+IF(COUNTIFS('Interactions'!$B$2:$B$500,$A427,'Interactions'!$E$2:$E$500,"complaint")=0,10,0),0))</x:f>
      </x:c>
      <x:c r="R427" s="108" t="str">
        <x:f>IF($A427="","",IF($J427="inactive","inactive",IF($J427="at_risk","at_risk",IF($Q427&gt;=85,"vip",IF($Q427&gt;=70,"loyal",IF($Q427&gt;=50,"active",IF($N427=0,"new","needs_attention")))))))</x:f>
      </x:c>
      <x:c r="S427" s="19"/>
      <x:c r="T427" s="18"/>
      <x:c r="U427" s="19"/>
      <x:c r="V427" s="20"/>
      <x:c r="W427" s="26"/>
      <x:c r="X427" s="19"/>
      <x:c r="Y427" s="26"/>
      <x:c r="Z427" s="19"/>
      <x:c r="AA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20"/>
      <x:c r="J428" s="19"/>
      <x:c r="K428" s="19"/>
      <x:c r="L428" s="92" t="str">
        <x:f>IF($A428="","",IF(COUNTIFS('Orders'!$C$2:$C$500,$A428,'Orders'!$M$2:$M$500,"&lt;&gt;cancelled")=0,"",MAXIFS('Orders'!$G$2:$G$500,'Orders'!$C$2:$C$500,$A428,'Orders'!$M$2:$M$500,"&lt;&gt;cancelled")))</x:f>
      </x:c>
      <x:c r="M428" s="96" t="str">
        <x:f>IF($A428="","",SUMIFS('Orders'!$K$2:$K$500,'Orders'!$C$2:$C$500,$A428,'Orders'!$M$2:$M$500,"&lt;&gt;cancelled"))</x:f>
      </x:c>
      <x:c r="N428" s="96" t="str">
        <x:f>IF($A428="","",COUNTIFS('Orders'!$C$2:$C$500,$A428,'Orders'!$M$2:$M$500,"&lt;&gt;cancelled"))</x:f>
      </x:c>
      <x:c r="O428" s="100" t="str">
        <x:f>IF($A428="","",IF(COUNTIF('Interactions'!$B$2:$B$500,$A428)=0,"",MAXIFS('Interactions'!$G$2:$G$500,'Interactions'!$B$2:$B$500,$A428)))</x:f>
      </x:c>
      <x:c r="P428" s="100" t="str">
        <x:f>IF($A428="","",IF(COUNTIFS('FollowUps'!$B$2:$B$500,$A428,'FollowUps'!$H$2:$H$500,"open")=0,"",MINIFS('FollowUps'!$E$2:$E$500,'FollowUps'!$B$2:$B$500,$A428,'FollowUps'!$H$2:$H$500,"open")))</x:f>
      </x:c>
      <x:c r="Q428" s="104" t="str">
        <x:f>IF($A428="","",ROUND(MIN(25,$N428/VALUE(INDEX('Settings'!$B$2:$B$100,MATCH("score_purchase_target",'Settings'!$A$2:$A$100,0)))*25)+MIN(25,$M428/VALUE(INDEX('Settings'!$B$2:$B$100,MATCH("score_value_target",'Settings'!$A$2:$A$100,0)))*25)+IF($L428="",0,MAX(0,25-(TODAY()-$L428)/VALUE(INDEX('Settings'!$B$2:$B$100,MATCH("score_recency_days",'Settings'!$A$2:$A$100,0)))*25))+MIN(15,COUNTIFS('FollowUps'!$B$2:$B$500,$A428,'FollowUps'!$H$2:$H$500,"done")/VALUE(INDEX('Settings'!$B$2:$B$100,MATCH("score_response_target",'Settings'!$A$2:$A$100,0)))*15)+IF(COUNTIFS('Interactions'!$B$2:$B$500,$A428,'Interactions'!$E$2:$E$500,"complaint")=0,10,0),0))</x:f>
      </x:c>
      <x:c r="R428" s="108" t="str">
        <x:f>IF($A428="","",IF($J428="inactive","inactive",IF($J428="at_risk","at_risk",IF($Q428&gt;=85,"vip",IF($Q428&gt;=70,"loyal",IF($Q428&gt;=50,"active",IF($N428=0,"new","needs_attention")))))))</x:f>
      </x:c>
      <x:c r="S428" s="19"/>
      <x:c r="T428" s="18"/>
      <x:c r="U428" s="19"/>
      <x:c r="V428" s="20"/>
      <x:c r="W428" s="26"/>
      <x:c r="X428" s="19"/>
      <x:c r="Y428" s="26"/>
      <x:c r="Z428" s="19"/>
      <x:c r="AA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20"/>
      <x:c r="J429" s="19"/>
      <x:c r="K429" s="19"/>
      <x:c r="L429" s="92" t="str">
        <x:f>IF($A429="","",IF(COUNTIFS('Orders'!$C$2:$C$500,$A429,'Orders'!$M$2:$M$500,"&lt;&gt;cancelled")=0,"",MAXIFS('Orders'!$G$2:$G$500,'Orders'!$C$2:$C$500,$A429,'Orders'!$M$2:$M$500,"&lt;&gt;cancelled")))</x:f>
      </x:c>
      <x:c r="M429" s="96" t="str">
        <x:f>IF($A429="","",SUMIFS('Orders'!$K$2:$K$500,'Orders'!$C$2:$C$500,$A429,'Orders'!$M$2:$M$500,"&lt;&gt;cancelled"))</x:f>
      </x:c>
      <x:c r="N429" s="96" t="str">
        <x:f>IF($A429="","",COUNTIFS('Orders'!$C$2:$C$500,$A429,'Orders'!$M$2:$M$500,"&lt;&gt;cancelled"))</x:f>
      </x:c>
      <x:c r="O429" s="100" t="str">
        <x:f>IF($A429="","",IF(COUNTIF('Interactions'!$B$2:$B$500,$A429)=0,"",MAXIFS('Interactions'!$G$2:$G$500,'Interactions'!$B$2:$B$500,$A429)))</x:f>
      </x:c>
      <x:c r="P429" s="100" t="str">
        <x:f>IF($A429="","",IF(COUNTIFS('FollowUps'!$B$2:$B$500,$A429,'FollowUps'!$H$2:$H$500,"open")=0,"",MINIFS('FollowUps'!$E$2:$E$500,'FollowUps'!$B$2:$B$500,$A429,'FollowUps'!$H$2:$H$500,"open")))</x:f>
      </x:c>
      <x:c r="Q429" s="104" t="str">
        <x:f>IF($A429="","",ROUND(MIN(25,$N429/VALUE(INDEX('Settings'!$B$2:$B$100,MATCH("score_purchase_target",'Settings'!$A$2:$A$100,0)))*25)+MIN(25,$M429/VALUE(INDEX('Settings'!$B$2:$B$100,MATCH("score_value_target",'Settings'!$A$2:$A$100,0)))*25)+IF($L429="",0,MAX(0,25-(TODAY()-$L429)/VALUE(INDEX('Settings'!$B$2:$B$100,MATCH("score_recency_days",'Settings'!$A$2:$A$100,0)))*25))+MIN(15,COUNTIFS('FollowUps'!$B$2:$B$500,$A429,'FollowUps'!$H$2:$H$500,"done")/VALUE(INDEX('Settings'!$B$2:$B$100,MATCH("score_response_target",'Settings'!$A$2:$A$100,0)))*15)+IF(COUNTIFS('Interactions'!$B$2:$B$500,$A429,'Interactions'!$E$2:$E$500,"complaint")=0,10,0),0))</x:f>
      </x:c>
      <x:c r="R429" s="108" t="str">
        <x:f>IF($A429="","",IF($J429="inactive","inactive",IF($J429="at_risk","at_risk",IF($Q429&gt;=85,"vip",IF($Q429&gt;=70,"loyal",IF($Q429&gt;=50,"active",IF($N429=0,"new","needs_attention")))))))</x:f>
      </x:c>
      <x:c r="S429" s="19"/>
      <x:c r="T429" s="18"/>
      <x:c r="U429" s="19"/>
      <x:c r="V429" s="20"/>
      <x:c r="W429" s="26"/>
      <x:c r="X429" s="19"/>
      <x:c r="Y429" s="26"/>
      <x:c r="Z429" s="19"/>
      <x:c r="AA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20"/>
      <x:c r="J430" s="19"/>
      <x:c r="K430" s="19"/>
      <x:c r="L430" s="92" t="str">
        <x:f>IF($A430="","",IF(COUNTIFS('Orders'!$C$2:$C$500,$A430,'Orders'!$M$2:$M$500,"&lt;&gt;cancelled")=0,"",MAXIFS('Orders'!$G$2:$G$500,'Orders'!$C$2:$C$500,$A430,'Orders'!$M$2:$M$500,"&lt;&gt;cancelled")))</x:f>
      </x:c>
      <x:c r="M430" s="96" t="str">
        <x:f>IF($A430="","",SUMIFS('Orders'!$K$2:$K$500,'Orders'!$C$2:$C$500,$A430,'Orders'!$M$2:$M$500,"&lt;&gt;cancelled"))</x:f>
      </x:c>
      <x:c r="N430" s="96" t="str">
        <x:f>IF($A430="","",COUNTIFS('Orders'!$C$2:$C$500,$A430,'Orders'!$M$2:$M$500,"&lt;&gt;cancelled"))</x:f>
      </x:c>
      <x:c r="O430" s="100" t="str">
        <x:f>IF($A430="","",IF(COUNTIF('Interactions'!$B$2:$B$500,$A430)=0,"",MAXIFS('Interactions'!$G$2:$G$500,'Interactions'!$B$2:$B$500,$A430)))</x:f>
      </x:c>
      <x:c r="P430" s="100" t="str">
        <x:f>IF($A430="","",IF(COUNTIFS('FollowUps'!$B$2:$B$500,$A430,'FollowUps'!$H$2:$H$500,"open")=0,"",MINIFS('FollowUps'!$E$2:$E$500,'FollowUps'!$B$2:$B$500,$A430,'FollowUps'!$H$2:$H$500,"open")))</x:f>
      </x:c>
      <x:c r="Q430" s="104" t="str">
        <x:f>IF($A430="","",ROUND(MIN(25,$N430/VALUE(INDEX('Settings'!$B$2:$B$100,MATCH("score_purchase_target",'Settings'!$A$2:$A$100,0)))*25)+MIN(25,$M430/VALUE(INDEX('Settings'!$B$2:$B$100,MATCH("score_value_target",'Settings'!$A$2:$A$100,0)))*25)+IF($L430="",0,MAX(0,25-(TODAY()-$L430)/VALUE(INDEX('Settings'!$B$2:$B$100,MATCH("score_recency_days",'Settings'!$A$2:$A$100,0)))*25))+MIN(15,COUNTIFS('FollowUps'!$B$2:$B$500,$A430,'FollowUps'!$H$2:$H$500,"done")/VALUE(INDEX('Settings'!$B$2:$B$100,MATCH("score_response_target",'Settings'!$A$2:$A$100,0)))*15)+IF(COUNTIFS('Interactions'!$B$2:$B$500,$A430,'Interactions'!$E$2:$E$500,"complaint")=0,10,0),0))</x:f>
      </x:c>
      <x:c r="R430" s="108" t="str">
        <x:f>IF($A430="","",IF($J430="inactive","inactive",IF($J430="at_risk","at_risk",IF($Q430&gt;=85,"vip",IF($Q430&gt;=70,"loyal",IF($Q430&gt;=50,"active",IF($N430=0,"new","needs_attention")))))))</x:f>
      </x:c>
      <x:c r="S430" s="19"/>
      <x:c r="T430" s="18"/>
      <x:c r="U430" s="19"/>
      <x:c r="V430" s="20"/>
      <x:c r="W430" s="26"/>
      <x:c r="X430" s="19"/>
      <x:c r="Y430" s="26"/>
      <x:c r="Z430" s="19"/>
      <x:c r="AA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20"/>
      <x:c r="J431" s="19"/>
      <x:c r="K431" s="19"/>
      <x:c r="L431" s="92" t="str">
        <x:f>IF($A431="","",IF(COUNTIFS('Orders'!$C$2:$C$500,$A431,'Orders'!$M$2:$M$500,"&lt;&gt;cancelled")=0,"",MAXIFS('Orders'!$G$2:$G$500,'Orders'!$C$2:$C$500,$A431,'Orders'!$M$2:$M$500,"&lt;&gt;cancelled")))</x:f>
      </x:c>
      <x:c r="M431" s="96" t="str">
        <x:f>IF($A431="","",SUMIFS('Orders'!$K$2:$K$500,'Orders'!$C$2:$C$500,$A431,'Orders'!$M$2:$M$500,"&lt;&gt;cancelled"))</x:f>
      </x:c>
      <x:c r="N431" s="96" t="str">
        <x:f>IF($A431="","",COUNTIFS('Orders'!$C$2:$C$500,$A431,'Orders'!$M$2:$M$500,"&lt;&gt;cancelled"))</x:f>
      </x:c>
      <x:c r="O431" s="100" t="str">
        <x:f>IF($A431="","",IF(COUNTIF('Interactions'!$B$2:$B$500,$A431)=0,"",MAXIFS('Interactions'!$G$2:$G$500,'Interactions'!$B$2:$B$500,$A431)))</x:f>
      </x:c>
      <x:c r="P431" s="100" t="str">
        <x:f>IF($A431="","",IF(COUNTIFS('FollowUps'!$B$2:$B$500,$A431,'FollowUps'!$H$2:$H$500,"open")=0,"",MINIFS('FollowUps'!$E$2:$E$500,'FollowUps'!$B$2:$B$500,$A431,'FollowUps'!$H$2:$H$500,"open")))</x:f>
      </x:c>
      <x:c r="Q431" s="104" t="str">
        <x:f>IF($A431="","",ROUND(MIN(25,$N431/VALUE(INDEX('Settings'!$B$2:$B$100,MATCH("score_purchase_target",'Settings'!$A$2:$A$100,0)))*25)+MIN(25,$M431/VALUE(INDEX('Settings'!$B$2:$B$100,MATCH("score_value_target",'Settings'!$A$2:$A$100,0)))*25)+IF($L431="",0,MAX(0,25-(TODAY()-$L431)/VALUE(INDEX('Settings'!$B$2:$B$100,MATCH("score_recency_days",'Settings'!$A$2:$A$100,0)))*25))+MIN(15,COUNTIFS('FollowUps'!$B$2:$B$500,$A431,'FollowUps'!$H$2:$H$500,"done")/VALUE(INDEX('Settings'!$B$2:$B$100,MATCH("score_response_target",'Settings'!$A$2:$A$100,0)))*15)+IF(COUNTIFS('Interactions'!$B$2:$B$500,$A431,'Interactions'!$E$2:$E$500,"complaint")=0,10,0),0))</x:f>
      </x:c>
      <x:c r="R431" s="108" t="str">
        <x:f>IF($A431="","",IF($J431="inactive","inactive",IF($J431="at_risk","at_risk",IF($Q431&gt;=85,"vip",IF($Q431&gt;=70,"loyal",IF($Q431&gt;=50,"active",IF($N431=0,"new","needs_attention")))))))</x:f>
      </x:c>
      <x:c r="S431" s="19"/>
      <x:c r="T431" s="18"/>
      <x:c r="U431" s="19"/>
      <x:c r="V431" s="20"/>
      <x:c r="W431" s="26"/>
      <x:c r="X431" s="19"/>
      <x:c r="Y431" s="26"/>
      <x:c r="Z431" s="19"/>
      <x:c r="AA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20"/>
      <x:c r="J432" s="19"/>
      <x:c r="K432" s="19"/>
      <x:c r="L432" s="92" t="str">
        <x:f>IF($A432="","",IF(COUNTIFS('Orders'!$C$2:$C$500,$A432,'Orders'!$M$2:$M$500,"&lt;&gt;cancelled")=0,"",MAXIFS('Orders'!$G$2:$G$500,'Orders'!$C$2:$C$500,$A432,'Orders'!$M$2:$M$500,"&lt;&gt;cancelled")))</x:f>
      </x:c>
      <x:c r="M432" s="96" t="str">
        <x:f>IF($A432="","",SUMIFS('Orders'!$K$2:$K$500,'Orders'!$C$2:$C$500,$A432,'Orders'!$M$2:$M$500,"&lt;&gt;cancelled"))</x:f>
      </x:c>
      <x:c r="N432" s="96" t="str">
        <x:f>IF($A432="","",COUNTIFS('Orders'!$C$2:$C$500,$A432,'Orders'!$M$2:$M$500,"&lt;&gt;cancelled"))</x:f>
      </x:c>
      <x:c r="O432" s="100" t="str">
        <x:f>IF($A432="","",IF(COUNTIF('Interactions'!$B$2:$B$500,$A432)=0,"",MAXIFS('Interactions'!$G$2:$G$500,'Interactions'!$B$2:$B$500,$A432)))</x:f>
      </x:c>
      <x:c r="P432" s="100" t="str">
        <x:f>IF($A432="","",IF(COUNTIFS('FollowUps'!$B$2:$B$500,$A432,'FollowUps'!$H$2:$H$500,"open")=0,"",MINIFS('FollowUps'!$E$2:$E$500,'FollowUps'!$B$2:$B$500,$A432,'FollowUps'!$H$2:$H$500,"open")))</x:f>
      </x:c>
      <x:c r="Q432" s="104" t="str">
        <x:f>IF($A432="","",ROUND(MIN(25,$N432/VALUE(INDEX('Settings'!$B$2:$B$100,MATCH("score_purchase_target",'Settings'!$A$2:$A$100,0)))*25)+MIN(25,$M432/VALUE(INDEX('Settings'!$B$2:$B$100,MATCH("score_value_target",'Settings'!$A$2:$A$100,0)))*25)+IF($L432="",0,MAX(0,25-(TODAY()-$L432)/VALUE(INDEX('Settings'!$B$2:$B$100,MATCH("score_recency_days",'Settings'!$A$2:$A$100,0)))*25))+MIN(15,COUNTIFS('FollowUps'!$B$2:$B$500,$A432,'FollowUps'!$H$2:$H$500,"done")/VALUE(INDEX('Settings'!$B$2:$B$100,MATCH("score_response_target",'Settings'!$A$2:$A$100,0)))*15)+IF(COUNTIFS('Interactions'!$B$2:$B$500,$A432,'Interactions'!$E$2:$E$500,"complaint")=0,10,0),0))</x:f>
      </x:c>
      <x:c r="R432" s="108" t="str">
        <x:f>IF($A432="","",IF($J432="inactive","inactive",IF($J432="at_risk","at_risk",IF($Q432&gt;=85,"vip",IF($Q432&gt;=70,"loyal",IF($Q432&gt;=50,"active",IF($N432=0,"new","needs_attention")))))))</x:f>
      </x:c>
      <x:c r="S432" s="19"/>
      <x:c r="T432" s="18"/>
      <x:c r="U432" s="19"/>
      <x:c r="V432" s="20"/>
      <x:c r="W432" s="26"/>
      <x:c r="X432" s="19"/>
      <x:c r="Y432" s="26"/>
      <x:c r="Z432" s="19"/>
      <x:c r="AA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20"/>
      <x:c r="J433" s="19"/>
      <x:c r="K433" s="19"/>
      <x:c r="L433" s="92" t="str">
        <x:f>IF($A433="","",IF(COUNTIFS('Orders'!$C$2:$C$500,$A433,'Orders'!$M$2:$M$500,"&lt;&gt;cancelled")=0,"",MAXIFS('Orders'!$G$2:$G$500,'Orders'!$C$2:$C$500,$A433,'Orders'!$M$2:$M$500,"&lt;&gt;cancelled")))</x:f>
      </x:c>
      <x:c r="M433" s="96" t="str">
        <x:f>IF($A433="","",SUMIFS('Orders'!$K$2:$K$500,'Orders'!$C$2:$C$500,$A433,'Orders'!$M$2:$M$500,"&lt;&gt;cancelled"))</x:f>
      </x:c>
      <x:c r="N433" s="96" t="str">
        <x:f>IF($A433="","",COUNTIFS('Orders'!$C$2:$C$500,$A433,'Orders'!$M$2:$M$500,"&lt;&gt;cancelled"))</x:f>
      </x:c>
      <x:c r="O433" s="100" t="str">
        <x:f>IF($A433="","",IF(COUNTIF('Interactions'!$B$2:$B$500,$A433)=0,"",MAXIFS('Interactions'!$G$2:$G$500,'Interactions'!$B$2:$B$500,$A433)))</x:f>
      </x:c>
      <x:c r="P433" s="100" t="str">
        <x:f>IF($A433="","",IF(COUNTIFS('FollowUps'!$B$2:$B$500,$A433,'FollowUps'!$H$2:$H$500,"open")=0,"",MINIFS('FollowUps'!$E$2:$E$500,'FollowUps'!$B$2:$B$500,$A433,'FollowUps'!$H$2:$H$500,"open")))</x:f>
      </x:c>
      <x:c r="Q433" s="104" t="str">
        <x:f>IF($A433="","",ROUND(MIN(25,$N433/VALUE(INDEX('Settings'!$B$2:$B$100,MATCH("score_purchase_target",'Settings'!$A$2:$A$100,0)))*25)+MIN(25,$M433/VALUE(INDEX('Settings'!$B$2:$B$100,MATCH("score_value_target",'Settings'!$A$2:$A$100,0)))*25)+IF($L433="",0,MAX(0,25-(TODAY()-$L433)/VALUE(INDEX('Settings'!$B$2:$B$100,MATCH("score_recency_days",'Settings'!$A$2:$A$100,0)))*25))+MIN(15,COUNTIFS('FollowUps'!$B$2:$B$500,$A433,'FollowUps'!$H$2:$H$500,"done")/VALUE(INDEX('Settings'!$B$2:$B$100,MATCH("score_response_target",'Settings'!$A$2:$A$100,0)))*15)+IF(COUNTIFS('Interactions'!$B$2:$B$500,$A433,'Interactions'!$E$2:$E$500,"complaint")=0,10,0),0))</x:f>
      </x:c>
      <x:c r="R433" s="108" t="str">
        <x:f>IF($A433="","",IF($J433="inactive","inactive",IF($J433="at_risk","at_risk",IF($Q433&gt;=85,"vip",IF($Q433&gt;=70,"loyal",IF($Q433&gt;=50,"active",IF($N433=0,"new","needs_attention")))))))</x:f>
      </x:c>
      <x:c r="S433" s="19"/>
      <x:c r="T433" s="18"/>
      <x:c r="U433" s="19"/>
      <x:c r="V433" s="20"/>
      <x:c r="W433" s="26"/>
      <x:c r="X433" s="19"/>
      <x:c r="Y433" s="26"/>
      <x:c r="Z433" s="19"/>
      <x:c r="AA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20"/>
      <x:c r="J434" s="19"/>
      <x:c r="K434" s="19"/>
      <x:c r="L434" s="92" t="str">
        <x:f>IF($A434="","",IF(COUNTIFS('Orders'!$C$2:$C$500,$A434,'Orders'!$M$2:$M$500,"&lt;&gt;cancelled")=0,"",MAXIFS('Orders'!$G$2:$G$500,'Orders'!$C$2:$C$500,$A434,'Orders'!$M$2:$M$500,"&lt;&gt;cancelled")))</x:f>
      </x:c>
      <x:c r="M434" s="96" t="str">
        <x:f>IF($A434="","",SUMIFS('Orders'!$K$2:$K$500,'Orders'!$C$2:$C$500,$A434,'Orders'!$M$2:$M$500,"&lt;&gt;cancelled"))</x:f>
      </x:c>
      <x:c r="N434" s="96" t="str">
        <x:f>IF($A434="","",COUNTIFS('Orders'!$C$2:$C$500,$A434,'Orders'!$M$2:$M$500,"&lt;&gt;cancelled"))</x:f>
      </x:c>
      <x:c r="O434" s="100" t="str">
        <x:f>IF($A434="","",IF(COUNTIF('Interactions'!$B$2:$B$500,$A434)=0,"",MAXIFS('Interactions'!$G$2:$G$500,'Interactions'!$B$2:$B$500,$A434)))</x:f>
      </x:c>
      <x:c r="P434" s="100" t="str">
        <x:f>IF($A434="","",IF(COUNTIFS('FollowUps'!$B$2:$B$500,$A434,'FollowUps'!$H$2:$H$500,"open")=0,"",MINIFS('FollowUps'!$E$2:$E$500,'FollowUps'!$B$2:$B$500,$A434,'FollowUps'!$H$2:$H$500,"open")))</x:f>
      </x:c>
      <x:c r="Q434" s="104" t="str">
        <x:f>IF($A434="","",ROUND(MIN(25,$N434/VALUE(INDEX('Settings'!$B$2:$B$100,MATCH("score_purchase_target",'Settings'!$A$2:$A$100,0)))*25)+MIN(25,$M434/VALUE(INDEX('Settings'!$B$2:$B$100,MATCH("score_value_target",'Settings'!$A$2:$A$100,0)))*25)+IF($L434="",0,MAX(0,25-(TODAY()-$L434)/VALUE(INDEX('Settings'!$B$2:$B$100,MATCH("score_recency_days",'Settings'!$A$2:$A$100,0)))*25))+MIN(15,COUNTIFS('FollowUps'!$B$2:$B$500,$A434,'FollowUps'!$H$2:$H$500,"done")/VALUE(INDEX('Settings'!$B$2:$B$100,MATCH("score_response_target",'Settings'!$A$2:$A$100,0)))*15)+IF(COUNTIFS('Interactions'!$B$2:$B$500,$A434,'Interactions'!$E$2:$E$500,"complaint")=0,10,0),0))</x:f>
      </x:c>
      <x:c r="R434" s="108" t="str">
        <x:f>IF($A434="","",IF($J434="inactive","inactive",IF($J434="at_risk","at_risk",IF($Q434&gt;=85,"vip",IF($Q434&gt;=70,"loyal",IF($Q434&gt;=50,"active",IF($N434=0,"new","needs_attention")))))))</x:f>
      </x:c>
      <x:c r="S434" s="19"/>
      <x:c r="T434" s="18"/>
      <x:c r="U434" s="19"/>
      <x:c r="V434" s="20"/>
      <x:c r="W434" s="26"/>
      <x:c r="X434" s="19"/>
      <x:c r="Y434" s="26"/>
      <x:c r="Z434" s="19"/>
      <x:c r="AA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20"/>
      <x:c r="J435" s="19"/>
      <x:c r="K435" s="19"/>
      <x:c r="L435" s="92" t="str">
        <x:f>IF($A435="","",IF(COUNTIFS('Orders'!$C$2:$C$500,$A435,'Orders'!$M$2:$M$500,"&lt;&gt;cancelled")=0,"",MAXIFS('Orders'!$G$2:$G$500,'Orders'!$C$2:$C$500,$A435,'Orders'!$M$2:$M$500,"&lt;&gt;cancelled")))</x:f>
      </x:c>
      <x:c r="M435" s="96" t="str">
        <x:f>IF($A435="","",SUMIFS('Orders'!$K$2:$K$500,'Orders'!$C$2:$C$500,$A435,'Orders'!$M$2:$M$500,"&lt;&gt;cancelled"))</x:f>
      </x:c>
      <x:c r="N435" s="96" t="str">
        <x:f>IF($A435="","",COUNTIFS('Orders'!$C$2:$C$500,$A435,'Orders'!$M$2:$M$500,"&lt;&gt;cancelled"))</x:f>
      </x:c>
      <x:c r="O435" s="100" t="str">
        <x:f>IF($A435="","",IF(COUNTIF('Interactions'!$B$2:$B$500,$A435)=0,"",MAXIFS('Interactions'!$G$2:$G$500,'Interactions'!$B$2:$B$500,$A435)))</x:f>
      </x:c>
      <x:c r="P435" s="100" t="str">
        <x:f>IF($A435="","",IF(COUNTIFS('FollowUps'!$B$2:$B$500,$A435,'FollowUps'!$H$2:$H$500,"open")=0,"",MINIFS('FollowUps'!$E$2:$E$500,'FollowUps'!$B$2:$B$500,$A435,'FollowUps'!$H$2:$H$500,"open")))</x:f>
      </x:c>
      <x:c r="Q435" s="104" t="str">
        <x:f>IF($A435="","",ROUND(MIN(25,$N435/VALUE(INDEX('Settings'!$B$2:$B$100,MATCH("score_purchase_target",'Settings'!$A$2:$A$100,0)))*25)+MIN(25,$M435/VALUE(INDEX('Settings'!$B$2:$B$100,MATCH("score_value_target",'Settings'!$A$2:$A$100,0)))*25)+IF($L435="",0,MAX(0,25-(TODAY()-$L435)/VALUE(INDEX('Settings'!$B$2:$B$100,MATCH("score_recency_days",'Settings'!$A$2:$A$100,0)))*25))+MIN(15,COUNTIFS('FollowUps'!$B$2:$B$500,$A435,'FollowUps'!$H$2:$H$500,"done")/VALUE(INDEX('Settings'!$B$2:$B$100,MATCH("score_response_target",'Settings'!$A$2:$A$100,0)))*15)+IF(COUNTIFS('Interactions'!$B$2:$B$500,$A435,'Interactions'!$E$2:$E$500,"complaint")=0,10,0),0))</x:f>
      </x:c>
      <x:c r="R435" s="108" t="str">
        <x:f>IF($A435="","",IF($J435="inactive","inactive",IF($J435="at_risk","at_risk",IF($Q435&gt;=85,"vip",IF($Q435&gt;=70,"loyal",IF($Q435&gt;=50,"active",IF($N435=0,"new","needs_attention")))))))</x:f>
      </x:c>
      <x:c r="S435" s="19"/>
      <x:c r="T435" s="18"/>
      <x:c r="U435" s="19"/>
      <x:c r="V435" s="20"/>
      <x:c r="W435" s="26"/>
      <x:c r="X435" s="19"/>
      <x:c r="Y435" s="26"/>
      <x:c r="Z435" s="19"/>
      <x:c r="AA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20"/>
      <x:c r="J436" s="19"/>
      <x:c r="K436" s="19"/>
      <x:c r="L436" s="92" t="str">
        <x:f>IF($A436="","",IF(COUNTIFS('Orders'!$C$2:$C$500,$A436,'Orders'!$M$2:$M$500,"&lt;&gt;cancelled")=0,"",MAXIFS('Orders'!$G$2:$G$500,'Orders'!$C$2:$C$500,$A436,'Orders'!$M$2:$M$500,"&lt;&gt;cancelled")))</x:f>
      </x:c>
      <x:c r="M436" s="96" t="str">
        <x:f>IF($A436="","",SUMIFS('Orders'!$K$2:$K$500,'Orders'!$C$2:$C$500,$A436,'Orders'!$M$2:$M$500,"&lt;&gt;cancelled"))</x:f>
      </x:c>
      <x:c r="N436" s="96" t="str">
        <x:f>IF($A436="","",COUNTIFS('Orders'!$C$2:$C$500,$A436,'Orders'!$M$2:$M$500,"&lt;&gt;cancelled"))</x:f>
      </x:c>
      <x:c r="O436" s="100" t="str">
        <x:f>IF($A436="","",IF(COUNTIF('Interactions'!$B$2:$B$500,$A436)=0,"",MAXIFS('Interactions'!$G$2:$G$500,'Interactions'!$B$2:$B$500,$A436)))</x:f>
      </x:c>
      <x:c r="P436" s="100" t="str">
        <x:f>IF($A436="","",IF(COUNTIFS('FollowUps'!$B$2:$B$500,$A436,'FollowUps'!$H$2:$H$500,"open")=0,"",MINIFS('FollowUps'!$E$2:$E$500,'FollowUps'!$B$2:$B$500,$A436,'FollowUps'!$H$2:$H$500,"open")))</x:f>
      </x:c>
      <x:c r="Q436" s="104" t="str">
        <x:f>IF($A436="","",ROUND(MIN(25,$N436/VALUE(INDEX('Settings'!$B$2:$B$100,MATCH("score_purchase_target",'Settings'!$A$2:$A$100,0)))*25)+MIN(25,$M436/VALUE(INDEX('Settings'!$B$2:$B$100,MATCH("score_value_target",'Settings'!$A$2:$A$100,0)))*25)+IF($L436="",0,MAX(0,25-(TODAY()-$L436)/VALUE(INDEX('Settings'!$B$2:$B$100,MATCH("score_recency_days",'Settings'!$A$2:$A$100,0)))*25))+MIN(15,COUNTIFS('FollowUps'!$B$2:$B$500,$A436,'FollowUps'!$H$2:$H$500,"done")/VALUE(INDEX('Settings'!$B$2:$B$100,MATCH("score_response_target",'Settings'!$A$2:$A$100,0)))*15)+IF(COUNTIFS('Interactions'!$B$2:$B$500,$A436,'Interactions'!$E$2:$E$500,"complaint")=0,10,0),0))</x:f>
      </x:c>
      <x:c r="R436" s="108" t="str">
        <x:f>IF($A436="","",IF($J436="inactive","inactive",IF($J436="at_risk","at_risk",IF($Q436&gt;=85,"vip",IF($Q436&gt;=70,"loyal",IF($Q436&gt;=50,"active",IF($N436=0,"new","needs_attention")))))))</x:f>
      </x:c>
      <x:c r="S436" s="19"/>
      <x:c r="T436" s="18"/>
      <x:c r="U436" s="19"/>
      <x:c r="V436" s="20"/>
      <x:c r="W436" s="26"/>
      <x:c r="X436" s="19"/>
      <x:c r="Y436" s="26"/>
      <x:c r="Z436" s="19"/>
      <x:c r="AA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20"/>
      <x:c r="J437" s="19"/>
      <x:c r="K437" s="19"/>
      <x:c r="L437" s="92" t="str">
        <x:f>IF($A437="","",IF(COUNTIFS('Orders'!$C$2:$C$500,$A437,'Orders'!$M$2:$M$500,"&lt;&gt;cancelled")=0,"",MAXIFS('Orders'!$G$2:$G$500,'Orders'!$C$2:$C$500,$A437,'Orders'!$M$2:$M$500,"&lt;&gt;cancelled")))</x:f>
      </x:c>
      <x:c r="M437" s="96" t="str">
        <x:f>IF($A437="","",SUMIFS('Orders'!$K$2:$K$500,'Orders'!$C$2:$C$500,$A437,'Orders'!$M$2:$M$500,"&lt;&gt;cancelled"))</x:f>
      </x:c>
      <x:c r="N437" s="96" t="str">
        <x:f>IF($A437="","",COUNTIFS('Orders'!$C$2:$C$500,$A437,'Orders'!$M$2:$M$500,"&lt;&gt;cancelled"))</x:f>
      </x:c>
      <x:c r="O437" s="100" t="str">
        <x:f>IF($A437="","",IF(COUNTIF('Interactions'!$B$2:$B$500,$A437)=0,"",MAXIFS('Interactions'!$G$2:$G$500,'Interactions'!$B$2:$B$500,$A437)))</x:f>
      </x:c>
      <x:c r="P437" s="100" t="str">
        <x:f>IF($A437="","",IF(COUNTIFS('FollowUps'!$B$2:$B$500,$A437,'FollowUps'!$H$2:$H$500,"open")=0,"",MINIFS('FollowUps'!$E$2:$E$500,'FollowUps'!$B$2:$B$500,$A437,'FollowUps'!$H$2:$H$500,"open")))</x:f>
      </x:c>
      <x:c r="Q437" s="104" t="str">
        <x:f>IF($A437="","",ROUND(MIN(25,$N437/VALUE(INDEX('Settings'!$B$2:$B$100,MATCH("score_purchase_target",'Settings'!$A$2:$A$100,0)))*25)+MIN(25,$M437/VALUE(INDEX('Settings'!$B$2:$B$100,MATCH("score_value_target",'Settings'!$A$2:$A$100,0)))*25)+IF($L437="",0,MAX(0,25-(TODAY()-$L437)/VALUE(INDEX('Settings'!$B$2:$B$100,MATCH("score_recency_days",'Settings'!$A$2:$A$100,0)))*25))+MIN(15,COUNTIFS('FollowUps'!$B$2:$B$500,$A437,'FollowUps'!$H$2:$H$500,"done")/VALUE(INDEX('Settings'!$B$2:$B$100,MATCH("score_response_target",'Settings'!$A$2:$A$100,0)))*15)+IF(COUNTIFS('Interactions'!$B$2:$B$500,$A437,'Interactions'!$E$2:$E$500,"complaint")=0,10,0),0))</x:f>
      </x:c>
      <x:c r="R437" s="108" t="str">
        <x:f>IF($A437="","",IF($J437="inactive","inactive",IF($J437="at_risk","at_risk",IF($Q437&gt;=85,"vip",IF($Q437&gt;=70,"loyal",IF($Q437&gt;=50,"active",IF($N437=0,"new","needs_attention")))))))</x:f>
      </x:c>
      <x:c r="S437" s="19"/>
      <x:c r="T437" s="18"/>
      <x:c r="U437" s="19"/>
      <x:c r="V437" s="20"/>
      <x:c r="W437" s="26"/>
      <x:c r="X437" s="19"/>
      <x:c r="Y437" s="26"/>
      <x:c r="Z437" s="19"/>
      <x:c r="AA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20"/>
      <x:c r="J438" s="19"/>
      <x:c r="K438" s="19"/>
      <x:c r="L438" s="92" t="str">
        <x:f>IF($A438="","",IF(COUNTIFS('Orders'!$C$2:$C$500,$A438,'Orders'!$M$2:$M$500,"&lt;&gt;cancelled")=0,"",MAXIFS('Orders'!$G$2:$G$500,'Orders'!$C$2:$C$500,$A438,'Orders'!$M$2:$M$500,"&lt;&gt;cancelled")))</x:f>
      </x:c>
      <x:c r="M438" s="96" t="str">
        <x:f>IF($A438="","",SUMIFS('Orders'!$K$2:$K$500,'Orders'!$C$2:$C$500,$A438,'Orders'!$M$2:$M$500,"&lt;&gt;cancelled"))</x:f>
      </x:c>
      <x:c r="N438" s="96" t="str">
        <x:f>IF($A438="","",COUNTIFS('Orders'!$C$2:$C$500,$A438,'Orders'!$M$2:$M$500,"&lt;&gt;cancelled"))</x:f>
      </x:c>
      <x:c r="O438" s="100" t="str">
        <x:f>IF($A438="","",IF(COUNTIF('Interactions'!$B$2:$B$500,$A438)=0,"",MAXIFS('Interactions'!$G$2:$G$500,'Interactions'!$B$2:$B$500,$A438)))</x:f>
      </x:c>
      <x:c r="P438" s="100" t="str">
        <x:f>IF($A438="","",IF(COUNTIFS('FollowUps'!$B$2:$B$500,$A438,'FollowUps'!$H$2:$H$500,"open")=0,"",MINIFS('FollowUps'!$E$2:$E$500,'FollowUps'!$B$2:$B$500,$A438,'FollowUps'!$H$2:$H$500,"open")))</x:f>
      </x:c>
      <x:c r="Q438" s="104" t="str">
        <x:f>IF($A438="","",ROUND(MIN(25,$N438/VALUE(INDEX('Settings'!$B$2:$B$100,MATCH("score_purchase_target",'Settings'!$A$2:$A$100,0)))*25)+MIN(25,$M438/VALUE(INDEX('Settings'!$B$2:$B$100,MATCH("score_value_target",'Settings'!$A$2:$A$100,0)))*25)+IF($L438="",0,MAX(0,25-(TODAY()-$L438)/VALUE(INDEX('Settings'!$B$2:$B$100,MATCH("score_recency_days",'Settings'!$A$2:$A$100,0)))*25))+MIN(15,COUNTIFS('FollowUps'!$B$2:$B$500,$A438,'FollowUps'!$H$2:$H$500,"done")/VALUE(INDEX('Settings'!$B$2:$B$100,MATCH("score_response_target",'Settings'!$A$2:$A$100,0)))*15)+IF(COUNTIFS('Interactions'!$B$2:$B$500,$A438,'Interactions'!$E$2:$E$500,"complaint")=0,10,0),0))</x:f>
      </x:c>
      <x:c r="R438" s="108" t="str">
        <x:f>IF($A438="","",IF($J438="inactive","inactive",IF($J438="at_risk","at_risk",IF($Q438&gt;=85,"vip",IF($Q438&gt;=70,"loyal",IF($Q438&gt;=50,"active",IF($N438=0,"new","needs_attention")))))))</x:f>
      </x:c>
      <x:c r="S438" s="19"/>
      <x:c r="T438" s="18"/>
      <x:c r="U438" s="19"/>
      <x:c r="V438" s="20"/>
      <x:c r="W438" s="26"/>
      <x:c r="X438" s="19"/>
      <x:c r="Y438" s="26"/>
      <x:c r="Z438" s="19"/>
      <x:c r="AA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20"/>
      <x:c r="J439" s="19"/>
      <x:c r="K439" s="19"/>
      <x:c r="L439" s="92" t="str">
        <x:f>IF($A439="","",IF(COUNTIFS('Orders'!$C$2:$C$500,$A439,'Orders'!$M$2:$M$500,"&lt;&gt;cancelled")=0,"",MAXIFS('Orders'!$G$2:$G$500,'Orders'!$C$2:$C$500,$A439,'Orders'!$M$2:$M$500,"&lt;&gt;cancelled")))</x:f>
      </x:c>
      <x:c r="M439" s="96" t="str">
        <x:f>IF($A439="","",SUMIFS('Orders'!$K$2:$K$500,'Orders'!$C$2:$C$500,$A439,'Orders'!$M$2:$M$500,"&lt;&gt;cancelled"))</x:f>
      </x:c>
      <x:c r="N439" s="96" t="str">
        <x:f>IF($A439="","",COUNTIFS('Orders'!$C$2:$C$500,$A439,'Orders'!$M$2:$M$500,"&lt;&gt;cancelled"))</x:f>
      </x:c>
      <x:c r="O439" s="100" t="str">
        <x:f>IF($A439="","",IF(COUNTIF('Interactions'!$B$2:$B$500,$A439)=0,"",MAXIFS('Interactions'!$G$2:$G$500,'Interactions'!$B$2:$B$500,$A439)))</x:f>
      </x:c>
      <x:c r="P439" s="100" t="str">
        <x:f>IF($A439="","",IF(COUNTIFS('FollowUps'!$B$2:$B$500,$A439,'FollowUps'!$H$2:$H$500,"open")=0,"",MINIFS('FollowUps'!$E$2:$E$500,'FollowUps'!$B$2:$B$500,$A439,'FollowUps'!$H$2:$H$500,"open")))</x:f>
      </x:c>
      <x:c r="Q439" s="104" t="str">
        <x:f>IF($A439="","",ROUND(MIN(25,$N439/VALUE(INDEX('Settings'!$B$2:$B$100,MATCH("score_purchase_target",'Settings'!$A$2:$A$100,0)))*25)+MIN(25,$M439/VALUE(INDEX('Settings'!$B$2:$B$100,MATCH("score_value_target",'Settings'!$A$2:$A$100,0)))*25)+IF($L439="",0,MAX(0,25-(TODAY()-$L439)/VALUE(INDEX('Settings'!$B$2:$B$100,MATCH("score_recency_days",'Settings'!$A$2:$A$100,0)))*25))+MIN(15,COUNTIFS('FollowUps'!$B$2:$B$500,$A439,'FollowUps'!$H$2:$H$500,"done")/VALUE(INDEX('Settings'!$B$2:$B$100,MATCH("score_response_target",'Settings'!$A$2:$A$100,0)))*15)+IF(COUNTIFS('Interactions'!$B$2:$B$500,$A439,'Interactions'!$E$2:$E$500,"complaint")=0,10,0),0))</x:f>
      </x:c>
      <x:c r="R439" s="108" t="str">
        <x:f>IF($A439="","",IF($J439="inactive","inactive",IF($J439="at_risk","at_risk",IF($Q439&gt;=85,"vip",IF($Q439&gt;=70,"loyal",IF($Q439&gt;=50,"active",IF($N439=0,"new","needs_attention")))))))</x:f>
      </x:c>
      <x:c r="S439" s="19"/>
      <x:c r="T439" s="18"/>
      <x:c r="U439" s="19"/>
      <x:c r="V439" s="20"/>
      <x:c r="W439" s="26"/>
      <x:c r="X439" s="19"/>
      <x:c r="Y439" s="26"/>
      <x:c r="Z439" s="19"/>
      <x:c r="AA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20"/>
      <x:c r="J440" s="19"/>
      <x:c r="K440" s="19"/>
      <x:c r="L440" s="92" t="str">
        <x:f>IF($A440="","",IF(COUNTIFS('Orders'!$C$2:$C$500,$A440,'Orders'!$M$2:$M$500,"&lt;&gt;cancelled")=0,"",MAXIFS('Orders'!$G$2:$G$500,'Orders'!$C$2:$C$500,$A440,'Orders'!$M$2:$M$500,"&lt;&gt;cancelled")))</x:f>
      </x:c>
      <x:c r="M440" s="96" t="str">
        <x:f>IF($A440="","",SUMIFS('Orders'!$K$2:$K$500,'Orders'!$C$2:$C$500,$A440,'Orders'!$M$2:$M$500,"&lt;&gt;cancelled"))</x:f>
      </x:c>
      <x:c r="N440" s="96" t="str">
        <x:f>IF($A440="","",COUNTIFS('Orders'!$C$2:$C$500,$A440,'Orders'!$M$2:$M$500,"&lt;&gt;cancelled"))</x:f>
      </x:c>
      <x:c r="O440" s="100" t="str">
        <x:f>IF($A440="","",IF(COUNTIF('Interactions'!$B$2:$B$500,$A440)=0,"",MAXIFS('Interactions'!$G$2:$G$500,'Interactions'!$B$2:$B$500,$A440)))</x:f>
      </x:c>
      <x:c r="P440" s="100" t="str">
        <x:f>IF($A440="","",IF(COUNTIFS('FollowUps'!$B$2:$B$500,$A440,'FollowUps'!$H$2:$H$500,"open")=0,"",MINIFS('FollowUps'!$E$2:$E$500,'FollowUps'!$B$2:$B$500,$A440,'FollowUps'!$H$2:$H$500,"open")))</x:f>
      </x:c>
      <x:c r="Q440" s="104" t="str">
        <x:f>IF($A440="","",ROUND(MIN(25,$N440/VALUE(INDEX('Settings'!$B$2:$B$100,MATCH("score_purchase_target",'Settings'!$A$2:$A$100,0)))*25)+MIN(25,$M440/VALUE(INDEX('Settings'!$B$2:$B$100,MATCH("score_value_target",'Settings'!$A$2:$A$100,0)))*25)+IF($L440="",0,MAX(0,25-(TODAY()-$L440)/VALUE(INDEX('Settings'!$B$2:$B$100,MATCH("score_recency_days",'Settings'!$A$2:$A$100,0)))*25))+MIN(15,COUNTIFS('FollowUps'!$B$2:$B$500,$A440,'FollowUps'!$H$2:$H$500,"done")/VALUE(INDEX('Settings'!$B$2:$B$100,MATCH("score_response_target",'Settings'!$A$2:$A$100,0)))*15)+IF(COUNTIFS('Interactions'!$B$2:$B$500,$A440,'Interactions'!$E$2:$E$500,"complaint")=0,10,0),0))</x:f>
      </x:c>
      <x:c r="R440" s="108" t="str">
        <x:f>IF($A440="","",IF($J440="inactive","inactive",IF($J440="at_risk","at_risk",IF($Q440&gt;=85,"vip",IF($Q440&gt;=70,"loyal",IF($Q440&gt;=50,"active",IF($N440=0,"new","needs_attention")))))))</x:f>
      </x:c>
      <x:c r="S440" s="19"/>
      <x:c r="T440" s="18"/>
      <x:c r="U440" s="19"/>
      <x:c r="V440" s="20"/>
      <x:c r="W440" s="26"/>
      <x:c r="X440" s="19"/>
      <x:c r="Y440" s="26"/>
      <x:c r="Z440" s="19"/>
      <x:c r="AA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20"/>
      <x:c r="J441" s="19"/>
      <x:c r="K441" s="19"/>
      <x:c r="L441" s="92" t="str">
        <x:f>IF($A441="","",IF(COUNTIFS('Orders'!$C$2:$C$500,$A441,'Orders'!$M$2:$M$500,"&lt;&gt;cancelled")=0,"",MAXIFS('Orders'!$G$2:$G$500,'Orders'!$C$2:$C$500,$A441,'Orders'!$M$2:$M$500,"&lt;&gt;cancelled")))</x:f>
      </x:c>
      <x:c r="M441" s="96" t="str">
        <x:f>IF($A441="","",SUMIFS('Orders'!$K$2:$K$500,'Orders'!$C$2:$C$500,$A441,'Orders'!$M$2:$M$500,"&lt;&gt;cancelled"))</x:f>
      </x:c>
      <x:c r="N441" s="96" t="str">
        <x:f>IF($A441="","",COUNTIFS('Orders'!$C$2:$C$500,$A441,'Orders'!$M$2:$M$500,"&lt;&gt;cancelled"))</x:f>
      </x:c>
      <x:c r="O441" s="100" t="str">
        <x:f>IF($A441="","",IF(COUNTIF('Interactions'!$B$2:$B$500,$A441)=0,"",MAXIFS('Interactions'!$G$2:$G$500,'Interactions'!$B$2:$B$500,$A441)))</x:f>
      </x:c>
      <x:c r="P441" s="100" t="str">
        <x:f>IF($A441="","",IF(COUNTIFS('FollowUps'!$B$2:$B$500,$A441,'FollowUps'!$H$2:$H$500,"open")=0,"",MINIFS('FollowUps'!$E$2:$E$500,'FollowUps'!$B$2:$B$500,$A441,'FollowUps'!$H$2:$H$500,"open")))</x:f>
      </x:c>
      <x:c r="Q441" s="104" t="str">
        <x:f>IF($A441="","",ROUND(MIN(25,$N441/VALUE(INDEX('Settings'!$B$2:$B$100,MATCH("score_purchase_target",'Settings'!$A$2:$A$100,0)))*25)+MIN(25,$M441/VALUE(INDEX('Settings'!$B$2:$B$100,MATCH("score_value_target",'Settings'!$A$2:$A$100,0)))*25)+IF($L441="",0,MAX(0,25-(TODAY()-$L441)/VALUE(INDEX('Settings'!$B$2:$B$100,MATCH("score_recency_days",'Settings'!$A$2:$A$100,0)))*25))+MIN(15,COUNTIFS('FollowUps'!$B$2:$B$500,$A441,'FollowUps'!$H$2:$H$500,"done")/VALUE(INDEX('Settings'!$B$2:$B$100,MATCH("score_response_target",'Settings'!$A$2:$A$100,0)))*15)+IF(COUNTIFS('Interactions'!$B$2:$B$500,$A441,'Interactions'!$E$2:$E$500,"complaint")=0,10,0),0))</x:f>
      </x:c>
      <x:c r="R441" s="108" t="str">
        <x:f>IF($A441="","",IF($J441="inactive","inactive",IF($J441="at_risk","at_risk",IF($Q441&gt;=85,"vip",IF($Q441&gt;=70,"loyal",IF($Q441&gt;=50,"active",IF($N441=0,"new","needs_attention")))))))</x:f>
      </x:c>
      <x:c r="S441" s="19"/>
      <x:c r="T441" s="18"/>
      <x:c r="U441" s="19"/>
      <x:c r="V441" s="20"/>
      <x:c r="W441" s="26"/>
      <x:c r="X441" s="19"/>
      <x:c r="Y441" s="26"/>
      <x:c r="Z441" s="19"/>
      <x:c r="AA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20"/>
      <x:c r="J442" s="19"/>
      <x:c r="K442" s="19"/>
      <x:c r="L442" s="92" t="str">
        <x:f>IF($A442="","",IF(COUNTIFS('Orders'!$C$2:$C$500,$A442,'Orders'!$M$2:$M$500,"&lt;&gt;cancelled")=0,"",MAXIFS('Orders'!$G$2:$G$500,'Orders'!$C$2:$C$500,$A442,'Orders'!$M$2:$M$500,"&lt;&gt;cancelled")))</x:f>
      </x:c>
      <x:c r="M442" s="96" t="str">
        <x:f>IF($A442="","",SUMIFS('Orders'!$K$2:$K$500,'Orders'!$C$2:$C$500,$A442,'Orders'!$M$2:$M$500,"&lt;&gt;cancelled"))</x:f>
      </x:c>
      <x:c r="N442" s="96" t="str">
        <x:f>IF($A442="","",COUNTIFS('Orders'!$C$2:$C$500,$A442,'Orders'!$M$2:$M$500,"&lt;&gt;cancelled"))</x:f>
      </x:c>
      <x:c r="O442" s="100" t="str">
        <x:f>IF($A442="","",IF(COUNTIF('Interactions'!$B$2:$B$500,$A442)=0,"",MAXIFS('Interactions'!$G$2:$G$500,'Interactions'!$B$2:$B$500,$A442)))</x:f>
      </x:c>
      <x:c r="P442" s="100" t="str">
        <x:f>IF($A442="","",IF(COUNTIFS('FollowUps'!$B$2:$B$500,$A442,'FollowUps'!$H$2:$H$500,"open")=0,"",MINIFS('FollowUps'!$E$2:$E$500,'FollowUps'!$B$2:$B$500,$A442,'FollowUps'!$H$2:$H$500,"open")))</x:f>
      </x:c>
      <x:c r="Q442" s="104" t="str">
        <x:f>IF($A442="","",ROUND(MIN(25,$N442/VALUE(INDEX('Settings'!$B$2:$B$100,MATCH("score_purchase_target",'Settings'!$A$2:$A$100,0)))*25)+MIN(25,$M442/VALUE(INDEX('Settings'!$B$2:$B$100,MATCH("score_value_target",'Settings'!$A$2:$A$100,0)))*25)+IF($L442="",0,MAX(0,25-(TODAY()-$L442)/VALUE(INDEX('Settings'!$B$2:$B$100,MATCH("score_recency_days",'Settings'!$A$2:$A$100,0)))*25))+MIN(15,COUNTIFS('FollowUps'!$B$2:$B$500,$A442,'FollowUps'!$H$2:$H$500,"done")/VALUE(INDEX('Settings'!$B$2:$B$100,MATCH("score_response_target",'Settings'!$A$2:$A$100,0)))*15)+IF(COUNTIFS('Interactions'!$B$2:$B$500,$A442,'Interactions'!$E$2:$E$500,"complaint")=0,10,0),0))</x:f>
      </x:c>
      <x:c r="R442" s="108" t="str">
        <x:f>IF($A442="","",IF($J442="inactive","inactive",IF($J442="at_risk","at_risk",IF($Q442&gt;=85,"vip",IF($Q442&gt;=70,"loyal",IF($Q442&gt;=50,"active",IF($N442=0,"new","needs_attention")))))))</x:f>
      </x:c>
      <x:c r="S442" s="19"/>
      <x:c r="T442" s="18"/>
      <x:c r="U442" s="19"/>
      <x:c r="V442" s="20"/>
      <x:c r="W442" s="26"/>
      <x:c r="X442" s="19"/>
      <x:c r="Y442" s="26"/>
      <x:c r="Z442" s="19"/>
      <x:c r="AA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20"/>
      <x:c r="J443" s="19"/>
      <x:c r="K443" s="19"/>
      <x:c r="L443" s="92" t="str">
        <x:f>IF($A443="","",IF(COUNTIFS('Orders'!$C$2:$C$500,$A443,'Orders'!$M$2:$M$500,"&lt;&gt;cancelled")=0,"",MAXIFS('Orders'!$G$2:$G$500,'Orders'!$C$2:$C$500,$A443,'Orders'!$M$2:$M$500,"&lt;&gt;cancelled")))</x:f>
      </x:c>
      <x:c r="M443" s="96" t="str">
        <x:f>IF($A443="","",SUMIFS('Orders'!$K$2:$K$500,'Orders'!$C$2:$C$500,$A443,'Orders'!$M$2:$M$500,"&lt;&gt;cancelled"))</x:f>
      </x:c>
      <x:c r="N443" s="96" t="str">
        <x:f>IF($A443="","",COUNTIFS('Orders'!$C$2:$C$500,$A443,'Orders'!$M$2:$M$500,"&lt;&gt;cancelled"))</x:f>
      </x:c>
      <x:c r="O443" s="100" t="str">
        <x:f>IF($A443="","",IF(COUNTIF('Interactions'!$B$2:$B$500,$A443)=0,"",MAXIFS('Interactions'!$G$2:$G$500,'Interactions'!$B$2:$B$500,$A443)))</x:f>
      </x:c>
      <x:c r="P443" s="100" t="str">
        <x:f>IF($A443="","",IF(COUNTIFS('FollowUps'!$B$2:$B$500,$A443,'FollowUps'!$H$2:$H$500,"open")=0,"",MINIFS('FollowUps'!$E$2:$E$500,'FollowUps'!$B$2:$B$500,$A443,'FollowUps'!$H$2:$H$500,"open")))</x:f>
      </x:c>
      <x:c r="Q443" s="104" t="str">
        <x:f>IF($A443="","",ROUND(MIN(25,$N443/VALUE(INDEX('Settings'!$B$2:$B$100,MATCH("score_purchase_target",'Settings'!$A$2:$A$100,0)))*25)+MIN(25,$M443/VALUE(INDEX('Settings'!$B$2:$B$100,MATCH("score_value_target",'Settings'!$A$2:$A$100,0)))*25)+IF($L443="",0,MAX(0,25-(TODAY()-$L443)/VALUE(INDEX('Settings'!$B$2:$B$100,MATCH("score_recency_days",'Settings'!$A$2:$A$100,0)))*25))+MIN(15,COUNTIFS('FollowUps'!$B$2:$B$500,$A443,'FollowUps'!$H$2:$H$500,"done")/VALUE(INDEX('Settings'!$B$2:$B$100,MATCH("score_response_target",'Settings'!$A$2:$A$100,0)))*15)+IF(COUNTIFS('Interactions'!$B$2:$B$500,$A443,'Interactions'!$E$2:$E$500,"complaint")=0,10,0),0))</x:f>
      </x:c>
      <x:c r="R443" s="108" t="str">
        <x:f>IF($A443="","",IF($J443="inactive","inactive",IF($J443="at_risk","at_risk",IF($Q443&gt;=85,"vip",IF($Q443&gt;=70,"loyal",IF($Q443&gt;=50,"active",IF($N443=0,"new","needs_attention")))))))</x:f>
      </x:c>
      <x:c r="S443" s="19"/>
      <x:c r="T443" s="18"/>
      <x:c r="U443" s="19"/>
      <x:c r="V443" s="20"/>
      <x:c r="W443" s="26"/>
      <x:c r="X443" s="19"/>
      <x:c r="Y443" s="26"/>
      <x:c r="Z443" s="19"/>
      <x:c r="AA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20"/>
      <x:c r="J444" s="19"/>
      <x:c r="K444" s="19"/>
      <x:c r="L444" s="92" t="str">
        <x:f>IF($A444="","",IF(COUNTIFS('Orders'!$C$2:$C$500,$A444,'Orders'!$M$2:$M$500,"&lt;&gt;cancelled")=0,"",MAXIFS('Orders'!$G$2:$G$500,'Orders'!$C$2:$C$500,$A444,'Orders'!$M$2:$M$500,"&lt;&gt;cancelled")))</x:f>
      </x:c>
      <x:c r="M444" s="96" t="str">
        <x:f>IF($A444="","",SUMIFS('Orders'!$K$2:$K$500,'Orders'!$C$2:$C$500,$A444,'Orders'!$M$2:$M$500,"&lt;&gt;cancelled"))</x:f>
      </x:c>
      <x:c r="N444" s="96" t="str">
        <x:f>IF($A444="","",COUNTIFS('Orders'!$C$2:$C$500,$A444,'Orders'!$M$2:$M$500,"&lt;&gt;cancelled"))</x:f>
      </x:c>
      <x:c r="O444" s="100" t="str">
        <x:f>IF($A444="","",IF(COUNTIF('Interactions'!$B$2:$B$500,$A444)=0,"",MAXIFS('Interactions'!$G$2:$G$500,'Interactions'!$B$2:$B$500,$A444)))</x:f>
      </x:c>
      <x:c r="P444" s="100" t="str">
        <x:f>IF($A444="","",IF(COUNTIFS('FollowUps'!$B$2:$B$500,$A444,'FollowUps'!$H$2:$H$500,"open")=0,"",MINIFS('FollowUps'!$E$2:$E$500,'FollowUps'!$B$2:$B$500,$A444,'FollowUps'!$H$2:$H$500,"open")))</x:f>
      </x:c>
      <x:c r="Q444" s="104" t="str">
        <x:f>IF($A444="","",ROUND(MIN(25,$N444/VALUE(INDEX('Settings'!$B$2:$B$100,MATCH("score_purchase_target",'Settings'!$A$2:$A$100,0)))*25)+MIN(25,$M444/VALUE(INDEX('Settings'!$B$2:$B$100,MATCH("score_value_target",'Settings'!$A$2:$A$100,0)))*25)+IF($L444="",0,MAX(0,25-(TODAY()-$L444)/VALUE(INDEX('Settings'!$B$2:$B$100,MATCH("score_recency_days",'Settings'!$A$2:$A$100,0)))*25))+MIN(15,COUNTIFS('FollowUps'!$B$2:$B$500,$A444,'FollowUps'!$H$2:$H$500,"done")/VALUE(INDEX('Settings'!$B$2:$B$100,MATCH("score_response_target",'Settings'!$A$2:$A$100,0)))*15)+IF(COUNTIFS('Interactions'!$B$2:$B$500,$A444,'Interactions'!$E$2:$E$500,"complaint")=0,10,0),0))</x:f>
      </x:c>
      <x:c r="R444" s="108" t="str">
        <x:f>IF($A444="","",IF($J444="inactive","inactive",IF($J444="at_risk","at_risk",IF($Q444&gt;=85,"vip",IF($Q444&gt;=70,"loyal",IF($Q444&gt;=50,"active",IF($N444=0,"new","needs_attention")))))))</x:f>
      </x:c>
      <x:c r="S444" s="19"/>
      <x:c r="T444" s="18"/>
      <x:c r="U444" s="19"/>
      <x:c r="V444" s="20"/>
      <x:c r="W444" s="26"/>
      <x:c r="X444" s="19"/>
      <x:c r="Y444" s="26"/>
      <x:c r="Z444" s="19"/>
      <x:c r="AA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20"/>
      <x:c r="J445" s="19"/>
      <x:c r="K445" s="19"/>
      <x:c r="L445" s="92" t="str">
        <x:f>IF($A445="","",IF(COUNTIFS('Orders'!$C$2:$C$500,$A445,'Orders'!$M$2:$M$500,"&lt;&gt;cancelled")=0,"",MAXIFS('Orders'!$G$2:$G$500,'Orders'!$C$2:$C$500,$A445,'Orders'!$M$2:$M$500,"&lt;&gt;cancelled")))</x:f>
      </x:c>
      <x:c r="M445" s="96" t="str">
        <x:f>IF($A445="","",SUMIFS('Orders'!$K$2:$K$500,'Orders'!$C$2:$C$500,$A445,'Orders'!$M$2:$M$500,"&lt;&gt;cancelled"))</x:f>
      </x:c>
      <x:c r="N445" s="96" t="str">
        <x:f>IF($A445="","",COUNTIFS('Orders'!$C$2:$C$500,$A445,'Orders'!$M$2:$M$500,"&lt;&gt;cancelled"))</x:f>
      </x:c>
      <x:c r="O445" s="100" t="str">
        <x:f>IF($A445="","",IF(COUNTIF('Interactions'!$B$2:$B$500,$A445)=0,"",MAXIFS('Interactions'!$G$2:$G$500,'Interactions'!$B$2:$B$500,$A445)))</x:f>
      </x:c>
      <x:c r="P445" s="100" t="str">
        <x:f>IF($A445="","",IF(COUNTIFS('FollowUps'!$B$2:$B$500,$A445,'FollowUps'!$H$2:$H$500,"open")=0,"",MINIFS('FollowUps'!$E$2:$E$500,'FollowUps'!$B$2:$B$500,$A445,'FollowUps'!$H$2:$H$500,"open")))</x:f>
      </x:c>
      <x:c r="Q445" s="104" t="str">
        <x:f>IF($A445="","",ROUND(MIN(25,$N445/VALUE(INDEX('Settings'!$B$2:$B$100,MATCH("score_purchase_target",'Settings'!$A$2:$A$100,0)))*25)+MIN(25,$M445/VALUE(INDEX('Settings'!$B$2:$B$100,MATCH("score_value_target",'Settings'!$A$2:$A$100,0)))*25)+IF($L445="",0,MAX(0,25-(TODAY()-$L445)/VALUE(INDEX('Settings'!$B$2:$B$100,MATCH("score_recency_days",'Settings'!$A$2:$A$100,0)))*25))+MIN(15,COUNTIFS('FollowUps'!$B$2:$B$500,$A445,'FollowUps'!$H$2:$H$500,"done")/VALUE(INDEX('Settings'!$B$2:$B$100,MATCH("score_response_target",'Settings'!$A$2:$A$100,0)))*15)+IF(COUNTIFS('Interactions'!$B$2:$B$500,$A445,'Interactions'!$E$2:$E$500,"complaint")=0,10,0),0))</x:f>
      </x:c>
      <x:c r="R445" s="108" t="str">
        <x:f>IF($A445="","",IF($J445="inactive","inactive",IF($J445="at_risk","at_risk",IF($Q445&gt;=85,"vip",IF($Q445&gt;=70,"loyal",IF($Q445&gt;=50,"active",IF($N445=0,"new","needs_attention")))))))</x:f>
      </x:c>
      <x:c r="S445" s="19"/>
      <x:c r="T445" s="18"/>
      <x:c r="U445" s="19"/>
      <x:c r="V445" s="20"/>
      <x:c r="W445" s="26"/>
      <x:c r="X445" s="19"/>
      <x:c r="Y445" s="26"/>
      <x:c r="Z445" s="19"/>
      <x:c r="AA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20"/>
      <x:c r="J446" s="19"/>
      <x:c r="K446" s="19"/>
      <x:c r="L446" s="92" t="str">
        <x:f>IF($A446="","",IF(COUNTIFS('Orders'!$C$2:$C$500,$A446,'Orders'!$M$2:$M$500,"&lt;&gt;cancelled")=0,"",MAXIFS('Orders'!$G$2:$G$500,'Orders'!$C$2:$C$500,$A446,'Orders'!$M$2:$M$500,"&lt;&gt;cancelled")))</x:f>
      </x:c>
      <x:c r="M446" s="96" t="str">
        <x:f>IF($A446="","",SUMIFS('Orders'!$K$2:$K$500,'Orders'!$C$2:$C$500,$A446,'Orders'!$M$2:$M$500,"&lt;&gt;cancelled"))</x:f>
      </x:c>
      <x:c r="N446" s="96" t="str">
        <x:f>IF($A446="","",COUNTIFS('Orders'!$C$2:$C$500,$A446,'Orders'!$M$2:$M$500,"&lt;&gt;cancelled"))</x:f>
      </x:c>
      <x:c r="O446" s="100" t="str">
        <x:f>IF($A446="","",IF(COUNTIF('Interactions'!$B$2:$B$500,$A446)=0,"",MAXIFS('Interactions'!$G$2:$G$500,'Interactions'!$B$2:$B$500,$A446)))</x:f>
      </x:c>
      <x:c r="P446" s="100" t="str">
        <x:f>IF($A446="","",IF(COUNTIFS('FollowUps'!$B$2:$B$500,$A446,'FollowUps'!$H$2:$H$500,"open")=0,"",MINIFS('FollowUps'!$E$2:$E$500,'FollowUps'!$B$2:$B$500,$A446,'FollowUps'!$H$2:$H$500,"open")))</x:f>
      </x:c>
      <x:c r="Q446" s="104" t="str">
        <x:f>IF($A446="","",ROUND(MIN(25,$N446/VALUE(INDEX('Settings'!$B$2:$B$100,MATCH("score_purchase_target",'Settings'!$A$2:$A$100,0)))*25)+MIN(25,$M446/VALUE(INDEX('Settings'!$B$2:$B$100,MATCH("score_value_target",'Settings'!$A$2:$A$100,0)))*25)+IF($L446="",0,MAX(0,25-(TODAY()-$L446)/VALUE(INDEX('Settings'!$B$2:$B$100,MATCH("score_recency_days",'Settings'!$A$2:$A$100,0)))*25))+MIN(15,COUNTIFS('FollowUps'!$B$2:$B$500,$A446,'FollowUps'!$H$2:$H$500,"done")/VALUE(INDEX('Settings'!$B$2:$B$100,MATCH("score_response_target",'Settings'!$A$2:$A$100,0)))*15)+IF(COUNTIFS('Interactions'!$B$2:$B$500,$A446,'Interactions'!$E$2:$E$500,"complaint")=0,10,0),0))</x:f>
      </x:c>
      <x:c r="R446" s="108" t="str">
        <x:f>IF($A446="","",IF($J446="inactive","inactive",IF($J446="at_risk","at_risk",IF($Q446&gt;=85,"vip",IF($Q446&gt;=70,"loyal",IF($Q446&gt;=50,"active",IF($N446=0,"new","needs_attention")))))))</x:f>
      </x:c>
      <x:c r="S446" s="19"/>
      <x:c r="T446" s="18"/>
      <x:c r="U446" s="19"/>
      <x:c r="V446" s="20"/>
      <x:c r="W446" s="26"/>
      <x:c r="X446" s="19"/>
      <x:c r="Y446" s="26"/>
      <x:c r="Z446" s="19"/>
      <x:c r="AA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20"/>
      <x:c r="J447" s="19"/>
      <x:c r="K447" s="19"/>
      <x:c r="L447" s="92" t="str">
        <x:f>IF($A447="","",IF(COUNTIFS('Orders'!$C$2:$C$500,$A447,'Orders'!$M$2:$M$500,"&lt;&gt;cancelled")=0,"",MAXIFS('Orders'!$G$2:$G$500,'Orders'!$C$2:$C$500,$A447,'Orders'!$M$2:$M$500,"&lt;&gt;cancelled")))</x:f>
      </x:c>
      <x:c r="M447" s="96" t="str">
        <x:f>IF($A447="","",SUMIFS('Orders'!$K$2:$K$500,'Orders'!$C$2:$C$500,$A447,'Orders'!$M$2:$M$500,"&lt;&gt;cancelled"))</x:f>
      </x:c>
      <x:c r="N447" s="96" t="str">
        <x:f>IF($A447="","",COUNTIFS('Orders'!$C$2:$C$500,$A447,'Orders'!$M$2:$M$500,"&lt;&gt;cancelled"))</x:f>
      </x:c>
      <x:c r="O447" s="100" t="str">
        <x:f>IF($A447="","",IF(COUNTIF('Interactions'!$B$2:$B$500,$A447)=0,"",MAXIFS('Interactions'!$G$2:$G$500,'Interactions'!$B$2:$B$500,$A447)))</x:f>
      </x:c>
      <x:c r="P447" s="100" t="str">
        <x:f>IF($A447="","",IF(COUNTIFS('FollowUps'!$B$2:$B$500,$A447,'FollowUps'!$H$2:$H$500,"open")=0,"",MINIFS('FollowUps'!$E$2:$E$500,'FollowUps'!$B$2:$B$500,$A447,'FollowUps'!$H$2:$H$500,"open")))</x:f>
      </x:c>
      <x:c r="Q447" s="104" t="str">
        <x:f>IF($A447="","",ROUND(MIN(25,$N447/VALUE(INDEX('Settings'!$B$2:$B$100,MATCH("score_purchase_target",'Settings'!$A$2:$A$100,0)))*25)+MIN(25,$M447/VALUE(INDEX('Settings'!$B$2:$B$100,MATCH("score_value_target",'Settings'!$A$2:$A$100,0)))*25)+IF($L447="",0,MAX(0,25-(TODAY()-$L447)/VALUE(INDEX('Settings'!$B$2:$B$100,MATCH("score_recency_days",'Settings'!$A$2:$A$100,0)))*25))+MIN(15,COUNTIFS('FollowUps'!$B$2:$B$500,$A447,'FollowUps'!$H$2:$H$500,"done")/VALUE(INDEX('Settings'!$B$2:$B$100,MATCH("score_response_target",'Settings'!$A$2:$A$100,0)))*15)+IF(COUNTIFS('Interactions'!$B$2:$B$500,$A447,'Interactions'!$E$2:$E$500,"complaint")=0,10,0),0))</x:f>
      </x:c>
      <x:c r="R447" s="108" t="str">
        <x:f>IF($A447="","",IF($J447="inactive","inactive",IF($J447="at_risk","at_risk",IF($Q447&gt;=85,"vip",IF($Q447&gt;=70,"loyal",IF($Q447&gt;=50,"active",IF($N447=0,"new","needs_attention")))))))</x:f>
      </x:c>
      <x:c r="S447" s="19"/>
      <x:c r="T447" s="18"/>
      <x:c r="U447" s="19"/>
      <x:c r="V447" s="20"/>
      <x:c r="W447" s="26"/>
      <x:c r="X447" s="19"/>
      <x:c r="Y447" s="26"/>
      <x:c r="Z447" s="19"/>
      <x:c r="AA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20"/>
      <x:c r="J448" s="19"/>
      <x:c r="K448" s="19"/>
      <x:c r="L448" s="92" t="str">
        <x:f>IF($A448="","",IF(COUNTIFS('Orders'!$C$2:$C$500,$A448,'Orders'!$M$2:$M$500,"&lt;&gt;cancelled")=0,"",MAXIFS('Orders'!$G$2:$G$500,'Orders'!$C$2:$C$500,$A448,'Orders'!$M$2:$M$500,"&lt;&gt;cancelled")))</x:f>
      </x:c>
      <x:c r="M448" s="96" t="str">
        <x:f>IF($A448="","",SUMIFS('Orders'!$K$2:$K$500,'Orders'!$C$2:$C$500,$A448,'Orders'!$M$2:$M$500,"&lt;&gt;cancelled"))</x:f>
      </x:c>
      <x:c r="N448" s="96" t="str">
        <x:f>IF($A448="","",COUNTIFS('Orders'!$C$2:$C$500,$A448,'Orders'!$M$2:$M$500,"&lt;&gt;cancelled"))</x:f>
      </x:c>
      <x:c r="O448" s="100" t="str">
        <x:f>IF($A448="","",IF(COUNTIF('Interactions'!$B$2:$B$500,$A448)=0,"",MAXIFS('Interactions'!$G$2:$G$500,'Interactions'!$B$2:$B$500,$A448)))</x:f>
      </x:c>
      <x:c r="P448" s="100" t="str">
        <x:f>IF($A448="","",IF(COUNTIFS('FollowUps'!$B$2:$B$500,$A448,'FollowUps'!$H$2:$H$500,"open")=0,"",MINIFS('FollowUps'!$E$2:$E$500,'FollowUps'!$B$2:$B$500,$A448,'FollowUps'!$H$2:$H$500,"open")))</x:f>
      </x:c>
      <x:c r="Q448" s="104" t="str">
        <x:f>IF($A448="","",ROUND(MIN(25,$N448/VALUE(INDEX('Settings'!$B$2:$B$100,MATCH("score_purchase_target",'Settings'!$A$2:$A$100,0)))*25)+MIN(25,$M448/VALUE(INDEX('Settings'!$B$2:$B$100,MATCH("score_value_target",'Settings'!$A$2:$A$100,0)))*25)+IF($L448="",0,MAX(0,25-(TODAY()-$L448)/VALUE(INDEX('Settings'!$B$2:$B$100,MATCH("score_recency_days",'Settings'!$A$2:$A$100,0)))*25))+MIN(15,COUNTIFS('FollowUps'!$B$2:$B$500,$A448,'FollowUps'!$H$2:$H$500,"done")/VALUE(INDEX('Settings'!$B$2:$B$100,MATCH("score_response_target",'Settings'!$A$2:$A$100,0)))*15)+IF(COUNTIFS('Interactions'!$B$2:$B$500,$A448,'Interactions'!$E$2:$E$500,"complaint")=0,10,0),0))</x:f>
      </x:c>
      <x:c r="R448" s="108" t="str">
        <x:f>IF($A448="","",IF($J448="inactive","inactive",IF($J448="at_risk","at_risk",IF($Q448&gt;=85,"vip",IF($Q448&gt;=70,"loyal",IF($Q448&gt;=50,"active",IF($N448=0,"new","needs_attention")))))))</x:f>
      </x:c>
      <x:c r="S448" s="19"/>
      <x:c r="T448" s="18"/>
      <x:c r="U448" s="19"/>
      <x:c r="V448" s="20"/>
      <x:c r="W448" s="26"/>
      <x:c r="X448" s="19"/>
      <x:c r="Y448" s="26"/>
      <x:c r="Z448" s="19"/>
      <x:c r="AA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20"/>
      <x:c r="J449" s="19"/>
      <x:c r="K449" s="19"/>
      <x:c r="L449" s="92" t="str">
        <x:f>IF($A449="","",IF(COUNTIFS('Orders'!$C$2:$C$500,$A449,'Orders'!$M$2:$M$500,"&lt;&gt;cancelled")=0,"",MAXIFS('Orders'!$G$2:$G$500,'Orders'!$C$2:$C$500,$A449,'Orders'!$M$2:$M$500,"&lt;&gt;cancelled")))</x:f>
      </x:c>
      <x:c r="M449" s="96" t="str">
        <x:f>IF($A449="","",SUMIFS('Orders'!$K$2:$K$500,'Orders'!$C$2:$C$500,$A449,'Orders'!$M$2:$M$500,"&lt;&gt;cancelled"))</x:f>
      </x:c>
      <x:c r="N449" s="96" t="str">
        <x:f>IF($A449="","",COUNTIFS('Orders'!$C$2:$C$500,$A449,'Orders'!$M$2:$M$500,"&lt;&gt;cancelled"))</x:f>
      </x:c>
      <x:c r="O449" s="100" t="str">
        <x:f>IF($A449="","",IF(COUNTIF('Interactions'!$B$2:$B$500,$A449)=0,"",MAXIFS('Interactions'!$G$2:$G$500,'Interactions'!$B$2:$B$500,$A449)))</x:f>
      </x:c>
      <x:c r="P449" s="100" t="str">
        <x:f>IF($A449="","",IF(COUNTIFS('FollowUps'!$B$2:$B$500,$A449,'FollowUps'!$H$2:$H$500,"open")=0,"",MINIFS('FollowUps'!$E$2:$E$500,'FollowUps'!$B$2:$B$500,$A449,'FollowUps'!$H$2:$H$500,"open")))</x:f>
      </x:c>
      <x:c r="Q449" s="104" t="str">
        <x:f>IF($A449="","",ROUND(MIN(25,$N449/VALUE(INDEX('Settings'!$B$2:$B$100,MATCH("score_purchase_target",'Settings'!$A$2:$A$100,0)))*25)+MIN(25,$M449/VALUE(INDEX('Settings'!$B$2:$B$100,MATCH("score_value_target",'Settings'!$A$2:$A$100,0)))*25)+IF($L449="",0,MAX(0,25-(TODAY()-$L449)/VALUE(INDEX('Settings'!$B$2:$B$100,MATCH("score_recency_days",'Settings'!$A$2:$A$100,0)))*25))+MIN(15,COUNTIFS('FollowUps'!$B$2:$B$500,$A449,'FollowUps'!$H$2:$H$500,"done")/VALUE(INDEX('Settings'!$B$2:$B$100,MATCH("score_response_target",'Settings'!$A$2:$A$100,0)))*15)+IF(COUNTIFS('Interactions'!$B$2:$B$500,$A449,'Interactions'!$E$2:$E$500,"complaint")=0,10,0),0))</x:f>
      </x:c>
      <x:c r="R449" s="108" t="str">
        <x:f>IF($A449="","",IF($J449="inactive","inactive",IF($J449="at_risk","at_risk",IF($Q449&gt;=85,"vip",IF($Q449&gt;=70,"loyal",IF($Q449&gt;=50,"active",IF($N449=0,"new","needs_attention")))))))</x:f>
      </x:c>
      <x:c r="S449" s="19"/>
      <x:c r="T449" s="18"/>
      <x:c r="U449" s="19"/>
      <x:c r="V449" s="20"/>
      <x:c r="W449" s="26"/>
      <x:c r="X449" s="19"/>
      <x:c r="Y449" s="26"/>
      <x:c r="Z449" s="19"/>
      <x:c r="AA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20"/>
      <x:c r="J450" s="19"/>
      <x:c r="K450" s="19"/>
      <x:c r="L450" s="92" t="str">
        <x:f>IF($A450="","",IF(COUNTIFS('Orders'!$C$2:$C$500,$A450,'Orders'!$M$2:$M$500,"&lt;&gt;cancelled")=0,"",MAXIFS('Orders'!$G$2:$G$500,'Orders'!$C$2:$C$500,$A450,'Orders'!$M$2:$M$500,"&lt;&gt;cancelled")))</x:f>
      </x:c>
      <x:c r="M450" s="96" t="str">
        <x:f>IF($A450="","",SUMIFS('Orders'!$K$2:$K$500,'Orders'!$C$2:$C$500,$A450,'Orders'!$M$2:$M$500,"&lt;&gt;cancelled"))</x:f>
      </x:c>
      <x:c r="N450" s="96" t="str">
        <x:f>IF($A450="","",COUNTIFS('Orders'!$C$2:$C$500,$A450,'Orders'!$M$2:$M$500,"&lt;&gt;cancelled"))</x:f>
      </x:c>
      <x:c r="O450" s="100" t="str">
        <x:f>IF($A450="","",IF(COUNTIF('Interactions'!$B$2:$B$500,$A450)=0,"",MAXIFS('Interactions'!$G$2:$G$500,'Interactions'!$B$2:$B$500,$A450)))</x:f>
      </x:c>
      <x:c r="P450" s="100" t="str">
        <x:f>IF($A450="","",IF(COUNTIFS('FollowUps'!$B$2:$B$500,$A450,'FollowUps'!$H$2:$H$500,"open")=0,"",MINIFS('FollowUps'!$E$2:$E$500,'FollowUps'!$B$2:$B$500,$A450,'FollowUps'!$H$2:$H$500,"open")))</x:f>
      </x:c>
      <x:c r="Q450" s="104" t="str">
        <x:f>IF($A450="","",ROUND(MIN(25,$N450/VALUE(INDEX('Settings'!$B$2:$B$100,MATCH("score_purchase_target",'Settings'!$A$2:$A$100,0)))*25)+MIN(25,$M450/VALUE(INDEX('Settings'!$B$2:$B$100,MATCH("score_value_target",'Settings'!$A$2:$A$100,0)))*25)+IF($L450="",0,MAX(0,25-(TODAY()-$L450)/VALUE(INDEX('Settings'!$B$2:$B$100,MATCH("score_recency_days",'Settings'!$A$2:$A$100,0)))*25))+MIN(15,COUNTIFS('FollowUps'!$B$2:$B$500,$A450,'FollowUps'!$H$2:$H$500,"done")/VALUE(INDEX('Settings'!$B$2:$B$100,MATCH("score_response_target",'Settings'!$A$2:$A$100,0)))*15)+IF(COUNTIFS('Interactions'!$B$2:$B$500,$A450,'Interactions'!$E$2:$E$500,"complaint")=0,10,0),0))</x:f>
      </x:c>
      <x:c r="R450" s="108" t="str">
        <x:f>IF($A450="","",IF($J450="inactive","inactive",IF($J450="at_risk","at_risk",IF($Q450&gt;=85,"vip",IF($Q450&gt;=70,"loyal",IF($Q450&gt;=50,"active",IF($N450=0,"new","needs_attention")))))))</x:f>
      </x:c>
      <x:c r="S450" s="19"/>
      <x:c r="T450" s="18"/>
      <x:c r="U450" s="19"/>
      <x:c r="V450" s="20"/>
      <x:c r="W450" s="26"/>
      <x:c r="X450" s="19"/>
      <x:c r="Y450" s="26"/>
      <x:c r="Z450" s="19"/>
      <x:c r="AA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20"/>
      <x:c r="J451" s="19"/>
      <x:c r="K451" s="19"/>
      <x:c r="L451" s="92" t="str">
        <x:f>IF($A451="","",IF(COUNTIFS('Orders'!$C$2:$C$500,$A451,'Orders'!$M$2:$M$500,"&lt;&gt;cancelled")=0,"",MAXIFS('Orders'!$G$2:$G$500,'Orders'!$C$2:$C$500,$A451,'Orders'!$M$2:$M$500,"&lt;&gt;cancelled")))</x:f>
      </x:c>
      <x:c r="M451" s="96" t="str">
        <x:f>IF($A451="","",SUMIFS('Orders'!$K$2:$K$500,'Orders'!$C$2:$C$500,$A451,'Orders'!$M$2:$M$500,"&lt;&gt;cancelled"))</x:f>
      </x:c>
      <x:c r="N451" s="96" t="str">
        <x:f>IF($A451="","",COUNTIFS('Orders'!$C$2:$C$500,$A451,'Orders'!$M$2:$M$500,"&lt;&gt;cancelled"))</x:f>
      </x:c>
      <x:c r="O451" s="100" t="str">
        <x:f>IF($A451="","",IF(COUNTIF('Interactions'!$B$2:$B$500,$A451)=0,"",MAXIFS('Interactions'!$G$2:$G$500,'Interactions'!$B$2:$B$500,$A451)))</x:f>
      </x:c>
      <x:c r="P451" s="100" t="str">
        <x:f>IF($A451="","",IF(COUNTIFS('FollowUps'!$B$2:$B$500,$A451,'FollowUps'!$H$2:$H$500,"open")=0,"",MINIFS('FollowUps'!$E$2:$E$500,'FollowUps'!$B$2:$B$500,$A451,'FollowUps'!$H$2:$H$500,"open")))</x:f>
      </x:c>
      <x:c r="Q451" s="104" t="str">
        <x:f>IF($A451="","",ROUND(MIN(25,$N451/VALUE(INDEX('Settings'!$B$2:$B$100,MATCH("score_purchase_target",'Settings'!$A$2:$A$100,0)))*25)+MIN(25,$M451/VALUE(INDEX('Settings'!$B$2:$B$100,MATCH("score_value_target",'Settings'!$A$2:$A$100,0)))*25)+IF($L451="",0,MAX(0,25-(TODAY()-$L451)/VALUE(INDEX('Settings'!$B$2:$B$100,MATCH("score_recency_days",'Settings'!$A$2:$A$100,0)))*25))+MIN(15,COUNTIFS('FollowUps'!$B$2:$B$500,$A451,'FollowUps'!$H$2:$H$500,"done")/VALUE(INDEX('Settings'!$B$2:$B$100,MATCH("score_response_target",'Settings'!$A$2:$A$100,0)))*15)+IF(COUNTIFS('Interactions'!$B$2:$B$500,$A451,'Interactions'!$E$2:$E$500,"complaint")=0,10,0),0))</x:f>
      </x:c>
      <x:c r="R451" s="108" t="str">
        <x:f>IF($A451="","",IF($J451="inactive","inactive",IF($J451="at_risk","at_risk",IF($Q451&gt;=85,"vip",IF($Q451&gt;=70,"loyal",IF($Q451&gt;=50,"active",IF($N451=0,"new","needs_attention")))))))</x:f>
      </x:c>
      <x:c r="S451" s="19"/>
      <x:c r="T451" s="18"/>
      <x:c r="U451" s="19"/>
      <x:c r="V451" s="20"/>
      <x:c r="W451" s="26"/>
      <x:c r="X451" s="19"/>
      <x:c r="Y451" s="26"/>
      <x:c r="Z451" s="19"/>
      <x:c r="AA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20"/>
      <x:c r="J452" s="19"/>
      <x:c r="K452" s="19"/>
      <x:c r="L452" s="92" t="str">
        <x:f>IF($A452="","",IF(COUNTIFS('Orders'!$C$2:$C$500,$A452,'Orders'!$M$2:$M$500,"&lt;&gt;cancelled")=0,"",MAXIFS('Orders'!$G$2:$G$500,'Orders'!$C$2:$C$500,$A452,'Orders'!$M$2:$M$500,"&lt;&gt;cancelled")))</x:f>
      </x:c>
      <x:c r="M452" s="96" t="str">
        <x:f>IF($A452="","",SUMIFS('Orders'!$K$2:$K$500,'Orders'!$C$2:$C$500,$A452,'Orders'!$M$2:$M$500,"&lt;&gt;cancelled"))</x:f>
      </x:c>
      <x:c r="N452" s="96" t="str">
        <x:f>IF($A452="","",COUNTIFS('Orders'!$C$2:$C$500,$A452,'Orders'!$M$2:$M$500,"&lt;&gt;cancelled"))</x:f>
      </x:c>
      <x:c r="O452" s="100" t="str">
        <x:f>IF($A452="","",IF(COUNTIF('Interactions'!$B$2:$B$500,$A452)=0,"",MAXIFS('Interactions'!$G$2:$G$500,'Interactions'!$B$2:$B$500,$A452)))</x:f>
      </x:c>
      <x:c r="P452" s="100" t="str">
        <x:f>IF($A452="","",IF(COUNTIFS('FollowUps'!$B$2:$B$500,$A452,'FollowUps'!$H$2:$H$500,"open")=0,"",MINIFS('FollowUps'!$E$2:$E$500,'FollowUps'!$B$2:$B$500,$A452,'FollowUps'!$H$2:$H$500,"open")))</x:f>
      </x:c>
      <x:c r="Q452" s="104" t="str">
        <x:f>IF($A452="","",ROUND(MIN(25,$N452/VALUE(INDEX('Settings'!$B$2:$B$100,MATCH("score_purchase_target",'Settings'!$A$2:$A$100,0)))*25)+MIN(25,$M452/VALUE(INDEX('Settings'!$B$2:$B$100,MATCH("score_value_target",'Settings'!$A$2:$A$100,0)))*25)+IF($L452="",0,MAX(0,25-(TODAY()-$L452)/VALUE(INDEX('Settings'!$B$2:$B$100,MATCH("score_recency_days",'Settings'!$A$2:$A$100,0)))*25))+MIN(15,COUNTIFS('FollowUps'!$B$2:$B$500,$A452,'FollowUps'!$H$2:$H$500,"done")/VALUE(INDEX('Settings'!$B$2:$B$100,MATCH("score_response_target",'Settings'!$A$2:$A$100,0)))*15)+IF(COUNTIFS('Interactions'!$B$2:$B$500,$A452,'Interactions'!$E$2:$E$500,"complaint")=0,10,0),0))</x:f>
      </x:c>
      <x:c r="R452" s="108" t="str">
        <x:f>IF($A452="","",IF($J452="inactive","inactive",IF($J452="at_risk","at_risk",IF($Q452&gt;=85,"vip",IF($Q452&gt;=70,"loyal",IF($Q452&gt;=50,"active",IF($N452=0,"new","needs_attention")))))))</x:f>
      </x:c>
      <x:c r="S452" s="19"/>
      <x:c r="T452" s="18"/>
      <x:c r="U452" s="19"/>
      <x:c r="V452" s="20"/>
      <x:c r="W452" s="26"/>
      <x:c r="X452" s="19"/>
      <x:c r="Y452" s="26"/>
      <x:c r="Z452" s="19"/>
      <x:c r="AA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20"/>
      <x:c r="J453" s="19"/>
      <x:c r="K453" s="19"/>
      <x:c r="L453" s="92" t="str">
        <x:f>IF($A453="","",IF(COUNTIFS('Orders'!$C$2:$C$500,$A453,'Orders'!$M$2:$M$500,"&lt;&gt;cancelled")=0,"",MAXIFS('Orders'!$G$2:$G$500,'Orders'!$C$2:$C$500,$A453,'Orders'!$M$2:$M$500,"&lt;&gt;cancelled")))</x:f>
      </x:c>
      <x:c r="M453" s="96" t="str">
        <x:f>IF($A453="","",SUMIFS('Orders'!$K$2:$K$500,'Orders'!$C$2:$C$500,$A453,'Orders'!$M$2:$M$500,"&lt;&gt;cancelled"))</x:f>
      </x:c>
      <x:c r="N453" s="96" t="str">
        <x:f>IF($A453="","",COUNTIFS('Orders'!$C$2:$C$500,$A453,'Orders'!$M$2:$M$500,"&lt;&gt;cancelled"))</x:f>
      </x:c>
      <x:c r="O453" s="100" t="str">
        <x:f>IF($A453="","",IF(COUNTIF('Interactions'!$B$2:$B$500,$A453)=0,"",MAXIFS('Interactions'!$G$2:$G$500,'Interactions'!$B$2:$B$500,$A453)))</x:f>
      </x:c>
      <x:c r="P453" s="100" t="str">
        <x:f>IF($A453="","",IF(COUNTIFS('FollowUps'!$B$2:$B$500,$A453,'FollowUps'!$H$2:$H$500,"open")=0,"",MINIFS('FollowUps'!$E$2:$E$500,'FollowUps'!$B$2:$B$500,$A453,'FollowUps'!$H$2:$H$500,"open")))</x:f>
      </x:c>
      <x:c r="Q453" s="104" t="str">
        <x:f>IF($A453="","",ROUND(MIN(25,$N453/VALUE(INDEX('Settings'!$B$2:$B$100,MATCH("score_purchase_target",'Settings'!$A$2:$A$100,0)))*25)+MIN(25,$M453/VALUE(INDEX('Settings'!$B$2:$B$100,MATCH("score_value_target",'Settings'!$A$2:$A$100,0)))*25)+IF($L453="",0,MAX(0,25-(TODAY()-$L453)/VALUE(INDEX('Settings'!$B$2:$B$100,MATCH("score_recency_days",'Settings'!$A$2:$A$100,0)))*25))+MIN(15,COUNTIFS('FollowUps'!$B$2:$B$500,$A453,'FollowUps'!$H$2:$H$500,"done")/VALUE(INDEX('Settings'!$B$2:$B$100,MATCH("score_response_target",'Settings'!$A$2:$A$100,0)))*15)+IF(COUNTIFS('Interactions'!$B$2:$B$500,$A453,'Interactions'!$E$2:$E$500,"complaint")=0,10,0),0))</x:f>
      </x:c>
      <x:c r="R453" s="108" t="str">
        <x:f>IF($A453="","",IF($J453="inactive","inactive",IF($J453="at_risk","at_risk",IF($Q453&gt;=85,"vip",IF($Q453&gt;=70,"loyal",IF($Q453&gt;=50,"active",IF($N453=0,"new","needs_attention")))))))</x:f>
      </x:c>
      <x:c r="S453" s="19"/>
      <x:c r="T453" s="18"/>
      <x:c r="U453" s="19"/>
      <x:c r="V453" s="20"/>
      <x:c r="W453" s="26"/>
      <x:c r="X453" s="19"/>
      <x:c r="Y453" s="26"/>
      <x:c r="Z453" s="19"/>
      <x:c r="AA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20"/>
      <x:c r="J454" s="19"/>
      <x:c r="K454" s="19"/>
      <x:c r="L454" s="92" t="str">
        <x:f>IF($A454="","",IF(COUNTIFS('Orders'!$C$2:$C$500,$A454,'Orders'!$M$2:$M$500,"&lt;&gt;cancelled")=0,"",MAXIFS('Orders'!$G$2:$G$500,'Orders'!$C$2:$C$500,$A454,'Orders'!$M$2:$M$500,"&lt;&gt;cancelled")))</x:f>
      </x:c>
      <x:c r="M454" s="96" t="str">
        <x:f>IF($A454="","",SUMIFS('Orders'!$K$2:$K$500,'Orders'!$C$2:$C$500,$A454,'Orders'!$M$2:$M$500,"&lt;&gt;cancelled"))</x:f>
      </x:c>
      <x:c r="N454" s="96" t="str">
        <x:f>IF($A454="","",COUNTIFS('Orders'!$C$2:$C$500,$A454,'Orders'!$M$2:$M$500,"&lt;&gt;cancelled"))</x:f>
      </x:c>
      <x:c r="O454" s="100" t="str">
        <x:f>IF($A454="","",IF(COUNTIF('Interactions'!$B$2:$B$500,$A454)=0,"",MAXIFS('Interactions'!$G$2:$G$500,'Interactions'!$B$2:$B$500,$A454)))</x:f>
      </x:c>
      <x:c r="P454" s="100" t="str">
        <x:f>IF($A454="","",IF(COUNTIFS('FollowUps'!$B$2:$B$500,$A454,'FollowUps'!$H$2:$H$500,"open")=0,"",MINIFS('FollowUps'!$E$2:$E$500,'FollowUps'!$B$2:$B$500,$A454,'FollowUps'!$H$2:$H$500,"open")))</x:f>
      </x:c>
      <x:c r="Q454" s="104" t="str">
        <x:f>IF($A454="","",ROUND(MIN(25,$N454/VALUE(INDEX('Settings'!$B$2:$B$100,MATCH("score_purchase_target",'Settings'!$A$2:$A$100,0)))*25)+MIN(25,$M454/VALUE(INDEX('Settings'!$B$2:$B$100,MATCH("score_value_target",'Settings'!$A$2:$A$100,0)))*25)+IF($L454="",0,MAX(0,25-(TODAY()-$L454)/VALUE(INDEX('Settings'!$B$2:$B$100,MATCH("score_recency_days",'Settings'!$A$2:$A$100,0)))*25))+MIN(15,COUNTIFS('FollowUps'!$B$2:$B$500,$A454,'FollowUps'!$H$2:$H$500,"done")/VALUE(INDEX('Settings'!$B$2:$B$100,MATCH("score_response_target",'Settings'!$A$2:$A$100,0)))*15)+IF(COUNTIFS('Interactions'!$B$2:$B$500,$A454,'Interactions'!$E$2:$E$500,"complaint")=0,10,0),0))</x:f>
      </x:c>
      <x:c r="R454" s="108" t="str">
        <x:f>IF($A454="","",IF($J454="inactive","inactive",IF($J454="at_risk","at_risk",IF($Q454&gt;=85,"vip",IF($Q454&gt;=70,"loyal",IF($Q454&gt;=50,"active",IF($N454=0,"new","needs_attention")))))))</x:f>
      </x:c>
      <x:c r="S454" s="19"/>
      <x:c r="T454" s="18"/>
      <x:c r="U454" s="19"/>
      <x:c r="V454" s="20"/>
      <x:c r="W454" s="26"/>
      <x:c r="X454" s="19"/>
      <x:c r="Y454" s="26"/>
      <x:c r="Z454" s="19"/>
      <x:c r="AA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20"/>
      <x:c r="J455" s="19"/>
      <x:c r="K455" s="19"/>
      <x:c r="L455" s="92" t="str">
        <x:f>IF($A455="","",IF(COUNTIFS('Orders'!$C$2:$C$500,$A455,'Orders'!$M$2:$M$500,"&lt;&gt;cancelled")=0,"",MAXIFS('Orders'!$G$2:$G$500,'Orders'!$C$2:$C$500,$A455,'Orders'!$M$2:$M$500,"&lt;&gt;cancelled")))</x:f>
      </x:c>
      <x:c r="M455" s="96" t="str">
        <x:f>IF($A455="","",SUMIFS('Orders'!$K$2:$K$500,'Orders'!$C$2:$C$500,$A455,'Orders'!$M$2:$M$500,"&lt;&gt;cancelled"))</x:f>
      </x:c>
      <x:c r="N455" s="96" t="str">
        <x:f>IF($A455="","",COUNTIFS('Orders'!$C$2:$C$500,$A455,'Orders'!$M$2:$M$500,"&lt;&gt;cancelled"))</x:f>
      </x:c>
      <x:c r="O455" s="100" t="str">
        <x:f>IF($A455="","",IF(COUNTIF('Interactions'!$B$2:$B$500,$A455)=0,"",MAXIFS('Interactions'!$G$2:$G$500,'Interactions'!$B$2:$B$500,$A455)))</x:f>
      </x:c>
      <x:c r="P455" s="100" t="str">
        <x:f>IF($A455="","",IF(COUNTIFS('FollowUps'!$B$2:$B$500,$A455,'FollowUps'!$H$2:$H$500,"open")=0,"",MINIFS('FollowUps'!$E$2:$E$500,'FollowUps'!$B$2:$B$500,$A455,'FollowUps'!$H$2:$H$500,"open")))</x:f>
      </x:c>
      <x:c r="Q455" s="104" t="str">
        <x:f>IF($A455="","",ROUND(MIN(25,$N455/VALUE(INDEX('Settings'!$B$2:$B$100,MATCH("score_purchase_target",'Settings'!$A$2:$A$100,0)))*25)+MIN(25,$M455/VALUE(INDEX('Settings'!$B$2:$B$100,MATCH("score_value_target",'Settings'!$A$2:$A$100,0)))*25)+IF($L455="",0,MAX(0,25-(TODAY()-$L455)/VALUE(INDEX('Settings'!$B$2:$B$100,MATCH("score_recency_days",'Settings'!$A$2:$A$100,0)))*25))+MIN(15,COUNTIFS('FollowUps'!$B$2:$B$500,$A455,'FollowUps'!$H$2:$H$500,"done")/VALUE(INDEX('Settings'!$B$2:$B$100,MATCH("score_response_target",'Settings'!$A$2:$A$100,0)))*15)+IF(COUNTIFS('Interactions'!$B$2:$B$500,$A455,'Interactions'!$E$2:$E$500,"complaint")=0,10,0),0))</x:f>
      </x:c>
      <x:c r="R455" s="108" t="str">
        <x:f>IF($A455="","",IF($J455="inactive","inactive",IF($J455="at_risk","at_risk",IF($Q455&gt;=85,"vip",IF($Q455&gt;=70,"loyal",IF($Q455&gt;=50,"active",IF($N455=0,"new","needs_attention")))))))</x:f>
      </x:c>
      <x:c r="S455" s="19"/>
      <x:c r="T455" s="18"/>
      <x:c r="U455" s="19"/>
      <x:c r="V455" s="20"/>
      <x:c r="W455" s="26"/>
      <x:c r="X455" s="19"/>
      <x:c r="Y455" s="26"/>
      <x:c r="Z455" s="19"/>
      <x:c r="AA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20"/>
      <x:c r="J456" s="19"/>
      <x:c r="K456" s="19"/>
      <x:c r="L456" s="92" t="str">
        <x:f>IF($A456="","",IF(COUNTIFS('Orders'!$C$2:$C$500,$A456,'Orders'!$M$2:$M$500,"&lt;&gt;cancelled")=0,"",MAXIFS('Orders'!$G$2:$G$500,'Orders'!$C$2:$C$500,$A456,'Orders'!$M$2:$M$500,"&lt;&gt;cancelled")))</x:f>
      </x:c>
      <x:c r="M456" s="96" t="str">
        <x:f>IF($A456="","",SUMIFS('Orders'!$K$2:$K$500,'Orders'!$C$2:$C$500,$A456,'Orders'!$M$2:$M$500,"&lt;&gt;cancelled"))</x:f>
      </x:c>
      <x:c r="N456" s="96" t="str">
        <x:f>IF($A456="","",COUNTIFS('Orders'!$C$2:$C$500,$A456,'Orders'!$M$2:$M$500,"&lt;&gt;cancelled"))</x:f>
      </x:c>
      <x:c r="O456" s="100" t="str">
        <x:f>IF($A456="","",IF(COUNTIF('Interactions'!$B$2:$B$500,$A456)=0,"",MAXIFS('Interactions'!$G$2:$G$500,'Interactions'!$B$2:$B$500,$A456)))</x:f>
      </x:c>
      <x:c r="P456" s="100" t="str">
        <x:f>IF($A456="","",IF(COUNTIFS('FollowUps'!$B$2:$B$500,$A456,'FollowUps'!$H$2:$H$500,"open")=0,"",MINIFS('FollowUps'!$E$2:$E$500,'FollowUps'!$B$2:$B$500,$A456,'FollowUps'!$H$2:$H$500,"open")))</x:f>
      </x:c>
      <x:c r="Q456" s="104" t="str">
        <x:f>IF($A456="","",ROUND(MIN(25,$N456/VALUE(INDEX('Settings'!$B$2:$B$100,MATCH("score_purchase_target",'Settings'!$A$2:$A$100,0)))*25)+MIN(25,$M456/VALUE(INDEX('Settings'!$B$2:$B$100,MATCH("score_value_target",'Settings'!$A$2:$A$100,0)))*25)+IF($L456="",0,MAX(0,25-(TODAY()-$L456)/VALUE(INDEX('Settings'!$B$2:$B$100,MATCH("score_recency_days",'Settings'!$A$2:$A$100,0)))*25))+MIN(15,COUNTIFS('FollowUps'!$B$2:$B$500,$A456,'FollowUps'!$H$2:$H$500,"done")/VALUE(INDEX('Settings'!$B$2:$B$100,MATCH("score_response_target",'Settings'!$A$2:$A$100,0)))*15)+IF(COUNTIFS('Interactions'!$B$2:$B$500,$A456,'Interactions'!$E$2:$E$500,"complaint")=0,10,0),0))</x:f>
      </x:c>
      <x:c r="R456" s="108" t="str">
        <x:f>IF($A456="","",IF($J456="inactive","inactive",IF($J456="at_risk","at_risk",IF($Q456&gt;=85,"vip",IF($Q456&gt;=70,"loyal",IF($Q456&gt;=50,"active",IF($N456=0,"new","needs_attention")))))))</x:f>
      </x:c>
      <x:c r="S456" s="19"/>
      <x:c r="T456" s="18"/>
      <x:c r="U456" s="19"/>
      <x:c r="V456" s="20"/>
      <x:c r="W456" s="26"/>
      <x:c r="X456" s="19"/>
      <x:c r="Y456" s="26"/>
      <x:c r="Z456" s="19"/>
      <x:c r="AA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20"/>
      <x:c r="J457" s="19"/>
      <x:c r="K457" s="19"/>
      <x:c r="L457" s="92" t="str">
        <x:f>IF($A457="","",IF(COUNTIFS('Orders'!$C$2:$C$500,$A457,'Orders'!$M$2:$M$500,"&lt;&gt;cancelled")=0,"",MAXIFS('Orders'!$G$2:$G$500,'Orders'!$C$2:$C$500,$A457,'Orders'!$M$2:$M$500,"&lt;&gt;cancelled")))</x:f>
      </x:c>
      <x:c r="M457" s="96" t="str">
        <x:f>IF($A457="","",SUMIFS('Orders'!$K$2:$K$500,'Orders'!$C$2:$C$500,$A457,'Orders'!$M$2:$M$500,"&lt;&gt;cancelled"))</x:f>
      </x:c>
      <x:c r="N457" s="96" t="str">
        <x:f>IF($A457="","",COUNTIFS('Orders'!$C$2:$C$500,$A457,'Orders'!$M$2:$M$500,"&lt;&gt;cancelled"))</x:f>
      </x:c>
      <x:c r="O457" s="100" t="str">
        <x:f>IF($A457="","",IF(COUNTIF('Interactions'!$B$2:$B$500,$A457)=0,"",MAXIFS('Interactions'!$G$2:$G$500,'Interactions'!$B$2:$B$500,$A457)))</x:f>
      </x:c>
      <x:c r="P457" s="100" t="str">
        <x:f>IF($A457="","",IF(COUNTIFS('FollowUps'!$B$2:$B$500,$A457,'FollowUps'!$H$2:$H$500,"open")=0,"",MINIFS('FollowUps'!$E$2:$E$500,'FollowUps'!$B$2:$B$500,$A457,'FollowUps'!$H$2:$H$500,"open")))</x:f>
      </x:c>
      <x:c r="Q457" s="104" t="str">
        <x:f>IF($A457="","",ROUND(MIN(25,$N457/VALUE(INDEX('Settings'!$B$2:$B$100,MATCH("score_purchase_target",'Settings'!$A$2:$A$100,0)))*25)+MIN(25,$M457/VALUE(INDEX('Settings'!$B$2:$B$100,MATCH("score_value_target",'Settings'!$A$2:$A$100,0)))*25)+IF($L457="",0,MAX(0,25-(TODAY()-$L457)/VALUE(INDEX('Settings'!$B$2:$B$100,MATCH("score_recency_days",'Settings'!$A$2:$A$100,0)))*25))+MIN(15,COUNTIFS('FollowUps'!$B$2:$B$500,$A457,'FollowUps'!$H$2:$H$500,"done")/VALUE(INDEX('Settings'!$B$2:$B$100,MATCH("score_response_target",'Settings'!$A$2:$A$100,0)))*15)+IF(COUNTIFS('Interactions'!$B$2:$B$500,$A457,'Interactions'!$E$2:$E$500,"complaint")=0,10,0),0))</x:f>
      </x:c>
      <x:c r="R457" s="108" t="str">
        <x:f>IF($A457="","",IF($J457="inactive","inactive",IF($J457="at_risk","at_risk",IF($Q457&gt;=85,"vip",IF($Q457&gt;=70,"loyal",IF($Q457&gt;=50,"active",IF($N457=0,"new","needs_attention")))))))</x:f>
      </x:c>
      <x:c r="S457" s="19"/>
      <x:c r="T457" s="18"/>
      <x:c r="U457" s="19"/>
      <x:c r="V457" s="20"/>
      <x:c r="W457" s="26"/>
      <x:c r="X457" s="19"/>
      <x:c r="Y457" s="26"/>
      <x:c r="Z457" s="19"/>
      <x:c r="AA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20"/>
      <x:c r="J458" s="19"/>
      <x:c r="K458" s="19"/>
      <x:c r="L458" s="92" t="str">
        <x:f>IF($A458="","",IF(COUNTIFS('Orders'!$C$2:$C$500,$A458,'Orders'!$M$2:$M$500,"&lt;&gt;cancelled")=0,"",MAXIFS('Orders'!$G$2:$G$500,'Orders'!$C$2:$C$500,$A458,'Orders'!$M$2:$M$500,"&lt;&gt;cancelled")))</x:f>
      </x:c>
      <x:c r="M458" s="96" t="str">
        <x:f>IF($A458="","",SUMIFS('Orders'!$K$2:$K$500,'Orders'!$C$2:$C$500,$A458,'Orders'!$M$2:$M$500,"&lt;&gt;cancelled"))</x:f>
      </x:c>
      <x:c r="N458" s="96" t="str">
        <x:f>IF($A458="","",COUNTIFS('Orders'!$C$2:$C$500,$A458,'Orders'!$M$2:$M$500,"&lt;&gt;cancelled"))</x:f>
      </x:c>
      <x:c r="O458" s="100" t="str">
        <x:f>IF($A458="","",IF(COUNTIF('Interactions'!$B$2:$B$500,$A458)=0,"",MAXIFS('Interactions'!$G$2:$G$500,'Interactions'!$B$2:$B$500,$A458)))</x:f>
      </x:c>
      <x:c r="P458" s="100" t="str">
        <x:f>IF($A458="","",IF(COUNTIFS('FollowUps'!$B$2:$B$500,$A458,'FollowUps'!$H$2:$H$500,"open")=0,"",MINIFS('FollowUps'!$E$2:$E$500,'FollowUps'!$B$2:$B$500,$A458,'FollowUps'!$H$2:$H$500,"open")))</x:f>
      </x:c>
      <x:c r="Q458" s="104" t="str">
        <x:f>IF($A458="","",ROUND(MIN(25,$N458/VALUE(INDEX('Settings'!$B$2:$B$100,MATCH("score_purchase_target",'Settings'!$A$2:$A$100,0)))*25)+MIN(25,$M458/VALUE(INDEX('Settings'!$B$2:$B$100,MATCH("score_value_target",'Settings'!$A$2:$A$100,0)))*25)+IF($L458="",0,MAX(0,25-(TODAY()-$L458)/VALUE(INDEX('Settings'!$B$2:$B$100,MATCH("score_recency_days",'Settings'!$A$2:$A$100,0)))*25))+MIN(15,COUNTIFS('FollowUps'!$B$2:$B$500,$A458,'FollowUps'!$H$2:$H$500,"done")/VALUE(INDEX('Settings'!$B$2:$B$100,MATCH("score_response_target",'Settings'!$A$2:$A$100,0)))*15)+IF(COUNTIFS('Interactions'!$B$2:$B$500,$A458,'Interactions'!$E$2:$E$500,"complaint")=0,10,0),0))</x:f>
      </x:c>
      <x:c r="R458" s="108" t="str">
        <x:f>IF($A458="","",IF($J458="inactive","inactive",IF($J458="at_risk","at_risk",IF($Q458&gt;=85,"vip",IF($Q458&gt;=70,"loyal",IF($Q458&gt;=50,"active",IF($N458=0,"new","needs_attention")))))))</x:f>
      </x:c>
      <x:c r="S458" s="19"/>
      <x:c r="T458" s="18"/>
      <x:c r="U458" s="19"/>
      <x:c r="V458" s="20"/>
      <x:c r="W458" s="26"/>
      <x:c r="X458" s="19"/>
      <x:c r="Y458" s="26"/>
      <x:c r="Z458" s="19"/>
      <x:c r="AA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20"/>
      <x:c r="J459" s="19"/>
      <x:c r="K459" s="19"/>
      <x:c r="L459" s="92" t="str">
        <x:f>IF($A459="","",IF(COUNTIFS('Orders'!$C$2:$C$500,$A459,'Orders'!$M$2:$M$500,"&lt;&gt;cancelled")=0,"",MAXIFS('Orders'!$G$2:$G$500,'Orders'!$C$2:$C$500,$A459,'Orders'!$M$2:$M$500,"&lt;&gt;cancelled")))</x:f>
      </x:c>
      <x:c r="M459" s="96" t="str">
        <x:f>IF($A459="","",SUMIFS('Orders'!$K$2:$K$500,'Orders'!$C$2:$C$500,$A459,'Orders'!$M$2:$M$500,"&lt;&gt;cancelled"))</x:f>
      </x:c>
      <x:c r="N459" s="96" t="str">
        <x:f>IF($A459="","",COUNTIFS('Orders'!$C$2:$C$500,$A459,'Orders'!$M$2:$M$500,"&lt;&gt;cancelled"))</x:f>
      </x:c>
      <x:c r="O459" s="100" t="str">
        <x:f>IF($A459="","",IF(COUNTIF('Interactions'!$B$2:$B$500,$A459)=0,"",MAXIFS('Interactions'!$G$2:$G$500,'Interactions'!$B$2:$B$500,$A459)))</x:f>
      </x:c>
      <x:c r="P459" s="100" t="str">
        <x:f>IF($A459="","",IF(COUNTIFS('FollowUps'!$B$2:$B$500,$A459,'FollowUps'!$H$2:$H$500,"open")=0,"",MINIFS('FollowUps'!$E$2:$E$500,'FollowUps'!$B$2:$B$500,$A459,'FollowUps'!$H$2:$H$500,"open")))</x:f>
      </x:c>
      <x:c r="Q459" s="104" t="str">
        <x:f>IF($A459="","",ROUND(MIN(25,$N459/VALUE(INDEX('Settings'!$B$2:$B$100,MATCH("score_purchase_target",'Settings'!$A$2:$A$100,0)))*25)+MIN(25,$M459/VALUE(INDEX('Settings'!$B$2:$B$100,MATCH("score_value_target",'Settings'!$A$2:$A$100,0)))*25)+IF($L459="",0,MAX(0,25-(TODAY()-$L459)/VALUE(INDEX('Settings'!$B$2:$B$100,MATCH("score_recency_days",'Settings'!$A$2:$A$100,0)))*25))+MIN(15,COUNTIFS('FollowUps'!$B$2:$B$500,$A459,'FollowUps'!$H$2:$H$500,"done")/VALUE(INDEX('Settings'!$B$2:$B$100,MATCH("score_response_target",'Settings'!$A$2:$A$100,0)))*15)+IF(COUNTIFS('Interactions'!$B$2:$B$500,$A459,'Interactions'!$E$2:$E$500,"complaint")=0,10,0),0))</x:f>
      </x:c>
      <x:c r="R459" s="108" t="str">
        <x:f>IF($A459="","",IF($J459="inactive","inactive",IF($J459="at_risk","at_risk",IF($Q459&gt;=85,"vip",IF($Q459&gt;=70,"loyal",IF($Q459&gt;=50,"active",IF($N459=0,"new","needs_attention")))))))</x:f>
      </x:c>
      <x:c r="S459" s="19"/>
      <x:c r="T459" s="18"/>
      <x:c r="U459" s="19"/>
      <x:c r="V459" s="20"/>
      <x:c r="W459" s="26"/>
      <x:c r="X459" s="19"/>
      <x:c r="Y459" s="26"/>
      <x:c r="Z459" s="19"/>
      <x:c r="AA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20"/>
      <x:c r="J460" s="19"/>
      <x:c r="K460" s="19"/>
      <x:c r="L460" s="92" t="str">
        <x:f>IF($A460="","",IF(COUNTIFS('Orders'!$C$2:$C$500,$A460,'Orders'!$M$2:$M$500,"&lt;&gt;cancelled")=0,"",MAXIFS('Orders'!$G$2:$G$500,'Orders'!$C$2:$C$500,$A460,'Orders'!$M$2:$M$500,"&lt;&gt;cancelled")))</x:f>
      </x:c>
      <x:c r="M460" s="96" t="str">
        <x:f>IF($A460="","",SUMIFS('Orders'!$K$2:$K$500,'Orders'!$C$2:$C$500,$A460,'Orders'!$M$2:$M$500,"&lt;&gt;cancelled"))</x:f>
      </x:c>
      <x:c r="N460" s="96" t="str">
        <x:f>IF($A460="","",COUNTIFS('Orders'!$C$2:$C$500,$A460,'Orders'!$M$2:$M$500,"&lt;&gt;cancelled"))</x:f>
      </x:c>
      <x:c r="O460" s="100" t="str">
        <x:f>IF($A460="","",IF(COUNTIF('Interactions'!$B$2:$B$500,$A460)=0,"",MAXIFS('Interactions'!$G$2:$G$500,'Interactions'!$B$2:$B$500,$A460)))</x:f>
      </x:c>
      <x:c r="P460" s="100" t="str">
        <x:f>IF($A460="","",IF(COUNTIFS('FollowUps'!$B$2:$B$500,$A460,'FollowUps'!$H$2:$H$500,"open")=0,"",MINIFS('FollowUps'!$E$2:$E$500,'FollowUps'!$B$2:$B$500,$A460,'FollowUps'!$H$2:$H$500,"open")))</x:f>
      </x:c>
      <x:c r="Q460" s="104" t="str">
        <x:f>IF($A460="","",ROUND(MIN(25,$N460/VALUE(INDEX('Settings'!$B$2:$B$100,MATCH("score_purchase_target",'Settings'!$A$2:$A$100,0)))*25)+MIN(25,$M460/VALUE(INDEX('Settings'!$B$2:$B$100,MATCH("score_value_target",'Settings'!$A$2:$A$100,0)))*25)+IF($L460="",0,MAX(0,25-(TODAY()-$L460)/VALUE(INDEX('Settings'!$B$2:$B$100,MATCH("score_recency_days",'Settings'!$A$2:$A$100,0)))*25))+MIN(15,COUNTIFS('FollowUps'!$B$2:$B$500,$A460,'FollowUps'!$H$2:$H$500,"done")/VALUE(INDEX('Settings'!$B$2:$B$100,MATCH("score_response_target",'Settings'!$A$2:$A$100,0)))*15)+IF(COUNTIFS('Interactions'!$B$2:$B$500,$A460,'Interactions'!$E$2:$E$500,"complaint")=0,10,0),0))</x:f>
      </x:c>
      <x:c r="R460" s="108" t="str">
        <x:f>IF($A460="","",IF($J460="inactive","inactive",IF($J460="at_risk","at_risk",IF($Q460&gt;=85,"vip",IF($Q460&gt;=70,"loyal",IF($Q460&gt;=50,"active",IF($N460=0,"new","needs_attention")))))))</x:f>
      </x:c>
      <x:c r="S460" s="19"/>
      <x:c r="T460" s="18"/>
      <x:c r="U460" s="19"/>
      <x:c r="V460" s="20"/>
      <x:c r="W460" s="26"/>
      <x:c r="X460" s="19"/>
      <x:c r="Y460" s="26"/>
      <x:c r="Z460" s="19"/>
      <x:c r="AA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20"/>
      <x:c r="J461" s="19"/>
      <x:c r="K461" s="19"/>
      <x:c r="L461" s="92" t="str">
        <x:f>IF($A461="","",IF(COUNTIFS('Orders'!$C$2:$C$500,$A461,'Orders'!$M$2:$M$500,"&lt;&gt;cancelled")=0,"",MAXIFS('Orders'!$G$2:$G$500,'Orders'!$C$2:$C$500,$A461,'Orders'!$M$2:$M$500,"&lt;&gt;cancelled")))</x:f>
      </x:c>
      <x:c r="M461" s="96" t="str">
        <x:f>IF($A461="","",SUMIFS('Orders'!$K$2:$K$500,'Orders'!$C$2:$C$500,$A461,'Orders'!$M$2:$M$500,"&lt;&gt;cancelled"))</x:f>
      </x:c>
      <x:c r="N461" s="96" t="str">
        <x:f>IF($A461="","",COUNTIFS('Orders'!$C$2:$C$500,$A461,'Orders'!$M$2:$M$500,"&lt;&gt;cancelled"))</x:f>
      </x:c>
      <x:c r="O461" s="100" t="str">
        <x:f>IF($A461="","",IF(COUNTIF('Interactions'!$B$2:$B$500,$A461)=0,"",MAXIFS('Interactions'!$G$2:$G$500,'Interactions'!$B$2:$B$500,$A461)))</x:f>
      </x:c>
      <x:c r="P461" s="100" t="str">
        <x:f>IF($A461="","",IF(COUNTIFS('FollowUps'!$B$2:$B$500,$A461,'FollowUps'!$H$2:$H$500,"open")=0,"",MINIFS('FollowUps'!$E$2:$E$500,'FollowUps'!$B$2:$B$500,$A461,'FollowUps'!$H$2:$H$500,"open")))</x:f>
      </x:c>
      <x:c r="Q461" s="104" t="str">
        <x:f>IF($A461="","",ROUND(MIN(25,$N461/VALUE(INDEX('Settings'!$B$2:$B$100,MATCH("score_purchase_target",'Settings'!$A$2:$A$100,0)))*25)+MIN(25,$M461/VALUE(INDEX('Settings'!$B$2:$B$100,MATCH("score_value_target",'Settings'!$A$2:$A$100,0)))*25)+IF($L461="",0,MAX(0,25-(TODAY()-$L461)/VALUE(INDEX('Settings'!$B$2:$B$100,MATCH("score_recency_days",'Settings'!$A$2:$A$100,0)))*25))+MIN(15,COUNTIFS('FollowUps'!$B$2:$B$500,$A461,'FollowUps'!$H$2:$H$500,"done")/VALUE(INDEX('Settings'!$B$2:$B$100,MATCH("score_response_target",'Settings'!$A$2:$A$100,0)))*15)+IF(COUNTIFS('Interactions'!$B$2:$B$500,$A461,'Interactions'!$E$2:$E$500,"complaint")=0,10,0),0))</x:f>
      </x:c>
      <x:c r="R461" s="108" t="str">
        <x:f>IF($A461="","",IF($J461="inactive","inactive",IF($J461="at_risk","at_risk",IF($Q461&gt;=85,"vip",IF($Q461&gt;=70,"loyal",IF($Q461&gt;=50,"active",IF($N461=0,"new","needs_attention")))))))</x:f>
      </x:c>
      <x:c r="S461" s="19"/>
      <x:c r="T461" s="18"/>
      <x:c r="U461" s="19"/>
      <x:c r="V461" s="20"/>
      <x:c r="W461" s="26"/>
      <x:c r="X461" s="19"/>
      <x:c r="Y461" s="26"/>
      <x:c r="Z461" s="19"/>
      <x:c r="AA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20"/>
      <x:c r="J462" s="19"/>
      <x:c r="K462" s="19"/>
      <x:c r="L462" s="92" t="str">
        <x:f>IF($A462="","",IF(COUNTIFS('Orders'!$C$2:$C$500,$A462,'Orders'!$M$2:$M$500,"&lt;&gt;cancelled")=0,"",MAXIFS('Orders'!$G$2:$G$500,'Orders'!$C$2:$C$500,$A462,'Orders'!$M$2:$M$500,"&lt;&gt;cancelled")))</x:f>
      </x:c>
      <x:c r="M462" s="96" t="str">
        <x:f>IF($A462="","",SUMIFS('Orders'!$K$2:$K$500,'Orders'!$C$2:$C$500,$A462,'Orders'!$M$2:$M$500,"&lt;&gt;cancelled"))</x:f>
      </x:c>
      <x:c r="N462" s="96" t="str">
        <x:f>IF($A462="","",COUNTIFS('Orders'!$C$2:$C$500,$A462,'Orders'!$M$2:$M$500,"&lt;&gt;cancelled"))</x:f>
      </x:c>
      <x:c r="O462" s="100" t="str">
        <x:f>IF($A462="","",IF(COUNTIF('Interactions'!$B$2:$B$500,$A462)=0,"",MAXIFS('Interactions'!$G$2:$G$500,'Interactions'!$B$2:$B$500,$A462)))</x:f>
      </x:c>
      <x:c r="P462" s="100" t="str">
        <x:f>IF($A462="","",IF(COUNTIFS('FollowUps'!$B$2:$B$500,$A462,'FollowUps'!$H$2:$H$500,"open")=0,"",MINIFS('FollowUps'!$E$2:$E$500,'FollowUps'!$B$2:$B$500,$A462,'FollowUps'!$H$2:$H$500,"open")))</x:f>
      </x:c>
      <x:c r="Q462" s="104" t="str">
        <x:f>IF($A462="","",ROUND(MIN(25,$N462/VALUE(INDEX('Settings'!$B$2:$B$100,MATCH("score_purchase_target",'Settings'!$A$2:$A$100,0)))*25)+MIN(25,$M462/VALUE(INDEX('Settings'!$B$2:$B$100,MATCH("score_value_target",'Settings'!$A$2:$A$100,0)))*25)+IF($L462="",0,MAX(0,25-(TODAY()-$L462)/VALUE(INDEX('Settings'!$B$2:$B$100,MATCH("score_recency_days",'Settings'!$A$2:$A$100,0)))*25))+MIN(15,COUNTIFS('FollowUps'!$B$2:$B$500,$A462,'FollowUps'!$H$2:$H$500,"done")/VALUE(INDEX('Settings'!$B$2:$B$100,MATCH("score_response_target",'Settings'!$A$2:$A$100,0)))*15)+IF(COUNTIFS('Interactions'!$B$2:$B$500,$A462,'Interactions'!$E$2:$E$500,"complaint")=0,10,0),0))</x:f>
      </x:c>
      <x:c r="R462" s="108" t="str">
        <x:f>IF($A462="","",IF($J462="inactive","inactive",IF($J462="at_risk","at_risk",IF($Q462&gt;=85,"vip",IF($Q462&gt;=70,"loyal",IF($Q462&gt;=50,"active",IF($N462=0,"new","needs_attention")))))))</x:f>
      </x:c>
      <x:c r="S462" s="19"/>
      <x:c r="T462" s="18"/>
      <x:c r="U462" s="19"/>
      <x:c r="V462" s="20"/>
      <x:c r="W462" s="26"/>
      <x:c r="X462" s="19"/>
      <x:c r="Y462" s="26"/>
      <x:c r="Z462" s="19"/>
      <x:c r="AA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20"/>
      <x:c r="J463" s="19"/>
      <x:c r="K463" s="19"/>
      <x:c r="L463" s="92" t="str">
        <x:f>IF($A463="","",IF(COUNTIFS('Orders'!$C$2:$C$500,$A463,'Orders'!$M$2:$M$500,"&lt;&gt;cancelled")=0,"",MAXIFS('Orders'!$G$2:$G$500,'Orders'!$C$2:$C$500,$A463,'Orders'!$M$2:$M$500,"&lt;&gt;cancelled")))</x:f>
      </x:c>
      <x:c r="M463" s="96" t="str">
        <x:f>IF($A463="","",SUMIFS('Orders'!$K$2:$K$500,'Orders'!$C$2:$C$500,$A463,'Orders'!$M$2:$M$500,"&lt;&gt;cancelled"))</x:f>
      </x:c>
      <x:c r="N463" s="96" t="str">
        <x:f>IF($A463="","",COUNTIFS('Orders'!$C$2:$C$500,$A463,'Orders'!$M$2:$M$500,"&lt;&gt;cancelled"))</x:f>
      </x:c>
      <x:c r="O463" s="100" t="str">
        <x:f>IF($A463="","",IF(COUNTIF('Interactions'!$B$2:$B$500,$A463)=0,"",MAXIFS('Interactions'!$G$2:$G$500,'Interactions'!$B$2:$B$500,$A463)))</x:f>
      </x:c>
      <x:c r="P463" s="100" t="str">
        <x:f>IF($A463="","",IF(COUNTIFS('FollowUps'!$B$2:$B$500,$A463,'FollowUps'!$H$2:$H$500,"open")=0,"",MINIFS('FollowUps'!$E$2:$E$500,'FollowUps'!$B$2:$B$500,$A463,'FollowUps'!$H$2:$H$500,"open")))</x:f>
      </x:c>
      <x:c r="Q463" s="104" t="str">
        <x:f>IF($A463="","",ROUND(MIN(25,$N463/VALUE(INDEX('Settings'!$B$2:$B$100,MATCH("score_purchase_target",'Settings'!$A$2:$A$100,0)))*25)+MIN(25,$M463/VALUE(INDEX('Settings'!$B$2:$B$100,MATCH("score_value_target",'Settings'!$A$2:$A$100,0)))*25)+IF($L463="",0,MAX(0,25-(TODAY()-$L463)/VALUE(INDEX('Settings'!$B$2:$B$100,MATCH("score_recency_days",'Settings'!$A$2:$A$100,0)))*25))+MIN(15,COUNTIFS('FollowUps'!$B$2:$B$500,$A463,'FollowUps'!$H$2:$H$500,"done")/VALUE(INDEX('Settings'!$B$2:$B$100,MATCH("score_response_target",'Settings'!$A$2:$A$100,0)))*15)+IF(COUNTIFS('Interactions'!$B$2:$B$500,$A463,'Interactions'!$E$2:$E$500,"complaint")=0,10,0),0))</x:f>
      </x:c>
      <x:c r="R463" s="108" t="str">
        <x:f>IF($A463="","",IF($J463="inactive","inactive",IF($J463="at_risk","at_risk",IF($Q463&gt;=85,"vip",IF($Q463&gt;=70,"loyal",IF($Q463&gt;=50,"active",IF($N463=0,"new","needs_attention")))))))</x:f>
      </x:c>
      <x:c r="S463" s="19"/>
      <x:c r="T463" s="18"/>
      <x:c r="U463" s="19"/>
      <x:c r="V463" s="20"/>
      <x:c r="W463" s="26"/>
      <x:c r="X463" s="19"/>
      <x:c r="Y463" s="26"/>
      <x:c r="Z463" s="19"/>
      <x:c r="AA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20"/>
      <x:c r="J464" s="19"/>
      <x:c r="K464" s="19"/>
      <x:c r="L464" s="92" t="str">
        <x:f>IF($A464="","",IF(COUNTIFS('Orders'!$C$2:$C$500,$A464,'Orders'!$M$2:$M$500,"&lt;&gt;cancelled")=0,"",MAXIFS('Orders'!$G$2:$G$500,'Orders'!$C$2:$C$500,$A464,'Orders'!$M$2:$M$500,"&lt;&gt;cancelled")))</x:f>
      </x:c>
      <x:c r="M464" s="96" t="str">
        <x:f>IF($A464="","",SUMIFS('Orders'!$K$2:$K$500,'Orders'!$C$2:$C$500,$A464,'Orders'!$M$2:$M$500,"&lt;&gt;cancelled"))</x:f>
      </x:c>
      <x:c r="N464" s="96" t="str">
        <x:f>IF($A464="","",COUNTIFS('Orders'!$C$2:$C$500,$A464,'Orders'!$M$2:$M$500,"&lt;&gt;cancelled"))</x:f>
      </x:c>
      <x:c r="O464" s="100" t="str">
        <x:f>IF($A464="","",IF(COUNTIF('Interactions'!$B$2:$B$500,$A464)=0,"",MAXIFS('Interactions'!$G$2:$G$500,'Interactions'!$B$2:$B$500,$A464)))</x:f>
      </x:c>
      <x:c r="P464" s="100" t="str">
        <x:f>IF($A464="","",IF(COUNTIFS('FollowUps'!$B$2:$B$500,$A464,'FollowUps'!$H$2:$H$500,"open")=0,"",MINIFS('FollowUps'!$E$2:$E$500,'FollowUps'!$B$2:$B$500,$A464,'FollowUps'!$H$2:$H$500,"open")))</x:f>
      </x:c>
      <x:c r="Q464" s="104" t="str">
        <x:f>IF($A464="","",ROUND(MIN(25,$N464/VALUE(INDEX('Settings'!$B$2:$B$100,MATCH("score_purchase_target",'Settings'!$A$2:$A$100,0)))*25)+MIN(25,$M464/VALUE(INDEX('Settings'!$B$2:$B$100,MATCH("score_value_target",'Settings'!$A$2:$A$100,0)))*25)+IF($L464="",0,MAX(0,25-(TODAY()-$L464)/VALUE(INDEX('Settings'!$B$2:$B$100,MATCH("score_recency_days",'Settings'!$A$2:$A$100,0)))*25))+MIN(15,COUNTIFS('FollowUps'!$B$2:$B$500,$A464,'FollowUps'!$H$2:$H$500,"done")/VALUE(INDEX('Settings'!$B$2:$B$100,MATCH("score_response_target",'Settings'!$A$2:$A$100,0)))*15)+IF(COUNTIFS('Interactions'!$B$2:$B$500,$A464,'Interactions'!$E$2:$E$500,"complaint")=0,10,0),0))</x:f>
      </x:c>
      <x:c r="R464" s="108" t="str">
        <x:f>IF($A464="","",IF($J464="inactive","inactive",IF($J464="at_risk","at_risk",IF($Q464&gt;=85,"vip",IF($Q464&gt;=70,"loyal",IF($Q464&gt;=50,"active",IF($N464=0,"new","needs_attention")))))))</x:f>
      </x:c>
      <x:c r="S464" s="19"/>
      <x:c r="T464" s="18"/>
      <x:c r="U464" s="19"/>
      <x:c r="V464" s="20"/>
      <x:c r="W464" s="26"/>
      <x:c r="X464" s="19"/>
      <x:c r="Y464" s="26"/>
      <x:c r="Z464" s="19"/>
      <x:c r="AA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20"/>
      <x:c r="J465" s="19"/>
      <x:c r="K465" s="19"/>
      <x:c r="L465" s="92" t="str">
        <x:f>IF($A465="","",IF(COUNTIFS('Orders'!$C$2:$C$500,$A465,'Orders'!$M$2:$M$500,"&lt;&gt;cancelled")=0,"",MAXIFS('Orders'!$G$2:$G$500,'Orders'!$C$2:$C$500,$A465,'Orders'!$M$2:$M$500,"&lt;&gt;cancelled")))</x:f>
      </x:c>
      <x:c r="M465" s="96" t="str">
        <x:f>IF($A465="","",SUMIFS('Orders'!$K$2:$K$500,'Orders'!$C$2:$C$500,$A465,'Orders'!$M$2:$M$500,"&lt;&gt;cancelled"))</x:f>
      </x:c>
      <x:c r="N465" s="96" t="str">
        <x:f>IF($A465="","",COUNTIFS('Orders'!$C$2:$C$500,$A465,'Orders'!$M$2:$M$500,"&lt;&gt;cancelled"))</x:f>
      </x:c>
      <x:c r="O465" s="100" t="str">
        <x:f>IF($A465="","",IF(COUNTIF('Interactions'!$B$2:$B$500,$A465)=0,"",MAXIFS('Interactions'!$G$2:$G$500,'Interactions'!$B$2:$B$500,$A465)))</x:f>
      </x:c>
      <x:c r="P465" s="100" t="str">
        <x:f>IF($A465="","",IF(COUNTIFS('FollowUps'!$B$2:$B$500,$A465,'FollowUps'!$H$2:$H$500,"open")=0,"",MINIFS('FollowUps'!$E$2:$E$500,'FollowUps'!$B$2:$B$500,$A465,'FollowUps'!$H$2:$H$500,"open")))</x:f>
      </x:c>
      <x:c r="Q465" s="104" t="str">
        <x:f>IF($A465="","",ROUND(MIN(25,$N465/VALUE(INDEX('Settings'!$B$2:$B$100,MATCH("score_purchase_target",'Settings'!$A$2:$A$100,0)))*25)+MIN(25,$M465/VALUE(INDEX('Settings'!$B$2:$B$100,MATCH("score_value_target",'Settings'!$A$2:$A$100,0)))*25)+IF($L465="",0,MAX(0,25-(TODAY()-$L465)/VALUE(INDEX('Settings'!$B$2:$B$100,MATCH("score_recency_days",'Settings'!$A$2:$A$100,0)))*25))+MIN(15,COUNTIFS('FollowUps'!$B$2:$B$500,$A465,'FollowUps'!$H$2:$H$500,"done")/VALUE(INDEX('Settings'!$B$2:$B$100,MATCH("score_response_target",'Settings'!$A$2:$A$100,0)))*15)+IF(COUNTIFS('Interactions'!$B$2:$B$500,$A465,'Interactions'!$E$2:$E$500,"complaint")=0,10,0),0))</x:f>
      </x:c>
      <x:c r="R465" s="108" t="str">
        <x:f>IF($A465="","",IF($J465="inactive","inactive",IF($J465="at_risk","at_risk",IF($Q465&gt;=85,"vip",IF($Q465&gt;=70,"loyal",IF($Q465&gt;=50,"active",IF($N465=0,"new","needs_attention")))))))</x:f>
      </x:c>
      <x:c r="S465" s="19"/>
      <x:c r="T465" s="18"/>
      <x:c r="U465" s="19"/>
      <x:c r="V465" s="20"/>
      <x:c r="W465" s="26"/>
      <x:c r="X465" s="19"/>
      <x:c r="Y465" s="26"/>
      <x:c r="Z465" s="19"/>
      <x:c r="AA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20"/>
      <x:c r="J466" s="19"/>
      <x:c r="K466" s="19"/>
      <x:c r="L466" s="92" t="str">
        <x:f>IF($A466="","",IF(COUNTIFS('Orders'!$C$2:$C$500,$A466,'Orders'!$M$2:$M$500,"&lt;&gt;cancelled")=0,"",MAXIFS('Orders'!$G$2:$G$500,'Orders'!$C$2:$C$500,$A466,'Orders'!$M$2:$M$500,"&lt;&gt;cancelled")))</x:f>
      </x:c>
      <x:c r="M466" s="96" t="str">
        <x:f>IF($A466="","",SUMIFS('Orders'!$K$2:$K$500,'Orders'!$C$2:$C$500,$A466,'Orders'!$M$2:$M$500,"&lt;&gt;cancelled"))</x:f>
      </x:c>
      <x:c r="N466" s="96" t="str">
        <x:f>IF($A466="","",COUNTIFS('Orders'!$C$2:$C$500,$A466,'Orders'!$M$2:$M$500,"&lt;&gt;cancelled"))</x:f>
      </x:c>
      <x:c r="O466" s="100" t="str">
        <x:f>IF($A466="","",IF(COUNTIF('Interactions'!$B$2:$B$500,$A466)=0,"",MAXIFS('Interactions'!$G$2:$G$500,'Interactions'!$B$2:$B$500,$A466)))</x:f>
      </x:c>
      <x:c r="P466" s="100" t="str">
        <x:f>IF($A466="","",IF(COUNTIFS('FollowUps'!$B$2:$B$500,$A466,'FollowUps'!$H$2:$H$500,"open")=0,"",MINIFS('FollowUps'!$E$2:$E$500,'FollowUps'!$B$2:$B$500,$A466,'FollowUps'!$H$2:$H$500,"open")))</x:f>
      </x:c>
      <x:c r="Q466" s="104" t="str">
        <x:f>IF($A466="","",ROUND(MIN(25,$N466/VALUE(INDEX('Settings'!$B$2:$B$100,MATCH("score_purchase_target",'Settings'!$A$2:$A$100,0)))*25)+MIN(25,$M466/VALUE(INDEX('Settings'!$B$2:$B$100,MATCH("score_value_target",'Settings'!$A$2:$A$100,0)))*25)+IF($L466="",0,MAX(0,25-(TODAY()-$L466)/VALUE(INDEX('Settings'!$B$2:$B$100,MATCH("score_recency_days",'Settings'!$A$2:$A$100,0)))*25))+MIN(15,COUNTIFS('FollowUps'!$B$2:$B$500,$A466,'FollowUps'!$H$2:$H$500,"done")/VALUE(INDEX('Settings'!$B$2:$B$100,MATCH("score_response_target",'Settings'!$A$2:$A$100,0)))*15)+IF(COUNTIFS('Interactions'!$B$2:$B$500,$A466,'Interactions'!$E$2:$E$500,"complaint")=0,10,0),0))</x:f>
      </x:c>
      <x:c r="R466" s="108" t="str">
        <x:f>IF($A466="","",IF($J466="inactive","inactive",IF($J466="at_risk","at_risk",IF($Q466&gt;=85,"vip",IF($Q466&gt;=70,"loyal",IF($Q466&gt;=50,"active",IF($N466=0,"new","needs_attention")))))))</x:f>
      </x:c>
      <x:c r="S466" s="19"/>
      <x:c r="T466" s="18"/>
      <x:c r="U466" s="19"/>
      <x:c r="V466" s="20"/>
      <x:c r="W466" s="26"/>
      <x:c r="X466" s="19"/>
      <x:c r="Y466" s="26"/>
      <x:c r="Z466" s="19"/>
      <x:c r="AA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20"/>
      <x:c r="J467" s="19"/>
      <x:c r="K467" s="19"/>
      <x:c r="L467" s="92" t="str">
        <x:f>IF($A467="","",IF(COUNTIFS('Orders'!$C$2:$C$500,$A467,'Orders'!$M$2:$M$500,"&lt;&gt;cancelled")=0,"",MAXIFS('Orders'!$G$2:$G$500,'Orders'!$C$2:$C$500,$A467,'Orders'!$M$2:$M$500,"&lt;&gt;cancelled")))</x:f>
      </x:c>
      <x:c r="M467" s="96" t="str">
        <x:f>IF($A467="","",SUMIFS('Orders'!$K$2:$K$500,'Orders'!$C$2:$C$500,$A467,'Orders'!$M$2:$M$500,"&lt;&gt;cancelled"))</x:f>
      </x:c>
      <x:c r="N467" s="96" t="str">
        <x:f>IF($A467="","",COUNTIFS('Orders'!$C$2:$C$500,$A467,'Orders'!$M$2:$M$500,"&lt;&gt;cancelled"))</x:f>
      </x:c>
      <x:c r="O467" s="100" t="str">
        <x:f>IF($A467="","",IF(COUNTIF('Interactions'!$B$2:$B$500,$A467)=0,"",MAXIFS('Interactions'!$G$2:$G$500,'Interactions'!$B$2:$B$500,$A467)))</x:f>
      </x:c>
      <x:c r="P467" s="100" t="str">
        <x:f>IF($A467="","",IF(COUNTIFS('FollowUps'!$B$2:$B$500,$A467,'FollowUps'!$H$2:$H$500,"open")=0,"",MINIFS('FollowUps'!$E$2:$E$500,'FollowUps'!$B$2:$B$500,$A467,'FollowUps'!$H$2:$H$500,"open")))</x:f>
      </x:c>
      <x:c r="Q467" s="104" t="str">
        <x:f>IF($A467="","",ROUND(MIN(25,$N467/VALUE(INDEX('Settings'!$B$2:$B$100,MATCH("score_purchase_target",'Settings'!$A$2:$A$100,0)))*25)+MIN(25,$M467/VALUE(INDEX('Settings'!$B$2:$B$100,MATCH("score_value_target",'Settings'!$A$2:$A$100,0)))*25)+IF($L467="",0,MAX(0,25-(TODAY()-$L467)/VALUE(INDEX('Settings'!$B$2:$B$100,MATCH("score_recency_days",'Settings'!$A$2:$A$100,0)))*25))+MIN(15,COUNTIFS('FollowUps'!$B$2:$B$500,$A467,'FollowUps'!$H$2:$H$500,"done")/VALUE(INDEX('Settings'!$B$2:$B$100,MATCH("score_response_target",'Settings'!$A$2:$A$100,0)))*15)+IF(COUNTIFS('Interactions'!$B$2:$B$500,$A467,'Interactions'!$E$2:$E$500,"complaint")=0,10,0),0))</x:f>
      </x:c>
      <x:c r="R467" s="108" t="str">
        <x:f>IF($A467="","",IF($J467="inactive","inactive",IF($J467="at_risk","at_risk",IF($Q467&gt;=85,"vip",IF($Q467&gt;=70,"loyal",IF($Q467&gt;=50,"active",IF($N467=0,"new","needs_attention")))))))</x:f>
      </x:c>
      <x:c r="S467" s="19"/>
      <x:c r="T467" s="18"/>
      <x:c r="U467" s="19"/>
      <x:c r="V467" s="20"/>
      <x:c r="W467" s="26"/>
      <x:c r="X467" s="19"/>
      <x:c r="Y467" s="26"/>
      <x:c r="Z467" s="19"/>
      <x:c r="AA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20"/>
      <x:c r="J468" s="19"/>
      <x:c r="K468" s="19"/>
      <x:c r="L468" s="92" t="str">
        <x:f>IF($A468="","",IF(COUNTIFS('Orders'!$C$2:$C$500,$A468,'Orders'!$M$2:$M$500,"&lt;&gt;cancelled")=0,"",MAXIFS('Orders'!$G$2:$G$500,'Orders'!$C$2:$C$500,$A468,'Orders'!$M$2:$M$500,"&lt;&gt;cancelled")))</x:f>
      </x:c>
      <x:c r="M468" s="96" t="str">
        <x:f>IF($A468="","",SUMIFS('Orders'!$K$2:$K$500,'Orders'!$C$2:$C$500,$A468,'Orders'!$M$2:$M$500,"&lt;&gt;cancelled"))</x:f>
      </x:c>
      <x:c r="N468" s="96" t="str">
        <x:f>IF($A468="","",COUNTIFS('Orders'!$C$2:$C$500,$A468,'Orders'!$M$2:$M$500,"&lt;&gt;cancelled"))</x:f>
      </x:c>
      <x:c r="O468" s="100" t="str">
        <x:f>IF($A468="","",IF(COUNTIF('Interactions'!$B$2:$B$500,$A468)=0,"",MAXIFS('Interactions'!$G$2:$G$500,'Interactions'!$B$2:$B$500,$A468)))</x:f>
      </x:c>
      <x:c r="P468" s="100" t="str">
        <x:f>IF($A468="","",IF(COUNTIFS('FollowUps'!$B$2:$B$500,$A468,'FollowUps'!$H$2:$H$500,"open")=0,"",MINIFS('FollowUps'!$E$2:$E$500,'FollowUps'!$B$2:$B$500,$A468,'FollowUps'!$H$2:$H$500,"open")))</x:f>
      </x:c>
      <x:c r="Q468" s="104" t="str">
        <x:f>IF($A468="","",ROUND(MIN(25,$N468/VALUE(INDEX('Settings'!$B$2:$B$100,MATCH("score_purchase_target",'Settings'!$A$2:$A$100,0)))*25)+MIN(25,$M468/VALUE(INDEX('Settings'!$B$2:$B$100,MATCH("score_value_target",'Settings'!$A$2:$A$100,0)))*25)+IF($L468="",0,MAX(0,25-(TODAY()-$L468)/VALUE(INDEX('Settings'!$B$2:$B$100,MATCH("score_recency_days",'Settings'!$A$2:$A$100,0)))*25))+MIN(15,COUNTIFS('FollowUps'!$B$2:$B$500,$A468,'FollowUps'!$H$2:$H$500,"done")/VALUE(INDEX('Settings'!$B$2:$B$100,MATCH("score_response_target",'Settings'!$A$2:$A$100,0)))*15)+IF(COUNTIFS('Interactions'!$B$2:$B$500,$A468,'Interactions'!$E$2:$E$500,"complaint")=0,10,0),0))</x:f>
      </x:c>
      <x:c r="R468" s="108" t="str">
        <x:f>IF($A468="","",IF($J468="inactive","inactive",IF($J468="at_risk","at_risk",IF($Q468&gt;=85,"vip",IF($Q468&gt;=70,"loyal",IF($Q468&gt;=50,"active",IF($N468=0,"new","needs_attention")))))))</x:f>
      </x:c>
      <x:c r="S468" s="19"/>
      <x:c r="T468" s="18"/>
      <x:c r="U468" s="19"/>
      <x:c r="V468" s="20"/>
      <x:c r="W468" s="26"/>
      <x:c r="X468" s="19"/>
      <x:c r="Y468" s="26"/>
      <x:c r="Z468" s="19"/>
      <x:c r="AA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20"/>
      <x:c r="J469" s="19"/>
      <x:c r="K469" s="19"/>
      <x:c r="L469" s="92" t="str">
        <x:f>IF($A469="","",IF(COUNTIFS('Orders'!$C$2:$C$500,$A469,'Orders'!$M$2:$M$500,"&lt;&gt;cancelled")=0,"",MAXIFS('Orders'!$G$2:$G$500,'Orders'!$C$2:$C$500,$A469,'Orders'!$M$2:$M$500,"&lt;&gt;cancelled")))</x:f>
      </x:c>
      <x:c r="M469" s="96" t="str">
        <x:f>IF($A469="","",SUMIFS('Orders'!$K$2:$K$500,'Orders'!$C$2:$C$500,$A469,'Orders'!$M$2:$M$500,"&lt;&gt;cancelled"))</x:f>
      </x:c>
      <x:c r="N469" s="96" t="str">
        <x:f>IF($A469="","",COUNTIFS('Orders'!$C$2:$C$500,$A469,'Orders'!$M$2:$M$500,"&lt;&gt;cancelled"))</x:f>
      </x:c>
      <x:c r="O469" s="100" t="str">
        <x:f>IF($A469="","",IF(COUNTIF('Interactions'!$B$2:$B$500,$A469)=0,"",MAXIFS('Interactions'!$G$2:$G$500,'Interactions'!$B$2:$B$500,$A469)))</x:f>
      </x:c>
      <x:c r="P469" s="100" t="str">
        <x:f>IF($A469="","",IF(COUNTIFS('FollowUps'!$B$2:$B$500,$A469,'FollowUps'!$H$2:$H$500,"open")=0,"",MINIFS('FollowUps'!$E$2:$E$500,'FollowUps'!$B$2:$B$500,$A469,'FollowUps'!$H$2:$H$500,"open")))</x:f>
      </x:c>
      <x:c r="Q469" s="104" t="str">
        <x:f>IF($A469="","",ROUND(MIN(25,$N469/VALUE(INDEX('Settings'!$B$2:$B$100,MATCH("score_purchase_target",'Settings'!$A$2:$A$100,0)))*25)+MIN(25,$M469/VALUE(INDEX('Settings'!$B$2:$B$100,MATCH("score_value_target",'Settings'!$A$2:$A$100,0)))*25)+IF($L469="",0,MAX(0,25-(TODAY()-$L469)/VALUE(INDEX('Settings'!$B$2:$B$100,MATCH("score_recency_days",'Settings'!$A$2:$A$100,0)))*25))+MIN(15,COUNTIFS('FollowUps'!$B$2:$B$500,$A469,'FollowUps'!$H$2:$H$500,"done")/VALUE(INDEX('Settings'!$B$2:$B$100,MATCH("score_response_target",'Settings'!$A$2:$A$100,0)))*15)+IF(COUNTIFS('Interactions'!$B$2:$B$500,$A469,'Interactions'!$E$2:$E$500,"complaint")=0,10,0),0))</x:f>
      </x:c>
      <x:c r="R469" s="108" t="str">
        <x:f>IF($A469="","",IF($J469="inactive","inactive",IF($J469="at_risk","at_risk",IF($Q469&gt;=85,"vip",IF($Q469&gt;=70,"loyal",IF($Q469&gt;=50,"active",IF($N469=0,"new","needs_attention")))))))</x:f>
      </x:c>
      <x:c r="S469" s="19"/>
      <x:c r="T469" s="18"/>
      <x:c r="U469" s="19"/>
      <x:c r="V469" s="20"/>
      <x:c r="W469" s="26"/>
      <x:c r="X469" s="19"/>
      <x:c r="Y469" s="26"/>
      <x:c r="Z469" s="19"/>
      <x:c r="AA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20"/>
      <x:c r="J470" s="19"/>
      <x:c r="K470" s="19"/>
      <x:c r="L470" s="92" t="str">
        <x:f>IF($A470="","",IF(COUNTIFS('Orders'!$C$2:$C$500,$A470,'Orders'!$M$2:$M$500,"&lt;&gt;cancelled")=0,"",MAXIFS('Orders'!$G$2:$G$500,'Orders'!$C$2:$C$500,$A470,'Orders'!$M$2:$M$500,"&lt;&gt;cancelled")))</x:f>
      </x:c>
      <x:c r="M470" s="96" t="str">
        <x:f>IF($A470="","",SUMIFS('Orders'!$K$2:$K$500,'Orders'!$C$2:$C$500,$A470,'Orders'!$M$2:$M$500,"&lt;&gt;cancelled"))</x:f>
      </x:c>
      <x:c r="N470" s="96" t="str">
        <x:f>IF($A470="","",COUNTIFS('Orders'!$C$2:$C$500,$A470,'Orders'!$M$2:$M$500,"&lt;&gt;cancelled"))</x:f>
      </x:c>
      <x:c r="O470" s="100" t="str">
        <x:f>IF($A470="","",IF(COUNTIF('Interactions'!$B$2:$B$500,$A470)=0,"",MAXIFS('Interactions'!$G$2:$G$500,'Interactions'!$B$2:$B$500,$A470)))</x:f>
      </x:c>
      <x:c r="P470" s="100" t="str">
        <x:f>IF($A470="","",IF(COUNTIFS('FollowUps'!$B$2:$B$500,$A470,'FollowUps'!$H$2:$H$500,"open")=0,"",MINIFS('FollowUps'!$E$2:$E$500,'FollowUps'!$B$2:$B$500,$A470,'FollowUps'!$H$2:$H$500,"open")))</x:f>
      </x:c>
      <x:c r="Q470" s="104" t="str">
        <x:f>IF($A470="","",ROUND(MIN(25,$N470/VALUE(INDEX('Settings'!$B$2:$B$100,MATCH("score_purchase_target",'Settings'!$A$2:$A$100,0)))*25)+MIN(25,$M470/VALUE(INDEX('Settings'!$B$2:$B$100,MATCH("score_value_target",'Settings'!$A$2:$A$100,0)))*25)+IF($L470="",0,MAX(0,25-(TODAY()-$L470)/VALUE(INDEX('Settings'!$B$2:$B$100,MATCH("score_recency_days",'Settings'!$A$2:$A$100,0)))*25))+MIN(15,COUNTIFS('FollowUps'!$B$2:$B$500,$A470,'FollowUps'!$H$2:$H$500,"done")/VALUE(INDEX('Settings'!$B$2:$B$100,MATCH("score_response_target",'Settings'!$A$2:$A$100,0)))*15)+IF(COUNTIFS('Interactions'!$B$2:$B$500,$A470,'Interactions'!$E$2:$E$500,"complaint")=0,10,0),0))</x:f>
      </x:c>
      <x:c r="R470" s="108" t="str">
        <x:f>IF($A470="","",IF($J470="inactive","inactive",IF($J470="at_risk","at_risk",IF($Q470&gt;=85,"vip",IF($Q470&gt;=70,"loyal",IF($Q470&gt;=50,"active",IF($N470=0,"new","needs_attention")))))))</x:f>
      </x:c>
      <x:c r="S470" s="19"/>
      <x:c r="T470" s="18"/>
      <x:c r="U470" s="19"/>
      <x:c r="V470" s="20"/>
      <x:c r="W470" s="26"/>
      <x:c r="X470" s="19"/>
      <x:c r="Y470" s="26"/>
      <x:c r="Z470" s="19"/>
      <x:c r="AA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20"/>
      <x:c r="J471" s="19"/>
      <x:c r="K471" s="19"/>
      <x:c r="L471" s="92" t="str">
        <x:f>IF($A471="","",IF(COUNTIFS('Orders'!$C$2:$C$500,$A471,'Orders'!$M$2:$M$500,"&lt;&gt;cancelled")=0,"",MAXIFS('Orders'!$G$2:$G$500,'Orders'!$C$2:$C$500,$A471,'Orders'!$M$2:$M$500,"&lt;&gt;cancelled")))</x:f>
      </x:c>
      <x:c r="M471" s="96" t="str">
        <x:f>IF($A471="","",SUMIFS('Orders'!$K$2:$K$500,'Orders'!$C$2:$C$500,$A471,'Orders'!$M$2:$M$500,"&lt;&gt;cancelled"))</x:f>
      </x:c>
      <x:c r="N471" s="96" t="str">
        <x:f>IF($A471="","",COUNTIFS('Orders'!$C$2:$C$500,$A471,'Orders'!$M$2:$M$500,"&lt;&gt;cancelled"))</x:f>
      </x:c>
      <x:c r="O471" s="100" t="str">
        <x:f>IF($A471="","",IF(COUNTIF('Interactions'!$B$2:$B$500,$A471)=0,"",MAXIFS('Interactions'!$G$2:$G$500,'Interactions'!$B$2:$B$500,$A471)))</x:f>
      </x:c>
      <x:c r="P471" s="100" t="str">
        <x:f>IF($A471="","",IF(COUNTIFS('FollowUps'!$B$2:$B$500,$A471,'FollowUps'!$H$2:$H$500,"open")=0,"",MINIFS('FollowUps'!$E$2:$E$500,'FollowUps'!$B$2:$B$500,$A471,'FollowUps'!$H$2:$H$500,"open")))</x:f>
      </x:c>
      <x:c r="Q471" s="104" t="str">
        <x:f>IF($A471="","",ROUND(MIN(25,$N471/VALUE(INDEX('Settings'!$B$2:$B$100,MATCH("score_purchase_target",'Settings'!$A$2:$A$100,0)))*25)+MIN(25,$M471/VALUE(INDEX('Settings'!$B$2:$B$100,MATCH("score_value_target",'Settings'!$A$2:$A$100,0)))*25)+IF($L471="",0,MAX(0,25-(TODAY()-$L471)/VALUE(INDEX('Settings'!$B$2:$B$100,MATCH("score_recency_days",'Settings'!$A$2:$A$100,0)))*25))+MIN(15,COUNTIFS('FollowUps'!$B$2:$B$500,$A471,'FollowUps'!$H$2:$H$500,"done")/VALUE(INDEX('Settings'!$B$2:$B$100,MATCH("score_response_target",'Settings'!$A$2:$A$100,0)))*15)+IF(COUNTIFS('Interactions'!$B$2:$B$500,$A471,'Interactions'!$E$2:$E$500,"complaint")=0,10,0),0))</x:f>
      </x:c>
      <x:c r="R471" s="108" t="str">
        <x:f>IF($A471="","",IF($J471="inactive","inactive",IF($J471="at_risk","at_risk",IF($Q471&gt;=85,"vip",IF($Q471&gt;=70,"loyal",IF($Q471&gt;=50,"active",IF($N471=0,"new","needs_attention")))))))</x:f>
      </x:c>
      <x:c r="S471" s="19"/>
      <x:c r="T471" s="18"/>
      <x:c r="U471" s="19"/>
      <x:c r="V471" s="20"/>
      <x:c r="W471" s="26"/>
      <x:c r="X471" s="19"/>
      <x:c r="Y471" s="26"/>
      <x:c r="Z471" s="19"/>
      <x:c r="AA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20"/>
      <x:c r="J472" s="19"/>
      <x:c r="K472" s="19"/>
      <x:c r="L472" s="92" t="str">
        <x:f>IF($A472="","",IF(COUNTIFS('Orders'!$C$2:$C$500,$A472,'Orders'!$M$2:$M$500,"&lt;&gt;cancelled")=0,"",MAXIFS('Orders'!$G$2:$G$500,'Orders'!$C$2:$C$500,$A472,'Orders'!$M$2:$M$500,"&lt;&gt;cancelled")))</x:f>
      </x:c>
      <x:c r="M472" s="96" t="str">
        <x:f>IF($A472="","",SUMIFS('Orders'!$K$2:$K$500,'Orders'!$C$2:$C$500,$A472,'Orders'!$M$2:$M$500,"&lt;&gt;cancelled"))</x:f>
      </x:c>
      <x:c r="N472" s="96" t="str">
        <x:f>IF($A472="","",COUNTIFS('Orders'!$C$2:$C$500,$A472,'Orders'!$M$2:$M$500,"&lt;&gt;cancelled"))</x:f>
      </x:c>
      <x:c r="O472" s="100" t="str">
        <x:f>IF($A472="","",IF(COUNTIF('Interactions'!$B$2:$B$500,$A472)=0,"",MAXIFS('Interactions'!$G$2:$G$500,'Interactions'!$B$2:$B$500,$A472)))</x:f>
      </x:c>
      <x:c r="P472" s="100" t="str">
        <x:f>IF($A472="","",IF(COUNTIFS('FollowUps'!$B$2:$B$500,$A472,'FollowUps'!$H$2:$H$500,"open")=0,"",MINIFS('FollowUps'!$E$2:$E$500,'FollowUps'!$B$2:$B$500,$A472,'FollowUps'!$H$2:$H$500,"open")))</x:f>
      </x:c>
      <x:c r="Q472" s="104" t="str">
        <x:f>IF($A472="","",ROUND(MIN(25,$N472/VALUE(INDEX('Settings'!$B$2:$B$100,MATCH("score_purchase_target",'Settings'!$A$2:$A$100,0)))*25)+MIN(25,$M472/VALUE(INDEX('Settings'!$B$2:$B$100,MATCH("score_value_target",'Settings'!$A$2:$A$100,0)))*25)+IF($L472="",0,MAX(0,25-(TODAY()-$L472)/VALUE(INDEX('Settings'!$B$2:$B$100,MATCH("score_recency_days",'Settings'!$A$2:$A$100,0)))*25))+MIN(15,COUNTIFS('FollowUps'!$B$2:$B$500,$A472,'FollowUps'!$H$2:$H$500,"done")/VALUE(INDEX('Settings'!$B$2:$B$100,MATCH("score_response_target",'Settings'!$A$2:$A$100,0)))*15)+IF(COUNTIFS('Interactions'!$B$2:$B$500,$A472,'Interactions'!$E$2:$E$500,"complaint")=0,10,0),0))</x:f>
      </x:c>
      <x:c r="R472" s="108" t="str">
        <x:f>IF($A472="","",IF($J472="inactive","inactive",IF($J472="at_risk","at_risk",IF($Q472&gt;=85,"vip",IF($Q472&gt;=70,"loyal",IF($Q472&gt;=50,"active",IF($N472=0,"new","needs_attention")))))))</x:f>
      </x:c>
      <x:c r="S472" s="19"/>
      <x:c r="T472" s="18"/>
      <x:c r="U472" s="19"/>
      <x:c r="V472" s="20"/>
      <x:c r="W472" s="26"/>
      <x:c r="X472" s="19"/>
      <x:c r="Y472" s="26"/>
      <x:c r="Z472" s="19"/>
      <x:c r="AA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20"/>
      <x:c r="J473" s="19"/>
      <x:c r="K473" s="19"/>
      <x:c r="L473" s="92" t="str">
        <x:f>IF($A473="","",IF(COUNTIFS('Orders'!$C$2:$C$500,$A473,'Orders'!$M$2:$M$500,"&lt;&gt;cancelled")=0,"",MAXIFS('Orders'!$G$2:$G$500,'Orders'!$C$2:$C$500,$A473,'Orders'!$M$2:$M$500,"&lt;&gt;cancelled")))</x:f>
      </x:c>
      <x:c r="M473" s="96" t="str">
        <x:f>IF($A473="","",SUMIFS('Orders'!$K$2:$K$500,'Orders'!$C$2:$C$500,$A473,'Orders'!$M$2:$M$500,"&lt;&gt;cancelled"))</x:f>
      </x:c>
      <x:c r="N473" s="96" t="str">
        <x:f>IF($A473="","",COUNTIFS('Orders'!$C$2:$C$500,$A473,'Orders'!$M$2:$M$500,"&lt;&gt;cancelled"))</x:f>
      </x:c>
      <x:c r="O473" s="100" t="str">
        <x:f>IF($A473="","",IF(COUNTIF('Interactions'!$B$2:$B$500,$A473)=0,"",MAXIFS('Interactions'!$G$2:$G$500,'Interactions'!$B$2:$B$500,$A473)))</x:f>
      </x:c>
      <x:c r="P473" s="100" t="str">
        <x:f>IF($A473="","",IF(COUNTIFS('FollowUps'!$B$2:$B$500,$A473,'FollowUps'!$H$2:$H$500,"open")=0,"",MINIFS('FollowUps'!$E$2:$E$500,'FollowUps'!$B$2:$B$500,$A473,'FollowUps'!$H$2:$H$500,"open")))</x:f>
      </x:c>
      <x:c r="Q473" s="104" t="str">
        <x:f>IF($A473="","",ROUND(MIN(25,$N473/VALUE(INDEX('Settings'!$B$2:$B$100,MATCH("score_purchase_target",'Settings'!$A$2:$A$100,0)))*25)+MIN(25,$M473/VALUE(INDEX('Settings'!$B$2:$B$100,MATCH("score_value_target",'Settings'!$A$2:$A$100,0)))*25)+IF($L473="",0,MAX(0,25-(TODAY()-$L473)/VALUE(INDEX('Settings'!$B$2:$B$100,MATCH("score_recency_days",'Settings'!$A$2:$A$100,0)))*25))+MIN(15,COUNTIFS('FollowUps'!$B$2:$B$500,$A473,'FollowUps'!$H$2:$H$500,"done")/VALUE(INDEX('Settings'!$B$2:$B$100,MATCH("score_response_target",'Settings'!$A$2:$A$100,0)))*15)+IF(COUNTIFS('Interactions'!$B$2:$B$500,$A473,'Interactions'!$E$2:$E$500,"complaint")=0,10,0),0))</x:f>
      </x:c>
      <x:c r="R473" s="108" t="str">
        <x:f>IF($A473="","",IF($J473="inactive","inactive",IF($J473="at_risk","at_risk",IF($Q473&gt;=85,"vip",IF($Q473&gt;=70,"loyal",IF($Q473&gt;=50,"active",IF($N473=0,"new","needs_attention")))))))</x:f>
      </x:c>
      <x:c r="S473" s="19"/>
      <x:c r="T473" s="18"/>
      <x:c r="U473" s="19"/>
      <x:c r="V473" s="20"/>
      <x:c r="W473" s="26"/>
      <x:c r="X473" s="19"/>
      <x:c r="Y473" s="26"/>
      <x:c r="Z473" s="19"/>
      <x:c r="AA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20"/>
      <x:c r="J474" s="19"/>
      <x:c r="K474" s="19"/>
      <x:c r="L474" s="92" t="str">
        <x:f>IF($A474="","",IF(COUNTIFS('Orders'!$C$2:$C$500,$A474,'Orders'!$M$2:$M$500,"&lt;&gt;cancelled")=0,"",MAXIFS('Orders'!$G$2:$G$500,'Orders'!$C$2:$C$500,$A474,'Orders'!$M$2:$M$500,"&lt;&gt;cancelled")))</x:f>
      </x:c>
      <x:c r="M474" s="96" t="str">
        <x:f>IF($A474="","",SUMIFS('Orders'!$K$2:$K$500,'Orders'!$C$2:$C$500,$A474,'Orders'!$M$2:$M$500,"&lt;&gt;cancelled"))</x:f>
      </x:c>
      <x:c r="N474" s="96" t="str">
        <x:f>IF($A474="","",COUNTIFS('Orders'!$C$2:$C$500,$A474,'Orders'!$M$2:$M$500,"&lt;&gt;cancelled"))</x:f>
      </x:c>
      <x:c r="O474" s="100" t="str">
        <x:f>IF($A474="","",IF(COUNTIF('Interactions'!$B$2:$B$500,$A474)=0,"",MAXIFS('Interactions'!$G$2:$G$500,'Interactions'!$B$2:$B$500,$A474)))</x:f>
      </x:c>
      <x:c r="P474" s="100" t="str">
        <x:f>IF($A474="","",IF(COUNTIFS('FollowUps'!$B$2:$B$500,$A474,'FollowUps'!$H$2:$H$500,"open")=0,"",MINIFS('FollowUps'!$E$2:$E$500,'FollowUps'!$B$2:$B$500,$A474,'FollowUps'!$H$2:$H$500,"open")))</x:f>
      </x:c>
      <x:c r="Q474" s="104" t="str">
        <x:f>IF($A474="","",ROUND(MIN(25,$N474/VALUE(INDEX('Settings'!$B$2:$B$100,MATCH("score_purchase_target",'Settings'!$A$2:$A$100,0)))*25)+MIN(25,$M474/VALUE(INDEX('Settings'!$B$2:$B$100,MATCH("score_value_target",'Settings'!$A$2:$A$100,0)))*25)+IF($L474="",0,MAX(0,25-(TODAY()-$L474)/VALUE(INDEX('Settings'!$B$2:$B$100,MATCH("score_recency_days",'Settings'!$A$2:$A$100,0)))*25))+MIN(15,COUNTIFS('FollowUps'!$B$2:$B$500,$A474,'FollowUps'!$H$2:$H$500,"done")/VALUE(INDEX('Settings'!$B$2:$B$100,MATCH("score_response_target",'Settings'!$A$2:$A$100,0)))*15)+IF(COUNTIFS('Interactions'!$B$2:$B$500,$A474,'Interactions'!$E$2:$E$500,"complaint")=0,10,0),0))</x:f>
      </x:c>
      <x:c r="R474" s="108" t="str">
        <x:f>IF($A474="","",IF($J474="inactive","inactive",IF($J474="at_risk","at_risk",IF($Q474&gt;=85,"vip",IF($Q474&gt;=70,"loyal",IF($Q474&gt;=50,"active",IF($N474=0,"new","needs_attention")))))))</x:f>
      </x:c>
      <x:c r="S474" s="19"/>
      <x:c r="T474" s="18"/>
      <x:c r="U474" s="19"/>
      <x:c r="V474" s="20"/>
      <x:c r="W474" s="26"/>
      <x:c r="X474" s="19"/>
      <x:c r="Y474" s="26"/>
      <x:c r="Z474" s="19"/>
      <x:c r="AA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20"/>
      <x:c r="J475" s="19"/>
      <x:c r="K475" s="19"/>
      <x:c r="L475" s="92" t="str">
        <x:f>IF($A475="","",IF(COUNTIFS('Orders'!$C$2:$C$500,$A475,'Orders'!$M$2:$M$500,"&lt;&gt;cancelled")=0,"",MAXIFS('Orders'!$G$2:$G$500,'Orders'!$C$2:$C$500,$A475,'Orders'!$M$2:$M$500,"&lt;&gt;cancelled")))</x:f>
      </x:c>
      <x:c r="M475" s="96" t="str">
        <x:f>IF($A475="","",SUMIFS('Orders'!$K$2:$K$500,'Orders'!$C$2:$C$500,$A475,'Orders'!$M$2:$M$500,"&lt;&gt;cancelled"))</x:f>
      </x:c>
      <x:c r="N475" s="96" t="str">
        <x:f>IF($A475="","",COUNTIFS('Orders'!$C$2:$C$500,$A475,'Orders'!$M$2:$M$500,"&lt;&gt;cancelled"))</x:f>
      </x:c>
      <x:c r="O475" s="100" t="str">
        <x:f>IF($A475="","",IF(COUNTIF('Interactions'!$B$2:$B$500,$A475)=0,"",MAXIFS('Interactions'!$G$2:$G$500,'Interactions'!$B$2:$B$500,$A475)))</x:f>
      </x:c>
      <x:c r="P475" s="100" t="str">
        <x:f>IF($A475="","",IF(COUNTIFS('FollowUps'!$B$2:$B$500,$A475,'FollowUps'!$H$2:$H$500,"open")=0,"",MINIFS('FollowUps'!$E$2:$E$500,'FollowUps'!$B$2:$B$500,$A475,'FollowUps'!$H$2:$H$500,"open")))</x:f>
      </x:c>
      <x:c r="Q475" s="104" t="str">
        <x:f>IF($A475="","",ROUND(MIN(25,$N475/VALUE(INDEX('Settings'!$B$2:$B$100,MATCH("score_purchase_target",'Settings'!$A$2:$A$100,0)))*25)+MIN(25,$M475/VALUE(INDEX('Settings'!$B$2:$B$100,MATCH("score_value_target",'Settings'!$A$2:$A$100,0)))*25)+IF($L475="",0,MAX(0,25-(TODAY()-$L475)/VALUE(INDEX('Settings'!$B$2:$B$100,MATCH("score_recency_days",'Settings'!$A$2:$A$100,0)))*25))+MIN(15,COUNTIFS('FollowUps'!$B$2:$B$500,$A475,'FollowUps'!$H$2:$H$500,"done")/VALUE(INDEX('Settings'!$B$2:$B$100,MATCH("score_response_target",'Settings'!$A$2:$A$100,0)))*15)+IF(COUNTIFS('Interactions'!$B$2:$B$500,$A475,'Interactions'!$E$2:$E$500,"complaint")=0,10,0),0))</x:f>
      </x:c>
      <x:c r="R475" s="108" t="str">
        <x:f>IF($A475="","",IF($J475="inactive","inactive",IF($J475="at_risk","at_risk",IF($Q475&gt;=85,"vip",IF($Q475&gt;=70,"loyal",IF($Q475&gt;=50,"active",IF($N475=0,"new","needs_attention")))))))</x:f>
      </x:c>
      <x:c r="S475" s="19"/>
      <x:c r="T475" s="18"/>
      <x:c r="U475" s="19"/>
      <x:c r="V475" s="20"/>
      <x:c r="W475" s="26"/>
      <x:c r="X475" s="19"/>
      <x:c r="Y475" s="26"/>
      <x:c r="Z475" s="19"/>
      <x:c r="AA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20"/>
      <x:c r="J476" s="19"/>
      <x:c r="K476" s="19"/>
      <x:c r="L476" s="92" t="str">
        <x:f>IF($A476="","",IF(COUNTIFS('Orders'!$C$2:$C$500,$A476,'Orders'!$M$2:$M$500,"&lt;&gt;cancelled")=0,"",MAXIFS('Orders'!$G$2:$G$500,'Orders'!$C$2:$C$500,$A476,'Orders'!$M$2:$M$500,"&lt;&gt;cancelled")))</x:f>
      </x:c>
      <x:c r="M476" s="96" t="str">
        <x:f>IF($A476="","",SUMIFS('Orders'!$K$2:$K$500,'Orders'!$C$2:$C$500,$A476,'Orders'!$M$2:$M$500,"&lt;&gt;cancelled"))</x:f>
      </x:c>
      <x:c r="N476" s="96" t="str">
        <x:f>IF($A476="","",COUNTIFS('Orders'!$C$2:$C$500,$A476,'Orders'!$M$2:$M$500,"&lt;&gt;cancelled"))</x:f>
      </x:c>
      <x:c r="O476" s="100" t="str">
        <x:f>IF($A476="","",IF(COUNTIF('Interactions'!$B$2:$B$500,$A476)=0,"",MAXIFS('Interactions'!$G$2:$G$500,'Interactions'!$B$2:$B$500,$A476)))</x:f>
      </x:c>
      <x:c r="P476" s="100" t="str">
        <x:f>IF($A476="","",IF(COUNTIFS('FollowUps'!$B$2:$B$500,$A476,'FollowUps'!$H$2:$H$500,"open")=0,"",MINIFS('FollowUps'!$E$2:$E$500,'FollowUps'!$B$2:$B$500,$A476,'FollowUps'!$H$2:$H$500,"open")))</x:f>
      </x:c>
      <x:c r="Q476" s="104" t="str">
        <x:f>IF($A476="","",ROUND(MIN(25,$N476/VALUE(INDEX('Settings'!$B$2:$B$100,MATCH("score_purchase_target",'Settings'!$A$2:$A$100,0)))*25)+MIN(25,$M476/VALUE(INDEX('Settings'!$B$2:$B$100,MATCH("score_value_target",'Settings'!$A$2:$A$100,0)))*25)+IF($L476="",0,MAX(0,25-(TODAY()-$L476)/VALUE(INDEX('Settings'!$B$2:$B$100,MATCH("score_recency_days",'Settings'!$A$2:$A$100,0)))*25))+MIN(15,COUNTIFS('FollowUps'!$B$2:$B$500,$A476,'FollowUps'!$H$2:$H$500,"done")/VALUE(INDEX('Settings'!$B$2:$B$100,MATCH("score_response_target",'Settings'!$A$2:$A$100,0)))*15)+IF(COUNTIFS('Interactions'!$B$2:$B$500,$A476,'Interactions'!$E$2:$E$500,"complaint")=0,10,0),0))</x:f>
      </x:c>
      <x:c r="R476" s="108" t="str">
        <x:f>IF($A476="","",IF($J476="inactive","inactive",IF($J476="at_risk","at_risk",IF($Q476&gt;=85,"vip",IF($Q476&gt;=70,"loyal",IF($Q476&gt;=50,"active",IF($N476=0,"new","needs_attention")))))))</x:f>
      </x:c>
      <x:c r="S476" s="19"/>
      <x:c r="T476" s="18"/>
      <x:c r="U476" s="19"/>
      <x:c r="V476" s="20"/>
      <x:c r="W476" s="26"/>
      <x:c r="X476" s="19"/>
      <x:c r="Y476" s="26"/>
      <x:c r="Z476" s="19"/>
      <x:c r="AA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20"/>
      <x:c r="J477" s="19"/>
      <x:c r="K477" s="19"/>
      <x:c r="L477" s="92" t="str">
        <x:f>IF($A477="","",IF(COUNTIFS('Orders'!$C$2:$C$500,$A477,'Orders'!$M$2:$M$500,"&lt;&gt;cancelled")=0,"",MAXIFS('Orders'!$G$2:$G$500,'Orders'!$C$2:$C$500,$A477,'Orders'!$M$2:$M$500,"&lt;&gt;cancelled")))</x:f>
      </x:c>
      <x:c r="M477" s="96" t="str">
        <x:f>IF($A477="","",SUMIFS('Orders'!$K$2:$K$500,'Orders'!$C$2:$C$500,$A477,'Orders'!$M$2:$M$500,"&lt;&gt;cancelled"))</x:f>
      </x:c>
      <x:c r="N477" s="96" t="str">
        <x:f>IF($A477="","",COUNTIFS('Orders'!$C$2:$C$500,$A477,'Orders'!$M$2:$M$500,"&lt;&gt;cancelled"))</x:f>
      </x:c>
      <x:c r="O477" s="100" t="str">
        <x:f>IF($A477="","",IF(COUNTIF('Interactions'!$B$2:$B$500,$A477)=0,"",MAXIFS('Interactions'!$G$2:$G$500,'Interactions'!$B$2:$B$500,$A477)))</x:f>
      </x:c>
      <x:c r="P477" s="100" t="str">
        <x:f>IF($A477="","",IF(COUNTIFS('FollowUps'!$B$2:$B$500,$A477,'FollowUps'!$H$2:$H$500,"open")=0,"",MINIFS('FollowUps'!$E$2:$E$500,'FollowUps'!$B$2:$B$500,$A477,'FollowUps'!$H$2:$H$500,"open")))</x:f>
      </x:c>
      <x:c r="Q477" s="104" t="str">
        <x:f>IF($A477="","",ROUND(MIN(25,$N477/VALUE(INDEX('Settings'!$B$2:$B$100,MATCH("score_purchase_target",'Settings'!$A$2:$A$100,0)))*25)+MIN(25,$M477/VALUE(INDEX('Settings'!$B$2:$B$100,MATCH("score_value_target",'Settings'!$A$2:$A$100,0)))*25)+IF($L477="",0,MAX(0,25-(TODAY()-$L477)/VALUE(INDEX('Settings'!$B$2:$B$100,MATCH("score_recency_days",'Settings'!$A$2:$A$100,0)))*25))+MIN(15,COUNTIFS('FollowUps'!$B$2:$B$500,$A477,'FollowUps'!$H$2:$H$500,"done")/VALUE(INDEX('Settings'!$B$2:$B$100,MATCH("score_response_target",'Settings'!$A$2:$A$100,0)))*15)+IF(COUNTIFS('Interactions'!$B$2:$B$500,$A477,'Interactions'!$E$2:$E$500,"complaint")=0,10,0),0))</x:f>
      </x:c>
      <x:c r="R477" s="108" t="str">
        <x:f>IF($A477="","",IF($J477="inactive","inactive",IF($J477="at_risk","at_risk",IF($Q477&gt;=85,"vip",IF($Q477&gt;=70,"loyal",IF($Q477&gt;=50,"active",IF($N477=0,"new","needs_attention")))))))</x:f>
      </x:c>
      <x:c r="S477" s="19"/>
      <x:c r="T477" s="18"/>
      <x:c r="U477" s="19"/>
      <x:c r="V477" s="20"/>
      <x:c r="W477" s="26"/>
      <x:c r="X477" s="19"/>
      <x:c r="Y477" s="26"/>
      <x:c r="Z477" s="19"/>
      <x:c r="AA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20"/>
      <x:c r="J478" s="19"/>
      <x:c r="K478" s="19"/>
      <x:c r="L478" s="92" t="str">
        <x:f>IF($A478="","",IF(COUNTIFS('Orders'!$C$2:$C$500,$A478,'Orders'!$M$2:$M$500,"&lt;&gt;cancelled")=0,"",MAXIFS('Orders'!$G$2:$G$500,'Orders'!$C$2:$C$500,$A478,'Orders'!$M$2:$M$500,"&lt;&gt;cancelled")))</x:f>
      </x:c>
      <x:c r="M478" s="96" t="str">
        <x:f>IF($A478="","",SUMIFS('Orders'!$K$2:$K$500,'Orders'!$C$2:$C$500,$A478,'Orders'!$M$2:$M$500,"&lt;&gt;cancelled"))</x:f>
      </x:c>
      <x:c r="N478" s="96" t="str">
        <x:f>IF($A478="","",COUNTIFS('Orders'!$C$2:$C$500,$A478,'Orders'!$M$2:$M$500,"&lt;&gt;cancelled"))</x:f>
      </x:c>
      <x:c r="O478" s="100" t="str">
        <x:f>IF($A478="","",IF(COUNTIF('Interactions'!$B$2:$B$500,$A478)=0,"",MAXIFS('Interactions'!$G$2:$G$500,'Interactions'!$B$2:$B$500,$A478)))</x:f>
      </x:c>
      <x:c r="P478" s="100" t="str">
        <x:f>IF($A478="","",IF(COUNTIFS('FollowUps'!$B$2:$B$500,$A478,'FollowUps'!$H$2:$H$500,"open")=0,"",MINIFS('FollowUps'!$E$2:$E$500,'FollowUps'!$B$2:$B$500,$A478,'FollowUps'!$H$2:$H$500,"open")))</x:f>
      </x:c>
      <x:c r="Q478" s="104" t="str">
        <x:f>IF($A478="","",ROUND(MIN(25,$N478/VALUE(INDEX('Settings'!$B$2:$B$100,MATCH("score_purchase_target",'Settings'!$A$2:$A$100,0)))*25)+MIN(25,$M478/VALUE(INDEX('Settings'!$B$2:$B$100,MATCH("score_value_target",'Settings'!$A$2:$A$100,0)))*25)+IF($L478="",0,MAX(0,25-(TODAY()-$L478)/VALUE(INDEX('Settings'!$B$2:$B$100,MATCH("score_recency_days",'Settings'!$A$2:$A$100,0)))*25))+MIN(15,COUNTIFS('FollowUps'!$B$2:$B$500,$A478,'FollowUps'!$H$2:$H$500,"done")/VALUE(INDEX('Settings'!$B$2:$B$100,MATCH("score_response_target",'Settings'!$A$2:$A$100,0)))*15)+IF(COUNTIFS('Interactions'!$B$2:$B$500,$A478,'Interactions'!$E$2:$E$500,"complaint")=0,10,0),0))</x:f>
      </x:c>
      <x:c r="R478" s="108" t="str">
        <x:f>IF($A478="","",IF($J478="inactive","inactive",IF($J478="at_risk","at_risk",IF($Q478&gt;=85,"vip",IF($Q478&gt;=70,"loyal",IF($Q478&gt;=50,"active",IF($N478=0,"new","needs_attention")))))))</x:f>
      </x:c>
      <x:c r="S478" s="19"/>
      <x:c r="T478" s="18"/>
      <x:c r="U478" s="19"/>
      <x:c r="V478" s="20"/>
      <x:c r="W478" s="26"/>
      <x:c r="X478" s="19"/>
      <x:c r="Y478" s="26"/>
      <x:c r="Z478" s="19"/>
      <x:c r="AA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20"/>
      <x:c r="J479" s="19"/>
      <x:c r="K479" s="19"/>
      <x:c r="L479" s="92" t="str">
        <x:f>IF($A479="","",IF(COUNTIFS('Orders'!$C$2:$C$500,$A479,'Orders'!$M$2:$M$500,"&lt;&gt;cancelled")=0,"",MAXIFS('Orders'!$G$2:$G$500,'Orders'!$C$2:$C$500,$A479,'Orders'!$M$2:$M$500,"&lt;&gt;cancelled")))</x:f>
      </x:c>
      <x:c r="M479" s="96" t="str">
        <x:f>IF($A479="","",SUMIFS('Orders'!$K$2:$K$500,'Orders'!$C$2:$C$500,$A479,'Orders'!$M$2:$M$500,"&lt;&gt;cancelled"))</x:f>
      </x:c>
      <x:c r="N479" s="96" t="str">
        <x:f>IF($A479="","",COUNTIFS('Orders'!$C$2:$C$500,$A479,'Orders'!$M$2:$M$500,"&lt;&gt;cancelled"))</x:f>
      </x:c>
      <x:c r="O479" s="100" t="str">
        <x:f>IF($A479="","",IF(COUNTIF('Interactions'!$B$2:$B$500,$A479)=0,"",MAXIFS('Interactions'!$G$2:$G$500,'Interactions'!$B$2:$B$500,$A479)))</x:f>
      </x:c>
      <x:c r="P479" s="100" t="str">
        <x:f>IF($A479="","",IF(COUNTIFS('FollowUps'!$B$2:$B$500,$A479,'FollowUps'!$H$2:$H$500,"open")=0,"",MINIFS('FollowUps'!$E$2:$E$500,'FollowUps'!$B$2:$B$500,$A479,'FollowUps'!$H$2:$H$500,"open")))</x:f>
      </x:c>
      <x:c r="Q479" s="104" t="str">
        <x:f>IF($A479="","",ROUND(MIN(25,$N479/VALUE(INDEX('Settings'!$B$2:$B$100,MATCH("score_purchase_target",'Settings'!$A$2:$A$100,0)))*25)+MIN(25,$M479/VALUE(INDEX('Settings'!$B$2:$B$100,MATCH("score_value_target",'Settings'!$A$2:$A$100,0)))*25)+IF($L479="",0,MAX(0,25-(TODAY()-$L479)/VALUE(INDEX('Settings'!$B$2:$B$100,MATCH("score_recency_days",'Settings'!$A$2:$A$100,0)))*25))+MIN(15,COUNTIFS('FollowUps'!$B$2:$B$500,$A479,'FollowUps'!$H$2:$H$500,"done")/VALUE(INDEX('Settings'!$B$2:$B$100,MATCH("score_response_target",'Settings'!$A$2:$A$100,0)))*15)+IF(COUNTIFS('Interactions'!$B$2:$B$500,$A479,'Interactions'!$E$2:$E$500,"complaint")=0,10,0),0))</x:f>
      </x:c>
      <x:c r="R479" s="108" t="str">
        <x:f>IF($A479="","",IF($J479="inactive","inactive",IF($J479="at_risk","at_risk",IF($Q479&gt;=85,"vip",IF($Q479&gt;=70,"loyal",IF($Q479&gt;=50,"active",IF($N479=0,"new","needs_attention")))))))</x:f>
      </x:c>
      <x:c r="S479" s="19"/>
      <x:c r="T479" s="18"/>
      <x:c r="U479" s="19"/>
      <x:c r="V479" s="20"/>
      <x:c r="W479" s="26"/>
      <x:c r="X479" s="19"/>
      <x:c r="Y479" s="26"/>
      <x:c r="Z479" s="19"/>
      <x:c r="AA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20"/>
      <x:c r="J480" s="19"/>
      <x:c r="K480" s="19"/>
      <x:c r="L480" s="92" t="str">
        <x:f>IF($A480="","",IF(COUNTIFS('Orders'!$C$2:$C$500,$A480,'Orders'!$M$2:$M$500,"&lt;&gt;cancelled")=0,"",MAXIFS('Orders'!$G$2:$G$500,'Orders'!$C$2:$C$500,$A480,'Orders'!$M$2:$M$500,"&lt;&gt;cancelled")))</x:f>
      </x:c>
      <x:c r="M480" s="96" t="str">
        <x:f>IF($A480="","",SUMIFS('Orders'!$K$2:$K$500,'Orders'!$C$2:$C$500,$A480,'Orders'!$M$2:$M$500,"&lt;&gt;cancelled"))</x:f>
      </x:c>
      <x:c r="N480" s="96" t="str">
        <x:f>IF($A480="","",COUNTIFS('Orders'!$C$2:$C$500,$A480,'Orders'!$M$2:$M$500,"&lt;&gt;cancelled"))</x:f>
      </x:c>
      <x:c r="O480" s="100" t="str">
        <x:f>IF($A480="","",IF(COUNTIF('Interactions'!$B$2:$B$500,$A480)=0,"",MAXIFS('Interactions'!$G$2:$G$500,'Interactions'!$B$2:$B$500,$A480)))</x:f>
      </x:c>
      <x:c r="P480" s="100" t="str">
        <x:f>IF($A480="","",IF(COUNTIFS('FollowUps'!$B$2:$B$500,$A480,'FollowUps'!$H$2:$H$500,"open")=0,"",MINIFS('FollowUps'!$E$2:$E$500,'FollowUps'!$B$2:$B$500,$A480,'FollowUps'!$H$2:$H$500,"open")))</x:f>
      </x:c>
      <x:c r="Q480" s="104" t="str">
        <x:f>IF($A480="","",ROUND(MIN(25,$N480/VALUE(INDEX('Settings'!$B$2:$B$100,MATCH("score_purchase_target",'Settings'!$A$2:$A$100,0)))*25)+MIN(25,$M480/VALUE(INDEX('Settings'!$B$2:$B$100,MATCH("score_value_target",'Settings'!$A$2:$A$100,0)))*25)+IF($L480="",0,MAX(0,25-(TODAY()-$L480)/VALUE(INDEX('Settings'!$B$2:$B$100,MATCH("score_recency_days",'Settings'!$A$2:$A$100,0)))*25))+MIN(15,COUNTIFS('FollowUps'!$B$2:$B$500,$A480,'FollowUps'!$H$2:$H$500,"done")/VALUE(INDEX('Settings'!$B$2:$B$100,MATCH("score_response_target",'Settings'!$A$2:$A$100,0)))*15)+IF(COUNTIFS('Interactions'!$B$2:$B$500,$A480,'Interactions'!$E$2:$E$500,"complaint")=0,10,0),0))</x:f>
      </x:c>
      <x:c r="R480" s="108" t="str">
        <x:f>IF($A480="","",IF($J480="inactive","inactive",IF($J480="at_risk","at_risk",IF($Q480&gt;=85,"vip",IF($Q480&gt;=70,"loyal",IF($Q480&gt;=50,"active",IF($N480=0,"new","needs_attention")))))))</x:f>
      </x:c>
      <x:c r="S480" s="19"/>
      <x:c r="T480" s="18"/>
      <x:c r="U480" s="19"/>
      <x:c r="V480" s="20"/>
      <x:c r="W480" s="26"/>
      <x:c r="X480" s="19"/>
      <x:c r="Y480" s="26"/>
      <x:c r="Z480" s="19"/>
      <x:c r="AA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20"/>
      <x:c r="J481" s="19"/>
      <x:c r="K481" s="19"/>
      <x:c r="L481" s="92" t="str">
        <x:f>IF($A481="","",IF(COUNTIFS('Orders'!$C$2:$C$500,$A481,'Orders'!$M$2:$M$500,"&lt;&gt;cancelled")=0,"",MAXIFS('Orders'!$G$2:$G$500,'Orders'!$C$2:$C$500,$A481,'Orders'!$M$2:$M$500,"&lt;&gt;cancelled")))</x:f>
      </x:c>
      <x:c r="M481" s="96" t="str">
        <x:f>IF($A481="","",SUMIFS('Orders'!$K$2:$K$500,'Orders'!$C$2:$C$500,$A481,'Orders'!$M$2:$M$500,"&lt;&gt;cancelled"))</x:f>
      </x:c>
      <x:c r="N481" s="96" t="str">
        <x:f>IF($A481="","",COUNTIFS('Orders'!$C$2:$C$500,$A481,'Orders'!$M$2:$M$500,"&lt;&gt;cancelled"))</x:f>
      </x:c>
      <x:c r="O481" s="100" t="str">
        <x:f>IF($A481="","",IF(COUNTIF('Interactions'!$B$2:$B$500,$A481)=0,"",MAXIFS('Interactions'!$G$2:$G$500,'Interactions'!$B$2:$B$500,$A481)))</x:f>
      </x:c>
      <x:c r="P481" s="100" t="str">
        <x:f>IF($A481="","",IF(COUNTIFS('FollowUps'!$B$2:$B$500,$A481,'FollowUps'!$H$2:$H$500,"open")=0,"",MINIFS('FollowUps'!$E$2:$E$500,'FollowUps'!$B$2:$B$500,$A481,'FollowUps'!$H$2:$H$500,"open")))</x:f>
      </x:c>
      <x:c r="Q481" s="104" t="str">
        <x:f>IF($A481="","",ROUND(MIN(25,$N481/VALUE(INDEX('Settings'!$B$2:$B$100,MATCH("score_purchase_target",'Settings'!$A$2:$A$100,0)))*25)+MIN(25,$M481/VALUE(INDEX('Settings'!$B$2:$B$100,MATCH("score_value_target",'Settings'!$A$2:$A$100,0)))*25)+IF($L481="",0,MAX(0,25-(TODAY()-$L481)/VALUE(INDEX('Settings'!$B$2:$B$100,MATCH("score_recency_days",'Settings'!$A$2:$A$100,0)))*25))+MIN(15,COUNTIFS('FollowUps'!$B$2:$B$500,$A481,'FollowUps'!$H$2:$H$500,"done")/VALUE(INDEX('Settings'!$B$2:$B$100,MATCH("score_response_target",'Settings'!$A$2:$A$100,0)))*15)+IF(COUNTIFS('Interactions'!$B$2:$B$500,$A481,'Interactions'!$E$2:$E$500,"complaint")=0,10,0),0))</x:f>
      </x:c>
      <x:c r="R481" s="108" t="str">
        <x:f>IF($A481="","",IF($J481="inactive","inactive",IF($J481="at_risk","at_risk",IF($Q481&gt;=85,"vip",IF($Q481&gt;=70,"loyal",IF($Q481&gt;=50,"active",IF($N481=0,"new","needs_attention")))))))</x:f>
      </x:c>
      <x:c r="S481" s="19"/>
      <x:c r="T481" s="18"/>
      <x:c r="U481" s="19"/>
      <x:c r="V481" s="20"/>
      <x:c r="W481" s="26"/>
      <x:c r="X481" s="19"/>
      <x:c r="Y481" s="26"/>
      <x:c r="Z481" s="19"/>
      <x:c r="AA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20"/>
      <x:c r="J482" s="19"/>
      <x:c r="K482" s="19"/>
      <x:c r="L482" s="92" t="str">
        <x:f>IF($A482="","",IF(COUNTIFS('Orders'!$C$2:$C$500,$A482,'Orders'!$M$2:$M$500,"&lt;&gt;cancelled")=0,"",MAXIFS('Orders'!$G$2:$G$500,'Orders'!$C$2:$C$500,$A482,'Orders'!$M$2:$M$500,"&lt;&gt;cancelled")))</x:f>
      </x:c>
      <x:c r="M482" s="96" t="str">
        <x:f>IF($A482="","",SUMIFS('Orders'!$K$2:$K$500,'Orders'!$C$2:$C$500,$A482,'Orders'!$M$2:$M$500,"&lt;&gt;cancelled"))</x:f>
      </x:c>
      <x:c r="N482" s="96" t="str">
        <x:f>IF($A482="","",COUNTIFS('Orders'!$C$2:$C$500,$A482,'Orders'!$M$2:$M$500,"&lt;&gt;cancelled"))</x:f>
      </x:c>
      <x:c r="O482" s="100" t="str">
        <x:f>IF($A482="","",IF(COUNTIF('Interactions'!$B$2:$B$500,$A482)=0,"",MAXIFS('Interactions'!$G$2:$G$500,'Interactions'!$B$2:$B$500,$A482)))</x:f>
      </x:c>
      <x:c r="P482" s="100" t="str">
        <x:f>IF($A482="","",IF(COUNTIFS('FollowUps'!$B$2:$B$500,$A482,'FollowUps'!$H$2:$H$500,"open")=0,"",MINIFS('FollowUps'!$E$2:$E$500,'FollowUps'!$B$2:$B$500,$A482,'FollowUps'!$H$2:$H$500,"open")))</x:f>
      </x:c>
      <x:c r="Q482" s="104" t="str">
        <x:f>IF($A482="","",ROUND(MIN(25,$N482/VALUE(INDEX('Settings'!$B$2:$B$100,MATCH("score_purchase_target",'Settings'!$A$2:$A$100,0)))*25)+MIN(25,$M482/VALUE(INDEX('Settings'!$B$2:$B$100,MATCH("score_value_target",'Settings'!$A$2:$A$100,0)))*25)+IF($L482="",0,MAX(0,25-(TODAY()-$L482)/VALUE(INDEX('Settings'!$B$2:$B$100,MATCH("score_recency_days",'Settings'!$A$2:$A$100,0)))*25))+MIN(15,COUNTIFS('FollowUps'!$B$2:$B$500,$A482,'FollowUps'!$H$2:$H$500,"done")/VALUE(INDEX('Settings'!$B$2:$B$100,MATCH("score_response_target",'Settings'!$A$2:$A$100,0)))*15)+IF(COUNTIFS('Interactions'!$B$2:$B$500,$A482,'Interactions'!$E$2:$E$500,"complaint")=0,10,0),0))</x:f>
      </x:c>
      <x:c r="R482" s="108" t="str">
        <x:f>IF($A482="","",IF($J482="inactive","inactive",IF($J482="at_risk","at_risk",IF($Q482&gt;=85,"vip",IF($Q482&gt;=70,"loyal",IF($Q482&gt;=50,"active",IF($N482=0,"new","needs_attention")))))))</x:f>
      </x:c>
      <x:c r="S482" s="19"/>
      <x:c r="T482" s="18"/>
      <x:c r="U482" s="19"/>
      <x:c r="V482" s="20"/>
      <x:c r="W482" s="26"/>
      <x:c r="X482" s="19"/>
      <x:c r="Y482" s="26"/>
      <x:c r="Z482" s="19"/>
      <x:c r="AA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20"/>
      <x:c r="J483" s="19"/>
      <x:c r="K483" s="19"/>
      <x:c r="L483" s="92" t="str">
        <x:f>IF($A483="","",IF(COUNTIFS('Orders'!$C$2:$C$500,$A483,'Orders'!$M$2:$M$500,"&lt;&gt;cancelled")=0,"",MAXIFS('Orders'!$G$2:$G$500,'Orders'!$C$2:$C$500,$A483,'Orders'!$M$2:$M$500,"&lt;&gt;cancelled")))</x:f>
      </x:c>
      <x:c r="M483" s="96" t="str">
        <x:f>IF($A483="","",SUMIFS('Orders'!$K$2:$K$500,'Orders'!$C$2:$C$500,$A483,'Orders'!$M$2:$M$500,"&lt;&gt;cancelled"))</x:f>
      </x:c>
      <x:c r="N483" s="96" t="str">
        <x:f>IF($A483="","",COUNTIFS('Orders'!$C$2:$C$500,$A483,'Orders'!$M$2:$M$500,"&lt;&gt;cancelled"))</x:f>
      </x:c>
      <x:c r="O483" s="100" t="str">
        <x:f>IF($A483="","",IF(COUNTIF('Interactions'!$B$2:$B$500,$A483)=0,"",MAXIFS('Interactions'!$G$2:$G$500,'Interactions'!$B$2:$B$500,$A483)))</x:f>
      </x:c>
      <x:c r="P483" s="100" t="str">
        <x:f>IF($A483="","",IF(COUNTIFS('FollowUps'!$B$2:$B$500,$A483,'FollowUps'!$H$2:$H$500,"open")=0,"",MINIFS('FollowUps'!$E$2:$E$500,'FollowUps'!$B$2:$B$500,$A483,'FollowUps'!$H$2:$H$500,"open")))</x:f>
      </x:c>
      <x:c r="Q483" s="104" t="str">
        <x:f>IF($A483="","",ROUND(MIN(25,$N483/VALUE(INDEX('Settings'!$B$2:$B$100,MATCH("score_purchase_target",'Settings'!$A$2:$A$100,0)))*25)+MIN(25,$M483/VALUE(INDEX('Settings'!$B$2:$B$100,MATCH("score_value_target",'Settings'!$A$2:$A$100,0)))*25)+IF($L483="",0,MAX(0,25-(TODAY()-$L483)/VALUE(INDEX('Settings'!$B$2:$B$100,MATCH("score_recency_days",'Settings'!$A$2:$A$100,0)))*25))+MIN(15,COUNTIFS('FollowUps'!$B$2:$B$500,$A483,'FollowUps'!$H$2:$H$500,"done")/VALUE(INDEX('Settings'!$B$2:$B$100,MATCH("score_response_target",'Settings'!$A$2:$A$100,0)))*15)+IF(COUNTIFS('Interactions'!$B$2:$B$500,$A483,'Interactions'!$E$2:$E$500,"complaint")=0,10,0),0))</x:f>
      </x:c>
      <x:c r="R483" s="108" t="str">
        <x:f>IF($A483="","",IF($J483="inactive","inactive",IF($J483="at_risk","at_risk",IF($Q483&gt;=85,"vip",IF($Q483&gt;=70,"loyal",IF($Q483&gt;=50,"active",IF($N483=0,"new","needs_attention")))))))</x:f>
      </x:c>
      <x:c r="S483" s="19"/>
      <x:c r="T483" s="18"/>
      <x:c r="U483" s="19"/>
      <x:c r="V483" s="20"/>
      <x:c r="W483" s="26"/>
      <x:c r="X483" s="19"/>
      <x:c r="Y483" s="26"/>
      <x:c r="Z483" s="19"/>
      <x:c r="AA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20"/>
      <x:c r="J484" s="19"/>
      <x:c r="K484" s="19"/>
      <x:c r="L484" s="92" t="str">
        <x:f>IF($A484="","",IF(COUNTIFS('Orders'!$C$2:$C$500,$A484,'Orders'!$M$2:$M$500,"&lt;&gt;cancelled")=0,"",MAXIFS('Orders'!$G$2:$G$500,'Orders'!$C$2:$C$500,$A484,'Orders'!$M$2:$M$500,"&lt;&gt;cancelled")))</x:f>
      </x:c>
      <x:c r="M484" s="96" t="str">
        <x:f>IF($A484="","",SUMIFS('Orders'!$K$2:$K$500,'Orders'!$C$2:$C$500,$A484,'Orders'!$M$2:$M$500,"&lt;&gt;cancelled"))</x:f>
      </x:c>
      <x:c r="N484" s="96" t="str">
        <x:f>IF($A484="","",COUNTIFS('Orders'!$C$2:$C$500,$A484,'Orders'!$M$2:$M$500,"&lt;&gt;cancelled"))</x:f>
      </x:c>
      <x:c r="O484" s="100" t="str">
        <x:f>IF($A484="","",IF(COUNTIF('Interactions'!$B$2:$B$500,$A484)=0,"",MAXIFS('Interactions'!$G$2:$G$500,'Interactions'!$B$2:$B$500,$A484)))</x:f>
      </x:c>
      <x:c r="P484" s="100" t="str">
        <x:f>IF($A484="","",IF(COUNTIFS('FollowUps'!$B$2:$B$500,$A484,'FollowUps'!$H$2:$H$500,"open")=0,"",MINIFS('FollowUps'!$E$2:$E$500,'FollowUps'!$B$2:$B$500,$A484,'FollowUps'!$H$2:$H$500,"open")))</x:f>
      </x:c>
      <x:c r="Q484" s="104" t="str">
        <x:f>IF($A484="","",ROUND(MIN(25,$N484/VALUE(INDEX('Settings'!$B$2:$B$100,MATCH("score_purchase_target",'Settings'!$A$2:$A$100,0)))*25)+MIN(25,$M484/VALUE(INDEX('Settings'!$B$2:$B$100,MATCH("score_value_target",'Settings'!$A$2:$A$100,0)))*25)+IF($L484="",0,MAX(0,25-(TODAY()-$L484)/VALUE(INDEX('Settings'!$B$2:$B$100,MATCH("score_recency_days",'Settings'!$A$2:$A$100,0)))*25))+MIN(15,COUNTIFS('FollowUps'!$B$2:$B$500,$A484,'FollowUps'!$H$2:$H$500,"done")/VALUE(INDEX('Settings'!$B$2:$B$100,MATCH("score_response_target",'Settings'!$A$2:$A$100,0)))*15)+IF(COUNTIFS('Interactions'!$B$2:$B$500,$A484,'Interactions'!$E$2:$E$500,"complaint")=0,10,0),0))</x:f>
      </x:c>
      <x:c r="R484" s="108" t="str">
        <x:f>IF($A484="","",IF($J484="inactive","inactive",IF($J484="at_risk","at_risk",IF($Q484&gt;=85,"vip",IF($Q484&gt;=70,"loyal",IF($Q484&gt;=50,"active",IF($N484=0,"new","needs_attention")))))))</x:f>
      </x:c>
      <x:c r="S484" s="19"/>
      <x:c r="T484" s="18"/>
      <x:c r="U484" s="19"/>
      <x:c r="V484" s="20"/>
      <x:c r="W484" s="26"/>
      <x:c r="X484" s="19"/>
      <x:c r="Y484" s="26"/>
      <x:c r="Z484" s="19"/>
      <x:c r="AA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20"/>
      <x:c r="J485" s="19"/>
      <x:c r="K485" s="19"/>
      <x:c r="L485" s="92" t="str">
        <x:f>IF($A485="","",IF(COUNTIFS('Orders'!$C$2:$C$500,$A485,'Orders'!$M$2:$M$500,"&lt;&gt;cancelled")=0,"",MAXIFS('Orders'!$G$2:$G$500,'Orders'!$C$2:$C$500,$A485,'Orders'!$M$2:$M$500,"&lt;&gt;cancelled")))</x:f>
      </x:c>
      <x:c r="M485" s="96" t="str">
        <x:f>IF($A485="","",SUMIFS('Orders'!$K$2:$K$500,'Orders'!$C$2:$C$500,$A485,'Orders'!$M$2:$M$500,"&lt;&gt;cancelled"))</x:f>
      </x:c>
      <x:c r="N485" s="96" t="str">
        <x:f>IF($A485="","",COUNTIFS('Orders'!$C$2:$C$500,$A485,'Orders'!$M$2:$M$500,"&lt;&gt;cancelled"))</x:f>
      </x:c>
      <x:c r="O485" s="100" t="str">
        <x:f>IF($A485="","",IF(COUNTIF('Interactions'!$B$2:$B$500,$A485)=0,"",MAXIFS('Interactions'!$G$2:$G$500,'Interactions'!$B$2:$B$500,$A485)))</x:f>
      </x:c>
      <x:c r="P485" s="100" t="str">
        <x:f>IF($A485="","",IF(COUNTIFS('FollowUps'!$B$2:$B$500,$A485,'FollowUps'!$H$2:$H$500,"open")=0,"",MINIFS('FollowUps'!$E$2:$E$500,'FollowUps'!$B$2:$B$500,$A485,'FollowUps'!$H$2:$H$500,"open")))</x:f>
      </x:c>
      <x:c r="Q485" s="104" t="str">
        <x:f>IF($A485="","",ROUND(MIN(25,$N485/VALUE(INDEX('Settings'!$B$2:$B$100,MATCH("score_purchase_target",'Settings'!$A$2:$A$100,0)))*25)+MIN(25,$M485/VALUE(INDEX('Settings'!$B$2:$B$100,MATCH("score_value_target",'Settings'!$A$2:$A$100,0)))*25)+IF($L485="",0,MAX(0,25-(TODAY()-$L485)/VALUE(INDEX('Settings'!$B$2:$B$100,MATCH("score_recency_days",'Settings'!$A$2:$A$100,0)))*25))+MIN(15,COUNTIFS('FollowUps'!$B$2:$B$500,$A485,'FollowUps'!$H$2:$H$500,"done")/VALUE(INDEX('Settings'!$B$2:$B$100,MATCH("score_response_target",'Settings'!$A$2:$A$100,0)))*15)+IF(COUNTIFS('Interactions'!$B$2:$B$500,$A485,'Interactions'!$E$2:$E$500,"complaint")=0,10,0),0))</x:f>
      </x:c>
      <x:c r="R485" s="108" t="str">
        <x:f>IF($A485="","",IF($J485="inactive","inactive",IF($J485="at_risk","at_risk",IF($Q485&gt;=85,"vip",IF($Q485&gt;=70,"loyal",IF($Q485&gt;=50,"active",IF($N485=0,"new","needs_attention")))))))</x:f>
      </x:c>
      <x:c r="S485" s="19"/>
      <x:c r="T485" s="18"/>
      <x:c r="U485" s="19"/>
      <x:c r="V485" s="20"/>
      <x:c r="W485" s="26"/>
      <x:c r="X485" s="19"/>
      <x:c r="Y485" s="26"/>
      <x:c r="Z485" s="19"/>
      <x:c r="AA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20"/>
      <x:c r="J486" s="19"/>
      <x:c r="K486" s="19"/>
      <x:c r="L486" s="92" t="str">
        <x:f>IF($A486="","",IF(COUNTIFS('Orders'!$C$2:$C$500,$A486,'Orders'!$M$2:$M$500,"&lt;&gt;cancelled")=0,"",MAXIFS('Orders'!$G$2:$G$500,'Orders'!$C$2:$C$500,$A486,'Orders'!$M$2:$M$500,"&lt;&gt;cancelled")))</x:f>
      </x:c>
      <x:c r="M486" s="96" t="str">
        <x:f>IF($A486="","",SUMIFS('Orders'!$K$2:$K$500,'Orders'!$C$2:$C$500,$A486,'Orders'!$M$2:$M$500,"&lt;&gt;cancelled"))</x:f>
      </x:c>
      <x:c r="N486" s="96" t="str">
        <x:f>IF($A486="","",COUNTIFS('Orders'!$C$2:$C$500,$A486,'Orders'!$M$2:$M$500,"&lt;&gt;cancelled"))</x:f>
      </x:c>
      <x:c r="O486" s="100" t="str">
        <x:f>IF($A486="","",IF(COUNTIF('Interactions'!$B$2:$B$500,$A486)=0,"",MAXIFS('Interactions'!$G$2:$G$500,'Interactions'!$B$2:$B$500,$A486)))</x:f>
      </x:c>
      <x:c r="P486" s="100" t="str">
        <x:f>IF($A486="","",IF(COUNTIFS('FollowUps'!$B$2:$B$500,$A486,'FollowUps'!$H$2:$H$500,"open")=0,"",MINIFS('FollowUps'!$E$2:$E$500,'FollowUps'!$B$2:$B$500,$A486,'FollowUps'!$H$2:$H$500,"open")))</x:f>
      </x:c>
      <x:c r="Q486" s="104" t="str">
        <x:f>IF($A486="","",ROUND(MIN(25,$N486/VALUE(INDEX('Settings'!$B$2:$B$100,MATCH("score_purchase_target",'Settings'!$A$2:$A$100,0)))*25)+MIN(25,$M486/VALUE(INDEX('Settings'!$B$2:$B$100,MATCH("score_value_target",'Settings'!$A$2:$A$100,0)))*25)+IF($L486="",0,MAX(0,25-(TODAY()-$L486)/VALUE(INDEX('Settings'!$B$2:$B$100,MATCH("score_recency_days",'Settings'!$A$2:$A$100,0)))*25))+MIN(15,COUNTIFS('FollowUps'!$B$2:$B$500,$A486,'FollowUps'!$H$2:$H$500,"done")/VALUE(INDEX('Settings'!$B$2:$B$100,MATCH("score_response_target",'Settings'!$A$2:$A$100,0)))*15)+IF(COUNTIFS('Interactions'!$B$2:$B$500,$A486,'Interactions'!$E$2:$E$500,"complaint")=0,10,0),0))</x:f>
      </x:c>
      <x:c r="R486" s="108" t="str">
        <x:f>IF($A486="","",IF($J486="inactive","inactive",IF($J486="at_risk","at_risk",IF($Q486&gt;=85,"vip",IF($Q486&gt;=70,"loyal",IF($Q486&gt;=50,"active",IF($N486=0,"new","needs_attention")))))))</x:f>
      </x:c>
      <x:c r="S486" s="19"/>
      <x:c r="T486" s="18"/>
      <x:c r="U486" s="19"/>
      <x:c r="V486" s="20"/>
      <x:c r="W486" s="26"/>
      <x:c r="X486" s="19"/>
      <x:c r="Y486" s="26"/>
      <x:c r="Z486" s="19"/>
      <x:c r="AA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20"/>
      <x:c r="J487" s="19"/>
      <x:c r="K487" s="19"/>
      <x:c r="L487" s="92" t="str">
        <x:f>IF($A487="","",IF(COUNTIFS('Orders'!$C$2:$C$500,$A487,'Orders'!$M$2:$M$500,"&lt;&gt;cancelled")=0,"",MAXIFS('Orders'!$G$2:$G$500,'Orders'!$C$2:$C$500,$A487,'Orders'!$M$2:$M$500,"&lt;&gt;cancelled")))</x:f>
      </x:c>
      <x:c r="M487" s="96" t="str">
        <x:f>IF($A487="","",SUMIFS('Orders'!$K$2:$K$500,'Orders'!$C$2:$C$500,$A487,'Orders'!$M$2:$M$500,"&lt;&gt;cancelled"))</x:f>
      </x:c>
      <x:c r="N487" s="96" t="str">
        <x:f>IF($A487="","",COUNTIFS('Orders'!$C$2:$C$500,$A487,'Orders'!$M$2:$M$500,"&lt;&gt;cancelled"))</x:f>
      </x:c>
      <x:c r="O487" s="100" t="str">
        <x:f>IF($A487="","",IF(COUNTIF('Interactions'!$B$2:$B$500,$A487)=0,"",MAXIFS('Interactions'!$G$2:$G$500,'Interactions'!$B$2:$B$500,$A487)))</x:f>
      </x:c>
      <x:c r="P487" s="100" t="str">
        <x:f>IF($A487="","",IF(COUNTIFS('FollowUps'!$B$2:$B$500,$A487,'FollowUps'!$H$2:$H$500,"open")=0,"",MINIFS('FollowUps'!$E$2:$E$500,'FollowUps'!$B$2:$B$500,$A487,'FollowUps'!$H$2:$H$500,"open")))</x:f>
      </x:c>
      <x:c r="Q487" s="104" t="str">
        <x:f>IF($A487="","",ROUND(MIN(25,$N487/VALUE(INDEX('Settings'!$B$2:$B$100,MATCH("score_purchase_target",'Settings'!$A$2:$A$100,0)))*25)+MIN(25,$M487/VALUE(INDEX('Settings'!$B$2:$B$100,MATCH("score_value_target",'Settings'!$A$2:$A$100,0)))*25)+IF($L487="",0,MAX(0,25-(TODAY()-$L487)/VALUE(INDEX('Settings'!$B$2:$B$100,MATCH("score_recency_days",'Settings'!$A$2:$A$100,0)))*25))+MIN(15,COUNTIFS('FollowUps'!$B$2:$B$500,$A487,'FollowUps'!$H$2:$H$500,"done")/VALUE(INDEX('Settings'!$B$2:$B$100,MATCH("score_response_target",'Settings'!$A$2:$A$100,0)))*15)+IF(COUNTIFS('Interactions'!$B$2:$B$500,$A487,'Interactions'!$E$2:$E$500,"complaint")=0,10,0),0))</x:f>
      </x:c>
      <x:c r="R487" s="108" t="str">
        <x:f>IF($A487="","",IF($J487="inactive","inactive",IF($J487="at_risk","at_risk",IF($Q487&gt;=85,"vip",IF($Q487&gt;=70,"loyal",IF($Q487&gt;=50,"active",IF($N487=0,"new","needs_attention")))))))</x:f>
      </x:c>
      <x:c r="S487" s="19"/>
      <x:c r="T487" s="18"/>
      <x:c r="U487" s="19"/>
      <x:c r="V487" s="20"/>
      <x:c r="W487" s="26"/>
      <x:c r="X487" s="19"/>
      <x:c r="Y487" s="26"/>
      <x:c r="Z487" s="19"/>
      <x:c r="AA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20"/>
      <x:c r="J488" s="19"/>
      <x:c r="K488" s="19"/>
      <x:c r="L488" s="92" t="str">
        <x:f>IF($A488="","",IF(COUNTIFS('Orders'!$C$2:$C$500,$A488,'Orders'!$M$2:$M$500,"&lt;&gt;cancelled")=0,"",MAXIFS('Orders'!$G$2:$G$500,'Orders'!$C$2:$C$500,$A488,'Orders'!$M$2:$M$500,"&lt;&gt;cancelled")))</x:f>
      </x:c>
      <x:c r="M488" s="96" t="str">
        <x:f>IF($A488="","",SUMIFS('Orders'!$K$2:$K$500,'Orders'!$C$2:$C$500,$A488,'Orders'!$M$2:$M$500,"&lt;&gt;cancelled"))</x:f>
      </x:c>
      <x:c r="N488" s="96" t="str">
        <x:f>IF($A488="","",COUNTIFS('Orders'!$C$2:$C$500,$A488,'Orders'!$M$2:$M$500,"&lt;&gt;cancelled"))</x:f>
      </x:c>
      <x:c r="O488" s="100" t="str">
        <x:f>IF($A488="","",IF(COUNTIF('Interactions'!$B$2:$B$500,$A488)=0,"",MAXIFS('Interactions'!$G$2:$G$500,'Interactions'!$B$2:$B$500,$A488)))</x:f>
      </x:c>
      <x:c r="P488" s="100" t="str">
        <x:f>IF($A488="","",IF(COUNTIFS('FollowUps'!$B$2:$B$500,$A488,'FollowUps'!$H$2:$H$500,"open")=0,"",MINIFS('FollowUps'!$E$2:$E$500,'FollowUps'!$B$2:$B$500,$A488,'FollowUps'!$H$2:$H$500,"open")))</x:f>
      </x:c>
      <x:c r="Q488" s="104" t="str">
        <x:f>IF($A488="","",ROUND(MIN(25,$N488/VALUE(INDEX('Settings'!$B$2:$B$100,MATCH("score_purchase_target",'Settings'!$A$2:$A$100,0)))*25)+MIN(25,$M488/VALUE(INDEX('Settings'!$B$2:$B$100,MATCH("score_value_target",'Settings'!$A$2:$A$100,0)))*25)+IF($L488="",0,MAX(0,25-(TODAY()-$L488)/VALUE(INDEX('Settings'!$B$2:$B$100,MATCH("score_recency_days",'Settings'!$A$2:$A$100,0)))*25))+MIN(15,COUNTIFS('FollowUps'!$B$2:$B$500,$A488,'FollowUps'!$H$2:$H$500,"done")/VALUE(INDEX('Settings'!$B$2:$B$100,MATCH("score_response_target",'Settings'!$A$2:$A$100,0)))*15)+IF(COUNTIFS('Interactions'!$B$2:$B$500,$A488,'Interactions'!$E$2:$E$500,"complaint")=0,10,0),0))</x:f>
      </x:c>
      <x:c r="R488" s="108" t="str">
        <x:f>IF($A488="","",IF($J488="inactive","inactive",IF($J488="at_risk","at_risk",IF($Q488&gt;=85,"vip",IF($Q488&gt;=70,"loyal",IF($Q488&gt;=50,"active",IF($N488=0,"new","needs_attention")))))))</x:f>
      </x:c>
      <x:c r="S488" s="19"/>
      <x:c r="T488" s="18"/>
      <x:c r="U488" s="19"/>
      <x:c r="V488" s="20"/>
      <x:c r="W488" s="26"/>
      <x:c r="X488" s="19"/>
      <x:c r="Y488" s="26"/>
      <x:c r="Z488" s="19"/>
      <x:c r="AA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20"/>
      <x:c r="J489" s="19"/>
      <x:c r="K489" s="19"/>
      <x:c r="L489" s="92" t="str">
        <x:f>IF($A489="","",IF(COUNTIFS('Orders'!$C$2:$C$500,$A489,'Orders'!$M$2:$M$500,"&lt;&gt;cancelled")=0,"",MAXIFS('Orders'!$G$2:$G$500,'Orders'!$C$2:$C$500,$A489,'Orders'!$M$2:$M$500,"&lt;&gt;cancelled")))</x:f>
      </x:c>
      <x:c r="M489" s="96" t="str">
        <x:f>IF($A489="","",SUMIFS('Orders'!$K$2:$K$500,'Orders'!$C$2:$C$500,$A489,'Orders'!$M$2:$M$500,"&lt;&gt;cancelled"))</x:f>
      </x:c>
      <x:c r="N489" s="96" t="str">
        <x:f>IF($A489="","",COUNTIFS('Orders'!$C$2:$C$500,$A489,'Orders'!$M$2:$M$500,"&lt;&gt;cancelled"))</x:f>
      </x:c>
      <x:c r="O489" s="100" t="str">
        <x:f>IF($A489="","",IF(COUNTIF('Interactions'!$B$2:$B$500,$A489)=0,"",MAXIFS('Interactions'!$G$2:$G$500,'Interactions'!$B$2:$B$500,$A489)))</x:f>
      </x:c>
      <x:c r="P489" s="100" t="str">
        <x:f>IF($A489="","",IF(COUNTIFS('FollowUps'!$B$2:$B$500,$A489,'FollowUps'!$H$2:$H$500,"open")=0,"",MINIFS('FollowUps'!$E$2:$E$500,'FollowUps'!$B$2:$B$500,$A489,'FollowUps'!$H$2:$H$500,"open")))</x:f>
      </x:c>
      <x:c r="Q489" s="104" t="str">
        <x:f>IF($A489="","",ROUND(MIN(25,$N489/VALUE(INDEX('Settings'!$B$2:$B$100,MATCH("score_purchase_target",'Settings'!$A$2:$A$100,0)))*25)+MIN(25,$M489/VALUE(INDEX('Settings'!$B$2:$B$100,MATCH("score_value_target",'Settings'!$A$2:$A$100,0)))*25)+IF($L489="",0,MAX(0,25-(TODAY()-$L489)/VALUE(INDEX('Settings'!$B$2:$B$100,MATCH("score_recency_days",'Settings'!$A$2:$A$100,0)))*25))+MIN(15,COUNTIFS('FollowUps'!$B$2:$B$500,$A489,'FollowUps'!$H$2:$H$500,"done")/VALUE(INDEX('Settings'!$B$2:$B$100,MATCH("score_response_target",'Settings'!$A$2:$A$100,0)))*15)+IF(COUNTIFS('Interactions'!$B$2:$B$500,$A489,'Interactions'!$E$2:$E$500,"complaint")=0,10,0),0))</x:f>
      </x:c>
      <x:c r="R489" s="108" t="str">
        <x:f>IF($A489="","",IF($J489="inactive","inactive",IF($J489="at_risk","at_risk",IF($Q489&gt;=85,"vip",IF($Q489&gt;=70,"loyal",IF($Q489&gt;=50,"active",IF($N489=0,"new","needs_attention")))))))</x:f>
      </x:c>
      <x:c r="S489" s="19"/>
      <x:c r="T489" s="18"/>
      <x:c r="U489" s="19"/>
      <x:c r="V489" s="20"/>
      <x:c r="W489" s="26"/>
      <x:c r="X489" s="19"/>
      <x:c r="Y489" s="26"/>
      <x:c r="Z489" s="19"/>
      <x:c r="AA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20"/>
      <x:c r="J490" s="19"/>
      <x:c r="K490" s="19"/>
      <x:c r="L490" s="92" t="str">
        <x:f>IF($A490="","",IF(COUNTIFS('Orders'!$C$2:$C$500,$A490,'Orders'!$M$2:$M$500,"&lt;&gt;cancelled")=0,"",MAXIFS('Orders'!$G$2:$G$500,'Orders'!$C$2:$C$500,$A490,'Orders'!$M$2:$M$500,"&lt;&gt;cancelled")))</x:f>
      </x:c>
      <x:c r="M490" s="96" t="str">
        <x:f>IF($A490="","",SUMIFS('Orders'!$K$2:$K$500,'Orders'!$C$2:$C$500,$A490,'Orders'!$M$2:$M$500,"&lt;&gt;cancelled"))</x:f>
      </x:c>
      <x:c r="N490" s="96" t="str">
        <x:f>IF($A490="","",COUNTIFS('Orders'!$C$2:$C$500,$A490,'Orders'!$M$2:$M$500,"&lt;&gt;cancelled"))</x:f>
      </x:c>
      <x:c r="O490" s="100" t="str">
        <x:f>IF($A490="","",IF(COUNTIF('Interactions'!$B$2:$B$500,$A490)=0,"",MAXIFS('Interactions'!$G$2:$G$500,'Interactions'!$B$2:$B$500,$A490)))</x:f>
      </x:c>
      <x:c r="P490" s="100" t="str">
        <x:f>IF($A490="","",IF(COUNTIFS('FollowUps'!$B$2:$B$500,$A490,'FollowUps'!$H$2:$H$500,"open")=0,"",MINIFS('FollowUps'!$E$2:$E$500,'FollowUps'!$B$2:$B$500,$A490,'FollowUps'!$H$2:$H$500,"open")))</x:f>
      </x:c>
      <x:c r="Q490" s="104" t="str">
        <x:f>IF($A490="","",ROUND(MIN(25,$N490/VALUE(INDEX('Settings'!$B$2:$B$100,MATCH("score_purchase_target",'Settings'!$A$2:$A$100,0)))*25)+MIN(25,$M490/VALUE(INDEX('Settings'!$B$2:$B$100,MATCH("score_value_target",'Settings'!$A$2:$A$100,0)))*25)+IF($L490="",0,MAX(0,25-(TODAY()-$L490)/VALUE(INDEX('Settings'!$B$2:$B$100,MATCH("score_recency_days",'Settings'!$A$2:$A$100,0)))*25))+MIN(15,COUNTIFS('FollowUps'!$B$2:$B$500,$A490,'FollowUps'!$H$2:$H$500,"done")/VALUE(INDEX('Settings'!$B$2:$B$100,MATCH("score_response_target",'Settings'!$A$2:$A$100,0)))*15)+IF(COUNTIFS('Interactions'!$B$2:$B$500,$A490,'Interactions'!$E$2:$E$500,"complaint")=0,10,0),0))</x:f>
      </x:c>
      <x:c r="R490" s="108" t="str">
        <x:f>IF($A490="","",IF($J490="inactive","inactive",IF($J490="at_risk","at_risk",IF($Q490&gt;=85,"vip",IF($Q490&gt;=70,"loyal",IF($Q490&gt;=50,"active",IF($N490=0,"new","needs_attention")))))))</x:f>
      </x:c>
      <x:c r="S490" s="19"/>
      <x:c r="T490" s="18"/>
      <x:c r="U490" s="19"/>
      <x:c r="V490" s="20"/>
      <x:c r="W490" s="26"/>
      <x:c r="X490" s="19"/>
      <x:c r="Y490" s="26"/>
      <x:c r="Z490" s="19"/>
      <x:c r="AA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20"/>
      <x:c r="J491" s="19"/>
      <x:c r="K491" s="19"/>
      <x:c r="L491" s="92" t="str">
        <x:f>IF($A491="","",IF(COUNTIFS('Orders'!$C$2:$C$500,$A491,'Orders'!$M$2:$M$500,"&lt;&gt;cancelled")=0,"",MAXIFS('Orders'!$G$2:$G$500,'Orders'!$C$2:$C$500,$A491,'Orders'!$M$2:$M$500,"&lt;&gt;cancelled")))</x:f>
      </x:c>
      <x:c r="M491" s="96" t="str">
        <x:f>IF($A491="","",SUMIFS('Orders'!$K$2:$K$500,'Orders'!$C$2:$C$500,$A491,'Orders'!$M$2:$M$500,"&lt;&gt;cancelled"))</x:f>
      </x:c>
      <x:c r="N491" s="96" t="str">
        <x:f>IF($A491="","",COUNTIFS('Orders'!$C$2:$C$500,$A491,'Orders'!$M$2:$M$500,"&lt;&gt;cancelled"))</x:f>
      </x:c>
      <x:c r="O491" s="100" t="str">
        <x:f>IF($A491="","",IF(COUNTIF('Interactions'!$B$2:$B$500,$A491)=0,"",MAXIFS('Interactions'!$G$2:$G$500,'Interactions'!$B$2:$B$500,$A491)))</x:f>
      </x:c>
      <x:c r="P491" s="100" t="str">
        <x:f>IF($A491="","",IF(COUNTIFS('FollowUps'!$B$2:$B$500,$A491,'FollowUps'!$H$2:$H$500,"open")=0,"",MINIFS('FollowUps'!$E$2:$E$500,'FollowUps'!$B$2:$B$500,$A491,'FollowUps'!$H$2:$H$500,"open")))</x:f>
      </x:c>
      <x:c r="Q491" s="104" t="str">
        <x:f>IF($A491="","",ROUND(MIN(25,$N491/VALUE(INDEX('Settings'!$B$2:$B$100,MATCH("score_purchase_target",'Settings'!$A$2:$A$100,0)))*25)+MIN(25,$M491/VALUE(INDEX('Settings'!$B$2:$B$100,MATCH("score_value_target",'Settings'!$A$2:$A$100,0)))*25)+IF($L491="",0,MAX(0,25-(TODAY()-$L491)/VALUE(INDEX('Settings'!$B$2:$B$100,MATCH("score_recency_days",'Settings'!$A$2:$A$100,0)))*25))+MIN(15,COUNTIFS('FollowUps'!$B$2:$B$500,$A491,'FollowUps'!$H$2:$H$500,"done")/VALUE(INDEX('Settings'!$B$2:$B$100,MATCH("score_response_target",'Settings'!$A$2:$A$100,0)))*15)+IF(COUNTIFS('Interactions'!$B$2:$B$500,$A491,'Interactions'!$E$2:$E$500,"complaint")=0,10,0),0))</x:f>
      </x:c>
      <x:c r="R491" s="108" t="str">
        <x:f>IF($A491="","",IF($J491="inactive","inactive",IF($J491="at_risk","at_risk",IF($Q491&gt;=85,"vip",IF($Q491&gt;=70,"loyal",IF($Q491&gt;=50,"active",IF($N491=0,"new","needs_attention")))))))</x:f>
      </x:c>
      <x:c r="S491" s="19"/>
      <x:c r="T491" s="18"/>
      <x:c r="U491" s="19"/>
      <x:c r="V491" s="20"/>
      <x:c r="W491" s="26"/>
      <x:c r="X491" s="19"/>
      <x:c r="Y491" s="26"/>
      <x:c r="Z491" s="19"/>
      <x:c r="AA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20"/>
      <x:c r="J492" s="19"/>
      <x:c r="K492" s="19"/>
      <x:c r="L492" s="92" t="str">
        <x:f>IF($A492="","",IF(COUNTIFS('Orders'!$C$2:$C$500,$A492,'Orders'!$M$2:$M$500,"&lt;&gt;cancelled")=0,"",MAXIFS('Orders'!$G$2:$G$500,'Orders'!$C$2:$C$500,$A492,'Orders'!$M$2:$M$500,"&lt;&gt;cancelled")))</x:f>
      </x:c>
      <x:c r="M492" s="96" t="str">
        <x:f>IF($A492="","",SUMIFS('Orders'!$K$2:$K$500,'Orders'!$C$2:$C$500,$A492,'Orders'!$M$2:$M$500,"&lt;&gt;cancelled"))</x:f>
      </x:c>
      <x:c r="N492" s="96" t="str">
        <x:f>IF($A492="","",COUNTIFS('Orders'!$C$2:$C$500,$A492,'Orders'!$M$2:$M$500,"&lt;&gt;cancelled"))</x:f>
      </x:c>
      <x:c r="O492" s="100" t="str">
        <x:f>IF($A492="","",IF(COUNTIF('Interactions'!$B$2:$B$500,$A492)=0,"",MAXIFS('Interactions'!$G$2:$G$500,'Interactions'!$B$2:$B$500,$A492)))</x:f>
      </x:c>
      <x:c r="P492" s="100" t="str">
        <x:f>IF($A492="","",IF(COUNTIFS('FollowUps'!$B$2:$B$500,$A492,'FollowUps'!$H$2:$H$500,"open")=0,"",MINIFS('FollowUps'!$E$2:$E$500,'FollowUps'!$B$2:$B$500,$A492,'FollowUps'!$H$2:$H$500,"open")))</x:f>
      </x:c>
      <x:c r="Q492" s="104" t="str">
        <x:f>IF($A492="","",ROUND(MIN(25,$N492/VALUE(INDEX('Settings'!$B$2:$B$100,MATCH("score_purchase_target",'Settings'!$A$2:$A$100,0)))*25)+MIN(25,$M492/VALUE(INDEX('Settings'!$B$2:$B$100,MATCH("score_value_target",'Settings'!$A$2:$A$100,0)))*25)+IF($L492="",0,MAX(0,25-(TODAY()-$L492)/VALUE(INDEX('Settings'!$B$2:$B$100,MATCH("score_recency_days",'Settings'!$A$2:$A$100,0)))*25))+MIN(15,COUNTIFS('FollowUps'!$B$2:$B$500,$A492,'FollowUps'!$H$2:$H$500,"done")/VALUE(INDEX('Settings'!$B$2:$B$100,MATCH("score_response_target",'Settings'!$A$2:$A$100,0)))*15)+IF(COUNTIFS('Interactions'!$B$2:$B$500,$A492,'Interactions'!$E$2:$E$500,"complaint")=0,10,0),0))</x:f>
      </x:c>
      <x:c r="R492" s="108" t="str">
        <x:f>IF($A492="","",IF($J492="inactive","inactive",IF($J492="at_risk","at_risk",IF($Q492&gt;=85,"vip",IF($Q492&gt;=70,"loyal",IF($Q492&gt;=50,"active",IF($N492=0,"new","needs_attention")))))))</x:f>
      </x:c>
      <x:c r="S492" s="19"/>
      <x:c r="T492" s="18"/>
      <x:c r="U492" s="19"/>
      <x:c r="V492" s="20"/>
      <x:c r="W492" s="26"/>
      <x:c r="X492" s="19"/>
      <x:c r="Y492" s="26"/>
      <x:c r="Z492" s="19"/>
      <x:c r="AA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20"/>
      <x:c r="J493" s="19"/>
      <x:c r="K493" s="19"/>
      <x:c r="L493" s="92" t="str">
        <x:f>IF($A493="","",IF(COUNTIFS('Orders'!$C$2:$C$500,$A493,'Orders'!$M$2:$M$500,"&lt;&gt;cancelled")=0,"",MAXIFS('Orders'!$G$2:$G$500,'Orders'!$C$2:$C$500,$A493,'Orders'!$M$2:$M$500,"&lt;&gt;cancelled")))</x:f>
      </x:c>
      <x:c r="M493" s="96" t="str">
        <x:f>IF($A493="","",SUMIFS('Orders'!$K$2:$K$500,'Orders'!$C$2:$C$500,$A493,'Orders'!$M$2:$M$500,"&lt;&gt;cancelled"))</x:f>
      </x:c>
      <x:c r="N493" s="96" t="str">
        <x:f>IF($A493="","",COUNTIFS('Orders'!$C$2:$C$500,$A493,'Orders'!$M$2:$M$500,"&lt;&gt;cancelled"))</x:f>
      </x:c>
      <x:c r="O493" s="100" t="str">
        <x:f>IF($A493="","",IF(COUNTIF('Interactions'!$B$2:$B$500,$A493)=0,"",MAXIFS('Interactions'!$G$2:$G$500,'Interactions'!$B$2:$B$500,$A493)))</x:f>
      </x:c>
      <x:c r="P493" s="100" t="str">
        <x:f>IF($A493="","",IF(COUNTIFS('FollowUps'!$B$2:$B$500,$A493,'FollowUps'!$H$2:$H$500,"open")=0,"",MINIFS('FollowUps'!$E$2:$E$500,'FollowUps'!$B$2:$B$500,$A493,'FollowUps'!$H$2:$H$500,"open")))</x:f>
      </x:c>
      <x:c r="Q493" s="104" t="str">
        <x:f>IF($A493="","",ROUND(MIN(25,$N493/VALUE(INDEX('Settings'!$B$2:$B$100,MATCH("score_purchase_target",'Settings'!$A$2:$A$100,0)))*25)+MIN(25,$M493/VALUE(INDEX('Settings'!$B$2:$B$100,MATCH("score_value_target",'Settings'!$A$2:$A$100,0)))*25)+IF($L493="",0,MAX(0,25-(TODAY()-$L493)/VALUE(INDEX('Settings'!$B$2:$B$100,MATCH("score_recency_days",'Settings'!$A$2:$A$100,0)))*25))+MIN(15,COUNTIFS('FollowUps'!$B$2:$B$500,$A493,'FollowUps'!$H$2:$H$500,"done")/VALUE(INDEX('Settings'!$B$2:$B$100,MATCH("score_response_target",'Settings'!$A$2:$A$100,0)))*15)+IF(COUNTIFS('Interactions'!$B$2:$B$500,$A493,'Interactions'!$E$2:$E$500,"complaint")=0,10,0),0))</x:f>
      </x:c>
      <x:c r="R493" s="108" t="str">
        <x:f>IF($A493="","",IF($J493="inactive","inactive",IF($J493="at_risk","at_risk",IF($Q493&gt;=85,"vip",IF($Q493&gt;=70,"loyal",IF($Q493&gt;=50,"active",IF($N493=0,"new","needs_attention")))))))</x:f>
      </x:c>
      <x:c r="S493" s="19"/>
      <x:c r="T493" s="18"/>
      <x:c r="U493" s="19"/>
      <x:c r="V493" s="20"/>
      <x:c r="W493" s="26"/>
      <x:c r="X493" s="19"/>
      <x:c r="Y493" s="26"/>
      <x:c r="Z493" s="19"/>
      <x:c r="AA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20"/>
      <x:c r="J494" s="19"/>
      <x:c r="K494" s="19"/>
      <x:c r="L494" s="92" t="str">
        <x:f>IF($A494="","",IF(COUNTIFS('Orders'!$C$2:$C$500,$A494,'Orders'!$M$2:$M$500,"&lt;&gt;cancelled")=0,"",MAXIFS('Orders'!$G$2:$G$500,'Orders'!$C$2:$C$500,$A494,'Orders'!$M$2:$M$500,"&lt;&gt;cancelled")))</x:f>
      </x:c>
      <x:c r="M494" s="96" t="str">
        <x:f>IF($A494="","",SUMIFS('Orders'!$K$2:$K$500,'Orders'!$C$2:$C$500,$A494,'Orders'!$M$2:$M$500,"&lt;&gt;cancelled"))</x:f>
      </x:c>
      <x:c r="N494" s="96" t="str">
        <x:f>IF($A494="","",COUNTIFS('Orders'!$C$2:$C$500,$A494,'Orders'!$M$2:$M$500,"&lt;&gt;cancelled"))</x:f>
      </x:c>
      <x:c r="O494" s="100" t="str">
        <x:f>IF($A494="","",IF(COUNTIF('Interactions'!$B$2:$B$500,$A494)=0,"",MAXIFS('Interactions'!$G$2:$G$500,'Interactions'!$B$2:$B$500,$A494)))</x:f>
      </x:c>
      <x:c r="P494" s="100" t="str">
        <x:f>IF($A494="","",IF(COUNTIFS('FollowUps'!$B$2:$B$500,$A494,'FollowUps'!$H$2:$H$500,"open")=0,"",MINIFS('FollowUps'!$E$2:$E$500,'FollowUps'!$B$2:$B$500,$A494,'FollowUps'!$H$2:$H$500,"open")))</x:f>
      </x:c>
      <x:c r="Q494" s="104" t="str">
        <x:f>IF($A494="","",ROUND(MIN(25,$N494/VALUE(INDEX('Settings'!$B$2:$B$100,MATCH("score_purchase_target",'Settings'!$A$2:$A$100,0)))*25)+MIN(25,$M494/VALUE(INDEX('Settings'!$B$2:$B$100,MATCH("score_value_target",'Settings'!$A$2:$A$100,0)))*25)+IF($L494="",0,MAX(0,25-(TODAY()-$L494)/VALUE(INDEX('Settings'!$B$2:$B$100,MATCH("score_recency_days",'Settings'!$A$2:$A$100,0)))*25))+MIN(15,COUNTIFS('FollowUps'!$B$2:$B$500,$A494,'FollowUps'!$H$2:$H$500,"done")/VALUE(INDEX('Settings'!$B$2:$B$100,MATCH("score_response_target",'Settings'!$A$2:$A$100,0)))*15)+IF(COUNTIFS('Interactions'!$B$2:$B$500,$A494,'Interactions'!$E$2:$E$500,"complaint")=0,10,0),0))</x:f>
      </x:c>
      <x:c r="R494" s="108" t="str">
        <x:f>IF($A494="","",IF($J494="inactive","inactive",IF($J494="at_risk","at_risk",IF($Q494&gt;=85,"vip",IF($Q494&gt;=70,"loyal",IF($Q494&gt;=50,"active",IF($N494=0,"new","needs_attention")))))))</x:f>
      </x:c>
      <x:c r="S494" s="19"/>
      <x:c r="T494" s="18"/>
      <x:c r="U494" s="19"/>
      <x:c r="V494" s="20"/>
      <x:c r="W494" s="26"/>
      <x:c r="X494" s="19"/>
      <x:c r="Y494" s="26"/>
      <x:c r="Z494" s="19"/>
      <x:c r="AA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20"/>
      <x:c r="J495" s="19"/>
      <x:c r="K495" s="19"/>
      <x:c r="L495" s="92" t="str">
        <x:f>IF($A495="","",IF(COUNTIFS('Orders'!$C$2:$C$500,$A495,'Orders'!$M$2:$M$500,"&lt;&gt;cancelled")=0,"",MAXIFS('Orders'!$G$2:$G$500,'Orders'!$C$2:$C$500,$A495,'Orders'!$M$2:$M$500,"&lt;&gt;cancelled")))</x:f>
      </x:c>
      <x:c r="M495" s="96" t="str">
        <x:f>IF($A495="","",SUMIFS('Orders'!$K$2:$K$500,'Orders'!$C$2:$C$500,$A495,'Orders'!$M$2:$M$500,"&lt;&gt;cancelled"))</x:f>
      </x:c>
      <x:c r="N495" s="96" t="str">
        <x:f>IF($A495="","",COUNTIFS('Orders'!$C$2:$C$500,$A495,'Orders'!$M$2:$M$500,"&lt;&gt;cancelled"))</x:f>
      </x:c>
      <x:c r="O495" s="100" t="str">
        <x:f>IF($A495="","",IF(COUNTIF('Interactions'!$B$2:$B$500,$A495)=0,"",MAXIFS('Interactions'!$G$2:$G$500,'Interactions'!$B$2:$B$500,$A495)))</x:f>
      </x:c>
      <x:c r="P495" s="100" t="str">
        <x:f>IF($A495="","",IF(COUNTIFS('FollowUps'!$B$2:$B$500,$A495,'FollowUps'!$H$2:$H$500,"open")=0,"",MINIFS('FollowUps'!$E$2:$E$500,'FollowUps'!$B$2:$B$500,$A495,'FollowUps'!$H$2:$H$500,"open")))</x:f>
      </x:c>
      <x:c r="Q495" s="104" t="str">
        <x:f>IF($A495="","",ROUND(MIN(25,$N495/VALUE(INDEX('Settings'!$B$2:$B$100,MATCH("score_purchase_target",'Settings'!$A$2:$A$100,0)))*25)+MIN(25,$M495/VALUE(INDEX('Settings'!$B$2:$B$100,MATCH("score_value_target",'Settings'!$A$2:$A$100,0)))*25)+IF($L495="",0,MAX(0,25-(TODAY()-$L495)/VALUE(INDEX('Settings'!$B$2:$B$100,MATCH("score_recency_days",'Settings'!$A$2:$A$100,0)))*25))+MIN(15,COUNTIFS('FollowUps'!$B$2:$B$500,$A495,'FollowUps'!$H$2:$H$500,"done")/VALUE(INDEX('Settings'!$B$2:$B$100,MATCH("score_response_target",'Settings'!$A$2:$A$100,0)))*15)+IF(COUNTIFS('Interactions'!$B$2:$B$500,$A495,'Interactions'!$E$2:$E$500,"complaint")=0,10,0),0))</x:f>
      </x:c>
      <x:c r="R495" s="108" t="str">
        <x:f>IF($A495="","",IF($J495="inactive","inactive",IF($J495="at_risk","at_risk",IF($Q495&gt;=85,"vip",IF($Q495&gt;=70,"loyal",IF($Q495&gt;=50,"active",IF($N495=0,"new","needs_attention")))))))</x:f>
      </x:c>
      <x:c r="S495" s="19"/>
      <x:c r="T495" s="18"/>
      <x:c r="U495" s="19"/>
      <x:c r="V495" s="20"/>
      <x:c r="W495" s="26"/>
      <x:c r="X495" s="19"/>
      <x:c r="Y495" s="26"/>
      <x:c r="Z495" s="19"/>
      <x:c r="AA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20"/>
      <x:c r="J496" s="19"/>
      <x:c r="K496" s="19"/>
      <x:c r="L496" s="92" t="str">
        <x:f>IF($A496="","",IF(COUNTIFS('Orders'!$C$2:$C$500,$A496,'Orders'!$M$2:$M$500,"&lt;&gt;cancelled")=0,"",MAXIFS('Orders'!$G$2:$G$500,'Orders'!$C$2:$C$500,$A496,'Orders'!$M$2:$M$500,"&lt;&gt;cancelled")))</x:f>
      </x:c>
      <x:c r="M496" s="96" t="str">
        <x:f>IF($A496="","",SUMIFS('Orders'!$K$2:$K$500,'Orders'!$C$2:$C$500,$A496,'Orders'!$M$2:$M$500,"&lt;&gt;cancelled"))</x:f>
      </x:c>
      <x:c r="N496" s="96" t="str">
        <x:f>IF($A496="","",COUNTIFS('Orders'!$C$2:$C$500,$A496,'Orders'!$M$2:$M$500,"&lt;&gt;cancelled"))</x:f>
      </x:c>
      <x:c r="O496" s="100" t="str">
        <x:f>IF($A496="","",IF(COUNTIF('Interactions'!$B$2:$B$500,$A496)=0,"",MAXIFS('Interactions'!$G$2:$G$500,'Interactions'!$B$2:$B$500,$A496)))</x:f>
      </x:c>
      <x:c r="P496" s="100" t="str">
        <x:f>IF($A496="","",IF(COUNTIFS('FollowUps'!$B$2:$B$500,$A496,'FollowUps'!$H$2:$H$500,"open")=0,"",MINIFS('FollowUps'!$E$2:$E$500,'FollowUps'!$B$2:$B$500,$A496,'FollowUps'!$H$2:$H$500,"open")))</x:f>
      </x:c>
      <x:c r="Q496" s="104" t="str">
        <x:f>IF($A496="","",ROUND(MIN(25,$N496/VALUE(INDEX('Settings'!$B$2:$B$100,MATCH("score_purchase_target",'Settings'!$A$2:$A$100,0)))*25)+MIN(25,$M496/VALUE(INDEX('Settings'!$B$2:$B$100,MATCH("score_value_target",'Settings'!$A$2:$A$100,0)))*25)+IF($L496="",0,MAX(0,25-(TODAY()-$L496)/VALUE(INDEX('Settings'!$B$2:$B$100,MATCH("score_recency_days",'Settings'!$A$2:$A$100,0)))*25))+MIN(15,COUNTIFS('FollowUps'!$B$2:$B$500,$A496,'FollowUps'!$H$2:$H$500,"done")/VALUE(INDEX('Settings'!$B$2:$B$100,MATCH("score_response_target",'Settings'!$A$2:$A$100,0)))*15)+IF(COUNTIFS('Interactions'!$B$2:$B$500,$A496,'Interactions'!$E$2:$E$500,"complaint")=0,10,0),0))</x:f>
      </x:c>
      <x:c r="R496" s="108" t="str">
        <x:f>IF($A496="","",IF($J496="inactive","inactive",IF($J496="at_risk","at_risk",IF($Q496&gt;=85,"vip",IF($Q496&gt;=70,"loyal",IF($Q496&gt;=50,"active",IF($N496=0,"new","needs_attention")))))))</x:f>
      </x:c>
      <x:c r="S496" s="19"/>
      <x:c r="T496" s="18"/>
      <x:c r="U496" s="19"/>
      <x:c r="V496" s="20"/>
      <x:c r="W496" s="26"/>
      <x:c r="X496" s="19"/>
      <x:c r="Y496" s="26"/>
      <x:c r="Z496" s="19"/>
      <x:c r="AA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20"/>
      <x:c r="J497" s="19"/>
      <x:c r="K497" s="19"/>
      <x:c r="L497" s="92" t="str">
        <x:f>IF($A497="","",IF(COUNTIFS('Orders'!$C$2:$C$500,$A497,'Orders'!$M$2:$M$500,"&lt;&gt;cancelled")=0,"",MAXIFS('Orders'!$G$2:$G$500,'Orders'!$C$2:$C$500,$A497,'Orders'!$M$2:$M$500,"&lt;&gt;cancelled")))</x:f>
      </x:c>
      <x:c r="M497" s="96" t="str">
        <x:f>IF($A497="","",SUMIFS('Orders'!$K$2:$K$500,'Orders'!$C$2:$C$500,$A497,'Orders'!$M$2:$M$500,"&lt;&gt;cancelled"))</x:f>
      </x:c>
      <x:c r="N497" s="96" t="str">
        <x:f>IF($A497="","",COUNTIFS('Orders'!$C$2:$C$500,$A497,'Orders'!$M$2:$M$500,"&lt;&gt;cancelled"))</x:f>
      </x:c>
      <x:c r="O497" s="100" t="str">
        <x:f>IF($A497="","",IF(COUNTIF('Interactions'!$B$2:$B$500,$A497)=0,"",MAXIFS('Interactions'!$G$2:$G$500,'Interactions'!$B$2:$B$500,$A497)))</x:f>
      </x:c>
      <x:c r="P497" s="100" t="str">
        <x:f>IF($A497="","",IF(COUNTIFS('FollowUps'!$B$2:$B$500,$A497,'FollowUps'!$H$2:$H$500,"open")=0,"",MINIFS('FollowUps'!$E$2:$E$500,'FollowUps'!$B$2:$B$500,$A497,'FollowUps'!$H$2:$H$500,"open")))</x:f>
      </x:c>
      <x:c r="Q497" s="104" t="str">
        <x:f>IF($A497="","",ROUND(MIN(25,$N497/VALUE(INDEX('Settings'!$B$2:$B$100,MATCH("score_purchase_target",'Settings'!$A$2:$A$100,0)))*25)+MIN(25,$M497/VALUE(INDEX('Settings'!$B$2:$B$100,MATCH("score_value_target",'Settings'!$A$2:$A$100,0)))*25)+IF($L497="",0,MAX(0,25-(TODAY()-$L497)/VALUE(INDEX('Settings'!$B$2:$B$100,MATCH("score_recency_days",'Settings'!$A$2:$A$100,0)))*25))+MIN(15,COUNTIFS('FollowUps'!$B$2:$B$500,$A497,'FollowUps'!$H$2:$H$500,"done")/VALUE(INDEX('Settings'!$B$2:$B$100,MATCH("score_response_target",'Settings'!$A$2:$A$100,0)))*15)+IF(COUNTIFS('Interactions'!$B$2:$B$500,$A497,'Interactions'!$E$2:$E$500,"complaint")=0,10,0),0))</x:f>
      </x:c>
      <x:c r="R497" s="108" t="str">
        <x:f>IF($A497="","",IF($J497="inactive","inactive",IF($J497="at_risk","at_risk",IF($Q497&gt;=85,"vip",IF($Q497&gt;=70,"loyal",IF($Q497&gt;=50,"active",IF($N497=0,"new","needs_attention")))))))</x:f>
      </x:c>
      <x:c r="S497" s="19"/>
      <x:c r="T497" s="18"/>
      <x:c r="U497" s="19"/>
      <x:c r="V497" s="20"/>
      <x:c r="W497" s="26"/>
      <x:c r="X497" s="19"/>
      <x:c r="Y497" s="26"/>
      <x:c r="Z497" s="19"/>
      <x:c r="AA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20"/>
      <x:c r="J498" s="19"/>
      <x:c r="K498" s="19"/>
      <x:c r="L498" s="92" t="str">
        <x:f>IF($A498="","",IF(COUNTIFS('Orders'!$C$2:$C$500,$A498,'Orders'!$M$2:$M$500,"&lt;&gt;cancelled")=0,"",MAXIFS('Orders'!$G$2:$G$500,'Orders'!$C$2:$C$500,$A498,'Orders'!$M$2:$M$500,"&lt;&gt;cancelled")))</x:f>
      </x:c>
      <x:c r="M498" s="96" t="str">
        <x:f>IF($A498="","",SUMIFS('Orders'!$K$2:$K$500,'Orders'!$C$2:$C$500,$A498,'Orders'!$M$2:$M$500,"&lt;&gt;cancelled"))</x:f>
      </x:c>
      <x:c r="N498" s="96" t="str">
        <x:f>IF($A498="","",COUNTIFS('Orders'!$C$2:$C$500,$A498,'Orders'!$M$2:$M$500,"&lt;&gt;cancelled"))</x:f>
      </x:c>
      <x:c r="O498" s="100" t="str">
        <x:f>IF($A498="","",IF(COUNTIF('Interactions'!$B$2:$B$500,$A498)=0,"",MAXIFS('Interactions'!$G$2:$G$500,'Interactions'!$B$2:$B$500,$A498)))</x:f>
      </x:c>
      <x:c r="P498" s="100" t="str">
        <x:f>IF($A498="","",IF(COUNTIFS('FollowUps'!$B$2:$B$500,$A498,'FollowUps'!$H$2:$H$500,"open")=0,"",MINIFS('FollowUps'!$E$2:$E$500,'FollowUps'!$B$2:$B$500,$A498,'FollowUps'!$H$2:$H$500,"open")))</x:f>
      </x:c>
      <x:c r="Q498" s="104" t="str">
        <x:f>IF($A498="","",ROUND(MIN(25,$N498/VALUE(INDEX('Settings'!$B$2:$B$100,MATCH("score_purchase_target",'Settings'!$A$2:$A$100,0)))*25)+MIN(25,$M498/VALUE(INDEX('Settings'!$B$2:$B$100,MATCH("score_value_target",'Settings'!$A$2:$A$100,0)))*25)+IF($L498="",0,MAX(0,25-(TODAY()-$L498)/VALUE(INDEX('Settings'!$B$2:$B$100,MATCH("score_recency_days",'Settings'!$A$2:$A$100,0)))*25))+MIN(15,COUNTIFS('FollowUps'!$B$2:$B$500,$A498,'FollowUps'!$H$2:$H$500,"done")/VALUE(INDEX('Settings'!$B$2:$B$100,MATCH("score_response_target",'Settings'!$A$2:$A$100,0)))*15)+IF(COUNTIFS('Interactions'!$B$2:$B$500,$A498,'Interactions'!$E$2:$E$500,"complaint")=0,10,0),0))</x:f>
      </x:c>
      <x:c r="R498" s="108" t="str">
        <x:f>IF($A498="","",IF($J498="inactive","inactive",IF($J498="at_risk","at_risk",IF($Q498&gt;=85,"vip",IF($Q498&gt;=70,"loyal",IF($Q498&gt;=50,"active",IF($N498=0,"new","needs_attention")))))))</x:f>
      </x:c>
      <x:c r="S498" s="19"/>
      <x:c r="T498" s="18"/>
      <x:c r="U498" s="19"/>
      <x:c r="V498" s="20"/>
      <x:c r="W498" s="26"/>
      <x:c r="X498" s="19"/>
      <x:c r="Y498" s="26"/>
      <x:c r="Z498" s="19"/>
      <x:c r="AA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20"/>
      <x:c r="J499" s="19"/>
      <x:c r="K499" s="19"/>
      <x:c r="L499" s="92" t="str">
        <x:f>IF($A499="","",IF(COUNTIFS('Orders'!$C$2:$C$500,$A499,'Orders'!$M$2:$M$500,"&lt;&gt;cancelled")=0,"",MAXIFS('Orders'!$G$2:$G$500,'Orders'!$C$2:$C$500,$A499,'Orders'!$M$2:$M$500,"&lt;&gt;cancelled")))</x:f>
      </x:c>
      <x:c r="M499" s="96" t="str">
        <x:f>IF($A499="","",SUMIFS('Orders'!$K$2:$K$500,'Orders'!$C$2:$C$500,$A499,'Orders'!$M$2:$M$500,"&lt;&gt;cancelled"))</x:f>
      </x:c>
      <x:c r="N499" s="96" t="str">
        <x:f>IF($A499="","",COUNTIFS('Orders'!$C$2:$C$500,$A499,'Orders'!$M$2:$M$500,"&lt;&gt;cancelled"))</x:f>
      </x:c>
      <x:c r="O499" s="100" t="str">
        <x:f>IF($A499="","",IF(COUNTIF('Interactions'!$B$2:$B$500,$A499)=0,"",MAXIFS('Interactions'!$G$2:$G$500,'Interactions'!$B$2:$B$500,$A499)))</x:f>
      </x:c>
      <x:c r="P499" s="100" t="str">
        <x:f>IF($A499="","",IF(COUNTIFS('FollowUps'!$B$2:$B$500,$A499,'FollowUps'!$H$2:$H$500,"open")=0,"",MINIFS('FollowUps'!$E$2:$E$500,'FollowUps'!$B$2:$B$500,$A499,'FollowUps'!$H$2:$H$500,"open")))</x:f>
      </x:c>
      <x:c r="Q499" s="104" t="str">
        <x:f>IF($A499="","",ROUND(MIN(25,$N499/VALUE(INDEX('Settings'!$B$2:$B$100,MATCH("score_purchase_target",'Settings'!$A$2:$A$100,0)))*25)+MIN(25,$M499/VALUE(INDEX('Settings'!$B$2:$B$100,MATCH("score_value_target",'Settings'!$A$2:$A$100,0)))*25)+IF($L499="",0,MAX(0,25-(TODAY()-$L499)/VALUE(INDEX('Settings'!$B$2:$B$100,MATCH("score_recency_days",'Settings'!$A$2:$A$100,0)))*25))+MIN(15,COUNTIFS('FollowUps'!$B$2:$B$500,$A499,'FollowUps'!$H$2:$H$500,"done")/VALUE(INDEX('Settings'!$B$2:$B$100,MATCH("score_response_target",'Settings'!$A$2:$A$100,0)))*15)+IF(COUNTIFS('Interactions'!$B$2:$B$500,$A499,'Interactions'!$E$2:$E$500,"complaint")=0,10,0),0))</x:f>
      </x:c>
      <x:c r="R499" s="108" t="str">
        <x:f>IF($A499="","",IF($J499="inactive","inactive",IF($J499="at_risk","at_risk",IF($Q499&gt;=85,"vip",IF($Q499&gt;=70,"loyal",IF($Q499&gt;=50,"active",IF($N499=0,"new","needs_attention")))))))</x:f>
      </x:c>
      <x:c r="S499" s="19"/>
      <x:c r="T499" s="18"/>
      <x:c r="U499" s="19"/>
      <x:c r="V499" s="20"/>
      <x:c r="W499" s="26"/>
      <x:c r="X499" s="19"/>
      <x:c r="Y499" s="26"/>
      <x:c r="Z499" s="19"/>
      <x:c r="AA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20"/>
      <x:c r="J500" s="19"/>
      <x:c r="K500" s="19"/>
      <x:c r="L500" s="92" t="str">
        <x:f>IF($A500="","",IF(COUNTIFS('Orders'!$C$2:$C$500,$A500,'Orders'!$M$2:$M$500,"&lt;&gt;cancelled")=0,"",MAXIFS('Orders'!$G$2:$G$500,'Orders'!$C$2:$C$500,$A500,'Orders'!$M$2:$M$500,"&lt;&gt;cancelled")))</x:f>
      </x:c>
      <x:c r="M500" s="96" t="str">
        <x:f>IF($A500="","",SUMIFS('Orders'!$K$2:$K$500,'Orders'!$C$2:$C$500,$A500,'Orders'!$M$2:$M$500,"&lt;&gt;cancelled"))</x:f>
      </x:c>
      <x:c r="N500" s="96" t="str">
        <x:f>IF($A500="","",COUNTIFS('Orders'!$C$2:$C$500,$A500,'Orders'!$M$2:$M$500,"&lt;&gt;cancelled"))</x:f>
      </x:c>
      <x:c r="O500" s="100" t="str">
        <x:f>IF($A500="","",IF(COUNTIF('Interactions'!$B$2:$B$500,$A500)=0,"",MAXIFS('Interactions'!$G$2:$G$500,'Interactions'!$B$2:$B$500,$A500)))</x:f>
      </x:c>
      <x:c r="P500" s="100" t="str">
        <x:f>IF($A500="","",IF(COUNTIFS('FollowUps'!$B$2:$B$500,$A500,'FollowUps'!$H$2:$H$500,"open")=0,"",MINIFS('FollowUps'!$E$2:$E$500,'FollowUps'!$B$2:$B$500,$A500,'FollowUps'!$H$2:$H$500,"open")))</x:f>
      </x:c>
      <x:c r="Q500" s="104" t="str">
        <x:f>IF($A500="","",ROUND(MIN(25,$N500/VALUE(INDEX('Settings'!$B$2:$B$100,MATCH("score_purchase_target",'Settings'!$A$2:$A$100,0)))*25)+MIN(25,$M500/VALUE(INDEX('Settings'!$B$2:$B$100,MATCH("score_value_target",'Settings'!$A$2:$A$100,0)))*25)+IF($L500="",0,MAX(0,25-(TODAY()-$L500)/VALUE(INDEX('Settings'!$B$2:$B$100,MATCH("score_recency_days",'Settings'!$A$2:$A$100,0)))*25))+MIN(15,COUNTIFS('FollowUps'!$B$2:$B$500,$A500,'FollowUps'!$H$2:$H$500,"done")/VALUE(INDEX('Settings'!$B$2:$B$100,MATCH("score_response_target",'Settings'!$A$2:$A$100,0)))*15)+IF(COUNTIFS('Interactions'!$B$2:$B$500,$A500,'Interactions'!$E$2:$E$500,"complaint")=0,10,0),0))</x:f>
      </x:c>
      <x:c r="R500" s="108" t="str">
        <x:f>IF($A500="","",IF($J500="inactive","inactive",IF($J500="at_risk","at_risk",IF($Q500&gt;=85,"vip",IF($Q500&gt;=70,"loyal",IF($Q500&gt;=50,"active",IF($N500=0,"new","needs_attention")))))))</x:f>
      </x:c>
      <x:c r="S500" s="19"/>
      <x:c r="T500" s="18"/>
      <x:c r="U500" s="19"/>
      <x:c r="V500" s="20"/>
      <x:c r="W500" s="26"/>
      <x:c r="X500" s="19"/>
      <x:c r="Y500" s="26"/>
      <x:c r="Z500" s="19"/>
      <x:c r="AA500" s="19"/>
    </x:row>
  </x:sheetData>
  <x:conditionalFormatting sqref="B2:B500">
    <x:cfRule type="expression" dxfId="0" priority="1">
      <x:formula>AND($A2&lt;&gt;"",B2="")</x:formula>
    </x:cfRule>
  </x:conditionalFormatting>
  <x:conditionalFormatting sqref="C2:C500">
    <x:cfRule type="expression" dxfId="1" priority="2">
      <x:formula>AND($A2&lt;&gt;"",C2="")</x:formula>
    </x:cfRule>
  </x:conditionalFormatting>
  <x:conditionalFormatting sqref="J2:J500">
    <x:cfRule type="expression" dxfId="2" priority="3">
      <x:formula>AND($A2&lt;&gt;"",J2="")</x:formula>
    </x:cfRule>
    <x:cfRule type="containsText" dxfId="9" priority="10" operator="containsText" text="loyal"/>
    <x:cfRule type="containsText" dxfId="10" priority="11" operator="containsText" text="at_risk"/>
    <x:cfRule type="containsText" dxfId="11" priority="12" operator="containsText" text="inactive"/>
  </x:conditionalFormatting>
  <x:conditionalFormatting sqref="K2:K500">
    <x:cfRule type="expression" dxfId="3" priority="4">
      <x:formula>AND($A2&lt;&gt;"",K2="")</x:formula>
    </x:cfRule>
  </x:conditionalFormatting>
  <x:conditionalFormatting sqref="W2:W500">
    <x:cfRule type="expression" dxfId="4" priority="5">
      <x:formula>AND($A2&lt;&gt;"",W2="")</x:formula>
    </x:cfRule>
  </x:conditionalFormatting>
  <x:conditionalFormatting sqref="X2:X500">
    <x:cfRule type="expression" dxfId="5" priority="6">
      <x:formula>AND($A2&lt;&gt;"",X2="")</x:formula>
    </x:cfRule>
  </x:conditionalFormatting>
  <x:conditionalFormatting sqref="Y2:Y500">
    <x:cfRule type="expression" dxfId="6" priority="7">
      <x:formula>AND($A2&lt;&gt;"",Y2="")</x:formula>
    </x:cfRule>
  </x:conditionalFormatting>
  <x:conditionalFormatting sqref="Z2:Z500">
    <x:cfRule type="expression" dxfId="7" priority="8">
      <x:formula>AND($A2&lt;&gt;"",Z2="")</x:formula>
    </x:cfRule>
  </x:conditionalFormatting>
  <x:conditionalFormatting sqref="AA2:AA500">
    <x:cfRule type="expression" dxfId="8" priority="9">
      <x:formula>AND($A2&lt;&gt;"",AA2="")</x:formula>
    </x:cfRule>
  </x:conditionalFormatting>
  <x:conditionalFormatting sqref="E2:E500">
    <x:cfRule type="duplicateValues" dxfId="12" priority="13"/>
  </x:conditionalFormatting>
  <x:dataValidations count="5">
    <x:dataValidation type="list" sqref="B2:B500">
      <x:formula1>"person,company"</x:formula1>
    </x:dataValidation>
    <x:dataValidation type="list" sqref="J2:J500">
      <x:formula1>"new,active,loyal,at_risk,inactive"</x:formula1>
    </x:dataValidation>
    <x:dataValidation type="whole" operator="between" sqref="Q2:Q500">
      <x:formula1>0</x:formula1>
      <x:formula2>100</x:formula2>
    </x:dataValidation>
    <x:dataValidation type="list" sqref="R2:R500">
      <x:formula1>"vip,loyal,active,new,needs_attention,at_risk,inactive"</x:formula1>
    </x:dataValidation>
    <x:dataValidation type="list" sqref="AA2:AA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5d8ed249b742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7" hidden="0" customWidth="1"/>
    <x:col min="5" max="5" width="22" hidden="0" customWidth="1"/>
    <x:col min="6" max="6" width="25" hidden="0" customWidth="1"/>
    <x:col min="7" max="7" width="32" hidden="0" customWidth="1"/>
    <x:col min="8" max="8" width="19" hidden="0" customWidth="1"/>
    <x:col min="9" max="9" width="18" hidden="0" customWidth="1"/>
    <x:col min="10" max="10" width="18" hidden="0" customWidth="1"/>
    <x:col min="11" max="11" width="25" hidden="0" customWidth="1"/>
    <x:col min="12" max="12" width="18" hidden="0" customWidth="1"/>
    <x:col min="13" max="13" width="19" hidden="0" customWidth="1"/>
    <x:col min="14" max="14" width="18" hidden="0" customWidth="1"/>
    <x:col min="15" max="15" width="19" hidden="0" customWidth="1"/>
    <x:col min="16" max="16" width="18" hidden="0" customWidth="1"/>
    <x:col min="17" max="17" width="12" hidden="0" customWidth="1"/>
  </x:cols>
  <x:sheetData>
    <x:row r="1" ht="46" customHeight="1">
      <x:c r="A1" s="12" t="str">
        <x:v>شناسه استعلام *
(lead_id)</x:v>
      </x:c>
      <x:c r="B1" s="13" t="str">
        <x:v>مشتری
(customer_id)</x:v>
      </x:c>
      <x:c r="C1" s="13" t="str">
        <x:v>کانال ورودی *
(source_channel)</x:v>
      </x:c>
      <x:c r="D1" s="13" t="str">
        <x:v>کمپین
(campaign_id)</x:v>
      </x:c>
      <x:c r="E1" s="13" t="str">
        <x:v>شناسه پیام بیرونی
(external_message_id)</x:v>
      </x:c>
      <x:c r="F1" s="13" t="str">
        <x:v>موضوع *
(subject)</x:v>
      </x:c>
      <x:c r="G1" s="13" t="str">
        <x:v>جزئیات
(details)</x:v>
      </x:c>
      <x:c r="H1" s="13" t="str">
        <x:v>زمان ورود *
(received_at)</x:v>
      </x:c>
      <x:c r="I1" s="13" t="str">
        <x:v>فروشنده *
(assigned_user_id)</x:v>
      </x:c>
      <x:c r="J1" s="13" t="str">
        <x:v>نتیجه بررسی *
(qualification_status)</x:v>
      </x:c>
      <x:c r="K1" s="13" t="str">
        <x:v>دلیل
(qualification_reason)</x:v>
      </x:c>
      <x:c r="L1" s="13" t="str">
        <x:v>فرصت ساخته‌شده
(opportunity_id)</x:v>
      </x:c>
      <x:c r="M1" s="13" t="str">
        <x:v>زمان ایجاد *
(created_at)</x:v>
      </x:c>
      <x:c r="N1" s="13" t="str">
        <x:v>ایجادکننده *
(created_by)</x:v>
      </x:c>
      <x:c r="O1" s="13" t="str">
        <x:v>آخرین تغییر *
(updated_at)</x:v>
      </x:c>
      <x:c r="P1" s="13" t="str">
        <x:v>تغییردهنده *
(updated_by)</x:v>
      </x:c>
      <x:c r="Q1" s="14" t="str">
        <x:v>حذف نرم *
(is_deleted)</x:v>
      </x:c>
    </x:row>
    <x:row r="2">
      <x:c r="A2" s="28" t="str">
        <x:v>lead_001</x:v>
      </x:c>
      <x:c r="B2" s="29" t="str">
        <x:v>cus_001</x:v>
      </x:c>
      <x:c r="C2" s="29" t="str">
        <x:v>phone</x:v>
      </x:c>
      <x:c r="D2" s="29" t="str"/>
      <x:c r="E2" s="29" t="str"/>
      <x:c r="F2" s="29" t="str">
        <x:v>استعلام ۲۰ واحد محصول A</x:v>
      </x:c>
      <x:c r="G2" s="30" t="str">
        <x:v>تحویل تا یک هفته</x:v>
      </x:c>
      <x:c r="H2" s="33" t="n">
        <x:v>46212.25</x:v>
      </x:c>
      <x:c r="I2" s="29" t="str">
        <x:v>usr_sara</x:v>
      </x:c>
      <x:c r="J2" s="29" t="str">
        <x:v>converted</x:v>
      </x:c>
      <x:c r="K2" s="29" t="str"/>
      <x:c r="L2" s="29" t="str">
        <x:v>opp_001</x:v>
      </x:c>
      <x:c r="M2" s="33" t="n">
        <x:v>46212.25</x:v>
      </x:c>
      <x:c r="N2" s="29" t="str">
        <x:v>usr_sara</x:v>
      </x:c>
      <x:c r="O2" s="33" t="n">
        <x:v>46215.229166666664</x:v>
      </x:c>
      <x:c r="P2" s="29" t="str">
        <x:v>usr_sara</x:v>
      </x:c>
      <x:c r="Q2" s="55" t="b">
        <x:v>0</x:v>
      </x:c>
    </x:row>
    <x:row r="3">
      <x:c r="A3" s="37" t="str">
        <x:v>lead_002</x:v>
      </x:c>
      <x:c r="B3" s="38" t="str">
        <x:v>cus_002</x:v>
      </x:c>
      <x:c r="C3" s="38" t="str">
        <x:v>instagram</x:v>
      </x:c>
      <x:c r="D3" s="38" t="str">
        <x:v>cmp_ig_summer</x:v>
      </x:c>
      <x:c r="E3" s="38" t="str">
        <x:v>ig_991</x:v>
      </x:c>
      <x:c r="F3" s="38" t="str">
        <x:v>خرید محصول B</x:v>
      </x:c>
      <x:c r="G3" s="39" t="str">
        <x:v>قیمت و رنگ‌بندی</x:v>
      </x:c>
      <x:c r="H3" s="42" t="n">
        <x:v>46213.5</x:v>
      </x:c>
      <x:c r="I3" s="38" t="str">
        <x:v>usr_ali</x:v>
      </x:c>
      <x:c r="J3" s="38" t="str">
        <x:v>converted</x:v>
      </x:c>
      <x:c r="K3" s="38" t="str"/>
      <x:c r="L3" s="38" t="str">
        <x:v>opp_002</x:v>
      </x:c>
      <x:c r="M3" s="42" t="n">
        <x:v>46213.5</x:v>
      </x:c>
      <x:c r="N3" s="38" t="str">
        <x:v>usr_ali</x:v>
      </x:c>
      <x:c r="O3" s="42" t="n">
        <x:v>46215.229166666664</x:v>
      </x:c>
      <x:c r="P3" s="38" t="str">
        <x:v>usr_ali</x:v>
      </x:c>
      <x:c r="Q3" s="56" t="b">
        <x:v>0</x:v>
      </x:c>
    </x:row>
    <x:row r="4">
      <x:c r="A4" s="37" t="str">
        <x:v>lead_003</x:v>
      </x:c>
      <x:c r="B4" s="38" t="str">
        <x:v>cus_003</x:v>
      </x:c>
      <x:c r="C4" s="38" t="str">
        <x:v>website</x:v>
      </x:c>
      <x:c r="D4" s="38" t="str">
        <x:v>cmp_web_seo</x:v>
      </x:c>
      <x:c r="E4" s="38" t="str">
        <x:v>web_301</x:v>
      </x:c>
      <x:c r="F4" s="38" t="str">
        <x:v>تمدید سفارش ماهانه</x:v>
      </x:c>
      <x:c r="G4" s="39" t="str">
        <x:v>خرید ترکیبی</x:v>
      </x:c>
      <x:c r="H4" s="42" t="n">
        <x:v>46208.208333333336</x:v>
      </x:c>
      <x:c r="I4" s="38" t="str">
        <x:v>usr_sara</x:v>
      </x:c>
      <x:c r="J4" s="38" t="str">
        <x:v>converted</x:v>
      </x:c>
      <x:c r="K4" s="38" t="str"/>
      <x:c r="L4" s="38" t="str">
        <x:v>opp_003</x:v>
      </x:c>
      <x:c r="M4" s="42" t="n">
        <x:v>46208.208333333336</x:v>
      </x:c>
      <x:c r="N4" s="38" t="str">
        <x:v>usr_sara</x:v>
      </x:c>
      <x:c r="O4" s="42" t="n">
        <x:v>46215.229166666664</x:v>
      </x:c>
      <x:c r="P4" s="38" t="str">
        <x:v>usr_sara</x:v>
      </x:c>
      <x:c r="Q4" s="56" t="b">
        <x:v>0</x:v>
      </x:c>
    </x:row>
    <x:row r="5">
      <x:c r="A5" s="37" t="str">
        <x:v>lead_004</x:v>
      </x:c>
      <x:c r="B5" s="38" t="str">
        <x:v>cus_004</x:v>
      </x:c>
      <x:c r="C5" s="38" t="str">
        <x:v>referral</x:v>
      </x:c>
      <x:c r="D5" s="38" t="str"/>
      <x:c r="E5" s="38"/>
      <x:c r="F5" s="38" t="str">
        <x:v>محصول C</x:v>
      </x:c>
      <x:c r="G5" s="39" t="str">
        <x:v>خرید فوری</x:v>
      </x:c>
      <x:c r="H5" s="42" t="n">
        <x:v>46193.3125</x:v>
      </x:c>
      <x:c r="I5" s="38" t="str">
        <x:v>usr_ali</x:v>
      </x:c>
      <x:c r="J5" s="38" t="str">
        <x:v>converted</x:v>
      </x:c>
      <x:c r="K5" s="38"/>
      <x:c r="L5" s="38" t="str">
        <x:v>opp_004</x:v>
      </x:c>
      <x:c r="M5" s="42" t="n">
        <x:v>46193.3125</x:v>
      </x:c>
      <x:c r="N5" s="38" t="str">
        <x:v>usr_ali</x:v>
      </x:c>
      <x:c r="O5" s="42" t="n">
        <x:v>46215.229166666664</x:v>
      </x:c>
      <x:c r="P5" s="38" t="str">
        <x:v>usr_ali</x:v>
      </x:c>
      <x:c r="Q5" s="56" t="b">
        <x:v>0</x:v>
      </x:c>
    </x:row>
    <x:row r="6">
      <x:c r="A6" s="46" t="str">
        <x:v>lead_005</x:v>
      </x:c>
      <x:c r="B6" s="47" t="str">
        <x:v>cus_005</x:v>
      </x:c>
      <x:c r="C6" s="47" t="str">
        <x:v>telegram</x:v>
      </x:c>
      <x:c r="D6" s="47" t="str"/>
      <x:c r="E6" s="47" t="str">
        <x:v>tg_8801</x:v>
      </x:c>
      <x:c r="F6" s="47" t="str">
        <x:v>استعلام محصول A</x:v>
      </x:c>
      <x:c r="G6" s="48" t="str"/>
      <x:c r="H6" s="51" t="n">
        <x:v>46188.4375</x:v>
      </x:c>
      <x:c r="I6" s="47" t="str">
        <x:v>usr_sara</x:v>
      </x:c>
      <x:c r="J6" s="47" t="str">
        <x:v>converted</x:v>
      </x:c>
      <x:c r="K6" s="47"/>
      <x:c r="L6" s="47" t="str">
        <x:v>opp_005</x:v>
      </x:c>
      <x:c r="M6" s="51" t="n">
        <x:v>46188.4375</x:v>
      </x:c>
      <x:c r="N6" s="47" t="str">
        <x:v>usr_sara</x:v>
      </x:c>
      <x:c r="O6" s="51" t="n">
        <x:v>46215.229166666664</x:v>
      </x:c>
      <x:c r="P6" s="47" t="str">
        <x:v>usr_sara</x:v>
      </x:c>
      <x:c r="Q6" s="57" t="b">
        <x:v>0</x:v>
      </x:c>
    </x:row>
    <x:row r="7">
      <x:c r="A7" s="19"/>
      <x:c r="B7" s="19"/>
      <x:c r="C7" s="19"/>
      <x:c r="D7" s="19"/>
      <x:c r="E7" s="19"/>
      <x:c r="F7" s="19"/>
      <x:c r="G7" s="20"/>
      <x:c r="H7" s="26"/>
      <x:c r="I7" s="19"/>
      <x:c r="J7" s="19"/>
      <x:c r="K7" s="19"/>
      <x:c r="L7" s="19"/>
      <x:c r="M7" s="26"/>
      <x:c r="N7" s="19"/>
      <x:c r="O7" s="26"/>
      <x:c r="P7" s="19"/>
      <x:c r="Q7" s="19"/>
    </x:row>
    <x:row r="8">
      <x:c r="A8" s="19"/>
      <x:c r="B8" s="19"/>
      <x:c r="C8" s="19"/>
      <x:c r="D8" s="19"/>
      <x:c r="E8" s="19"/>
      <x:c r="F8" s="19"/>
      <x:c r="G8" s="20"/>
      <x:c r="H8" s="26"/>
      <x:c r="I8" s="19"/>
      <x:c r="J8" s="19"/>
      <x:c r="K8" s="19"/>
      <x:c r="L8" s="19"/>
      <x:c r="M8" s="26"/>
      <x:c r="N8" s="19"/>
      <x:c r="O8" s="26"/>
      <x:c r="P8" s="19"/>
      <x:c r="Q8" s="19"/>
    </x:row>
    <x:row r="9">
      <x:c r="A9" s="19"/>
      <x:c r="B9" s="19"/>
      <x:c r="C9" s="19"/>
      <x:c r="D9" s="19"/>
      <x:c r="E9" s="19"/>
      <x:c r="F9" s="19"/>
      <x:c r="G9" s="20"/>
      <x:c r="H9" s="26"/>
      <x:c r="I9" s="19"/>
      <x:c r="J9" s="19"/>
      <x:c r="K9" s="19"/>
      <x:c r="L9" s="19"/>
      <x:c r="M9" s="26"/>
      <x:c r="N9" s="19"/>
      <x:c r="O9" s="26"/>
      <x:c r="P9" s="19"/>
      <x:c r="Q9" s="19"/>
    </x:row>
    <x:row r="10">
      <x:c r="A10" s="19"/>
      <x:c r="B10" s="19"/>
      <x:c r="C10" s="19"/>
      <x:c r="D10" s="19"/>
      <x:c r="E10" s="19"/>
      <x:c r="F10" s="19"/>
      <x:c r="G10" s="20"/>
      <x:c r="H10" s="26"/>
      <x:c r="I10" s="19"/>
      <x:c r="J10" s="19"/>
      <x:c r="K10" s="19"/>
      <x:c r="L10" s="19"/>
      <x:c r="M10" s="26"/>
      <x:c r="N10" s="19"/>
      <x:c r="O10" s="26"/>
      <x:c r="P10" s="19"/>
      <x:c r="Q10" s="19"/>
    </x:row>
    <x:row r="11">
      <x:c r="A11" s="19"/>
      <x:c r="B11" s="19"/>
      <x:c r="C11" s="19"/>
      <x:c r="D11" s="19"/>
      <x:c r="E11" s="19"/>
      <x:c r="F11" s="19"/>
      <x:c r="G11" s="20"/>
      <x:c r="H11" s="26"/>
      <x:c r="I11" s="19"/>
      <x:c r="J11" s="19"/>
      <x:c r="K11" s="19"/>
      <x:c r="L11" s="19"/>
      <x:c r="M11" s="26"/>
      <x:c r="N11" s="19"/>
      <x:c r="O11" s="26"/>
      <x:c r="P11" s="19"/>
      <x:c r="Q11" s="19"/>
    </x:row>
    <x:row r="12">
      <x:c r="A12" s="19"/>
      <x:c r="B12" s="19"/>
      <x:c r="C12" s="19"/>
      <x:c r="D12" s="19"/>
      <x:c r="E12" s="19"/>
      <x:c r="F12" s="19"/>
      <x:c r="G12" s="20"/>
      <x:c r="H12" s="26"/>
      <x:c r="I12" s="19"/>
      <x:c r="J12" s="19"/>
      <x:c r="K12" s="19"/>
      <x:c r="L12" s="19"/>
      <x:c r="M12" s="26"/>
      <x:c r="N12" s="19"/>
      <x:c r="O12" s="26"/>
      <x:c r="P12" s="19"/>
      <x:c r="Q12" s="19"/>
    </x:row>
    <x:row r="13">
      <x:c r="A13" s="19"/>
      <x:c r="B13" s="19"/>
      <x:c r="C13" s="19"/>
      <x:c r="D13" s="19"/>
      <x:c r="E13" s="19"/>
      <x:c r="F13" s="19"/>
      <x:c r="G13" s="20"/>
      <x:c r="H13" s="26"/>
      <x:c r="I13" s="19"/>
      <x:c r="J13" s="19"/>
      <x:c r="K13" s="19"/>
      <x:c r="L13" s="19"/>
      <x:c r="M13" s="26"/>
      <x:c r="N13" s="19"/>
      <x:c r="O13" s="26"/>
      <x:c r="P13" s="19"/>
      <x:c r="Q13" s="19"/>
    </x:row>
    <x:row r="14">
      <x:c r="A14" s="19"/>
      <x:c r="B14" s="19"/>
      <x:c r="C14" s="19"/>
      <x:c r="D14" s="19"/>
      <x:c r="E14" s="19"/>
      <x:c r="F14" s="19"/>
      <x:c r="G14" s="20"/>
      <x:c r="H14" s="26"/>
      <x:c r="I14" s="19"/>
      <x:c r="J14" s="19"/>
      <x:c r="K14" s="19"/>
      <x:c r="L14" s="19"/>
      <x:c r="M14" s="26"/>
      <x:c r="N14" s="19"/>
      <x:c r="O14" s="26"/>
      <x:c r="P14" s="19"/>
      <x:c r="Q14" s="19"/>
    </x:row>
    <x:row r="15">
      <x:c r="A15" s="19"/>
      <x:c r="B15" s="19"/>
      <x:c r="C15" s="19"/>
      <x:c r="D15" s="19"/>
      <x:c r="E15" s="19"/>
      <x:c r="F15" s="19"/>
      <x:c r="G15" s="20"/>
      <x:c r="H15" s="26"/>
      <x:c r="I15" s="19"/>
      <x:c r="J15" s="19"/>
      <x:c r="K15" s="19"/>
      <x:c r="L15" s="19"/>
      <x:c r="M15" s="26"/>
      <x:c r="N15" s="19"/>
      <x:c r="O15" s="26"/>
      <x:c r="P15" s="19"/>
      <x:c r="Q15" s="19"/>
    </x:row>
    <x:row r="16">
      <x:c r="A16" s="19"/>
      <x:c r="B16" s="19"/>
      <x:c r="C16" s="19"/>
      <x:c r="D16" s="19"/>
      <x:c r="E16" s="19"/>
      <x:c r="F16" s="19"/>
      <x:c r="G16" s="20"/>
      <x:c r="H16" s="26"/>
      <x:c r="I16" s="19"/>
      <x:c r="J16" s="19"/>
      <x:c r="K16" s="19"/>
      <x:c r="L16" s="19"/>
      <x:c r="M16" s="26"/>
      <x:c r="N16" s="19"/>
      <x:c r="O16" s="26"/>
      <x:c r="P16" s="19"/>
      <x:c r="Q16" s="19"/>
    </x:row>
    <x:row r="17">
      <x:c r="A17" s="19"/>
      <x:c r="B17" s="19"/>
      <x:c r="C17" s="19"/>
      <x:c r="D17" s="19"/>
      <x:c r="E17" s="19"/>
      <x:c r="F17" s="19"/>
      <x:c r="G17" s="20"/>
      <x:c r="H17" s="26"/>
      <x:c r="I17" s="19"/>
      <x:c r="J17" s="19"/>
      <x:c r="K17" s="19"/>
      <x:c r="L17" s="19"/>
      <x:c r="M17" s="26"/>
      <x:c r="N17" s="19"/>
      <x:c r="O17" s="26"/>
      <x:c r="P17" s="19"/>
      <x:c r="Q17" s="19"/>
    </x:row>
    <x:row r="18">
      <x:c r="A18" s="19"/>
      <x:c r="B18" s="19"/>
      <x:c r="C18" s="19"/>
      <x:c r="D18" s="19"/>
      <x:c r="E18" s="19"/>
      <x:c r="F18" s="19"/>
      <x:c r="G18" s="20"/>
      <x:c r="H18" s="26"/>
      <x:c r="I18" s="19"/>
      <x:c r="J18" s="19"/>
      <x:c r="K18" s="19"/>
      <x:c r="L18" s="19"/>
      <x:c r="M18" s="26"/>
      <x:c r="N18" s="19"/>
      <x:c r="O18" s="26"/>
      <x:c r="P18" s="19"/>
      <x:c r="Q18" s="19"/>
    </x:row>
    <x:row r="19">
      <x:c r="A19" s="19"/>
      <x:c r="B19" s="19"/>
      <x:c r="C19" s="19"/>
      <x:c r="D19" s="19"/>
      <x:c r="E19" s="19"/>
      <x:c r="F19" s="19"/>
      <x:c r="G19" s="20"/>
      <x:c r="H19" s="26"/>
      <x:c r="I19" s="19"/>
      <x:c r="J19" s="19"/>
      <x:c r="K19" s="19"/>
      <x:c r="L19" s="19"/>
      <x:c r="M19" s="26"/>
      <x:c r="N19" s="19"/>
      <x:c r="O19" s="26"/>
      <x:c r="P19" s="19"/>
      <x:c r="Q19" s="19"/>
    </x:row>
    <x:row r="20">
      <x:c r="A20" s="19"/>
      <x:c r="B20" s="19"/>
      <x:c r="C20" s="19"/>
      <x:c r="D20" s="19"/>
      <x:c r="E20" s="19"/>
      <x:c r="F20" s="19"/>
      <x:c r="G20" s="20"/>
      <x:c r="H20" s="26"/>
      <x:c r="I20" s="19"/>
      <x:c r="J20" s="19"/>
      <x:c r="K20" s="19"/>
      <x:c r="L20" s="19"/>
      <x:c r="M20" s="26"/>
      <x:c r="N20" s="19"/>
      <x:c r="O20" s="26"/>
      <x:c r="P20" s="19"/>
      <x:c r="Q20" s="19"/>
    </x:row>
    <x:row r="21">
      <x:c r="A21" s="19"/>
      <x:c r="B21" s="19"/>
      <x:c r="C21" s="19"/>
      <x:c r="D21" s="19"/>
      <x:c r="E21" s="19"/>
      <x:c r="F21" s="19"/>
      <x:c r="G21" s="20"/>
      <x:c r="H21" s="26"/>
      <x:c r="I21" s="19"/>
      <x:c r="J21" s="19"/>
      <x:c r="K21" s="19"/>
      <x:c r="L21" s="19"/>
      <x:c r="M21" s="26"/>
      <x:c r="N21" s="19"/>
      <x:c r="O21" s="26"/>
      <x:c r="P21" s="19"/>
      <x:c r="Q21" s="19"/>
    </x:row>
    <x:row r="22">
      <x:c r="A22" s="19"/>
      <x:c r="B22" s="19"/>
      <x:c r="C22" s="19"/>
      <x:c r="D22" s="19"/>
      <x:c r="E22" s="19"/>
      <x:c r="F22" s="19"/>
      <x:c r="G22" s="20"/>
      <x:c r="H22" s="26"/>
      <x:c r="I22" s="19"/>
      <x:c r="J22" s="19"/>
      <x:c r="K22" s="19"/>
      <x:c r="L22" s="19"/>
      <x:c r="M22" s="26"/>
      <x:c r="N22" s="19"/>
      <x:c r="O22" s="26"/>
      <x:c r="P22" s="19"/>
      <x:c r="Q22" s="19"/>
    </x:row>
    <x:row r="23">
      <x:c r="A23" s="19"/>
      <x:c r="B23" s="19"/>
      <x:c r="C23" s="19"/>
      <x:c r="D23" s="19"/>
      <x:c r="E23" s="19"/>
      <x:c r="F23" s="19"/>
      <x:c r="G23" s="20"/>
      <x:c r="H23" s="26"/>
      <x:c r="I23" s="19"/>
      <x:c r="J23" s="19"/>
      <x:c r="K23" s="19"/>
      <x:c r="L23" s="19"/>
      <x:c r="M23" s="26"/>
      <x:c r="N23" s="19"/>
      <x:c r="O23" s="26"/>
      <x:c r="P23" s="19"/>
      <x:c r="Q23" s="19"/>
    </x:row>
    <x:row r="24">
      <x:c r="A24" s="19"/>
      <x:c r="B24" s="19"/>
      <x:c r="C24" s="19"/>
      <x:c r="D24" s="19"/>
      <x:c r="E24" s="19"/>
      <x:c r="F24" s="19"/>
      <x:c r="G24" s="20"/>
      <x:c r="H24" s="26"/>
      <x:c r="I24" s="19"/>
      <x:c r="J24" s="19"/>
      <x:c r="K24" s="19"/>
      <x:c r="L24" s="19"/>
      <x:c r="M24" s="26"/>
      <x:c r="N24" s="19"/>
      <x:c r="O24" s="26"/>
      <x:c r="P24" s="19"/>
      <x:c r="Q24" s="19"/>
    </x:row>
    <x:row r="25">
      <x:c r="A25" s="19"/>
      <x:c r="B25" s="19"/>
      <x:c r="C25" s="19"/>
      <x:c r="D25" s="19"/>
      <x:c r="E25" s="19"/>
      <x:c r="F25" s="19"/>
      <x:c r="G25" s="20"/>
      <x:c r="H25" s="26"/>
      <x:c r="I25" s="19"/>
      <x:c r="J25" s="19"/>
      <x:c r="K25" s="19"/>
      <x:c r="L25" s="19"/>
      <x:c r="M25" s="26"/>
      <x:c r="N25" s="19"/>
      <x:c r="O25" s="26"/>
      <x:c r="P25" s="19"/>
      <x:c r="Q25" s="19"/>
    </x:row>
    <x:row r="26">
      <x:c r="A26" s="19"/>
      <x:c r="B26" s="19"/>
      <x:c r="C26" s="19"/>
      <x:c r="D26" s="19"/>
      <x:c r="E26" s="19"/>
      <x:c r="F26" s="19"/>
      <x:c r="G26" s="20"/>
      <x:c r="H26" s="26"/>
      <x:c r="I26" s="19"/>
      <x:c r="J26" s="19"/>
      <x:c r="K26" s="19"/>
      <x:c r="L26" s="19"/>
      <x:c r="M26" s="26"/>
      <x:c r="N26" s="19"/>
      <x:c r="O26" s="26"/>
      <x:c r="P26" s="19"/>
      <x:c r="Q26" s="19"/>
    </x:row>
    <x:row r="27">
      <x:c r="A27" s="19"/>
      <x:c r="B27" s="19"/>
      <x:c r="C27" s="19"/>
      <x:c r="D27" s="19"/>
      <x:c r="E27" s="19"/>
      <x:c r="F27" s="19"/>
      <x:c r="G27" s="20"/>
      <x:c r="H27" s="26"/>
      <x:c r="I27" s="19"/>
      <x:c r="J27" s="19"/>
      <x:c r="K27" s="19"/>
      <x:c r="L27" s="19"/>
      <x:c r="M27" s="26"/>
      <x:c r="N27" s="19"/>
      <x:c r="O27" s="26"/>
      <x:c r="P27" s="19"/>
      <x:c r="Q27" s="19"/>
    </x:row>
    <x:row r="28">
      <x:c r="A28" s="19"/>
      <x:c r="B28" s="19"/>
      <x:c r="C28" s="19"/>
      <x:c r="D28" s="19"/>
      <x:c r="E28" s="19"/>
      <x:c r="F28" s="19"/>
      <x:c r="G28" s="20"/>
      <x:c r="H28" s="26"/>
      <x:c r="I28" s="19"/>
      <x:c r="J28" s="19"/>
      <x:c r="K28" s="19"/>
      <x:c r="L28" s="19"/>
      <x:c r="M28" s="26"/>
      <x:c r="N28" s="19"/>
      <x:c r="O28" s="26"/>
      <x:c r="P28" s="19"/>
      <x:c r="Q28" s="19"/>
    </x:row>
    <x:row r="29">
      <x:c r="A29" s="19"/>
      <x:c r="B29" s="19"/>
      <x:c r="C29" s="19"/>
      <x:c r="D29" s="19"/>
      <x:c r="E29" s="19"/>
      <x:c r="F29" s="19"/>
      <x:c r="G29" s="20"/>
      <x:c r="H29" s="26"/>
      <x:c r="I29" s="19"/>
      <x:c r="J29" s="19"/>
      <x:c r="K29" s="19"/>
      <x:c r="L29" s="19"/>
      <x:c r="M29" s="26"/>
      <x:c r="N29" s="19"/>
      <x:c r="O29" s="26"/>
      <x:c r="P29" s="19"/>
      <x:c r="Q29" s="19"/>
    </x:row>
    <x:row r="30">
      <x:c r="A30" s="19"/>
      <x:c r="B30" s="19"/>
      <x:c r="C30" s="19"/>
      <x:c r="D30" s="19"/>
      <x:c r="E30" s="19"/>
      <x:c r="F30" s="19"/>
      <x:c r="G30" s="20"/>
      <x:c r="H30" s="26"/>
      <x:c r="I30" s="19"/>
      <x:c r="J30" s="19"/>
      <x:c r="K30" s="19"/>
      <x:c r="L30" s="19"/>
      <x:c r="M30" s="26"/>
      <x:c r="N30" s="19"/>
      <x:c r="O30" s="26"/>
      <x:c r="P30" s="19"/>
      <x:c r="Q30" s="19"/>
    </x:row>
    <x:row r="31">
      <x:c r="A31" s="19"/>
      <x:c r="B31" s="19"/>
      <x:c r="C31" s="19"/>
      <x:c r="D31" s="19"/>
      <x:c r="E31" s="19"/>
      <x:c r="F31" s="19"/>
      <x:c r="G31" s="20"/>
      <x:c r="H31" s="26"/>
      <x:c r="I31" s="19"/>
      <x:c r="J31" s="19"/>
      <x:c r="K31" s="19"/>
      <x:c r="L31" s="19"/>
      <x:c r="M31" s="26"/>
      <x:c r="N31" s="19"/>
      <x:c r="O31" s="26"/>
      <x:c r="P31" s="19"/>
      <x:c r="Q31" s="19"/>
    </x:row>
    <x:row r="32">
      <x:c r="A32" s="19"/>
      <x:c r="B32" s="19"/>
      <x:c r="C32" s="19"/>
      <x:c r="D32" s="19"/>
      <x:c r="E32" s="19"/>
      <x:c r="F32" s="19"/>
      <x:c r="G32" s="20"/>
      <x:c r="H32" s="26"/>
      <x:c r="I32" s="19"/>
      <x:c r="J32" s="19"/>
      <x:c r="K32" s="19"/>
      <x:c r="L32" s="19"/>
      <x:c r="M32" s="26"/>
      <x:c r="N32" s="19"/>
      <x:c r="O32" s="26"/>
      <x:c r="P32" s="19"/>
      <x:c r="Q32" s="19"/>
    </x:row>
    <x:row r="33">
      <x:c r="A33" s="19"/>
      <x:c r="B33" s="19"/>
      <x:c r="C33" s="19"/>
      <x:c r="D33" s="19"/>
      <x:c r="E33" s="19"/>
      <x:c r="F33" s="19"/>
      <x:c r="G33" s="20"/>
      <x:c r="H33" s="26"/>
      <x:c r="I33" s="19"/>
      <x:c r="J33" s="19"/>
      <x:c r="K33" s="19"/>
      <x:c r="L33" s="19"/>
      <x:c r="M33" s="26"/>
      <x:c r="N33" s="19"/>
      <x:c r="O33" s="26"/>
      <x:c r="P33" s="19"/>
      <x:c r="Q33" s="19"/>
    </x:row>
    <x:row r="34">
      <x:c r="A34" s="19"/>
      <x:c r="B34" s="19"/>
      <x:c r="C34" s="19"/>
      <x:c r="D34" s="19"/>
      <x:c r="E34" s="19"/>
      <x:c r="F34" s="19"/>
      <x:c r="G34" s="20"/>
      <x:c r="H34" s="26"/>
      <x:c r="I34" s="19"/>
      <x:c r="J34" s="19"/>
      <x:c r="K34" s="19"/>
      <x:c r="L34" s="19"/>
      <x:c r="M34" s="26"/>
      <x:c r="N34" s="19"/>
      <x:c r="O34" s="26"/>
      <x:c r="P34" s="19"/>
      <x:c r="Q34" s="19"/>
    </x:row>
    <x:row r="35">
      <x:c r="A35" s="19"/>
      <x:c r="B35" s="19"/>
      <x:c r="C35" s="19"/>
      <x:c r="D35" s="19"/>
      <x:c r="E35" s="19"/>
      <x:c r="F35" s="19"/>
      <x:c r="G35" s="20"/>
      <x:c r="H35" s="26"/>
      <x:c r="I35" s="19"/>
      <x:c r="J35" s="19"/>
      <x:c r="K35" s="19"/>
      <x:c r="L35" s="19"/>
      <x:c r="M35" s="26"/>
      <x:c r="N35" s="19"/>
      <x:c r="O35" s="26"/>
      <x:c r="P35" s="19"/>
      <x:c r="Q35" s="19"/>
    </x:row>
    <x:row r="36">
      <x:c r="A36" s="19"/>
      <x:c r="B36" s="19"/>
      <x:c r="C36" s="19"/>
      <x:c r="D36" s="19"/>
      <x:c r="E36" s="19"/>
      <x:c r="F36" s="19"/>
      <x:c r="G36" s="20"/>
      <x:c r="H36" s="26"/>
      <x:c r="I36" s="19"/>
      <x:c r="J36" s="19"/>
      <x:c r="K36" s="19"/>
      <x:c r="L36" s="19"/>
      <x:c r="M36" s="26"/>
      <x:c r="N36" s="19"/>
      <x:c r="O36" s="26"/>
      <x:c r="P36" s="19"/>
      <x:c r="Q36" s="19"/>
    </x:row>
    <x:row r="37">
      <x:c r="A37" s="19"/>
      <x:c r="B37" s="19"/>
      <x:c r="C37" s="19"/>
      <x:c r="D37" s="19"/>
      <x:c r="E37" s="19"/>
      <x:c r="F37" s="19"/>
      <x:c r="G37" s="20"/>
      <x:c r="H37" s="26"/>
      <x:c r="I37" s="19"/>
      <x:c r="J37" s="19"/>
      <x:c r="K37" s="19"/>
      <x:c r="L37" s="19"/>
      <x:c r="M37" s="26"/>
      <x:c r="N37" s="19"/>
      <x:c r="O37" s="26"/>
      <x:c r="P37" s="19"/>
      <x:c r="Q37" s="19"/>
    </x:row>
    <x:row r="38">
      <x:c r="A38" s="19"/>
      <x:c r="B38" s="19"/>
      <x:c r="C38" s="19"/>
      <x:c r="D38" s="19"/>
      <x:c r="E38" s="19"/>
      <x:c r="F38" s="19"/>
      <x:c r="G38" s="20"/>
      <x:c r="H38" s="26"/>
      <x:c r="I38" s="19"/>
      <x:c r="J38" s="19"/>
      <x:c r="K38" s="19"/>
      <x:c r="L38" s="19"/>
      <x:c r="M38" s="26"/>
      <x:c r="N38" s="19"/>
      <x:c r="O38" s="26"/>
      <x:c r="P38" s="19"/>
      <x:c r="Q38" s="19"/>
    </x:row>
    <x:row r="39">
      <x:c r="A39" s="19"/>
      <x:c r="B39" s="19"/>
      <x:c r="C39" s="19"/>
      <x:c r="D39" s="19"/>
      <x:c r="E39" s="19"/>
      <x:c r="F39" s="19"/>
      <x:c r="G39" s="20"/>
      <x:c r="H39" s="26"/>
      <x:c r="I39" s="19"/>
      <x:c r="J39" s="19"/>
      <x:c r="K39" s="19"/>
      <x:c r="L39" s="19"/>
      <x:c r="M39" s="26"/>
      <x:c r="N39" s="19"/>
      <x:c r="O39" s="26"/>
      <x:c r="P39" s="19"/>
      <x:c r="Q39" s="19"/>
    </x:row>
    <x:row r="40">
      <x:c r="A40" s="19"/>
      <x:c r="B40" s="19"/>
      <x:c r="C40" s="19"/>
      <x:c r="D40" s="19"/>
      <x:c r="E40" s="19"/>
      <x:c r="F40" s="19"/>
      <x:c r="G40" s="20"/>
      <x:c r="H40" s="26"/>
      <x:c r="I40" s="19"/>
      <x:c r="J40" s="19"/>
      <x:c r="K40" s="19"/>
      <x:c r="L40" s="19"/>
      <x:c r="M40" s="26"/>
      <x:c r="N40" s="19"/>
      <x:c r="O40" s="26"/>
      <x:c r="P40" s="19"/>
      <x:c r="Q40" s="19"/>
    </x:row>
    <x:row r="41">
      <x:c r="A41" s="19"/>
      <x:c r="B41" s="19"/>
      <x:c r="C41" s="19"/>
      <x:c r="D41" s="19"/>
      <x:c r="E41" s="19"/>
      <x:c r="F41" s="19"/>
      <x:c r="G41" s="20"/>
      <x:c r="H41" s="26"/>
      <x:c r="I41" s="19"/>
      <x:c r="J41" s="19"/>
      <x:c r="K41" s="19"/>
      <x:c r="L41" s="19"/>
      <x:c r="M41" s="26"/>
      <x:c r="N41" s="19"/>
      <x:c r="O41" s="26"/>
      <x:c r="P41" s="19"/>
      <x:c r="Q41" s="19"/>
    </x:row>
    <x:row r="42">
      <x:c r="A42" s="19"/>
      <x:c r="B42" s="19"/>
      <x:c r="C42" s="19"/>
      <x:c r="D42" s="19"/>
      <x:c r="E42" s="19"/>
      <x:c r="F42" s="19"/>
      <x:c r="G42" s="20"/>
      <x:c r="H42" s="26"/>
      <x:c r="I42" s="19"/>
      <x:c r="J42" s="19"/>
      <x:c r="K42" s="19"/>
      <x:c r="L42" s="19"/>
      <x:c r="M42" s="26"/>
      <x:c r="N42" s="19"/>
      <x:c r="O42" s="26"/>
      <x:c r="P42" s="19"/>
      <x:c r="Q42" s="19"/>
    </x:row>
    <x:row r="43">
      <x:c r="A43" s="19"/>
      <x:c r="B43" s="19"/>
      <x:c r="C43" s="19"/>
      <x:c r="D43" s="19"/>
      <x:c r="E43" s="19"/>
      <x:c r="F43" s="19"/>
      <x:c r="G43" s="20"/>
      <x:c r="H43" s="26"/>
      <x:c r="I43" s="19"/>
      <x:c r="J43" s="19"/>
      <x:c r="K43" s="19"/>
      <x:c r="L43" s="19"/>
      <x:c r="M43" s="26"/>
      <x:c r="N43" s="19"/>
      <x:c r="O43" s="26"/>
      <x:c r="P43" s="19"/>
      <x:c r="Q43" s="19"/>
    </x:row>
    <x:row r="44">
      <x:c r="A44" s="19"/>
      <x:c r="B44" s="19"/>
      <x:c r="C44" s="19"/>
      <x:c r="D44" s="19"/>
      <x:c r="E44" s="19"/>
      <x:c r="F44" s="19"/>
      <x:c r="G44" s="20"/>
      <x:c r="H44" s="26"/>
      <x:c r="I44" s="19"/>
      <x:c r="J44" s="19"/>
      <x:c r="K44" s="19"/>
      <x:c r="L44" s="19"/>
      <x:c r="M44" s="26"/>
      <x:c r="N44" s="19"/>
      <x:c r="O44" s="26"/>
      <x:c r="P44" s="19"/>
      <x:c r="Q44" s="19"/>
    </x:row>
    <x:row r="45">
      <x:c r="A45" s="19"/>
      <x:c r="B45" s="19"/>
      <x:c r="C45" s="19"/>
      <x:c r="D45" s="19"/>
      <x:c r="E45" s="19"/>
      <x:c r="F45" s="19"/>
      <x:c r="G45" s="20"/>
      <x:c r="H45" s="26"/>
      <x:c r="I45" s="19"/>
      <x:c r="J45" s="19"/>
      <x:c r="K45" s="19"/>
      <x:c r="L45" s="19"/>
      <x:c r="M45" s="26"/>
      <x:c r="N45" s="19"/>
      <x:c r="O45" s="26"/>
      <x:c r="P45" s="19"/>
      <x:c r="Q45" s="19"/>
    </x:row>
    <x:row r="46">
      <x:c r="A46" s="19"/>
      <x:c r="B46" s="19"/>
      <x:c r="C46" s="19"/>
      <x:c r="D46" s="19"/>
      <x:c r="E46" s="19"/>
      <x:c r="F46" s="19"/>
      <x:c r="G46" s="20"/>
      <x:c r="H46" s="26"/>
      <x:c r="I46" s="19"/>
      <x:c r="J46" s="19"/>
      <x:c r="K46" s="19"/>
      <x:c r="L46" s="19"/>
      <x:c r="M46" s="26"/>
      <x:c r="N46" s="19"/>
      <x:c r="O46" s="26"/>
      <x:c r="P46" s="19"/>
      <x:c r="Q46" s="19"/>
    </x:row>
    <x:row r="47">
      <x:c r="A47" s="19"/>
      <x:c r="B47" s="19"/>
      <x:c r="C47" s="19"/>
      <x:c r="D47" s="19"/>
      <x:c r="E47" s="19"/>
      <x:c r="F47" s="19"/>
      <x:c r="G47" s="20"/>
      <x:c r="H47" s="26"/>
      <x:c r="I47" s="19"/>
      <x:c r="J47" s="19"/>
      <x:c r="K47" s="19"/>
      <x:c r="L47" s="19"/>
      <x:c r="M47" s="26"/>
      <x:c r="N47" s="19"/>
      <x:c r="O47" s="26"/>
      <x:c r="P47" s="19"/>
      <x:c r="Q47" s="19"/>
    </x:row>
    <x:row r="48">
      <x:c r="A48" s="19"/>
      <x:c r="B48" s="19"/>
      <x:c r="C48" s="19"/>
      <x:c r="D48" s="19"/>
      <x:c r="E48" s="19"/>
      <x:c r="F48" s="19"/>
      <x:c r="G48" s="20"/>
      <x:c r="H48" s="26"/>
      <x:c r="I48" s="19"/>
      <x:c r="J48" s="19"/>
      <x:c r="K48" s="19"/>
      <x:c r="L48" s="19"/>
      <x:c r="M48" s="26"/>
      <x:c r="N48" s="19"/>
      <x:c r="O48" s="26"/>
      <x:c r="P48" s="19"/>
      <x:c r="Q48" s="19"/>
    </x:row>
    <x:row r="49">
      <x:c r="A49" s="19"/>
      <x:c r="B49" s="19"/>
      <x:c r="C49" s="19"/>
      <x:c r="D49" s="19"/>
      <x:c r="E49" s="19"/>
      <x:c r="F49" s="19"/>
      <x:c r="G49" s="20"/>
      <x:c r="H49" s="26"/>
      <x:c r="I49" s="19"/>
      <x:c r="J49" s="19"/>
      <x:c r="K49" s="19"/>
      <x:c r="L49" s="19"/>
      <x:c r="M49" s="26"/>
      <x:c r="N49" s="19"/>
      <x:c r="O49" s="26"/>
      <x:c r="P49" s="19"/>
      <x:c r="Q49" s="19"/>
    </x:row>
    <x:row r="50">
      <x:c r="A50" s="19"/>
      <x:c r="B50" s="19"/>
      <x:c r="C50" s="19"/>
      <x:c r="D50" s="19"/>
      <x:c r="E50" s="19"/>
      <x:c r="F50" s="19"/>
      <x:c r="G50" s="20"/>
      <x:c r="H50" s="26"/>
      <x:c r="I50" s="19"/>
      <x:c r="J50" s="19"/>
      <x:c r="K50" s="19"/>
      <x:c r="L50" s="19"/>
      <x:c r="M50" s="26"/>
      <x:c r="N50" s="19"/>
      <x:c r="O50" s="26"/>
      <x:c r="P50" s="19"/>
      <x:c r="Q50" s="19"/>
    </x:row>
    <x:row r="51">
      <x:c r="A51" s="19"/>
      <x:c r="B51" s="19"/>
      <x:c r="C51" s="19"/>
      <x:c r="D51" s="19"/>
      <x:c r="E51" s="19"/>
      <x:c r="F51" s="19"/>
      <x:c r="G51" s="20"/>
      <x:c r="H51" s="26"/>
      <x:c r="I51" s="19"/>
      <x:c r="J51" s="19"/>
      <x:c r="K51" s="19"/>
      <x:c r="L51" s="19"/>
      <x:c r="M51" s="26"/>
      <x:c r="N51" s="19"/>
      <x:c r="O51" s="26"/>
      <x:c r="P51" s="19"/>
      <x:c r="Q51" s="19"/>
    </x:row>
    <x:row r="52">
      <x:c r="A52" s="19"/>
      <x:c r="B52" s="19"/>
      <x:c r="C52" s="19"/>
      <x:c r="D52" s="19"/>
      <x:c r="E52" s="19"/>
      <x:c r="F52" s="19"/>
      <x:c r="G52" s="20"/>
      <x:c r="H52" s="26"/>
      <x:c r="I52" s="19"/>
      <x:c r="J52" s="19"/>
      <x:c r="K52" s="19"/>
      <x:c r="L52" s="19"/>
      <x:c r="M52" s="26"/>
      <x:c r="N52" s="19"/>
      <x:c r="O52" s="26"/>
      <x:c r="P52" s="19"/>
      <x:c r="Q52" s="19"/>
    </x:row>
    <x:row r="53">
      <x:c r="A53" s="19"/>
      <x:c r="B53" s="19"/>
      <x:c r="C53" s="19"/>
      <x:c r="D53" s="19"/>
      <x:c r="E53" s="19"/>
      <x:c r="F53" s="19"/>
      <x:c r="G53" s="20"/>
      <x:c r="H53" s="26"/>
      <x:c r="I53" s="19"/>
      <x:c r="J53" s="19"/>
      <x:c r="K53" s="19"/>
      <x:c r="L53" s="19"/>
      <x:c r="M53" s="26"/>
      <x:c r="N53" s="19"/>
      <x:c r="O53" s="26"/>
      <x:c r="P53" s="19"/>
      <x:c r="Q53" s="19"/>
    </x:row>
    <x:row r="54">
      <x:c r="A54" s="19"/>
      <x:c r="B54" s="19"/>
      <x:c r="C54" s="19"/>
      <x:c r="D54" s="19"/>
      <x:c r="E54" s="19"/>
      <x:c r="F54" s="19"/>
      <x:c r="G54" s="20"/>
      <x:c r="H54" s="26"/>
      <x:c r="I54" s="19"/>
      <x:c r="J54" s="19"/>
      <x:c r="K54" s="19"/>
      <x:c r="L54" s="19"/>
      <x:c r="M54" s="26"/>
      <x:c r="N54" s="19"/>
      <x:c r="O54" s="26"/>
      <x:c r="P54" s="19"/>
      <x:c r="Q54" s="19"/>
    </x:row>
    <x:row r="55">
      <x:c r="A55" s="19"/>
      <x:c r="B55" s="19"/>
      <x:c r="C55" s="19"/>
      <x:c r="D55" s="19"/>
      <x:c r="E55" s="19"/>
      <x:c r="F55" s="19"/>
      <x:c r="G55" s="20"/>
      <x:c r="H55" s="26"/>
      <x:c r="I55" s="19"/>
      <x:c r="J55" s="19"/>
      <x:c r="K55" s="19"/>
      <x:c r="L55" s="19"/>
      <x:c r="M55" s="26"/>
      <x:c r="N55" s="19"/>
      <x:c r="O55" s="26"/>
      <x:c r="P55" s="19"/>
      <x:c r="Q55" s="19"/>
    </x:row>
    <x:row r="56">
      <x:c r="A56" s="19"/>
      <x:c r="B56" s="19"/>
      <x:c r="C56" s="19"/>
      <x:c r="D56" s="19"/>
      <x:c r="E56" s="19"/>
      <x:c r="F56" s="19"/>
      <x:c r="G56" s="20"/>
      <x:c r="H56" s="26"/>
      <x:c r="I56" s="19"/>
      <x:c r="J56" s="19"/>
      <x:c r="K56" s="19"/>
      <x:c r="L56" s="19"/>
      <x:c r="M56" s="26"/>
      <x:c r="N56" s="19"/>
      <x:c r="O56" s="26"/>
      <x:c r="P56" s="19"/>
      <x:c r="Q56" s="19"/>
    </x:row>
    <x:row r="57">
      <x:c r="A57" s="19"/>
      <x:c r="B57" s="19"/>
      <x:c r="C57" s="19"/>
      <x:c r="D57" s="19"/>
      <x:c r="E57" s="19"/>
      <x:c r="F57" s="19"/>
      <x:c r="G57" s="20"/>
      <x:c r="H57" s="26"/>
      <x:c r="I57" s="19"/>
      <x:c r="J57" s="19"/>
      <x:c r="K57" s="19"/>
      <x:c r="L57" s="19"/>
      <x:c r="M57" s="26"/>
      <x:c r="N57" s="19"/>
      <x:c r="O57" s="26"/>
      <x:c r="P57" s="19"/>
      <x:c r="Q57" s="19"/>
    </x:row>
    <x:row r="58">
      <x:c r="A58" s="19"/>
      <x:c r="B58" s="19"/>
      <x:c r="C58" s="19"/>
      <x:c r="D58" s="19"/>
      <x:c r="E58" s="19"/>
      <x:c r="F58" s="19"/>
      <x:c r="G58" s="20"/>
      <x:c r="H58" s="26"/>
      <x:c r="I58" s="19"/>
      <x:c r="J58" s="19"/>
      <x:c r="K58" s="19"/>
      <x:c r="L58" s="19"/>
      <x:c r="M58" s="26"/>
      <x:c r="N58" s="19"/>
      <x:c r="O58" s="26"/>
      <x:c r="P58" s="19"/>
      <x:c r="Q58" s="19"/>
    </x:row>
    <x:row r="59">
      <x:c r="A59" s="19"/>
      <x:c r="B59" s="19"/>
      <x:c r="C59" s="19"/>
      <x:c r="D59" s="19"/>
      <x:c r="E59" s="19"/>
      <x:c r="F59" s="19"/>
      <x:c r="G59" s="20"/>
      <x:c r="H59" s="26"/>
      <x:c r="I59" s="19"/>
      <x:c r="J59" s="19"/>
      <x:c r="K59" s="19"/>
      <x:c r="L59" s="19"/>
      <x:c r="M59" s="26"/>
      <x:c r="N59" s="19"/>
      <x:c r="O59" s="26"/>
      <x:c r="P59" s="19"/>
      <x:c r="Q59" s="19"/>
    </x:row>
    <x:row r="60">
      <x:c r="A60" s="19"/>
      <x:c r="B60" s="19"/>
      <x:c r="C60" s="19"/>
      <x:c r="D60" s="19"/>
      <x:c r="E60" s="19"/>
      <x:c r="F60" s="19"/>
      <x:c r="G60" s="20"/>
      <x:c r="H60" s="26"/>
      <x:c r="I60" s="19"/>
      <x:c r="J60" s="19"/>
      <x:c r="K60" s="19"/>
      <x:c r="L60" s="19"/>
      <x:c r="M60" s="26"/>
      <x:c r="N60" s="19"/>
      <x:c r="O60" s="26"/>
      <x:c r="P60" s="19"/>
      <x:c r="Q60" s="19"/>
    </x:row>
    <x:row r="61">
      <x:c r="A61" s="19"/>
      <x:c r="B61" s="19"/>
      <x:c r="C61" s="19"/>
      <x:c r="D61" s="19"/>
      <x:c r="E61" s="19"/>
      <x:c r="F61" s="19"/>
      <x:c r="G61" s="20"/>
      <x:c r="H61" s="26"/>
      <x:c r="I61" s="19"/>
      <x:c r="J61" s="19"/>
      <x:c r="K61" s="19"/>
      <x:c r="L61" s="19"/>
      <x:c r="M61" s="26"/>
      <x:c r="N61" s="19"/>
      <x:c r="O61" s="26"/>
      <x:c r="P61" s="19"/>
      <x:c r="Q61" s="19"/>
    </x:row>
    <x:row r="62">
      <x:c r="A62" s="19"/>
      <x:c r="B62" s="19"/>
      <x:c r="C62" s="19"/>
      <x:c r="D62" s="19"/>
      <x:c r="E62" s="19"/>
      <x:c r="F62" s="19"/>
      <x:c r="G62" s="20"/>
      <x:c r="H62" s="26"/>
      <x:c r="I62" s="19"/>
      <x:c r="J62" s="19"/>
      <x:c r="K62" s="19"/>
      <x:c r="L62" s="19"/>
      <x:c r="M62" s="26"/>
      <x:c r="N62" s="19"/>
      <x:c r="O62" s="26"/>
      <x:c r="P62" s="19"/>
      <x:c r="Q62" s="19"/>
    </x:row>
    <x:row r="63">
      <x:c r="A63" s="19"/>
      <x:c r="B63" s="19"/>
      <x:c r="C63" s="19"/>
      <x:c r="D63" s="19"/>
      <x:c r="E63" s="19"/>
      <x:c r="F63" s="19"/>
      <x:c r="G63" s="20"/>
      <x:c r="H63" s="26"/>
      <x:c r="I63" s="19"/>
      <x:c r="J63" s="19"/>
      <x:c r="K63" s="19"/>
      <x:c r="L63" s="19"/>
      <x:c r="M63" s="26"/>
      <x:c r="N63" s="19"/>
      <x:c r="O63" s="26"/>
      <x:c r="P63" s="19"/>
      <x:c r="Q63" s="19"/>
    </x:row>
    <x:row r="64">
      <x:c r="A64" s="19"/>
      <x:c r="B64" s="19"/>
      <x:c r="C64" s="19"/>
      <x:c r="D64" s="19"/>
      <x:c r="E64" s="19"/>
      <x:c r="F64" s="19"/>
      <x:c r="G64" s="20"/>
      <x:c r="H64" s="26"/>
      <x:c r="I64" s="19"/>
      <x:c r="J64" s="19"/>
      <x:c r="K64" s="19"/>
      <x:c r="L64" s="19"/>
      <x:c r="M64" s="26"/>
      <x:c r="N64" s="19"/>
      <x:c r="O64" s="26"/>
      <x:c r="P64" s="19"/>
      <x:c r="Q64" s="19"/>
    </x:row>
    <x:row r="65">
      <x:c r="A65" s="19"/>
      <x:c r="B65" s="19"/>
      <x:c r="C65" s="19"/>
      <x:c r="D65" s="19"/>
      <x:c r="E65" s="19"/>
      <x:c r="F65" s="19"/>
      <x:c r="G65" s="20"/>
      <x:c r="H65" s="26"/>
      <x:c r="I65" s="19"/>
      <x:c r="J65" s="19"/>
      <x:c r="K65" s="19"/>
      <x:c r="L65" s="19"/>
      <x:c r="M65" s="26"/>
      <x:c r="N65" s="19"/>
      <x:c r="O65" s="26"/>
      <x:c r="P65" s="19"/>
      <x:c r="Q65" s="19"/>
    </x:row>
    <x:row r="66">
      <x:c r="A66" s="19"/>
      <x:c r="B66" s="19"/>
      <x:c r="C66" s="19"/>
      <x:c r="D66" s="19"/>
      <x:c r="E66" s="19"/>
      <x:c r="F66" s="19"/>
      <x:c r="G66" s="20"/>
      <x:c r="H66" s="26"/>
      <x:c r="I66" s="19"/>
      <x:c r="J66" s="19"/>
      <x:c r="K66" s="19"/>
      <x:c r="L66" s="19"/>
      <x:c r="M66" s="26"/>
      <x:c r="N66" s="19"/>
      <x:c r="O66" s="26"/>
      <x:c r="P66" s="19"/>
      <x:c r="Q66" s="19"/>
    </x:row>
    <x:row r="67">
      <x:c r="A67" s="19"/>
      <x:c r="B67" s="19"/>
      <x:c r="C67" s="19"/>
      <x:c r="D67" s="19"/>
      <x:c r="E67" s="19"/>
      <x:c r="F67" s="19"/>
      <x:c r="G67" s="20"/>
      <x:c r="H67" s="26"/>
      <x:c r="I67" s="19"/>
      <x:c r="J67" s="19"/>
      <x:c r="K67" s="19"/>
      <x:c r="L67" s="19"/>
      <x:c r="M67" s="26"/>
      <x:c r="N67" s="19"/>
      <x:c r="O67" s="26"/>
      <x:c r="P67" s="19"/>
      <x:c r="Q67" s="19"/>
    </x:row>
    <x:row r="68">
      <x:c r="A68" s="19"/>
      <x:c r="B68" s="19"/>
      <x:c r="C68" s="19"/>
      <x:c r="D68" s="19"/>
      <x:c r="E68" s="19"/>
      <x:c r="F68" s="19"/>
      <x:c r="G68" s="20"/>
      <x:c r="H68" s="26"/>
      <x:c r="I68" s="19"/>
      <x:c r="J68" s="19"/>
      <x:c r="K68" s="19"/>
      <x:c r="L68" s="19"/>
      <x:c r="M68" s="26"/>
      <x:c r="N68" s="19"/>
      <x:c r="O68" s="26"/>
      <x:c r="P68" s="19"/>
      <x:c r="Q68" s="19"/>
    </x:row>
    <x:row r="69">
      <x:c r="A69" s="19"/>
      <x:c r="B69" s="19"/>
      <x:c r="C69" s="19"/>
      <x:c r="D69" s="19"/>
      <x:c r="E69" s="19"/>
      <x:c r="F69" s="19"/>
      <x:c r="G69" s="20"/>
      <x:c r="H69" s="26"/>
      <x:c r="I69" s="19"/>
      <x:c r="J69" s="19"/>
      <x:c r="K69" s="19"/>
      <x:c r="L69" s="19"/>
      <x:c r="M69" s="26"/>
      <x:c r="N69" s="19"/>
      <x:c r="O69" s="26"/>
      <x:c r="P69" s="19"/>
      <x:c r="Q69" s="19"/>
    </x:row>
    <x:row r="70">
      <x:c r="A70" s="19"/>
      <x:c r="B70" s="19"/>
      <x:c r="C70" s="19"/>
      <x:c r="D70" s="19"/>
      <x:c r="E70" s="19"/>
      <x:c r="F70" s="19"/>
      <x:c r="G70" s="20"/>
      <x:c r="H70" s="26"/>
      <x:c r="I70" s="19"/>
      <x:c r="J70" s="19"/>
      <x:c r="K70" s="19"/>
      <x:c r="L70" s="19"/>
      <x:c r="M70" s="26"/>
      <x:c r="N70" s="19"/>
      <x:c r="O70" s="26"/>
      <x:c r="P70" s="19"/>
      <x:c r="Q70" s="19"/>
    </x:row>
    <x:row r="71">
      <x:c r="A71" s="19"/>
      <x:c r="B71" s="19"/>
      <x:c r="C71" s="19"/>
      <x:c r="D71" s="19"/>
      <x:c r="E71" s="19"/>
      <x:c r="F71" s="19"/>
      <x:c r="G71" s="20"/>
      <x:c r="H71" s="26"/>
      <x:c r="I71" s="19"/>
      <x:c r="J71" s="19"/>
      <x:c r="K71" s="19"/>
      <x:c r="L71" s="19"/>
      <x:c r="M71" s="26"/>
      <x:c r="N71" s="19"/>
      <x:c r="O71" s="26"/>
      <x:c r="P71" s="19"/>
      <x:c r="Q71" s="19"/>
    </x:row>
    <x:row r="72">
      <x:c r="A72" s="19"/>
      <x:c r="B72" s="19"/>
      <x:c r="C72" s="19"/>
      <x:c r="D72" s="19"/>
      <x:c r="E72" s="19"/>
      <x:c r="F72" s="19"/>
      <x:c r="G72" s="20"/>
      <x:c r="H72" s="26"/>
      <x:c r="I72" s="19"/>
      <x:c r="J72" s="19"/>
      <x:c r="K72" s="19"/>
      <x:c r="L72" s="19"/>
      <x:c r="M72" s="26"/>
      <x:c r="N72" s="19"/>
      <x:c r="O72" s="26"/>
      <x:c r="P72" s="19"/>
      <x:c r="Q72" s="19"/>
    </x:row>
    <x:row r="73">
      <x:c r="A73" s="19"/>
      <x:c r="B73" s="19"/>
      <x:c r="C73" s="19"/>
      <x:c r="D73" s="19"/>
      <x:c r="E73" s="19"/>
      <x:c r="F73" s="19"/>
      <x:c r="G73" s="20"/>
      <x:c r="H73" s="26"/>
      <x:c r="I73" s="19"/>
      <x:c r="J73" s="19"/>
      <x:c r="K73" s="19"/>
      <x:c r="L73" s="19"/>
      <x:c r="M73" s="26"/>
      <x:c r="N73" s="19"/>
      <x:c r="O73" s="26"/>
      <x:c r="P73" s="19"/>
      <x:c r="Q73" s="19"/>
    </x:row>
    <x:row r="74">
      <x:c r="A74" s="19"/>
      <x:c r="B74" s="19"/>
      <x:c r="C74" s="19"/>
      <x:c r="D74" s="19"/>
      <x:c r="E74" s="19"/>
      <x:c r="F74" s="19"/>
      <x:c r="G74" s="20"/>
      <x:c r="H74" s="26"/>
      <x:c r="I74" s="19"/>
      <x:c r="J74" s="19"/>
      <x:c r="K74" s="19"/>
      <x:c r="L74" s="19"/>
      <x:c r="M74" s="26"/>
      <x:c r="N74" s="19"/>
      <x:c r="O74" s="26"/>
      <x:c r="P74" s="19"/>
      <x:c r="Q74" s="19"/>
    </x:row>
    <x:row r="75">
      <x:c r="A75" s="19"/>
      <x:c r="B75" s="19"/>
      <x:c r="C75" s="19"/>
      <x:c r="D75" s="19"/>
      <x:c r="E75" s="19"/>
      <x:c r="F75" s="19"/>
      <x:c r="G75" s="20"/>
      <x:c r="H75" s="26"/>
      <x:c r="I75" s="19"/>
      <x:c r="J75" s="19"/>
      <x:c r="K75" s="19"/>
      <x:c r="L75" s="19"/>
      <x:c r="M75" s="26"/>
      <x:c r="N75" s="19"/>
      <x:c r="O75" s="26"/>
      <x:c r="P75" s="19"/>
      <x:c r="Q75" s="19"/>
    </x:row>
    <x:row r="76">
      <x:c r="A76" s="19"/>
      <x:c r="B76" s="19"/>
      <x:c r="C76" s="19"/>
      <x:c r="D76" s="19"/>
      <x:c r="E76" s="19"/>
      <x:c r="F76" s="19"/>
      <x:c r="G76" s="20"/>
      <x:c r="H76" s="26"/>
      <x:c r="I76" s="19"/>
      <x:c r="J76" s="19"/>
      <x:c r="K76" s="19"/>
      <x:c r="L76" s="19"/>
      <x:c r="M76" s="26"/>
      <x:c r="N76" s="19"/>
      <x:c r="O76" s="26"/>
      <x:c r="P76" s="19"/>
      <x:c r="Q76" s="19"/>
    </x:row>
    <x:row r="77">
      <x:c r="A77" s="19"/>
      <x:c r="B77" s="19"/>
      <x:c r="C77" s="19"/>
      <x:c r="D77" s="19"/>
      <x:c r="E77" s="19"/>
      <x:c r="F77" s="19"/>
      <x:c r="G77" s="20"/>
      <x:c r="H77" s="26"/>
      <x:c r="I77" s="19"/>
      <x:c r="J77" s="19"/>
      <x:c r="K77" s="19"/>
      <x:c r="L77" s="19"/>
      <x:c r="M77" s="26"/>
      <x:c r="N77" s="19"/>
      <x:c r="O77" s="26"/>
      <x:c r="P77" s="19"/>
      <x:c r="Q77" s="19"/>
    </x:row>
    <x:row r="78">
      <x:c r="A78" s="19"/>
      <x:c r="B78" s="19"/>
      <x:c r="C78" s="19"/>
      <x:c r="D78" s="19"/>
      <x:c r="E78" s="19"/>
      <x:c r="F78" s="19"/>
      <x:c r="G78" s="20"/>
      <x:c r="H78" s="26"/>
      <x:c r="I78" s="19"/>
      <x:c r="J78" s="19"/>
      <x:c r="K78" s="19"/>
      <x:c r="L78" s="19"/>
      <x:c r="M78" s="26"/>
      <x:c r="N78" s="19"/>
      <x:c r="O78" s="26"/>
      <x:c r="P78" s="19"/>
      <x:c r="Q78" s="19"/>
    </x:row>
    <x:row r="79">
      <x:c r="A79" s="19"/>
      <x:c r="B79" s="19"/>
      <x:c r="C79" s="19"/>
      <x:c r="D79" s="19"/>
      <x:c r="E79" s="19"/>
      <x:c r="F79" s="19"/>
      <x:c r="G79" s="20"/>
      <x:c r="H79" s="26"/>
      <x:c r="I79" s="19"/>
      <x:c r="J79" s="19"/>
      <x:c r="K79" s="19"/>
      <x:c r="L79" s="19"/>
      <x:c r="M79" s="26"/>
      <x:c r="N79" s="19"/>
      <x:c r="O79" s="26"/>
      <x:c r="P79" s="19"/>
      <x:c r="Q79" s="19"/>
    </x:row>
    <x:row r="80">
      <x:c r="A80" s="19"/>
      <x:c r="B80" s="19"/>
      <x:c r="C80" s="19"/>
      <x:c r="D80" s="19"/>
      <x:c r="E80" s="19"/>
      <x:c r="F80" s="19"/>
      <x:c r="G80" s="20"/>
      <x:c r="H80" s="26"/>
      <x:c r="I80" s="19"/>
      <x:c r="J80" s="19"/>
      <x:c r="K80" s="19"/>
      <x:c r="L80" s="19"/>
      <x:c r="M80" s="26"/>
      <x:c r="N80" s="19"/>
      <x:c r="O80" s="26"/>
      <x:c r="P80" s="19"/>
      <x:c r="Q80" s="19"/>
    </x:row>
    <x:row r="81">
      <x:c r="A81" s="19"/>
      <x:c r="B81" s="19"/>
      <x:c r="C81" s="19"/>
      <x:c r="D81" s="19"/>
      <x:c r="E81" s="19"/>
      <x:c r="F81" s="19"/>
      <x:c r="G81" s="20"/>
      <x:c r="H81" s="26"/>
      <x:c r="I81" s="19"/>
      <x:c r="J81" s="19"/>
      <x:c r="K81" s="19"/>
      <x:c r="L81" s="19"/>
      <x:c r="M81" s="26"/>
      <x:c r="N81" s="19"/>
      <x:c r="O81" s="26"/>
      <x:c r="P81" s="19"/>
      <x:c r="Q81" s="19"/>
    </x:row>
    <x:row r="82">
      <x:c r="A82" s="19"/>
      <x:c r="B82" s="19"/>
      <x:c r="C82" s="19"/>
      <x:c r="D82" s="19"/>
      <x:c r="E82" s="19"/>
      <x:c r="F82" s="19"/>
      <x:c r="G82" s="20"/>
      <x:c r="H82" s="26"/>
      <x:c r="I82" s="19"/>
      <x:c r="J82" s="19"/>
      <x:c r="K82" s="19"/>
      <x:c r="L82" s="19"/>
      <x:c r="M82" s="26"/>
      <x:c r="N82" s="19"/>
      <x:c r="O82" s="26"/>
      <x:c r="P82" s="19"/>
      <x:c r="Q82" s="19"/>
    </x:row>
    <x:row r="83">
      <x:c r="A83" s="19"/>
      <x:c r="B83" s="19"/>
      <x:c r="C83" s="19"/>
      <x:c r="D83" s="19"/>
      <x:c r="E83" s="19"/>
      <x:c r="F83" s="19"/>
      <x:c r="G83" s="20"/>
      <x:c r="H83" s="26"/>
      <x:c r="I83" s="19"/>
      <x:c r="J83" s="19"/>
      <x:c r="K83" s="19"/>
      <x:c r="L83" s="19"/>
      <x:c r="M83" s="26"/>
      <x:c r="N83" s="19"/>
      <x:c r="O83" s="26"/>
      <x:c r="P83" s="19"/>
      <x:c r="Q83" s="19"/>
    </x:row>
    <x:row r="84">
      <x:c r="A84" s="19"/>
      <x:c r="B84" s="19"/>
      <x:c r="C84" s="19"/>
      <x:c r="D84" s="19"/>
      <x:c r="E84" s="19"/>
      <x:c r="F84" s="19"/>
      <x:c r="G84" s="20"/>
      <x:c r="H84" s="26"/>
      <x:c r="I84" s="19"/>
      <x:c r="J84" s="19"/>
      <x:c r="K84" s="19"/>
      <x:c r="L84" s="19"/>
      <x:c r="M84" s="26"/>
      <x:c r="N84" s="19"/>
      <x:c r="O84" s="26"/>
      <x:c r="P84" s="19"/>
      <x:c r="Q84" s="19"/>
    </x:row>
    <x:row r="85">
      <x:c r="A85" s="19"/>
      <x:c r="B85" s="19"/>
      <x:c r="C85" s="19"/>
      <x:c r="D85" s="19"/>
      <x:c r="E85" s="19"/>
      <x:c r="F85" s="19"/>
      <x:c r="G85" s="20"/>
      <x:c r="H85" s="26"/>
      <x:c r="I85" s="19"/>
      <x:c r="J85" s="19"/>
      <x:c r="K85" s="19"/>
      <x:c r="L85" s="19"/>
      <x:c r="M85" s="26"/>
      <x:c r="N85" s="19"/>
      <x:c r="O85" s="26"/>
      <x:c r="P85" s="19"/>
      <x:c r="Q85" s="19"/>
    </x:row>
    <x:row r="86">
      <x:c r="A86" s="19"/>
      <x:c r="B86" s="19"/>
      <x:c r="C86" s="19"/>
      <x:c r="D86" s="19"/>
      <x:c r="E86" s="19"/>
      <x:c r="F86" s="19"/>
      <x:c r="G86" s="20"/>
      <x:c r="H86" s="26"/>
      <x:c r="I86" s="19"/>
      <x:c r="J86" s="19"/>
      <x:c r="K86" s="19"/>
      <x:c r="L86" s="19"/>
      <x:c r="M86" s="26"/>
      <x:c r="N86" s="19"/>
      <x:c r="O86" s="26"/>
      <x:c r="P86" s="19"/>
      <x:c r="Q86" s="19"/>
    </x:row>
    <x:row r="87">
      <x:c r="A87" s="19"/>
      <x:c r="B87" s="19"/>
      <x:c r="C87" s="19"/>
      <x:c r="D87" s="19"/>
      <x:c r="E87" s="19"/>
      <x:c r="F87" s="19"/>
      <x:c r="G87" s="20"/>
      <x:c r="H87" s="26"/>
      <x:c r="I87" s="19"/>
      <x:c r="J87" s="19"/>
      <x:c r="K87" s="19"/>
      <x:c r="L87" s="19"/>
      <x:c r="M87" s="26"/>
      <x:c r="N87" s="19"/>
      <x:c r="O87" s="26"/>
      <x:c r="P87" s="19"/>
      <x:c r="Q87" s="19"/>
    </x:row>
    <x:row r="88">
      <x:c r="A88" s="19"/>
      <x:c r="B88" s="19"/>
      <x:c r="C88" s="19"/>
      <x:c r="D88" s="19"/>
      <x:c r="E88" s="19"/>
      <x:c r="F88" s="19"/>
      <x:c r="G88" s="20"/>
      <x:c r="H88" s="26"/>
      <x:c r="I88" s="19"/>
      <x:c r="J88" s="19"/>
      <x:c r="K88" s="19"/>
      <x:c r="L88" s="19"/>
      <x:c r="M88" s="26"/>
      <x:c r="N88" s="19"/>
      <x:c r="O88" s="26"/>
      <x:c r="P88" s="19"/>
      <x:c r="Q88" s="19"/>
    </x:row>
    <x:row r="89">
      <x:c r="A89" s="19"/>
      <x:c r="B89" s="19"/>
      <x:c r="C89" s="19"/>
      <x:c r="D89" s="19"/>
      <x:c r="E89" s="19"/>
      <x:c r="F89" s="19"/>
      <x:c r="G89" s="20"/>
      <x:c r="H89" s="26"/>
      <x:c r="I89" s="19"/>
      <x:c r="J89" s="19"/>
      <x:c r="K89" s="19"/>
      <x:c r="L89" s="19"/>
      <x:c r="M89" s="26"/>
      <x:c r="N89" s="19"/>
      <x:c r="O89" s="26"/>
      <x:c r="P89" s="19"/>
      <x:c r="Q89" s="19"/>
    </x:row>
    <x:row r="90">
      <x:c r="A90" s="19"/>
      <x:c r="B90" s="19"/>
      <x:c r="C90" s="19"/>
      <x:c r="D90" s="19"/>
      <x:c r="E90" s="19"/>
      <x:c r="F90" s="19"/>
      <x:c r="G90" s="20"/>
      <x:c r="H90" s="26"/>
      <x:c r="I90" s="19"/>
      <x:c r="J90" s="19"/>
      <x:c r="K90" s="19"/>
      <x:c r="L90" s="19"/>
      <x:c r="M90" s="26"/>
      <x:c r="N90" s="19"/>
      <x:c r="O90" s="26"/>
      <x:c r="P90" s="19"/>
      <x:c r="Q90" s="19"/>
    </x:row>
    <x:row r="91">
      <x:c r="A91" s="19"/>
      <x:c r="B91" s="19"/>
      <x:c r="C91" s="19"/>
      <x:c r="D91" s="19"/>
      <x:c r="E91" s="19"/>
      <x:c r="F91" s="19"/>
      <x:c r="G91" s="20"/>
      <x:c r="H91" s="26"/>
      <x:c r="I91" s="19"/>
      <x:c r="J91" s="19"/>
      <x:c r="K91" s="19"/>
      <x:c r="L91" s="19"/>
      <x:c r="M91" s="26"/>
      <x:c r="N91" s="19"/>
      <x:c r="O91" s="26"/>
      <x:c r="P91" s="19"/>
      <x:c r="Q91" s="19"/>
    </x:row>
    <x:row r="92">
      <x:c r="A92" s="19"/>
      <x:c r="B92" s="19"/>
      <x:c r="C92" s="19"/>
      <x:c r="D92" s="19"/>
      <x:c r="E92" s="19"/>
      <x:c r="F92" s="19"/>
      <x:c r="G92" s="20"/>
      <x:c r="H92" s="26"/>
      <x:c r="I92" s="19"/>
      <x:c r="J92" s="19"/>
      <x:c r="K92" s="19"/>
      <x:c r="L92" s="19"/>
      <x:c r="M92" s="26"/>
      <x:c r="N92" s="19"/>
      <x:c r="O92" s="26"/>
      <x:c r="P92" s="19"/>
      <x:c r="Q92" s="19"/>
    </x:row>
    <x:row r="93">
      <x:c r="A93" s="19"/>
      <x:c r="B93" s="19"/>
      <x:c r="C93" s="19"/>
      <x:c r="D93" s="19"/>
      <x:c r="E93" s="19"/>
      <x:c r="F93" s="19"/>
      <x:c r="G93" s="20"/>
      <x:c r="H93" s="26"/>
      <x:c r="I93" s="19"/>
      <x:c r="J93" s="19"/>
      <x:c r="K93" s="19"/>
      <x:c r="L93" s="19"/>
      <x:c r="M93" s="26"/>
      <x:c r="N93" s="19"/>
      <x:c r="O93" s="26"/>
      <x:c r="P93" s="19"/>
      <x:c r="Q93" s="19"/>
    </x:row>
    <x:row r="94">
      <x:c r="A94" s="19"/>
      <x:c r="B94" s="19"/>
      <x:c r="C94" s="19"/>
      <x:c r="D94" s="19"/>
      <x:c r="E94" s="19"/>
      <x:c r="F94" s="19"/>
      <x:c r="G94" s="20"/>
      <x:c r="H94" s="26"/>
      <x:c r="I94" s="19"/>
      <x:c r="J94" s="19"/>
      <x:c r="K94" s="19"/>
      <x:c r="L94" s="19"/>
      <x:c r="M94" s="26"/>
      <x:c r="N94" s="19"/>
      <x:c r="O94" s="26"/>
      <x:c r="P94" s="19"/>
      <x:c r="Q94" s="19"/>
    </x:row>
    <x:row r="95">
      <x:c r="A95" s="19"/>
      <x:c r="B95" s="19"/>
      <x:c r="C95" s="19"/>
      <x:c r="D95" s="19"/>
      <x:c r="E95" s="19"/>
      <x:c r="F95" s="19"/>
      <x:c r="G95" s="20"/>
      <x:c r="H95" s="26"/>
      <x:c r="I95" s="19"/>
      <x:c r="J95" s="19"/>
      <x:c r="K95" s="19"/>
      <x:c r="L95" s="19"/>
      <x:c r="M95" s="26"/>
      <x:c r="N95" s="19"/>
      <x:c r="O95" s="26"/>
      <x:c r="P95" s="19"/>
      <x:c r="Q95" s="19"/>
    </x:row>
    <x:row r="96">
      <x:c r="A96" s="19"/>
      <x:c r="B96" s="19"/>
      <x:c r="C96" s="19"/>
      <x:c r="D96" s="19"/>
      <x:c r="E96" s="19"/>
      <x:c r="F96" s="19"/>
      <x:c r="G96" s="20"/>
      <x:c r="H96" s="26"/>
      <x:c r="I96" s="19"/>
      <x:c r="J96" s="19"/>
      <x:c r="K96" s="19"/>
      <x:c r="L96" s="19"/>
      <x:c r="M96" s="26"/>
      <x:c r="N96" s="19"/>
      <x:c r="O96" s="26"/>
      <x:c r="P96" s="19"/>
      <x:c r="Q96" s="19"/>
    </x:row>
    <x:row r="97">
      <x:c r="A97" s="19"/>
      <x:c r="B97" s="19"/>
      <x:c r="C97" s="19"/>
      <x:c r="D97" s="19"/>
      <x:c r="E97" s="19"/>
      <x:c r="F97" s="19"/>
      <x:c r="G97" s="20"/>
      <x:c r="H97" s="26"/>
      <x:c r="I97" s="19"/>
      <x:c r="J97" s="19"/>
      <x:c r="K97" s="19"/>
      <x:c r="L97" s="19"/>
      <x:c r="M97" s="26"/>
      <x:c r="N97" s="19"/>
      <x:c r="O97" s="26"/>
      <x:c r="P97" s="19"/>
      <x:c r="Q97" s="19"/>
    </x:row>
    <x:row r="98">
      <x:c r="A98" s="19"/>
      <x:c r="B98" s="19"/>
      <x:c r="C98" s="19"/>
      <x:c r="D98" s="19"/>
      <x:c r="E98" s="19"/>
      <x:c r="F98" s="19"/>
      <x:c r="G98" s="20"/>
      <x:c r="H98" s="26"/>
      <x:c r="I98" s="19"/>
      <x:c r="J98" s="19"/>
      <x:c r="K98" s="19"/>
      <x:c r="L98" s="19"/>
      <x:c r="M98" s="26"/>
      <x:c r="N98" s="19"/>
      <x:c r="O98" s="26"/>
      <x:c r="P98" s="19"/>
      <x:c r="Q98" s="19"/>
    </x:row>
    <x:row r="99">
      <x:c r="A99" s="19"/>
      <x:c r="B99" s="19"/>
      <x:c r="C99" s="19"/>
      <x:c r="D99" s="19"/>
      <x:c r="E99" s="19"/>
      <x:c r="F99" s="19"/>
      <x:c r="G99" s="20"/>
      <x:c r="H99" s="26"/>
      <x:c r="I99" s="19"/>
      <x:c r="J99" s="19"/>
      <x:c r="K99" s="19"/>
      <x:c r="L99" s="19"/>
      <x:c r="M99" s="26"/>
      <x:c r="N99" s="19"/>
      <x:c r="O99" s="26"/>
      <x:c r="P99" s="19"/>
      <x:c r="Q99" s="19"/>
    </x:row>
    <x:row r="100">
      <x:c r="A100" s="19"/>
      <x:c r="B100" s="19"/>
      <x:c r="C100" s="19"/>
      <x:c r="D100" s="19"/>
      <x:c r="E100" s="19"/>
      <x:c r="F100" s="19"/>
      <x:c r="G100" s="20"/>
      <x:c r="H100" s="26"/>
      <x:c r="I100" s="19"/>
      <x:c r="J100" s="19"/>
      <x:c r="K100" s="19"/>
      <x:c r="L100" s="19"/>
      <x:c r="M100" s="26"/>
      <x:c r="N100" s="19"/>
      <x:c r="O100" s="26"/>
      <x:c r="P100" s="19"/>
      <x:c r="Q100" s="19"/>
    </x:row>
    <x:row r="101">
      <x:c r="A101" s="19"/>
      <x:c r="B101" s="19"/>
      <x:c r="C101" s="19"/>
      <x:c r="D101" s="19"/>
      <x:c r="E101" s="19"/>
      <x:c r="F101" s="19"/>
      <x:c r="G101" s="20"/>
      <x:c r="H101" s="26"/>
      <x:c r="I101" s="19"/>
      <x:c r="J101" s="19"/>
      <x:c r="K101" s="19"/>
      <x:c r="L101" s="19"/>
      <x:c r="M101" s="26"/>
      <x:c r="N101" s="19"/>
      <x:c r="O101" s="26"/>
      <x:c r="P101" s="19"/>
      <x:c r="Q101" s="19"/>
    </x:row>
    <x:row r="102">
      <x:c r="A102" s="19"/>
      <x:c r="B102" s="19"/>
      <x:c r="C102" s="19"/>
      <x:c r="D102" s="19"/>
      <x:c r="E102" s="19"/>
      <x:c r="F102" s="19"/>
      <x:c r="G102" s="20"/>
      <x:c r="H102" s="26"/>
      <x:c r="I102" s="19"/>
      <x:c r="J102" s="19"/>
      <x:c r="K102" s="19"/>
      <x:c r="L102" s="19"/>
      <x:c r="M102" s="26"/>
      <x:c r="N102" s="19"/>
      <x:c r="O102" s="26"/>
      <x:c r="P102" s="19"/>
      <x:c r="Q102" s="19"/>
    </x:row>
    <x:row r="103">
      <x:c r="A103" s="19"/>
      <x:c r="B103" s="19"/>
      <x:c r="C103" s="19"/>
      <x:c r="D103" s="19"/>
      <x:c r="E103" s="19"/>
      <x:c r="F103" s="19"/>
      <x:c r="G103" s="20"/>
      <x:c r="H103" s="26"/>
      <x:c r="I103" s="19"/>
      <x:c r="J103" s="19"/>
      <x:c r="K103" s="19"/>
      <x:c r="L103" s="19"/>
      <x:c r="M103" s="26"/>
      <x:c r="N103" s="19"/>
      <x:c r="O103" s="26"/>
      <x:c r="P103" s="19"/>
      <x:c r="Q103" s="19"/>
    </x:row>
    <x:row r="104">
      <x:c r="A104" s="19"/>
      <x:c r="B104" s="19"/>
      <x:c r="C104" s="19"/>
      <x:c r="D104" s="19"/>
      <x:c r="E104" s="19"/>
      <x:c r="F104" s="19"/>
      <x:c r="G104" s="20"/>
      <x:c r="H104" s="26"/>
      <x:c r="I104" s="19"/>
      <x:c r="J104" s="19"/>
      <x:c r="K104" s="19"/>
      <x:c r="L104" s="19"/>
      <x:c r="M104" s="26"/>
      <x:c r="N104" s="19"/>
      <x:c r="O104" s="26"/>
      <x:c r="P104" s="19"/>
      <x:c r="Q104" s="19"/>
    </x:row>
    <x:row r="105">
      <x:c r="A105" s="19"/>
      <x:c r="B105" s="19"/>
      <x:c r="C105" s="19"/>
      <x:c r="D105" s="19"/>
      <x:c r="E105" s="19"/>
      <x:c r="F105" s="19"/>
      <x:c r="G105" s="20"/>
      <x:c r="H105" s="26"/>
      <x:c r="I105" s="19"/>
      <x:c r="J105" s="19"/>
      <x:c r="K105" s="19"/>
      <x:c r="L105" s="19"/>
      <x:c r="M105" s="26"/>
      <x:c r="N105" s="19"/>
      <x:c r="O105" s="26"/>
      <x:c r="P105" s="19"/>
      <x:c r="Q105" s="19"/>
    </x:row>
    <x:row r="106">
      <x:c r="A106" s="19"/>
      <x:c r="B106" s="19"/>
      <x:c r="C106" s="19"/>
      <x:c r="D106" s="19"/>
      <x:c r="E106" s="19"/>
      <x:c r="F106" s="19"/>
      <x:c r="G106" s="20"/>
      <x:c r="H106" s="26"/>
      <x:c r="I106" s="19"/>
      <x:c r="J106" s="19"/>
      <x:c r="K106" s="19"/>
      <x:c r="L106" s="19"/>
      <x:c r="M106" s="26"/>
      <x:c r="N106" s="19"/>
      <x:c r="O106" s="26"/>
      <x:c r="P106" s="19"/>
      <x:c r="Q106" s="19"/>
    </x:row>
    <x:row r="107">
      <x:c r="A107" s="19"/>
      <x:c r="B107" s="19"/>
      <x:c r="C107" s="19"/>
      <x:c r="D107" s="19"/>
      <x:c r="E107" s="19"/>
      <x:c r="F107" s="19"/>
      <x:c r="G107" s="20"/>
      <x:c r="H107" s="26"/>
      <x:c r="I107" s="19"/>
      <x:c r="J107" s="19"/>
      <x:c r="K107" s="19"/>
      <x:c r="L107" s="19"/>
      <x:c r="M107" s="26"/>
      <x:c r="N107" s="19"/>
      <x:c r="O107" s="26"/>
      <x:c r="P107" s="19"/>
      <x:c r="Q107" s="19"/>
    </x:row>
    <x:row r="108">
      <x:c r="A108" s="19"/>
      <x:c r="B108" s="19"/>
      <x:c r="C108" s="19"/>
      <x:c r="D108" s="19"/>
      <x:c r="E108" s="19"/>
      <x:c r="F108" s="19"/>
      <x:c r="G108" s="20"/>
      <x:c r="H108" s="26"/>
      <x:c r="I108" s="19"/>
      <x:c r="J108" s="19"/>
      <x:c r="K108" s="19"/>
      <x:c r="L108" s="19"/>
      <x:c r="M108" s="26"/>
      <x:c r="N108" s="19"/>
      <x:c r="O108" s="26"/>
      <x:c r="P108" s="19"/>
      <x:c r="Q108" s="19"/>
    </x:row>
    <x:row r="109">
      <x:c r="A109" s="19"/>
      <x:c r="B109" s="19"/>
      <x:c r="C109" s="19"/>
      <x:c r="D109" s="19"/>
      <x:c r="E109" s="19"/>
      <x:c r="F109" s="19"/>
      <x:c r="G109" s="20"/>
      <x:c r="H109" s="26"/>
      <x:c r="I109" s="19"/>
      <x:c r="J109" s="19"/>
      <x:c r="K109" s="19"/>
      <x:c r="L109" s="19"/>
      <x:c r="M109" s="26"/>
      <x:c r="N109" s="19"/>
      <x:c r="O109" s="26"/>
      <x:c r="P109" s="19"/>
      <x:c r="Q109" s="19"/>
    </x:row>
    <x:row r="110">
      <x:c r="A110" s="19"/>
      <x:c r="B110" s="19"/>
      <x:c r="C110" s="19"/>
      <x:c r="D110" s="19"/>
      <x:c r="E110" s="19"/>
      <x:c r="F110" s="19"/>
      <x:c r="G110" s="20"/>
      <x:c r="H110" s="26"/>
      <x:c r="I110" s="19"/>
      <x:c r="J110" s="19"/>
      <x:c r="K110" s="19"/>
      <x:c r="L110" s="19"/>
      <x:c r="M110" s="26"/>
      <x:c r="N110" s="19"/>
      <x:c r="O110" s="26"/>
      <x:c r="P110" s="19"/>
      <x:c r="Q110" s="19"/>
    </x:row>
    <x:row r="111">
      <x:c r="A111" s="19"/>
      <x:c r="B111" s="19"/>
      <x:c r="C111" s="19"/>
      <x:c r="D111" s="19"/>
      <x:c r="E111" s="19"/>
      <x:c r="F111" s="19"/>
      <x:c r="G111" s="20"/>
      <x:c r="H111" s="26"/>
      <x:c r="I111" s="19"/>
      <x:c r="J111" s="19"/>
      <x:c r="K111" s="19"/>
      <x:c r="L111" s="19"/>
      <x:c r="M111" s="26"/>
      <x:c r="N111" s="19"/>
      <x:c r="O111" s="26"/>
      <x:c r="P111" s="19"/>
      <x:c r="Q111" s="19"/>
    </x:row>
    <x:row r="112">
      <x:c r="A112" s="19"/>
      <x:c r="B112" s="19"/>
      <x:c r="C112" s="19"/>
      <x:c r="D112" s="19"/>
      <x:c r="E112" s="19"/>
      <x:c r="F112" s="19"/>
      <x:c r="G112" s="20"/>
      <x:c r="H112" s="26"/>
      <x:c r="I112" s="19"/>
      <x:c r="J112" s="19"/>
      <x:c r="K112" s="19"/>
      <x:c r="L112" s="19"/>
      <x:c r="M112" s="26"/>
      <x:c r="N112" s="19"/>
      <x:c r="O112" s="26"/>
      <x:c r="P112" s="19"/>
      <x:c r="Q112" s="19"/>
    </x:row>
    <x:row r="113">
      <x:c r="A113" s="19"/>
      <x:c r="B113" s="19"/>
      <x:c r="C113" s="19"/>
      <x:c r="D113" s="19"/>
      <x:c r="E113" s="19"/>
      <x:c r="F113" s="19"/>
      <x:c r="G113" s="20"/>
      <x:c r="H113" s="26"/>
      <x:c r="I113" s="19"/>
      <x:c r="J113" s="19"/>
      <x:c r="K113" s="19"/>
      <x:c r="L113" s="19"/>
      <x:c r="M113" s="26"/>
      <x:c r="N113" s="19"/>
      <x:c r="O113" s="26"/>
      <x:c r="P113" s="19"/>
      <x:c r="Q113" s="19"/>
    </x:row>
    <x:row r="114">
      <x:c r="A114" s="19"/>
      <x:c r="B114" s="19"/>
      <x:c r="C114" s="19"/>
      <x:c r="D114" s="19"/>
      <x:c r="E114" s="19"/>
      <x:c r="F114" s="19"/>
      <x:c r="G114" s="20"/>
      <x:c r="H114" s="26"/>
      <x:c r="I114" s="19"/>
      <x:c r="J114" s="19"/>
      <x:c r="K114" s="19"/>
      <x:c r="L114" s="19"/>
      <x:c r="M114" s="26"/>
      <x:c r="N114" s="19"/>
      <x:c r="O114" s="26"/>
      <x:c r="P114" s="19"/>
      <x:c r="Q114" s="19"/>
    </x:row>
    <x:row r="115">
      <x:c r="A115" s="19"/>
      <x:c r="B115" s="19"/>
      <x:c r="C115" s="19"/>
      <x:c r="D115" s="19"/>
      <x:c r="E115" s="19"/>
      <x:c r="F115" s="19"/>
      <x:c r="G115" s="20"/>
      <x:c r="H115" s="26"/>
      <x:c r="I115" s="19"/>
      <x:c r="J115" s="19"/>
      <x:c r="K115" s="19"/>
      <x:c r="L115" s="19"/>
      <x:c r="M115" s="26"/>
      <x:c r="N115" s="19"/>
      <x:c r="O115" s="26"/>
      <x:c r="P115" s="19"/>
      <x:c r="Q115" s="19"/>
    </x:row>
    <x:row r="116">
      <x:c r="A116" s="19"/>
      <x:c r="B116" s="19"/>
      <x:c r="C116" s="19"/>
      <x:c r="D116" s="19"/>
      <x:c r="E116" s="19"/>
      <x:c r="F116" s="19"/>
      <x:c r="G116" s="20"/>
      <x:c r="H116" s="26"/>
      <x:c r="I116" s="19"/>
      <x:c r="J116" s="19"/>
      <x:c r="K116" s="19"/>
      <x:c r="L116" s="19"/>
      <x:c r="M116" s="26"/>
      <x:c r="N116" s="19"/>
      <x:c r="O116" s="26"/>
      <x:c r="P116" s="19"/>
      <x:c r="Q116" s="19"/>
    </x:row>
    <x:row r="117">
      <x:c r="A117" s="19"/>
      <x:c r="B117" s="19"/>
      <x:c r="C117" s="19"/>
      <x:c r="D117" s="19"/>
      <x:c r="E117" s="19"/>
      <x:c r="F117" s="19"/>
      <x:c r="G117" s="20"/>
      <x:c r="H117" s="26"/>
      <x:c r="I117" s="19"/>
      <x:c r="J117" s="19"/>
      <x:c r="K117" s="19"/>
      <x:c r="L117" s="19"/>
      <x:c r="M117" s="26"/>
      <x:c r="N117" s="19"/>
      <x:c r="O117" s="26"/>
      <x:c r="P117" s="19"/>
      <x:c r="Q117" s="19"/>
    </x:row>
    <x:row r="118">
      <x:c r="A118" s="19"/>
      <x:c r="B118" s="19"/>
      <x:c r="C118" s="19"/>
      <x:c r="D118" s="19"/>
      <x:c r="E118" s="19"/>
      <x:c r="F118" s="19"/>
      <x:c r="G118" s="20"/>
      <x:c r="H118" s="26"/>
      <x:c r="I118" s="19"/>
      <x:c r="J118" s="19"/>
      <x:c r="K118" s="19"/>
      <x:c r="L118" s="19"/>
      <x:c r="M118" s="26"/>
      <x:c r="N118" s="19"/>
      <x:c r="O118" s="26"/>
      <x:c r="P118" s="19"/>
      <x:c r="Q118" s="19"/>
    </x:row>
    <x:row r="119">
      <x:c r="A119" s="19"/>
      <x:c r="B119" s="19"/>
      <x:c r="C119" s="19"/>
      <x:c r="D119" s="19"/>
      <x:c r="E119" s="19"/>
      <x:c r="F119" s="19"/>
      <x:c r="G119" s="20"/>
      <x:c r="H119" s="26"/>
      <x:c r="I119" s="19"/>
      <x:c r="J119" s="19"/>
      <x:c r="K119" s="19"/>
      <x:c r="L119" s="19"/>
      <x:c r="M119" s="26"/>
      <x:c r="N119" s="19"/>
      <x:c r="O119" s="26"/>
      <x:c r="P119" s="19"/>
      <x:c r="Q119" s="19"/>
    </x:row>
    <x:row r="120">
      <x:c r="A120" s="19"/>
      <x:c r="B120" s="19"/>
      <x:c r="C120" s="19"/>
      <x:c r="D120" s="19"/>
      <x:c r="E120" s="19"/>
      <x:c r="F120" s="19"/>
      <x:c r="G120" s="20"/>
      <x:c r="H120" s="26"/>
      <x:c r="I120" s="19"/>
      <x:c r="J120" s="19"/>
      <x:c r="K120" s="19"/>
      <x:c r="L120" s="19"/>
      <x:c r="M120" s="26"/>
      <x:c r="N120" s="19"/>
      <x:c r="O120" s="26"/>
      <x:c r="P120" s="19"/>
      <x:c r="Q120" s="19"/>
    </x:row>
    <x:row r="121">
      <x:c r="A121" s="19"/>
      <x:c r="B121" s="19"/>
      <x:c r="C121" s="19"/>
      <x:c r="D121" s="19"/>
      <x:c r="E121" s="19"/>
      <x:c r="F121" s="19"/>
      <x:c r="G121" s="20"/>
      <x:c r="H121" s="26"/>
      <x:c r="I121" s="19"/>
      <x:c r="J121" s="19"/>
      <x:c r="K121" s="19"/>
      <x:c r="L121" s="19"/>
      <x:c r="M121" s="26"/>
      <x:c r="N121" s="19"/>
      <x:c r="O121" s="26"/>
      <x:c r="P121" s="19"/>
      <x:c r="Q121" s="19"/>
    </x:row>
    <x:row r="122">
      <x:c r="A122" s="19"/>
      <x:c r="B122" s="19"/>
      <x:c r="C122" s="19"/>
      <x:c r="D122" s="19"/>
      <x:c r="E122" s="19"/>
      <x:c r="F122" s="19"/>
      <x:c r="G122" s="20"/>
      <x:c r="H122" s="26"/>
      <x:c r="I122" s="19"/>
      <x:c r="J122" s="19"/>
      <x:c r="K122" s="19"/>
      <x:c r="L122" s="19"/>
      <x:c r="M122" s="26"/>
      <x:c r="N122" s="19"/>
      <x:c r="O122" s="26"/>
      <x:c r="P122" s="19"/>
      <x:c r="Q122" s="19"/>
    </x:row>
    <x:row r="123">
      <x:c r="A123" s="19"/>
      <x:c r="B123" s="19"/>
      <x:c r="C123" s="19"/>
      <x:c r="D123" s="19"/>
      <x:c r="E123" s="19"/>
      <x:c r="F123" s="19"/>
      <x:c r="G123" s="20"/>
      <x:c r="H123" s="26"/>
      <x:c r="I123" s="19"/>
      <x:c r="J123" s="19"/>
      <x:c r="K123" s="19"/>
      <x:c r="L123" s="19"/>
      <x:c r="M123" s="26"/>
      <x:c r="N123" s="19"/>
      <x:c r="O123" s="26"/>
      <x:c r="P123" s="19"/>
      <x:c r="Q123" s="19"/>
    </x:row>
    <x:row r="124">
      <x:c r="A124" s="19"/>
      <x:c r="B124" s="19"/>
      <x:c r="C124" s="19"/>
      <x:c r="D124" s="19"/>
      <x:c r="E124" s="19"/>
      <x:c r="F124" s="19"/>
      <x:c r="G124" s="20"/>
      <x:c r="H124" s="26"/>
      <x:c r="I124" s="19"/>
      <x:c r="J124" s="19"/>
      <x:c r="K124" s="19"/>
      <x:c r="L124" s="19"/>
      <x:c r="M124" s="26"/>
      <x:c r="N124" s="19"/>
      <x:c r="O124" s="26"/>
      <x:c r="P124" s="19"/>
      <x:c r="Q124" s="19"/>
    </x:row>
    <x:row r="125">
      <x:c r="A125" s="19"/>
      <x:c r="B125" s="19"/>
      <x:c r="C125" s="19"/>
      <x:c r="D125" s="19"/>
      <x:c r="E125" s="19"/>
      <x:c r="F125" s="19"/>
      <x:c r="G125" s="20"/>
      <x:c r="H125" s="26"/>
      <x:c r="I125" s="19"/>
      <x:c r="J125" s="19"/>
      <x:c r="K125" s="19"/>
      <x:c r="L125" s="19"/>
      <x:c r="M125" s="26"/>
      <x:c r="N125" s="19"/>
      <x:c r="O125" s="26"/>
      <x:c r="P125" s="19"/>
      <x:c r="Q125" s="19"/>
    </x:row>
    <x:row r="126">
      <x:c r="A126" s="19"/>
      <x:c r="B126" s="19"/>
      <x:c r="C126" s="19"/>
      <x:c r="D126" s="19"/>
      <x:c r="E126" s="19"/>
      <x:c r="F126" s="19"/>
      <x:c r="G126" s="20"/>
      <x:c r="H126" s="26"/>
      <x:c r="I126" s="19"/>
      <x:c r="J126" s="19"/>
      <x:c r="K126" s="19"/>
      <x:c r="L126" s="19"/>
      <x:c r="M126" s="26"/>
      <x:c r="N126" s="19"/>
      <x:c r="O126" s="26"/>
      <x:c r="P126" s="19"/>
      <x:c r="Q126" s="19"/>
    </x:row>
    <x:row r="127">
      <x:c r="A127" s="19"/>
      <x:c r="B127" s="19"/>
      <x:c r="C127" s="19"/>
      <x:c r="D127" s="19"/>
      <x:c r="E127" s="19"/>
      <x:c r="F127" s="19"/>
      <x:c r="G127" s="20"/>
      <x:c r="H127" s="26"/>
      <x:c r="I127" s="19"/>
      <x:c r="J127" s="19"/>
      <x:c r="K127" s="19"/>
      <x:c r="L127" s="19"/>
      <x:c r="M127" s="26"/>
      <x:c r="N127" s="19"/>
      <x:c r="O127" s="26"/>
      <x:c r="P127" s="19"/>
      <x:c r="Q127" s="19"/>
    </x:row>
    <x:row r="128">
      <x:c r="A128" s="19"/>
      <x:c r="B128" s="19"/>
      <x:c r="C128" s="19"/>
      <x:c r="D128" s="19"/>
      <x:c r="E128" s="19"/>
      <x:c r="F128" s="19"/>
      <x:c r="G128" s="20"/>
      <x:c r="H128" s="26"/>
      <x:c r="I128" s="19"/>
      <x:c r="J128" s="19"/>
      <x:c r="K128" s="19"/>
      <x:c r="L128" s="19"/>
      <x:c r="M128" s="26"/>
      <x:c r="N128" s="19"/>
      <x:c r="O128" s="26"/>
      <x:c r="P128" s="19"/>
      <x:c r="Q128" s="19"/>
    </x:row>
    <x:row r="129">
      <x:c r="A129" s="19"/>
      <x:c r="B129" s="19"/>
      <x:c r="C129" s="19"/>
      <x:c r="D129" s="19"/>
      <x:c r="E129" s="19"/>
      <x:c r="F129" s="19"/>
      <x:c r="G129" s="20"/>
      <x:c r="H129" s="26"/>
      <x:c r="I129" s="19"/>
      <x:c r="J129" s="19"/>
      <x:c r="K129" s="19"/>
      <x:c r="L129" s="19"/>
      <x:c r="M129" s="26"/>
      <x:c r="N129" s="19"/>
      <x:c r="O129" s="26"/>
      <x:c r="P129" s="19"/>
      <x:c r="Q129" s="19"/>
    </x:row>
    <x:row r="130">
      <x:c r="A130" s="19"/>
      <x:c r="B130" s="19"/>
      <x:c r="C130" s="19"/>
      <x:c r="D130" s="19"/>
      <x:c r="E130" s="19"/>
      <x:c r="F130" s="19"/>
      <x:c r="G130" s="20"/>
      <x:c r="H130" s="26"/>
      <x:c r="I130" s="19"/>
      <x:c r="J130" s="19"/>
      <x:c r="K130" s="19"/>
      <x:c r="L130" s="19"/>
      <x:c r="M130" s="26"/>
      <x:c r="N130" s="19"/>
      <x:c r="O130" s="26"/>
      <x:c r="P130" s="19"/>
      <x:c r="Q130" s="19"/>
    </x:row>
    <x:row r="131">
      <x:c r="A131" s="19"/>
      <x:c r="B131" s="19"/>
      <x:c r="C131" s="19"/>
      <x:c r="D131" s="19"/>
      <x:c r="E131" s="19"/>
      <x:c r="F131" s="19"/>
      <x:c r="G131" s="20"/>
      <x:c r="H131" s="26"/>
      <x:c r="I131" s="19"/>
      <x:c r="J131" s="19"/>
      <x:c r="K131" s="19"/>
      <x:c r="L131" s="19"/>
      <x:c r="M131" s="26"/>
      <x:c r="N131" s="19"/>
      <x:c r="O131" s="26"/>
      <x:c r="P131" s="19"/>
      <x:c r="Q131" s="19"/>
    </x:row>
    <x:row r="132">
      <x:c r="A132" s="19"/>
      <x:c r="B132" s="19"/>
      <x:c r="C132" s="19"/>
      <x:c r="D132" s="19"/>
      <x:c r="E132" s="19"/>
      <x:c r="F132" s="19"/>
      <x:c r="G132" s="20"/>
      <x:c r="H132" s="26"/>
      <x:c r="I132" s="19"/>
      <x:c r="J132" s="19"/>
      <x:c r="K132" s="19"/>
      <x:c r="L132" s="19"/>
      <x:c r="M132" s="26"/>
      <x:c r="N132" s="19"/>
      <x:c r="O132" s="26"/>
      <x:c r="P132" s="19"/>
      <x:c r="Q132" s="19"/>
    </x:row>
    <x:row r="133">
      <x:c r="A133" s="19"/>
      <x:c r="B133" s="19"/>
      <x:c r="C133" s="19"/>
      <x:c r="D133" s="19"/>
      <x:c r="E133" s="19"/>
      <x:c r="F133" s="19"/>
      <x:c r="G133" s="20"/>
      <x:c r="H133" s="26"/>
      <x:c r="I133" s="19"/>
      <x:c r="J133" s="19"/>
      <x:c r="K133" s="19"/>
      <x:c r="L133" s="19"/>
      <x:c r="M133" s="26"/>
      <x:c r="N133" s="19"/>
      <x:c r="O133" s="26"/>
      <x:c r="P133" s="19"/>
      <x:c r="Q133" s="19"/>
    </x:row>
    <x:row r="134">
      <x:c r="A134" s="19"/>
      <x:c r="B134" s="19"/>
      <x:c r="C134" s="19"/>
      <x:c r="D134" s="19"/>
      <x:c r="E134" s="19"/>
      <x:c r="F134" s="19"/>
      <x:c r="G134" s="20"/>
      <x:c r="H134" s="26"/>
      <x:c r="I134" s="19"/>
      <x:c r="J134" s="19"/>
      <x:c r="K134" s="19"/>
      <x:c r="L134" s="19"/>
      <x:c r="M134" s="26"/>
      <x:c r="N134" s="19"/>
      <x:c r="O134" s="26"/>
      <x:c r="P134" s="19"/>
      <x:c r="Q134" s="19"/>
    </x:row>
    <x:row r="135">
      <x:c r="A135" s="19"/>
      <x:c r="B135" s="19"/>
      <x:c r="C135" s="19"/>
      <x:c r="D135" s="19"/>
      <x:c r="E135" s="19"/>
      <x:c r="F135" s="19"/>
      <x:c r="G135" s="20"/>
      <x:c r="H135" s="26"/>
      <x:c r="I135" s="19"/>
      <x:c r="J135" s="19"/>
      <x:c r="K135" s="19"/>
      <x:c r="L135" s="19"/>
      <x:c r="M135" s="26"/>
      <x:c r="N135" s="19"/>
      <x:c r="O135" s="26"/>
      <x:c r="P135" s="19"/>
      <x:c r="Q135" s="19"/>
    </x:row>
    <x:row r="136">
      <x:c r="A136" s="19"/>
      <x:c r="B136" s="19"/>
      <x:c r="C136" s="19"/>
      <x:c r="D136" s="19"/>
      <x:c r="E136" s="19"/>
      <x:c r="F136" s="19"/>
      <x:c r="G136" s="20"/>
      <x:c r="H136" s="26"/>
      <x:c r="I136" s="19"/>
      <x:c r="J136" s="19"/>
      <x:c r="K136" s="19"/>
      <x:c r="L136" s="19"/>
      <x:c r="M136" s="26"/>
      <x:c r="N136" s="19"/>
      <x:c r="O136" s="26"/>
      <x:c r="P136" s="19"/>
      <x:c r="Q136" s="19"/>
    </x:row>
    <x:row r="137">
      <x:c r="A137" s="19"/>
      <x:c r="B137" s="19"/>
      <x:c r="C137" s="19"/>
      <x:c r="D137" s="19"/>
      <x:c r="E137" s="19"/>
      <x:c r="F137" s="19"/>
      <x:c r="G137" s="20"/>
      <x:c r="H137" s="26"/>
      <x:c r="I137" s="19"/>
      <x:c r="J137" s="19"/>
      <x:c r="K137" s="19"/>
      <x:c r="L137" s="19"/>
      <x:c r="M137" s="26"/>
      <x:c r="N137" s="19"/>
      <x:c r="O137" s="26"/>
      <x:c r="P137" s="19"/>
      <x:c r="Q137" s="19"/>
    </x:row>
    <x:row r="138">
      <x:c r="A138" s="19"/>
      <x:c r="B138" s="19"/>
      <x:c r="C138" s="19"/>
      <x:c r="D138" s="19"/>
      <x:c r="E138" s="19"/>
      <x:c r="F138" s="19"/>
      <x:c r="G138" s="20"/>
      <x:c r="H138" s="26"/>
      <x:c r="I138" s="19"/>
      <x:c r="J138" s="19"/>
      <x:c r="K138" s="19"/>
      <x:c r="L138" s="19"/>
      <x:c r="M138" s="26"/>
      <x:c r="N138" s="19"/>
      <x:c r="O138" s="26"/>
      <x:c r="P138" s="19"/>
      <x:c r="Q138" s="19"/>
    </x:row>
    <x:row r="139">
      <x:c r="A139" s="19"/>
      <x:c r="B139" s="19"/>
      <x:c r="C139" s="19"/>
      <x:c r="D139" s="19"/>
      <x:c r="E139" s="19"/>
      <x:c r="F139" s="19"/>
      <x:c r="G139" s="20"/>
      <x:c r="H139" s="26"/>
      <x:c r="I139" s="19"/>
      <x:c r="J139" s="19"/>
      <x:c r="K139" s="19"/>
      <x:c r="L139" s="19"/>
      <x:c r="M139" s="26"/>
      <x:c r="N139" s="19"/>
      <x:c r="O139" s="26"/>
      <x:c r="P139" s="19"/>
      <x:c r="Q139" s="19"/>
    </x:row>
    <x:row r="140">
      <x:c r="A140" s="19"/>
      <x:c r="B140" s="19"/>
      <x:c r="C140" s="19"/>
      <x:c r="D140" s="19"/>
      <x:c r="E140" s="19"/>
      <x:c r="F140" s="19"/>
      <x:c r="G140" s="20"/>
      <x:c r="H140" s="26"/>
      <x:c r="I140" s="19"/>
      <x:c r="J140" s="19"/>
      <x:c r="K140" s="19"/>
      <x:c r="L140" s="19"/>
      <x:c r="M140" s="26"/>
      <x:c r="N140" s="19"/>
      <x:c r="O140" s="26"/>
      <x:c r="P140" s="19"/>
      <x:c r="Q140" s="19"/>
    </x:row>
    <x:row r="141">
      <x:c r="A141" s="19"/>
      <x:c r="B141" s="19"/>
      <x:c r="C141" s="19"/>
      <x:c r="D141" s="19"/>
      <x:c r="E141" s="19"/>
      <x:c r="F141" s="19"/>
      <x:c r="G141" s="20"/>
      <x:c r="H141" s="26"/>
      <x:c r="I141" s="19"/>
      <x:c r="J141" s="19"/>
      <x:c r="K141" s="19"/>
      <x:c r="L141" s="19"/>
      <x:c r="M141" s="26"/>
      <x:c r="N141" s="19"/>
      <x:c r="O141" s="26"/>
      <x:c r="P141" s="19"/>
      <x:c r="Q141" s="19"/>
    </x:row>
    <x:row r="142">
      <x:c r="A142" s="19"/>
      <x:c r="B142" s="19"/>
      <x:c r="C142" s="19"/>
      <x:c r="D142" s="19"/>
      <x:c r="E142" s="19"/>
      <x:c r="F142" s="19"/>
      <x:c r="G142" s="20"/>
      <x:c r="H142" s="26"/>
      <x:c r="I142" s="19"/>
      <x:c r="J142" s="19"/>
      <x:c r="K142" s="19"/>
      <x:c r="L142" s="19"/>
      <x:c r="M142" s="26"/>
      <x:c r="N142" s="19"/>
      <x:c r="O142" s="26"/>
      <x:c r="P142" s="19"/>
      <x:c r="Q142" s="19"/>
    </x:row>
    <x:row r="143">
      <x:c r="A143" s="19"/>
      <x:c r="B143" s="19"/>
      <x:c r="C143" s="19"/>
      <x:c r="D143" s="19"/>
      <x:c r="E143" s="19"/>
      <x:c r="F143" s="19"/>
      <x:c r="G143" s="20"/>
      <x:c r="H143" s="26"/>
      <x:c r="I143" s="19"/>
      <x:c r="J143" s="19"/>
      <x:c r="K143" s="19"/>
      <x:c r="L143" s="19"/>
      <x:c r="M143" s="26"/>
      <x:c r="N143" s="19"/>
      <x:c r="O143" s="26"/>
      <x:c r="P143" s="19"/>
      <x:c r="Q143" s="19"/>
    </x:row>
    <x:row r="144">
      <x:c r="A144" s="19"/>
      <x:c r="B144" s="19"/>
      <x:c r="C144" s="19"/>
      <x:c r="D144" s="19"/>
      <x:c r="E144" s="19"/>
      <x:c r="F144" s="19"/>
      <x:c r="G144" s="20"/>
      <x:c r="H144" s="26"/>
      <x:c r="I144" s="19"/>
      <x:c r="J144" s="19"/>
      <x:c r="K144" s="19"/>
      <x:c r="L144" s="19"/>
      <x:c r="M144" s="26"/>
      <x:c r="N144" s="19"/>
      <x:c r="O144" s="26"/>
      <x:c r="P144" s="19"/>
      <x:c r="Q144" s="19"/>
    </x:row>
    <x:row r="145">
      <x:c r="A145" s="19"/>
      <x:c r="B145" s="19"/>
      <x:c r="C145" s="19"/>
      <x:c r="D145" s="19"/>
      <x:c r="E145" s="19"/>
      <x:c r="F145" s="19"/>
      <x:c r="G145" s="20"/>
      <x:c r="H145" s="26"/>
      <x:c r="I145" s="19"/>
      <x:c r="J145" s="19"/>
      <x:c r="K145" s="19"/>
      <x:c r="L145" s="19"/>
      <x:c r="M145" s="26"/>
      <x:c r="N145" s="19"/>
      <x:c r="O145" s="26"/>
      <x:c r="P145" s="19"/>
      <x:c r="Q145" s="19"/>
    </x:row>
    <x:row r="146">
      <x:c r="A146" s="19"/>
      <x:c r="B146" s="19"/>
      <x:c r="C146" s="19"/>
      <x:c r="D146" s="19"/>
      <x:c r="E146" s="19"/>
      <x:c r="F146" s="19"/>
      <x:c r="G146" s="20"/>
      <x:c r="H146" s="26"/>
      <x:c r="I146" s="19"/>
      <x:c r="J146" s="19"/>
      <x:c r="K146" s="19"/>
      <x:c r="L146" s="19"/>
      <x:c r="M146" s="26"/>
      <x:c r="N146" s="19"/>
      <x:c r="O146" s="26"/>
      <x:c r="P146" s="19"/>
      <x:c r="Q146" s="19"/>
    </x:row>
    <x:row r="147">
      <x:c r="A147" s="19"/>
      <x:c r="B147" s="19"/>
      <x:c r="C147" s="19"/>
      <x:c r="D147" s="19"/>
      <x:c r="E147" s="19"/>
      <x:c r="F147" s="19"/>
      <x:c r="G147" s="20"/>
      <x:c r="H147" s="26"/>
      <x:c r="I147" s="19"/>
      <x:c r="J147" s="19"/>
      <x:c r="K147" s="19"/>
      <x:c r="L147" s="19"/>
      <x:c r="M147" s="26"/>
      <x:c r="N147" s="19"/>
      <x:c r="O147" s="26"/>
      <x:c r="P147" s="19"/>
      <x:c r="Q147" s="19"/>
    </x:row>
    <x:row r="148">
      <x:c r="A148" s="19"/>
      <x:c r="B148" s="19"/>
      <x:c r="C148" s="19"/>
      <x:c r="D148" s="19"/>
      <x:c r="E148" s="19"/>
      <x:c r="F148" s="19"/>
      <x:c r="G148" s="20"/>
      <x:c r="H148" s="26"/>
      <x:c r="I148" s="19"/>
      <x:c r="J148" s="19"/>
      <x:c r="K148" s="19"/>
      <x:c r="L148" s="19"/>
      <x:c r="M148" s="26"/>
      <x:c r="N148" s="19"/>
      <x:c r="O148" s="26"/>
      <x:c r="P148" s="19"/>
      <x:c r="Q148" s="19"/>
    </x:row>
    <x:row r="149">
      <x:c r="A149" s="19"/>
      <x:c r="B149" s="19"/>
      <x:c r="C149" s="19"/>
      <x:c r="D149" s="19"/>
      <x:c r="E149" s="19"/>
      <x:c r="F149" s="19"/>
      <x:c r="G149" s="20"/>
      <x:c r="H149" s="26"/>
      <x:c r="I149" s="19"/>
      <x:c r="J149" s="19"/>
      <x:c r="K149" s="19"/>
      <x:c r="L149" s="19"/>
      <x:c r="M149" s="26"/>
      <x:c r="N149" s="19"/>
      <x:c r="O149" s="26"/>
      <x:c r="P149" s="19"/>
      <x:c r="Q149" s="19"/>
    </x:row>
    <x:row r="150">
      <x:c r="A150" s="19"/>
      <x:c r="B150" s="19"/>
      <x:c r="C150" s="19"/>
      <x:c r="D150" s="19"/>
      <x:c r="E150" s="19"/>
      <x:c r="F150" s="19"/>
      <x:c r="G150" s="20"/>
      <x:c r="H150" s="26"/>
      <x:c r="I150" s="19"/>
      <x:c r="J150" s="19"/>
      <x:c r="K150" s="19"/>
      <x:c r="L150" s="19"/>
      <x:c r="M150" s="26"/>
      <x:c r="N150" s="19"/>
      <x:c r="O150" s="26"/>
      <x:c r="P150" s="19"/>
      <x:c r="Q150" s="19"/>
    </x:row>
    <x:row r="151">
      <x:c r="A151" s="19"/>
      <x:c r="B151" s="19"/>
      <x:c r="C151" s="19"/>
      <x:c r="D151" s="19"/>
      <x:c r="E151" s="19"/>
      <x:c r="F151" s="19"/>
      <x:c r="G151" s="20"/>
      <x:c r="H151" s="26"/>
      <x:c r="I151" s="19"/>
      <x:c r="J151" s="19"/>
      <x:c r="K151" s="19"/>
      <x:c r="L151" s="19"/>
      <x:c r="M151" s="26"/>
      <x:c r="N151" s="19"/>
      <x:c r="O151" s="26"/>
      <x:c r="P151" s="19"/>
      <x:c r="Q151" s="19"/>
    </x:row>
    <x:row r="152">
      <x:c r="A152" s="19"/>
      <x:c r="B152" s="19"/>
      <x:c r="C152" s="19"/>
      <x:c r="D152" s="19"/>
      <x:c r="E152" s="19"/>
      <x:c r="F152" s="19"/>
      <x:c r="G152" s="20"/>
      <x:c r="H152" s="26"/>
      <x:c r="I152" s="19"/>
      <x:c r="J152" s="19"/>
      <x:c r="K152" s="19"/>
      <x:c r="L152" s="19"/>
      <x:c r="M152" s="26"/>
      <x:c r="N152" s="19"/>
      <x:c r="O152" s="26"/>
      <x:c r="P152" s="19"/>
      <x:c r="Q152" s="19"/>
    </x:row>
    <x:row r="153">
      <x:c r="A153" s="19"/>
      <x:c r="B153" s="19"/>
      <x:c r="C153" s="19"/>
      <x:c r="D153" s="19"/>
      <x:c r="E153" s="19"/>
      <x:c r="F153" s="19"/>
      <x:c r="G153" s="20"/>
      <x:c r="H153" s="26"/>
      <x:c r="I153" s="19"/>
      <x:c r="J153" s="19"/>
      <x:c r="K153" s="19"/>
      <x:c r="L153" s="19"/>
      <x:c r="M153" s="26"/>
      <x:c r="N153" s="19"/>
      <x:c r="O153" s="26"/>
      <x:c r="P153" s="19"/>
      <x:c r="Q153" s="19"/>
    </x:row>
    <x:row r="154">
      <x:c r="A154" s="19"/>
      <x:c r="B154" s="19"/>
      <x:c r="C154" s="19"/>
      <x:c r="D154" s="19"/>
      <x:c r="E154" s="19"/>
      <x:c r="F154" s="19"/>
      <x:c r="G154" s="20"/>
      <x:c r="H154" s="26"/>
      <x:c r="I154" s="19"/>
      <x:c r="J154" s="19"/>
      <x:c r="K154" s="19"/>
      <x:c r="L154" s="19"/>
      <x:c r="M154" s="26"/>
      <x:c r="N154" s="19"/>
      <x:c r="O154" s="26"/>
      <x:c r="P154" s="19"/>
      <x:c r="Q154" s="19"/>
    </x:row>
    <x:row r="155">
      <x:c r="A155" s="19"/>
      <x:c r="B155" s="19"/>
      <x:c r="C155" s="19"/>
      <x:c r="D155" s="19"/>
      <x:c r="E155" s="19"/>
      <x:c r="F155" s="19"/>
      <x:c r="G155" s="20"/>
      <x:c r="H155" s="26"/>
      <x:c r="I155" s="19"/>
      <x:c r="J155" s="19"/>
      <x:c r="K155" s="19"/>
      <x:c r="L155" s="19"/>
      <x:c r="M155" s="26"/>
      <x:c r="N155" s="19"/>
      <x:c r="O155" s="26"/>
      <x:c r="P155" s="19"/>
      <x:c r="Q155" s="19"/>
    </x:row>
    <x:row r="156">
      <x:c r="A156" s="19"/>
      <x:c r="B156" s="19"/>
      <x:c r="C156" s="19"/>
      <x:c r="D156" s="19"/>
      <x:c r="E156" s="19"/>
      <x:c r="F156" s="19"/>
      <x:c r="G156" s="20"/>
      <x:c r="H156" s="26"/>
      <x:c r="I156" s="19"/>
      <x:c r="J156" s="19"/>
      <x:c r="K156" s="19"/>
      <x:c r="L156" s="19"/>
      <x:c r="M156" s="26"/>
      <x:c r="N156" s="19"/>
      <x:c r="O156" s="26"/>
      <x:c r="P156" s="19"/>
      <x:c r="Q156" s="19"/>
    </x:row>
    <x:row r="157">
      <x:c r="A157" s="19"/>
      <x:c r="B157" s="19"/>
      <x:c r="C157" s="19"/>
      <x:c r="D157" s="19"/>
      <x:c r="E157" s="19"/>
      <x:c r="F157" s="19"/>
      <x:c r="G157" s="20"/>
      <x:c r="H157" s="26"/>
      <x:c r="I157" s="19"/>
      <x:c r="J157" s="19"/>
      <x:c r="K157" s="19"/>
      <x:c r="L157" s="19"/>
      <x:c r="M157" s="26"/>
      <x:c r="N157" s="19"/>
      <x:c r="O157" s="26"/>
      <x:c r="P157" s="19"/>
      <x:c r="Q157" s="19"/>
    </x:row>
    <x:row r="158">
      <x:c r="A158" s="19"/>
      <x:c r="B158" s="19"/>
      <x:c r="C158" s="19"/>
      <x:c r="D158" s="19"/>
      <x:c r="E158" s="19"/>
      <x:c r="F158" s="19"/>
      <x:c r="G158" s="20"/>
      <x:c r="H158" s="26"/>
      <x:c r="I158" s="19"/>
      <x:c r="J158" s="19"/>
      <x:c r="K158" s="19"/>
      <x:c r="L158" s="19"/>
      <x:c r="M158" s="26"/>
      <x:c r="N158" s="19"/>
      <x:c r="O158" s="26"/>
      <x:c r="P158" s="19"/>
      <x:c r="Q158" s="19"/>
    </x:row>
    <x:row r="159">
      <x:c r="A159" s="19"/>
      <x:c r="B159" s="19"/>
      <x:c r="C159" s="19"/>
      <x:c r="D159" s="19"/>
      <x:c r="E159" s="19"/>
      <x:c r="F159" s="19"/>
      <x:c r="G159" s="20"/>
      <x:c r="H159" s="26"/>
      <x:c r="I159" s="19"/>
      <x:c r="J159" s="19"/>
      <x:c r="K159" s="19"/>
      <x:c r="L159" s="19"/>
      <x:c r="M159" s="26"/>
      <x:c r="N159" s="19"/>
      <x:c r="O159" s="26"/>
      <x:c r="P159" s="19"/>
      <x:c r="Q159" s="19"/>
    </x:row>
    <x:row r="160">
      <x:c r="A160" s="19"/>
      <x:c r="B160" s="19"/>
      <x:c r="C160" s="19"/>
      <x:c r="D160" s="19"/>
      <x:c r="E160" s="19"/>
      <x:c r="F160" s="19"/>
      <x:c r="G160" s="20"/>
      <x:c r="H160" s="26"/>
      <x:c r="I160" s="19"/>
      <x:c r="J160" s="19"/>
      <x:c r="K160" s="19"/>
      <x:c r="L160" s="19"/>
      <x:c r="M160" s="26"/>
      <x:c r="N160" s="19"/>
      <x:c r="O160" s="26"/>
      <x:c r="P160" s="19"/>
      <x:c r="Q160" s="19"/>
    </x:row>
    <x:row r="161">
      <x:c r="A161" s="19"/>
      <x:c r="B161" s="19"/>
      <x:c r="C161" s="19"/>
      <x:c r="D161" s="19"/>
      <x:c r="E161" s="19"/>
      <x:c r="F161" s="19"/>
      <x:c r="G161" s="20"/>
      <x:c r="H161" s="26"/>
      <x:c r="I161" s="19"/>
      <x:c r="J161" s="19"/>
      <x:c r="K161" s="19"/>
      <x:c r="L161" s="19"/>
      <x:c r="M161" s="26"/>
      <x:c r="N161" s="19"/>
      <x:c r="O161" s="26"/>
      <x:c r="P161" s="19"/>
      <x:c r="Q161" s="19"/>
    </x:row>
    <x:row r="162">
      <x:c r="A162" s="19"/>
      <x:c r="B162" s="19"/>
      <x:c r="C162" s="19"/>
      <x:c r="D162" s="19"/>
      <x:c r="E162" s="19"/>
      <x:c r="F162" s="19"/>
      <x:c r="G162" s="20"/>
      <x:c r="H162" s="26"/>
      <x:c r="I162" s="19"/>
      <x:c r="J162" s="19"/>
      <x:c r="K162" s="19"/>
      <x:c r="L162" s="19"/>
      <x:c r="M162" s="26"/>
      <x:c r="N162" s="19"/>
      <x:c r="O162" s="26"/>
      <x:c r="P162" s="19"/>
      <x:c r="Q162" s="19"/>
    </x:row>
    <x:row r="163">
      <x:c r="A163" s="19"/>
      <x:c r="B163" s="19"/>
      <x:c r="C163" s="19"/>
      <x:c r="D163" s="19"/>
      <x:c r="E163" s="19"/>
      <x:c r="F163" s="19"/>
      <x:c r="G163" s="20"/>
      <x:c r="H163" s="26"/>
      <x:c r="I163" s="19"/>
      <x:c r="J163" s="19"/>
      <x:c r="K163" s="19"/>
      <x:c r="L163" s="19"/>
      <x:c r="M163" s="26"/>
      <x:c r="N163" s="19"/>
      <x:c r="O163" s="26"/>
      <x:c r="P163" s="19"/>
      <x:c r="Q163" s="19"/>
    </x:row>
    <x:row r="164">
      <x:c r="A164" s="19"/>
      <x:c r="B164" s="19"/>
      <x:c r="C164" s="19"/>
      <x:c r="D164" s="19"/>
      <x:c r="E164" s="19"/>
      <x:c r="F164" s="19"/>
      <x:c r="G164" s="20"/>
      <x:c r="H164" s="26"/>
      <x:c r="I164" s="19"/>
      <x:c r="J164" s="19"/>
      <x:c r="K164" s="19"/>
      <x:c r="L164" s="19"/>
      <x:c r="M164" s="26"/>
      <x:c r="N164" s="19"/>
      <x:c r="O164" s="26"/>
      <x:c r="P164" s="19"/>
      <x:c r="Q164" s="19"/>
    </x:row>
    <x:row r="165">
      <x:c r="A165" s="19"/>
      <x:c r="B165" s="19"/>
      <x:c r="C165" s="19"/>
      <x:c r="D165" s="19"/>
      <x:c r="E165" s="19"/>
      <x:c r="F165" s="19"/>
      <x:c r="G165" s="20"/>
      <x:c r="H165" s="26"/>
      <x:c r="I165" s="19"/>
      <x:c r="J165" s="19"/>
      <x:c r="K165" s="19"/>
      <x:c r="L165" s="19"/>
      <x:c r="M165" s="26"/>
      <x:c r="N165" s="19"/>
      <x:c r="O165" s="26"/>
      <x:c r="P165" s="19"/>
      <x:c r="Q165" s="19"/>
    </x:row>
    <x:row r="166">
      <x:c r="A166" s="19"/>
      <x:c r="B166" s="19"/>
      <x:c r="C166" s="19"/>
      <x:c r="D166" s="19"/>
      <x:c r="E166" s="19"/>
      <x:c r="F166" s="19"/>
      <x:c r="G166" s="20"/>
      <x:c r="H166" s="26"/>
      <x:c r="I166" s="19"/>
      <x:c r="J166" s="19"/>
      <x:c r="K166" s="19"/>
      <x:c r="L166" s="19"/>
      <x:c r="M166" s="26"/>
      <x:c r="N166" s="19"/>
      <x:c r="O166" s="26"/>
      <x:c r="P166" s="19"/>
      <x:c r="Q166" s="19"/>
    </x:row>
    <x:row r="167">
      <x:c r="A167" s="19"/>
      <x:c r="B167" s="19"/>
      <x:c r="C167" s="19"/>
      <x:c r="D167" s="19"/>
      <x:c r="E167" s="19"/>
      <x:c r="F167" s="19"/>
      <x:c r="G167" s="20"/>
      <x:c r="H167" s="26"/>
      <x:c r="I167" s="19"/>
      <x:c r="J167" s="19"/>
      <x:c r="K167" s="19"/>
      <x:c r="L167" s="19"/>
      <x:c r="M167" s="26"/>
      <x:c r="N167" s="19"/>
      <x:c r="O167" s="26"/>
      <x:c r="P167" s="19"/>
      <x:c r="Q167" s="19"/>
    </x:row>
    <x:row r="168">
      <x:c r="A168" s="19"/>
      <x:c r="B168" s="19"/>
      <x:c r="C168" s="19"/>
      <x:c r="D168" s="19"/>
      <x:c r="E168" s="19"/>
      <x:c r="F168" s="19"/>
      <x:c r="G168" s="20"/>
      <x:c r="H168" s="26"/>
      <x:c r="I168" s="19"/>
      <x:c r="J168" s="19"/>
      <x:c r="K168" s="19"/>
      <x:c r="L168" s="19"/>
      <x:c r="M168" s="26"/>
      <x:c r="N168" s="19"/>
      <x:c r="O168" s="26"/>
      <x:c r="P168" s="19"/>
      <x:c r="Q168" s="19"/>
    </x:row>
    <x:row r="169">
      <x:c r="A169" s="19"/>
      <x:c r="B169" s="19"/>
      <x:c r="C169" s="19"/>
      <x:c r="D169" s="19"/>
      <x:c r="E169" s="19"/>
      <x:c r="F169" s="19"/>
      <x:c r="G169" s="20"/>
      <x:c r="H169" s="26"/>
      <x:c r="I169" s="19"/>
      <x:c r="J169" s="19"/>
      <x:c r="K169" s="19"/>
      <x:c r="L169" s="19"/>
      <x:c r="M169" s="26"/>
      <x:c r="N169" s="19"/>
      <x:c r="O169" s="26"/>
      <x:c r="P169" s="19"/>
      <x:c r="Q169" s="19"/>
    </x:row>
    <x:row r="170">
      <x:c r="A170" s="19"/>
      <x:c r="B170" s="19"/>
      <x:c r="C170" s="19"/>
      <x:c r="D170" s="19"/>
      <x:c r="E170" s="19"/>
      <x:c r="F170" s="19"/>
      <x:c r="G170" s="20"/>
      <x:c r="H170" s="26"/>
      <x:c r="I170" s="19"/>
      <x:c r="J170" s="19"/>
      <x:c r="K170" s="19"/>
      <x:c r="L170" s="19"/>
      <x:c r="M170" s="26"/>
      <x:c r="N170" s="19"/>
      <x:c r="O170" s="26"/>
      <x:c r="P170" s="19"/>
      <x:c r="Q170" s="19"/>
    </x:row>
    <x:row r="171">
      <x:c r="A171" s="19"/>
      <x:c r="B171" s="19"/>
      <x:c r="C171" s="19"/>
      <x:c r="D171" s="19"/>
      <x:c r="E171" s="19"/>
      <x:c r="F171" s="19"/>
      <x:c r="G171" s="20"/>
      <x:c r="H171" s="26"/>
      <x:c r="I171" s="19"/>
      <x:c r="J171" s="19"/>
      <x:c r="K171" s="19"/>
      <x:c r="L171" s="19"/>
      <x:c r="M171" s="26"/>
      <x:c r="N171" s="19"/>
      <x:c r="O171" s="26"/>
      <x:c r="P171" s="19"/>
      <x:c r="Q171" s="19"/>
    </x:row>
    <x:row r="172">
      <x:c r="A172" s="19"/>
      <x:c r="B172" s="19"/>
      <x:c r="C172" s="19"/>
      <x:c r="D172" s="19"/>
      <x:c r="E172" s="19"/>
      <x:c r="F172" s="19"/>
      <x:c r="G172" s="20"/>
      <x:c r="H172" s="26"/>
      <x:c r="I172" s="19"/>
      <x:c r="J172" s="19"/>
      <x:c r="K172" s="19"/>
      <x:c r="L172" s="19"/>
      <x:c r="M172" s="26"/>
      <x:c r="N172" s="19"/>
      <x:c r="O172" s="26"/>
      <x:c r="P172" s="19"/>
      <x:c r="Q172" s="19"/>
    </x:row>
    <x:row r="173">
      <x:c r="A173" s="19"/>
      <x:c r="B173" s="19"/>
      <x:c r="C173" s="19"/>
      <x:c r="D173" s="19"/>
      <x:c r="E173" s="19"/>
      <x:c r="F173" s="19"/>
      <x:c r="G173" s="20"/>
      <x:c r="H173" s="26"/>
      <x:c r="I173" s="19"/>
      <x:c r="J173" s="19"/>
      <x:c r="K173" s="19"/>
      <x:c r="L173" s="19"/>
      <x:c r="M173" s="26"/>
      <x:c r="N173" s="19"/>
      <x:c r="O173" s="26"/>
      <x:c r="P173" s="19"/>
      <x:c r="Q173" s="19"/>
    </x:row>
    <x:row r="174">
      <x:c r="A174" s="19"/>
      <x:c r="B174" s="19"/>
      <x:c r="C174" s="19"/>
      <x:c r="D174" s="19"/>
      <x:c r="E174" s="19"/>
      <x:c r="F174" s="19"/>
      <x:c r="G174" s="20"/>
      <x:c r="H174" s="26"/>
      <x:c r="I174" s="19"/>
      <x:c r="J174" s="19"/>
      <x:c r="K174" s="19"/>
      <x:c r="L174" s="19"/>
      <x:c r="M174" s="26"/>
      <x:c r="N174" s="19"/>
      <x:c r="O174" s="26"/>
      <x:c r="P174" s="19"/>
      <x:c r="Q174" s="19"/>
    </x:row>
    <x:row r="175">
      <x:c r="A175" s="19"/>
      <x:c r="B175" s="19"/>
      <x:c r="C175" s="19"/>
      <x:c r="D175" s="19"/>
      <x:c r="E175" s="19"/>
      <x:c r="F175" s="19"/>
      <x:c r="G175" s="20"/>
      <x:c r="H175" s="26"/>
      <x:c r="I175" s="19"/>
      <x:c r="J175" s="19"/>
      <x:c r="K175" s="19"/>
      <x:c r="L175" s="19"/>
      <x:c r="M175" s="26"/>
      <x:c r="N175" s="19"/>
      <x:c r="O175" s="26"/>
      <x:c r="P175" s="19"/>
      <x:c r="Q175" s="19"/>
    </x:row>
    <x:row r="176">
      <x:c r="A176" s="19"/>
      <x:c r="B176" s="19"/>
      <x:c r="C176" s="19"/>
      <x:c r="D176" s="19"/>
      <x:c r="E176" s="19"/>
      <x:c r="F176" s="19"/>
      <x:c r="G176" s="20"/>
      <x:c r="H176" s="26"/>
      <x:c r="I176" s="19"/>
      <x:c r="J176" s="19"/>
      <x:c r="K176" s="19"/>
      <x:c r="L176" s="19"/>
      <x:c r="M176" s="26"/>
      <x:c r="N176" s="19"/>
      <x:c r="O176" s="26"/>
      <x:c r="P176" s="19"/>
      <x:c r="Q176" s="19"/>
    </x:row>
    <x:row r="177">
      <x:c r="A177" s="19"/>
      <x:c r="B177" s="19"/>
      <x:c r="C177" s="19"/>
      <x:c r="D177" s="19"/>
      <x:c r="E177" s="19"/>
      <x:c r="F177" s="19"/>
      <x:c r="G177" s="20"/>
      <x:c r="H177" s="26"/>
      <x:c r="I177" s="19"/>
      <x:c r="J177" s="19"/>
      <x:c r="K177" s="19"/>
      <x:c r="L177" s="19"/>
      <x:c r="M177" s="26"/>
      <x:c r="N177" s="19"/>
      <x:c r="O177" s="26"/>
      <x:c r="P177" s="19"/>
      <x:c r="Q177" s="19"/>
    </x:row>
    <x:row r="178">
      <x:c r="A178" s="19"/>
      <x:c r="B178" s="19"/>
      <x:c r="C178" s="19"/>
      <x:c r="D178" s="19"/>
      <x:c r="E178" s="19"/>
      <x:c r="F178" s="19"/>
      <x:c r="G178" s="20"/>
      <x:c r="H178" s="26"/>
      <x:c r="I178" s="19"/>
      <x:c r="J178" s="19"/>
      <x:c r="K178" s="19"/>
      <x:c r="L178" s="19"/>
      <x:c r="M178" s="26"/>
      <x:c r="N178" s="19"/>
      <x:c r="O178" s="26"/>
      <x:c r="P178" s="19"/>
      <x:c r="Q178" s="19"/>
    </x:row>
    <x:row r="179">
      <x:c r="A179" s="19"/>
      <x:c r="B179" s="19"/>
      <x:c r="C179" s="19"/>
      <x:c r="D179" s="19"/>
      <x:c r="E179" s="19"/>
      <x:c r="F179" s="19"/>
      <x:c r="G179" s="20"/>
      <x:c r="H179" s="26"/>
      <x:c r="I179" s="19"/>
      <x:c r="J179" s="19"/>
      <x:c r="K179" s="19"/>
      <x:c r="L179" s="19"/>
      <x:c r="M179" s="26"/>
      <x:c r="N179" s="19"/>
      <x:c r="O179" s="26"/>
      <x:c r="P179" s="19"/>
      <x:c r="Q179" s="19"/>
    </x:row>
    <x:row r="180">
      <x:c r="A180" s="19"/>
      <x:c r="B180" s="19"/>
      <x:c r="C180" s="19"/>
      <x:c r="D180" s="19"/>
      <x:c r="E180" s="19"/>
      <x:c r="F180" s="19"/>
      <x:c r="G180" s="20"/>
      <x:c r="H180" s="26"/>
      <x:c r="I180" s="19"/>
      <x:c r="J180" s="19"/>
      <x:c r="K180" s="19"/>
      <x:c r="L180" s="19"/>
      <x:c r="M180" s="26"/>
      <x:c r="N180" s="19"/>
      <x:c r="O180" s="26"/>
      <x:c r="P180" s="19"/>
      <x:c r="Q180" s="19"/>
    </x:row>
    <x:row r="181">
      <x:c r="A181" s="19"/>
      <x:c r="B181" s="19"/>
      <x:c r="C181" s="19"/>
      <x:c r="D181" s="19"/>
      <x:c r="E181" s="19"/>
      <x:c r="F181" s="19"/>
      <x:c r="G181" s="20"/>
      <x:c r="H181" s="26"/>
      <x:c r="I181" s="19"/>
      <x:c r="J181" s="19"/>
      <x:c r="K181" s="19"/>
      <x:c r="L181" s="19"/>
      <x:c r="M181" s="26"/>
      <x:c r="N181" s="19"/>
      <x:c r="O181" s="26"/>
      <x:c r="P181" s="19"/>
      <x:c r="Q181" s="19"/>
    </x:row>
    <x:row r="182">
      <x:c r="A182" s="19"/>
      <x:c r="B182" s="19"/>
      <x:c r="C182" s="19"/>
      <x:c r="D182" s="19"/>
      <x:c r="E182" s="19"/>
      <x:c r="F182" s="19"/>
      <x:c r="G182" s="20"/>
      <x:c r="H182" s="26"/>
      <x:c r="I182" s="19"/>
      <x:c r="J182" s="19"/>
      <x:c r="K182" s="19"/>
      <x:c r="L182" s="19"/>
      <x:c r="M182" s="26"/>
      <x:c r="N182" s="19"/>
      <x:c r="O182" s="26"/>
      <x:c r="P182" s="19"/>
      <x:c r="Q182" s="19"/>
    </x:row>
    <x:row r="183">
      <x:c r="A183" s="19"/>
      <x:c r="B183" s="19"/>
      <x:c r="C183" s="19"/>
      <x:c r="D183" s="19"/>
      <x:c r="E183" s="19"/>
      <x:c r="F183" s="19"/>
      <x:c r="G183" s="20"/>
      <x:c r="H183" s="26"/>
      <x:c r="I183" s="19"/>
      <x:c r="J183" s="19"/>
      <x:c r="K183" s="19"/>
      <x:c r="L183" s="19"/>
      <x:c r="M183" s="26"/>
      <x:c r="N183" s="19"/>
      <x:c r="O183" s="26"/>
      <x:c r="P183" s="19"/>
      <x:c r="Q183" s="19"/>
    </x:row>
    <x:row r="184">
      <x:c r="A184" s="19"/>
      <x:c r="B184" s="19"/>
      <x:c r="C184" s="19"/>
      <x:c r="D184" s="19"/>
      <x:c r="E184" s="19"/>
      <x:c r="F184" s="19"/>
      <x:c r="G184" s="20"/>
      <x:c r="H184" s="26"/>
      <x:c r="I184" s="19"/>
      <x:c r="J184" s="19"/>
      <x:c r="K184" s="19"/>
      <x:c r="L184" s="19"/>
      <x:c r="M184" s="26"/>
      <x:c r="N184" s="19"/>
      <x:c r="O184" s="26"/>
      <x:c r="P184" s="19"/>
      <x:c r="Q184" s="19"/>
    </x:row>
    <x:row r="185">
      <x:c r="A185" s="19"/>
      <x:c r="B185" s="19"/>
      <x:c r="C185" s="19"/>
      <x:c r="D185" s="19"/>
      <x:c r="E185" s="19"/>
      <x:c r="F185" s="19"/>
      <x:c r="G185" s="20"/>
      <x:c r="H185" s="26"/>
      <x:c r="I185" s="19"/>
      <x:c r="J185" s="19"/>
      <x:c r="K185" s="19"/>
      <x:c r="L185" s="19"/>
      <x:c r="M185" s="26"/>
      <x:c r="N185" s="19"/>
      <x:c r="O185" s="26"/>
      <x:c r="P185" s="19"/>
      <x:c r="Q185" s="19"/>
    </x:row>
    <x:row r="186">
      <x:c r="A186" s="19"/>
      <x:c r="B186" s="19"/>
      <x:c r="C186" s="19"/>
      <x:c r="D186" s="19"/>
      <x:c r="E186" s="19"/>
      <x:c r="F186" s="19"/>
      <x:c r="G186" s="20"/>
      <x:c r="H186" s="26"/>
      <x:c r="I186" s="19"/>
      <x:c r="J186" s="19"/>
      <x:c r="K186" s="19"/>
      <x:c r="L186" s="19"/>
      <x:c r="M186" s="26"/>
      <x:c r="N186" s="19"/>
      <x:c r="O186" s="26"/>
      <x:c r="P186" s="19"/>
      <x:c r="Q186" s="19"/>
    </x:row>
    <x:row r="187">
      <x:c r="A187" s="19"/>
      <x:c r="B187" s="19"/>
      <x:c r="C187" s="19"/>
      <x:c r="D187" s="19"/>
      <x:c r="E187" s="19"/>
      <x:c r="F187" s="19"/>
      <x:c r="G187" s="20"/>
      <x:c r="H187" s="26"/>
      <x:c r="I187" s="19"/>
      <x:c r="J187" s="19"/>
      <x:c r="K187" s="19"/>
      <x:c r="L187" s="19"/>
      <x:c r="M187" s="26"/>
      <x:c r="N187" s="19"/>
      <x:c r="O187" s="26"/>
      <x:c r="P187" s="19"/>
      <x:c r="Q187" s="19"/>
    </x:row>
    <x:row r="188">
      <x:c r="A188" s="19"/>
      <x:c r="B188" s="19"/>
      <x:c r="C188" s="19"/>
      <x:c r="D188" s="19"/>
      <x:c r="E188" s="19"/>
      <x:c r="F188" s="19"/>
      <x:c r="G188" s="20"/>
      <x:c r="H188" s="26"/>
      <x:c r="I188" s="19"/>
      <x:c r="J188" s="19"/>
      <x:c r="K188" s="19"/>
      <x:c r="L188" s="19"/>
      <x:c r="M188" s="26"/>
      <x:c r="N188" s="19"/>
      <x:c r="O188" s="26"/>
      <x:c r="P188" s="19"/>
      <x:c r="Q188" s="19"/>
    </x:row>
    <x:row r="189">
      <x:c r="A189" s="19"/>
      <x:c r="B189" s="19"/>
      <x:c r="C189" s="19"/>
      <x:c r="D189" s="19"/>
      <x:c r="E189" s="19"/>
      <x:c r="F189" s="19"/>
      <x:c r="G189" s="20"/>
      <x:c r="H189" s="26"/>
      <x:c r="I189" s="19"/>
      <x:c r="J189" s="19"/>
      <x:c r="K189" s="19"/>
      <x:c r="L189" s="19"/>
      <x:c r="M189" s="26"/>
      <x:c r="N189" s="19"/>
      <x:c r="O189" s="26"/>
      <x:c r="P189" s="19"/>
      <x:c r="Q189" s="19"/>
    </x:row>
    <x:row r="190">
      <x:c r="A190" s="19"/>
      <x:c r="B190" s="19"/>
      <x:c r="C190" s="19"/>
      <x:c r="D190" s="19"/>
      <x:c r="E190" s="19"/>
      <x:c r="F190" s="19"/>
      <x:c r="G190" s="20"/>
      <x:c r="H190" s="26"/>
      <x:c r="I190" s="19"/>
      <x:c r="J190" s="19"/>
      <x:c r="K190" s="19"/>
      <x:c r="L190" s="19"/>
      <x:c r="M190" s="26"/>
      <x:c r="N190" s="19"/>
      <x:c r="O190" s="26"/>
      <x:c r="P190" s="19"/>
      <x:c r="Q190" s="19"/>
    </x:row>
    <x:row r="191">
      <x:c r="A191" s="19"/>
      <x:c r="B191" s="19"/>
      <x:c r="C191" s="19"/>
      <x:c r="D191" s="19"/>
      <x:c r="E191" s="19"/>
      <x:c r="F191" s="19"/>
      <x:c r="G191" s="20"/>
      <x:c r="H191" s="26"/>
      <x:c r="I191" s="19"/>
      <x:c r="J191" s="19"/>
      <x:c r="K191" s="19"/>
      <x:c r="L191" s="19"/>
      <x:c r="M191" s="26"/>
      <x:c r="N191" s="19"/>
      <x:c r="O191" s="26"/>
      <x:c r="P191" s="19"/>
      <x:c r="Q191" s="19"/>
    </x:row>
    <x:row r="192">
      <x:c r="A192" s="19"/>
      <x:c r="B192" s="19"/>
      <x:c r="C192" s="19"/>
      <x:c r="D192" s="19"/>
      <x:c r="E192" s="19"/>
      <x:c r="F192" s="19"/>
      <x:c r="G192" s="20"/>
      <x:c r="H192" s="26"/>
      <x:c r="I192" s="19"/>
      <x:c r="J192" s="19"/>
      <x:c r="K192" s="19"/>
      <x:c r="L192" s="19"/>
      <x:c r="M192" s="26"/>
      <x:c r="N192" s="19"/>
      <x:c r="O192" s="26"/>
      <x:c r="P192" s="19"/>
      <x:c r="Q192" s="19"/>
    </x:row>
    <x:row r="193">
      <x:c r="A193" s="19"/>
      <x:c r="B193" s="19"/>
      <x:c r="C193" s="19"/>
      <x:c r="D193" s="19"/>
      <x:c r="E193" s="19"/>
      <x:c r="F193" s="19"/>
      <x:c r="G193" s="20"/>
      <x:c r="H193" s="26"/>
      <x:c r="I193" s="19"/>
      <x:c r="J193" s="19"/>
      <x:c r="K193" s="19"/>
      <x:c r="L193" s="19"/>
      <x:c r="M193" s="26"/>
      <x:c r="N193" s="19"/>
      <x:c r="O193" s="26"/>
      <x:c r="P193" s="19"/>
      <x:c r="Q193" s="19"/>
    </x:row>
    <x:row r="194">
      <x:c r="A194" s="19"/>
      <x:c r="B194" s="19"/>
      <x:c r="C194" s="19"/>
      <x:c r="D194" s="19"/>
      <x:c r="E194" s="19"/>
      <x:c r="F194" s="19"/>
      <x:c r="G194" s="20"/>
      <x:c r="H194" s="26"/>
      <x:c r="I194" s="19"/>
      <x:c r="J194" s="19"/>
      <x:c r="K194" s="19"/>
      <x:c r="L194" s="19"/>
      <x:c r="M194" s="26"/>
      <x:c r="N194" s="19"/>
      <x:c r="O194" s="26"/>
      <x:c r="P194" s="19"/>
      <x:c r="Q194" s="19"/>
    </x:row>
    <x:row r="195">
      <x:c r="A195" s="19"/>
      <x:c r="B195" s="19"/>
      <x:c r="C195" s="19"/>
      <x:c r="D195" s="19"/>
      <x:c r="E195" s="19"/>
      <x:c r="F195" s="19"/>
      <x:c r="G195" s="20"/>
      <x:c r="H195" s="26"/>
      <x:c r="I195" s="19"/>
      <x:c r="J195" s="19"/>
      <x:c r="K195" s="19"/>
      <x:c r="L195" s="19"/>
      <x:c r="M195" s="26"/>
      <x:c r="N195" s="19"/>
      <x:c r="O195" s="26"/>
      <x:c r="P195" s="19"/>
      <x:c r="Q195" s="19"/>
    </x:row>
    <x:row r="196">
      <x:c r="A196" s="19"/>
      <x:c r="B196" s="19"/>
      <x:c r="C196" s="19"/>
      <x:c r="D196" s="19"/>
      <x:c r="E196" s="19"/>
      <x:c r="F196" s="19"/>
      <x:c r="G196" s="20"/>
      <x:c r="H196" s="26"/>
      <x:c r="I196" s="19"/>
      <x:c r="J196" s="19"/>
      <x:c r="K196" s="19"/>
      <x:c r="L196" s="19"/>
      <x:c r="M196" s="26"/>
      <x:c r="N196" s="19"/>
      <x:c r="O196" s="26"/>
      <x:c r="P196" s="19"/>
      <x:c r="Q196" s="19"/>
    </x:row>
    <x:row r="197">
      <x:c r="A197" s="19"/>
      <x:c r="B197" s="19"/>
      <x:c r="C197" s="19"/>
      <x:c r="D197" s="19"/>
      <x:c r="E197" s="19"/>
      <x:c r="F197" s="19"/>
      <x:c r="G197" s="20"/>
      <x:c r="H197" s="26"/>
      <x:c r="I197" s="19"/>
      <x:c r="J197" s="19"/>
      <x:c r="K197" s="19"/>
      <x:c r="L197" s="19"/>
      <x:c r="M197" s="26"/>
      <x:c r="N197" s="19"/>
      <x:c r="O197" s="26"/>
      <x:c r="P197" s="19"/>
      <x:c r="Q197" s="19"/>
    </x:row>
    <x:row r="198">
      <x:c r="A198" s="19"/>
      <x:c r="B198" s="19"/>
      <x:c r="C198" s="19"/>
      <x:c r="D198" s="19"/>
      <x:c r="E198" s="19"/>
      <x:c r="F198" s="19"/>
      <x:c r="G198" s="20"/>
      <x:c r="H198" s="26"/>
      <x:c r="I198" s="19"/>
      <x:c r="J198" s="19"/>
      <x:c r="K198" s="19"/>
      <x:c r="L198" s="19"/>
      <x:c r="M198" s="26"/>
      <x:c r="N198" s="19"/>
      <x:c r="O198" s="26"/>
      <x:c r="P198" s="19"/>
      <x:c r="Q198" s="19"/>
    </x:row>
    <x:row r="199">
      <x:c r="A199" s="19"/>
      <x:c r="B199" s="19"/>
      <x:c r="C199" s="19"/>
      <x:c r="D199" s="19"/>
      <x:c r="E199" s="19"/>
      <x:c r="F199" s="19"/>
      <x:c r="G199" s="20"/>
      <x:c r="H199" s="26"/>
      <x:c r="I199" s="19"/>
      <x:c r="J199" s="19"/>
      <x:c r="K199" s="19"/>
      <x:c r="L199" s="19"/>
      <x:c r="M199" s="26"/>
      <x:c r="N199" s="19"/>
      <x:c r="O199" s="26"/>
      <x:c r="P199" s="19"/>
      <x:c r="Q199" s="19"/>
    </x:row>
    <x:row r="200">
      <x:c r="A200" s="19"/>
      <x:c r="B200" s="19"/>
      <x:c r="C200" s="19"/>
      <x:c r="D200" s="19"/>
      <x:c r="E200" s="19"/>
      <x:c r="F200" s="19"/>
      <x:c r="G200" s="20"/>
      <x:c r="H200" s="26"/>
      <x:c r="I200" s="19"/>
      <x:c r="J200" s="19"/>
      <x:c r="K200" s="19"/>
      <x:c r="L200" s="19"/>
      <x:c r="M200" s="26"/>
      <x:c r="N200" s="19"/>
      <x:c r="O200" s="26"/>
      <x:c r="P200" s="19"/>
      <x:c r="Q200" s="19"/>
    </x:row>
    <x:row r="201">
      <x:c r="A201" s="19"/>
      <x:c r="B201" s="19"/>
      <x:c r="C201" s="19"/>
      <x:c r="D201" s="19"/>
      <x:c r="E201" s="19"/>
      <x:c r="F201" s="19"/>
      <x:c r="G201" s="20"/>
      <x:c r="H201" s="26"/>
      <x:c r="I201" s="19"/>
      <x:c r="J201" s="19"/>
      <x:c r="K201" s="19"/>
      <x:c r="L201" s="19"/>
      <x:c r="M201" s="26"/>
      <x:c r="N201" s="19"/>
      <x:c r="O201" s="26"/>
      <x:c r="P201" s="19"/>
      <x:c r="Q201" s="19"/>
    </x:row>
    <x:row r="202">
      <x:c r="A202" s="19"/>
      <x:c r="B202" s="19"/>
      <x:c r="C202" s="19"/>
      <x:c r="D202" s="19"/>
      <x:c r="E202" s="19"/>
      <x:c r="F202" s="19"/>
      <x:c r="G202" s="20"/>
      <x:c r="H202" s="26"/>
      <x:c r="I202" s="19"/>
      <x:c r="J202" s="19"/>
      <x:c r="K202" s="19"/>
      <x:c r="L202" s="19"/>
      <x:c r="M202" s="26"/>
      <x:c r="N202" s="19"/>
      <x:c r="O202" s="26"/>
      <x:c r="P202" s="19"/>
      <x:c r="Q202" s="19"/>
    </x:row>
    <x:row r="203">
      <x:c r="A203" s="19"/>
      <x:c r="B203" s="19"/>
      <x:c r="C203" s="19"/>
      <x:c r="D203" s="19"/>
      <x:c r="E203" s="19"/>
      <x:c r="F203" s="19"/>
      <x:c r="G203" s="20"/>
      <x:c r="H203" s="26"/>
      <x:c r="I203" s="19"/>
      <x:c r="J203" s="19"/>
      <x:c r="K203" s="19"/>
      <x:c r="L203" s="19"/>
      <x:c r="M203" s="26"/>
      <x:c r="N203" s="19"/>
      <x:c r="O203" s="26"/>
      <x:c r="P203" s="19"/>
      <x:c r="Q203" s="19"/>
    </x:row>
    <x:row r="204">
      <x:c r="A204" s="19"/>
      <x:c r="B204" s="19"/>
      <x:c r="C204" s="19"/>
      <x:c r="D204" s="19"/>
      <x:c r="E204" s="19"/>
      <x:c r="F204" s="19"/>
      <x:c r="G204" s="20"/>
      <x:c r="H204" s="26"/>
      <x:c r="I204" s="19"/>
      <x:c r="J204" s="19"/>
      <x:c r="K204" s="19"/>
      <x:c r="L204" s="19"/>
      <x:c r="M204" s="26"/>
      <x:c r="N204" s="19"/>
      <x:c r="O204" s="26"/>
      <x:c r="P204" s="19"/>
      <x:c r="Q204" s="19"/>
    </x:row>
    <x:row r="205">
      <x:c r="A205" s="19"/>
      <x:c r="B205" s="19"/>
      <x:c r="C205" s="19"/>
      <x:c r="D205" s="19"/>
      <x:c r="E205" s="19"/>
      <x:c r="F205" s="19"/>
      <x:c r="G205" s="20"/>
      <x:c r="H205" s="26"/>
      <x:c r="I205" s="19"/>
      <x:c r="J205" s="19"/>
      <x:c r="K205" s="19"/>
      <x:c r="L205" s="19"/>
      <x:c r="M205" s="26"/>
      <x:c r="N205" s="19"/>
      <x:c r="O205" s="26"/>
      <x:c r="P205" s="19"/>
      <x:c r="Q205" s="19"/>
    </x:row>
    <x:row r="206">
      <x:c r="A206" s="19"/>
      <x:c r="B206" s="19"/>
      <x:c r="C206" s="19"/>
      <x:c r="D206" s="19"/>
      <x:c r="E206" s="19"/>
      <x:c r="F206" s="19"/>
      <x:c r="G206" s="20"/>
      <x:c r="H206" s="26"/>
      <x:c r="I206" s="19"/>
      <x:c r="J206" s="19"/>
      <x:c r="K206" s="19"/>
      <x:c r="L206" s="19"/>
      <x:c r="M206" s="26"/>
      <x:c r="N206" s="19"/>
      <x:c r="O206" s="26"/>
      <x:c r="P206" s="19"/>
      <x:c r="Q206" s="19"/>
    </x:row>
    <x:row r="207">
      <x:c r="A207" s="19"/>
      <x:c r="B207" s="19"/>
      <x:c r="C207" s="19"/>
      <x:c r="D207" s="19"/>
      <x:c r="E207" s="19"/>
      <x:c r="F207" s="19"/>
      <x:c r="G207" s="20"/>
      <x:c r="H207" s="26"/>
      <x:c r="I207" s="19"/>
      <x:c r="J207" s="19"/>
      <x:c r="K207" s="19"/>
      <x:c r="L207" s="19"/>
      <x:c r="M207" s="26"/>
      <x:c r="N207" s="19"/>
      <x:c r="O207" s="26"/>
      <x:c r="P207" s="19"/>
      <x:c r="Q207" s="19"/>
    </x:row>
    <x:row r="208">
      <x:c r="A208" s="19"/>
      <x:c r="B208" s="19"/>
      <x:c r="C208" s="19"/>
      <x:c r="D208" s="19"/>
      <x:c r="E208" s="19"/>
      <x:c r="F208" s="19"/>
      <x:c r="G208" s="20"/>
      <x:c r="H208" s="26"/>
      <x:c r="I208" s="19"/>
      <x:c r="J208" s="19"/>
      <x:c r="K208" s="19"/>
      <x:c r="L208" s="19"/>
      <x:c r="M208" s="26"/>
      <x:c r="N208" s="19"/>
      <x:c r="O208" s="26"/>
      <x:c r="P208" s="19"/>
      <x:c r="Q208" s="19"/>
    </x:row>
    <x:row r="209">
      <x:c r="A209" s="19"/>
      <x:c r="B209" s="19"/>
      <x:c r="C209" s="19"/>
      <x:c r="D209" s="19"/>
      <x:c r="E209" s="19"/>
      <x:c r="F209" s="19"/>
      <x:c r="G209" s="20"/>
      <x:c r="H209" s="26"/>
      <x:c r="I209" s="19"/>
      <x:c r="J209" s="19"/>
      <x:c r="K209" s="19"/>
      <x:c r="L209" s="19"/>
      <x:c r="M209" s="26"/>
      <x:c r="N209" s="19"/>
      <x:c r="O209" s="26"/>
      <x:c r="P209" s="19"/>
      <x:c r="Q209" s="19"/>
    </x:row>
    <x:row r="210">
      <x:c r="A210" s="19"/>
      <x:c r="B210" s="19"/>
      <x:c r="C210" s="19"/>
      <x:c r="D210" s="19"/>
      <x:c r="E210" s="19"/>
      <x:c r="F210" s="19"/>
      <x:c r="G210" s="20"/>
      <x:c r="H210" s="26"/>
      <x:c r="I210" s="19"/>
      <x:c r="J210" s="19"/>
      <x:c r="K210" s="19"/>
      <x:c r="L210" s="19"/>
      <x:c r="M210" s="26"/>
      <x:c r="N210" s="19"/>
      <x:c r="O210" s="26"/>
      <x:c r="P210" s="19"/>
      <x:c r="Q210" s="19"/>
    </x:row>
    <x:row r="211">
      <x:c r="A211" s="19"/>
      <x:c r="B211" s="19"/>
      <x:c r="C211" s="19"/>
      <x:c r="D211" s="19"/>
      <x:c r="E211" s="19"/>
      <x:c r="F211" s="19"/>
      <x:c r="G211" s="20"/>
      <x:c r="H211" s="26"/>
      <x:c r="I211" s="19"/>
      <x:c r="J211" s="19"/>
      <x:c r="K211" s="19"/>
      <x:c r="L211" s="19"/>
      <x:c r="M211" s="26"/>
      <x:c r="N211" s="19"/>
      <x:c r="O211" s="26"/>
      <x:c r="P211" s="19"/>
      <x:c r="Q211" s="19"/>
    </x:row>
    <x:row r="212">
      <x:c r="A212" s="19"/>
      <x:c r="B212" s="19"/>
      <x:c r="C212" s="19"/>
      <x:c r="D212" s="19"/>
      <x:c r="E212" s="19"/>
      <x:c r="F212" s="19"/>
      <x:c r="G212" s="20"/>
      <x:c r="H212" s="26"/>
      <x:c r="I212" s="19"/>
      <x:c r="J212" s="19"/>
      <x:c r="K212" s="19"/>
      <x:c r="L212" s="19"/>
      <x:c r="M212" s="26"/>
      <x:c r="N212" s="19"/>
      <x:c r="O212" s="26"/>
      <x:c r="P212" s="19"/>
      <x:c r="Q212" s="19"/>
    </x:row>
    <x:row r="213">
      <x:c r="A213" s="19"/>
      <x:c r="B213" s="19"/>
      <x:c r="C213" s="19"/>
      <x:c r="D213" s="19"/>
      <x:c r="E213" s="19"/>
      <x:c r="F213" s="19"/>
      <x:c r="G213" s="20"/>
      <x:c r="H213" s="26"/>
      <x:c r="I213" s="19"/>
      <x:c r="J213" s="19"/>
      <x:c r="K213" s="19"/>
      <x:c r="L213" s="19"/>
      <x:c r="M213" s="26"/>
      <x:c r="N213" s="19"/>
      <x:c r="O213" s="26"/>
      <x:c r="P213" s="19"/>
      <x:c r="Q213" s="19"/>
    </x:row>
    <x:row r="214">
      <x:c r="A214" s="19"/>
      <x:c r="B214" s="19"/>
      <x:c r="C214" s="19"/>
      <x:c r="D214" s="19"/>
      <x:c r="E214" s="19"/>
      <x:c r="F214" s="19"/>
      <x:c r="G214" s="20"/>
      <x:c r="H214" s="26"/>
      <x:c r="I214" s="19"/>
      <x:c r="J214" s="19"/>
      <x:c r="K214" s="19"/>
      <x:c r="L214" s="19"/>
      <x:c r="M214" s="26"/>
      <x:c r="N214" s="19"/>
      <x:c r="O214" s="26"/>
      <x:c r="P214" s="19"/>
      <x:c r="Q214" s="19"/>
    </x:row>
    <x:row r="215">
      <x:c r="A215" s="19"/>
      <x:c r="B215" s="19"/>
      <x:c r="C215" s="19"/>
      <x:c r="D215" s="19"/>
      <x:c r="E215" s="19"/>
      <x:c r="F215" s="19"/>
      <x:c r="G215" s="20"/>
      <x:c r="H215" s="26"/>
      <x:c r="I215" s="19"/>
      <x:c r="J215" s="19"/>
      <x:c r="K215" s="19"/>
      <x:c r="L215" s="19"/>
      <x:c r="M215" s="26"/>
      <x:c r="N215" s="19"/>
      <x:c r="O215" s="26"/>
      <x:c r="P215" s="19"/>
      <x:c r="Q215" s="19"/>
    </x:row>
    <x:row r="216">
      <x:c r="A216" s="19"/>
      <x:c r="B216" s="19"/>
      <x:c r="C216" s="19"/>
      <x:c r="D216" s="19"/>
      <x:c r="E216" s="19"/>
      <x:c r="F216" s="19"/>
      <x:c r="G216" s="20"/>
      <x:c r="H216" s="26"/>
      <x:c r="I216" s="19"/>
      <x:c r="J216" s="19"/>
      <x:c r="K216" s="19"/>
      <x:c r="L216" s="19"/>
      <x:c r="M216" s="26"/>
      <x:c r="N216" s="19"/>
      <x:c r="O216" s="26"/>
      <x:c r="P216" s="19"/>
      <x:c r="Q216" s="19"/>
    </x:row>
    <x:row r="217">
      <x:c r="A217" s="19"/>
      <x:c r="B217" s="19"/>
      <x:c r="C217" s="19"/>
      <x:c r="D217" s="19"/>
      <x:c r="E217" s="19"/>
      <x:c r="F217" s="19"/>
      <x:c r="G217" s="20"/>
      <x:c r="H217" s="26"/>
      <x:c r="I217" s="19"/>
      <x:c r="J217" s="19"/>
      <x:c r="K217" s="19"/>
      <x:c r="L217" s="19"/>
      <x:c r="M217" s="26"/>
      <x:c r="N217" s="19"/>
      <x:c r="O217" s="26"/>
      <x:c r="P217" s="19"/>
      <x:c r="Q217" s="19"/>
    </x:row>
    <x:row r="218">
      <x:c r="A218" s="19"/>
      <x:c r="B218" s="19"/>
      <x:c r="C218" s="19"/>
      <x:c r="D218" s="19"/>
      <x:c r="E218" s="19"/>
      <x:c r="F218" s="19"/>
      <x:c r="G218" s="20"/>
      <x:c r="H218" s="26"/>
      <x:c r="I218" s="19"/>
      <x:c r="J218" s="19"/>
      <x:c r="K218" s="19"/>
      <x:c r="L218" s="19"/>
      <x:c r="M218" s="26"/>
      <x:c r="N218" s="19"/>
      <x:c r="O218" s="26"/>
      <x:c r="P218" s="19"/>
      <x:c r="Q218" s="19"/>
    </x:row>
    <x:row r="219">
      <x:c r="A219" s="19"/>
      <x:c r="B219" s="19"/>
      <x:c r="C219" s="19"/>
      <x:c r="D219" s="19"/>
      <x:c r="E219" s="19"/>
      <x:c r="F219" s="19"/>
      <x:c r="G219" s="20"/>
      <x:c r="H219" s="26"/>
      <x:c r="I219" s="19"/>
      <x:c r="J219" s="19"/>
      <x:c r="K219" s="19"/>
      <x:c r="L219" s="19"/>
      <x:c r="M219" s="26"/>
      <x:c r="N219" s="19"/>
      <x:c r="O219" s="26"/>
      <x:c r="P219" s="19"/>
      <x:c r="Q219" s="19"/>
    </x:row>
    <x:row r="220">
      <x:c r="A220" s="19"/>
      <x:c r="B220" s="19"/>
      <x:c r="C220" s="19"/>
      <x:c r="D220" s="19"/>
      <x:c r="E220" s="19"/>
      <x:c r="F220" s="19"/>
      <x:c r="G220" s="20"/>
      <x:c r="H220" s="26"/>
      <x:c r="I220" s="19"/>
      <x:c r="J220" s="19"/>
      <x:c r="K220" s="19"/>
      <x:c r="L220" s="19"/>
      <x:c r="M220" s="26"/>
      <x:c r="N220" s="19"/>
      <x:c r="O220" s="26"/>
      <x:c r="P220" s="19"/>
      <x:c r="Q220" s="19"/>
    </x:row>
    <x:row r="221">
      <x:c r="A221" s="19"/>
      <x:c r="B221" s="19"/>
      <x:c r="C221" s="19"/>
      <x:c r="D221" s="19"/>
      <x:c r="E221" s="19"/>
      <x:c r="F221" s="19"/>
      <x:c r="G221" s="20"/>
      <x:c r="H221" s="26"/>
      <x:c r="I221" s="19"/>
      <x:c r="J221" s="19"/>
      <x:c r="K221" s="19"/>
      <x:c r="L221" s="19"/>
      <x:c r="M221" s="26"/>
      <x:c r="N221" s="19"/>
      <x:c r="O221" s="26"/>
      <x:c r="P221" s="19"/>
      <x:c r="Q221" s="19"/>
    </x:row>
    <x:row r="222">
      <x:c r="A222" s="19"/>
      <x:c r="B222" s="19"/>
      <x:c r="C222" s="19"/>
      <x:c r="D222" s="19"/>
      <x:c r="E222" s="19"/>
      <x:c r="F222" s="19"/>
      <x:c r="G222" s="20"/>
      <x:c r="H222" s="26"/>
      <x:c r="I222" s="19"/>
      <x:c r="J222" s="19"/>
      <x:c r="K222" s="19"/>
      <x:c r="L222" s="19"/>
      <x:c r="M222" s="26"/>
      <x:c r="N222" s="19"/>
      <x:c r="O222" s="26"/>
      <x:c r="P222" s="19"/>
      <x:c r="Q222" s="19"/>
    </x:row>
    <x:row r="223">
      <x:c r="A223" s="19"/>
      <x:c r="B223" s="19"/>
      <x:c r="C223" s="19"/>
      <x:c r="D223" s="19"/>
      <x:c r="E223" s="19"/>
      <x:c r="F223" s="19"/>
      <x:c r="G223" s="20"/>
      <x:c r="H223" s="26"/>
      <x:c r="I223" s="19"/>
      <x:c r="J223" s="19"/>
      <x:c r="K223" s="19"/>
      <x:c r="L223" s="19"/>
      <x:c r="M223" s="26"/>
      <x:c r="N223" s="19"/>
      <x:c r="O223" s="26"/>
      <x:c r="P223" s="19"/>
      <x:c r="Q223" s="19"/>
    </x:row>
    <x:row r="224">
      <x:c r="A224" s="19"/>
      <x:c r="B224" s="19"/>
      <x:c r="C224" s="19"/>
      <x:c r="D224" s="19"/>
      <x:c r="E224" s="19"/>
      <x:c r="F224" s="19"/>
      <x:c r="G224" s="20"/>
      <x:c r="H224" s="26"/>
      <x:c r="I224" s="19"/>
      <x:c r="J224" s="19"/>
      <x:c r="K224" s="19"/>
      <x:c r="L224" s="19"/>
      <x:c r="M224" s="26"/>
      <x:c r="N224" s="19"/>
      <x:c r="O224" s="26"/>
      <x:c r="P224" s="19"/>
      <x:c r="Q224" s="19"/>
    </x:row>
    <x:row r="225">
      <x:c r="A225" s="19"/>
      <x:c r="B225" s="19"/>
      <x:c r="C225" s="19"/>
      <x:c r="D225" s="19"/>
      <x:c r="E225" s="19"/>
      <x:c r="F225" s="19"/>
      <x:c r="G225" s="20"/>
      <x:c r="H225" s="26"/>
      <x:c r="I225" s="19"/>
      <x:c r="J225" s="19"/>
      <x:c r="K225" s="19"/>
      <x:c r="L225" s="19"/>
      <x:c r="M225" s="26"/>
      <x:c r="N225" s="19"/>
      <x:c r="O225" s="26"/>
      <x:c r="P225" s="19"/>
      <x:c r="Q225" s="19"/>
    </x:row>
    <x:row r="226">
      <x:c r="A226" s="19"/>
      <x:c r="B226" s="19"/>
      <x:c r="C226" s="19"/>
      <x:c r="D226" s="19"/>
      <x:c r="E226" s="19"/>
      <x:c r="F226" s="19"/>
      <x:c r="G226" s="20"/>
      <x:c r="H226" s="26"/>
      <x:c r="I226" s="19"/>
      <x:c r="J226" s="19"/>
      <x:c r="K226" s="19"/>
      <x:c r="L226" s="19"/>
      <x:c r="M226" s="26"/>
      <x:c r="N226" s="19"/>
      <x:c r="O226" s="26"/>
      <x:c r="P226" s="19"/>
      <x:c r="Q226" s="19"/>
    </x:row>
    <x:row r="227">
      <x:c r="A227" s="19"/>
      <x:c r="B227" s="19"/>
      <x:c r="C227" s="19"/>
      <x:c r="D227" s="19"/>
      <x:c r="E227" s="19"/>
      <x:c r="F227" s="19"/>
      <x:c r="G227" s="20"/>
      <x:c r="H227" s="26"/>
      <x:c r="I227" s="19"/>
      <x:c r="J227" s="19"/>
      <x:c r="K227" s="19"/>
      <x:c r="L227" s="19"/>
      <x:c r="M227" s="26"/>
      <x:c r="N227" s="19"/>
      <x:c r="O227" s="26"/>
      <x:c r="P227" s="19"/>
      <x:c r="Q227" s="19"/>
    </x:row>
    <x:row r="228">
      <x:c r="A228" s="19"/>
      <x:c r="B228" s="19"/>
      <x:c r="C228" s="19"/>
      <x:c r="D228" s="19"/>
      <x:c r="E228" s="19"/>
      <x:c r="F228" s="19"/>
      <x:c r="G228" s="20"/>
      <x:c r="H228" s="26"/>
      <x:c r="I228" s="19"/>
      <x:c r="J228" s="19"/>
      <x:c r="K228" s="19"/>
      <x:c r="L228" s="19"/>
      <x:c r="M228" s="26"/>
      <x:c r="N228" s="19"/>
      <x:c r="O228" s="26"/>
      <x:c r="P228" s="19"/>
      <x:c r="Q228" s="19"/>
    </x:row>
    <x:row r="229">
      <x:c r="A229" s="19"/>
      <x:c r="B229" s="19"/>
      <x:c r="C229" s="19"/>
      <x:c r="D229" s="19"/>
      <x:c r="E229" s="19"/>
      <x:c r="F229" s="19"/>
      <x:c r="G229" s="20"/>
      <x:c r="H229" s="26"/>
      <x:c r="I229" s="19"/>
      <x:c r="J229" s="19"/>
      <x:c r="K229" s="19"/>
      <x:c r="L229" s="19"/>
      <x:c r="M229" s="26"/>
      <x:c r="N229" s="19"/>
      <x:c r="O229" s="26"/>
      <x:c r="P229" s="19"/>
      <x:c r="Q229" s="19"/>
    </x:row>
    <x:row r="230">
      <x:c r="A230" s="19"/>
      <x:c r="B230" s="19"/>
      <x:c r="C230" s="19"/>
      <x:c r="D230" s="19"/>
      <x:c r="E230" s="19"/>
      <x:c r="F230" s="19"/>
      <x:c r="G230" s="20"/>
      <x:c r="H230" s="26"/>
      <x:c r="I230" s="19"/>
      <x:c r="J230" s="19"/>
      <x:c r="K230" s="19"/>
      <x:c r="L230" s="19"/>
      <x:c r="M230" s="26"/>
      <x:c r="N230" s="19"/>
      <x:c r="O230" s="26"/>
      <x:c r="P230" s="19"/>
      <x:c r="Q230" s="19"/>
    </x:row>
    <x:row r="231">
      <x:c r="A231" s="19"/>
      <x:c r="B231" s="19"/>
      <x:c r="C231" s="19"/>
      <x:c r="D231" s="19"/>
      <x:c r="E231" s="19"/>
      <x:c r="F231" s="19"/>
      <x:c r="G231" s="20"/>
      <x:c r="H231" s="26"/>
      <x:c r="I231" s="19"/>
      <x:c r="J231" s="19"/>
      <x:c r="K231" s="19"/>
      <x:c r="L231" s="19"/>
      <x:c r="M231" s="26"/>
      <x:c r="N231" s="19"/>
      <x:c r="O231" s="26"/>
      <x:c r="P231" s="19"/>
      <x:c r="Q231" s="19"/>
    </x:row>
    <x:row r="232">
      <x:c r="A232" s="19"/>
      <x:c r="B232" s="19"/>
      <x:c r="C232" s="19"/>
      <x:c r="D232" s="19"/>
      <x:c r="E232" s="19"/>
      <x:c r="F232" s="19"/>
      <x:c r="G232" s="20"/>
      <x:c r="H232" s="26"/>
      <x:c r="I232" s="19"/>
      <x:c r="J232" s="19"/>
      <x:c r="K232" s="19"/>
      <x:c r="L232" s="19"/>
      <x:c r="M232" s="26"/>
      <x:c r="N232" s="19"/>
      <x:c r="O232" s="26"/>
      <x:c r="P232" s="19"/>
      <x:c r="Q232" s="19"/>
    </x:row>
    <x:row r="233">
      <x:c r="A233" s="19"/>
      <x:c r="B233" s="19"/>
      <x:c r="C233" s="19"/>
      <x:c r="D233" s="19"/>
      <x:c r="E233" s="19"/>
      <x:c r="F233" s="19"/>
      <x:c r="G233" s="20"/>
      <x:c r="H233" s="26"/>
      <x:c r="I233" s="19"/>
      <x:c r="J233" s="19"/>
      <x:c r="K233" s="19"/>
      <x:c r="L233" s="19"/>
      <x:c r="M233" s="26"/>
      <x:c r="N233" s="19"/>
      <x:c r="O233" s="26"/>
      <x:c r="P233" s="19"/>
      <x:c r="Q233" s="19"/>
    </x:row>
    <x:row r="234">
      <x:c r="A234" s="19"/>
      <x:c r="B234" s="19"/>
      <x:c r="C234" s="19"/>
      <x:c r="D234" s="19"/>
      <x:c r="E234" s="19"/>
      <x:c r="F234" s="19"/>
      <x:c r="G234" s="20"/>
      <x:c r="H234" s="26"/>
      <x:c r="I234" s="19"/>
      <x:c r="J234" s="19"/>
      <x:c r="K234" s="19"/>
      <x:c r="L234" s="19"/>
      <x:c r="M234" s="26"/>
      <x:c r="N234" s="19"/>
      <x:c r="O234" s="26"/>
      <x:c r="P234" s="19"/>
      <x:c r="Q234" s="19"/>
    </x:row>
    <x:row r="235">
      <x:c r="A235" s="19"/>
      <x:c r="B235" s="19"/>
      <x:c r="C235" s="19"/>
      <x:c r="D235" s="19"/>
      <x:c r="E235" s="19"/>
      <x:c r="F235" s="19"/>
      <x:c r="G235" s="20"/>
      <x:c r="H235" s="26"/>
      <x:c r="I235" s="19"/>
      <x:c r="J235" s="19"/>
      <x:c r="K235" s="19"/>
      <x:c r="L235" s="19"/>
      <x:c r="M235" s="26"/>
      <x:c r="N235" s="19"/>
      <x:c r="O235" s="26"/>
      <x:c r="P235" s="19"/>
      <x:c r="Q235" s="19"/>
    </x:row>
    <x:row r="236">
      <x:c r="A236" s="19"/>
      <x:c r="B236" s="19"/>
      <x:c r="C236" s="19"/>
      <x:c r="D236" s="19"/>
      <x:c r="E236" s="19"/>
      <x:c r="F236" s="19"/>
      <x:c r="G236" s="20"/>
      <x:c r="H236" s="26"/>
      <x:c r="I236" s="19"/>
      <x:c r="J236" s="19"/>
      <x:c r="K236" s="19"/>
      <x:c r="L236" s="19"/>
      <x:c r="M236" s="26"/>
      <x:c r="N236" s="19"/>
      <x:c r="O236" s="26"/>
      <x:c r="P236" s="19"/>
      <x:c r="Q236" s="19"/>
    </x:row>
    <x:row r="237">
      <x:c r="A237" s="19"/>
      <x:c r="B237" s="19"/>
      <x:c r="C237" s="19"/>
      <x:c r="D237" s="19"/>
      <x:c r="E237" s="19"/>
      <x:c r="F237" s="19"/>
      <x:c r="G237" s="20"/>
      <x:c r="H237" s="26"/>
      <x:c r="I237" s="19"/>
      <x:c r="J237" s="19"/>
      <x:c r="K237" s="19"/>
      <x:c r="L237" s="19"/>
      <x:c r="M237" s="26"/>
      <x:c r="N237" s="19"/>
      <x:c r="O237" s="26"/>
      <x:c r="P237" s="19"/>
      <x:c r="Q237" s="19"/>
    </x:row>
    <x:row r="238">
      <x:c r="A238" s="19"/>
      <x:c r="B238" s="19"/>
      <x:c r="C238" s="19"/>
      <x:c r="D238" s="19"/>
      <x:c r="E238" s="19"/>
      <x:c r="F238" s="19"/>
      <x:c r="G238" s="20"/>
      <x:c r="H238" s="26"/>
      <x:c r="I238" s="19"/>
      <x:c r="J238" s="19"/>
      <x:c r="K238" s="19"/>
      <x:c r="L238" s="19"/>
      <x:c r="M238" s="26"/>
      <x:c r="N238" s="19"/>
      <x:c r="O238" s="26"/>
      <x:c r="P238" s="19"/>
      <x:c r="Q238" s="19"/>
    </x:row>
    <x:row r="239">
      <x:c r="A239" s="19"/>
      <x:c r="B239" s="19"/>
      <x:c r="C239" s="19"/>
      <x:c r="D239" s="19"/>
      <x:c r="E239" s="19"/>
      <x:c r="F239" s="19"/>
      <x:c r="G239" s="20"/>
      <x:c r="H239" s="26"/>
      <x:c r="I239" s="19"/>
      <x:c r="J239" s="19"/>
      <x:c r="K239" s="19"/>
      <x:c r="L239" s="19"/>
      <x:c r="M239" s="26"/>
      <x:c r="N239" s="19"/>
      <x:c r="O239" s="26"/>
      <x:c r="P239" s="19"/>
      <x:c r="Q239" s="19"/>
    </x:row>
    <x:row r="240">
      <x:c r="A240" s="19"/>
      <x:c r="B240" s="19"/>
      <x:c r="C240" s="19"/>
      <x:c r="D240" s="19"/>
      <x:c r="E240" s="19"/>
      <x:c r="F240" s="19"/>
      <x:c r="G240" s="20"/>
      <x:c r="H240" s="26"/>
      <x:c r="I240" s="19"/>
      <x:c r="J240" s="19"/>
      <x:c r="K240" s="19"/>
      <x:c r="L240" s="19"/>
      <x:c r="M240" s="26"/>
      <x:c r="N240" s="19"/>
      <x:c r="O240" s="26"/>
      <x:c r="P240" s="19"/>
      <x:c r="Q240" s="19"/>
    </x:row>
    <x:row r="241">
      <x:c r="A241" s="19"/>
      <x:c r="B241" s="19"/>
      <x:c r="C241" s="19"/>
      <x:c r="D241" s="19"/>
      <x:c r="E241" s="19"/>
      <x:c r="F241" s="19"/>
      <x:c r="G241" s="20"/>
      <x:c r="H241" s="26"/>
      <x:c r="I241" s="19"/>
      <x:c r="J241" s="19"/>
      <x:c r="K241" s="19"/>
      <x:c r="L241" s="19"/>
      <x:c r="M241" s="26"/>
      <x:c r="N241" s="19"/>
      <x:c r="O241" s="26"/>
      <x:c r="P241" s="19"/>
      <x:c r="Q241" s="19"/>
    </x:row>
    <x:row r="242">
      <x:c r="A242" s="19"/>
      <x:c r="B242" s="19"/>
      <x:c r="C242" s="19"/>
      <x:c r="D242" s="19"/>
      <x:c r="E242" s="19"/>
      <x:c r="F242" s="19"/>
      <x:c r="G242" s="20"/>
      <x:c r="H242" s="26"/>
      <x:c r="I242" s="19"/>
      <x:c r="J242" s="19"/>
      <x:c r="K242" s="19"/>
      <x:c r="L242" s="19"/>
      <x:c r="M242" s="26"/>
      <x:c r="N242" s="19"/>
      <x:c r="O242" s="26"/>
      <x:c r="P242" s="19"/>
      <x:c r="Q242" s="19"/>
    </x:row>
    <x:row r="243">
      <x:c r="A243" s="19"/>
      <x:c r="B243" s="19"/>
      <x:c r="C243" s="19"/>
      <x:c r="D243" s="19"/>
      <x:c r="E243" s="19"/>
      <x:c r="F243" s="19"/>
      <x:c r="G243" s="20"/>
      <x:c r="H243" s="26"/>
      <x:c r="I243" s="19"/>
      <x:c r="J243" s="19"/>
      <x:c r="K243" s="19"/>
      <x:c r="L243" s="19"/>
      <x:c r="M243" s="26"/>
      <x:c r="N243" s="19"/>
      <x:c r="O243" s="26"/>
      <x:c r="P243" s="19"/>
      <x:c r="Q243" s="19"/>
    </x:row>
    <x:row r="244">
      <x:c r="A244" s="19"/>
      <x:c r="B244" s="19"/>
      <x:c r="C244" s="19"/>
      <x:c r="D244" s="19"/>
      <x:c r="E244" s="19"/>
      <x:c r="F244" s="19"/>
      <x:c r="G244" s="20"/>
      <x:c r="H244" s="26"/>
      <x:c r="I244" s="19"/>
      <x:c r="J244" s="19"/>
      <x:c r="K244" s="19"/>
      <x:c r="L244" s="19"/>
      <x:c r="M244" s="26"/>
      <x:c r="N244" s="19"/>
      <x:c r="O244" s="26"/>
      <x:c r="P244" s="19"/>
      <x:c r="Q244" s="19"/>
    </x:row>
    <x:row r="245">
      <x:c r="A245" s="19"/>
      <x:c r="B245" s="19"/>
      <x:c r="C245" s="19"/>
      <x:c r="D245" s="19"/>
      <x:c r="E245" s="19"/>
      <x:c r="F245" s="19"/>
      <x:c r="G245" s="20"/>
      <x:c r="H245" s="26"/>
      <x:c r="I245" s="19"/>
      <x:c r="J245" s="19"/>
      <x:c r="K245" s="19"/>
      <x:c r="L245" s="19"/>
      <x:c r="M245" s="26"/>
      <x:c r="N245" s="19"/>
      <x:c r="O245" s="26"/>
      <x:c r="P245" s="19"/>
      <x:c r="Q245" s="19"/>
    </x:row>
    <x:row r="246">
      <x:c r="A246" s="19"/>
      <x:c r="B246" s="19"/>
      <x:c r="C246" s="19"/>
      <x:c r="D246" s="19"/>
      <x:c r="E246" s="19"/>
      <x:c r="F246" s="19"/>
      <x:c r="G246" s="20"/>
      <x:c r="H246" s="26"/>
      <x:c r="I246" s="19"/>
      <x:c r="J246" s="19"/>
      <x:c r="K246" s="19"/>
      <x:c r="L246" s="19"/>
      <x:c r="M246" s="26"/>
      <x:c r="N246" s="19"/>
      <x:c r="O246" s="26"/>
      <x:c r="P246" s="19"/>
      <x:c r="Q246" s="19"/>
    </x:row>
    <x:row r="247">
      <x:c r="A247" s="19"/>
      <x:c r="B247" s="19"/>
      <x:c r="C247" s="19"/>
      <x:c r="D247" s="19"/>
      <x:c r="E247" s="19"/>
      <x:c r="F247" s="19"/>
      <x:c r="G247" s="20"/>
      <x:c r="H247" s="26"/>
      <x:c r="I247" s="19"/>
      <x:c r="J247" s="19"/>
      <x:c r="K247" s="19"/>
      <x:c r="L247" s="19"/>
      <x:c r="M247" s="26"/>
      <x:c r="N247" s="19"/>
      <x:c r="O247" s="26"/>
      <x:c r="P247" s="19"/>
      <x:c r="Q247" s="19"/>
    </x:row>
    <x:row r="248">
      <x:c r="A248" s="19"/>
      <x:c r="B248" s="19"/>
      <x:c r="C248" s="19"/>
      <x:c r="D248" s="19"/>
      <x:c r="E248" s="19"/>
      <x:c r="F248" s="19"/>
      <x:c r="G248" s="20"/>
      <x:c r="H248" s="26"/>
      <x:c r="I248" s="19"/>
      <x:c r="J248" s="19"/>
      <x:c r="K248" s="19"/>
      <x:c r="L248" s="19"/>
      <x:c r="M248" s="26"/>
      <x:c r="N248" s="19"/>
      <x:c r="O248" s="26"/>
      <x:c r="P248" s="19"/>
      <x:c r="Q248" s="19"/>
    </x:row>
    <x:row r="249">
      <x:c r="A249" s="19"/>
      <x:c r="B249" s="19"/>
      <x:c r="C249" s="19"/>
      <x:c r="D249" s="19"/>
      <x:c r="E249" s="19"/>
      <x:c r="F249" s="19"/>
      <x:c r="G249" s="20"/>
      <x:c r="H249" s="26"/>
      <x:c r="I249" s="19"/>
      <x:c r="J249" s="19"/>
      <x:c r="K249" s="19"/>
      <x:c r="L249" s="19"/>
      <x:c r="M249" s="26"/>
      <x:c r="N249" s="19"/>
      <x:c r="O249" s="26"/>
      <x:c r="P249" s="19"/>
      <x:c r="Q249" s="19"/>
    </x:row>
    <x:row r="250">
      <x:c r="A250" s="19"/>
      <x:c r="B250" s="19"/>
      <x:c r="C250" s="19"/>
      <x:c r="D250" s="19"/>
      <x:c r="E250" s="19"/>
      <x:c r="F250" s="19"/>
      <x:c r="G250" s="20"/>
      <x:c r="H250" s="26"/>
      <x:c r="I250" s="19"/>
      <x:c r="J250" s="19"/>
      <x:c r="K250" s="19"/>
      <x:c r="L250" s="19"/>
      <x:c r="M250" s="26"/>
      <x:c r="N250" s="19"/>
      <x:c r="O250" s="26"/>
      <x:c r="P250" s="19"/>
      <x:c r="Q250" s="19"/>
    </x:row>
    <x:row r="251">
      <x:c r="A251" s="19"/>
      <x:c r="B251" s="19"/>
      <x:c r="C251" s="19"/>
      <x:c r="D251" s="19"/>
      <x:c r="E251" s="19"/>
      <x:c r="F251" s="19"/>
      <x:c r="G251" s="20"/>
      <x:c r="H251" s="26"/>
      <x:c r="I251" s="19"/>
      <x:c r="J251" s="19"/>
      <x:c r="K251" s="19"/>
      <x:c r="L251" s="19"/>
      <x:c r="M251" s="26"/>
      <x:c r="N251" s="19"/>
      <x:c r="O251" s="26"/>
      <x:c r="P251" s="19"/>
      <x:c r="Q251" s="19"/>
    </x:row>
    <x:row r="252">
      <x:c r="A252" s="19"/>
      <x:c r="B252" s="19"/>
      <x:c r="C252" s="19"/>
      <x:c r="D252" s="19"/>
      <x:c r="E252" s="19"/>
      <x:c r="F252" s="19"/>
      <x:c r="G252" s="20"/>
      <x:c r="H252" s="26"/>
      <x:c r="I252" s="19"/>
      <x:c r="J252" s="19"/>
      <x:c r="K252" s="19"/>
      <x:c r="L252" s="19"/>
      <x:c r="M252" s="26"/>
      <x:c r="N252" s="19"/>
      <x:c r="O252" s="26"/>
      <x:c r="P252" s="19"/>
      <x:c r="Q252" s="19"/>
    </x:row>
    <x:row r="253">
      <x:c r="A253" s="19"/>
      <x:c r="B253" s="19"/>
      <x:c r="C253" s="19"/>
      <x:c r="D253" s="19"/>
      <x:c r="E253" s="19"/>
      <x:c r="F253" s="19"/>
      <x:c r="G253" s="20"/>
      <x:c r="H253" s="26"/>
      <x:c r="I253" s="19"/>
      <x:c r="J253" s="19"/>
      <x:c r="K253" s="19"/>
      <x:c r="L253" s="19"/>
      <x:c r="M253" s="26"/>
      <x:c r="N253" s="19"/>
      <x:c r="O253" s="26"/>
      <x:c r="P253" s="19"/>
      <x:c r="Q253" s="19"/>
    </x:row>
    <x:row r="254">
      <x:c r="A254" s="19"/>
      <x:c r="B254" s="19"/>
      <x:c r="C254" s="19"/>
      <x:c r="D254" s="19"/>
      <x:c r="E254" s="19"/>
      <x:c r="F254" s="19"/>
      <x:c r="G254" s="20"/>
      <x:c r="H254" s="26"/>
      <x:c r="I254" s="19"/>
      <x:c r="J254" s="19"/>
      <x:c r="K254" s="19"/>
      <x:c r="L254" s="19"/>
      <x:c r="M254" s="26"/>
      <x:c r="N254" s="19"/>
      <x:c r="O254" s="26"/>
      <x:c r="P254" s="19"/>
      <x:c r="Q254" s="19"/>
    </x:row>
    <x:row r="255">
      <x:c r="A255" s="19"/>
      <x:c r="B255" s="19"/>
      <x:c r="C255" s="19"/>
      <x:c r="D255" s="19"/>
      <x:c r="E255" s="19"/>
      <x:c r="F255" s="19"/>
      <x:c r="G255" s="20"/>
      <x:c r="H255" s="26"/>
      <x:c r="I255" s="19"/>
      <x:c r="J255" s="19"/>
      <x:c r="K255" s="19"/>
      <x:c r="L255" s="19"/>
      <x:c r="M255" s="26"/>
      <x:c r="N255" s="19"/>
      <x:c r="O255" s="26"/>
      <x:c r="P255" s="19"/>
      <x:c r="Q255" s="19"/>
    </x:row>
    <x:row r="256">
      <x:c r="A256" s="19"/>
      <x:c r="B256" s="19"/>
      <x:c r="C256" s="19"/>
      <x:c r="D256" s="19"/>
      <x:c r="E256" s="19"/>
      <x:c r="F256" s="19"/>
      <x:c r="G256" s="20"/>
      <x:c r="H256" s="26"/>
      <x:c r="I256" s="19"/>
      <x:c r="J256" s="19"/>
      <x:c r="K256" s="19"/>
      <x:c r="L256" s="19"/>
      <x:c r="M256" s="26"/>
      <x:c r="N256" s="19"/>
      <x:c r="O256" s="26"/>
      <x:c r="P256" s="19"/>
      <x:c r="Q256" s="19"/>
    </x:row>
    <x:row r="257">
      <x:c r="A257" s="19"/>
      <x:c r="B257" s="19"/>
      <x:c r="C257" s="19"/>
      <x:c r="D257" s="19"/>
      <x:c r="E257" s="19"/>
      <x:c r="F257" s="19"/>
      <x:c r="G257" s="20"/>
      <x:c r="H257" s="26"/>
      <x:c r="I257" s="19"/>
      <x:c r="J257" s="19"/>
      <x:c r="K257" s="19"/>
      <x:c r="L257" s="19"/>
      <x:c r="M257" s="26"/>
      <x:c r="N257" s="19"/>
      <x:c r="O257" s="26"/>
      <x:c r="P257" s="19"/>
      <x:c r="Q257" s="19"/>
    </x:row>
    <x:row r="258">
      <x:c r="A258" s="19"/>
      <x:c r="B258" s="19"/>
      <x:c r="C258" s="19"/>
      <x:c r="D258" s="19"/>
      <x:c r="E258" s="19"/>
      <x:c r="F258" s="19"/>
      <x:c r="G258" s="20"/>
      <x:c r="H258" s="26"/>
      <x:c r="I258" s="19"/>
      <x:c r="J258" s="19"/>
      <x:c r="K258" s="19"/>
      <x:c r="L258" s="19"/>
      <x:c r="M258" s="26"/>
      <x:c r="N258" s="19"/>
      <x:c r="O258" s="26"/>
      <x:c r="P258" s="19"/>
      <x:c r="Q258" s="19"/>
    </x:row>
    <x:row r="259">
      <x:c r="A259" s="19"/>
      <x:c r="B259" s="19"/>
      <x:c r="C259" s="19"/>
      <x:c r="D259" s="19"/>
      <x:c r="E259" s="19"/>
      <x:c r="F259" s="19"/>
      <x:c r="G259" s="20"/>
      <x:c r="H259" s="26"/>
      <x:c r="I259" s="19"/>
      <x:c r="J259" s="19"/>
      <x:c r="K259" s="19"/>
      <x:c r="L259" s="19"/>
      <x:c r="M259" s="26"/>
      <x:c r="N259" s="19"/>
      <x:c r="O259" s="26"/>
      <x:c r="P259" s="19"/>
      <x:c r="Q259" s="19"/>
    </x:row>
    <x:row r="260">
      <x:c r="A260" s="19"/>
      <x:c r="B260" s="19"/>
      <x:c r="C260" s="19"/>
      <x:c r="D260" s="19"/>
      <x:c r="E260" s="19"/>
      <x:c r="F260" s="19"/>
      <x:c r="G260" s="20"/>
      <x:c r="H260" s="26"/>
      <x:c r="I260" s="19"/>
      <x:c r="J260" s="19"/>
      <x:c r="K260" s="19"/>
      <x:c r="L260" s="19"/>
      <x:c r="M260" s="26"/>
      <x:c r="N260" s="19"/>
      <x:c r="O260" s="26"/>
      <x:c r="P260" s="19"/>
      <x:c r="Q260" s="19"/>
    </x:row>
    <x:row r="261">
      <x:c r="A261" s="19"/>
      <x:c r="B261" s="19"/>
      <x:c r="C261" s="19"/>
      <x:c r="D261" s="19"/>
      <x:c r="E261" s="19"/>
      <x:c r="F261" s="19"/>
      <x:c r="G261" s="20"/>
      <x:c r="H261" s="26"/>
      <x:c r="I261" s="19"/>
      <x:c r="J261" s="19"/>
      <x:c r="K261" s="19"/>
      <x:c r="L261" s="19"/>
      <x:c r="M261" s="26"/>
      <x:c r="N261" s="19"/>
      <x:c r="O261" s="26"/>
      <x:c r="P261" s="19"/>
      <x:c r="Q261" s="19"/>
    </x:row>
    <x:row r="262">
      <x:c r="A262" s="19"/>
      <x:c r="B262" s="19"/>
      <x:c r="C262" s="19"/>
      <x:c r="D262" s="19"/>
      <x:c r="E262" s="19"/>
      <x:c r="F262" s="19"/>
      <x:c r="G262" s="20"/>
      <x:c r="H262" s="26"/>
      <x:c r="I262" s="19"/>
      <x:c r="J262" s="19"/>
      <x:c r="K262" s="19"/>
      <x:c r="L262" s="19"/>
      <x:c r="M262" s="26"/>
      <x:c r="N262" s="19"/>
      <x:c r="O262" s="26"/>
      <x:c r="P262" s="19"/>
      <x:c r="Q262" s="19"/>
    </x:row>
    <x:row r="263">
      <x:c r="A263" s="19"/>
      <x:c r="B263" s="19"/>
      <x:c r="C263" s="19"/>
      <x:c r="D263" s="19"/>
      <x:c r="E263" s="19"/>
      <x:c r="F263" s="19"/>
      <x:c r="G263" s="20"/>
      <x:c r="H263" s="26"/>
      <x:c r="I263" s="19"/>
      <x:c r="J263" s="19"/>
      <x:c r="K263" s="19"/>
      <x:c r="L263" s="19"/>
      <x:c r="M263" s="26"/>
      <x:c r="N263" s="19"/>
      <x:c r="O263" s="26"/>
      <x:c r="P263" s="19"/>
      <x:c r="Q263" s="19"/>
    </x:row>
    <x:row r="264">
      <x:c r="A264" s="19"/>
      <x:c r="B264" s="19"/>
      <x:c r="C264" s="19"/>
      <x:c r="D264" s="19"/>
      <x:c r="E264" s="19"/>
      <x:c r="F264" s="19"/>
      <x:c r="G264" s="20"/>
      <x:c r="H264" s="26"/>
      <x:c r="I264" s="19"/>
      <x:c r="J264" s="19"/>
      <x:c r="K264" s="19"/>
      <x:c r="L264" s="19"/>
      <x:c r="M264" s="26"/>
      <x:c r="N264" s="19"/>
      <x:c r="O264" s="26"/>
      <x:c r="P264" s="19"/>
      <x:c r="Q264" s="19"/>
    </x:row>
    <x:row r="265">
      <x:c r="A265" s="19"/>
      <x:c r="B265" s="19"/>
      <x:c r="C265" s="19"/>
      <x:c r="D265" s="19"/>
      <x:c r="E265" s="19"/>
      <x:c r="F265" s="19"/>
      <x:c r="G265" s="20"/>
      <x:c r="H265" s="26"/>
      <x:c r="I265" s="19"/>
      <x:c r="J265" s="19"/>
      <x:c r="K265" s="19"/>
      <x:c r="L265" s="19"/>
      <x:c r="M265" s="26"/>
      <x:c r="N265" s="19"/>
      <x:c r="O265" s="26"/>
      <x:c r="P265" s="19"/>
      <x:c r="Q265" s="19"/>
    </x:row>
    <x:row r="266">
      <x:c r="A266" s="19"/>
      <x:c r="B266" s="19"/>
      <x:c r="C266" s="19"/>
      <x:c r="D266" s="19"/>
      <x:c r="E266" s="19"/>
      <x:c r="F266" s="19"/>
      <x:c r="G266" s="20"/>
      <x:c r="H266" s="26"/>
      <x:c r="I266" s="19"/>
      <x:c r="J266" s="19"/>
      <x:c r="K266" s="19"/>
      <x:c r="L266" s="19"/>
      <x:c r="M266" s="26"/>
      <x:c r="N266" s="19"/>
      <x:c r="O266" s="26"/>
      <x:c r="P266" s="19"/>
      <x:c r="Q266" s="19"/>
    </x:row>
    <x:row r="267">
      <x:c r="A267" s="19"/>
      <x:c r="B267" s="19"/>
      <x:c r="C267" s="19"/>
      <x:c r="D267" s="19"/>
      <x:c r="E267" s="19"/>
      <x:c r="F267" s="19"/>
      <x:c r="G267" s="20"/>
      <x:c r="H267" s="26"/>
      <x:c r="I267" s="19"/>
      <x:c r="J267" s="19"/>
      <x:c r="K267" s="19"/>
      <x:c r="L267" s="19"/>
      <x:c r="M267" s="26"/>
      <x:c r="N267" s="19"/>
      <x:c r="O267" s="26"/>
      <x:c r="P267" s="19"/>
      <x:c r="Q267" s="19"/>
    </x:row>
    <x:row r="268">
      <x:c r="A268" s="19"/>
      <x:c r="B268" s="19"/>
      <x:c r="C268" s="19"/>
      <x:c r="D268" s="19"/>
      <x:c r="E268" s="19"/>
      <x:c r="F268" s="19"/>
      <x:c r="G268" s="20"/>
      <x:c r="H268" s="26"/>
      <x:c r="I268" s="19"/>
      <x:c r="J268" s="19"/>
      <x:c r="K268" s="19"/>
      <x:c r="L268" s="19"/>
      <x:c r="M268" s="26"/>
      <x:c r="N268" s="19"/>
      <x:c r="O268" s="26"/>
      <x:c r="P268" s="19"/>
      <x:c r="Q268" s="19"/>
    </x:row>
    <x:row r="269">
      <x:c r="A269" s="19"/>
      <x:c r="B269" s="19"/>
      <x:c r="C269" s="19"/>
      <x:c r="D269" s="19"/>
      <x:c r="E269" s="19"/>
      <x:c r="F269" s="19"/>
      <x:c r="G269" s="20"/>
      <x:c r="H269" s="26"/>
      <x:c r="I269" s="19"/>
      <x:c r="J269" s="19"/>
      <x:c r="K269" s="19"/>
      <x:c r="L269" s="19"/>
      <x:c r="M269" s="26"/>
      <x:c r="N269" s="19"/>
      <x:c r="O269" s="26"/>
      <x:c r="P269" s="19"/>
      <x:c r="Q269" s="19"/>
    </x:row>
    <x:row r="270">
      <x:c r="A270" s="19"/>
      <x:c r="B270" s="19"/>
      <x:c r="C270" s="19"/>
      <x:c r="D270" s="19"/>
      <x:c r="E270" s="19"/>
      <x:c r="F270" s="19"/>
      <x:c r="G270" s="20"/>
      <x:c r="H270" s="26"/>
      <x:c r="I270" s="19"/>
      <x:c r="J270" s="19"/>
      <x:c r="K270" s="19"/>
      <x:c r="L270" s="19"/>
      <x:c r="M270" s="26"/>
      <x:c r="N270" s="19"/>
      <x:c r="O270" s="26"/>
      <x:c r="P270" s="19"/>
      <x:c r="Q270" s="19"/>
    </x:row>
    <x:row r="271">
      <x:c r="A271" s="19"/>
      <x:c r="B271" s="19"/>
      <x:c r="C271" s="19"/>
      <x:c r="D271" s="19"/>
      <x:c r="E271" s="19"/>
      <x:c r="F271" s="19"/>
      <x:c r="G271" s="20"/>
      <x:c r="H271" s="26"/>
      <x:c r="I271" s="19"/>
      <x:c r="J271" s="19"/>
      <x:c r="K271" s="19"/>
      <x:c r="L271" s="19"/>
      <x:c r="M271" s="26"/>
      <x:c r="N271" s="19"/>
      <x:c r="O271" s="26"/>
      <x:c r="P271" s="19"/>
      <x:c r="Q271" s="19"/>
    </x:row>
    <x:row r="272">
      <x:c r="A272" s="19"/>
      <x:c r="B272" s="19"/>
      <x:c r="C272" s="19"/>
      <x:c r="D272" s="19"/>
      <x:c r="E272" s="19"/>
      <x:c r="F272" s="19"/>
      <x:c r="G272" s="20"/>
      <x:c r="H272" s="26"/>
      <x:c r="I272" s="19"/>
      <x:c r="J272" s="19"/>
      <x:c r="K272" s="19"/>
      <x:c r="L272" s="19"/>
      <x:c r="M272" s="26"/>
      <x:c r="N272" s="19"/>
      <x:c r="O272" s="26"/>
      <x:c r="P272" s="19"/>
      <x:c r="Q272" s="19"/>
    </x:row>
    <x:row r="273">
      <x:c r="A273" s="19"/>
      <x:c r="B273" s="19"/>
      <x:c r="C273" s="19"/>
      <x:c r="D273" s="19"/>
      <x:c r="E273" s="19"/>
      <x:c r="F273" s="19"/>
      <x:c r="G273" s="20"/>
      <x:c r="H273" s="26"/>
      <x:c r="I273" s="19"/>
      <x:c r="J273" s="19"/>
      <x:c r="K273" s="19"/>
      <x:c r="L273" s="19"/>
      <x:c r="M273" s="26"/>
      <x:c r="N273" s="19"/>
      <x:c r="O273" s="26"/>
      <x:c r="P273" s="19"/>
      <x:c r="Q273" s="19"/>
    </x:row>
    <x:row r="274">
      <x:c r="A274" s="19"/>
      <x:c r="B274" s="19"/>
      <x:c r="C274" s="19"/>
      <x:c r="D274" s="19"/>
      <x:c r="E274" s="19"/>
      <x:c r="F274" s="19"/>
      <x:c r="G274" s="20"/>
      <x:c r="H274" s="26"/>
      <x:c r="I274" s="19"/>
      <x:c r="J274" s="19"/>
      <x:c r="K274" s="19"/>
      <x:c r="L274" s="19"/>
      <x:c r="M274" s="26"/>
      <x:c r="N274" s="19"/>
      <x:c r="O274" s="26"/>
      <x:c r="P274" s="19"/>
      <x:c r="Q274" s="19"/>
    </x:row>
    <x:row r="275">
      <x:c r="A275" s="19"/>
      <x:c r="B275" s="19"/>
      <x:c r="C275" s="19"/>
      <x:c r="D275" s="19"/>
      <x:c r="E275" s="19"/>
      <x:c r="F275" s="19"/>
      <x:c r="G275" s="20"/>
      <x:c r="H275" s="26"/>
      <x:c r="I275" s="19"/>
      <x:c r="J275" s="19"/>
      <x:c r="K275" s="19"/>
      <x:c r="L275" s="19"/>
      <x:c r="M275" s="26"/>
      <x:c r="N275" s="19"/>
      <x:c r="O275" s="26"/>
      <x:c r="P275" s="19"/>
      <x:c r="Q275" s="19"/>
    </x:row>
    <x:row r="276">
      <x:c r="A276" s="19"/>
      <x:c r="B276" s="19"/>
      <x:c r="C276" s="19"/>
      <x:c r="D276" s="19"/>
      <x:c r="E276" s="19"/>
      <x:c r="F276" s="19"/>
      <x:c r="G276" s="20"/>
      <x:c r="H276" s="26"/>
      <x:c r="I276" s="19"/>
      <x:c r="J276" s="19"/>
      <x:c r="K276" s="19"/>
      <x:c r="L276" s="19"/>
      <x:c r="M276" s="26"/>
      <x:c r="N276" s="19"/>
      <x:c r="O276" s="26"/>
      <x:c r="P276" s="19"/>
      <x:c r="Q276" s="19"/>
    </x:row>
    <x:row r="277">
      <x:c r="A277" s="19"/>
      <x:c r="B277" s="19"/>
      <x:c r="C277" s="19"/>
      <x:c r="D277" s="19"/>
      <x:c r="E277" s="19"/>
      <x:c r="F277" s="19"/>
      <x:c r="G277" s="20"/>
      <x:c r="H277" s="26"/>
      <x:c r="I277" s="19"/>
      <x:c r="J277" s="19"/>
      <x:c r="K277" s="19"/>
      <x:c r="L277" s="19"/>
      <x:c r="M277" s="26"/>
      <x:c r="N277" s="19"/>
      <x:c r="O277" s="26"/>
      <x:c r="P277" s="19"/>
      <x:c r="Q277" s="19"/>
    </x:row>
    <x:row r="278">
      <x:c r="A278" s="19"/>
      <x:c r="B278" s="19"/>
      <x:c r="C278" s="19"/>
      <x:c r="D278" s="19"/>
      <x:c r="E278" s="19"/>
      <x:c r="F278" s="19"/>
      <x:c r="G278" s="20"/>
      <x:c r="H278" s="26"/>
      <x:c r="I278" s="19"/>
      <x:c r="J278" s="19"/>
      <x:c r="K278" s="19"/>
      <x:c r="L278" s="19"/>
      <x:c r="M278" s="26"/>
      <x:c r="N278" s="19"/>
      <x:c r="O278" s="26"/>
      <x:c r="P278" s="19"/>
      <x:c r="Q278" s="19"/>
    </x:row>
    <x:row r="279">
      <x:c r="A279" s="19"/>
      <x:c r="B279" s="19"/>
      <x:c r="C279" s="19"/>
      <x:c r="D279" s="19"/>
      <x:c r="E279" s="19"/>
      <x:c r="F279" s="19"/>
      <x:c r="G279" s="20"/>
      <x:c r="H279" s="26"/>
      <x:c r="I279" s="19"/>
      <x:c r="J279" s="19"/>
      <x:c r="K279" s="19"/>
      <x:c r="L279" s="19"/>
      <x:c r="M279" s="26"/>
      <x:c r="N279" s="19"/>
      <x:c r="O279" s="26"/>
      <x:c r="P279" s="19"/>
      <x:c r="Q279" s="19"/>
    </x:row>
    <x:row r="280">
      <x:c r="A280" s="19"/>
      <x:c r="B280" s="19"/>
      <x:c r="C280" s="19"/>
      <x:c r="D280" s="19"/>
      <x:c r="E280" s="19"/>
      <x:c r="F280" s="19"/>
      <x:c r="G280" s="20"/>
      <x:c r="H280" s="26"/>
      <x:c r="I280" s="19"/>
      <x:c r="J280" s="19"/>
      <x:c r="K280" s="19"/>
      <x:c r="L280" s="19"/>
      <x:c r="M280" s="26"/>
      <x:c r="N280" s="19"/>
      <x:c r="O280" s="26"/>
      <x:c r="P280" s="19"/>
      <x:c r="Q280" s="19"/>
    </x:row>
    <x:row r="281">
      <x:c r="A281" s="19"/>
      <x:c r="B281" s="19"/>
      <x:c r="C281" s="19"/>
      <x:c r="D281" s="19"/>
      <x:c r="E281" s="19"/>
      <x:c r="F281" s="19"/>
      <x:c r="G281" s="20"/>
      <x:c r="H281" s="26"/>
      <x:c r="I281" s="19"/>
      <x:c r="J281" s="19"/>
      <x:c r="K281" s="19"/>
      <x:c r="L281" s="19"/>
      <x:c r="M281" s="26"/>
      <x:c r="N281" s="19"/>
      <x:c r="O281" s="26"/>
      <x:c r="P281" s="19"/>
      <x:c r="Q281" s="19"/>
    </x:row>
    <x:row r="282">
      <x:c r="A282" s="19"/>
      <x:c r="B282" s="19"/>
      <x:c r="C282" s="19"/>
      <x:c r="D282" s="19"/>
      <x:c r="E282" s="19"/>
      <x:c r="F282" s="19"/>
      <x:c r="G282" s="20"/>
      <x:c r="H282" s="26"/>
      <x:c r="I282" s="19"/>
      <x:c r="J282" s="19"/>
      <x:c r="K282" s="19"/>
      <x:c r="L282" s="19"/>
      <x:c r="M282" s="26"/>
      <x:c r="N282" s="19"/>
      <x:c r="O282" s="26"/>
      <x:c r="P282" s="19"/>
      <x:c r="Q282" s="19"/>
    </x:row>
    <x:row r="283">
      <x:c r="A283" s="19"/>
      <x:c r="B283" s="19"/>
      <x:c r="C283" s="19"/>
      <x:c r="D283" s="19"/>
      <x:c r="E283" s="19"/>
      <x:c r="F283" s="19"/>
      <x:c r="G283" s="20"/>
      <x:c r="H283" s="26"/>
      <x:c r="I283" s="19"/>
      <x:c r="J283" s="19"/>
      <x:c r="K283" s="19"/>
      <x:c r="L283" s="19"/>
      <x:c r="M283" s="26"/>
      <x:c r="N283" s="19"/>
      <x:c r="O283" s="26"/>
      <x:c r="P283" s="19"/>
      <x:c r="Q283" s="19"/>
    </x:row>
    <x:row r="284">
      <x:c r="A284" s="19"/>
      <x:c r="B284" s="19"/>
      <x:c r="C284" s="19"/>
      <x:c r="D284" s="19"/>
      <x:c r="E284" s="19"/>
      <x:c r="F284" s="19"/>
      <x:c r="G284" s="20"/>
      <x:c r="H284" s="26"/>
      <x:c r="I284" s="19"/>
      <x:c r="J284" s="19"/>
      <x:c r="K284" s="19"/>
      <x:c r="L284" s="19"/>
      <x:c r="M284" s="26"/>
      <x:c r="N284" s="19"/>
      <x:c r="O284" s="26"/>
      <x:c r="P284" s="19"/>
      <x:c r="Q284" s="19"/>
    </x:row>
    <x:row r="285">
      <x:c r="A285" s="19"/>
      <x:c r="B285" s="19"/>
      <x:c r="C285" s="19"/>
      <x:c r="D285" s="19"/>
      <x:c r="E285" s="19"/>
      <x:c r="F285" s="19"/>
      <x:c r="G285" s="20"/>
      <x:c r="H285" s="26"/>
      <x:c r="I285" s="19"/>
      <x:c r="J285" s="19"/>
      <x:c r="K285" s="19"/>
      <x:c r="L285" s="19"/>
      <x:c r="M285" s="26"/>
      <x:c r="N285" s="19"/>
      <x:c r="O285" s="26"/>
      <x:c r="P285" s="19"/>
      <x:c r="Q285" s="19"/>
    </x:row>
    <x:row r="286">
      <x:c r="A286" s="19"/>
      <x:c r="B286" s="19"/>
      <x:c r="C286" s="19"/>
      <x:c r="D286" s="19"/>
      <x:c r="E286" s="19"/>
      <x:c r="F286" s="19"/>
      <x:c r="G286" s="20"/>
      <x:c r="H286" s="26"/>
      <x:c r="I286" s="19"/>
      <x:c r="J286" s="19"/>
      <x:c r="K286" s="19"/>
      <x:c r="L286" s="19"/>
      <x:c r="M286" s="26"/>
      <x:c r="N286" s="19"/>
      <x:c r="O286" s="26"/>
      <x:c r="P286" s="19"/>
      <x:c r="Q286" s="19"/>
    </x:row>
    <x:row r="287">
      <x:c r="A287" s="19"/>
      <x:c r="B287" s="19"/>
      <x:c r="C287" s="19"/>
      <x:c r="D287" s="19"/>
      <x:c r="E287" s="19"/>
      <x:c r="F287" s="19"/>
      <x:c r="G287" s="20"/>
      <x:c r="H287" s="26"/>
      <x:c r="I287" s="19"/>
      <x:c r="J287" s="19"/>
      <x:c r="K287" s="19"/>
      <x:c r="L287" s="19"/>
      <x:c r="M287" s="26"/>
      <x:c r="N287" s="19"/>
      <x:c r="O287" s="26"/>
      <x:c r="P287" s="19"/>
      <x:c r="Q287" s="19"/>
    </x:row>
    <x:row r="288">
      <x:c r="A288" s="19"/>
      <x:c r="B288" s="19"/>
      <x:c r="C288" s="19"/>
      <x:c r="D288" s="19"/>
      <x:c r="E288" s="19"/>
      <x:c r="F288" s="19"/>
      <x:c r="G288" s="20"/>
      <x:c r="H288" s="26"/>
      <x:c r="I288" s="19"/>
      <x:c r="J288" s="19"/>
      <x:c r="K288" s="19"/>
      <x:c r="L288" s="19"/>
      <x:c r="M288" s="26"/>
      <x:c r="N288" s="19"/>
      <x:c r="O288" s="26"/>
      <x:c r="P288" s="19"/>
      <x:c r="Q288" s="19"/>
    </x:row>
    <x:row r="289">
      <x:c r="A289" s="19"/>
      <x:c r="B289" s="19"/>
      <x:c r="C289" s="19"/>
      <x:c r="D289" s="19"/>
      <x:c r="E289" s="19"/>
      <x:c r="F289" s="19"/>
      <x:c r="G289" s="20"/>
      <x:c r="H289" s="26"/>
      <x:c r="I289" s="19"/>
      <x:c r="J289" s="19"/>
      <x:c r="K289" s="19"/>
      <x:c r="L289" s="19"/>
      <x:c r="M289" s="26"/>
      <x:c r="N289" s="19"/>
      <x:c r="O289" s="26"/>
      <x:c r="P289" s="19"/>
      <x:c r="Q289" s="19"/>
    </x:row>
    <x:row r="290">
      <x:c r="A290" s="19"/>
      <x:c r="B290" s="19"/>
      <x:c r="C290" s="19"/>
      <x:c r="D290" s="19"/>
      <x:c r="E290" s="19"/>
      <x:c r="F290" s="19"/>
      <x:c r="G290" s="20"/>
      <x:c r="H290" s="26"/>
      <x:c r="I290" s="19"/>
      <x:c r="J290" s="19"/>
      <x:c r="K290" s="19"/>
      <x:c r="L290" s="19"/>
      <x:c r="M290" s="26"/>
      <x:c r="N290" s="19"/>
      <x:c r="O290" s="26"/>
      <x:c r="P290" s="19"/>
      <x:c r="Q290" s="19"/>
    </x:row>
    <x:row r="291">
      <x:c r="A291" s="19"/>
      <x:c r="B291" s="19"/>
      <x:c r="C291" s="19"/>
      <x:c r="D291" s="19"/>
      <x:c r="E291" s="19"/>
      <x:c r="F291" s="19"/>
      <x:c r="G291" s="20"/>
      <x:c r="H291" s="26"/>
      <x:c r="I291" s="19"/>
      <x:c r="J291" s="19"/>
      <x:c r="K291" s="19"/>
      <x:c r="L291" s="19"/>
      <x:c r="M291" s="26"/>
      <x:c r="N291" s="19"/>
      <x:c r="O291" s="26"/>
      <x:c r="P291" s="19"/>
      <x:c r="Q291" s="19"/>
    </x:row>
    <x:row r="292">
      <x:c r="A292" s="19"/>
      <x:c r="B292" s="19"/>
      <x:c r="C292" s="19"/>
      <x:c r="D292" s="19"/>
      <x:c r="E292" s="19"/>
      <x:c r="F292" s="19"/>
      <x:c r="G292" s="20"/>
      <x:c r="H292" s="26"/>
      <x:c r="I292" s="19"/>
      <x:c r="J292" s="19"/>
      <x:c r="K292" s="19"/>
      <x:c r="L292" s="19"/>
      <x:c r="M292" s="26"/>
      <x:c r="N292" s="19"/>
      <x:c r="O292" s="26"/>
      <x:c r="P292" s="19"/>
      <x:c r="Q292" s="19"/>
    </x:row>
    <x:row r="293">
      <x:c r="A293" s="19"/>
      <x:c r="B293" s="19"/>
      <x:c r="C293" s="19"/>
      <x:c r="D293" s="19"/>
      <x:c r="E293" s="19"/>
      <x:c r="F293" s="19"/>
      <x:c r="G293" s="20"/>
      <x:c r="H293" s="26"/>
      <x:c r="I293" s="19"/>
      <x:c r="J293" s="19"/>
      <x:c r="K293" s="19"/>
      <x:c r="L293" s="19"/>
      <x:c r="M293" s="26"/>
      <x:c r="N293" s="19"/>
      <x:c r="O293" s="26"/>
      <x:c r="P293" s="19"/>
      <x:c r="Q293" s="19"/>
    </x:row>
    <x:row r="294">
      <x:c r="A294" s="19"/>
      <x:c r="B294" s="19"/>
      <x:c r="C294" s="19"/>
      <x:c r="D294" s="19"/>
      <x:c r="E294" s="19"/>
      <x:c r="F294" s="19"/>
      <x:c r="G294" s="20"/>
      <x:c r="H294" s="26"/>
      <x:c r="I294" s="19"/>
      <x:c r="J294" s="19"/>
      <x:c r="K294" s="19"/>
      <x:c r="L294" s="19"/>
      <x:c r="M294" s="26"/>
      <x:c r="N294" s="19"/>
      <x:c r="O294" s="26"/>
      <x:c r="P294" s="19"/>
      <x:c r="Q294" s="19"/>
    </x:row>
    <x:row r="295">
      <x:c r="A295" s="19"/>
      <x:c r="B295" s="19"/>
      <x:c r="C295" s="19"/>
      <x:c r="D295" s="19"/>
      <x:c r="E295" s="19"/>
      <x:c r="F295" s="19"/>
      <x:c r="G295" s="20"/>
      <x:c r="H295" s="26"/>
      <x:c r="I295" s="19"/>
      <x:c r="J295" s="19"/>
      <x:c r="K295" s="19"/>
      <x:c r="L295" s="19"/>
      <x:c r="M295" s="26"/>
      <x:c r="N295" s="19"/>
      <x:c r="O295" s="26"/>
      <x:c r="P295" s="19"/>
      <x:c r="Q295" s="19"/>
    </x:row>
    <x:row r="296">
      <x:c r="A296" s="19"/>
      <x:c r="B296" s="19"/>
      <x:c r="C296" s="19"/>
      <x:c r="D296" s="19"/>
      <x:c r="E296" s="19"/>
      <x:c r="F296" s="19"/>
      <x:c r="G296" s="20"/>
      <x:c r="H296" s="26"/>
      <x:c r="I296" s="19"/>
      <x:c r="J296" s="19"/>
      <x:c r="K296" s="19"/>
      <x:c r="L296" s="19"/>
      <x:c r="M296" s="26"/>
      <x:c r="N296" s="19"/>
      <x:c r="O296" s="26"/>
      <x:c r="P296" s="19"/>
      <x:c r="Q296" s="19"/>
    </x:row>
    <x:row r="297">
      <x:c r="A297" s="19"/>
      <x:c r="B297" s="19"/>
      <x:c r="C297" s="19"/>
      <x:c r="D297" s="19"/>
      <x:c r="E297" s="19"/>
      <x:c r="F297" s="19"/>
      <x:c r="G297" s="20"/>
      <x:c r="H297" s="26"/>
      <x:c r="I297" s="19"/>
      <x:c r="J297" s="19"/>
      <x:c r="K297" s="19"/>
      <x:c r="L297" s="19"/>
      <x:c r="M297" s="26"/>
      <x:c r="N297" s="19"/>
      <x:c r="O297" s="26"/>
      <x:c r="P297" s="19"/>
      <x:c r="Q297" s="19"/>
    </x:row>
    <x:row r="298">
      <x:c r="A298" s="19"/>
      <x:c r="B298" s="19"/>
      <x:c r="C298" s="19"/>
      <x:c r="D298" s="19"/>
      <x:c r="E298" s="19"/>
      <x:c r="F298" s="19"/>
      <x:c r="G298" s="20"/>
      <x:c r="H298" s="26"/>
      <x:c r="I298" s="19"/>
      <x:c r="J298" s="19"/>
      <x:c r="K298" s="19"/>
      <x:c r="L298" s="19"/>
      <x:c r="M298" s="26"/>
      <x:c r="N298" s="19"/>
      <x:c r="O298" s="26"/>
      <x:c r="P298" s="19"/>
      <x:c r="Q298" s="19"/>
    </x:row>
    <x:row r="299">
      <x:c r="A299" s="19"/>
      <x:c r="B299" s="19"/>
      <x:c r="C299" s="19"/>
      <x:c r="D299" s="19"/>
      <x:c r="E299" s="19"/>
      <x:c r="F299" s="19"/>
      <x:c r="G299" s="20"/>
      <x:c r="H299" s="26"/>
      <x:c r="I299" s="19"/>
      <x:c r="J299" s="19"/>
      <x:c r="K299" s="19"/>
      <x:c r="L299" s="19"/>
      <x:c r="M299" s="26"/>
      <x:c r="N299" s="19"/>
      <x:c r="O299" s="26"/>
      <x:c r="P299" s="19"/>
      <x:c r="Q299" s="19"/>
    </x:row>
    <x:row r="300">
      <x:c r="A300" s="19"/>
      <x:c r="B300" s="19"/>
      <x:c r="C300" s="19"/>
      <x:c r="D300" s="19"/>
      <x:c r="E300" s="19"/>
      <x:c r="F300" s="19"/>
      <x:c r="G300" s="20"/>
      <x:c r="H300" s="26"/>
      <x:c r="I300" s="19"/>
      <x:c r="J300" s="19"/>
      <x:c r="K300" s="19"/>
      <x:c r="L300" s="19"/>
      <x:c r="M300" s="26"/>
      <x:c r="N300" s="19"/>
      <x:c r="O300" s="26"/>
      <x:c r="P300" s="19"/>
      <x:c r="Q300" s="19"/>
    </x:row>
    <x:row r="301">
      <x:c r="A301" s="19"/>
      <x:c r="B301" s="19"/>
      <x:c r="C301" s="19"/>
      <x:c r="D301" s="19"/>
      <x:c r="E301" s="19"/>
      <x:c r="F301" s="19"/>
      <x:c r="G301" s="20"/>
      <x:c r="H301" s="26"/>
      <x:c r="I301" s="19"/>
      <x:c r="J301" s="19"/>
      <x:c r="K301" s="19"/>
      <x:c r="L301" s="19"/>
      <x:c r="M301" s="26"/>
      <x:c r="N301" s="19"/>
      <x:c r="O301" s="26"/>
      <x:c r="P301" s="19"/>
      <x:c r="Q301" s="19"/>
    </x:row>
    <x:row r="302">
      <x:c r="A302" s="19"/>
      <x:c r="B302" s="19"/>
      <x:c r="C302" s="19"/>
      <x:c r="D302" s="19"/>
      <x:c r="E302" s="19"/>
      <x:c r="F302" s="19"/>
      <x:c r="G302" s="20"/>
      <x:c r="H302" s="26"/>
      <x:c r="I302" s="19"/>
      <x:c r="J302" s="19"/>
      <x:c r="K302" s="19"/>
      <x:c r="L302" s="19"/>
      <x:c r="M302" s="26"/>
      <x:c r="N302" s="19"/>
      <x:c r="O302" s="26"/>
      <x:c r="P302" s="19"/>
      <x:c r="Q302" s="19"/>
    </x:row>
    <x:row r="303">
      <x:c r="A303" s="19"/>
      <x:c r="B303" s="19"/>
      <x:c r="C303" s="19"/>
      <x:c r="D303" s="19"/>
      <x:c r="E303" s="19"/>
      <x:c r="F303" s="19"/>
      <x:c r="G303" s="20"/>
      <x:c r="H303" s="26"/>
      <x:c r="I303" s="19"/>
      <x:c r="J303" s="19"/>
      <x:c r="K303" s="19"/>
      <x:c r="L303" s="19"/>
      <x:c r="M303" s="26"/>
      <x:c r="N303" s="19"/>
      <x:c r="O303" s="26"/>
      <x:c r="P303" s="19"/>
      <x:c r="Q303" s="19"/>
    </x:row>
    <x:row r="304">
      <x:c r="A304" s="19"/>
      <x:c r="B304" s="19"/>
      <x:c r="C304" s="19"/>
      <x:c r="D304" s="19"/>
      <x:c r="E304" s="19"/>
      <x:c r="F304" s="19"/>
      <x:c r="G304" s="20"/>
      <x:c r="H304" s="26"/>
      <x:c r="I304" s="19"/>
      <x:c r="J304" s="19"/>
      <x:c r="K304" s="19"/>
      <x:c r="L304" s="19"/>
      <x:c r="M304" s="26"/>
      <x:c r="N304" s="19"/>
      <x:c r="O304" s="26"/>
      <x:c r="P304" s="19"/>
      <x:c r="Q304" s="19"/>
    </x:row>
    <x:row r="305">
      <x:c r="A305" s="19"/>
      <x:c r="B305" s="19"/>
      <x:c r="C305" s="19"/>
      <x:c r="D305" s="19"/>
      <x:c r="E305" s="19"/>
      <x:c r="F305" s="19"/>
      <x:c r="G305" s="20"/>
      <x:c r="H305" s="26"/>
      <x:c r="I305" s="19"/>
      <x:c r="J305" s="19"/>
      <x:c r="K305" s="19"/>
      <x:c r="L305" s="19"/>
      <x:c r="M305" s="26"/>
      <x:c r="N305" s="19"/>
      <x:c r="O305" s="26"/>
      <x:c r="P305" s="19"/>
      <x:c r="Q305" s="19"/>
    </x:row>
    <x:row r="306">
      <x:c r="A306" s="19"/>
      <x:c r="B306" s="19"/>
      <x:c r="C306" s="19"/>
      <x:c r="D306" s="19"/>
      <x:c r="E306" s="19"/>
      <x:c r="F306" s="19"/>
      <x:c r="G306" s="20"/>
      <x:c r="H306" s="26"/>
      <x:c r="I306" s="19"/>
      <x:c r="J306" s="19"/>
      <x:c r="K306" s="19"/>
      <x:c r="L306" s="19"/>
      <x:c r="M306" s="26"/>
      <x:c r="N306" s="19"/>
      <x:c r="O306" s="26"/>
      <x:c r="P306" s="19"/>
      <x:c r="Q306" s="19"/>
    </x:row>
    <x:row r="307">
      <x:c r="A307" s="19"/>
      <x:c r="B307" s="19"/>
      <x:c r="C307" s="19"/>
      <x:c r="D307" s="19"/>
      <x:c r="E307" s="19"/>
      <x:c r="F307" s="19"/>
      <x:c r="G307" s="20"/>
      <x:c r="H307" s="26"/>
      <x:c r="I307" s="19"/>
      <x:c r="J307" s="19"/>
      <x:c r="K307" s="19"/>
      <x:c r="L307" s="19"/>
      <x:c r="M307" s="26"/>
      <x:c r="N307" s="19"/>
      <x:c r="O307" s="26"/>
      <x:c r="P307" s="19"/>
      <x:c r="Q307" s="19"/>
    </x:row>
    <x:row r="308">
      <x:c r="A308" s="19"/>
      <x:c r="B308" s="19"/>
      <x:c r="C308" s="19"/>
      <x:c r="D308" s="19"/>
      <x:c r="E308" s="19"/>
      <x:c r="F308" s="19"/>
      <x:c r="G308" s="20"/>
      <x:c r="H308" s="26"/>
      <x:c r="I308" s="19"/>
      <x:c r="J308" s="19"/>
      <x:c r="K308" s="19"/>
      <x:c r="L308" s="19"/>
      <x:c r="M308" s="26"/>
      <x:c r="N308" s="19"/>
      <x:c r="O308" s="26"/>
      <x:c r="P308" s="19"/>
      <x:c r="Q308" s="19"/>
    </x:row>
    <x:row r="309">
      <x:c r="A309" s="19"/>
      <x:c r="B309" s="19"/>
      <x:c r="C309" s="19"/>
      <x:c r="D309" s="19"/>
      <x:c r="E309" s="19"/>
      <x:c r="F309" s="19"/>
      <x:c r="G309" s="20"/>
      <x:c r="H309" s="26"/>
      <x:c r="I309" s="19"/>
      <x:c r="J309" s="19"/>
      <x:c r="K309" s="19"/>
      <x:c r="L309" s="19"/>
      <x:c r="M309" s="26"/>
      <x:c r="N309" s="19"/>
      <x:c r="O309" s="26"/>
      <x:c r="P309" s="19"/>
      <x:c r="Q309" s="19"/>
    </x:row>
    <x:row r="310">
      <x:c r="A310" s="19"/>
      <x:c r="B310" s="19"/>
      <x:c r="C310" s="19"/>
      <x:c r="D310" s="19"/>
      <x:c r="E310" s="19"/>
      <x:c r="F310" s="19"/>
      <x:c r="G310" s="20"/>
      <x:c r="H310" s="26"/>
      <x:c r="I310" s="19"/>
      <x:c r="J310" s="19"/>
      <x:c r="K310" s="19"/>
      <x:c r="L310" s="19"/>
      <x:c r="M310" s="26"/>
      <x:c r="N310" s="19"/>
      <x:c r="O310" s="26"/>
      <x:c r="P310" s="19"/>
      <x:c r="Q310" s="19"/>
    </x:row>
    <x:row r="311">
      <x:c r="A311" s="19"/>
      <x:c r="B311" s="19"/>
      <x:c r="C311" s="19"/>
      <x:c r="D311" s="19"/>
      <x:c r="E311" s="19"/>
      <x:c r="F311" s="19"/>
      <x:c r="G311" s="20"/>
      <x:c r="H311" s="26"/>
      <x:c r="I311" s="19"/>
      <x:c r="J311" s="19"/>
      <x:c r="K311" s="19"/>
      <x:c r="L311" s="19"/>
      <x:c r="M311" s="26"/>
      <x:c r="N311" s="19"/>
      <x:c r="O311" s="26"/>
      <x:c r="P311" s="19"/>
      <x:c r="Q311" s="19"/>
    </x:row>
    <x:row r="312">
      <x:c r="A312" s="19"/>
      <x:c r="B312" s="19"/>
      <x:c r="C312" s="19"/>
      <x:c r="D312" s="19"/>
      <x:c r="E312" s="19"/>
      <x:c r="F312" s="19"/>
      <x:c r="G312" s="20"/>
      <x:c r="H312" s="26"/>
      <x:c r="I312" s="19"/>
      <x:c r="J312" s="19"/>
      <x:c r="K312" s="19"/>
      <x:c r="L312" s="19"/>
      <x:c r="M312" s="26"/>
      <x:c r="N312" s="19"/>
      <x:c r="O312" s="26"/>
      <x:c r="P312" s="19"/>
      <x:c r="Q312" s="19"/>
    </x:row>
    <x:row r="313">
      <x:c r="A313" s="19"/>
      <x:c r="B313" s="19"/>
      <x:c r="C313" s="19"/>
      <x:c r="D313" s="19"/>
      <x:c r="E313" s="19"/>
      <x:c r="F313" s="19"/>
      <x:c r="G313" s="20"/>
      <x:c r="H313" s="26"/>
      <x:c r="I313" s="19"/>
      <x:c r="J313" s="19"/>
      <x:c r="K313" s="19"/>
      <x:c r="L313" s="19"/>
      <x:c r="M313" s="26"/>
      <x:c r="N313" s="19"/>
      <x:c r="O313" s="26"/>
      <x:c r="P313" s="19"/>
      <x:c r="Q313" s="19"/>
    </x:row>
    <x:row r="314">
      <x:c r="A314" s="19"/>
      <x:c r="B314" s="19"/>
      <x:c r="C314" s="19"/>
      <x:c r="D314" s="19"/>
      <x:c r="E314" s="19"/>
      <x:c r="F314" s="19"/>
      <x:c r="G314" s="20"/>
      <x:c r="H314" s="26"/>
      <x:c r="I314" s="19"/>
      <x:c r="J314" s="19"/>
      <x:c r="K314" s="19"/>
      <x:c r="L314" s="19"/>
      <x:c r="M314" s="26"/>
      <x:c r="N314" s="19"/>
      <x:c r="O314" s="26"/>
      <x:c r="P314" s="19"/>
      <x:c r="Q314" s="19"/>
    </x:row>
    <x:row r="315">
      <x:c r="A315" s="19"/>
      <x:c r="B315" s="19"/>
      <x:c r="C315" s="19"/>
      <x:c r="D315" s="19"/>
      <x:c r="E315" s="19"/>
      <x:c r="F315" s="19"/>
      <x:c r="G315" s="20"/>
      <x:c r="H315" s="26"/>
      <x:c r="I315" s="19"/>
      <x:c r="J315" s="19"/>
      <x:c r="K315" s="19"/>
      <x:c r="L315" s="19"/>
      <x:c r="M315" s="26"/>
      <x:c r="N315" s="19"/>
      <x:c r="O315" s="26"/>
      <x:c r="P315" s="19"/>
      <x:c r="Q315" s="19"/>
    </x:row>
    <x:row r="316">
      <x:c r="A316" s="19"/>
      <x:c r="B316" s="19"/>
      <x:c r="C316" s="19"/>
      <x:c r="D316" s="19"/>
      <x:c r="E316" s="19"/>
      <x:c r="F316" s="19"/>
      <x:c r="G316" s="20"/>
      <x:c r="H316" s="26"/>
      <x:c r="I316" s="19"/>
      <x:c r="J316" s="19"/>
      <x:c r="K316" s="19"/>
      <x:c r="L316" s="19"/>
      <x:c r="M316" s="26"/>
      <x:c r="N316" s="19"/>
      <x:c r="O316" s="26"/>
      <x:c r="P316" s="19"/>
      <x:c r="Q316" s="19"/>
    </x:row>
    <x:row r="317">
      <x:c r="A317" s="19"/>
      <x:c r="B317" s="19"/>
      <x:c r="C317" s="19"/>
      <x:c r="D317" s="19"/>
      <x:c r="E317" s="19"/>
      <x:c r="F317" s="19"/>
      <x:c r="G317" s="20"/>
      <x:c r="H317" s="26"/>
      <x:c r="I317" s="19"/>
      <x:c r="J317" s="19"/>
      <x:c r="K317" s="19"/>
      <x:c r="L317" s="19"/>
      <x:c r="M317" s="26"/>
      <x:c r="N317" s="19"/>
      <x:c r="O317" s="26"/>
      <x:c r="P317" s="19"/>
      <x:c r="Q317" s="19"/>
    </x:row>
    <x:row r="318">
      <x:c r="A318" s="19"/>
      <x:c r="B318" s="19"/>
      <x:c r="C318" s="19"/>
      <x:c r="D318" s="19"/>
      <x:c r="E318" s="19"/>
      <x:c r="F318" s="19"/>
      <x:c r="G318" s="20"/>
      <x:c r="H318" s="26"/>
      <x:c r="I318" s="19"/>
      <x:c r="J318" s="19"/>
      <x:c r="K318" s="19"/>
      <x:c r="L318" s="19"/>
      <x:c r="M318" s="26"/>
      <x:c r="N318" s="19"/>
      <x:c r="O318" s="26"/>
      <x:c r="P318" s="19"/>
      <x:c r="Q318" s="19"/>
    </x:row>
    <x:row r="319">
      <x:c r="A319" s="19"/>
      <x:c r="B319" s="19"/>
      <x:c r="C319" s="19"/>
      <x:c r="D319" s="19"/>
      <x:c r="E319" s="19"/>
      <x:c r="F319" s="19"/>
      <x:c r="G319" s="20"/>
      <x:c r="H319" s="26"/>
      <x:c r="I319" s="19"/>
      <x:c r="J319" s="19"/>
      <x:c r="K319" s="19"/>
      <x:c r="L319" s="19"/>
      <x:c r="M319" s="26"/>
      <x:c r="N319" s="19"/>
      <x:c r="O319" s="26"/>
      <x:c r="P319" s="19"/>
      <x:c r="Q319" s="19"/>
    </x:row>
    <x:row r="320">
      <x:c r="A320" s="19"/>
      <x:c r="B320" s="19"/>
      <x:c r="C320" s="19"/>
      <x:c r="D320" s="19"/>
      <x:c r="E320" s="19"/>
      <x:c r="F320" s="19"/>
      <x:c r="G320" s="20"/>
      <x:c r="H320" s="26"/>
      <x:c r="I320" s="19"/>
      <x:c r="J320" s="19"/>
      <x:c r="K320" s="19"/>
      <x:c r="L320" s="19"/>
      <x:c r="M320" s="26"/>
      <x:c r="N320" s="19"/>
      <x:c r="O320" s="26"/>
      <x:c r="P320" s="19"/>
      <x:c r="Q320" s="19"/>
    </x:row>
    <x:row r="321">
      <x:c r="A321" s="19"/>
      <x:c r="B321" s="19"/>
      <x:c r="C321" s="19"/>
      <x:c r="D321" s="19"/>
      <x:c r="E321" s="19"/>
      <x:c r="F321" s="19"/>
      <x:c r="G321" s="20"/>
      <x:c r="H321" s="26"/>
      <x:c r="I321" s="19"/>
      <x:c r="J321" s="19"/>
      <x:c r="K321" s="19"/>
      <x:c r="L321" s="19"/>
      <x:c r="M321" s="26"/>
      <x:c r="N321" s="19"/>
      <x:c r="O321" s="26"/>
      <x:c r="P321" s="19"/>
      <x:c r="Q321" s="19"/>
    </x:row>
    <x:row r="322">
      <x:c r="A322" s="19"/>
      <x:c r="B322" s="19"/>
      <x:c r="C322" s="19"/>
      <x:c r="D322" s="19"/>
      <x:c r="E322" s="19"/>
      <x:c r="F322" s="19"/>
      <x:c r="G322" s="20"/>
      <x:c r="H322" s="26"/>
      <x:c r="I322" s="19"/>
      <x:c r="J322" s="19"/>
      <x:c r="K322" s="19"/>
      <x:c r="L322" s="19"/>
      <x:c r="M322" s="26"/>
      <x:c r="N322" s="19"/>
      <x:c r="O322" s="26"/>
      <x:c r="P322" s="19"/>
      <x:c r="Q322" s="19"/>
    </x:row>
    <x:row r="323">
      <x:c r="A323" s="19"/>
      <x:c r="B323" s="19"/>
      <x:c r="C323" s="19"/>
      <x:c r="D323" s="19"/>
      <x:c r="E323" s="19"/>
      <x:c r="F323" s="19"/>
      <x:c r="G323" s="20"/>
      <x:c r="H323" s="26"/>
      <x:c r="I323" s="19"/>
      <x:c r="J323" s="19"/>
      <x:c r="K323" s="19"/>
      <x:c r="L323" s="19"/>
      <x:c r="M323" s="26"/>
      <x:c r="N323" s="19"/>
      <x:c r="O323" s="26"/>
      <x:c r="P323" s="19"/>
      <x:c r="Q323" s="19"/>
    </x:row>
    <x:row r="324">
      <x:c r="A324" s="19"/>
      <x:c r="B324" s="19"/>
      <x:c r="C324" s="19"/>
      <x:c r="D324" s="19"/>
      <x:c r="E324" s="19"/>
      <x:c r="F324" s="19"/>
      <x:c r="G324" s="20"/>
      <x:c r="H324" s="26"/>
      <x:c r="I324" s="19"/>
      <x:c r="J324" s="19"/>
      <x:c r="K324" s="19"/>
      <x:c r="L324" s="19"/>
      <x:c r="M324" s="26"/>
      <x:c r="N324" s="19"/>
      <x:c r="O324" s="26"/>
      <x:c r="P324" s="19"/>
      <x:c r="Q324" s="19"/>
    </x:row>
    <x:row r="325">
      <x:c r="A325" s="19"/>
      <x:c r="B325" s="19"/>
      <x:c r="C325" s="19"/>
      <x:c r="D325" s="19"/>
      <x:c r="E325" s="19"/>
      <x:c r="F325" s="19"/>
      <x:c r="G325" s="20"/>
      <x:c r="H325" s="26"/>
      <x:c r="I325" s="19"/>
      <x:c r="J325" s="19"/>
      <x:c r="K325" s="19"/>
      <x:c r="L325" s="19"/>
      <x:c r="M325" s="26"/>
      <x:c r="N325" s="19"/>
      <x:c r="O325" s="26"/>
      <x:c r="P325" s="19"/>
      <x:c r="Q325" s="19"/>
    </x:row>
    <x:row r="326">
      <x:c r="A326" s="19"/>
      <x:c r="B326" s="19"/>
      <x:c r="C326" s="19"/>
      <x:c r="D326" s="19"/>
      <x:c r="E326" s="19"/>
      <x:c r="F326" s="19"/>
      <x:c r="G326" s="20"/>
      <x:c r="H326" s="26"/>
      <x:c r="I326" s="19"/>
      <x:c r="J326" s="19"/>
      <x:c r="K326" s="19"/>
      <x:c r="L326" s="19"/>
      <x:c r="M326" s="26"/>
      <x:c r="N326" s="19"/>
      <x:c r="O326" s="26"/>
      <x:c r="P326" s="19"/>
      <x:c r="Q326" s="19"/>
    </x:row>
    <x:row r="327">
      <x:c r="A327" s="19"/>
      <x:c r="B327" s="19"/>
      <x:c r="C327" s="19"/>
      <x:c r="D327" s="19"/>
      <x:c r="E327" s="19"/>
      <x:c r="F327" s="19"/>
      <x:c r="G327" s="20"/>
      <x:c r="H327" s="26"/>
      <x:c r="I327" s="19"/>
      <x:c r="J327" s="19"/>
      <x:c r="K327" s="19"/>
      <x:c r="L327" s="19"/>
      <x:c r="M327" s="26"/>
      <x:c r="N327" s="19"/>
      <x:c r="O327" s="26"/>
      <x:c r="P327" s="19"/>
      <x:c r="Q327" s="19"/>
    </x:row>
    <x:row r="328">
      <x:c r="A328" s="19"/>
      <x:c r="B328" s="19"/>
      <x:c r="C328" s="19"/>
      <x:c r="D328" s="19"/>
      <x:c r="E328" s="19"/>
      <x:c r="F328" s="19"/>
      <x:c r="G328" s="20"/>
      <x:c r="H328" s="26"/>
      <x:c r="I328" s="19"/>
      <x:c r="J328" s="19"/>
      <x:c r="K328" s="19"/>
      <x:c r="L328" s="19"/>
      <x:c r="M328" s="26"/>
      <x:c r="N328" s="19"/>
      <x:c r="O328" s="26"/>
      <x:c r="P328" s="19"/>
      <x:c r="Q328" s="19"/>
    </x:row>
    <x:row r="329">
      <x:c r="A329" s="19"/>
      <x:c r="B329" s="19"/>
      <x:c r="C329" s="19"/>
      <x:c r="D329" s="19"/>
      <x:c r="E329" s="19"/>
      <x:c r="F329" s="19"/>
      <x:c r="G329" s="20"/>
      <x:c r="H329" s="26"/>
      <x:c r="I329" s="19"/>
      <x:c r="J329" s="19"/>
      <x:c r="K329" s="19"/>
      <x:c r="L329" s="19"/>
      <x:c r="M329" s="26"/>
      <x:c r="N329" s="19"/>
      <x:c r="O329" s="26"/>
      <x:c r="P329" s="19"/>
      <x:c r="Q329" s="19"/>
    </x:row>
    <x:row r="330">
      <x:c r="A330" s="19"/>
      <x:c r="B330" s="19"/>
      <x:c r="C330" s="19"/>
      <x:c r="D330" s="19"/>
      <x:c r="E330" s="19"/>
      <x:c r="F330" s="19"/>
      <x:c r="G330" s="20"/>
      <x:c r="H330" s="26"/>
      <x:c r="I330" s="19"/>
      <x:c r="J330" s="19"/>
      <x:c r="K330" s="19"/>
      <x:c r="L330" s="19"/>
      <x:c r="M330" s="26"/>
      <x:c r="N330" s="19"/>
      <x:c r="O330" s="26"/>
      <x:c r="P330" s="19"/>
      <x:c r="Q330" s="19"/>
    </x:row>
    <x:row r="331">
      <x:c r="A331" s="19"/>
      <x:c r="B331" s="19"/>
      <x:c r="C331" s="19"/>
      <x:c r="D331" s="19"/>
      <x:c r="E331" s="19"/>
      <x:c r="F331" s="19"/>
      <x:c r="G331" s="20"/>
      <x:c r="H331" s="26"/>
      <x:c r="I331" s="19"/>
      <x:c r="J331" s="19"/>
      <x:c r="K331" s="19"/>
      <x:c r="L331" s="19"/>
      <x:c r="M331" s="26"/>
      <x:c r="N331" s="19"/>
      <x:c r="O331" s="26"/>
      <x:c r="P331" s="19"/>
      <x:c r="Q331" s="19"/>
    </x:row>
    <x:row r="332">
      <x:c r="A332" s="19"/>
      <x:c r="B332" s="19"/>
      <x:c r="C332" s="19"/>
      <x:c r="D332" s="19"/>
      <x:c r="E332" s="19"/>
      <x:c r="F332" s="19"/>
      <x:c r="G332" s="20"/>
      <x:c r="H332" s="26"/>
      <x:c r="I332" s="19"/>
      <x:c r="J332" s="19"/>
      <x:c r="K332" s="19"/>
      <x:c r="L332" s="19"/>
      <x:c r="M332" s="26"/>
      <x:c r="N332" s="19"/>
      <x:c r="O332" s="26"/>
      <x:c r="P332" s="19"/>
      <x:c r="Q332" s="19"/>
    </x:row>
    <x:row r="333">
      <x:c r="A333" s="19"/>
      <x:c r="B333" s="19"/>
      <x:c r="C333" s="19"/>
      <x:c r="D333" s="19"/>
      <x:c r="E333" s="19"/>
      <x:c r="F333" s="19"/>
      <x:c r="G333" s="20"/>
      <x:c r="H333" s="26"/>
      <x:c r="I333" s="19"/>
      <x:c r="J333" s="19"/>
      <x:c r="K333" s="19"/>
      <x:c r="L333" s="19"/>
      <x:c r="M333" s="26"/>
      <x:c r="N333" s="19"/>
      <x:c r="O333" s="26"/>
      <x:c r="P333" s="19"/>
      <x:c r="Q333" s="19"/>
    </x:row>
    <x:row r="334">
      <x:c r="A334" s="19"/>
      <x:c r="B334" s="19"/>
      <x:c r="C334" s="19"/>
      <x:c r="D334" s="19"/>
      <x:c r="E334" s="19"/>
      <x:c r="F334" s="19"/>
      <x:c r="G334" s="20"/>
      <x:c r="H334" s="26"/>
      <x:c r="I334" s="19"/>
      <x:c r="J334" s="19"/>
      <x:c r="K334" s="19"/>
      <x:c r="L334" s="19"/>
      <x:c r="M334" s="26"/>
      <x:c r="N334" s="19"/>
      <x:c r="O334" s="26"/>
      <x:c r="P334" s="19"/>
      <x:c r="Q334" s="19"/>
    </x:row>
    <x:row r="335">
      <x:c r="A335" s="19"/>
      <x:c r="B335" s="19"/>
      <x:c r="C335" s="19"/>
      <x:c r="D335" s="19"/>
      <x:c r="E335" s="19"/>
      <x:c r="F335" s="19"/>
      <x:c r="G335" s="20"/>
      <x:c r="H335" s="26"/>
      <x:c r="I335" s="19"/>
      <x:c r="J335" s="19"/>
      <x:c r="K335" s="19"/>
      <x:c r="L335" s="19"/>
      <x:c r="M335" s="26"/>
      <x:c r="N335" s="19"/>
      <x:c r="O335" s="26"/>
      <x:c r="P335" s="19"/>
      <x:c r="Q335" s="19"/>
    </x:row>
    <x:row r="336">
      <x:c r="A336" s="19"/>
      <x:c r="B336" s="19"/>
      <x:c r="C336" s="19"/>
      <x:c r="D336" s="19"/>
      <x:c r="E336" s="19"/>
      <x:c r="F336" s="19"/>
      <x:c r="G336" s="20"/>
      <x:c r="H336" s="26"/>
      <x:c r="I336" s="19"/>
      <x:c r="J336" s="19"/>
      <x:c r="K336" s="19"/>
      <x:c r="L336" s="19"/>
      <x:c r="M336" s="26"/>
      <x:c r="N336" s="19"/>
      <x:c r="O336" s="26"/>
      <x:c r="P336" s="19"/>
      <x:c r="Q336" s="19"/>
    </x:row>
    <x:row r="337">
      <x:c r="A337" s="19"/>
      <x:c r="B337" s="19"/>
      <x:c r="C337" s="19"/>
      <x:c r="D337" s="19"/>
      <x:c r="E337" s="19"/>
      <x:c r="F337" s="19"/>
      <x:c r="G337" s="20"/>
      <x:c r="H337" s="26"/>
      <x:c r="I337" s="19"/>
      <x:c r="J337" s="19"/>
      <x:c r="K337" s="19"/>
      <x:c r="L337" s="19"/>
      <x:c r="M337" s="26"/>
      <x:c r="N337" s="19"/>
      <x:c r="O337" s="26"/>
      <x:c r="P337" s="19"/>
      <x:c r="Q337" s="19"/>
    </x:row>
    <x:row r="338">
      <x:c r="A338" s="19"/>
      <x:c r="B338" s="19"/>
      <x:c r="C338" s="19"/>
      <x:c r="D338" s="19"/>
      <x:c r="E338" s="19"/>
      <x:c r="F338" s="19"/>
      <x:c r="G338" s="20"/>
      <x:c r="H338" s="26"/>
      <x:c r="I338" s="19"/>
      <x:c r="J338" s="19"/>
      <x:c r="K338" s="19"/>
      <x:c r="L338" s="19"/>
      <x:c r="M338" s="26"/>
      <x:c r="N338" s="19"/>
      <x:c r="O338" s="26"/>
      <x:c r="P338" s="19"/>
      <x:c r="Q338" s="19"/>
    </x:row>
    <x:row r="339">
      <x:c r="A339" s="19"/>
      <x:c r="B339" s="19"/>
      <x:c r="C339" s="19"/>
      <x:c r="D339" s="19"/>
      <x:c r="E339" s="19"/>
      <x:c r="F339" s="19"/>
      <x:c r="G339" s="20"/>
      <x:c r="H339" s="26"/>
      <x:c r="I339" s="19"/>
      <x:c r="J339" s="19"/>
      <x:c r="K339" s="19"/>
      <x:c r="L339" s="19"/>
      <x:c r="M339" s="26"/>
      <x:c r="N339" s="19"/>
      <x:c r="O339" s="26"/>
      <x:c r="P339" s="19"/>
      <x:c r="Q339" s="19"/>
    </x:row>
    <x:row r="340">
      <x:c r="A340" s="19"/>
      <x:c r="B340" s="19"/>
      <x:c r="C340" s="19"/>
      <x:c r="D340" s="19"/>
      <x:c r="E340" s="19"/>
      <x:c r="F340" s="19"/>
      <x:c r="G340" s="20"/>
      <x:c r="H340" s="26"/>
      <x:c r="I340" s="19"/>
      <x:c r="J340" s="19"/>
      <x:c r="K340" s="19"/>
      <x:c r="L340" s="19"/>
      <x:c r="M340" s="26"/>
      <x:c r="N340" s="19"/>
      <x:c r="O340" s="26"/>
      <x:c r="P340" s="19"/>
      <x:c r="Q340" s="19"/>
    </x:row>
    <x:row r="341">
      <x:c r="A341" s="19"/>
      <x:c r="B341" s="19"/>
      <x:c r="C341" s="19"/>
      <x:c r="D341" s="19"/>
      <x:c r="E341" s="19"/>
      <x:c r="F341" s="19"/>
      <x:c r="G341" s="20"/>
      <x:c r="H341" s="26"/>
      <x:c r="I341" s="19"/>
      <x:c r="J341" s="19"/>
      <x:c r="K341" s="19"/>
      <x:c r="L341" s="19"/>
      <x:c r="M341" s="26"/>
      <x:c r="N341" s="19"/>
      <x:c r="O341" s="26"/>
      <x:c r="P341" s="19"/>
      <x:c r="Q341" s="19"/>
    </x:row>
    <x:row r="342">
      <x:c r="A342" s="19"/>
      <x:c r="B342" s="19"/>
      <x:c r="C342" s="19"/>
      <x:c r="D342" s="19"/>
      <x:c r="E342" s="19"/>
      <x:c r="F342" s="19"/>
      <x:c r="G342" s="20"/>
      <x:c r="H342" s="26"/>
      <x:c r="I342" s="19"/>
      <x:c r="J342" s="19"/>
      <x:c r="K342" s="19"/>
      <x:c r="L342" s="19"/>
      <x:c r="M342" s="26"/>
      <x:c r="N342" s="19"/>
      <x:c r="O342" s="26"/>
      <x:c r="P342" s="19"/>
      <x:c r="Q342" s="19"/>
    </x:row>
    <x:row r="343">
      <x:c r="A343" s="19"/>
      <x:c r="B343" s="19"/>
      <x:c r="C343" s="19"/>
      <x:c r="D343" s="19"/>
      <x:c r="E343" s="19"/>
      <x:c r="F343" s="19"/>
      <x:c r="G343" s="20"/>
      <x:c r="H343" s="26"/>
      <x:c r="I343" s="19"/>
      <x:c r="J343" s="19"/>
      <x:c r="K343" s="19"/>
      <x:c r="L343" s="19"/>
      <x:c r="M343" s="26"/>
      <x:c r="N343" s="19"/>
      <x:c r="O343" s="26"/>
      <x:c r="P343" s="19"/>
      <x:c r="Q343" s="19"/>
    </x:row>
    <x:row r="344">
      <x:c r="A344" s="19"/>
      <x:c r="B344" s="19"/>
      <x:c r="C344" s="19"/>
      <x:c r="D344" s="19"/>
      <x:c r="E344" s="19"/>
      <x:c r="F344" s="19"/>
      <x:c r="G344" s="20"/>
      <x:c r="H344" s="26"/>
      <x:c r="I344" s="19"/>
      <x:c r="J344" s="19"/>
      <x:c r="K344" s="19"/>
      <x:c r="L344" s="19"/>
      <x:c r="M344" s="26"/>
      <x:c r="N344" s="19"/>
      <x:c r="O344" s="26"/>
      <x:c r="P344" s="19"/>
      <x:c r="Q344" s="19"/>
    </x:row>
    <x:row r="345">
      <x:c r="A345" s="19"/>
      <x:c r="B345" s="19"/>
      <x:c r="C345" s="19"/>
      <x:c r="D345" s="19"/>
      <x:c r="E345" s="19"/>
      <x:c r="F345" s="19"/>
      <x:c r="G345" s="20"/>
      <x:c r="H345" s="26"/>
      <x:c r="I345" s="19"/>
      <x:c r="J345" s="19"/>
      <x:c r="K345" s="19"/>
      <x:c r="L345" s="19"/>
      <x:c r="M345" s="26"/>
      <x:c r="N345" s="19"/>
      <x:c r="O345" s="26"/>
      <x:c r="P345" s="19"/>
      <x:c r="Q345" s="19"/>
    </x:row>
    <x:row r="346">
      <x:c r="A346" s="19"/>
      <x:c r="B346" s="19"/>
      <x:c r="C346" s="19"/>
      <x:c r="D346" s="19"/>
      <x:c r="E346" s="19"/>
      <x:c r="F346" s="19"/>
      <x:c r="G346" s="20"/>
      <x:c r="H346" s="26"/>
      <x:c r="I346" s="19"/>
      <x:c r="J346" s="19"/>
      <x:c r="K346" s="19"/>
      <x:c r="L346" s="19"/>
      <x:c r="M346" s="26"/>
      <x:c r="N346" s="19"/>
      <x:c r="O346" s="26"/>
      <x:c r="P346" s="19"/>
      <x:c r="Q346" s="19"/>
    </x:row>
    <x:row r="347">
      <x:c r="A347" s="19"/>
      <x:c r="B347" s="19"/>
      <x:c r="C347" s="19"/>
      <x:c r="D347" s="19"/>
      <x:c r="E347" s="19"/>
      <x:c r="F347" s="19"/>
      <x:c r="G347" s="20"/>
      <x:c r="H347" s="26"/>
      <x:c r="I347" s="19"/>
      <x:c r="J347" s="19"/>
      <x:c r="K347" s="19"/>
      <x:c r="L347" s="19"/>
      <x:c r="M347" s="26"/>
      <x:c r="N347" s="19"/>
      <x:c r="O347" s="26"/>
      <x:c r="P347" s="19"/>
      <x:c r="Q347" s="19"/>
    </x:row>
    <x:row r="348">
      <x:c r="A348" s="19"/>
      <x:c r="B348" s="19"/>
      <x:c r="C348" s="19"/>
      <x:c r="D348" s="19"/>
      <x:c r="E348" s="19"/>
      <x:c r="F348" s="19"/>
      <x:c r="G348" s="20"/>
      <x:c r="H348" s="26"/>
      <x:c r="I348" s="19"/>
      <x:c r="J348" s="19"/>
      <x:c r="K348" s="19"/>
      <x:c r="L348" s="19"/>
      <x:c r="M348" s="26"/>
      <x:c r="N348" s="19"/>
      <x:c r="O348" s="26"/>
      <x:c r="P348" s="19"/>
      <x:c r="Q348" s="19"/>
    </x:row>
    <x:row r="349">
      <x:c r="A349" s="19"/>
      <x:c r="B349" s="19"/>
      <x:c r="C349" s="19"/>
      <x:c r="D349" s="19"/>
      <x:c r="E349" s="19"/>
      <x:c r="F349" s="19"/>
      <x:c r="G349" s="20"/>
      <x:c r="H349" s="26"/>
      <x:c r="I349" s="19"/>
      <x:c r="J349" s="19"/>
      <x:c r="K349" s="19"/>
      <x:c r="L349" s="19"/>
      <x:c r="M349" s="26"/>
      <x:c r="N349" s="19"/>
      <x:c r="O349" s="26"/>
      <x:c r="P349" s="19"/>
      <x:c r="Q349" s="19"/>
    </x:row>
    <x:row r="350">
      <x:c r="A350" s="19"/>
      <x:c r="B350" s="19"/>
      <x:c r="C350" s="19"/>
      <x:c r="D350" s="19"/>
      <x:c r="E350" s="19"/>
      <x:c r="F350" s="19"/>
      <x:c r="G350" s="20"/>
      <x:c r="H350" s="26"/>
      <x:c r="I350" s="19"/>
      <x:c r="J350" s="19"/>
      <x:c r="K350" s="19"/>
      <x:c r="L350" s="19"/>
      <x:c r="M350" s="26"/>
      <x:c r="N350" s="19"/>
      <x:c r="O350" s="26"/>
      <x:c r="P350" s="19"/>
      <x:c r="Q350" s="19"/>
    </x:row>
    <x:row r="351">
      <x:c r="A351" s="19"/>
      <x:c r="B351" s="19"/>
      <x:c r="C351" s="19"/>
      <x:c r="D351" s="19"/>
      <x:c r="E351" s="19"/>
      <x:c r="F351" s="19"/>
      <x:c r="G351" s="20"/>
      <x:c r="H351" s="26"/>
      <x:c r="I351" s="19"/>
      <x:c r="J351" s="19"/>
      <x:c r="K351" s="19"/>
      <x:c r="L351" s="19"/>
      <x:c r="M351" s="26"/>
      <x:c r="N351" s="19"/>
      <x:c r="O351" s="26"/>
      <x:c r="P351" s="19"/>
      <x:c r="Q351" s="19"/>
    </x:row>
    <x:row r="352">
      <x:c r="A352" s="19"/>
      <x:c r="B352" s="19"/>
      <x:c r="C352" s="19"/>
      <x:c r="D352" s="19"/>
      <x:c r="E352" s="19"/>
      <x:c r="F352" s="19"/>
      <x:c r="G352" s="20"/>
      <x:c r="H352" s="26"/>
      <x:c r="I352" s="19"/>
      <x:c r="J352" s="19"/>
      <x:c r="K352" s="19"/>
      <x:c r="L352" s="19"/>
      <x:c r="M352" s="26"/>
      <x:c r="N352" s="19"/>
      <x:c r="O352" s="26"/>
      <x:c r="P352" s="19"/>
      <x:c r="Q352" s="19"/>
    </x:row>
    <x:row r="353">
      <x:c r="A353" s="19"/>
      <x:c r="B353" s="19"/>
      <x:c r="C353" s="19"/>
      <x:c r="D353" s="19"/>
      <x:c r="E353" s="19"/>
      <x:c r="F353" s="19"/>
      <x:c r="G353" s="20"/>
      <x:c r="H353" s="26"/>
      <x:c r="I353" s="19"/>
      <x:c r="J353" s="19"/>
      <x:c r="K353" s="19"/>
      <x:c r="L353" s="19"/>
      <x:c r="M353" s="26"/>
      <x:c r="N353" s="19"/>
      <x:c r="O353" s="26"/>
      <x:c r="P353" s="19"/>
      <x:c r="Q353" s="19"/>
    </x:row>
    <x:row r="354">
      <x:c r="A354" s="19"/>
      <x:c r="B354" s="19"/>
      <x:c r="C354" s="19"/>
      <x:c r="D354" s="19"/>
      <x:c r="E354" s="19"/>
      <x:c r="F354" s="19"/>
      <x:c r="G354" s="20"/>
      <x:c r="H354" s="26"/>
      <x:c r="I354" s="19"/>
      <x:c r="J354" s="19"/>
      <x:c r="K354" s="19"/>
      <x:c r="L354" s="19"/>
      <x:c r="M354" s="26"/>
      <x:c r="N354" s="19"/>
      <x:c r="O354" s="26"/>
      <x:c r="P354" s="19"/>
      <x:c r="Q354" s="19"/>
    </x:row>
    <x:row r="355">
      <x:c r="A355" s="19"/>
      <x:c r="B355" s="19"/>
      <x:c r="C355" s="19"/>
      <x:c r="D355" s="19"/>
      <x:c r="E355" s="19"/>
      <x:c r="F355" s="19"/>
      <x:c r="G355" s="20"/>
      <x:c r="H355" s="26"/>
      <x:c r="I355" s="19"/>
      <x:c r="J355" s="19"/>
      <x:c r="K355" s="19"/>
      <x:c r="L355" s="19"/>
      <x:c r="M355" s="26"/>
      <x:c r="N355" s="19"/>
      <x:c r="O355" s="26"/>
      <x:c r="P355" s="19"/>
      <x:c r="Q355" s="19"/>
    </x:row>
    <x:row r="356">
      <x:c r="A356" s="19"/>
      <x:c r="B356" s="19"/>
      <x:c r="C356" s="19"/>
      <x:c r="D356" s="19"/>
      <x:c r="E356" s="19"/>
      <x:c r="F356" s="19"/>
      <x:c r="G356" s="20"/>
      <x:c r="H356" s="26"/>
      <x:c r="I356" s="19"/>
      <x:c r="J356" s="19"/>
      <x:c r="K356" s="19"/>
      <x:c r="L356" s="19"/>
      <x:c r="M356" s="26"/>
      <x:c r="N356" s="19"/>
      <x:c r="O356" s="26"/>
      <x:c r="P356" s="19"/>
      <x:c r="Q356" s="19"/>
    </x:row>
    <x:row r="357">
      <x:c r="A357" s="19"/>
      <x:c r="B357" s="19"/>
      <x:c r="C357" s="19"/>
      <x:c r="D357" s="19"/>
      <x:c r="E357" s="19"/>
      <x:c r="F357" s="19"/>
      <x:c r="G357" s="20"/>
      <x:c r="H357" s="26"/>
      <x:c r="I357" s="19"/>
      <x:c r="J357" s="19"/>
      <x:c r="K357" s="19"/>
      <x:c r="L357" s="19"/>
      <x:c r="M357" s="26"/>
      <x:c r="N357" s="19"/>
      <x:c r="O357" s="26"/>
      <x:c r="P357" s="19"/>
      <x:c r="Q357" s="19"/>
    </x:row>
    <x:row r="358">
      <x:c r="A358" s="19"/>
      <x:c r="B358" s="19"/>
      <x:c r="C358" s="19"/>
      <x:c r="D358" s="19"/>
      <x:c r="E358" s="19"/>
      <x:c r="F358" s="19"/>
      <x:c r="G358" s="20"/>
      <x:c r="H358" s="26"/>
      <x:c r="I358" s="19"/>
      <x:c r="J358" s="19"/>
      <x:c r="K358" s="19"/>
      <x:c r="L358" s="19"/>
      <x:c r="M358" s="26"/>
      <x:c r="N358" s="19"/>
      <x:c r="O358" s="26"/>
      <x:c r="P358" s="19"/>
      <x:c r="Q358" s="19"/>
    </x:row>
    <x:row r="359">
      <x:c r="A359" s="19"/>
      <x:c r="B359" s="19"/>
      <x:c r="C359" s="19"/>
      <x:c r="D359" s="19"/>
      <x:c r="E359" s="19"/>
      <x:c r="F359" s="19"/>
      <x:c r="G359" s="20"/>
      <x:c r="H359" s="26"/>
      <x:c r="I359" s="19"/>
      <x:c r="J359" s="19"/>
      <x:c r="K359" s="19"/>
      <x:c r="L359" s="19"/>
      <x:c r="M359" s="26"/>
      <x:c r="N359" s="19"/>
      <x:c r="O359" s="26"/>
      <x:c r="P359" s="19"/>
      <x:c r="Q359" s="19"/>
    </x:row>
    <x:row r="360">
      <x:c r="A360" s="19"/>
      <x:c r="B360" s="19"/>
      <x:c r="C360" s="19"/>
      <x:c r="D360" s="19"/>
      <x:c r="E360" s="19"/>
      <x:c r="F360" s="19"/>
      <x:c r="G360" s="20"/>
      <x:c r="H360" s="26"/>
      <x:c r="I360" s="19"/>
      <x:c r="J360" s="19"/>
      <x:c r="K360" s="19"/>
      <x:c r="L360" s="19"/>
      <x:c r="M360" s="26"/>
      <x:c r="N360" s="19"/>
      <x:c r="O360" s="26"/>
      <x:c r="P360" s="19"/>
      <x:c r="Q360" s="19"/>
    </x:row>
    <x:row r="361">
      <x:c r="A361" s="19"/>
      <x:c r="B361" s="19"/>
      <x:c r="C361" s="19"/>
      <x:c r="D361" s="19"/>
      <x:c r="E361" s="19"/>
      <x:c r="F361" s="19"/>
      <x:c r="G361" s="20"/>
      <x:c r="H361" s="26"/>
      <x:c r="I361" s="19"/>
      <x:c r="J361" s="19"/>
      <x:c r="K361" s="19"/>
      <x:c r="L361" s="19"/>
      <x:c r="M361" s="26"/>
      <x:c r="N361" s="19"/>
      <x:c r="O361" s="26"/>
      <x:c r="P361" s="19"/>
      <x:c r="Q361" s="19"/>
    </x:row>
    <x:row r="362">
      <x:c r="A362" s="19"/>
      <x:c r="B362" s="19"/>
      <x:c r="C362" s="19"/>
      <x:c r="D362" s="19"/>
      <x:c r="E362" s="19"/>
      <x:c r="F362" s="19"/>
      <x:c r="G362" s="20"/>
      <x:c r="H362" s="26"/>
      <x:c r="I362" s="19"/>
      <x:c r="J362" s="19"/>
      <x:c r="K362" s="19"/>
      <x:c r="L362" s="19"/>
      <x:c r="M362" s="26"/>
      <x:c r="N362" s="19"/>
      <x:c r="O362" s="26"/>
      <x:c r="P362" s="19"/>
      <x:c r="Q362" s="19"/>
    </x:row>
    <x:row r="363">
      <x:c r="A363" s="19"/>
      <x:c r="B363" s="19"/>
      <x:c r="C363" s="19"/>
      <x:c r="D363" s="19"/>
      <x:c r="E363" s="19"/>
      <x:c r="F363" s="19"/>
      <x:c r="G363" s="20"/>
      <x:c r="H363" s="26"/>
      <x:c r="I363" s="19"/>
      <x:c r="J363" s="19"/>
      <x:c r="K363" s="19"/>
      <x:c r="L363" s="19"/>
      <x:c r="M363" s="26"/>
      <x:c r="N363" s="19"/>
      <x:c r="O363" s="26"/>
      <x:c r="P363" s="19"/>
      <x:c r="Q363" s="19"/>
    </x:row>
    <x:row r="364">
      <x:c r="A364" s="19"/>
      <x:c r="B364" s="19"/>
      <x:c r="C364" s="19"/>
      <x:c r="D364" s="19"/>
      <x:c r="E364" s="19"/>
      <x:c r="F364" s="19"/>
      <x:c r="G364" s="20"/>
      <x:c r="H364" s="26"/>
      <x:c r="I364" s="19"/>
      <x:c r="J364" s="19"/>
      <x:c r="K364" s="19"/>
      <x:c r="L364" s="19"/>
      <x:c r="M364" s="26"/>
      <x:c r="N364" s="19"/>
      <x:c r="O364" s="26"/>
      <x:c r="P364" s="19"/>
      <x:c r="Q364" s="19"/>
    </x:row>
    <x:row r="365">
      <x:c r="A365" s="19"/>
      <x:c r="B365" s="19"/>
      <x:c r="C365" s="19"/>
      <x:c r="D365" s="19"/>
      <x:c r="E365" s="19"/>
      <x:c r="F365" s="19"/>
      <x:c r="G365" s="20"/>
      <x:c r="H365" s="26"/>
      <x:c r="I365" s="19"/>
      <x:c r="J365" s="19"/>
      <x:c r="K365" s="19"/>
      <x:c r="L365" s="19"/>
      <x:c r="M365" s="26"/>
      <x:c r="N365" s="19"/>
      <x:c r="O365" s="26"/>
      <x:c r="P365" s="19"/>
      <x:c r="Q365" s="19"/>
    </x:row>
    <x:row r="366">
      <x:c r="A366" s="19"/>
      <x:c r="B366" s="19"/>
      <x:c r="C366" s="19"/>
      <x:c r="D366" s="19"/>
      <x:c r="E366" s="19"/>
      <x:c r="F366" s="19"/>
      <x:c r="G366" s="20"/>
      <x:c r="H366" s="26"/>
      <x:c r="I366" s="19"/>
      <x:c r="J366" s="19"/>
      <x:c r="K366" s="19"/>
      <x:c r="L366" s="19"/>
      <x:c r="M366" s="26"/>
      <x:c r="N366" s="19"/>
      <x:c r="O366" s="26"/>
      <x:c r="P366" s="19"/>
      <x:c r="Q366" s="19"/>
    </x:row>
    <x:row r="367">
      <x:c r="A367" s="19"/>
      <x:c r="B367" s="19"/>
      <x:c r="C367" s="19"/>
      <x:c r="D367" s="19"/>
      <x:c r="E367" s="19"/>
      <x:c r="F367" s="19"/>
      <x:c r="G367" s="20"/>
      <x:c r="H367" s="26"/>
      <x:c r="I367" s="19"/>
      <x:c r="J367" s="19"/>
      <x:c r="K367" s="19"/>
      <x:c r="L367" s="19"/>
      <x:c r="M367" s="26"/>
      <x:c r="N367" s="19"/>
      <x:c r="O367" s="26"/>
      <x:c r="P367" s="19"/>
      <x:c r="Q367" s="19"/>
    </x:row>
    <x:row r="368">
      <x:c r="A368" s="19"/>
      <x:c r="B368" s="19"/>
      <x:c r="C368" s="19"/>
      <x:c r="D368" s="19"/>
      <x:c r="E368" s="19"/>
      <x:c r="F368" s="19"/>
      <x:c r="G368" s="20"/>
      <x:c r="H368" s="26"/>
      <x:c r="I368" s="19"/>
      <x:c r="J368" s="19"/>
      <x:c r="K368" s="19"/>
      <x:c r="L368" s="19"/>
      <x:c r="M368" s="26"/>
      <x:c r="N368" s="19"/>
      <x:c r="O368" s="26"/>
      <x:c r="P368" s="19"/>
      <x:c r="Q368" s="19"/>
    </x:row>
    <x:row r="369">
      <x:c r="A369" s="19"/>
      <x:c r="B369" s="19"/>
      <x:c r="C369" s="19"/>
      <x:c r="D369" s="19"/>
      <x:c r="E369" s="19"/>
      <x:c r="F369" s="19"/>
      <x:c r="G369" s="20"/>
      <x:c r="H369" s="26"/>
      <x:c r="I369" s="19"/>
      <x:c r="J369" s="19"/>
      <x:c r="K369" s="19"/>
      <x:c r="L369" s="19"/>
      <x:c r="M369" s="26"/>
      <x:c r="N369" s="19"/>
      <x:c r="O369" s="26"/>
      <x:c r="P369" s="19"/>
      <x:c r="Q369" s="19"/>
    </x:row>
    <x:row r="370">
      <x:c r="A370" s="19"/>
      <x:c r="B370" s="19"/>
      <x:c r="C370" s="19"/>
      <x:c r="D370" s="19"/>
      <x:c r="E370" s="19"/>
      <x:c r="F370" s="19"/>
      <x:c r="G370" s="20"/>
      <x:c r="H370" s="26"/>
      <x:c r="I370" s="19"/>
      <x:c r="J370" s="19"/>
      <x:c r="K370" s="19"/>
      <x:c r="L370" s="19"/>
      <x:c r="M370" s="26"/>
      <x:c r="N370" s="19"/>
      <x:c r="O370" s="26"/>
      <x:c r="P370" s="19"/>
      <x:c r="Q370" s="19"/>
    </x:row>
    <x:row r="371">
      <x:c r="A371" s="19"/>
      <x:c r="B371" s="19"/>
      <x:c r="C371" s="19"/>
      <x:c r="D371" s="19"/>
      <x:c r="E371" s="19"/>
      <x:c r="F371" s="19"/>
      <x:c r="G371" s="20"/>
      <x:c r="H371" s="26"/>
      <x:c r="I371" s="19"/>
      <x:c r="J371" s="19"/>
      <x:c r="K371" s="19"/>
      <x:c r="L371" s="19"/>
      <x:c r="M371" s="26"/>
      <x:c r="N371" s="19"/>
      <x:c r="O371" s="26"/>
      <x:c r="P371" s="19"/>
      <x:c r="Q371" s="19"/>
    </x:row>
    <x:row r="372">
      <x:c r="A372" s="19"/>
      <x:c r="B372" s="19"/>
      <x:c r="C372" s="19"/>
      <x:c r="D372" s="19"/>
      <x:c r="E372" s="19"/>
      <x:c r="F372" s="19"/>
      <x:c r="G372" s="20"/>
      <x:c r="H372" s="26"/>
      <x:c r="I372" s="19"/>
      <x:c r="J372" s="19"/>
      <x:c r="K372" s="19"/>
      <x:c r="L372" s="19"/>
      <x:c r="M372" s="26"/>
      <x:c r="N372" s="19"/>
      <x:c r="O372" s="26"/>
      <x:c r="P372" s="19"/>
      <x:c r="Q372" s="19"/>
    </x:row>
    <x:row r="373">
      <x:c r="A373" s="19"/>
      <x:c r="B373" s="19"/>
      <x:c r="C373" s="19"/>
      <x:c r="D373" s="19"/>
      <x:c r="E373" s="19"/>
      <x:c r="F373" s="19"/>
      <x:c r="G373" s="20"/>
      <x:c r="H373" s="26"/>
      <x:c r="I373" s="19"/>
      <x:c r="J373" s="19"/>
      <x:c r="K373" s="19"/>
      <x:c r="L373" s="19"/>
      <x:c r="M373" s="26"/>
      <x:c r="N373" s="19"/>
      <x:c r="O373" s="26"/>
      <x:c r="P373" s="19"/>
      <x:c r="Q373" s="19"/>
    </x:row>
    <x:row r="374">
      <x:c r="A374" s="19"/>
      <x:c r="B374" s="19"/>
      <x:c r="C374" s="19"/>
      <x:c r="D374" s="19"/>
      <x:c r="E374" s="19"/>
      <x:c r="F374" s="19"/>
      <x:c r="G374" s="20"/>
      <x:c r="H374" s="26"/>
      <x:c r="I374" s="19"/>
      <x:c r="J374" s="19"/>
      <x:c r="K374" s="19"/>
      <x:c r="L374" s="19"/>
      <x:c r="M374" s="26"/>
      <x:c r="N374" s="19"/>
      <x:c r="O374" s="26"/>
      <x:c r="P374" s="19"/>
      <x:c r="Q374" s="19"/>
    </x:row>
    <x:row r="375">
      <x:c r="A375" s="19"/>
      <x:c r="B375" s="19"/>
      <x:c r="C375" s="19"/>
      <x:c r="D375" s="19"/>
      <x:c r="E375" s="19"/>
      <x:c r="F375" s="19"/>
      <x:c r="G375" s="20"/>
      <x:c r="H375" s="26"/>
      <x:c r="I375" s="19"/>
      <x:c r="J375" s="19"/>
      <x:c r="K375" s="19"/>
      <x:c r="L375" s="19"/>
      <x:c r="M375" s="26"/>
      <x:c r="N375" s="19"/>
      <x:c r="O375" s="26"/>
      <x:c r="P375" s="19"/>
      <x:c r="Q375" s="19"/>
    </x:row>
    <x:row r="376">
      <x:c r="A376" s="19"/>
      <x:c r="B376" s="19"/>
      <x:c r="C376" s="19"/>
      <x:c r="D376" s="19"/>
      <x:c r="E376" s="19"/>
      <x:c r="F376" s="19"/>
      <x:c r="G376" s="20"/>
      <x:c r="H376" s="26"/>
      <x:c r="I376" s="19"/>
      <x:c r="J376" s="19"/>
      <x:c r="K376" s="19"/>
      <x:c r="L376" s="19"/>
      <x:c r="M376" s="26"/>
      <x:c r="N376" s="19"/>
      <x:c r="O376" s="26"/>
      <x:c r="P376" s="19"/>
      <x:c r="Q376" s="19"/>
    </x:row>
    <x:row r="377">
      <x:c r="A377" s="19"/>
      <x:c r="B377" s="19"/>
      <x:c r="C377" s="19"/>
      <x:c r="D377" s="19"/>
      <x:c r="E377" s="19"/>
      <x:c r="F377" s="19"/>
      <x:c r="G377" s="20"/>
      <x:c r="H377" s="26"/>
      <x:c r="I377" s="19"/>
      <x:c r="J377" s="19"/>
      <x:c r="K377" s="19"/>
      <x:c r="L377" s="19"/>
      <x:c r="M377" s="26"/>
      <x:c r="N377" s="19"/>
      <x:c r="O377" s="26"/>
      <x:c r="P377" s="19"/>
      <x:c r="Q377" s="19"/>
    </x:row>
    <x:row r="378">
      <x:c r="A378" s="19"/>
      <x:c r="B378" s="19"/>
      <x:c r="C378" s="19"/>
      <x:c r="D378" s="19"/>
      <x:c r="E378" s="19"/>
      <x:c r="F378" s="19"/>
      <x:c r="G378" s="20"/>
      <x:c r="H378" s="26"/>
      <x:c r="I378" s="19"/>
      <x:c r="J378" s="19"/>
      <x:c r="K378" s="19"/>
      <x:c r="L378" s="19"/>
      <x:c r="M378" s="26"/>
      <x:c r="N378" s="19"/>
      <x:c r="O378" s="26"/>
      <x:c r="P378" s="19"/>
      <x:c r="Q378" s="19"/>
    </x:row>
    <x:row r="379">
      <x:c r="A379" s="19"/>
      <x:c r="B379" s="19"/>
      <x:c r="C379" s="19"/>
      <x:c r="D379" s="19"/>
      <x:c r="E379" s="19"/>
      <x:c r="F379" s="19"/>
      <x:c r="G379" s="20"/>
      <x:c r="H379" s="26"/>
      <x:c r="I379" s="19"/>
      <x:c r="J379" s="19"/>
      <x:c r="K379" s="19"/>
      <x:c r="L379" s="19"/>
      <x:c r="M379" s="26"/>
      <x:c r="N379" s="19"/>
      <x:c r="O379" s="26"/>
      <x:c r="P379" s="19"/>
      <x:c r="Q379" s="19"/>
    </x:row>
    <x:row r="380">
      <x:c r="A380" s="19"/>
      <x:c r="B380" s="19"/>
      <x:c r="C380" s="19"/>
      <x:c r="D380" s="19"/>
      <x:c r="E380" s="19"/>
      <x:c r="F380" s="19"/>
      <x:c r="G380" s="20"/>
      <x:c r="H380" s="26"/>
      <x:c r="I380" s="19"/>
      <x:c r="J380" s="19"/>
      <x:c r="K380" s="19"/>
      <x:c r="L380" s="19"/>
      <x:c r="M380" s="26"/>
      <x:c r="N380" s="19"/>
      <x:c r="O380" s="26"/>
      <x:c r="P380" s="19"/>
      <x:c r="Q380" s="19"/>
    </x:row>
    <x:row r="381">
      <x:c r="A381" s="19"/>
      <x:c r="B381" s="19"/>
      <x:c r="C381" s="19"/>
      <x:c r="D381" s="19"/>
      <x:c r="E381" s="19"/>
      <x:c r="F381" s="19"/>
      <x:c r="G381" s="20"/>
      <x:c r="H381" s="26"/>
      <x:c r="I381" s="19"/>
      <x:c r="J381" s="19"/>
      <x:c r="K381" s="19"/>
      <x:c r="L381" s="19"/>
      <x:c r="M381" s="26"/>
      <x:c r="N381" s="19"/>
      <x:c r="O381" s="26"/>
      <x:c r="P381" s="19"/>
      <x:c r="Q381" s="19"/>
    </x:row>
    <x:row r="382">
      <x:c r="A382" s="19"/>
      <x:c r="B382" s="19"/>
      <x:c r="C382" s="19"/>
      <x:c r="D382" s="19"/>
      <x:c r="E382" s="19"/>
      <x:c r="F382" s="19"/>
      <x:c r="G382" s="20"/>
      <x:c r="H382" s="26"/>
      <x:c r="I382" s="19"/>
      <x:c r="J382" s="19"/>
      <x:c r="K382" s="19"/>
      <x:c r="L382" s="19"/>
      <x:c r="M382" s="26"/>
      <x:c r="N382" s="19"/>
      <x:c r="O382" s="26"/>
      <x:c r="P382" s="19"/>
      <x:c r="Q382" s="19"/>
    </x:row>
    <x:row r="383">
      <x:c r="A383" s="19"/>
      <x:c r="B383" s="19"/>
      <x:c r="C383" s="19"/>
      <x:c r="D383" s="19"/>
      <x:c r="E383" s="19"/>
      <x:c r="F383" s="19"/>
      <x:c r="G383" s="20"/>
      <x:c r="H383" s="26"/>
      <x:c r="I383" s="19"/>
      <x:c r="J383" s="19"/>
      <x:c r="K383" s="19"/>
      <x:c r="L383" s="19"/>
      <x:c r="M383" s="26"/>
      <x:c r="N383" s="19"/>
      <x:c r="O383" s="26"/>
      <x:c r="P383" s="19"/>
      <x:c r="Q383" s="19"/>
    </x:row>
    <x:row r="384">
      <x:c r="A384" s="19"/>
      <x:c r="B384" s="19"/>
      <x:c r="C384" s="19"/>
      <x:c r="D384" s="19"/>
      <x:c r="E384" s="19"/>
      <x:c r="F384" s="19"/>
      <x:c r="G384" s="20"/>
      <x:c r="H384" s="26"/>
      <x:c r="I384" s="19"/>
      <x:c r="J384" s="19"/>
      <x:c r="K384" s="19"/>
      <x:c r="L384" s="19"/>
      <x:c r="M384" s="26"/>
      <x:c r="N384" s="19"/>
      <x:c r="O384" s="26"/>
      <x:c r="P384" s="19"/>
      <x:c r="Q384" s="19"/>
    </x:row>
    <x:row r="385">
      <x:c r="A385" s="19"/>
      <x:c r="B385" s="19"/>
      <x:c r="C385" s="19"/>
      <x:c r="D385" s="19"/>
      <x:c r="E385" s="19"/>
      <x:c r="F385" s="19"/>
      <x:c r="G385" s="20"/>
      <x:c r="H385" s="26"/>
      <x:c r="I385" s="19"/>
      <x:c r="J385" s="19"/>
      <x:c r="K385" s="19"/>
      <x:c r="L385" s="19"/>
      <x:c r="M385" s="26"/>
      <x:c r="N385" s="19"/>
      <x:c r="O385" s="26"/>
      <x:c r="P385" s="19"/>
      <x:c r="Q385" s="19"/>
    </x:row>
    <x:row r="386">
      <x:c r="A386" s="19"/>
      <x:c r="B386" s="19"/>
      <x:c r="C386" s="19"/>
      <x:c r="D386" s="19"/>
      <x:c r="E386" s="19"/>
      <x:c r="F386" s="19"/>
      <x:c r="G386" s="20"/>
      <x:c r="H386" s="26"/>
      <x:c r="I386" s="19"/>
      <x:c r="J386" s="19"/>
      <x:c r="K386" s="19"/>
      <x:c r="L386" s="19"/>
      <x:c r="M386" s="26"/>
      <x:c r="N386" s="19"/>
      <x:c r="O386" s="26"/>
      <x:c r="P386" s="19"/>
      <x:c r="Q386" s="19"/>
    </x:row>
    <x:row r="387">
      <x:c r="A387" s="19"/>
      <x:c r="B387" s="19"/>
      <x:c r="C387" s="19"/>
      <x:c r="D387" s="19"/>
      <x:c r="E387" s="19"/>
      <x:c r="F387" s="19"/>
      <x:c r="G387" s="20"/>
      <x:c r="H387" s="26"/>
      <x:c r="I387" s="19"/>
      <x:c r="J387" s="19"/>
      <x:c r="K387" s="19"/>
      <x:c r="L387" s="19"/>
      <x:c r="M387" s="26"/>
      <x:c r="N387" s="19"/>
      <x:c r="O387" s="26"/>
      <x:c r="P387" s="19"/>
      <x:c r="Q387" s="19"/>
    </x:row>
    <x:row r="388">
      <x:c r="A388" s="19"/>
      <x:c r="B388" s="19"/>
      <x:c r="C388" s="19"/>
      <x:c r="D388" s="19"/>
      <x:c r="E388" s="19"/>
      <x:c r="F388" s="19"/>
      <x:c r="G388" s="20"/>
      <x:c r="H388" s="26"/>
      <x:c r="I388" s="19"/>
      <x:c r="J388" s="19"/>
      <x:c r="K388" s="19"/>
      <x:c r="L388" s="19"/>
      <x:c r="M388" s="26"/>
      <x:c r="N388" s="19"/>
      <x:c r="O388" s="26"/>
      <x:c r="P388" s="19"/>
      <x:c r="Q388" s="19"/>
    </x:row>
    <x:row r="389">
      <x:c r="A389" s="19"/>
      <x:c r="B389" s="19"/>
      <x:c r="C389" s="19"/>
      <x:c r="D389" s="19"/>
      <x:c r="E389" s="19"/>
      <x:c r="F389" s="19"/>
      <x:c r="G389" s="20"/>
      <x:c r="H389" s="26"/>
      <x:c r="I389" s="19"/>
      <x:c r="J389" s="19"/>
      <x:c r="K389" s="19"/>
      <x:c r="L389" s="19"/>
      <x:c r="M389" s="26"/>
      <x:c r="N389" s="19"/>
      <x:c r="O389" s="26"/>
      <x:c r="P389" s="19"/>
      <x:c r="Q389" s="19"/>
    </x:row>
    <x:row r="390">
      <x:c r="A390" s="19"/>
      <x:c r="B390" s="19"/>
      <x:c r="C390" s="19"/>
      <x:c r="D390" s="19"/>
      <x:c r="E390" s="19"/>
      <x:c r="F390" s="19"/>
      <x:c r="G390" s="20"/>
      <x:c r="H390" s="26"/>
      <x:c r="I390" s="19"/>
      <x:c r="J390" s="19"/>
      <x:c r="K390" s="19"/>
      <x:c r="L390" s="19"/>
      <x:c r="M390" s="26"/>
      <x:c r="N390" s="19"/>
      <x:c r="O390" s="26"/>
      <x:c r="P390" s="19"/>
      <x:c r="Q390" s="19"/>
    </x:row>
    <x:row r="391">
      <x:c r="A391" s="19"/>
      <x:c r="B391" s="19"/>
      <x:c r="C391" s="19"/>
      <x:c r="D391" s="19"/>
      <x:c r="E391" s="19"/>
      <x:c r="F391" s="19"/>
      <x:c r="G391" s="20"/>
      <x:c r="H391" s="26"/>
      <x:c r="I391" s="19"/>
      <x:c r="J391" s="19"/>
      <x:c r="K391" s="19"/>
      <x:c r="L391" s="19"/>
      <x:c r="M391" s="26"/>
      <x:c r="N391" s="19"/>
      <x:c r="O391" s="26"/>
      <x:c r="P391" s="19"/>
      <x:c r="Q391" s="19"/>
    </x:row>
    <x:row r="392">
      <x:c r="A392" s="19"/>
      <x:c r="B392" s="19"/>
      <x:c r="C392" s="19"/>
      <x:c r="D392" s="19"/>
      <x:c r="E392" s="19"/>
      <x:c r="F392" s="19"/>
      <x:c r="G392" s="20"/>
      <x:c r="H392" s="26"/>
      <x:c r="I392" s="19"/>
      <x:c r="J392" s="19"/>
      <x:c r="K392" s="19"/>
      <x:c r="L392" s="19"/>
      <x:c r="M392" s="26"/>
      <x:c r="N392" s="19"/>
      <x:c r="O392" s="26"/>
      <x:c r="P392" s="19"/>
      <x:c r="Q392" s="19"/>
    </x:row>
    <x:row r="393">
      <x:c r="A393" s="19"/>
      <x:c r="B393" s="19"/>
      <x:c r="C393" s="19"/>
      <x:c r="D393" s="19"/>
      <x:c r="E393" s="19"/>
      <x:c r="F393" s="19"/>
      <x:c r="G393" s="20"/>
      <x:c r="H393" s="26"/>
      <x:c r="I393" s="19"/>
      <x:c r="J393" s="19"/>
      <x:c r="K393" s="19"/>
      <x:c r="L393" s="19"/>
      <x:c r="M393" s="26"/>
      <x:c r="N393" s="19"/>
      <x:c r="O393" s="26"/>
      <x:c r="P393" s="19"/>
      <x:c r="Q393" s="19"/>
    </x:row>
    <x:row r="394">
      <x:c r="A394" s="19"/>
      <x:c r="B394" s="19"/>
      <x:c r="C394" s="19"/>
      <x:c r="D394" s="19"/>
      <x:c r="E394" s="19"/>
      <x:c r="F394" s="19"/>
      <x:c r="G394" s="20"/>
      <x:c r="H394" s="26"/>
      <x:c r="I394" s="19"/>
      <x:c r="J394" s="19"/>
      <x:c r="K394" s="19"/>
      <x:c r="L394" s="19"/>
      <x:c r="M394" s="26"/>
      <x:c r="N394" s="19"/>
      <x:c r="O394" s="26"/>
      <x:c r="P394" s="19"/>
      <x:c r="Q394" s="19"/>
    </x:row>
    <x:row r="395">
      <x:c r="A395" s="19"/>
      <x:c r="B395" s="19"/>
      <x:c r="C395" s="19"/>
      <x:c r="D395" s="19"/>
      <x:c r="E395" s="19"/>
      <x:c r="F395" s="19"/>
      <x:c r="G395" s="20"/>
      <x:c r="H395" s="26"/>
      <x:c r="I395" s="19"/>
      <x:c r="J395" s="19"/>
      <x:c r="K395" s="19"/>
      <x:c r="L395" s="19"/>
      <x:c r="M395" s="26"/>
      <x:c r="N395" s="19"/>
      <x:c r="O395" s="26"/>
      <x:c r="P395" s="19"/>
      <x:c r="Q395" s="19"/>
    </x:row>
    <x:row r="396">
      <x:c r="A396" s="19"/>
      <x:c r="B396" s="19"/>
      <x:c r="C396" s="19"/>
      <x:c r="D396" s="19"/>
      <x:c r="E396" s="19"/>
      <x:c r="F396" s="19"/>
      <x:c r="G396" s="20"/>
      <x:c r="H396" s="26"/>
      <x:c r="I396" s="19"/>
      <x:c r="J396" s="19"/>
      <x:c r="K396" s="19"/>
      <x:c r="L396" s="19"/>
      <x:c r="M396" s="26"/>
      <x:c r="N396" s="19"/>
      <x:c r="O396" s="26"/>
      <x:c r="P396" s="19"/>
      <x:c r="Q396" s="19"/>
    </x:row>
    <x:row r="397">
      <x:c r="A397" s="19"/>
      <x:c r="B397" s="19"/>
      <x:c r="C397" s="19"/>
      <x:c r="D397" s="19"/>
      <x:c r="E397" s="19"/>
      <x:c r="F397" s="19"/>
      <x:c r="G397" s="20"/>
      <x:c r="H397" s="26"/>
      <x:c r="I397" s="19"/>
      <x:c r="J397" s="19"/>
      <x:c r="K397" s="19"/>
      <x:c r="L397" s="19"/>
      <x:c r="M397" s="26"/>
      <x:c r="N397" s="19"/>
      <x:c r="O397" s="26"/>
      <x:c r="P397" s="19"/>
      <x:c r="Q397" s="19"/>
    </x:row>
    <x:row r="398">
      <x:c r="A398" s="19"/>
      <x:c r="B398" s="19"/>
      <x:c r="C398" s="19"/>
      <x:c r="D398" s="19"/>
      <x:c r="E398" s="19"/>
      <x:c r="F398" s="19"/>
      <x:c r="G398" s="20"/>
      <x:c r="H398" s="26"/>
      <x:c r="I398" s="19"/>
      <x:c r="J398" s="19"/>
      <x:c r="K398" s="19"/>
      <x:c r="L398" s="19"/>
      <x:c r="M398" s="26"/>
      <x:c r="N398" s="19"/>
      <x:c r="O398" s="26"/>
      <x:c r="P398" s="19"/>
      <x:c r="Q398" s="19"/>
    </x:row>
    <x:row r="399">
      <x:c r="A399" s="19"/>
      <x:c r="B399" s="19"/>
      <x:c r="C399" s="19"/>
      <x:c r="D399" s="19"/>
      <x:c r="E399" s="19"/>
      <x:c r="F399" s="19"/>
      <x:c r="G399" s="20"/>
      <x:c r="H399" s="26"/>
      <x:c r="I399" s="19"/>
      <x:c r="J399" s="19"/>
      <x:c r="K399" s="19"/>
      <x:c r="L399" s="19"/>
      <x:c r="M399" s="26"/>
      <x:c r="N399" s="19"/>
      <x:c r="O399" s="26"/>
      <x:c r="P399" s="19"/>
      <x:c r="Q399" s="19"/>
    </x:row>
    <x:row r="400">
      <x:c r="A400" s="19"/>
      <x:c r="B400" s="19"/>
      <x:c r="C400" s="19"/>
      <x:c r="D400" s="19"/>
      <x:c r="E400" s="19"/>
      <x:c r="F400" s="19"/>
      <x:c r="G400" s="20"/>
      <x:c r="H400" s="26"/>
      <x:c r="I400" s="19"/>
      <x:c r="J400" s="19"/>
      <x:c r="K400" s="19"/>
      <x:c r="L400" s="19"/>
      <x:c r="M400" s="26"/>
      <x:c r="N400" s="19"/>
      <x:c r="O400" s="26"/>
      <x:c r="P400" s="19"/>
      <x:c r="Q400" s="19"/>
    </x:row>
    <x:row r="401">
      <x:c r="A401" s="19"/>
      <x:c r="B401" s="19"/>
      <x:c r="C401" s="19"/>
      <x:c r="D401" s="19"/>
      <x:c r="E401" s="19"/>
      <x:c r="F401" s="19"/>
      <x:c r="G401" s="20"/>
      <x:c r="H401" s="26"/>
      <x:c r="I401" s="19"/>
      <x:c r="J401" s="19"/>
      <x:c r="K401" s="19"/>
      <x:c r="L401" s="19"/>
      <x:c r="M401" s="26"/>
      <x:c r="N401" s="19"/>
      <x:c r="O401" s="26"/>
      <x:c r="P401" s="19"/>
      <x:c r="Q401" s="19"/>
    </x:row>
    <x:row r="402">
      <x:c r="A402" s="19"/>
      <x:c r="B402" s="19"/>
      <x:c r="C402" s="19"/>
      <x:c r="D402" s="19"/>
      <x:c r="E402" s="19"/>
      <x:c r="F402" s="19"/>
      <x:c r="G402" s="20"/>
      <x:c r="H402" s="26"/>
      <x:c r="I402" s="19"/>
      <x:c r="J402" s="19"/>
      <x:c r="K402" s="19"/>
      <x:c r="L402" s="19"/>
      <x:c r="M402" s="26"/>
      <x:c r="N402" s="19"/>
      <x:c r="O402" s="26"/>
      <x:c r="P402" s="19"/>
      <x:c r="Q402" s="19"/>
    </x:row>
    <x:row r="403">
      <x:c r="A403" s="19"/>
      <x:c r="B403" s="19"/>
      <x:c r="C403" s="19"/>
      <x:c r="D403" s="19"/>
      <x:c r="E403" s="19"/>
      <x:c r="F403" s="19"/>
      <x:c r="G403" s="20"/>
      <x:c r="H403" s="26"/>
      <x:c r="I403" s="19"/>
      <x:c r="J403" s="19"/>
      <x:c r="K403" s="19"/>
      <x:c r="L403" s="19"/>
      <x:c r="M403" s="26"/>
      <x:c r="N403" s="19"/>
      <x:c r="O403" s="26"/>
      <x:c r="P403" s="19"/>
      <x:c r="Q403" s="19"/>
    </x:row>
    <x:row r="404">
      <x:c r="A404" s="19"/>
      <x:c r="B404" s="19"/>
      <x:c r="C404" s="19"/>
      <x:c r="D404" s="19"/>
      <x:c r="E404" s="19"/>
      <x:c r="F404" s="19"/>
      <x:c r="G404" s="20"/>
      <x:c r="H404" s="26"/>
      <x:c r="I404" s="19"/>
      <x:c r="J404" s="19"/>
      <x:c r="K404" s="19"/>
      <x:c r="L404" s="19"/>
      <x:c r="M404" s="26"/>
      <x:c r="N404" s="19"/>
      <x:c r="O404" s="26"/>
      <x:c r="P404" s="19"/>
      <x:c r="Q404" s="19"/>
    </x:row>
    <x:row r="405">
      <x:c r="A405" s="19"/>
      <x:c r="B405" s="19"/>
      <x:c r="C405" s="19"/>
      <x:c r="D405" s="19"/>
      <x:c r="E405" s="19"/>
      <x:c r="F405" s="19"/>
      <x:c r="G405" s="20"/>
      <x:c r="H405" s="26"/>
      <x:c r="I405" s="19"/>
      <x:c r="J405" s="19"/>
      <x:c r="K405" s="19"/>
      <x:c r="L405" s="19"/>
      <x:c r="M405" s="26"/>
      <x:c r="N405" s="19"/>
      <x:c r="O405" s="26"/>
      <x:c r="P405" s="19"/>
      <x:c r="Q405" s="19"/>
    </x:row>
    <x:row r="406">
      <x:c r="A406" s="19"/>
      <x:c r="B406" s="19"/>
      <x:c r="C406" s="19"/>
      <x:c r="D406" s="19"/>
      <x:c r="E406" s="19"/>
      <x:c r="F406" s="19"/>
      <x:c r="G406" s="20"/>
      <x:c r="H406" s="26"/>
      <x:c r="I406" s="19"/>
      <x:c r="J406" s="19"/>
      <x:c r="K406" s="19"/>
      <x:c r="L406" s="19"/>
      <x:c r="M406" s="26"/>
      <x:c r="N406" s="19"/>
      <x:c r="O406" s="26"/>
      <x:c r="P406" s="19"/>
      <x:c r="Q406" s="19"/>
    </x:row>
    <x:row r="407">
      <x:c r="A407" s="19"/>
      <x:c r="B407" s="19"/>
      <x:c r="C407" s="19"/>
      <x:c r="D407" s="19"/>
      <x:c r="E407" s="19"/>
      <x:c r="F407" s="19"/>
      <x:c r="G407" s="20"/>
      <x:c r="H407" s="26"/>
      <x:c r="I407" s="19"/>
      <x:c r="J407" s="19"/>
      <x:c r="K407" s="19"/>
      <x:c r="L407" s="19"/>
      <x:c r="M407" s="26"/>
      <x:c r="N407" s="19"/>
      <x:c r="O407" s="26"/>
      <x:c r="P407" s="19"/>
      <x:c r="Q407" s="19"/>
    </x:row>
    <x:row r="408">
      <x:c r="A408" s="19"/>
      <x:c r="B408" s="19"/>
      <x:c r="C408" s="19"/>
      <x:c r="D408" s="19"/>
      <x:c r="E408" s="19"/>
      <x:c r="F408" s="19"/>
      <x:c r="G408" s="20"/>
      <x:c r="H408" s="26"/>
      <x:c r="I408" s="19"/>
      <x:c r="J408" s="19"/>
      <x:c r="K408" s="19"/>
      <x:c r="L408" s="19"/>
      <x:c r="M408" s="26"/>
      <x:c r="N408" s="19"/>
      <x:c r="O408" s="26"/>
      <x:c r="P408" s="19"/>
      <x:c r="Q408" s="19"/>
    </x:row>
    <x:row r="409">
      <x:c r="A409" s="19"/>
      <x:c r="B409" s="19"/>
      <x:c r="C409" s="19"/>
      <x:c r="D409" s="19"/>
      <x:c r="E409" s="19"/>
      <x:c r="F409" s="19"/>
      <x:c r="G409" s="20"/>
      <x:c r="H409" s="26"/>
      <x:c r="I409" s="19"/>
      <x:c r="J409" s="19"/>
      <x:c r="K409" s="19"/>
      <x:c r="L409" s="19"/>
      <x:c r="M409" s="26"/>
      <x:c r="N409" s="19"/>
      <x:c r="O409" s="26"/>
      <x:c r="P409" s="19"/>
      <x:c r="Q409" s="19"/>
    </x:row>
    <x:row r="410">
      <x:c r="A410" s="19"/>
      <x:c r="B410" s="19"/>
      <x:c r="C410" s="19"/>
      <x:c r="D410" s="19"/>
      <x:c r="E410" s="19"/>
      <x:c r="F410" s="19"/>
      <x:c r="G410" s="20"/>
      <x:c r="H410" s="26"/>
      <x:c r="I410" s="19"/>
      <x:c r="J410" s="19"/>
      <x:c r="K410" s="19"/>
      <x:c r="L410" s="19"/>
      <x:c r="M410" s="26"/>
      <x:c r="N410" s="19"/>
      <x:c r="O410" s="26"/>
      <x:c r="P410" s="19"/>
      <x:c r="Q410" s="19"/>
    </x:row>
    <x:row r="411">
      <x:c r="A411" s="19"/>
      <x:c r="B411" s="19"/>
      <x:c r="C411" s="19"/>
      <x:c r="D411" s="19"/>
      <x:c r="E411" s="19"/>
      <x:c r="F411" s="19"/>
      <x:c r="G411" s="20"/>
      <x:c r="H411" s="26"/>
      <x:c r="I411" s="19"/>
      <x:c r="J411" s="19"/>
      <x:c r="K411" s="19"/>
      <x:c r="L411" s="19"/>
      <x:c r="M411" s="26"/>
      <x:c r="N411" s="19"/>
      <x:c r="O411" s="26"/>
      <x:c r="P411" s="19"/>
      <x:c r="Q411" s="19"/>
    </x:row>
    <x:row r="412">
      <x:c r="A412" s="19"/>
      <x:c r="B412" s="19"/>
      <x:c r="C412" s="19"/>
      <x:c r="D412" s="19"/>
      <x:c r="E412" s="19"/>
      <x:c r="F412" s="19"/>
      <x:c r="G412" s="20"/>
      <x:c r="H412" s="26"/>
      <x:c r="I412" s="19"/>
      <x:c r="J412" s="19"/>
      <x:c r="K412" s="19"/>
      <x:c r="L412" s="19"/>
      <x:c r="M412" s="26"/>
      <x:c r="N412" s="19"/>
      <x:c r="O412" s="26"/>
      <x:c r="P412" s="19"/>
      <x:c r="Q412" s="19"/>
    </x:row>
    <x:row r="413">
      <x:c r="A413" s="19"/>
      <x:c r="B413" s="19"/>
      <x:c r="C413" s="19"/>
      <x:c r="D413" s="19"/>
      <x:c r="E413" s="19"/>
      <x:c r="F413" s="19"/>
      <x:c r="G413" s="20"/>
      <x:c r="H413" s="26"/>
      <x:c r="I413" s="19"/>
      <x:c r="J413" s="19"/>
      <x:c r="K413" s="19"/>
      <x:c r="L413" s="19"/>
      <x:c r="M413" s="26"/>
      <x:c r="N413" s="19"/>
      <x:c r="O413" s="26"/>
      <x:c r="P413" s="19"/>
      <x:c r="Q413" s="19"/>
    </x:row>
    <x:row r="414">
      <x:c r="A414" s="19"/>
      <x:c r="B414" s="19"/>
      <x:c r="C414" s="19"/>
      <x:c r="D414" s="19"/>
      <x:c r="E414" s="19"/>
      <x:c r="F414" s="19"/>
      <x:c r="G414" s="20"/>
      <x:c r="H414" s="26"/>
      <x:c r="I414" s="19"/>
      <x:c r="J414" s="19"/>
      <x:c r="K414" s="19"/>
      <x:c r="L414" s="19"/>
      <x:c r="M414" s="26"/>
      <x:c r="N414" s="19"/>
      <x:c r="O414" s="26"/>
      <x:c r="P414" s="19"/>
      <x:c r="Q414" s="19"/>
    </x:row>
    <x:row r="415">
      <x:c r="A415" s="19"/>
      <x:c r="B415" s="19"/>
      <x:c r="C415" s="19"/>
      <x:c r="D415" s="19"/>
      <x:c r="E415" s="19"/>
      <x:c r="F415" s="19"/>
      <x:c r="G415" s="20"/>
      <x:c r="H415" s="26"/>
      <x:c r="I415" s="19"/>
      <x:c r="J415" s="19"/>
      <x:c r="K415" s="19"/>
      <x:c r="L415" s="19"/>
      <x:c r="M415" s="26"/>
      <x:c r="N415" s="19"/>
      <x:c r="O415" s="26"/>
      <x:c r="P415" s="19"/>
      <x:c r="Q415" s="19"/>
    </x:row>
    <x:row r="416">
      <x:c r="A416" s="19"/>
      <x:c r="B416" s="19"/>
      <x:c r="C416" s="19"/>
      <x:c r="D416" s="19"/>
      <x:c r="E416" s="19"/>
      <x:c r="F416" s="19"/>
      <x:c r="G416" s="20"/>
      <x:c r="H416" s="26"/>
      <x:c r="I416" s="19"/>
      <x:c r="J416" s="19"/>
      <x:c r="K416" s="19"/>
      <x:c r="L416" s="19"/>
      <x:c r="M416" s="26"/>
      <x:c r="N416" s="19"/>
      <x:c r="O416" s="26"/>
      <x:c r="P416" s="19"/>
      <x:c r="Q416" s="19"/>
    </x:row>
    <x:row r="417">
      <x:c r="A417" s="19"/>
      <x:c r="B417" s="19"/>
      <x:c r="C417" s="19"/>
      <x:c r="D417" s="19"/>
      <x:c r="E417" s="19"/>
      <x:c r="F417" s="19"/>
      <x:c r="G417" s="20"/>
      <x:c r="H417" s="26"/>
      <x:c r="I417" s="19"/>
      <x:c r="J417" s="19"/>
      <x:c r="K417" s="19"/>
      <x:c r="L417" s="19"/>
      <x:c r="M417" s="26"/>
      <x:c r="N417" s="19"/>
      <x:c r="O417" s="26"/>
      <x:c r="P417" s="19"/>
      <x:c r="Q417" s="19"/>
    </x:row>
    <x:row r="418">
      <x:c r="A418" s="19"/>
      <x:c r="B418" s="19"/>
      <x:c r="C418" s="19"/>
      <x:c r="D418" s="19"/>
      <x:c r="E418" s="19"/>
      <x:c r="F418" s="19"/>
      <x:c r="G418" s="20"/>
      <x:c r="H418" s="26"/>
      <x:c r="I418" s="19"/>
      <x:c r="J418" s="19"/>
      <x:c r="K418" s="19"/>
      <x:c r="L418" s="19"/>
      <x:c r="M418" s="26"/>
      <x:c r="N418" s="19"/>
      <x:c r="O418" s="26"/>
      <x:c r="P418" s="19"/>
      <x:c r="Q418" s="19"/>
    </x:row>
    <x:row r="419">
      <x:c r="A419" s="19"/>
      <x:c r="B419" s="19"/>
      <x:c r="C419" s="19"/>
      <x:c r="D419" s="19"/>
      <x:c r="E419" s="19"/>
      <x:c r="F419" s="19"/>
      <x:c r="G419" s="20"/>
      <x:c r="H419" s="26"/>
      <x:c r="I419" s="19"/>
      <x:c r="J419" s="19"/>
      <x:c r="K419" s="19"/>
      <x:c r="L419" s="19"/>
      <x:c r="M419" s="26"/>
      <x:c r="N419" s="19"/>
      <x:c r="O419" s="26"/>
      <x:c r="P419" s="19"/>
      <x:c r="Q419" s="19"/>
    </x:row>
    <x:row r="420">
      <x:c r="A420" s="19"/>
      <x:c r="B420" s="19"/>
      <x:c r="C420" s="19"/>
      <x:c r="D420" s="19"/>
      <x:c r="E420" s="19"/>
      <x:c r="F420" s="19"/>
      <x:c r="G420" s="20"/>
      <x:c r="H420" s="26"/>
      <x:c r="I420" s="19"/>
      <x:c r="J420" s="19"/>
      <x:c r="K420" s="19"/>
      <x:c r="L420" s="19"/>
      <x:c r="M420" s="26"/>
      <x:c r="N420" s="19"/>
      <x:c r="O420" s="26"/>
      <x:c r="P420" s="19"/>
      <x:c r="Q420" s="19"/>
    </x:row>
    <x:row r="421">
      <x:c r="A421" s="19"/>
      <x:c r="B421" s="19"/>
      <x:c r="C421" s="19"/>
      <x:c r="D421" s="19"/>
      <x:c r="E421" s="19"/>
      <x:c r="F421" s="19"/>
      <x:c r="G421" s="20"/>
      <x:c r="H421" s="26"/>
      <x:c r="I421" s="19"/>
      <x:c r="J421" s="19"/>
      <x:c r="K421" s="19"/>
      <x:c r="L421" s="19"/>
      <x:c r="M421" s="26"/>
      <x:c r="N421" s="19"/>
      <x:c r="O421" s="26"/>
      <x:c r="P421" s="19"/>
      <x:c r="Q421" s="19"/>
    </x:row>
    <x:row r="422">
      <x:c r="A422" s="19"/>
      <x:c r="B422" s="19"/>
      <x:c r="C422" s="19"/>
      <x:c r="D422" s="19"/>
      <x:c r="E422" s="19"/>
      <x:c r="F422" s="19"/>
      <x:c r="G422" s="20"/>
      <x:c r="H422" s="26"/>
      <x:c r="I422" s="19"/>
      <x:c r="J422" s="19"/>
      <x:c r="K422" s="19"/>
      <x:c r="L422" s="19"/>
      <x:c r="M422" s="26"/>
      <x:c r="N422" s="19"/>
      <x:c r="O422" s="26"/>
      <x:c r="P422" s="19"/>
      <x:c r="Q422" s="19"/>
    </x:row>
    <x:row r="423">
      <x:c r="A423" s="19"/>
      <x:c r="B423" s="19"/>
      <x:c r="C423" s="19"/>
      <x:c r="D423" s="19"/>
      <x:c r="E423" s="19"/>
      <x:c r="F423" s="19"/>
      <x:c r="G423" s="20"/>
      <x:c r="H423" s="26"/>
      <x:c r="I423" s="19"/>
      <x:c r="J423" s="19"/>
      <x:c r="K423" s="19"/>
      <x:c r="L423" s="19"/>
      <x:c r="M423" s="26"/>
      <x:c r="N423" s="19"/>
      <x:c r="O423" s="26"/>
      <x:c r="P423" s="19"/>
      <x:c r="Q423" s="19"/>
    </x:row>
    <x:row r="424">
      <x:c r="A424" s="19"/>
      <x:c r="B424" s="19"/>
      <x:c r="C424" s="19"/>
      <x:c r="D424" s="19"/>
      <x:c r="E424" s="19"/>
      <x:c r="F424" s="19"/>
      <x:c r="G424" s="20"/>
      <x:c r="H424" s="26"/>
      <x:c r="I424" s="19"/>
      <x:c r="J424" s="19"/>
      <x:c r="K424" s="19"/>
      <x:c r="L424" s="19"/>
      <x:c r="M424" s="26"/>
      <x:c r="N424" s="19"/>
      <x:c r="O424" s="26"/>
      <x:c r="P424" s="19"/>
      <x:c r="Q424" s="19"/>
    </x:row>
    <x:row r="425">
      <x:c r="A425" s="19"/>
      <x:c r="B425" s="19"/>
      <x:c r="C425" s="19"/>
      <x:c r="D425" s="19"/>
      <x:c r="E425" s="19"/>
      <x:c r="F425" s="19"/>
      <x:c r="G425" s="20"/>
      <x:c r="H425" s="26"/>
      <x:c r="I425" s="19"/>
      <x:c r="J425" s="19"/>
      <x:c r="K425" s="19"/>
      <x:c r="L425" s="19"/>
      <x:c r="M425" s="26"/>
      <x:c r="N425" s="19"/>
      <x:c r="O425" s="26"/>
      <x:c r="P425" s="19"/>
      <x:c r="Q425" s="19"/>
    </x:row>
    <x:row r="426">
      <x:c r="A426" s="19"/>
      <x:c r="B426" s="19"/>
      <x:c r="C426" s="19"/>
      <x:c r="D426" s="19"/>
      <x:c r="E426" s="19"/>
      <x:c r="F426" s="19"/>
      <x:c r="G426" s="20"/>
      <x:c r="H426" s="26"/>
      <x:c r="I426" s="19"/>
      <x:c r="J426" s="19"/>
      <x:c r="K426" s="19"/>
      <x:c r="L426" s="19"/>
      <x:c r="M426" s="26"/>
      <x:c r="N426" s="19"/>
      <x:c r="O426" s="26"/>
      <x:c r="P426" s="19"/>
      <x:c r="Q426" s="19"/>
    </x:row>
    <x:row r="427">
      <x:c r="A427" s="19"/>
      <x:c r="B427" s="19"/>
      <x:c r="C427" s="19"/>
      <x:c r="D427" s="19"/>
      <x:c r="E427" s="19"/>
      <x:c r="F427" s="19"/>
      <x:c r="G427" s="20"/>
      <x:c r="H427" s="26"/>
      <x:c r="I427" s="19"/>
      <x:c r="J427" s="19"/>
      <x:c r="K427" s="19"/>
      <x:c r="L427" s="19"/>
      <x:c r="M427" s="26"/>
      <x:c r="N427" s="19"/>
      <x:c r="O427" s="26"/>
      <x:c r="P427" s="19"/>
      <x:c r="Q427" s="19"/>
    </x:row>
    <x:row r="428">
      <x:c r="A428" s="19"/>
      <x:c r="B428" s="19"/>
      <x:c r="C428" s="19"/>
      <x:c r="D428" s="19"/>
      <x:c r="E428" s="19"/>
      <x:c r="F428" s="19"/>
      <x:c r="G428" s="20"/>
      <x:c r="H428" s="26"/>
      <x:c r="I428" s="19"/>
      <x:c r="J428" s="19"/>
      <x:c r="K428" s="19"/>
      <x:c r="L428" s="19"/>
      <x:c r="M428" s="26"/>
      <x:c r="N428" s="19"/>
      <x:c r="O428" s="26"/>
      <x:c r="P428" s="19"/>
      <x:c r="Q428" s="19"/>
    </x:row>
    <x:row r="429">
      <x:c r="A429" s="19"/>
      <x:c r="B429" s="19"/>
      <x:c r="C429" s="19"/>
      <x:c r="D429" s="19"/>
      <x:c r="E429" s="19"/>
      <x:c r="F429" s="19"/>
      <x:c r="G429" s="20"/>
      <x:c r="H429" s="26"/>
      <x:c r="I429" s="19"/>
      <x:c r="J429" s="19"/>
      <x:c r="K429" s="19"/>
      <x:c r="L429" s="19"/>
      <x:c r="M429" s="26"/>
      <x:c r="N429" s="19"/>
      <x:c r="O429" s="26"/>
      <x:c r="P429" s="19"/>
      <x:c r="Q429" s="19"/>
    </x:row>
    <x:row r="430">
      <x:c r="A430" s="19"/>
      <x:c r="B430" s="19"/>
      <x:c r="C430" s="19"/>
      <x:c r="D430" s="19"/>
      <x:c r="E430" s="19"/>
      <x:c r="F430" s="19"/>
      <x:c r="G430" s="20"/>
      <x:c r="H430" s="26"/>
      <x:c r="I430" s="19"/>
      <x:c r="J430" s="19"/>
      <x:c r="K430" s="19"/>
      <x:c r="L430" s="19"/>
      <x:c r="M430" s="26"/>
      <x:c r="N430" s="19"/>
      <x:c r="O430" s="26"/>
      <x:c r="P430" s="19"/>
      <x:c r="Q430" s="19"/>
    </x:row>
    <x:row r="431">
      <x:c r="A431" s="19"/>
      <x:c r="B431" s="19"/>
      <x:c r="C431" s="19"/>
      <x:c r="D431" s="19"/>
      <x:c r="E431" s="19"/>
      <x:c r="F431" s="19"/>
      <x:c r="G431" s="20"/>
      <x:c r="H431" s="26"/>
      <x:c r="I431" s="19"/>
      <x:c r="J431" s="19"/>
      <x:c r="K431" s="19"/>
      <x:c r="L431" s="19"/>
      <x:c r="M431" s="26"/>
      <x:c r="N431" s="19"/>
      <x:c r="O431" s="26"/>
      <x:c r="P431" s="19"/>
      <x:c r="Q431" s="19"/>
    </x:row>
    <x:row r="432">
      <x:c r="A432" s="19"/>
      <x:c r="B432" s="19"/>
      <x:c r="C432" s="19"/>
      <x:c r="D432" s="19"/>
      <x:c r="E432" s="19"/>
      <x:c r="F432" s="19"/>
      <x:c r="G432" s="20"/>
      <x:c r="H432" s="26"/>
      <x:c r="I432" s="19"/>
      <x:c r="J432" s="19"/>
      <x:c r="K432" s="19"/>
      <x:c r="L432" s="19"/>
      <x:c r="M432" s="26"/>
      <x:c r="N432" s="19"/>
      <x:c r="O432" s="26"/>
      <x:c r="P432" s="19"/>
      <x:c r="Q432" s="19"/>
    </x:row>
    <x:row r="433">
      <x:c r="A433" s="19"/>
      <x:c r="B433" s="19"/>
      <x:c r="C433" s="19"/>
      <x:c r="D433" s="19"/>
      <x:c r="E433" s="19"/>
      <x:c r="F433" s="19"/>
      <x:c r="G433" s="20"/>
      <x:c r="H433" s="26"/>
      <x:c r="I433" s="19"/>
      <x:c r="J433" s="19"/>
      <x:c r="K433" s="19"/>
      <x:c r="L433" s="19"/>
      <x:c r="M433" s="26"/>
      <x:c r="N433" s="19"/>
      <x:c r="O433" s="26"/>
      <x:c r="P433" s="19"/>
      <x:c r="Q433" s="19"/>
    </x:row>
    <x:row r="434">
      <x:c r="A434" s="19"/>
      <x:c r="B434" s="19"/>
      <x:c r="C434" s="19"/>
      <x:c r="D434" s="19"/>
      <x:c r="E434" s="19"/>
      <x:c r="F434" s="19"/>
      <x:c r="G434" s="20"/>
      <x:c r="H434" s="26"/>
      <x:c r="I434" s="19"/>
      <x:c r="J434" s="19"/>
      <x:c r="K434" s="19"/>
      <x:c r="L434" s="19"/>
      <x:c r="M434" s="26"/>
      <x:c r="N434" s="19"/>
      <x:c r="O434" s="26"/>
      <x:c r="P434" s="19"/>
      <x:c r="Q434" s="19"/>
    </x:row>
    <x:row r="435">
      <x:c r="A435" s="19"/>
      <x:c r="B435" s="19"/>
      <x:c r="C435" s="19"/>
      <x:c r="D435" s="19"/>
      <x:c r="E435" s="19"/>
      <x:c r="F435" s="19"/>
      <x:c r="G435" s="20"/>
      <x:c r="H435" s="26"/>
      <x:c r="I435" s="19"/>
      <x:c r="J435" s="19"/>
      <x:c r="K435" s="19"/>
      <x:c r="L435" s="19"/>
      <x:c r="M435" s="26"/>
      <x:c r="N435" s="19"/>
      <x:c r="O435" s="26"/>
      <x:c r="P435" s="19"/>
      <x:c r="Q435" s="19"/>
    </x:row>
    <x:row r="436">
      <x:c r="A436" s="19"/>
      <x:c r="B436" s="19"/>
      <x:c r="C436" s="19"/>
      <x:c r="D436" s="19"/>
      <x:c r="E436" s="19"/>
      <x:c r="F436" s="19"/>
      <x:c r="G436" s="20"/>
      <x:c r="H436" s="26"/>
      <x:c r="I436" s="19"/>
      <x:c r="J436" s="19"/>
      <x:c r="K436" s="19"/>
      <x:c r="L436" s="19"/>
      <x:c r="M436" s="26"/>
      <x:c r="N436" s="19"/>
      <x:c r="O436" s="26"/>
      <x:c r="P436" s="19"/>
      <x:c r="Q436" s="19"/>
    </x:row>
    <x:row r="437">
      <x:c r="A437" s="19"/>
      <x:c r="B437" s="19"/>
      <x:c r="C437" s="19"/>
      <x:c r="D437" s="19"/>
      <x:c r="E437" s="19"/>
      <x:c r="F437" s="19"/>
      <x:c r="G437" s="20"/>
      <x:c r="H437" s="26"/>
      <x:c r="I437" s="19"/>
      <x:c r="J437" s="19"/>
      <x:c r="K437" s="19"/>
      <x:c r="L437" s="19"/>
      <x:c r="M437" s="26"/>
      <x:c r="N437" s="19"/>
      <x:c r="O437" s="26"/>
      <x:c r="P437" s="19"/>
      <x:c r="Q437" s="19"/>
    </x:row>
    <x:row r="438">
      <x:c r="A438" s="19"/>
      <x:c r="B438" s="19"/>
      <x:c r="C438" s="19"/>
      <x:c r="D438" s="19"/>
      <x:c r="E438" s="19"/>
      <x:c r="F438" s="19"/>
      <x:c r="G438" s="20"/>
      <x:c r="H438" s="26"/>
      <x:c r="I438" s="19"/>
      <x:c r="J438" s="19"/>
      <x:c r="K438" s="19"/>
      <x:c r="L438" s="19"/>
      <x:c r="M438" s="26"/>
      <x:c r="N438" s="19"/>
      <x:c r="O438" s="26"/>
      <x:c r="P438" s="19"/>
      <x:c r="Q438" s="19"/>
    </x:row>
    <x:row r="439">
      <x:c r="A439" s="19"/>
      <x:c r="B439" s="19"/>
      <x:c r="C439" s="19"/>
      <x:c r="D439" s="19"/>
      <x:c r="E439" s="19"/>
      <x:c r="F439" s="19"/>
      <x:c r="G439" s="20"/>
      <x:c r="H439" s="26"/>
      <x:c r="I439" s="19"/>
      <x:c r="J439" s="19"/>
      <x:c r="K439" s="19"/>
      <x:c r="L439" s="19"/>
      <x:c r="M439" s="26"/>
      <x:c r="N439" s="19"/>
      <x:c r="O439" s="26"/>
      <x:c r="P439" s="19"/>
      <x:c r="Q439" s="19"/>
    </x:row>
    <x:row r="440">
      <x:c r="A440" s="19"/>
      <x:c r="B440" s="19"/>
      <x:c r="C440" s="19"/>
      <x:c r="D440" s="19"/>
      <x:c r="E440" s="19"/>
      <x:c r="F440" s="19"/>
      <x:c r="G440" s="20"/>
      <x:c r="H440" s="26"/>
      <x:c r="I440" s="19"/>
      <x:c r="J440" s="19"/>
      <x:c r="K440" s="19"/>
      <x:c r="L440" s="19"/>
      <x:c r="M440" s="26"/>
      <x:c r="N440" s="19"/>
      <x:c r="O440" s="26"/>
      <x:c r="P440" s="19"/>
      <x:c r="Q440" s="19"/>
    </x:row>
    <x:row r="441">
      <x:c r="A441" s="19"/>
      <x:c r="B441" s="19"/>
      <x:c r="C441" s="19"/>
      <x:c r="D441" s="19"/>
      <x:c r="E441" s="19"/>
      <x:c r="F441" s="19"/>
      <x:c r="G441" s="20"/>
      <x:c r="H441" s="26"/>
      <x:c r="I441" s="19"/>
      <x:c r="J441" s="19"/>
      <x:c r="K441" s="19"/>
      <x:c r="L441" s="19"/>
      <x:c r="M441" s="26"/>
      <x:c r="N441" s="19"/>
      <x:c r="O441" s="26"/>
      <x:c r="P441" s="19"/>
      <x:c r="Q441" s="19"/>
    </x:row>
    <x:row r="442">
      <x:c r="A442" s="19"/>
      <x:c r="B442" s="19"/>
      <x:c r="C442" s="19"/>
      <x:c r="D442" s="19"/>
      <x:c r="E442" s="19"/>
      <x:c r="F442" s="19"/>
      <x:c r="G442" s="20"/>
      <x:c r="H442" s="26"/>
      <x:c r="I442" s="19"/>
      <x:c r="J442" s="19"/>
      <x:c r="K442" s="19"/>
      <x:c r="L442" s="19"/>
      <x:c r="M442" s="26"/>
      <x:c r="N442" s="19"/>
      <x:c r="O442" s="26"/>
      <x:c r="P442" s="19"/>
      <x:c r="Q442" s="19"/>
    </x:row>
    <x:row r="443">
      <x:c r="A443" s="19"/>
      <x:c r="B443" s="19"/>
      <x:c r="C443" s="19"/>
      <x:c r="D443" s="19"/>
      <x:c r="E443" s="19"/>
      <x:c r="F443" s="19"/>
      <x:c r="G443" s="20"/>
      <x:c r="H443" s="26"/>
      <x:c r="I443" s="19"/>
      <x:c r="J443" s="19"/>
      <x:c r="K443" s="19"/>
      <x:c r="L443" s="19"/>
      <x:c r="M443" s="26"/>
      <x:c r="N443" s="19"/>
      <x:c r="O443" s="26"/>
      <x:c r="P443" s="19"/>
      <x:c r="Q443" s="19"/>
    </x:row>
    <x:row r="444">
      <x:c r="A444" s="19"/>
      <x:c r="B444" s="19"/>
      <x:c r="C444" s="19"/>
      <x:c r="D444" s="19"/>
      <x:c r="E444" s="19"/>
      <x:c r="F444" s="19"/>
      <x:c r="G444" s="20"/>
      <x:c r="H444" s="26"/>
      <x:c r="I444" s="19"/>
      <x:c r="J444" s="19"/>
      <x:c r="K444" s="19"/>
      <x:c r="L444" s="19"/>
      <x:c r="M444" s="26"/>
      <x:c r="N444" s="19"/>
      <x:c r="O444" s="26"/>
      <x:c r="P444" s="19"/>
      <x:c r="Q444" s="19"/>
    </x:row>
    <x:row r="445">
      <x:c r="A445" s="19"/>
      <x:c r="B445" s="19"/>
      <x:c r="C445" s="19"/>
      <x:c r="D445" s="19"/>
      <x:c r="E445" s="19"/>
      <x:c r="F445" s="19"/>
      <x:c r="G445" s="20"/>
      <x:c r="H445" s="26"/>
      <x:c r="I445" s="19"/>
      <x:c r="J445" s="19"/>
      <x:c r="K445" s="19"/>
      <x:c r="L445" s="19"/>
      <x:c r="M445" s="26"/>
      <x:c r="N445" s="19"/>
      <x:c r="O445" s="26"/>
      <x:c r="P445" s="19"/>
      <x:c r="Q445" s="19"/>
    </x:row>
    <x:row r="446">
      <x:c r="A446" s="19"/>
      <x:c r="B446" s="19"/>
      <x:c r="C446" s="19"/>
      <x:c r="D446" s="19"/>
      <x:c r="E446" s="19"/>
      <x:c r="F446" s="19"/>
      <x:c r="G446" s="20"/>
      <x:c r="H446" s="26"/>
      <x:c r="I446" s="19"/>
      <x:c r="J446" s="19"/>
      <x:c r="K446" s="19"/>
      <x:c r="L446" s="19"/>
      <x:c r="M446" s="26"/>
      <x:c r="N446" s="19"/>
      <x:c r="O446" s="26"/>
      <x:c r="P446" s="19"/>
      <x:c r="Q446" s="19"/>
    </x:row>
    <x:row r="447">
      <x:c r="A447" s="19"/>
      <x:c r="B447" s="19"/>
      <x:c r="C447" s="19"/>
      <x:c r="D447" s="19"/>
      <x:c r="E447" s="19"/>
      <x:c r="F447" s="19"/>
      <x:c r="G447" s="20"/>
      <x:c r="H447" s="26"/>
      <x:c r="I447" s="19"/>
      <x:c r="J447" s="19"/>
      <x:c r="K447" s="19"/>
      <x:c r="L447" s="19"/>
      <x:c r="M447" s="26"/>
      <x:c r="N447" s="19"/>
      <x:c r="O447" s="26"/>
      <x:c r="P447" s="19"/>
      <x:c r="Q447" s="19"/>
    </x:row>
    <x:row r="448">
      <x:c r="A448" s="19"/>
      <x:c r="B448" s="19"/>
      <x:c r="C448" s="19"/>
      <x:c r="D448" s="19"/>
      <x:c r="E448" s="19"/>
      <x:c r="F448" s="19"/>
      <x:c r="G448" s="20"/>
      <x:c r="H448" s="26"/>
      <x:c r="I448" s="19"/>
      <x:c r="J448" s="19"/>
      <x:c r="K448" s="19"/>
      <x:c r="L448" s="19"/>
      <x:c r="M448" s="26"/>
      <x:c r="N448" s="19"/>
      <x:c r="O448" s="26"/>
      <x:c r="P448" s="19"/>
      <x:c r="Q448" s="19"/>
    </x:row>
    <x:row r="449">
      <x:c r="A449" s="19"/>
      <x:c r="B449" s="19"/>
      <x:c r="C449" s="19"/>
      <x:c r="D449" s="19"/>
      <x:c r="E449" s="19"/>
      <x:c r="F449" s="19"/>
      <x:c r="G449" s="20"/>
      <x:c r="H449" s="26"/>
      <x:c r="I449" s="19"/>
      <x:c r="J449" s="19"/>
      <x:c r="K449" s="19"/>
      <x:c r="L449" s="19"/>
      <x:c r="M449" s="26"/>
      <x:c r="N449" s="19"/>
      <x:c r="O449" s="26"/>
      <x:c r="P449" s="19"/>
      <x:c r="Q449" s="19"/>
    </x:row>
    <x:row r="450">
      <x:c r="A450" s="19"/>
      <x:c r="B450" s="19"/>
      <x:c r="C450" s="19"/>
      <x:c r="D450" s="19"/>
      <x:c r="E450" s="19"/>
      <x:c r="F450" s="19"/>
      <x:c r="G450" s="20"/>
      <x:c r="H450" s="26"/>
      <x:c r="I450" s="19"/>
      <x:c r="J450" s="19"/>
      <x:c r="K450" s="19"/>
      <x:c r="L450" s="19"/>
      <x:c r="M450" s="26"/>
      <x:c r="N450" s="19"/>
      <x:c r="O450" s="26"/>
      <x:c r="P450" s="19"/>
      <x:c r="Q450" s="19"/>
    </x:row>
    <x:row r="451">
      <x:c r="A451" s="19"/>
      <x:c r="B451" s="19"/>
      <x:c r="C451" s="19"/>
      <x:c r="D451" s="19"/>
      <x:c r="E451" s="19"/>
      <x:c r="F451" s="19"/>
      <x:c r="G451" s="20"/>
      <x:c r="H451" s="26"/>
      <x:c r="I451" s="19"/>
      <x:c r="J451" s="19"/>
      <x:c r="K451" s="19"/>
      <x:c r="L451" s="19"/>
      <x:c r="M451" s="26"/>
      <x:c r="N451" s="19"/>
      <x:c r="O451" s="26"/>
      <x:c r="P451" s="19"/>
      <x:c r="Q451" s="19"/>
    </x:row>
    <x:row r="452">
      <x:c r="A452" s="19"/>
      <x:c r="B452" s="19"/>
      <x:c r="C452" s="19"/>
      <x:c r="D452" s="19"/>
      <x:c r="E452" s="19"/>
      <x:c r="F452" s="19"/>
      <x:c r="G452" s="20"/>
      <x:c r="H452" s="26"/>
      <x:c r="I452" s="19"/>
      <x:c r="J452" s="19"/>
      <x:c r="K452" s="19"/>
      <x:c r="L452" s="19"/>
      <x:c r="M452" s="26"/>
      <x:c r="N452" s="19"/>
      <x:c r="O452" s="26"/>
      <x:c r="P452" s="19"/>
      <x:c r="Q452" s="19"/>
    </x:row>
    <x:row r="453">
      <x:c r="A453" s="19"/>
      <x:c r="B453" s="19"/>
      <x:c r="C453" s="19"/>
      <x:c r="D453" s="19"/>
      <x:c r="E453" s="19"/>
      <x:c r="F453" s="19"/>
      <x:c r="G453" s="20"/>
      <x:c r="H453" s="26"/>
      <x:c r="I453" s="19"/>
      <x:c r="J453" s="19"/>
      <x:c r="K453" s="19"/>
      <x:c r="L453" s="19"/>
      <x:c r="M453" s="26"/>
      <x:c r="N453" s="19"/>
      <x:c r="O453" s="26"/>
      <x:c r="P453" s="19"/>
      <x:c r="Q453" s="19"/>
    </x:row>
    <x:row r="454">
      <x:c r="A454" s="19"/>
      <x:c r="B454" s="19"/>
      <x:c r="C454" s="19"/>
      <x:c r="D454" s="19"/>
      <x:c r="E454" s="19"/>
      <x:c r="F454" s="19"/>
      <x:c r="G454" s="20"/>
      <x:c r="H454" s="26"/>
      <x:c r="I454" s="19"/>
      <x:c r="J454" s="19"/>
      <x:c r="K454" s="19"/>
      <x:c r="L454" s="19"/>
      <x:c r="M454" s="26"/>
      <x:c r="N454" s="19"/>
      <x:c r="O454" s="26"/>
      <x:c r="P454" s="19"/>
      <x:c r="Q454" s="19"/>
    </x:row>
    <x:row r="455">
      <x:c r="A455" s="19"/>
      <x:c r="B455" s="19"/>
      <x:c r="C455" s="19"/>
      <x:c r="D455" s="19"/>
      <x:c r="E455" s="19"/>
      <x:c r="F455" s="19"/>
      <x:c r="G455" s="20"/>
      <x:c r="H455" s="26"/>
      <x:c r="I455" s="19"/>
      <x:c r="J455" s="19"/>
      <x:c r="K455" s="19"/>
      <x:c r="L455" s="19"/>
      <x:c r="M455" s="26"/>
      <x:c r="N455" s="19"/>
      <x:c r="O455" s="26"/>
      <x:c r="P455" s="19"/>
      <x:c r="Q455" s="19"/>
    </x:row>
    <x:row r="456">
      <x:c r="A456" s="19"/>
      <x:c r="B456" s="19"/>
      <x:c r="C456" s="19"/>
      <x:c r="D456" s="19"/>
      <x:c r="E456" s="19"/>
      <x:c r="F456" s="19"/>
      <x:c r="G456" s="20"/>
      <x:c r="H456" s="26"/>
      <x:c r="I456" s="19"/>
      <x:c r="J456" s="19"/>
      <x:c r="K456" s="19"/>
      <x:c r="L456" s="19"/>
      <x:c r="M456" s="26"/>
      <x:c r="N456" s="19"/>
      <x:c r="O456" s="26"/>
      <x:c r="P456" s="19"/>
      <x:c r="Q456" s="19"/>
    </x:row>
    <x:row r="457">
      <x:c r="A457" s="19"/>
      <x:c r="B457" s="19"/>
      <x:c r="C457" s="19"/>
      <x:c r="D457" s="19"/>
      <x:c r="E457" s="19"/>
      <x:c r="F457" s="19"/>
      <x:c r="G457" s="20"/>
      <x:c r="H457" s="26"/>
      <x:c r="I457" s="19"/>
      <x:c r="J457" s="19"/>
      <x:c r="K457" s="19"/>
      <x:c r="L457" s="19"/>
      <x:c r="M457" s="26"/>
      <x:c r="N457" s="19"/>
      <x:c r="O457" s="26"/>
      <x:c r="P457" s="19"/>
      <x:c r="Q457" s="19"/>
    </x:row>
    <x:row r="458">
      <x:c r="A458" s="19"/>
      <x:c r="B458" s="19"/>
      <x:c r="C458" s="19"/>
      <x:c r="D458" s="19"/>
      <x:c r="E458" s="19"/>
      <x:c r="F458" s="19"/>
      <x:c r="G458" s="20"/>
      <x:c r="H458" s="26"/>
      <x:c r="I458" s="19"/>
      <x:c r="J458" s="19"/>
      <x:c r="K458" s="19"/>
      <x:c r="L458" s="19"/>
      <x:c r="M458" s="26"/>
      <x:c r="N458" s="19"/>
      <x:c r="O458" s="26"/>
      <x:c r="P458" s="19"/>
      <x:c r="Q458" s="19"/>
    </x:row>
    <x:row r="459">
      <x:c r="A459" s="19"/>
      <x:c r="B459" s="19"/>
      <x:c r="C459" s="19"/>
      <x:c r="D459" s="19"/>
      <x:c r="E459" s="19"/>
      <x:c r="F459" s="19"/>
      <x:c r="G459" s="20"/>
      <x:c r="H459" s="26"/>
      <x:c r="I459" s="19"/>
      <x:c r="J459" s="19"/>
      <x:c r="K459" s="19"/>
      <x:c r="L459" s="19"/>
      <x:c r="M459" s="26"/>
      <x:c r="N459" s="19"/>
      <x:c r="O459" s="26"/>
      <x:c r="P459" s="19"/>
      <x:c r="Q459" s="19"/>
    </x:row>
    <x:row r="460">
      <x:c r="A460" s="19"/>
      <x:c r="B460" s="19"/>
      <x:c r="C460" s="19"/>
      <x:c r="D460" s="19"/>
      <x:c r="E460" s="19"/>
      <x:c r="F460" s="19"/>
      <x:c r="G460" s="20"/>
      <x:c r="H460" s="26"/>
      <x:c r="I460" s="19"/>
      <x:c r="J460" s="19"/>
      <x:c r="K460" s="19"/>
      <x:c r="L460" s="19"/>
      <x:c r="M460" s="26"/>
      <x:c r="N460" s="19"/>
      <x:c r="O460" s="26"/>
      <x:c r="P460" s="19"/>
      <x:c r="Q460" s="19"/>
    </x:row>
    <x:row r="461">
      <x:c r="A461" s="19"/>
      <x:c r="B461" s="19"/>
      <x:c r="C461" s="19"/>
      <x:c r="D461" s="19"/>
      <x:c r="E461" s="19"/>
      <x:c r="F461" s="19"/>
      <x:c r="G461" s="20"/>
      <x:c r="H461" s="26"/>
      <x:c r="I461" s="19"/>
      <x:c r="J461" s="19"/>
      <x:c r="K461" s="19"/>
      <x:c r="L461" s="19"/>
      <x:c r="M461" s="26"/>
      <x:c r="N461" s="19"/>
      <x:c r="O461" s="26"/>
      <x:c r="P461" s="19"/>
      <x:c r="Q461" s="19"/>
    </x:row>
    <x:row r="462">
      <x:c r="A462" s="19"/>
      <x:c r="B462" s="19"/>
      <x:c r="C462" s="19"/>
      <x:c r="D462" s="19"/>
      <x:c r="E462" s="19"/>
      <x:c r="F462" s="19"/>
      <x:c r="G462" s="20"/>
      <x:c r="H462" s="26"/>
      <x:c r="I462" s="19"/>
      <x:c r="J462" s="19"/>
      <x:c r="K462" s="19"/>
      <x:c r="L462" s="19"/>
      <x:c r="M462" s="26"/>
      <x:c r="N462" s="19"/>
      <x:c r="O462" s="26"/>
      <x:c r="P462" s="19"/>
      <x:c r="Q462" s="19"/>
    </x:row>
    <x:row r="463">
      <x:c r="A463" s="19"/>
      <x:c r="B463" s="19"/>
      <x:c r="C463" s="19"/>
      <x:c r="D463" s="19"/>
      <x:c r="E463" s="19"/>
      <x:c r="F463" s="19"/>
      <x:c r="G463" s="20"/>
      <x:c r="H463" s="26"/>
      <x:c r="I463" s="19"/>
      <x:c r="J463" s="19"/>
      <x:c r="K463" s="19"/>
      <x:c r="L463" s="19"/>
      <x:c r="M463" s="26"/>
      <x:c r="N463" s="19"/>
      <x:c r="O463" s="26"/>
      <x:c r="P463" s="19"/>
      <x:c r="Q463" s="19"/>
    </x:row>
    <x:row r="464">
      <x:c r="A464" s="19"/>
      <x:c r="B464" s="19"/>
      <x:c r="C464" s="19"/>
      <x:c r="D464" s="19"/>
      <x:c r="E464" s="19"/>
      <x:c r="F464" s="19"/>
      <x:c r="G464" s="20"/>
      <x:c r="H464" s="26"/>
      <x:c r="I464" s="19"/>
      <x:c r="J464" s="19"/>
      <x:c r="K464" s="19"/>
      <x:c r="L464" s="19"/>
      <x:c r="M464" s="26"/>
      <x:c r="N464" s="19"/>
      <x:c r="O464" s="26"/>
      <x:c r="P464" s="19"/>
      <x:c r="Q464" s="19"/>
    </x:row>
    <x:row r="465">
      <x:c r="A465" s="19"/>
      <x:c r="B465" s="19"/>
      <x:c r="C465" s="19"/>
      <x:c r="D465" s="19"/>
      <x:c r="E465" s="19"/>
      <x:c r="F465" s="19"/>
      <x:c r="G465" s="20"/>
      <x:c r="H465" s="26"/>
      <x:c r="I465" s="19"/>
      <x:c r="J465" s="19"/>
      <x:c r="K465" s="19"/>
      <x:c r="L465" s="19"/>
      <x:c r="M465" s="26"/>
      <x:c r="N465" s="19"/>
      <x:c r="O465" s="26"/>
      <x:c r="P465" s="19"/>
      <x:c r="Q465" s="19"/>
    </x:row>
    <x:row r="466">
      <x:c r="A466" s="19"/>
      <x:c r="B466" s="19"/>
      <x:c r="C466" s="19"/>
      <x:c r="D466" s="19"/>
      <x:c r="E466" s="19"/>
      <x:c r="F466" s="19"/>
      <x:c r="G466" s="20"/>
      <x:c r="H466" s="26"/>
      <x:c r="I466" s="19"/>
      <x:c r="J466" s="19"/>
      <x:c r="K466" s="19"/>
      <x:c r="L466" s="19"/>
      <x:c r="M466" s="26"/>
      <x:c r="N466" s="19"/>
      <x:c r="O466" s="26"/>
      <x:c r="P466" s="19"/>
      <x:c r="Q466" s="19"/>
    </x:row>
    <x:row r="467">
      <x:c r="A467" s="19"/>
      <x:c r="B467" s="19"/>
      <x:c r="C467" s="19"/>
      <x:c r="D467" s="19"/>
      <x:c r="E467" s="19"/>
      <x:c r="F467" s="19"/>
      <x:c r="G467" s="20"/>
      <x:c r="H467" s="26"/>
      <x:c r="I467" s="19"/>
      <x:c r="J467" s="19"/>
      <x:c r="K467" s="19"/>
      <x:c r="L467" s="19"/>
      <x:c r="M467" s="26"/>
      <x:c r="N467" s="19"/>
      <x:c r="O467" s="26"/>
      <x:c r="P467" s="19"/>
      <x:c r="Q467" s="19"/>
    </x:row>
    <x:row r="468">
      <x:c r="A468" s="19"/>
      <x:c r="B468" s="19"/>
      <x:c r="C468" s="19"/>
      <x:c r="D468" s="19"/>
      <x:c r="E468" s="19"/>
      <x:c r="F468" s="19"/>
      <x:c r="G468" s="20"/>
      <x:c r="H468" s="26"/>
      <x:c r="I468" s="19"/>
      <x:c r="J468" s="19"/>
      <x:c r="K468" s="19"/>
      <x:c r="L468" s="19"/>
      <x:c r="M468" s="26"/>
      <x:c r="N468" s="19"/>
      <x:c r="O468" s="26"/>
      <x:c r="P468" s="19"/>
      <x:c r="Q468" s="19"/>
    </x:row>
    <x:row r="469">
      <x:c r="A469" s="19"/>
      <x:c r="B469" s="19"/>
      <x:c r="C469" s="19"/>
      <x:c r="D469" s="19"/>
      <x:c r="E469" s="19"/>
      <x:c r="F469" s="19"/>
      <x:c r="G469" s="20"/>
      <x:c r="H469" s="26"/>
      <x:c r="I469" s="19"/>
      <x:c r="J469" s="19"/>
      <x:c r="K469" s="19"/>
      <x:c r="L469" s="19"/>
      <x:c r="M469" s="26"/>
      <x:c r="N469" s="19"/>
      <x:c r="O469" s="26"/>
      <x:c r="P469" s="19"/>
      <x:c r="Q469" s="19"/>
    </x:row>
    <x:row r="470">
      <x:c r="A470" s="19"/>
      <x:c r="B470" s="19"/>
      <x:c r="C470" s="19"/>
      <x:c r="D470" s="19"/>
      <x:c r="E470" s="19"/>
      <x:c r="F470" s="19"/>
      <x:c r="G470" s="20"/>
      <x:c r="H470" s="26"/>
      <x:c r="I470" s="19"/>
      <x:c r="J470" s="19"/>
      <x:c r="K470" s="19"/>
      <x:c r="L470" s="19"/>
      <x:c r="M470" s="26"/>
      <x:c r="N470" s="19"/>
      <x:c r="O470" s="26"/>
      <x:c r="P470" s="19"/>
      <x:c r="Q470" s="19"/>
    </x:row>
    <x:row r="471">
      <x:c r="A471" s="19"/>
      <x:c r="B471" s="19"/>
      <x:c r="C471" s="19"/>
      <x:c r="D471" s="19"/>
      <x:c r="E471" s="19"/>
      <x:c r="F471" s="19"/>
      <x:c r="G471" s="20"/>
      <x:c r="H471" s="26"/>
      <x:c r="I471" s="19"/>
      <x:c r="J471" s="19"/>
      <x:c r="K471" s="19"/>
      <x:c r="L471" s="19"/>
      <x:c r="M471" s="26"/>
      <x:c r="N471" s="19"/>
      <x:c r="O471" s="26"/>
      <x:c r="P471" s="19"/>
      <x:c r="Q471" s="19"/>
    </x:row>
    <x:row r="472">
      <x:c r="A472" s="19"/>
      <x:c r="B472" s="19"/>
      <x:c r="C472" s="19"/>
      <x:c r="D472" s="19"/>
      <x:c r="E472" s="19"/>
      <x:c r="F472" s="19"/>
      <x:c r="G472" s="20"/>
      <x:c r="H472" s="26"/>
      <x:c r="I472" s="19"/>
      <x:c r="J472" s="19"/>
      <x:c r="K472" s="19"/>
      <x:c r="L472" s="19"/>
      <x:c r="M472" s="26"/>
      <x:c r="N472" s="19"/>
      <x:c r="O472" s="26"/>
      <x:c r="P472" s="19"/>
      <x:c r="Q472" s="19"/>
    </x:row>
    <x:row r="473">
      <x:c r="A473" s="19"/>
      <x:c r="B473" s="19"/>
      <x:c r="C473" s="19"/>
      <x:c r="D473" s="19"/>
      <x:c r="E473" s="19"/>
      <x:c r="F473" s="19"/>
      <x:c r="G473" s="20"/>
      <x:c r="H473" s="26"/>
      <x:c r="I473" s="19"/>
      <x:c r="J473" s="19"/>
      <x:c r="K473" s="19"/>
      <x:c r="L473" s="19"/>
      <x:c r="M473" s="26"/>
      <x:c r="N473" s="19"/>
      <x:c r="O473" s="26"/>
      <x:c r="P473" s="19"/>
      <x:c r="Q473" s="19"/>
    </x:row>
    <x:row r="474">
      <x:c r="A474" s="19"/>
      <x:c r="B474" s="19"/>
      <x:c r="C474" s="19"/>
      <x:c r="D474" s="19"/>
      <x:c r="E474" s="19"/>
      <x:c r="F474" s="19"/>
      <x:c r="G474" s="20"/>
      <x:c r="H474" s="26"/>
      <x:c r="I474" s="19"/>
      <x:c r="J474" s="19"/>
      <x:c r="K474" s="19"/>
      <x:c r="L474" s="19"/>
      <x:c r="M474" s="26"/>
      <x:c r="N474" s="19"/>
      <x:c r="O474" s="26"/>
      <x:c r="P474" s="19"/>
      <x:c r="Q474" s="19"/>
    </x:row>
    <x:row r="475">
      <x:c r="A475" s="19"/>
      <x:c r="B475" s="19"/>
      <x:c r="C475" s="19"/>
      <x:c r="D475" s="19"/>
      <x:c r="E475" s="19"/>
      <x:c r="F475" s="19"/>
      <x:c r="G475" s="20"/>
      <x:c r="H475" s="26"/>
      <x:c r="I475" s="19"/>
      <x:c r="J475" s="19"/>
      <x:c r="K475" s="19"/>
      <x:c r="L475" s="19"/>
      <x:c r="M475" s="26"/>
      <x:c r="N475" s="19"/>
      <x:c r="O475" s="26"/>
      <x:c r="P475" s="19"/>
      <x:c r="Q475" s="19"/>
    </x:row>
    <x:row r="476">
      <x:c r="A476" s="19"/>
      <x:c r="B476" s="19"/>
      <x:c r="C476" s="19"/>
      <x:c r="D476" s="19"/>
      <x:c r="E476" s="19"/>
      <x:c r="F476" s="19"/>
      <x:c r="G476" s="20"/>
      <x:c r="H476" s="26"/>
      <x:c r="I476" s="19"/>
      <x:c r="J476" s="19"/>
      <x:c r="K476" s="19"/>
      <x:c r="L476" s="19"/>
      <x:c r="M476" s="26"/>
      <x:c r="N476" s="19"/>
      <x:c r="O476" s="26"/>
      <x:c r="P476" s="19"/>
      <x:c r="Q476" s="19"/>
    </x:row>
    <x:row r="477">
      <x:c r="A477" s="19"/>
      <x:c r="B477" s="19"/>
      <x:c r="C477" s="19"/>
      <x:c r="D477" s="19"/>
      <x:c r="E477" s="19"/>
      <x:c r="F477" s="19"/>
      <x:c r="G477" s="20"/>
      <x:c r="H477" s="26"/>
      <x:c r="I477" s="19"/>
      <x:c r="J477" s="19"/>
      <x:c r="K477" s="19"/>
      <x:c r="L477" s="19"/>
      <x:c r="M477" s="26"/>
      <x:c r="N477" s="19"/>
      <x:c r="O477" s="26"/>
      <x:c r="P477" s="19"/>
      <x:c r="Q477" s="19"/>
    </x:row>
    <x:row r="478">
      <x:c r="A478" s="19"/>
      <x:c r="B478" s="19"/>
      <x:c r="C478" s="19"/>
      <x:c r="D478" s="19"/>
      <x:c r="E478" s="19"/>
      <x:c r="F478" s="19"/>
      <x:c r="G478" s="20"/>
      <x:c r="H478" s="26"/>
      <x:c r="I478" s="19"/>
      <x:c r="J478" s="19"/>
      <x:c r="K478" s="19"/>
      <x:c r="L478" s="19"/>
      <x:c r="M478" s="26"/>
      <x:c r="N478" s="19"/>
      <x:c r="O478" s="26"/>
      <x:c r="P478" s="19"/>
      <x:c r="Q478" s="19"/>
    </x:row>
    <x:row r="479">
      <x:c r="A479" s="19"/>
      <x:c r="B479" s="19"/>
      <x:c r="C479" s="19"/>
      <x:c r="D479" s="19"/>
      <x:c r="E479" s="19"/>
      <x:c r="F479" s="19"/>
      <x:c r="G479" s="20"/>
      <x:c r="H479" s="26"/>
      <x:c r="I479" s="19"/>
      <x:c r="J479" s="19"/>
      <x:c r="K479" s="19"/>
      <x:c r="L479" s="19"/>
      <x:c r="M479" s="26"/>
      <x:c r="N479" s="19"/>
      <x:c r="O479" s="26"/>
      <x:c r="P479" s="19"/>
      <x:c r="Q479" s="19"/>
    </x:row>
    <x:row r="480">
      <x:c r="A480" s="19"/>
      <x:c r="B480" s="19"/>
      <x:c r="C480" s="19"/>
      <x:c r="D480" s="19"/>
      <x:c r="E480" s="19"/>
      <x:c r="F480" s="19"/>
      <x:c r="G480" s="20"/>
      <x:c r="H480" s="26"/>
      <x:c r="I480" s="19"/>
      <x:c r="J480" s="19"/>
      <x:c r="K480" s="19"/>
      <x:c r="L480" s="19"/>
      <x:c r="M480" s="26"/>
      <x:c r="N480" s="19"/>
      <x:c r="O480" s="26"/>
      <x:c r="P480" s="19"/>
      <x:c r="Q480" s="19"/>
    </x:row>
    <x:row r="481">
      <x:c r="A481" s="19"/>
      <x:c r="B481" s="19"/>
      <x:c r="C481" s="19"/>
      <x:c r="D481" s="19"/>
      <x:c r="E481" s="19"/>
      <x:c r="F481" s="19"/>
      <x:c r="G481" s="20"/>
      <x:c r="H481" s="26"/>
      <x:c r="I481" s="19"/>
      <x:c r="J481" s="19"/>
      <x:c r="K481" s="19"/>
      <x:c r="L481" s="19"/>
      <x:c r="M481" s="26"/>
      <x:c r="N481" s="19"/>
      <x:c r="O481" s="26"/>
      <x:c r="P481" s="19"/>
      <x:c r="Q481" s="19"/>
    </x:row>
    <x:row r="482">
      <x:c r="A482" s="19"/>
      <x:c r="B482" s="19"/>
      <x:c r="C482" s="19"/>
      <x:c r="D482" s="19"/>
      <x:c r="E482" s="19"/>
      <x:c r="F482" s="19"/>
      <x:c r="G482" s="20"/>
      <x:c r="H482" s="26"/>
      <x:c r="I482" s="19"/>
      <x:c r="J482" s="19"/>
      <x:c r="K482" s="19"/>
      <x:c r="L482" s="19"/>
      <x:c r="M482" s="26"/>
      <x:c r="N482" s="19"/>
      <x:c r="O482" s="26"/>
      <x:c r="P482" s="19"/>
      <x:c r="Q482" s="19"/>
    </x:row>
    <x:row r="483">
      <x:c r="A483" s="19"/>
      <x:c r="B483" s="19"/>
      <x:c r="C483" s="19"/>
      <x:c r="D483" s="19"/>
      <x:c r="E483" s="19"/>
      <x:c r="F483" s="19"/>
      <x:c r="G483" s="20"/>
      <x:c r="H483" s="26"/>
      <x:c r="I483" s="19"/>
      <x:c r="J483" s="19"/>
      <x:c r="K483" s="19"/>
      <x:c r="L483" s="19"/>
      <x:c r="M483" s="26"/>
      <x:c r="N483" s="19"/>
      <x:c r="O483" s="26"/>
      <x:c r="P483" s="19"/>
      <x:c r="Q483" s="19"/>
    </x:row>
    <x:row r="484">
      <x:c r="A484" s="19"/>
      <x:c r="B484" s="19"/>
      <x:c r="C484" s="19"/>
      <x:c r="D484" s="19"/>
      <x:c r="E484" s="19"/>
      <x:c r="F484" s="19"/>
      <x:c r="G484" s="20"/>
      <x:c r="H484" s="26"/>
      <x:c r="I484" s="19"/>
      <x:c r="J484" s="19"/>
      <x:c r="K484" s="19"/>
      <x:c r="L484" s="19"/>
      <x:c r="M484" s="26"/>
      <x:c r="N484" s="19"/>
      <x:c r="O484" s="26"/>
      <x:c r="P484" s="19"/>
      <x:c r="Q484" s="19"/>
    </x:row>
    <x:row r="485">
      <x:c r="A485" s="19"/>
      <x:c r="B485" s="19"/>
      <x:c r="C485" s="19"/>
      <x:c r="D485" s="19"/>
      <x:c r="E485" s="19"/>
      <x:c r="F485" s="19"/>
      <x:c r="G485" s="20"/>
      <x:c r="H485" s="26"/>
      <x:c r="I485" s="19"/>
      <x:c r="J485" s="19"/>
      <x:c r="K485" s="19"/>
      <x:c r="L485" s="19"/>
      <x:c r="M485" s="26"/>
      <x:c r="N485" s="19"/>
      <x:c r="O485" s="26"/>
      <x:c r="P485" s="19"/>
      <x:c r="Q485" s="19"/>
    </x:row>
    <x:row r="486">
      <x:c r="A486" s="19"/>
      <x:c r="B486" s="19"/>
      <x:c r="C486" s="19"/>
      <x:c r="D486" s="19"/>
      <x:c r="E486" s="19"/>
      <x:c r="F486" s="19"/>
      <x:c r="G486" s="20"/>
      <x:c r="H486" s="26"/>
      <x:c r="I486" s="19"/>
      <x:c r="J486" s="19"/>
      <x:c r="K486" s="19"/>
      <x:c r="L486" s="19"/>
      <x:c r="M486" s="26"/>
      <x:c r="N486" s="19"/>
      <x:c r="O486" s="26"/>
      <x:c r="P486" s="19"/>
      <x:c r="Q486" s="19"/>
    </x:row>
    <x:row r="487">
      <x:c r="A487" s="19"/>
      <x:c r="B487" s="19"/>
      <x:c r="C487" s="19"/>
      <x:c r="D487" s="19"/>
      <x:c r="E487" s="19"/>
      <x:c r="F487" s="19"/>
      <x:c r="G487" s="20"/>
      <x:c r="H487" s="26"/>
      <x:c r="I487" s="19"/>
      <x:c r="J487" s="19"/>
      <x:c r="K487" s="19"/>
      <x:c r="L487" s="19"/>
      <x:c r="M487" s="26"/>
      <x:c r="N487" s="19"/>
      <x:c r="O487" s="26"/>
      <x:c r="P487" s="19"/>
      <x:c r="Q487" s="19"/>
    </x:row>
    <x:row r="488">
      <x:c r="A488" s="19"/>
      <x:c r="B488" s="19"/>
      <x:c r="C488" s="19"/>
      <x:c r="D488" s="19"/>
      <x:c r="E488" s="19"/>
      <x:c r="F488" s="19"/>
      <x:c r="G488" s="20"/>
      <x:c r="H488" s="26"/>
      <x:c r="I488" s="19"/>
      <x:c r="J488" s="19"/>
      <x:c r="K488" s="19"/>
      <x:c r="L488" s="19"/>
      <x:c r="M488" s="26"/>
      <x:c r="N488" s="19"/>
      <x:c r="O488" s="26"/>
      <x:c r="P488" s="19"/>
      <x:c r="Q488" s="19"/>
    </x:row>
    <x:row r="489">
      <x:c r="A489" s="19"/>
      <x:c r="B489" s="19"/>
      <x:c r="C489" s="19"/>
      <x:c r="D489" s="19"/>
      <x:c r="E489" s="19"/>
      <x:c r="F489" s="19"/>
      <x:c r="G489" s="20"/>
      <x:c r="H489" s="26"/>
      <x:c r="I489" s="19"/>
      <x:c r="J489" s="19"/>
      <x:c r="K489" s="19"/>
      <x:c r="L489" s="19"/>
      <x:c r="M489" s="26"/>
      <x:c r="N489" s="19"/>
      <x:c r="O489" s="26"/>
      <x:c r="P489" s="19"/>
      <x:c r="Q489" s="19"/>
    </x:row>
    <x:row r="490">
      <x:c r="A490" s="19"/>
      <x:c r="B490" s="19"/>
      <x:c r="C490" s="19"/>
      <x:c r="D490" s="19"/>
      <x:c r="E490" s="19"/>
      <x:c r="F490" s="19"/>
      <x:c r="G490" s="20"/>
      <x:c r="H490" s="26"/>
      <x:c r="I490" s="19"/>
      <x:c r="J490" s="19"/>
      <x:c r="K490" s="19"/>
      <x:c r="L490" s="19"/>
      <x:c r="M490" s="26"/>
      <x:c r="N490" s="19"/>
      <x:c r="O490" s="26"/>
      <x:c r="P490" s="19"/>
      <x:c r="Q490" s="19"/>
    </x:row>
    <x:row r="491">
      <x:c r="A491" s="19"/>
      <x:c r="B491" s="19"/>
      <x:c r="C491" s="19"/>
      <x:c r="D491" s="19"/>
      <x:c r="E491" s="19"/>
      <x:c r="F491" s="19"/>
      <x:c r="G491" s="20"/>
      <x:c r="H491" s="26"/>
      <x:c r="I491" s="19"/>
      <x:c r="J491" s="19"/>
      <x:c r="K491" s="19"/>
      <x:c r="L491" s="19"/>
      <x:c r="M491" s="26"/>
      <x:c r="N491" s="19"/>
      <x:c r="O491" s="26"/>
      <x:c r="P491" s="19"/>
      <x:c r="Q491" s="19"/>
    </x:row>
    <x:row r="492">
      <x:c r="A492" s="19"/>
      <x:c r="B492" s="19"/>
      <x:c r="C492" s="19"/>
      <x:c r="D492" s="19"/>
      <x:c r="E492" s="19"/>
      <x:c r="F492" s="19"/>
      <x:c r="G492" s="20"/>
      <x:c r="H492" s="26"/>
      <x:c r="I492" s="19"/>
      <x:c r="J492" s="19"/>
      <x:c r="K492" s="19"/>
      <x:c r="L492" s="19"/>
      <x:c r="M492" s="26"/>
      <x:c r="N492" s="19"/>
      <x:c r="O492" s="26"/>
      <x:c r="P492" s="19"/>
      <x:c r="Q492" s="19"/>
    </x:row>
    <x:row r="493">
      <x:c r="A493" s="19"/>
      <x:c r="B493" s="19"/>
      <x:c r="C493" s="19"/>
      <x:c r="D493" s="19"/>
      <x:c r="E493" s="19"/>
      <x:c r="F493" s="19"/>
      <x:c r="G493" s="20"/>
      <x:c r="H493" s="26"/>
      <x:c r="I493" s="19"/>
      <x:c r="J493" s="19"/>
      <x:c r="K493" s="19"/>
      <x:c r="L493" s="19"/>
      <x:c r="M493" s="26"/>
      <x:c r="N493" s="19"/>
      <x:c r="O493" s="26"/>
      <x:c r="P493" s="19"/>
      <x:c r="Q493" s="19"/>
    </x:row>
    <x:row r="494">
      <x:c r="A494" s="19"/>
      <x:c r="B494" s="19"/>
      <x:c r="C494" s="19"/>
      <x:c r="D494" s="19"/>
      <x:c r="E494" s="19"/>
      <x:c r="F494" s="19"/>
      <x:c r="G494" s="20"/>
      <x:c r="H494" s="26"/>
      <x:c r="I494" s="19"/>
      <x:c r="J494" s="19"/>
      <x:c r="K494" s="19"/>
      <x:c r="L494" s="19"/>
      <x:c r="M494" s="26"/>
      <x:c r="N494" s="19"/>
      <x:c r="O494" s="26"/>
      <x:c r="P494" s="19"/>
      <x:c r="Q494" s="19"/>
    </x:row>
    <x:row r="495">
      <x:c r="A495" s="19"/>
      <x:c r="B495" s="19"/>
      <x:c r="C495" s="19"/>
      <x:c r="D495" s="19"/>
      <x:c r="E495" s="19"/>
      <x:c r="F495" s="19"/>
      <x:c r="G495" s="20"/>
      <x:c r="H495" s="26"/>
      <x:c r="I495" s="19"/>
      <x:c r="J495" s="19"/>
      <x:c r="K495" s="19"/>
      <x:c r="L495" s="19"/>
      <x:c r="M495" s="26"/>
      <x:c r="N495" s="19"/>
      <x:c r="O495" s="26"/>
      <x:c r="P495" s="19"/>
      <x:c r="Q495" s="19"/>
    </x:row>
    <x:row r="496">
      <x:c r="A496" s="19"/>
      <x:c r="B496" s="19"/>
      <x:c r="C496" s="19"/>
      <x:c r="D496" s="19"/>
      <x:c r="E496" s="19"/>
      <x:c r="F496" s="19"/>
      <x:c r="G496" s="20"/>
      <x:c r="H496" s="26"/>
      <x:c r="I496" s="19"/>
      <x:c r="J496" s="19"/>
      <x:c r="K496" s="19"/>
      <x:c r="L496" s="19"/>
      <x:c r="M496" s="26"/>
      <x:c r="N496" s="19"/>
      <x:c r="O496" s="26"/>
      <x:c r="P496" s="19"/>
      <x:c r="Q496" s="19"/>
    </x:row>
    <x:row r="497">
      <x:c r="A497" s="19"/>
      <x:c r="B497" s="19"/>
      <x:c r="C497" s="19"/>
      <x:c r="D497" s="19"/>
      <x:c r="E497" s="19"/>
      <x:c r="F497" s="19"/>
      <x:c r="G497" s="20"/>
      <x:c r="H497" s="26"/>
      <x:c r="I497" s="19"/>
      <x:c r="J497" s="19"/>
      <x:c r="K497" s="19"/>
      <x:c r="L497" s="19"/>
      <x:c r="M497" s="26"/>
      <x:c r="N497" s="19"/>
      <x:c r="O497" s="26"/>
      <x:c r="P497" s="19"/>
      <x:c r="Q497" s="19"/>
    </x:row>
    <x:row r="498">
      <x:c r="A498" s="19"/>
      <x:c r="B498" s="19"/>
      <x:c r="C498" s="19"/>
      <x:c r="D498" s="19"/>
      <x:c r="E498" s="19"/>
      <x:c r="F498" s="19"/>
      <x:c r="G498" s="20"/>
      <x:c r="H498" s="26"/>
      <x:c r="I498" s="19"/>
      <x:c r="J498" s="19"/>
      <x:c r="K498" s="19"/>
      <x:c r="L498" s="19"/>
      <x:c r="M498" s="26"/>
      <x:c r="N498" s="19"/>
      <x:c r="O498" s="26"/>
      <x:c r="P498" s="19"/>
      <x:c r="Q498" s="19"/>
    </x:row>
    <x:row r="499">
      <x:c r="A499" s="19"/>
      <x:c r="B499" s="19"/>
      <x:c r="C499" s="19"/>
      <x:c r="D499" s="19"/>
      <x:c r="E499" s="19"/>
      <x:c r="F499" s="19"/>
      <x:c r="G499" s="20"/>
      <x:c r="H499" s="26"/>
      <x:c r="I499" s="19"/>
      <x:c r="J499" s="19"/>
      <x:c r="K499" s="19"/>
      <x:c r="L499" s="19"/>
      <x:c r="M499" s="26"/>
      <x:c r="N499" s="19"/>
      <x:c r="O499" s="26"/>
      <x:c r="P499" s="19"/>
      <x:c r="Q499" s="19"/>
    </x:row>
    <x:row r="500">
      <x:c r="A500" s="19"/>
      <x:c r="B500" s="19"/>
      <x:c r="C500" s="19"/>
      <x:c r="D500" s="19"/>
      <x:c r="E500" s="19"/>
      <x:c r="F500" s="19"/>
      <x:c r="G500" s="20"/>
      <x:c r="H500" s="26"/>
      <x:c r="I500" s="19"/>
      <x:c r="J500" s="19"/>
      <x:c r="K500" s="19"/>
      <x:c r="L500" s="19"/>
      <x:c r="M500" s="26"/>
      <x:c r="N500" s="19"/>
      <x:c r="O500" s="26"/>
      <x:c r="P500" s="19"/>
      <x:c r="Q500" s="19"/>
    </x:row>
  </x:sheetData>
  <x:conditionalFormatting sqref="C2:C500">
    <x:cfRule type="expression" dxfId="13" priority="1">
      <x:formula>AND($A2&lt;&gt;"",C2="")</x:formula>
    </x:cfRule>
  </x:conditionalFormatting>
  <x:conditionalFormatting sqref="F2:F500">
    <x:cfRule type="expression" dxfId="14" priority="2">
      <x:formula>AND($A2&lt;&gt;"",F2="")</x:formula>
    </x:cfRule>
  </x:conditionalFormatting>
  <x:conditionalFormatting sqref="H2:H500">
    <x:cfRule type="expression" dxfId="15" priority="3">
      <x:formula>AND($A2&lt;&gt;"",H2="")</x:formula>
    </x:cfRule>
  </x:conditionalFormatting>
  <x:conditionalFormatting sqref="I2:I500">
    <x:cfRule type="expression" dxfId="16" priority="4">
      <x:formula>AND($A2&lt;&gt;"",I2="")</x:formula>
    </x:cfRule>
  </x:conditionalFormatting>
  <x:conditionalFormatting sqref="J2:J500">
    <x:cfRule type="expression" dxfId="17" priority="5">
      <x:formula>AND($A2&lt;&gt;"",J2="")</x:formula>
    </x:cfRule>
  </x:conditionalFormatting>
  <x:conditionalFormatting sqref="M2:M500">
    <x:cfRule type="expression" dxfId="18" priority="6">
      <x:formula>AND($A2&lt;&gt;"",M2="")</x:formula>
    </x:cfRule>
  </x:conditionalFormatting>
  <x:conditionalFormatting sqref="N2:N500">
    <x:cfRule type="expression" dxfId="19" priority="7">
      <x:formula>AND($A2&lt;&gt;"",N2="")</x:formula>
    </x:cfRule>
  </x:conditionalFormatting>
  <x:conditionalFormatting sqref="O2:O500">
    <x:cfRule type="expression" dxfId="20" priority="8">
      <x:formula>AND($A2&lt;&gt;"",O2="")</x:formula>
    </x:cfRule>
  </x:conditionalFormatting>
  <x:conditionalFormatting sqref="P2:P500">
    <x:cfRule type="expression" dxfId="21" priority="9">
      <x:formula>AND($A2&lt;&gt;"",P2="")</x:formula>
    </x:cfRule>
  </x:conditionalFormatting>
  <x:conditionalFormatting sqref="Q2:Q500">
    <x:cfRule type="expression" dxfId="22" priority="10">
      <x:formula>AND($A2&lt;&gt;"",Q2="")</x:formula>
    </x:cfRule>
  </x:conditionalFormatting>
  <x:dataValidations count="2">
    <x:dataValidation type="list" sqref="J2:J500">
      <x:formula1>"new,qualified,unqualified,converted"</x:formula1>
    </x:dataValidation>
    <x:dataValidation type="list" sqref="Q2:Q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d8c13334c34d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4" hidden="0" customWidth="1"/>
    <x:col min="10" max="10" width="20" hidden="0" customWidth="1"/>
    <x:col min="11" max="11" width="28" hidden="0" customWidth="1"/>
    <x:col min="12" max="12" width="19" hidden="0" customWidth="1"/>
    <x:col min="13" max="13" width="18" hidden="0" customWidth="1"/>
    <x:col min="14" max="14" width="19" hidden="0" customWidth="1"/>
    <x:col min="15" max="15" width="18" hidden="0" customWidth="1"/>
    <x:col min="16" max="16" width="19" hidden="0" customWidth="1"/>
    <x:col min="17" max="17" width="18" hidden="0" customWidth="1"/>
    <x:col min="18" max="18" width="19" hidden="0" customWidth="1"/>
    <x:col min="19" max="19" width="18" hidden="0" customWidth="1"/>
    <x:col min="20" max="20" width="12" hidden="0" customWidth="1"/>
  </x:cols>
  <x:sheetData>
    <x:row r="1" ht="46" customHeight="1">
      <x:c r="A1" s="12" t="str">
        <x:v>شناسه فرصت *
(opportunity_id)</x:v>
      </x:c>
      <x:c r="B1" s="13" t="str">
        <x:v>مشتری *
(customer_id)</x:v>
      </x:c>
      <x:c r="C1" s="13" t="str">
        <x:v>استعلام اولیه
(lead_id)</x:v>
      </x:c>
      <x:c r="D1" s="13" t="str">
        <x:v>عنوان فرصت *
(title)</x:v>
      </x:c>
      <x:c r="E1" s="13" t="str">
        <x:v>فرایند *
(pipeline_id)</x:v>
      </x:c>
      <x:c r="F1" s="13" t="str">
        <x:v>مرحله قیف *
(stage_code)</x:v>
      </x:c>
      <x:c r="G1" s="13" t="str">
        <x:v>مسئول *
(owner_user_id)</x:v>
      </x:c>
      <x:c r="H1" s="13" t="str">
        <x:v>ارزش احتمالی (ریال)
(expected_value)</x:v>
      </x:c>
      <x:c r="I1" s="13" t="str">
        <x:v>احتمال برد
(probability)</x:v>
      </x:c>
      <x:c r="J1" s="13" t="str">
        <x:v>تاریخ پایان مورد انتظار
(expected_close_at)</x:v>
      </x:c>
      <x:c r="K1" s="13" t="str">
        <x:v>اقدام بعدی *
(next_action)</x:v>
      </x:c>
      <x:c r="L1" s="13" t="str">
        <x:v>پیگیری بعدی *
(next_followup_at)</x:v>
      </x:c>
      <x:c r="M1" s="13" t="str">
        <x:v>دلیل باخت
(lost_reason_code)</x:v>
      </x:c>
      <x:c r="N1" s="13" t="str">
        <x:v>زمان بسته‌شدن
(closed_at)</x:v>
      </x:c>
      <x:c r="O1" s="13" t="str">
        <x:v>آخرین پیش‌فاکتور
(quotation_id)</x:v>
      </x:c>
      <x:c r="P1" s="13" t="str">
        <x:v>زمان ایجاد *
(created_at)</x:v>
      </x:c>
      <x:c r="Q1" s="13" t="str">
        <x:v>ایجادکننده *
(created_by)</x:v>
      </x:c>
      <x:c r="R1" s="13" t="str">
        <x:v>آخرین تغییر *
(updated_at)</x:v>
      </x:c>
      <x:c r="S1" s="13" t="str">
        <x:v>تغییردهنده *
(updated_by)</x:v>
      </x:c>
      <x:c r="T1" s="14" t="str">
        <x:v>حذف نرم *
(is_deleted)</x:v>
      </x:c>
    </x:row>
    <x:row r="2">
      <x:c r="A2" s="28" t="str">
        <x:v>opp_001</x:v>
      </x:c>
      <x:c r="B2" s="29" t="str">
        <x:v>cus_001</x:v>
      </x:c>
      <x:c r="C2" s="29" t="str">
        <x:v>lead_001</x:v>
      </x:c>
      <x:c r="D2" s="29" t="str">
        <x:v>۲۰ واحد محصول A</x:v>
      </x:c>
      <x:c r="E2" s="29" t="str">
        <x:v>retail_default</x:v>
      </x:c>
      <x:c r="F2" s="29" t="str">
        <x:v>quote_sent</x:v>
      </x:c>
      <x:c r="G2" s="29" t="str">
        <x:v>usr_sara</x:v>
      </x:c>
      <x:c r="H2" s="32" t="n">
        <x:v>520000000</x:v>
      </x:c>
      <x:c r="I2" s="109" t="n">
        <x:f>IF($A2="","",SUMIFS('PipelineStages'!$E$2:$E$100,'PipelineStages'!$A$2:$A$100,$E2,'PipelineStages'!$B$2:$B$100,$F2))</x:f>
        <x:v>0.55</x:v>
      </x:c>
      <x:c r="J2" s="31" t="n">
        <x:v>46221</x:v>
      </x:c>
      <x:c r="K2" s="29" t="str">
        <x:v>تأیید دریافت پیش‌فاکتور</x:v>
      </x:c>
      <x:c r="L2" s="97" t="n">
        <x:f>IF($A2="","",IF(COUNTIFS('FollowUps'!$C$2:$C$500,$A2,'FollowUps'!$H$2:$H$500,"open")=0,"",MINIFS('FollowUps'!$E$2:$E$500,'FollowUps'!$C$2:$C$500,$A2,'FollowUps'!$H$2:$H$500,"open")))</x:f>
        <x:v>46216.270833333336</x:v>
      </x:c>
      <x:c r="M2" s="29" t="str"/>
      <x:c r="N2" s="33"/>
      <x:c r="O2" s="29" t="str">
        <x:v>quo_001</x:v>
      </x:c>
      <x:c r="P2" s="33" t="n">
        <x:v>46212.270833333336</x:v>
      </x:c>
      <x:c r="Q2" s="29" t="str">
        <x:v>usr_sara</x:v>
      </x:c>
      <x:c r="R2" s="33" t="n">
        <x:v>46215.229166666664</x:v>
      </x:c>
      <x:c r="S2" s="29" t="str">
        <x:v>usr_sara</x:v>
      </x:c>
      <x:c r="T2" s="55" t="b">
        <x:v>0</x:v>
      </x:c>
    </x:row>
    <x:row r="3">
      <x:c r="A3" s="37" t="str">
        <x:v>opp_002</x:v>
      </x:c>
      <x:c r="B3" s="38" t="str">
        <x:v>cus_002</x:v>
      </x:c>
      <x:c r="C3" s="38" t="str">
        <x:v>lead_002</x:v>
      </x:c>
      <x:c r="D3" s="38" t="str">
        <x:v>خرید محصول B</x:v>
      </x:c>
      <x:c r="E3" s="38" t="str">
        <x:v>retail_default</x:v>
      </x:c>
      <x:c r="F3" s="38" t="str">
        <x:v>needs_analysis</x:v>
      </x:c>
      <x:c r="G3" s="38" t="str">
        <x:v>usr_ali</x:v>
      </x:c>
      <x:c r="H3" s="41" t="n">
        <x:v>80000000</x:v>
      </x:c>
      <x:c r="I3" s="110" t="n">
        <x:f>IF($A3="","",SUMIFS('PipelineStages'!$E$2:$E$100,'PipelineStages'!$A$2:$A$100,$E3,'PipelineStages'!$B$2:$B$100,$F3))</x:f>
        <x:v>0.35</x:v>
      </x:c>
      <x:c r="J3" s="40" t="n">
        <x:v>46223</x:v>
      </x:c>
      <x:c r="K3" s="38" t="str">
        <x:v>دریافت رنگ و تعداد</x:v>
      </x:c>
      <x:c r="L3" s="98" t="n">
        <x:f>IF($A3="","",IF(COUNTIFS('FollowUps'!$C$2:$C$500,$A3,'FollowUps'!$H$2:$H$500,"open")=0,"",MINIFS('FollowUps'!$E$2:$E$500,'FollowUps'!$C$2:$C$500,$A3,'FollowUps'!$H$2:$H$500,"open")))</x:f>
        <x:v>46215.5</x:v>
      </x:c>
      <x:c r="M3" s="38"/>
      <x:c r="N3" s="42"/>
      <x:c r="O3" s="38"/>
      <x:c r="P3" s="42" t="n">
        <x:v>46213.506944444445</x:v>
      </x:c>
      <x:c r="Q3" s="38" t="str">
        <x:v>usr_ali</x:v>
      </x:c>
      <x:c r="R3" s="42" t="n">
        <x:v>46215.229166666664</x:v>
      </x:c>
      <x:c r="S3" s="38" t="str">
        <x:v>usr_ali</x:v>
      </x:c>
      <x:c r="T3" s="56" t="b">
        <x:v>0</x:v>
      </x:c>
    </x:row>
    <x:row r="4">
      <x:c r="A4" s="37" t="str">
        <x:v>opp_003</x:v>
      </x:c>
      <x:c r="B4" s="38" t="str">
        <x:v>cus_003</x:v>
      </x:c>
      <x:c r="C4" s="38" t="str">
        <x:v>lead_003</x:v>
      </x:c>
      <x:c r="D4" s="38" t="str">
        <x:v>تمدید سفارش ماهانه</x:v>
      </x:c>
      <x:c r="E4" s="38" t="str">
        <x:v>retail_default</x:v>
      </x:c>
      <x:c r="F4" s="38" t="str">
        <x:v>negotiation</x:v>
      </x:c>
      <x:c r="G4" s="38" t="str">
        <x:v>usr_sara</x:v>
      </x:c>
      <x:c r="H4" s="41" t="n">
        <x:v>900000000</x:v>
      </x:c>
      <x:c r="I4" s="110" t="n">
        <x:f>IF($A4="","",SUMIFS('PipelineStages'!$E$2:$E$100,'PipelineStages'!$A$2:$A$100,$E4,'PipelineStages'!$B$2:$B$100,$F4))</x:f>
        <x:v>0.8</x:v>
      </x:c>
      <x:c r="J4" s="40" t="n">
        <x:v>46218</x:v>
      </x:c>
      <x:c r="K4" s="38" t="str">
        <x:v>نهایی‌سازی شرایط پرداخت</x:v>
      </x:c>
      <x:c r="L4" s="98" t="n">
        <x:f>IF($A4="","",IF(COUNTIFS('FollowUps'!$C$2:$C$500,$A4,'FollowUps'!$H$2:$H$500,"open")=0,"",MINIFS('FollowUps'!$E$2:$E$500,'FollowUps'!$C$2:$C$500,$A4,'FollowUps'!$H$2:$H$500,"open")))</x:f>
        <x:v>46215.354166666664</x:v>
      </x:c>
      <x:c r="M4" s="38"/>
      <x:c r="N4" s="42"/>
      <x:c r="O4" s="38" t="str">
        <x:v>quo_002</x:v>
      </x:c>
      <x:c r="P4" s="42" t="n">
        <x:v>46208.229166666664</x:v>
      </x:c>
      <x:c r="Q4" s="38" t="str">
        <x:v>usr_sara</x:v>
      </x:c>
      <x:c r="R4" s="42" t="n">
        <x:v>46215.229166666664</x:v>
      </x:c>
      <x:c r="S4" s="38" t="str">
        <x:v>usr_sara</x:v>
      </x:c>
      <x:c r="T4" s="56" t="b">
        <x:v>0</x:v>
      </x:c>
    </x:row>
    <x:row r="5">
      <x:c r="A5" s="37" t="str">
        <x:v>opp_004</x:v>
      </x:c>
      <x:c r="B5" s="38" t="str">
        <x:v>cus_004</x:v>
      </x:c>
      <x:c r="C5" s="38" t="str">
        <x:v>lead_004</x:v>
      </x:c>
      <x:c r="D5" s="38" t="str">
        <x:v>محصول C فوری</x:v>
      </x:c>
      <x:c r="E5" s="38" t="str">
        <x:v>retail_default</x:v>
      </x:c>
      <x:c r="F5" s="38" t="str">
        <x:v>won</x:v>
      </x:c>
      <x:c r="G5" s="38" t="str">
        <x:v>usr_ali</x:v>
      </x:c>
      <x:c r="H5" s="41" t="n">
        <x:v>120000000</x:v>
      </x:c>
      <x:c r="I5" s="110" t="n">
        <x:f>IF($A5="","",SUMIFS('PipelineStages'!$E$2:$E$100,'PipelineStages'!$A$2:$A$100,$E5,'PipelineStages'!$B$2:$B$100,$F5))</x:f>
        <x:v>1</x:v>
      </x:c>
      <x:c r="J5" s="40" t="n">
        <x:v>46195</x:v>
      </x:c>
      <x:c r="K5" s="38" t="str">
        <x:v>پیگیری رضایت</x:v>
      </x:c>
      <x:c r="L5" s="98" t="str">
        <x:f>IF($A5="","",IF(COUNTIFS('FollowUps'!$C$2:$C$500,$A5,'FollowUps'!$H$2:$H$500,"open")=0,"",MINIFS('FollowUps'!$E$2:$E$500,'FollowUps'!$C$2:$C$500,$A5,'FollowUps'!$H$2:$H$500,"open")))</x:f>
      </x:c>
      <x:c r="M5" s="38"/>
      <x:c r="N5" s="42" t="n">
        <x:v>46194.520833333336</x:v>
      </x:c>
      <x:c r="O5" s="38" t="str">
        <x:v>quo_003</x:v>
      </x:c>
      <x:c r="P5" s="42" t="n">
        <x:v>46193.319444444445</x:v>
      </x:c>
      <x:c r="Q5" s="38" t="str">
        <x:v>usr_ali</x:v>
      </x:c>
      <x:c r="R5" s="42" t="n">
        <x:v>46215.229166666664</x:v>
      </x:c>
      <x:c r="S5" s="38" t="str">
        <x:v>usr_ali</x:v>
      </x:c>
      <x:c r="T5" s="56" t="b">
        <x:v>0</x:v>
      </x:c>
    </x:row>
    <x:row r="6">
      <x:c r="A6" s="46" t="str">
        <x:v>opp_005</x:v>
      </x:c>
      <x:c r="B6" s="47" t="str">
        <x:v>cus_005</x:v>
      </x:c>
      <x:c r="C6" s="47" t="str">
        <x:v>lead_005</x:v>
      </x:c>
      <x:c r="D6" s="47" t="str">
        <x:v>استعلام محصول A</x:v>
      </x:c>
      <x:c r="E6" s="47" t="str">
        <x:v>retail_default</x:v>
      </x:c>
      <x:c r="F6" s="47" t="str">
        <x:v>lost</x:v>
      </x:c>
      <x:c r="G6" s="47" t="str">
        <x:v>usr_sara</x:v>
      </x:c>
      <x:c r="H6" s="50" t="n">
        <x:v>210000000</x:v>
      </x:c>
      <x:c r="I6" s="111" t="n">
        <x:f>IF($A6="","",SUMIFS('PipelineStages'!$E$2:$E$100,'PipelineStages'!$A$2:$A$100,$E6,'PipelineStages'!$B$2:$B$100,$F6))</x:f>
        <x:v>0</x:v>
      </x:c>
      <x:c r="J6" s="49" t="n">
        <x:v>46198</x:v>
      </x:c>
      <x:c r="K6" s="47" t="str">
        <x:v>بازفعال‌سازی ۳۰ روزه</x:v>
      </x:c>
      <x:c r="L6" s="99" t="n">
        <x:f>IF($A6="","",IF(COUNTIFS('FollowUps'!$C$2:$C$500,$A6,'FollowUps'!$H$2:$H$500,"open")=0,"",MINIFS('FollowUps'!$E$2:$E$500,'FollowUps'!$C$2:$C$500,$A6,'FollowUps'!$H$2:$H$500,"open")))</x:f>
        <x:v>46233.3125</x:v>
      </x:c>
      <x:c r="M6" s="47" t="str">
        <x:v>no_response</x:v>
      </x:c>
      <x:c r="N6" s="51" t="n">
        <x:v>46203.354166666664</x:v>
      </x:c>
      <x:c r="O6" s="47"/>
      <x:c r="P6" s="51" t="n">
        <x:v>46188.444444444445</x:v>
      </x:c>
      <x:c r="Q6" s="47" t="str">
        <x:v>usr_sara</x:v>
      </x:c>
      <x:c r="R6" s="51" t="n">
        <x:v>46215.229166666664</x:v>
      </x:c>
      <x:c r="S6" s="47" t="str">
        <x:v>usr_sara</x:v>
      </x:c>
      <x:c r="T6" s="57" t="b">
        <x:v>0</x:v>
      </x:c>
    </x:row>
    <x:row r="7">
      <x:c r="A7" s="19"/>
      <x:c r="B7" s="19"/>
      <x:c r="C7" s="19"/>
      <x:c r="D7" s="19"/>
      <x:c r="E7" s="19"/>
      <x:c r="F7" s="19"/>
      <x:c r="G7" s="19"/>
      <x:c r="H7" s="25"/>
      <x:c r="I7" s="112" t="str">
        <x:f>IF($A7="","",SUMIFS('PipelineStages'!$E$2:$E$100,'PipelineStages'!$A$2:$A$100,$E7,'PipelineStages'!$B$2:$B$100,$F7))</x:f>
      </x:c>
      <x:c r="J7" s="24"/>
      <x:c r="K7" s="19"/>
      <x:c r="L7" s="100" t="str">
        <x:f>IF($A7="","",IF(COUNTIFS('FollowUps'!$C$2:$C$500,$A7,'FollowUps'!$H$2:$H$500,"open")=0,"",MINIFS('FollowUps'!$E$2:$E$500,'FollowUps'!$C$2:$C$500,$A7,'FollowUps'!$H$2:$H$500,"open")))</x:f>
      </x:c>
      <x:c r="M7" s="19"/>
      <x:c r="N7" s="26"/>
      <x:c r="O7" s="19"/>
      <x:c r="P7" s="26"/>
      <x:c r="Q7" s="19"/>
      <x:c r="R7" s="26"/>
      <x:c r="S7" s="19"/>
      <x:c r="T7" s="19"/>
    </x:row>
    <x:row r="8">
      <x:c r="A8" s="19"/>
      <x:c r="B8" s="19"/>
      <x:c r="C8" s="19"/>
      <x:c r="D8" s="19"/>
      <x:c r="E8" s="19"/>
      <x:c r="F8" s="19"/>
      <x:c r="G8" s="19"/>
      <x:c r="H8" s="25"/>
      <x:c r="I8" s="112" t="str">
        <x:f>IF($A8="","",SUMIFS('PipelineStages'!$E$2:$E$100,'PipelineStages'!$A$2:$A$100,$E8,'PipelineStages'!$B$2:$B$100,$F8))</x:f>
      </x:c>
      <x:c r="J8" s="24"/>
      <x:c r="K8" s="19"/>
      <x:c r="L8" s="100" t="str">
        <x:f>IF($A8="","",IF(COUNTIFS('FollowUps'!$C$2:$C$500,$A8,'FollowUps'!$H$2:$H$500,"open")=0,"",MINIFS('FollowUps'!$E$2:$E$500,'FollowUps'!$C$2:$C$500,$A8,'FollowUps'!$H$2:$H$500,"open")))</x:f>
      </x:c>
      <x:c r="M8" s="19"/>
      <x:c r="N8" s="26"/>
      <x:c r="O8" s="19"/>
      <x:c r="P8" s="26"/>
      <x:c r="Q8" s="19"/>
      <x:c r="R8" s="26"/>
      <x:c r="S8" s="19"/>
      <x:c r="T8" s="19"/>
    </x:row>
    <x:row r="9">
      <x:c r="A9" s="19"/>
      <x:c r="B9" s="19"/>
      <x:c r="C9" s="19"/>
      <x:c r="D9" s="19"/>
      <x:c r="E9" s="19"/>
      <x:c r="F9" s="19"/>
      <x:c r="G9" s="19"/>
      <x:c r="H9" s="25"/>
      <x:c r="I9" s="112" t="str">
        <x:f>IF($A9="","",SUMIFS('PipelineStages'!$E$2:$E$100,'PipelineStages'!$A$2:$A$100,$E9,'PipelineStages'!$B$2:$B$100,$F9))</x:f>
      </x:c>
      <x:c r="J9" s="24"/>
      <x:c r="K9" s="19"/>
      <x:c r="L9" s="100" t="str">
        <x:f>IF($A9="","",IF(COUNTIFS('FollowUps'!$C$2:$C$500,$A9,'FollowUps'!$H$2:$H$500,"open")=0,"",MINIFS('FollowUps'!$E$2:$E$500,'FollowUps'!$C$2:$C$500,$A9,'FollowUps'!$H$2:$H$500,"open")))</x:f>
      </x:c>
      <x:c r="M9" s="19"/>
      <x:c r="N9" s="26"/>
      <x:c r="O9" s="19"/>
      <x:c r="P9" s="26"/>
      <x:c r="Q9" s="19"/>
      <x:c r="R9" s="26"/>
      <x:c r="S9" s="19"/>
      <x:c r="T9" s="19"/>
    </x:row>
    <x:row r="10">
      <x:c r="A10" s="19"/>
      <x:c r="B10" s="19"/>
      <x:c r="C10" s="19"/>
      <x:c r="D10" s="19"/>
      <x:c r="E10" s="19"/>
      <x:c r="F10" s="19"/>
      <x:c r="G10" s="19"/>
      <x:c r="H10" s="25"/>
      <x:c r="I10" s="112" t="str">
        <x:f>IF($A10="","",SUMIFS('PipelineStages'!$E$2:$E$100,'PipelineStages'!$A$2:$A$100,$E10,'PipelineStages'!$B$2:$B$100,$F10))</x:f>
      </x:c>
      <x:c r="J10" s="24"/>
      <x:c r="K10" s="19"/>
      <x:c r="L10" s="100" t="str">
        <x:f>IF($A10="","",IF(COUNTIFS('FollowUps'!$C$2:$C$500,$A10,'FollowUps'!$H$2:$H$500,"open")=0,"",MINIFS('FollowUps'!$E$2:$E$500,'FollowUps'!$C$2:$C$500,$A10,'FollowUps'!$H$2:$H$500,"open")))</x:f>
      </x:c>
      <x:c r="M10" s="19"/>
      <x:c r="N10" s="26"/>
      <x:c r="O10" s="19"/>
      <x:c r="P10" s="26"/>
      <x:c r="Q10" s="19"/>
      <x:c r="R10" s="26"/>
      <x:c r="S10" s="19"/>
      <x:c r="T10" s="19"/>
    </x:row>
    <x:row r="11">
      <x:c r="A11" s="19"/>
      <x:c r="B11" s="19"/>
      <x:c r="C11" s="19"/>
      <x:c r="D11" s="19"/>
      <x:c r="E11" s="19"/>
      <x:c r="F11" s="19"/>
      <x:c r="G11" s="19"/>
      <x:c r="H11" s="25"/>
      <x:c r="I11" s="112" t="str">
        <x:f>IF($A11="","",SUMIFS('PipelineStages'!$E$2:$E$100,'PipelineStages'!$A$2:$A$100,$E11,'PipelineStages'!$B$2:$B$100,$F11))</x:f>
      </x:c>
      <x:c r="J11" s="24"/>
      <x:c r="K11" s="19"/>
      <x:c r="L11" s="100" t="str">
        <x:f>IF($A11="","",IF(COUNTIFS('FollowUps'!$C$2:$C$500,$A11,'FollowUps'!$H$2:$H$500,"open")=0,"",MINIFS('FollowUps'!$E$2:$E$500,'FollowUps'!$C$2:$C$500,$A11,'FollowUps'!$H$2:$H$500,"open")))</x:f>
      </x:c>
      <x:c r="M11" s="19"/>
      <x:c r="N11" s="26"/>
      <x:c r="O11" s="19"/>
      <x:c r="P11" s="26"/>
      <x:c r="Q11" s="19"/>
      <x:c r="R11" s="26"/>
      <x:c r="S11" s="19"/>
      <x:c r="T11" s="19"/>
    </x:row>
    <x:row r="12">
      <x:c r="A12" s="19"/>
      <x:c r="B12" s="19"/>
      <x:c r="C12" s="19"/>
      <x:c r="D12" s="19"/>
      <x:c r="E12" s="19"/>
      <x:c r="F12" s="19"/>
      <x:c r="G12" s="19"/>
      <x:c r="H12" s="25"/>
      <x:c r="I12" s="112" t="str">
        <x:f>IF($A12="","",SUMIFS('PipelineStages'!$E$2:$E$100,'PipelineStages'!$A$2:$A$100,$E12,'PipelineStages'!$B$2:$B$100,$F12))</x:f>
      </x:c>
      <x:c r="J12" s="24"/>
      <x:c r="K12" s="19"/>
      <x:c r="L12" s="100" t="str">
        <x:f>IF($A12="","",IF(COUNTIFS('FollowUps'!$C$2:$C$500,$A12,'FollowUps'!$H$2:$H$500,"open")=0,"",MINIFS('FollowUps'!$E$2:$E$500,'FollowUps'!$C$2:$C$500,$A12,'FollowUps'!$H$2:$H$500,"open")))</x:f>
      </x:c>
      <x:c r="M12" s="19"/>
      <x:c r="N12" s="26"/>
      <x:c r="O12" s="19"/>
      <x:c r="P12" s="26"/>
      <x:c r="Q12" s="19"/>
      <x:c r="R12" s="26"/>
      <x:c r="S12" s="19"/>
      <x:c r="T12" s="19"/>
    </x:row>
    <x:row r="13">
      <x:c r="A13" s="19"/>
      <x:c r="B13" s="19"/>
      <x:c r="C13" s="19"/>
      <x:c r="D13" s="19"/>
      <x:c r="E13" s="19"/>
      <x:c r="F13" s="19"/>
      <x:c r="G13" s="19"/>
      <x:c r="H13" s="25"/>
      <x:c r="I13" s="112" t="str">
        <x:f>IF($A13="","",SUMIFS('PipelineStages'!$E$2:$E$100,'PipelineStages'!$A$2:$A$100,$E13,'PipelineStages'!$B$2:$B$100,$F13))</x:f>
      </x:c>
      <x:c r="J13" s="24"/>
      <x:c r="K13" s="19"/>
      <x:c r="L13" s="100" t="str">
        <x:f>IF($A13="","",IF(COUNTIFS('FollowUps'!$C$2:$C$500,$A13,'FollowUps'!$H$2:$H$500,"open")=0,"",MINIFS('FollowUps'!$E$2:$E$500,'FollowUps'!$C$2:$C$500,$A13,'FollowUps'!$H$2:$H$500,"open")))</x:f>
      </x:c>
      <x:c r="M13" s="19"/>
      <x:c r="N13" s="26"/>
      <x:c r="O13" s="19"/>
      <x:c r="P13" s="26"/>
      <x:c r="Q13" s="19"/>
      <x:c r="R13" s="26"/>
      <x:c r="S13" s="19"/>
      <x:c r="T13" s="19"/>
    </x:row>
    <x:row r="14">
      <x:c r="A14" s="19"/>
      <x:c r="B14" s="19"/>
      <x:c r="C14" s="19"/>
      <x:c r="D14" s="19"/>
      <x:c r="E14" s="19"/>
      <x:c r="F14" s="19"/>
      <x:c r="G14" s="19"/>
      <x:c r="H14" s="25"/>
      <x:c r="I14" s="112" t="str">
        <x:f>IF($A14="","",SUMIFS('PipelineStages'!$E$2:$E$100,'PipelineStages'!$A$2:$A$100,$E14,'PipelineStages'!$B$2:$B$100,$F14))</x:f>
      </x:c>
      <x:c r="J14" s="24"/>
      <x:c r="K14" s="19"/>
      <x:c r="L14" s="100" t="str">
        <x:f>IF($A14="","",IF(COUNTIFS('FollowUps'!$C$2:$C$500,$A14,'FollowUps'!$H$2:$H$500,"open")=0,"",MINIFS('FollowUps'!$E$2:$E$500,'FollowUps'!$C$2:$C$500,$A14,'FollowUps'!$H$2:$H$500,"open")))</x:f>
      </x:c>
      <x:c r="M14" s="19"/>
      <x:c r="N14" s="26"/>
      <x:c r="O14" s="19"/>
      <x:c r="P14" s="26"/>
      <x:c r="Q14" s="19"/>
      <x:c r="R14" s="26"/>
      <x:c r="S14" s="19"/>
      <x:c r="T14" s="19"/>
    </x:row>
    <x:row r="15">
      <x:c r="A15" s="19"/>
      <x:c r="B15" s="19"/>
      <x:c r="C15" s="19"/>
      <x:c r="D15" s="19"/>
      <x:c r="E15" s="19"/>
      <x:c r="F15" s="19"/>
      <x:c r="G15" s="19"/>
      <x:c r="H15" s="25"/>
      <x:c r="I15" s="112" t="str">
        <x:f>IF($A15="","",SUMIFS('PipelineStages'!$E$2:$E$100,'PipelineStages'!$A$2:$A$100,$E15,'PipelineStages'!$B$2:$B$100,$F15))</x:f>
      </x:c>
      <x:c r="J15" s="24"/>
      <x:c r="K15" s="19"/>
      <x:c r="L15" s="100" t="str">
        <x:f>IF($A15="","",IF(COUNTIFS('FollowUps'!$C$2:$C$500,$A15,'FollowUps'!$H$2:$H$500,"open")=0,"",MINIFS('FollowUps'!$E$2:$E$500,'FollowUps'!$C$2:$C$500,$A15,'FollowUps'!$H$2:$H$500,"open")))</x:f>
      </x:c>
      <x:c r="M15" s="19"/>
      <x:c r="N15" s="26"/>
      <x:c r="O15" s="19"/>
      <x:c r="P15" s="26"/>
      <x:c r="Q15" s="19"/>
      <x:c r="R15" s="26"/>
      <x:c r="S15" s="19"/>
      <x:c r="T15" s="19"/>
    </x:row>
    <x:row r="16">
      <x:c r="A16" s="19"/>
      <x:c r="B16" s="19"/>
      <x:c r="C16" s="19"/>
      <x:c r="D16" s="19"/>
      <x:c r="E16" s="19"/>
      <x:c r="F16" s="19"/>
      <x:c r="G16" s="19"/>
      <x:c r="H16" s="25"/>
      <x:c r="I16" s="112" t="str">
        <x:f>IF($A16="","",SUMIFS('PipelineStages'!$E$2:$E$100,'PipelineStages'!$A$2:$A$100,$E16,'PipelineStages'!$B$2:$B$100,$F16))</x:f>
      </x:c>
      <x:c r="J16" s="24"/>
      <x:c r="K16" s="19"/>
      <x:c r="L16" s="100" t="str">
        <x:f>IF($A16="","",IF(COUNTIFS('FollowUps'!$C$2:$C$500,$A16,'FollowUps'!$H$2:$H$500,"open")=0,"",MINIFS('FollowUps'!$E$2:$E$500,'FollowUps'!$C$2:$C$500,$A16,'FollowUps'!$H$2:$H$500,"open")))</x:f>
      </x:c>
      <x:c r="M16" s="19"/>
      <x:c r="N16" s="26"/>
      <x:c r="O16" s="19"/>
      <x:c r="P16" s="26"/>
      <x:c r="Q16" s="19"/>
      <x:c r="R16" s="26"/>
      <x:c r="S16" s="19"/>
      <x:c r="T16" s="19"/>
    </x:row>
    <x:row r="17">
      <x:c r="A17" s="19"/>
      <x:c r="B17" s="19"/>
      <x:c r="C17" s="19"/>
      <x:c r="D17" s="19"/>
      <x:c r="E17" s="19"/>
      <x:c r="F17" s="19"/>
      <x:c r="G17" s="19"/>
      <x:c r="H17" s="25"/>
      <x:c r="I17" s="112" t="str">
        <x:f>IF($A17="","",SUMIFS('PipelineStages'!$E$2:$E$100,'PipelineStages'!$A$2:$A$100,$E17,'PipelineStages'!$B$2:$B$100,$F17))</x:f>
      </x:c>
      <x:c r="J17" s="24"/>
      <x:c r="K17" s="19"/>
      <x:c r="L17" s="100" t="str">
        <x:f>IF($A17="","",IF(COUNTIFS('FollowUps'!$C$2:$C$500,$A17,'FollowUps'!$H$2:$H$500,"open")=0,"",MINIFS('FollowUps'!$E$2:$E$500,'FollowUps'!$C$2:$C$500,$A17,'FollowUps'!$H$2:$H$500,"open")))</x:f>
      </x:c>
      <x:c r="M17" s="19"/>
      <x:c r="N17" s="26"/>
      <x:c r="O17" s="19"/>
      <x:c r="P17" s="26"/>
      <x:c r="Q17" s="19"/>
      <x:c r="R17" s="26"/>
      <x:c r="S17" s="19"/>
      <x:c r="T17" s="19"/>
    </x:row>
    <x:row r="18">
      <x:c r="A18" s="19"/>
      <x:c r="B18" s="19"/>
      <x:c r="C18" s="19"/>
      <x:c r="D18" s="19"/>
      <x:c r="E18" s="19"/>
      <x:c r="F18" s="19"/>
      <x:c r="G18" s="19"/>
      <x:c r="H18" s="25"/>
      <x:c r="I18" s="112" t="str">
        <x:f>IF($A18="","",SUMIFS('PipelineStages'!$E$2:$E$100,'PipelineStages'!$A$2:$A$100,$E18,'PipelineStages'!$B$2:$B$100,$F18))</x:f>
      </x:c>
      <x:c r="J18" s="24"/>
      <x:c r="K18" s="19"/>
      <x:c r="L18" s="100" t="str">
        <x:f>IF($A18="","",IF(COUNTIFS('FollowUps'!$C$2:$C$500,$A18,'FollowUps'!$H$2:$H$500,"open")=0,"",MINIFS('FollowUps'!$E$2:$E$500,'FollowUps'!$C$2:$C$500,$A18,'FollowUps'!$H$2:$H$500,"open")))</x:f>
      </x:c>
      <x:c r="M18" s="19"/>
      <x:c r="N18" s="26"/>
      <x:c r="O18" s="19"/>
      <x:c r="P18" s="26"/>
      <x:c r="Q18" s="19"/>
      <x:c r="R18" s="26"/>
      <x:c r="S18" s="19"/>
      <x:c r="T18" s="19"/>
    </x:row>
    <x:row r="19">
      <x:c r="A19" s="19"/>
      <x:c r="B19" s="19"/>
      <x:c r="C19" s="19"/>
      <x:c r="D19" s="19"/>
      <x:c r="E19" s="19"/>
      <x:c r="F19" s="19"/>
      <x:c r="G19" s="19"/>
      <x:c r="H19" s="25"/>
      <x:c r="I19" s="112" t="str">
        <x:f>IF($A19="","",SUMIFS('PipelineStages'!$E$2:$E$100,'PipelineStages'!$A$2:$A$100,$E19,'PipelineStages'!$B$2:$B$100,$F19))</x:f>
      </x:c>
      <x:c r="J19" s="24"/>
      <x:c r="K19" s="19"/>
      <x:c r="L19" s="100" t="str">
        <x:f>IF($A19="","",IF(COUNTIFS('FollowUps'!$C$2:$C$500,$A19,'FollowUps'!$H$2:$H$500,"open")=0,"",MINIFS('FollowUps'!$E$2:$E$500,'FollowUps'!$C$2:$C$500,$A19,'FollowUps'!$H$2:$H$500,"open")))</x:f>
      </x:c>
      <x:c r="M19" s="19"/>
      <x:c r="N19" s="26"/>
      <x:c r="O19" s="19"/>
      <x:c r="P19" s="26"/>
      <x:c r="Q19" s="19"/>
      <x:c r="R19" s="26"/>
      <x:c r="S19" s="19"/>
      <x:c r="T19" s="19"/>
    </x:row>
    <x:row r="20">
      <x:c r="A20" s="19"/>
      <x:c r="B20" s="19"/>
      <x:c r="C20" s="19"/>
      <x:c r="D20" s="19"/>
      <x:c r="E20" s="19"/>
      <x:c r="F20" s="19"/>
      <x:c r="G20" s="19"/>
      <x:c r="H20" s="25"/>
      <x:c r="I20" s="112" t="str">
        <x:f>IF($A20="","",SUMIFS('PipelineStages'!$E$2:$E$100,'PipelineStages'!$A$2:$A$100,$E20,'PipelineStages'!$B$2:$B$100,$F20))</x:f>
      </x:c>
      <x:c r="J20" s="24"/>
      <x:c r="K20" s="19"/>
      <x:c r="L20" s="100" t="str">
        <x:f>IF($A20="","",IF(COUNTIFS('FollowUps'!$C$2:$C$500,$A20,'FollowUps'!$H$2:$H$500,"open")=0,"",MINIFS('FollowUps'!$E$2:$E$500,'FollowUps'!$C$2:$C$500,$A20,'FollowUps'!$H$2:$H$500,"open")))</x:f>
      </x:c>
      <x:c r="M20" s="19"/>
      <x:c r="N20" s="26"/>
      <x:c r="O20" s="19"/>
      <x:c r="P20" s="26"/>
      <x:c r="Q20" s="19"/>
      <x:c r="R20" s="26"/>
      <x:c r="S20" s="19"/>
      <x:c r="T20" s="19"/>
    </x:row>
    <x:row r="21">
      <x:c r="A21" s="19"/>
      <x:c r="B21" s="19"/>
      <x:c r="C21" s="19"/>
      <x:c r="D21" s="19"/>
      <x:c r="E21" s="19"/>
      <x:c r="F21" s="19"/>
      <x:c r="G21" s="19"/>
      <x:c r="H21" s="25"/>
      <x:c r="I21" s="112" t="str">
        <x:f>IF($A21="","",SUMIFS('PipelineStages'!$E$2:$E$100,'PipelineStages'!$A$2:$A$100,$E21,'PipelineStages'!$B$2:$B$100,$F21))</x:f>
      </x:c>
      <x:c r="J21" s="24"/>
      <x:c r="K21" s="19"/>
      <x:c r="L21" s="100" t="str">
        <x:f>IF($A21="","",IF(COUNTIFS('FollowUps'!$C$2:$C$500,$A21,'FollowUps'!$H$2:$H$500,"open")=0,"",MINIFS('FollowUps'!$E$2:$E$500,'FollowUps'!$C$2:$C$500,$A21,'FollowUps'!$H$2:$H$500,"open")))</x:f>
      </x:c>
      <x:c r="M21" s="19"/>
      <x:c r="N21" s="26"/>
      <x:c r="O21" s="19"/>
      <x:c r="P21" s="26"/>
      <x:c r="Q21" s="19"/>
      <x:c r="R21" s="26"/>
      <x:c r="S21" s="19"/>
      <x:c r="T21" s="19"/>
    </x:row>
    <x:row r="22">
      <x:c r="A22" s="19"/>
      <x:c r="B22" s="19"/>
      <x:c r="C22" s="19"/>
      <x:c r="D22" s="19"/>
      <x:c r="E22" s="19"/>
      <x:c r="F22" s="19"/>
      <x:c r="G22" s="19"/>
      <x:c r="H22" s="25"/>
      <x:c r="I22" s="112" t="str">
        <x:f>IF($A22="","",SUMIFS('PipelineStages'!$E$2:$E$100,'PipelineStages'!$A$2:$A$100,$E22,'PipelineStages'!$B$2:$B$100,$F22))</x:f>
      </x:c>
      <x:c r="J22" s="24"/>
      <x:c r="K22" s="19"/>
      <x:c r="L22" s="100" t="str">
        <x:f>IF($A22="","",IF(COUNTIFS('FollowUps'!$C$2:$C$500,$A22,'FollowUps'!$H$2:$H$500,"open")=0,"",MINIFS('FollowUps'!$E$2:$E$500,'FollowUps'!$C$2:$C$500,$A22,'FollowUps'!$H$2:$H$500,"open")))</x:f>
      </x:c>
      <x:c r="M22" s="19"/>
      <x:c r="N22" s="26"/>
      <x:c r="O22" s="19"/>
      <x:c r="P22" s="26"/>
      <x:c r="Q22" s="19"/>
      <x:c r="R22" s="26"/>
      <x:c r="S22" s="19"/>
      <x:c r="T22" s="19"/>
    </x:row>
    <x:row r="23">
      <x:c r="A23" s="19"/>
      <x:c r="B23" s="19"/>
      <x:c r="C23" s="19"/>
      <x:c r="D23" s="19"/>
      <x:c r="E23" s="19"/>
      <x:c r="F23" s="19"/>
      <x:c r="G23" s="19"/>
      <x:c r="H23" s="25"/>
      <x:c r="I23" s="112" t="str">
        <x:f>IF($A23="","",SUMIFS('PipelineStages'!$E$2:$E$100,'PipelineStages'!$A$2:$A$100,$E23,'PipelineStages'!$B$2:$B$100,$F23))</x:f>
      </x:c>
      <x:c r="J23" s="24"/>
      <x:c r="K23" s="19"/>
      <x:c r="L23" s="100" t="str">
        <x:f>IF($A23="","",IF(COUNTIFS('FollowUps'!$C$2:$C$500,$A23,'FollowUps'!$H$2:$H$500,"open")=0,"",MINIFS('FollowUps'!$E$2:$E$500,'FollowUps'!$C$2:$C$500,$A23,'FollowUps'!$H$2:$H$500,"open")))</x:f>
      </x:c>
      <x:c r="M23" s="19"/>
      <x:c r="N23" s="26"/>
      <x:c r="O23" s="19"/>
      <x:c r="P23" s="26"/>
      <x:c r="Q23" s="19"/>
      <x:c r="R23" s="26"/>
      <x:c r="S23" s="19"/>
      <x:c r="T23" s="19"/>
    </x:row>
    <x:row r="24">
      <x:c r="A24" s="19"/>
      <x:c r="B24" s="19"/>
      <x:c r="C24" s="19"/>
      <x:c r="D24" s="19"/>
      <x:c r="E24" s="19"/>
      <x:c r="F24" s="19"/>
      <x:c r="G24" s="19"/>
      <x:c r="H24" s="25"/>
      <x:c r="I24" s="112" t="str">
        <x:f>IF($A24="","",SUMIFS('PipelineStages'!$E$2:$E$100,'PipelineStages'!$A$2:$A$100,$E24,'PipelineStages'!$B$2:$B$100,$F24))</x:f>
      </x:c>
      <x:c r="J24" s="24"/>
      <x:c r="K24" s="19"/>
      <x:c r="L24" s="100" t="str">
        <x:f>IF($A24="","",IF(COUNTIFS('FollowUps'!$C$2:$C$500,$A24,'FollowUps'!$H$2:$H$500,"open")=0,"",MINIFS('FollowUps'!$E$2:$E$500,'FollowUps'!$C$2:$C$500,$A24,'FollowUps'!$H$2:$H$500,"open")))</x:f>
      </x:c>
      <x:c r="M24" s="19"/>
      <x:c r="N24" s="26"/>
      <x:c r="O24" s="19"/>
      <x:c r="P24" s="26"/>
      <x:c r="Q24" s="19"/>
      <x:c r="R24" s="26"/>
      <x:c r="S24" s="19"/>
      <x:c r="T24" s="19"/>
    </x:row>
    <x:row r="25">
      <x:c r="A25" s="19"/>
      <x:c r="B25" s="19"/>
      <x:c r="C25" s="19"/>
      <x:c r="D25" s="19"/>
      <x:c r="E25" s="19"/>
      <x:c r="F25" s="19"/>
      <x:c r="G25" s="19"/>
      <x:c r="H25" s="25"/>
      <x:c r="I25" s="112" t="str">
        <x:f>IF($A25="","",SUMIFS('PipelineStages'!$E$2:$E$100,'PipelineStages'!$A$2:$A$100,$E25,'PipelineStages'!$B$2:$B$100,$F25))</x:f>
      </x:c>
      <x:c r="J25" s="24"/>
      <x:c r="K25" s="19"/>
      <x:c r="L25" s="100" t="str">
        <x:f>IF($A25="","",IF(COUNTIFS('FollowUps'!$C$2:$C$500,$A25,'FollowUps'!$H$2:$H$500,"open")=0,"",MINIFS('FollowUps'!$E$2:$E$500,'FollowUps'!$C$2:$C$500,$A25,'FollowUps'!$H$2:$H$500,"open")))</x:f>
      </x:c>
      <x:c r="M25" s="19"/>
      <x:c r="N25" s="26"/>
      <x:c r="O25" s="19"/>
      <x:c r="P25" s="26"/>
      <x:c r="Q25" s="19"/>
      <x:c r="R25" s="26"/>
      <x:c r="S25" s="19"/>
      <x:c r="T25" s="19"/>
    </x:row>
    <x:row r="26">
      <x:c r="A26" s="19"/>
      <x:c r="B26" s="19"/>
      <x:c r="C26" s="19"/>
      <x:c r="D26" s="19"/>
      <x:c r="E26" s="19"/>
      <x:c r="F26" s="19"/>
      <x:c r="G26" s="19"/>
      <x:c r="H26" s="25"/>
      <x:c r="I26" s="112" t="str">
        <x:f>IF($A26="","",SUMIFS('PipelineStages'!$E$2:$E$100,'PipelineStages'!$A$2:$A$100,$E26,'PipelineStages'!$B$2:$B$100,$F26))</x:f>
      </x:c>
      <x:c r="J26" s="24"/>
      <x:c r="K26" s="19"/>
      <x:c r="L26" s="100" t="str">
        <x:f>IF($A26="","",IF(COUNTIFS('FollowUps'!$C$2:$C$500,$A26,'FollowUps'!$H$2:$H$500,"open")=0,"",MINIFS('FollowUps'!$E$2:$E$500,'FollowUps'!$C$2:$C$500,$A26,'FollowUps'!$H$2:$H$500,"open")))</x:f>
      </x:c>
      <x:c r="M26" s="19"/>
      <x:c r="N26" s="26"/>
      <x:c r="O26" s="19"/>
      <x:c r="P26" s="26"/>
      <x:c r="Q26" s="19"/>
      <x:c r="R26" s="26"/>
      <x:c r="S26" s="19"/>
      <x:c r="T26" s="19"/>
    </x:row>
    <x:row r="27">
      <x:c r="A27" s="19"/>
      <x:c r="B27" s="19"/>
      <x:c r="C27" s="19"/>
      <x:c r="D27" s="19"/>
      <x:c r="E27" s="19"/>
      <x:c r="F27" s="19"/>
      <x:c r="G27" s="19"/>
      <x:c r="H27" s="25"/>
      <x:c r="I27" s="112" t="str">
        <x:f>IF($A27="","",SUMIFS('PipelineStages'!$E$2:$E$100,'PipelineStages'!$A$2:$A$100,$E27,'PipelineStages'!$B$2:$B$100,$F27))</x:f>
      </x:c>
      <x:c r="J27" s="24"/>
      <x:c r="K27" s="19"/>
      <x:c r="L27" s="100" t="str">
        <x:f>IF($A27="","",IF(COUNTIFS('FollowUps'!$C$2:$C$500,$A27,'FollowUps'!$H$2:$H$500,"open")=0,"",MINIFS('FollowUps'!$E$2:$E$500,'FollowUps'!$C$2:$C$500,$A27,'FollowUps'!$H$2:$H$500,"open")))</x:f>
      </x:c>
      <x:c r="M27" s="19"/>
      <x:c r="N27" s="26"/>
      <x:c r="O27" s="19"/>
      <x:c r="P27" s="26"/>
      <x:c r="Q27" s="19"/>
      <x:c r="R27" s="26"/>
      <x:c r="S27" s="19"/>
      <x:c r="T27" s="19"/>
    </x:row>
    <x:row r="28">
      <x:c r="A28" s="19"/>
      <x:c r="B28" s="19"/>
      <x:c r="C28" s="19"/>
      <x:c r="D28" s="19"/>
      <x:c r="E28" s="19"/>
      <x:c r="F28" s="19"/>
      <x:c r="G28" s="19"/>
      <x:c r="H28" s="25"/>
      <x:c r="I28" s="112" t="str">
        <x:f>IF($A28="","",SUMIFS('PipelineStages'!$E$2:$E$100,'PipelineStages'!$A$2:$A$100,$E28,'PipelineStages'!$B$2:$B$100,$F28))</x:f>
      </x:c>
      <x:c r="J28" s="24"/>
      <x:c r="K28" s="19"/>
      <x:c r="L28" s="100" t="str">
        <x:f>IF($A28="","",IF(COUNTIFS('FollowUps'!$C$2:$C$500,$A28,'FollowUps'!$H$2:$H$500,"open")=0,"",MINIFS('FollowUps'!$E$2:$E$500,'FollowUps'!$C$2:$C$500,$A28,'FollowUps'!$H$2:$H$500,"open")))</x:f>
      </x:c>
      <x:c r="M28" s="19"/>
      <x:c r="N28" s="26"/>
      <x:c r="O28" s="19"/>
      <x:c r="P28" s="26"/>
      <x:c r="Q28" s="19"/>
      <x:c r="R28" s="26"/>
      <x:c r="S28" s="19"/>
      <x:c r="T28" s="19"/>
    </x:row>
    <x:row r="29">
      <x:c r="A29" s="19"/>
      <x:c r="B29" s="19"/>
      <x:c r="C29" s="19"/>
      <x:c r="D29" s="19"/>
      <x:c r="E29" s="19"/>
      <x:c r="F29" s="19"/>
      <x:c r="G29" s="19"/>
      <x:c r="H29" s="25"/>
      <x:c r="I29" s="112" t="str">
        <x:f>IF($A29="","",SUMIFS('PipelineStages'!$E$2:$E$100,'PipelineStages'!$A$2:$A$100,$E29,'PipelineStages'!$B$2:$B$100,$F29))</x:f>
      </x:c>
      <x:c r="J29" s="24"/>
      <x:c r="K29" s="19"/>
      <x:c r="L29" s="100" t="str">
        <x:f>IF($A29="","",IF(COUNTIFS('FollowUps'!$C$2:$C$500,$A29,'FollowUps'!$H$2:$H$500,"open")=0,"",MINIFS('FollowUps'!$E$2:$E$500,'FollowUps'!$C$2:$C$500,$A29,'FollowUps'!$H$2:$H$500,"open")))</x:f>
      </x:c>
      <x:c r="M29" s="19"/>
      <x:c r="N29" s="26"/>
      <x:c r="O29" s="19"/>
      <x:c r="P29" s="26"/>
      <x:c r="Q29" s="19"/>
      <x:c r="R29" s="26"/>
      <x:c r="S29" s="19"/>
      <x:c r="T29" s="19"/>
    </x:row>
    <x:row r="30">
      <x:c r="A30" s="19"/>
      <x:c r="B30" s="19"/>
      <x:c r="C30" s="19"/>
      <x:c r="D30" s="19"/>
      <x:c r="E30" s="19"/>
      <x:c r="F30" s="19"/>
      <x:c r="G30" s="19"/>
      <x:c r="H30" s="25"/>
      <x:c r="I30" s="112" t="str">
        <x:f>IF($A30="","",SUMIFS('PipelineStages'!$E$2:$E$100,'PipelineStages'!$A$2:$A$100,$E30,'PipelineStages'!$B$2:$B$100,$F30))</x:f>
      </x:c>
      <x:c r="J30" s="24"/>
      <x:c r="K30" s="19"/>
      <x:c r="L30" s="100" t="str">
        <x:f>IF($A30="","",IF(COUNTIFS('FollowUps'!$C$2:$C$500,$A30,'FollowUps'!$H$2:$H$500,"open")=0,"",MINIFS('FollowUps'!$E$2:$E$500,'FollowUps'!$C$2:$C$500,$A30,'FollowUps'!$H$2:$H$500,"open")))</x:f>
      </x:c>
      <x:c r="M30" s="19"/>
      <x:c r="N30" s="26"/>
      <x:c r="O30" s="19"/>
      <x:c r="P30" s="26"/>
      <x:c r="Q30" s="19"/>
      <x:c r="R30" s="26"/>
      <x:c r="S30" s="19"/>
      <x:c r="T30" s="19"/>
    </x:row>
    <x:row r="31">
      <x:c r="A31" s="19"/>
      <x:c r="B31" s="19"/>
      <x:c r="C31" s="19"/>
      <x:c r="D31" s="19"/>
      <x:c r="E31" s="19"/>
      <x:c r="F31" s="19"/>
      <x:c r="G31" s="19"/>
      <x:c r="H31" s="25"/>
      <x:c r="I31" s="112" t="str">
        <x:f>IF($A31="","",SUMIFS('PipelineStages'!$E$2:$E$100,'PipelineStages'!$A$2:$A$100,$E31,'PipelineStages'!$B$2:$B$100,$F31))</x:f>
      </x:c>
      <x:c r="J31" s="24"/>
      <x:c r="K31" s="19"/>
      <x:c r="L31" s="100" t="str">
        <x:f>IF($A31="","",IF(COUNTIFS('FollowUps'!$C$2:$C$500,$A31,'FollowUps'!$H$2:$H$500,"open")=0,"",MINIFS('FollowUps'!$E$2:$E$500,'FollowUps'!$C$2:$C$500,$A31,'FollowUps'!$H$2:$H$500,"open")))</x:f>
      </x:c>
      <x:c r="M31" s="19"/>
      <x:c r="N31" s="26"/>
      <x:c r="O31" s="19"/>
      <x:c r="P31" s="26"/>
      <x:c r="Q31" s="19"/>
      <x:c r="R31" s="26"/>
      <x:c r="S31" s="19"/>
      <x:c r="T31" s="19"/>
    </x:row>
    <x:row r="32">
      <x:c r="A32" s="19"/>
      <x:c r="B32" s="19"/>
      <x:c r="C32" s="19"/>
      <x:c r="D32" s="19"/>
      <x:c r="E32" s="19"/>
      <x:c r="F32" s="19"/>
      <x:c r="G32" s="19"/>
      <x:c r="H32" s="25"/>
      <x:c r="I32" s="112" t="str">
        <x:f>IF($A32="","",SUMIFS('PipelineStages'!$E$2:$E$100,'PipelineStages'!$A$2:$A$100,$E32,'PipelineStages'!$B$2:$B$100,$F32))</x:f>
      </x:c>
      <x:c r="J32" s="24"/>
      <x:c r="K32" s="19"/>
      <x:c r="L32" s="100" t="str">
        <x:f>IF($A32="","",IF(COUNTIFS('FollowUps'!$C$2:$C$500,$A32,'FollowUps'!$H$2:$H$500,"open")=0,"",MINIFS('FollowUps'!$E$2:$E$500,'FollowUps'!$C$2:$C$500,$A32,'FollowUps'!$H$2:$H$500,"open")))</x:f>
      </x:c>
      <x:c r="M32" s="19"/>
      <x:c r="N32" s="26"/>
      <x:c r="O32" s="19"/>
      <x:c r="P32" s="26"/>
      <x:c r="Q32" s="19"/>
      <x:c r="R32" s="26"/>
      <x:c r="S32" s="19"/>
      <x:c r="T32" s="19"/>
    </x:row>
    <x:row r="33">
      <x:c r="A33" s="19"/>
      <x:c r="B33" s="19"/>
      <x:c r="C33" s="19"/>
      <x:c r="D33" s="19"/>
      <x:c r="E33" s="19"/>
      <x:c r="F33" s="19"/>
      <x:c r="G33" s="19"/>
      <x:c r="H33" s="25"/>
      <x:c r="I33" s="112" t="str">
        <x:f>IF($A33="","",SUMIFS('PipelineStages'!$E$2:$E$100,'PipelineStages'!$A$2:$A$100,$E33,'PipelineStages'!$B$2:$B$100,$F33))</x:f>
      </x:c>
      <x:c r="J33" s="24"/>
      <x:c r="K33" s="19"/>
      <x:c r="L33" s="100" t="str">
        <x:f>IF($A33="","",IF(COUNTIFS('FollowUps'!$C$2:$C$500,$A33,'FollowUps'!$H$2:$H$500,"open")=0,"",MINIFS('FollowUps'!$E$2:$E$500,'FollowUps'!$C$2:$C$500,$A33,'FollowUps'!$H$2:$H$500,"open")))</x:f>
      </x:c>
      <x:c r="M33" s="19"/>
      <x:c r="N33" s="26"/>
      <x:c r="O33" s="19"/>
      <x:c r="P33" s="26"/>
      <x:c r="Q33" s="19"/>
      <x:c r="R33" s="26"/>
      <x:c r="S33" s="19"/>
      <x:c r="T33" s="19"/>
    </x:row>
    <x:row r="34">
      <x:c r="A34" s="19"/>
      <x:c r="B34" s="19"/>
      <x:c r="C34" s="19"/>
      <x:c r="D34" s="19"/>
      <x:c r="E34" s="19"/>
      <x:c r="F34" s="19"/>
      <x:c r="G34" s="19"/>
      <x:c r="H34" s="25"/>
      <x:c r="I34" s="112" t="str">
        <x:f>IF($A34="","",SUMIFS('PipelineStages'!$E$2:$E$100,'PipelineStages'!$A$2:$A$100,$E34,'PipelineStages'!$B$2:$B$100,$F34))</x:f>
      </x:c>
      <x:c r="J34" s="24"/>
      <x:c r="K34" s="19"/>
      <x:c r="L34" s="100" t="str">
        <x:f>IF($A34="","",IF(COUNTIFS('FollowUps'!$C$2:$C$500,$A34,'FollowUps'!$H$2:$H$500,"open")=0,"",MINIFS('FollowUps'!$E$2:$E$500,'FollowUps'!$C$2:$C$500,$A34,'FollowUps'!$H$2:$H$500,"open")))</x:f>
      </x:c>
      <x:c r="M34" s="19"/>
      <x:c r="N34" s="26"/>
      <x:c r="O34" s="19"/>
      <x:c r="P34" s="26"/>
      <x:c r="Q34" s="19"/>
      <x:c r="R34" s="26"/>
      <x:c r="S34" s="19"/>
      <x:c r="T34" s="19"/>
    </x:row>
    <x:row r="35">
      <x:c r="A35" s="19"/>
      <x:c r="B35" s="19"/>
      <x:c r="C35" s="19"/>
      <x:c r="D35" s="19"/>
      <x:c r="E35" s="19"/>
      <x:c r="F35" s="19"/>
      <x:c r="G35" s="19"/>
      <x:c r="H35" s="25"/>
      <x:c r="I35" s="112" t="str">
        <x:f>IF($A35="","",SUMIFS('PipelineStages'!$E$2:$E$100,'PipelineStages'!$A$2:$A$100,$E35,'PipelineStages'!$B$2:$B$100,$F35))</x:f>
      </x:c>
      <x:c r="J35" s="24"/>
      <x:c r="K35" s="19"/>
      <x:c r="L35" s="100" t="str">
        <x:f>IF($A35="","",IF(COUNTIFS('FollowUps'!$C$2:$C$500,$A35,'FollowUps'!$H$2:$H$500,"open")=0,"",MINIFS('FollowUps'!$E$2:$E$500,'FollowUps'!$C$2:$C$500,$A35,'FollowUps'!$H$2:$H$500,"open")))</x:f>
      </x:c>
      <x:c r="M35" s="19"/>
      <x:c r="N35" s="26"/>
      <x:c r="O35" s="19"/>
      <x:c r="P35" s="26"/>
      <x:c r="Q35" s="19"/>
      <x:c r="R35" s="26"/>
      <x:c r="S35" s="19"/>
      <x:c r="T35" s="19"/>
    </x:row>
    <x:row r="36">
      <x:c r="A36" s="19"/>
      <x:c r="B36" s="19"/>
      <x:c r="C36" s="19"/>
      <x:c r="D36" s="19"/>
      <x:c r="E36" s="19"/>
      <x:c r="F36" s="19"/>
      <x:c r="G36" s="19"/>
      <x:c r="H36" s="25"/>
      <x:c r="I36" s="112" t="str">
        <x:f>IF($A36="","",SUMIFS('PipelineStages'!$E$2:$E$100,'PipelineStages'!$A$2:$A$100,$E36,'PipelineStages'!$B$2:$B$100,$F36))</x:f>
      </x:c>
      <x:c r="J36" s="24"/>
      <x:c r="K36" s="19"/>
      <x:c r="L36" s="100" t="str">
        <x:f>IF($A36="","",IF(COUNTIFS('FollowUps'!$C$2:$C$500,$A36,'FollowUps'!$H$2:$H$500,"open")=0,"",MINIFS('FollowUps'!$E$2:$E$500,'FollowUps'!$C$2:$C$500,$A36,'FollowUps'!$H$2:$H$500,"open")))</x:f>
      </x:c>
      <x:c r="M36" s="19"/>
      <x:c r="N36" s="26"/>
      <x:c r="O36" s="19"/>
      <x:c r="P36" s="26"/>
      <x:c r="Q36" s="19"/>
      <x:c r="R36" s="26"/>
      <x:c r="S36" s="19"/>
      <x:c r="T36" s="19"/>
    </x:row>
    <x:row r="37">
      <x:c r="A37" s="19"/>
      <x:c r="B37" s="19"/>
      <x:c r="C37" s="19"/>
      <x:c r="D37" s="19"/>
      <x:c r="E37" s="19"/>
      <x:c r="F37" s="19"/>
      <x:c r="G37" s="19"/>
      <x:c r="H37" s="25"/>
      <x:c r="I37" s="112" t="str">
        <x:f>IF($A37="","",SUMIFS('PipelineStages'!$E$2:$E$100,'PipelineStages'!$A$2:$A$100,$E37,'PipelineStages'!$B$2:$B$100,$F37))</x:f>
      </x:c>
      <x:c r="J37" s="24"/>
      <x:c r="K37" s="19"/>
      <x:c r="L37" s="100" t="str">
        <x:f>IF($A37="","",IF(COUNTIFS('FollowUps'!$C$2:$C$500,$A37,'FollowUps'!$H$2:$H$500,"open")=0,"",MINIFS('FollowUps'!$E$2:$E$500,'FollowUps'!$C$2:$C$500,$A37,'FollowUps'!$H$2:$H$500,"open")))</x:f>
      </x:c>
      <x:c r="M37" s="19"/>
      <x:c r="N37" s="26"/>
      <x:c r="O37" s="19"/>
      <x:c r="P37" s="26"/>
      <x:c r="Q37" s="19"/>
      <x:c r="R37" s="26"/>
      <x:c r="S37" s="19"/>
      <x:c r="T37" s="19"/>
    </x:row>
    <x:row r="38">
      <x:c r="A38" s="19"/>
      <x:c r="B38" s="19"/>
      <x:c r="C38" s="19"/>
      <x:c r="D38" s="19"/>
      <x:c r="E38" s="19"/>
      <x:c r="F38" s="19"/>
      <x:c r="G38" s="19"/>
      <x:c r="H38" s="25"/>
      <x:c r="I38" s="112" t="str">
        <x:f>IF($A38="","",SUMIFS('PipelineStages'!$E$2:$E$100,'PipelineStages'!$A$2:$A$100,$E38,'PipelineStages'!$B$2:$B$100,$F38))</x:f>
      </x:c>
      <x:c r="J38" s="24"/>
      <x:c r="K38" s="19"/>
      <x:c r="L38" s="100" t="str">
        <x:f>IF($A38="","",IF(COUNTIFS('FollowUps'!$C$2:$C$500,$A38,'FollowUps'!$H$2:$H$500,"open")=0,"",MINIFS('FollowUps'!$E$2:$E$500,'FollowUps'!$C$2:$C$500,$A38,'FollowUps'!$H$2:$H$500,"open")))</x:f>
      </x:c>
      <x:c r="M38" s="19"/>
      <x:c r="N38" s="26"/>
      <x:c r="O38" s="19"/>
      <x:c r="P38" s="26"/>
      <x:c r="Q38" s="19"/>
      <x:c r="R38" s="26"/>
      <x:c r="S38" s="19"/>
      <x:c r="T38" s="19"/>
    </x:row>
    <x:row r="39">
      <x:c r="A39" s="19"/>
      <x:c r="B39" s="19"/>
      <x:c r="C39" s="19"/>
      <x:c r="D39" s="19"/>
      <x:c r="E39" s="19"/>
      <x:c r="F39" s="19"/>
      <x:c r="G39" s="19"/>
      <x:c r="H39" s="25"/>
      <x:c r="I39" s="112" t="str">
        <x:f>IF($A39="","",SUMIFS('PipelineStages'!$E$2:$E$100,'PipelineStages'!$A$2:$A$100,$E39,'PipelineStages'!$B$2:$B$100,$F39))</x:f>
      </x:c>
      <x:c r="J39" s="24"/>
      <x:c r="K39" s="19"/>
      <x:c r="L39" s="100" t="str">
        <x:f>IF($A39="","",IF(COUNTIFS('FollowUps'!$C$2:$C$500,$A39,'FollowUps'!$H$2:$H$500,"open")=0,"",MINIFS('FollowUps'!$E$2:$E$500,'FollowUps'!$C$2:$C$500,$A39,'FollowUps'!$H$2:$H$500,"open")))</x:f>
      </x:c>
      <x:c r="M39" s="19"/>
      <x:c r="N39" s="26"/>
      <x:c r="O39" s="19"/>
      <x:c r="P39" s="26"/>
      <x:c r="Q39" s="19"/>
      <x:c r="R39" s="26"/>
      <x:c r="S39" s="19"/>
      <x:c r="T39" s="19"/>
    </x:row>
    <x:row r="40">
      <x:c r="A40" s="19"/>
      <x:c r="B40" s="19"/>
      <x:c r="C40" s="19"/>
      <x:c r="D40" s="19"/>
      <x:c r="E40" s="19"/>
      <x:c r="F40" s="19"/>
      <x:c r="G40" s="19"/>
      <x:c r="H40" s="25"/>
      <x:c r="I40" s="112" t="str">
        <x:f>IF($A40="","",SUMIFS('PipelineStages'!$E$2:$E$100,'PipelineStages'!$A$2:$A$100,$E40,'PipelineStages'!$B$2:$B$100,$F40))</x:f>
      </x:c>
      <x:c r="J40" s="24"/>
      <x:c r="K40" s="19"/>
      <x:c r="L40" s="100" t="str">
        <x:f>IF($A40="","",IF(COUNTIFS('FollowUps'!$C$2:$C$500,$A40,'FollowUps'!$H$2:$H$500,"open")=0,"",MINIFS('FollowUps'!$E$2:$E$500,'FollowUps'!$C$2:$C$500,$A40,'FollowUps'!$H$2:$H$500,"open")))</x:f>
      </x:c>
      <x:c r="M40" s="19"/>
      <x:c r="N40" s="26"/>
      <x:c r="O40" s="19"/>
      <x:c r="P40" s="26"/>
      <x:c r="Q40" s="19"/>
      <x:c r="R40" s="26"/>
      <x:c r="S40" s="19"/>
      <x:c r="T40" s="19"/>
    </x:row>
    <x:row r="41">
      <x:c r="A41" s="19"/>
      <x:c r="B41" s="19"/>
      <x:c r="C41" s="19"/>
      <x:c r="D41" s="19"/>
      <x:c r="E41" s="19"/>
      <x:c r="F41" s="19"/>
      <x:c r="G41" s="19"/>
      <x:c r="H41" s="25"/>
      <x:c r="I41" s="112" t="str">
        <x:f>IF($A41="","",SUMIFS('PipelineStages'!$E$2:$E$100,'PipelineStages'!$A$2:$A$100,$E41,'PipelineStages'!$B$2:$B$100,$F41))</x:f>
      </x:c>
      <x:c r="J41" s="24"/>
      <x:c r="K41" s="19"/>
      <x:c r="L41" s="100" t="str">
        <x:f>IF($A41="","",IF(COUNTIFS('FollowUps'!$C$2:$C$500,$A41,'FollowUps'!$H$2:$H$500,"open")=0,"",MINIFS('FollowUps'!$E$2:$E$500,'FollowUps'!$C$2:$C$500,$A41,'FollowUps'!$H$2:$H$500,"open")))</x:f>
      </x:c>
      <x:c r="M41" s="19"/>
      <x:c r="N41" s="26"/>
      <x:c r="O41" s="19"/>
      <x:c r="P41" s="26"/>
      <x:c r="Q41" s="19"/>
      <x:c r="R41" s="26"/>
      <x:c r="S41" s="19"/>
      <x:c r="T41" s="19"/>
    </x:row>
    <x:row r="42">
      <x:c r="A42" s="19"/>
      <x:c r="B42" s="19"/>
      <x:c r="C42" s="19"/>
      <x:c r="D42" s="19"/>
      <x:c r="E42" s="19"/>
      <x:c r="F42" s="19"/>
      <x:c r="G42" s="19"/>
      <x:c r="H42" s="25"/>
      <x:c r="I42" s="112" t="str">
        <x:f>IF($A42="","",SUMIFS('PipelineStages'!$E$2:$E$100,'PipelineStages'!$A$2:$A$100,$E42,'PipelineStages'!$B$2:$B$100,$F42))</x:f>
      </x:c>
      <x:c r="J42" s="24"/>
      <x:c r="K42" s="19"/>
      <x:c r="L42" s="100" t="str">
        <x:f>IF($A42="","",IF(COUNTIFS('FollowUps'!$C$2:$C$500,$A42,'FollowUps'!$H$2:$H$500,"open")=0,"",MINIFS('FollowUps'!$E$2:$E$500,'FollowUps'!$C$2:$C$500,$A42,'FollowUps'!$H$2:$H$500,"open")))</x:f>
      </x:c>
      <x:c r="M42" s="19"/>
      <x:c r="N42" s="26"/>
      <x:c r="O42" s="19"/>
      <x:c r="P42" s="26"/>
      <x:c r="Q42" s="19"/>
      <x:c r="R42" s="26"/>
      <x:c r="S42" s="19"/>
      <x:c r="T42" s="19"/>
    </x:row>
    <x:row r="43">
      <x:c r="A43" s="19"/>
      <x:c r="B43" s="19"/>
      <x:c r="C43" s="19"/>
      <x:c r="D43" s="19"/>
      <x:c r="E43" s="19"/>
      <x:c r="F43" s="19"/>
      <x:c r="G43" s="19"/>
      <x:c r="H43" s="25"/>
      <x:c r="I43" s="112" t="str">
        <x:f>IF($A43="","",SUMIFS('PipelineStages'!$E$2:$E$100,'PipelineStages'!$A$2:$A$100,$E43,'PipelineStages'!$B$2:$B$100,$F43))</x:f>
      </x:c>
      <x:c r="J43" s="24"/>
      <x:c r="K43" s="19"/>
      <x:c r="L43" s="100" t="str">
        <x:f>IF($A43="","",IF(COUNTIFS('FollowUps'!$C$2:$C$500,$A43,'FollowUps'!$H$2:$H$500,"open")=0,"",MINIFS('FollowUps'!$E$2:$E$500,'FollowUps'!$C$2:$C$500,$A43,'FollowUps'!$H$2:$H$500,"open")))</x:f>
      </x:c>
      <x:c r="M43" s="19"/>
      <x:c r="N43" s="26"/>
      <x:c r="O43" s="19"/>
      <x:c r="P43" s="26"/>
      <x:c r="Q43" s="19"/>
      <x:c r="R43" s="26"/>
      <x:c r="S43" s="19"/>
      <x:c r="T43" s="19"/>
    </x:row>
    <x:row r="44">
      <x:c r="A44" s="19"/>
      <x:c r="B44" s="19"/>
      <x:c r="C44" s="19"/>
      <x:c r="D44" s="19"/>
      <x:c r="E44" s="19"/>
      <x:c r="F44" s="19"/>
      <x:c r="G44" s="19"/>
      <x:c r="H44" s="25"/>
      <x:c r="I44" s="112" t="str">
        <x:f>IF($A44="","",SUMIFS('PipelineStages'!$E$2:$E$100,'PipelineStages'!$A$2:$A$100,$E44,'PipelineStages'!$B$2:$B$100,$F44))</x:f>
      </x:c>
      <x:c r="J44" s="24"/>
      <x:c r="K44" s="19"/>
      <x:c r="L44" s="100" t="str">
        <x:f>IF($A44="","",IF(COUNTIFS('FollowUps'!$C$2:$C$500,$A44,'FollowUps'!$H$2:$H$500,"open")=0,"",MINIFS('FollowUps'!$E$2:$E$500,'FollowUps'!$C$2:$C$500,$A44,'FollowUps'!$H$2:$H$500,"open")))</x:f>
      </x:c>
      <x:c r="M44" s="19"/>
      <x:c r="N44" s="26"/>
      <x:c r="O44" s="19"/>
      <x:c r="P44" s="26"/>
      <x:c r="Q44" s="19"/>
      <x:c r="R44" s="26"/>
      <x:c r="S44" s="19"/>
      <x:c r="T44" s="19"/>
    </x:row>
    <x:row r="45">
      <x:c r="A45" s="19"/>
      <x:c r="B45" s="19"/>
      <x:c r="C45" s="19"/>
      <x:c r="D45" s="19"/>
      <x:c r="E45" s="19"/>
      <x:c r="F45" s="19"/>
      <x:c r="G45" s="19"/>
      <x:c r="H45" s="25"/>
      <x:c r="I45" s="112" t="str">
        <x:f>IF($A45="","",SUMIFS('PipelineStages'!$E$2:$E$100,'PipelineStages'!$A$2:$A$100,$E45,'PipelineStages'!$B$2:$B$100,$F45))</x:f>
      </x:c>
      <x:c r="J45" s="24"/>
      <x:c r="K45" s="19"/>
      <x:c r="L45" s="100" t="str">
        <x:f>IF($A45="","",IF(COUNTIFS('FollowUps'!$C$2:$C$500,$A45,'FollowUps'!$H$2:$H$500,"open")=0,"",MINIFS('FollowUps'!$E$2:$E$500,'FollowUps'!$C$2:$C$500,$A45,'FollowUps'!$H$2:$H$500,"open")))</x:f>
      </x:c>
      <x:c r="M45" s="19"/>
      <x:c r="N45" s="26"/>
      <x:c r="O45" s="19"/>
      <x:c r="P45" s="26"/>
      <x:c r="Q45" s="19"/>
      <x:c r="R45" s="26"/>
      <x:c r="S45" s="19"/>
      <x:c r="T45" s="19"/>
    </x:row>
    <x:row r="46">
      <x:c r="A46" s="19"/>
      <x:c r="B46" s="19"/>
      <x:c r="C46" s="19"/>
      <x:c r="D46" s="19"/>
      <x:c r="E46" s="19"/>
      <x:c r="F46" s="19"/>
      <x:c r="G46" s="19"/>
      <x:c r="H46" s="25"/>
      <x:c r="I46" s="112" t="str">
        <x:f>IF($A46="","",SUMIFS('PipelineStages'!$E$2:$E$100,'PipelineStages'!$A$2:$A$100,$E46,'PipelineStages'!$B$2:$B$100,$F46))</x:f>
      </x:c>
      <x:c r="J46" s="24"/>
      <x:c r="K46" s="19"/>
      <x:c r="L46" s="100" t="str">
        <x:f>IF($A46="","",IF(COUNTIFS('FollowUps'!$C$2:$C$500,$A46,'FollowUps'!$H$2:$H$500,"open")=0,"",MINIFS('FollowUps'!$E$2:$E$500,'FollowUps'!$C$2:$C$500,$A46,'FollowUps'!$H$2:$H$500,"open")))</x:f>
      </x:c>
      <x:c r="M46" s="19"/>
      <x:c r="N46" s="26"/>
      <x:c r="O46" s="19"/>
      <x:c r="P46" s="26"/>
      <x:c r="Q46" s="19"/>
      <x:c r="R46" s="26"/>
      <x:c r="S46" s="19"/>
      <x:c r="T46" s="19"/>
    </x:row>
    <x:row r="47">
      <x:c r="A47" s="19"/>
      <x:c r="B47" s="19"/>
      <x:c r="C47" s="19"/>
      <x:c r="D47" s="19"/>
      <x:c r="E47" s="19"/>
      <x:c r="F47" s="19"/>
      <x:c r="G47" s="19"/>
      <x:c r="H47" s="25"/>
      <x:c r="I47" s="112" t="str">
        <x:f>IF($A47="","",SUMIFS('PipelineStages'!$E$2:$E$100,'PipelineStages'!$A$2:$A$100,$E47,'PipelineStages'!$B$2:$B$100,$F47))</x:f>
      </x:c>
      <x:c r="J47" s="24"/>
      <x:c r="K47" s="19"/>
      <x:c r="L47" s="100" t="str">
        <x:f>IF($A47="","",IF(COUNTIFS('FollowUps'!$C$2:$C$500,$A47,'FollowUps'!$H$2:$H$500,"open")=0,"",MINIFS('FollowUps'!$E$2:$E$500,'FollowUps'!$C$2:$C$500,$A47,'FollowUps'!$H$2:$H$500,"open")))</x:f>
      </x:c>
      <x:c r="M47" s="19"/>
      <x:c r="N47" s="26"/>
      <x:c r="O47" s="19"/>
      <x:c r="P47" s="26"/>
      <x:c r="Q47" s="19"/>
      <x:c r="R47" s="26"/>
      <x:c r="S47" s="19"/>
      <x:c r="T47" s="19"/>
    </x:row>
    <x:row r="48">
      <x:c r="A48" s="19"/>
      <x:c r="B48" s="19"/>
      <x:c r="C48" s="19"/>
      <x:c r="D48" s="19"/>
      <x:c r="E48" s="19"/>
      <x:c r="F48" s="19"/>
      <x:c r="G48" s="19"/>
      <x:c r="H48" s="25"/>
      <x:c r="I48" s="112" t="str">
        <x:f>IF($A48="","",SUMIFS('PipelineStages'!$E$2:$E$100,'PipelineStages'!$A$2:$A$100,$E48,'PipelineStages'!$B$2:$B$100,$F48))</x:f>
      </x:c>
      <x:c r="J48" s="24"/>
      <x:c r="K48" s="19"/>
      <x:c r="L48" s="100" t="str">
        <x:f>IF($A48="","",IF(COUNTIFS('FollowUps'!$C$2:$C$500,$A48,'FollowUps'!$H$2:$H$500,"open")=0,"",MINIFS('FollowUps'!$E$2:$E$500,'FollowUps'!$C$2:$C$500,$A48,'FollowUps'!$H$2:$H$500,"open")))</x:f>
      </x:c>
      <x:c r="M48" s="19"/>
      <x:c r="N48" s="26"/>
      <x:c r="O48" s="19"/>
      <x:c r="P48" s="26"/>
      <x:c r="Q48" s="19"/>
      <x:c r="R48" s="26"/>
      <x:c r="S48" s="19"/>
      <x:c r="T48" s="19"/>
    </x:row>
    <x:row r="49">
      <x:c r="A49" s="19"/>
      <x:c r="B49" s="19"/>
      <x:c r="C49" s="19"/>
      <x:c r="D49" s="19"/>
      <x:c r="E49" s="19"/>
      <x:c r="F49" s="19"/>
      <x:c r="G49" s="19"/>
      <x:c r="H49" s="25"/>
      <x:c r="I49" s="112" t="str">
        <x:f>IF($A49="","",SUMIFS('PipelineStages'!$E$2:$E$100,'PipelineStages'!$A$2:$A$100,$E49,'PipelineStages'!$B$2:$B$100,$F49))</x:f>
      </x:c>
      <x:c r="J49" s="24"/>
      <x:c r="K49" s="19"/>
      <x:c r="L49" s="100" t="str">
        <x:f>IF($A49="","",IF(COUNTIFS('FollowUps'!$C$2:$C$500,$A49,'FollowUps'!$H$2:$H$500,"open")=0,"",MINIFS('FollowUps'!$E$2:$E$500,'FollowUps'!$C$2:$C$500,$A49,'FollowUps'!$H$2:$H$500,"open")))</x:f>
      </x:c>
      <x:c r="M49" s="19"/>
      <x:c r="N49" s="26"/>
      <x:c r="O49" s="19"/>
      <x:c r="P49" s="26"/>
      <x:c r="Q49" s="19"/>
      <x:c r="R49" s="26"/>
      <x:c r="S49" s="19"/>
      <x:c r="T49" s="19"/>
    </x:row>
    <x:row r="50">
      <x:c r="A50" s="19"/>
      <x:c r="B50" s="19"/>
      <x:c r="C50" s="19"/>
      <x:c r="D50" s="19"/>
      <x:c r="E50" s="19"/>
      <x:c r="F50" s="19"/>
      <x:c r="G50" s="19"/>
      <x:c r="H50" s="25"/>
      <x:c r="I50" s="112" t="str">
        <x:f>IF($A50="","",SUMIFS('PipelineStages'!$E$2:$E$100,'PipelineStages'!$A$2:$A$100,$E50,'PipelineStages'!$B$2:$B$100,$F50))</x:f>
      </x:c>
      <x:c r="J50" s="24"/>
      <x:c r="K50" s="19"/>
      <x:c r="L50" s="100" t="str">
        <x:f>IF($A50="","",IF(COUNTIFS('FollowUps'!$C$2:$C$500,$A50,'FollowUps'!$H$2:$H$500,"open")=0,"",MINIFS('FollowUps'!$E$2:$E$500,'FollowUps'!$C$2:$C$500,$A50,'FollowUps'!$H$2:$H$500,"open")))</x:f>
      </x:c>
      <x:c r="M50" s="19"/>
      <x:c r="N50" s="26"/>
      <x:c r="O50" s="19"/>
      <x:c r="P50" s="26"/>
      <x:c r="Q50" s="19"/>
      <x:c r="R50" s="26"/>
      <x:c r="S50" s="19"/>
      <x:c r="T50" s="19"/>
    </x:row>
    <x:row r="51">
      <x:c r="A51" s="19"/>
      <x:c r="B51" s="19"/>
      <x:c r="C51" s="19"/>
      <x:c r="D51" s="19"/>
      <x:c r="E51" s="19"/>
      <x:c r="F51" s="19"/>
      <x:c r="G51" s="19"/>
      <x:c r="H51" s="25"/>
      <x:c r="I51" s="112" t="str">
        <x:f>IF($A51="","",SUMIFS('PipelineStages'!$E$2:$E$100,'PipelineStages'!$A$2:$A$100,$E51,'PipelineStages'!$B$2:$B$100,$F51))</x:f>
      </x:c>
      <x:c r="J51" s="24"/>
      <x:c r="K51" s="19"/>
      <x:c r="L51" s="100" t="str">
        <x:f>IF($A51="","",IF(COUNTIFS('FollowUps'!$C$2:$C$500,$A51,'FollowUps'!$H$2:$H$500,"open")=0,"",MINIFS('FollowUps'!$E$2:$E$500,'FollowUps'!$C$2:$C$500,$A51,'FollowUps'!$H$2:$H$500,"open")))</x:f>
      </x:c>
      <x:c r="M51" s="19"/>
      <x:c r="N51" s="26"/>
      <x:c r="O51" s="19"/>
      <x:c r="P51" s="26"/>
      <x:c r="Q51" s="19"/>
      <x:c r="R51" s="26"/>
      <x:c r="S51" s="19"/>
      <x:c r="T51" s="19"/>
    </x:row>
    <x:row r="52">
      <x:c r="A52" s="19"/>
      <x:c r="B52" s="19"/>
      <x:c r="C52" s="19"/>
      <x:c r="D52" s="19"/>
      <x:c r="E52" s="19"/>
      <x:c r="F52" s="19"/>
      <x:c r="G52" s="19"/>
      <x:c r="H52" s="25"/>
      <x:c r="I52" s="112" t="str">
        <x:f>IF($A52="","",SUMIFS('PipelineStages'!$E$2:$E$100,'PipelineStages'!$A$2:$A$100,$E52,'PipelineStages'!$B$2:$B$100,$F52))</x:f>
      </x:c>
      <x:c r="J52" s="24"/>
      <x:c r="K52" s="19"/>
      <x:c r="L52" s="100" t="str">
        <x:f>IF($A52="","",IF(COUNTIFS('FollowUps'!$C$2:$C$500,$A52,'FollowUps'!$H$2:$H$500,"open")=0,"",MINIFS('FollowUps'!$E$2:$E$500,'FollowUps'!$C$2:$C$500,$A52,'FollowUps'!$H$2:$H$500,"open")))</x:f>
      </x:c>
      <x:c r="M52" s="19"/>
      <x:c r="N52" s="26"/>
      <x:c r="O52" s="19"/>
      <x:c r="P52" s="26"/>
      <x:c r="Q52" s="19"/>
      <x:c r="R52" s="26"/>
      <x:c r="S52" s="19"/>
      <x:c r="T52" s="19"/>
    </x:row>
    <x:row r="53">
      <x:c r="A53" s="19"/>
      <x:c r="B53" s="19"/>
      <x:c r="C53" s="19"/>
      <x:c r="D53" s="19"/>
      <x:c r="E53" s="19"/>
      <x:c r="F53" s="19"/>
      <x:c r="G53" s="19"/>
      <x:c r="H53" s="25"/>
      <x:c r="I53" s="112" t="str">
        <x:f>IF($A53="","",SUMIFS('PipelineStages'!$E$2:$E$100,'PipelineStages'!$A$2:$A$100,$E53,'PipelineStages'!$B$2:$B$100,$F53))</x:f>
      </x:c>
      <x:c r="J53" s="24"/>
      <x:c r="K53" s="19"/>
      <x:c r="L53" s="100" t="str">
        <x:f>IF($A53="","",IF(COUNTIFS('FollowUps'!$C$2:$C$500,$A53,'FollowUps'!$H$2:$H$500,"open")=0,"",MINIFS('FollowUps'!$E$2:$E$500,'FollowUps'!$C$2:$C$500,$A53,'FollowUps'!$H$2:$H$500,"open")))</x:f>
      </x:c>
      <x:c r="M53" s="19"/>
      <x:c r="N53" s="26"/>
      <x:c r="O53" s="19"/>
      <x:c r="P53" s="26"/>
      <x:c r="Q53" s="19"/>
      <x:c r="R53" s="26"/>
      <x:c r="S53" s="19"/>
      <x:c r="T53" s="19"/>
    </x:row>
    <x:row r="54">
      <x:c r="A54" s="19"/>
      <x:c r="B54" s="19"/>
      <x:c r="C54" s="19"/>
      <x:c r="D54" s="19"/>
      <x:c r="E54" s="19"/>
      <x:c r="F54" s="19"/>
      <x:c r="G54" s="19"/>
      <x:c r="H54" s="25"/>
      <x:c r="I54" s="112" t="str">
        <x:f>IF($A54="","",SUMIFS('PipelineStages'!$E$2:$E$100,'PipelineStages'!$A$2:$A$100,$E54,'PipelineStages'!$B$2:$B$100,$F54))</x:f>
      </x:c>
      <x:c r="J54" s="24"/>
      <x:c r="K54" s="19"/>
      <x:c r="L54" s="100" t="str">
        <x:f>IF($A54="","",IF(COUNTIFS('FollowUps'!$C$2:$C$500,$A54,'FollowUps'!$H$2:$H$500,"open")=0,"",MINIFS('FollowUps'!$E$2:$E$500,'FollowUps'!$C$2:$C$500,$A54,'FollowUps'!$H$2:$H$500,"open")))</x:f>
      </x:c>
      <x:c r="M54" s="19"/>
      <x:c r="N54" s="26"/>
      <x:c r="O54" s="19"/>
      <x:c r="P54" s="26"/>
      <x:c r="Q54" s="19"/>
      <x:c r="R54" s="26"/>
      <x:c r="S54" s="19"/>
      <x:c r="T54" s="19"/>
    </x:row>
    <x:row r="55">
      <x:c r="A55" s="19"/>
      <x:c r="B55" s="19"/>
      <x:c r="C55" s="19"/>
      <x:c r="D55" s="19"/>
      <x:c r="E55" s="19"/>
      <x:c r="F55" s="19"/>
      <x:c r="G55" s="19"/>
      <x:c r="H55" s="25"/>
      <x:c r="I55" s="112" t="str">
        <x:f>IF($A55="","",SUMIFS('PipelineStages'!$E$2:$E$100,'PipelineStages'!$A$2:$A$100,$E55,'PipelineStages'!$B$2:$B$100,$F55))</x:f>
      </x:c>
      <x:c r="J55" s="24"/>
      <x:c r="K55" s="19"/>
      <x:c r="L55" s="100" t="str">
        <x:f>IF($A55="","",IF(COUNTIFS('FollowUps'!$C$2:$C$500,$A55,'FollowUps'!$H$2:$H$500,"open")=0,"",MINIFS('FollowUps'!$E$2:$E$500,'FollowUps'!$C$2:$C$500,$A55,'FollowUps'!$H$2:$H$500,"open")))</x:f>
      </x:c>
      <x:c r="M55" s="19"/>
      <x:c r="N55" s="26"/>
      <x:c r="O55" s="19"/>
      <x:c r="P55" s="26"/>
      <x:c r="Q55" s="19"/>
      <x:c r="R55" s="26"/>
      <x:c r="S55" s="19"/>
      <x:c r="T55" s="19"/>
    </x:row>
    <x:row r="56">
      <x:c r="A56" s="19"/>
      <x:c r="B56" s="19"/>
      <x:c r="C56" s="19"/>
      <x:c r="D56" s="19"/>
      <x:c r="E56" s="19"/>
      <x:c r="F56" s="19"/>
      <x:c r="G56" s="19"/>
      <x:c r="H56" s="25"/>
      <x:c r="I56" s="112" t="str">
        <x:f>IF($A56="","",SUMIFS('PipelineStages'!$E$2:$E$100,'PipelineStages'!$A$2:$A$100,$E56,'PipelineStages'!$B$2:$B$100,$F56))</x:f>
      </x:c>
      <x:c r="J56" s="24"/>
      <x:c r="K56" s="19"/>
      <x:c r="L56" s="100" t="str">
        <x:f>IF($A56="","",IF(COUNTIFS('FollowUps'!$C$2:$C$500,$A56,'FollowUps'!$H$2:$H$500,"open")=0,"",MINIFS('FollowUps'!$E$2:$E$500,'FollowUps'!$C$2:$C$500,$A56,'FollowUps'!$H$2:$H$500,"open")))</x:f>
      </x:c>
      <x:c r="M56" s="19"/>
      <x:c r="N56" s="26"/>
      <x:c r="O56" s="19"/>
      <x:c r="P56" s="26"/>
      <x:c r="Q56" s="19"/>
      <x:c r="R56" s="26"/>
      <x:c r="S56" s="19"/>
      <x:c r="T56" s="19"/>
    </x:row>
    <x:row r="57">
      <x:c r="A57" s="19"/>
      <x:c r="B57" s="19"/>
      <x:c r="C57" s="19"/>
      <x:c r="D57" s="19"/>
      <x:c r="E57" s="19"/>
      <x:c r="F57" s="19"/>
      <x:c r="G57" s="19"/>
      <x:c r="H57" s="25"/>
      <x:c r="I57" s="112" t="str">
        <x:f>IF($A57="","",SUMIFS('PipelineStages'!$E$2:$E$100,'PipelineStages'!$A$2:$A$100,$E57,'PipelineStages'!$B$2:$B$100,$F57))</x:f>
      </x:c>
      <x:c r="J57" s="24"/>
      <x:c r="K57" s="19"/>
      <x:c r="L57" s="100" t="str">
        <x:f>IF($A57="","",IF(COUNTIFS('FollowUps'!$C$2:$C$500,$A57,'FollowUps'!$H$2:$H$500,"open")=0,"",MINIFS('FollowUps'!$E$2:$E$500,'FollowUps'!$C$2:$C$500,$A57,'FollowUps'!$H$2:$H$500,"open")))</x:f>
      </x:c>
      <x:c r="M57" s="19"/>
      <x:c r="N57" s="26"/>
      <x:c r="O57" s="19"/>
      <x:c r="P57" s="26"/>
      <x:c r="Q57" s="19"/>
      <x:c r="R57" s="26"/>
      <x:c r="S57" s="19"/>
      <x:c r="T57" s="19"/>
    </x:row>
    <x:row r="58">
      <x:c r="A58" s="19"/>
      <x:c r="B58" s="19"/>
      <x:c r="C58" s="19"/>
      <x:c r="D58" s="19"/>
      <x:c r="E58" s="19"/>
      <x:c r="F58" s="19"/>
      <x:c r="G58" s="19"/>
      <x:c r="H58" s="25"/>
      <x:c r="I58" s="112" t="str">
        <x:f>IF($A58="","",SUMIFS('PipelineStages'!$E$2:$E$100,'PipelineStages'!$A$2:$A$100,$E58,'PipelineStages'!$B$2:$B$100,$F58))</x:f>
      </x:c>
      <x:c r="J58" s="24"/>
      <x:c r="K58" s="19"/>
      <x:c r="L58" s="100" t="str">
        <x:f>IF($A58="","",IF(COUNTIFS('FollowUps'!$C$2:$C$500,$A58,'FollowUps'!$H$2:$H$500,"open")=0,"",MINIFS('FollowUps'!$E$2:$E$500,'FollowUps'!$C$2:$C$500,$A58,'FollowUps'!$H$2:$H$500,"open")))</x:f>
      </x:c>
      <x:c r="M58" s="19"/>
      <x:c r="N58" s="26"/>
      <x:c r="O58" s="19"/>
      <x:c r="P58" s="26"/>
      <x:c r="Q58" s="19"/>
      <x:c r="R58" s="26"/>
      <x:c r="S58" s="19"/>
      <x:c r="T58" s="19"/>
    </x:row>
    <x:row r="59">
      <x:c r="A59" s="19"/>
      <x:c r="B59" s="19"/>
      <x:c r="C59" s="19"/>
      <x:c r="D59" s="19"/>
      <x:c r="E59" s="19"/>
      <x:c r="F59" s="19"/>
      <x:c r="G59" s="19"/>
      <x:c r="H59" s="25"/>
      <x:c r="I59" s="112" t="str">
        <x:f>IF($A59="","",SUMIFS('PipelineStages'!$E$2:$E$100,'PipelineStages'!$A$2:$A$100,$E59,'PipelineStages'!$B$2:$B$100,$F59))</x:f>
      </x:c>
      <x:c r="J59" s="24"/>
      <x:c r="K59" s="19"/>
      <x:c r="L59" s="100" t="str">
        <x:f>IF($A59="","",IF(COUNTIFS('FollowUps'!$C$2:$C$500,$A59,'FollowUps'!$H$2:$H$500,"open")=0,"",MINIFS('FollowUps'!$E$2:$E$500,'FollowUps'!$C$2:$C$500,$A59,'FollowUps'!$H$2:$H$500,"open")))</x:f>
      </x:c>
      <x:c r="M59" s="19"/>
      <x:c r="N59" s="26"/>
      <x:c r="O59" s="19"/>
      <x:c r="P59" s="26"/>
      <x:c r="Q59" s="19"/>
      <x:c r="R59" s="26"/>
      <x:c r="S59" s="19"/>
      <x:c r="T59" s="19"/>
    </x:row>
    <x:row r="60">
      <x:c r="A60" s="19"/>
      <x:c r="B60" s="19"/>
      <x:c r="C60" s="19"/>
      <x:c r="D60" s="19"/>
      <x:c r="E60" s="19"/>
      <x:c r="F60" s="19"/>
      <x:c r="G60" s="19"/>
      <x:c r="H60" s="25"/>
      <x:c r="I60" s="112" t="str">
        <x:f>IF($A60="","",SUMIFS('PipelineStages'!$E$2:$E$100,'PipelineStages'!$A$2:$A$100,$E60,'PipelineStages'!$B$2:$B$100,$F60))</x:f>
      </x:c>
      <x:c r="J60" s="24"/>
      <x:c r="K60" s="19"/>
      <x:c r="L60" s="100" t="str">
        <x:f>IF($A60="","",IF(COUNTIFS('FollowUps'!$C$2:$C$500,$A60,'FollowUps'!$H$2:$H$500,"open")=0,"",MINIFS('FollowUps'!$E$2:$E$500,'FollowUps'!$C$2:$C$500,$A60,'FollowUps'!$H$2:$H$500,"open")))</x:f>
      </x:c>
      <x:c r="M60" s="19"/>
      <x:c r="N60" s="26"/>
      <x:c r="O60" s="19"/>
      <x:c r="P60" s="26"/>
      <x:c r="Q60" s="19"/>
      <x:c r="R60" s="26"/>
      <x:c r="S60" s="19"/>
      <x:c r="T60" s="19"/>
    </x:row>
    <x:row r="61">
      <x:c r="A61" s="19"/>
      <x:c r="B61" s="19"/>
      <x:c r="C61" s="19"/>
      <x:c r="D61" s="19"/>
      <x:c r="E61" s="19"/>
      <x:c r="F61" s="19"/>
      <x:c r="G61" s="19"/>
      <x:c r="H61" s="25"/>
      <x:c r="I61" s="112" t="str">
        <x:f>IF($A61="","",SUMIFS('PipelineStages'!$E$2:$E$100,'PipelineStages'!$A$2:$A$100,$E61,'PipelineStages'!$B$2:$B$100,$F61))</x:f>
      </x:c>
      <x:c r="J61" s="24"/>
      <x:c r="K61" s="19"/>
      <x:c r="L61" s="100" t="str">
        <x:f>IF($A61="","",IF(COUNTIFS('FollowUps'!$C$2:$C$500,$A61,'FollowUps'!$H$2:$H$500,"open")=0,"",MINIFS('FollowUps'!$E$2:$E$500,'FollowUps'!$C$2:$C$500,$A61,'FollowUps'!$H$2:$H$500,"open")))</x:f>
      </x:c>
      <x:c r="M61" s="19"/>
      <x:c r="N61" s="26"/>
      <x:c r="O61" s="19"/>
      <x:c r="P61" s="26"/>
      <x:c r="Q61" s="19"/>
      <x:c r="R61" s="26"/>
      <x:c r="S61" s="19"/>
      <x:c r="T61" s="19"/>
    </x:row>
    <x:row r="62">
      <x:c r="A62" s="19"/>
      <x:c r="B62" s="19"/>
      <x:c r="C62" s="19"/>
      <x:c r="D62" s="19"/>
      <x:c r="E62" s="19"/>
      <x:c r="F62" s="19"/>
      <x:c r="G62" s="19"/>
      <x:c r="H62" s="25"/>
      <x:c r="I62" s="112" t="str">
        <x:f>IF($A62="","",SUMIFS('PipelineStages'!$E$2:$E$100,'PipelineStages'!$A$2:$A$100,$E62,'PipelineStages'!$B$2:$B$100,$F62))</x:f>
      </x:c>
      <x:c r="J62" s="24"/>
      <x:c r="K62" s="19"/>
      <x:c r="L62" s="100" t="str">
        <x:f>IF($A62="","",IF(COUNTIFS('FollowUps'!$C$2:$C$500,$A62,'FollowUps'!$H$2:$H$500,"open")=0,"",MINIFS('FollowUps'!$E$2:$E$500,'FollowUps'!$C$2:$C$500,$A62,'FollowUps'!$H$2:$H$500,"open")))</x:f>
      </x:c>
      <x:c r="M62" s="19"/>
      <x:c r="N62" s="26"/>
      <x:c r="O62" s="19"/>
      <x:c r="P62" s="26"/>
      <x:c r="Q62" s="19"/>
      <x:c r="R62" s="26"/>
      <x:c r="S62" s="19"/>
      <x:c r="T62" s="19"/>
    </x:row>
    <x:row r="63">
      <x:c r="A63" s="19"/>
      <x:c r="B63" s="19"/>
      <x:c r="C63" s="19"/>
      <x:c r="D63" s="19"/>
      <x:c r="E63" s="19"/>
      <x:c r="F63" s="19"/>
      <x:c r="G63" s="19"/>
      <x:c r="H63" s="25"/>
      <x:c r="I63" s="112" t="str">
        <x:f>IF($A63="","",SUMIFS('PipelineStages'!$E$2:$E$100,'PipelineStages'!$A$2:$A$100,$E63,'PipelineStages'!$B$2:$B$100,$F63))</x:f>
      </x:c>
      <x:c r="J63" s="24"/>
      <x:c r="K63" s="19"/>
      <x:c r="L63" s="100" t="str">
        <x:f>IF($A63="","",IF(COUNTIFS('FollowUps'!$C$2:$C$500,$A63,'FollowUps'!$H$2:$H$500,"open")=0,"",MINIFS('FollowUps'!$E$2:$E$500,'FollowUps'!$C$2:$C$500,$A63,'FollowUps'!$H$2:$H$500,"open")))</x:f>
      </x:c>
      <x:c r="M63" s="19"/>
      <x:c r="N63" s="26"/>
      <x:c r="O63" s="19"/>
      <x:c r="P63" s="26"/>
      <x:c r="Q63" s="19"/>
      <x:c r="R63" s="26"/>
      <x:c r="S63" s="19"/>
      <x:c r="T63" s="19"/>
    </x:row>
    <x:row r="64">
      <x:c r="A64" s="19"/>
      <x:c r="B64" s="19"/>
      <x:c r="C64" s="19"/>
      <x:c r="D64" s="19"/>
      <x:c r="E64" s="19"/>
      <x:c r="F64" s="19"/>
      <x:c r="G64" s="19"/>
      <x:c r="H64" s="25"/>
      <x:c r="I64" s="112" t="str">
        <x:f>IF($A64="","",SUMIFS('PipelineStages'!$E$2:$E$100,'PipelineStages'!$A$2:$A$100,$E64,'PipelineStages'!$B$2:$B$100,$F64))</x:f>
      </x:c>
      <x:c r="J64" s="24"/>
      <x:c r="K64" s="19"/>
      <x:c r="L64" s="100" t="str">
        <x:f>IF($A64="","",IF(COUNTIFS('FollowUps'!$C$2:$C$500,$A64,'FollowUps'!$H$2:$H$500,"open")=0,"",MINIFS('FollowUps'!$E$2:$E$500,'FollowUps'!$C$2:$C$500,$A64,'FollowUps'!$H$2:$H$500,"open")))</x:f>
      </x:c>
      <x:c r="M64" s="19"/>
      <x:c r="N64" s="26"/>
      <x:c r="O64" s="19"/>
      <x:c r="P64" s="26"/>
      <x:c r="Q64" s="19"/>
      <x:c r="R64" s="26"/>
      <x:c r="S64" s="19"/>
      <x:c r="T64" s="19"/>
    </x:row>
    <x:row r="65">
      <x:c r="A65" s="19"/>
      <x:c r="B65" s="19"/>
      <x:c r="C65" s="19"/>
      <x:c r="D65" s="19"/>
      <x:c r="E65" s="19"/>
      <x:c r="F65" s="19"/>
      <x:c r="G65" s="19"/>
      <x:c r="H65" s="25"/>
      <x:c r="I65" s="112" t="str">
        <x:f>IF($A65="","",SUMIFS('PipelineStages'!$E$2:$E$100,'PipelineStages'!$A$2:$A$100,$E65,'PipelineStages'!$B$2:$B$100,$F65))</x:f>
      </x:c>
      <x:c r="J65" s="24"/>
      <x:c r="K65" s="19"/>
      <x:c r="L65" s="100" t="str">
        <x:f>IF($A65="","",IF(COUNTIFS('FollowUps'!$C$2:$C$500,$A65,'FollowUps'!$H$2:$H$500,"open")=0,"",MINIFS('FollowUps'!$E$2:$E$500,'FollowUps'!$C$2:$C$500,$A65,'FollowUps'!$H$2:$H$500,"open")))</x:f>
      </x:c>
      <x:c r="M65" s="19"/>
      <x:c r="N65" s="26"/>
      <x:c r="O65" s="19"/>
      <x:c r="P65" s="26"/>
      <x:c r="Q65" s="19"/>
      <x:c r="R65" s="26"/>
      <x:c r="S65" s="19"/>
      <x:c r="T65" s="19"/>
    </x:row>
    <x:row r="66">
      <x:c r="A66" s="19"/>
      <x:c r="B66" s="19"/>
      <x:c r="C66" s="19"/>
      <x:c r="D66" s="19"/>
      <x:c r="E66" s="19"/>
      <x:c r="F66" s="19"/>
      <x:c r="G66" s="19"/>
      <x:c r="H66" s="25"/>
      <x:c r="I66" s="112" t="str">
        <x:f>IF($A66="","",SUMIFS('PipelineStages'!$E$2:$E$100,'PipelineStages'!$A$2:$A$100,$E66,'PipelineStages'!$B$2:$B$100,$F66))</x:f>
      </x:c>
      <x:c r="J66" s="24"/>
      <x:c r="K66" s="19"/>
      <x:c r="L66" s="100" t="str">
        <x:f>IF($A66="","",IF(COUNTIFS('FollowUps'!$C$2:$C$500,$A66,'FollowUps'!$H$2:$H$500,"open")=0,"",MINIFS('FollowUps'!$E$2:$E$500,'FollowUps'!$C$2:$C$500,$A66,'FollowUps'!$H$2:$H$500,"open")))</x:f>
      </x:c>
      <x:c r="M66" s="19"/>
      <x:c r="N66" s="26"/>
      <x:c r="O66" s="19"/>
      <x:c r="P66" s="26"/>
      <x:c r="Q66" s="19"/>
      <x:c r="R66" s="26"/>
      <x:c r="S66" s="19"/>
      <x:c r="T66" s="19"/>
    </x:row>
    <x:row r="67">
      <x:c r="A67" s="19"/>
      <x:c r="B67" s="19"/>
      <x:c r="C67" s="19"/>
      <x:c r="D67" s="19"/>
      <x:c r="E67" s="19"/>
      <x:c r="F67" s="19"/>
      <x:c r="G67" s="19"/>
      <x:c r="H67" s="25"/>
      <x:c r="I67" s="112" t="str">
        <x:f>IF($A67="","",SUMIFS('PipelineStages'!$E$2:$E$100,'PipelineStages'!$A$2:$A$100,$E67,'PipelineStages'!$B$2:$B$100,$F67))</x:f>
      </x:c>
      <x:c r="J67" s="24"/>
      <x:c r="K67" s="19"/>
      <x:c r="L67" s="100" t="str">
        <x:f>IF($A67="","",IF(COUNTIFS('FollowUps'!$C$2:$C$500,$A67,'FollowUps'!$H$2:$H$500,"open")=0,"",MINIFS('FollowUps'!$E$2:$E$500,'FollowUps'!$C$2:$C$500,$A67,'FollowUps'!$H$2:$H$500,"open")))</x:f>
      </x:c>
      <x:c r="M67" s="19"/>
      <x:c r="N67" s="26"/>
      <x:c r="O67" s="19"/>
      <x:c r="P67" s="26"/>
      <x:c r="Q67" s="19"/>
      <x:c r="R67" s="26"/>
      <x:c r="S67" s="19"/>
      <x:c r="T67" s="19"/>
    </x:row>
    <x:row r="68">
      <x:c r="A68" s="19"/>
      <x:c r="B68" s="19"/>
      <x:c r="C68" s="19"/>
      <x:c r="D68" s="19"/>
      <x:c r="E68" s="19"/>
      <x:c r="F68" s="19"/>
      <x:c r="G68" s="19"/>
      <x:c r="H68" s="25"/>
      <x:c r="I68" s="112" t="str">
        <x:f>IF($A68="","",SUMIFS('PipelineStages'!$E$2:$E$100,'PipelineStages'!$A$2:$A$100,$E68,'PipelineStages'!$B$2:$B$100,$F68))</x:f>
      </x:c>
      <x:c r="J68" s="24"/>
      <x:c r="K68" s="19"/>
      <x:c r="L68" s="100" t="str">
        <x:f>IF($A68="","",IF(COUNTIFS('FollowUps'!$C$2:$C$500,$A68,'FollowUps'!$H$2:$H$500,"open")=0,"",MINIFS('FollowUps'!$E$2:$E$500,'FollowUps'!$C$2:$C$500,$A68,'FollowUps'!$H$2:$H$500,"open")))</x:f>
      </x:c>
      <x:c r="M68" s="19"/>
      <x:c r="N68" s="26"/>
      <x:c r="O68" s="19"/>
      <x:c r="P68" s="26"/>
      <x:c r="Q68" s="19"/>
      <x:c r="R68" s="26"/>
      <x:c r="S68" s="19"/>
      <x:c r="T68" s="19"/>
    </x:row>
    <x:row r="69">
      <x:c r="A69" s="19"/>
      <x:c r="B69" s="19"/>
      <x:c r="C69" s="19"/>
      <x:c r="D69" s="19"/>
      <x:c r="E69" s="19"/>
      <x:c r="F69" s="19"/>
      <x:c r="G69" s="19"/>
      <x:c r="H69" s="25"/>
      <x:c r="I69" s="112" t="str">
        <x:f>IF($A69="","",SUMIFS('PipelineStages'!$E$2:$E$100,'PipelineStages'!$A$2:$A$100,$E69,'PipelineStages'!$B$2:$B$100,$F69))</x:f>
      </x:c>
      <x:c r="J69" s="24"/>
      <x:c r="K69" s="19"/>
      <x:c r="L69" s="100" t="str">
        <x:f>IF($A69="","",IF(COUNTIFS('FollowUps'!$C$2:$C$500,$A69,'FollowUps'!$H$2:$H$500,"open")=0,"",MINIFS('FollowUps'!$E$2:$E$500,'FollowUps'!$C$2:$C$500,$A69,'FollowUps'!$H$2:$H$500,"open")))</x:f>
      </x:c>
      <x:c r="M69" s="19"/>
      <x:c r="N69" s="26"/>
      <x:c r="O69" s="19"/>
      <x:c r="P69" s="26"/>
      <x:c r="Q69" s="19"/>
      <x:c r="R69" s="26"/>
      <x:c r="S69" s="19"/>
      <x:c r="T69" s="19"/>
    </x:row>
    <x:row r="70">
      <x:c r="A70" s="19"/>
      <x:c r="B70" s="19"/>
      <x:c r="C70" s="19"/>
      <x:c r="D70" s="19"/>
      <x:c r="E70" s="19"/>
      <x:c r="F70" s="19"/>
      <x:c r="G70" s="19"/>
      <x:c r="H70" s="25"/>
      <x:c r="I70" s="112" t="str">
        <x:f>IF($A70="","",SUMIFS('PipelineStages'!$E$2:$E$100,'PipelineStages'!$A$2:$A$100,$E70,'PipelineStages'!$B$2:$B$100,$F70))</x:f>
      </x:c>
      <x:c r="J70" s="24"/>
      <x:c r="K70" s="19"/>
      <x:c r="L70" s="100" t="str">
        <x:f>IF($A70="","",IF(COUNTIFS('FollowUps'!$C$2:$C$500,$A70,'FollowUps'!$H$2:$H$500,"open")=0,"",MINIFS('FollowUps'!$E$2:$E$500,'FollowUps'!$C$2:$C$500,$A70,'FollowUps'!$H$2:$H$500,"open")))</x:f>
      </x:c>
      <x:c r="M70" s="19"/>
      <x:c r="N70" s="26"/>
      <x:c r="O70" s="19"/>
      <x:c r="P70" s="26"/>
      <x:c r="Q70" s="19"/>
      <x:c r="R70" s="26"/>
      <x:c r="S70" s="19"/>
      <x:c r="T70" s="19"/>
    </x:row>
    <x:row r="71">
      <x:c r="A71" s="19"/>
      <x:c r="B71" s="19"/>
      <x:c r="C71" s="19"/>
      <x:c r="D71" s="19"/>
      <x:c r="E71" s="19"/>
      <x:c r="F71" s="19"/>
      <x:c r="G71" s="19"/>
      <x:c r="H71" s="25"/>
      <x:c r="I71" s="112" t="str">
        <x:f>IF($A71="","",SUMIFS('PipelineStages'!$E$2:$E$100,'PipelineStages'!$A$2:$A$100,$E71,'PipelineStages'!$B$2:$B$100,$F71))</x:f>
      </x:c>
      <x:c r="J71" s="24"/>
      <x:c r="K71" s="19"/>
      <x:c r="L71" s="100" t="str">
        <x:f>IF($A71="","",IF(COUNTIFS('FollowUps'!$C$2:$C$500,$A71,'FollowUps'!$H$2:$H$500,"open")=0,"",MINIFS('FollowUps'!$E$2:$E$500,'FollowUps'!$C$2:$C$500,$A71,'FollowUps'!$H$2:$H$500,"open")))</x:f>
      </x:c>
      <x:c r="M71" s="19"/>
      <x:c r="N71" s="26"/>
      <x:c r="O71" s="19"/>
      <x:c r="P71" s="26"/>
      <x:c r="Q71" s="19"/>
      <x:c r="R71" s="26"/>
      <x:c r="S71" s="19"/>
      <x:c r="T71" s="19"/>
    </x:row>
    <x:row r="72">
      <x:c r="A72" s="19"/>
      <x:c r="B72" s="19"/>
      <x:c r="C72" s="19"/>
      <x:c r="D72" s="19"/>
      <x:c r="E72" s="19"/>
      <x:c r="F72" s="19"/>
      <x:c r="G72" s="19"/>
      <x:c r="H72" s="25"/>
      <x:c r="I72" s="112" t="str">
        <x:f>IF($A72="","",SUMIFS('PipelineStages'!$E$2:$E$100,'PipelineStages'!$A$2:$A$100,$E72,'PipelineStages'!$B$2:$B$100,$F72))</x:f>
      </x:c>
      <x:c r="J72" s="24"/>
      <x:c r="K72" s="19"/>
      <x:c r="L72" s="100" t="str">
        <x:f>IF($A72="","",IF(COUNTIFS('FollowUps'!$C$2:$C$500,$A72,'FollowUps'!$H$2:$H$500,"open")=0,"",MINIFS('FollowUps'!$E$2:$E$500,'FollowUps'!$C$2:$C$500,$A72,'FollowUps'!$H$2:$H$500,"open")))</x:f>
      </x:c>
      <x:c r="M72" s="19"/>
      <x:c r="N72" s="26"/>
      <x:c r="O72" s="19"/>
      <x:c r="P72" s="26"/>
      <x:c r="Q72" s="19"/>
      <x:c r="R72" s="26"/>
      <x:c r="S72" s="19"/>
      <x:c r="T72" s="19"/>
    </x:row>
    <x:row r="73">
      <x:c r="A73" s="19"/>
      <x:c r="B73" s="19"/>
      <x:c r="C73" s="19"/>
      <x:c r="D73" s="19"/>
      <x:c r="E73" s="19"/>
      <x:c r="F73" s="19"/>
      <x:c r="G73" s="19"/>
      <x:c r="H73" s="25"/>
      <x:c r="I73" s="112" t="str">
        <x:f>IF($A73="","",SUMIFS('PipelineStages'!$E$2:$E$100,'PipelineStages'!$A$2:$A$100,$E73,'PipelineStages'!$B$2:$B$100,$F73))</x:f>
      </x:c>
      <x:c r="J73" s="24"/>
      <x:c r="K73" s="19"/>
      <x:c r="L73" s="100" t="str">
        <x:f>IF($A73="","",IF(COUNTIFS('FollowUps'!$C$2:$C$500,$A73,'FollowUps'!$H$2:$H$500,"open")=0,"",MINIFS('FollowUps'!$E$2:$E$500,'FollowUps'!$C$2:$C$500,$A73,'FollowUps'!$H$2:$H$500,"open")))</x:f>
      </x:c>
      <x:c r="M73" s="19"/>
      <x:c r="N73" s="26"/>
      <x:c r="O73" s="19"/>
      <x:c r="P73" s="26"/>
      <x:c r="Q73" s="19"/>
      <x:c r="R73" s="26"/>
      <x:c r="S73" s="19"/>
      <x:c r="T73" s="19"/>
    </x:row>
    <x:row r="74">
      <x:c r="A74" s="19"/>
      <x:c r="B74" s="19"/>
      <x:c r="C74" s="19"/>
      <x:c r="D74" s="19"/>
      <x:c r="E74" s="19"/>
      <x:c r="F74" s="19"/>
      <x:c r="G74" s="19"/>
      <x:c r="H74" s="25"/>
      <x:c r="I74" s="112" t="str">
        <x:f>IF($A74="","",SUMIFS('PipelineStages'!$E$2:$E$100,'PipelineStages'!$A$2:$A$100,$E74,'PipelineStages'!$B$2:$B$100,$F74))</x:f>
      </x:c>
      <x:c r="J74" s="24"/>
      <x:c r="K74" s="19"/>
      <x:c r="L74" s="100" t="str">
        <x:f>IF($A74="","",IF(COUNTIFS('FollowUps'!$C$2:$C$500,$A74,'FollowUps'!$H$2:$H$500,"open")=0,"",MINIFS('FollowUps'!$E$2:$E$500,'FollowUps'!$C$2:$C$500,$A74,'FollowUps'!$H$2:$H$500,"open")))</x:f>
      </x:c>
      <x:c r="M74" s="19"/>
      <x:c r="N74" s="26"/>
      <x:c r="O74" s="19"/>
      <x:c r="P74" s="26"/>
      <x:c r="Q74" s="19"/>
      <x:c r="R74" s="26"/>
      <x:c r="S74" s="19"/>
      <x:c r="T74" s="19"/>
    </x:row>
    <x:row r="75">
      <x:c r="A75" s="19"/>
      <x:c r="B75" s="19"/>
      <x:c r="C75" s="19"/>
      <x:c r="D75" s="19"/>
      <x:c r="E75" s="19"/>
      <x:c r="F75" s="19"/>
      <x:c r="G75" s="19"/>
      <x:c r="H75" s="25"/>
      <x:c r="I75" s="112" t="str">
        <x:f>IF($A75="","",SUMIFS('PipelineStages'!$E$2:$E$100,'PipelineStages'!$A$2:$A$100,$E75,'PipelineStages'!$B$2:$B$100,$F75))</x:f>
      </x:c>
      <x:c r="J75" s="24"/>
      <x:c r="K75" s="19"/>
      <x:c r="L75" s="100" t="str">
        <x:f>IF($A75="","",IF(COUNTIFS('FollowUps'!$C$2:$C$500,$A75,'FollowUps'!$H$2:$H$500,"open")=0,"",MINIFS('FollowUps'!$E$2:$E$500,'FollowUps'!$C$2:$C$500,$A75,'FollowUps'!$H$2:$H$500,"open")))</x:f>
      </x:c>
      <x:c r="M75" s="19"/>
      <x:c r="N75" s="26"/>
      <x:c r="O75" s="19"/>
      <x:c r="P75" s="26"/>
      <x:c r="Q75" s="19"/>
      <x:c r="R75" s="26"/>
      <x:c r="S75" s="19"/>
      <x:c r="T75" s="19"/>
    </x:row>
    <x:row r="76">
      <x:c r="A76" s="19"/>
      <x:c r="B76" s="19"/>
      <x:c r="C76" s="19"/>
      <x:c r="D76" s="19"/>
      <x:c r="E76" s="19"/>
      <x:c r="F76" s="19"/>
      <x:c r="G76" s="19"/>
      <x:c r="H76" s="25"/>
      <x:c r="I76" s="112" t="str">
        <x:f>IF($A76="","",SUMIFS('PipelineStages'!$E$2:$E$100,'PipelineStages'!$A$2:$A$100,$E76,'PipelineStages'!$B$2:$B$100,$F76))</x:f>
      </x:c>
      <x:c r="J76" s="24"/>
      <x:c r="K76" s="19"/>
      <x:c r="L76" s="100" t="str">
        <x:f>IF($A76="","",IF(COUNTIFS('FollowUps'!$C$2:$C$500,$A76,'FollowUps'!$H$2:$H$500,"open")=0,"",MINIFS('FollowUps'!$E$2:$E$500,'FollowUps'!$C$2:$C$500,$A76,'FollowUps'!$H$2:$H$500,"open")))</x:f>
      </x:c>
      <x:c r="M76" s="19"/>
      <x:c r="N76" s="26"/>
      <x:c r="O76" s="19"/>
      <x:c r="P76" s="26"/>
      <x:c r="Q76" s="19"/>
      <x:c r="R76" s="26"/>
      <x:c r="S76" s="19"/>
      <x:c r="T76" s="19"/>
    </x:row>
    <x:row r="77">
      <x:c r="A77" s="19"/>
      <x:c r="B77" s="19"/>
      <x:c r="C77" s="19"/>
      <x:c r="D77" s="19"/>
      <x:c r="E77" s="19"/>
      <x:c r="F77" s="19"/>
      <x:c r="G77" s="19"/>
      <x:c r="H77" s="25"/>
      <x:c r="I77" s="112" t="str">
        <x:f>IF($A77="","",SUMIFS('PipelineStages'!$E$2:$E$100,'PipelineStages'!$A$2:$A$100,$E77,'PipelineStages'!$B$2:$B$100,$F77))</x:f>
      </x:c>
      <x:c r="J77" s="24"/>
      <x:c r="K77" s="19"/>
      <x:c r="L77" s="100" t="str">
        <x:f>IF($A77="","",IF(COUNTIFS('FollowUps'!$C$2:$C$500,$A77,'FollowUps'!$H$2:$H$500,"open")=0,"",MINIFS('FollowUps'!$E$2:$E$500,'FollowUps'!$C$2:$C$500,$A77,'FollowUps'!$H$2:$H$500,"open")))</x:f>
      </x:c>
      <x:c r="M77" s="19"/>
      <x:c r="N77" s="26"/>
      <x:c r="O77" s="19"/>
      <x:c r="P77" s="26"/>
      <x:c r="Q77" s="19"/>
      <x:c r="R77" s="26"/>
      <x:c r="S77" s="19"/>
      <x:c r="T77" s="19"/>
    </x:row>
    <x:row r="78">
      <x:c r="A78" s="19"/>
      <x:c r="B78" s="19"/>
      <x:c r="C78" s="19"/>
      <x:c r="D78" s="19"/>
      <x:c r="E78" s="19"/>
      <x:c r="F78" s="19"/>
      <x:c r="G78" s="19"/>
      <x:c r="H78" s="25"/>
      <x:c r="I78" s="112" t="str">
        <x:f>IF($A78="","",SUMIFS('PipelineStages'!$E$2:$E$100,'PipelineStages'!$A$2:$A$100,$E78,'PipelineStages'!$B$2:$B$100,$F78))</x:f>
      </x:c>
      <x:c r="J78" s="24"/>
      <x:c r="K78" s="19"/>
      <x:c r="L78" s="100" t="str">
        <x:f>IF($A78="","",IF(COUNTIFS('FollowUps'!$C$2:$C$500,$A78,'FollowUps'!$H$2:$H$500,"open")=0,"",MINIFS('FollowUps'!$E$2:$E$500,'FollowUps'!$C$2:$C$500,$A78,'FollowUps'!$H$2:$H$500,"open")))</x:f>
      </x:c>
      <x:c r="M78" s="19"/>
      <x:c r="N78" s="26"/>
      <x:c r="O78" s="19"/>
      <x:c r="P78" s="26"/>
      <x:c r="Q78" s="19"/>
      <x:c r="R78" s="26"/>
      <x:c r="S78" s="19"/>
      <x:c r="T78" s="19"/>
    </x:row>
    <x:row r="79">
      <x:c r="A79" s="19"/>
      <x:c r="B79" s="19"/>
      <x:c r="C79" s="19"/>
      <x:c r="D79" s="19"/>
      <x:c r="E79" s="19"/>
      <x:c r="F79" s="19"/>
      <x:c r="G79" s="19"/>
      <x:c r="H79" s="25"/>
      <x:c r="I79" s="112" t="str">
        <x:f>IF($A79="","",SUMIFS('PipelineStages'!$E$2:$E$100,'PipelineStages'!$A$2:$A$100,$E79,'PipelineStages'!$B$2:$B$100,$F79))</x:f>
      </x:c>
      <x:c r="J79" s="24"/>
      <x:c r="K79" s="19"/>
      <x:c r="L79" s="100" t="str">
        <x:f>IF($A79="","",IF(COUNTIFS('FollowUps'!$C$2:$C$500,$A79,'FollowUps'!$H$2:$H$500,"open")=0,"",MINIFS('FollowUps'!$E$2:$E$500,'FollowUps'!$C$2:$C$500,$A79,'FollowUps'!$H$2:$H$500,"open")))</x:f>
      </x:c>
      <x:c r="M79" s="19"/>
      <x:c r="N79" s="26"/>
      <x:c r="O79" s="19"/>
      <x:c r="P79" s="26"/>
      <x:c r="Q79" s="19"/>
      <x:c r="R79" s="26"/>
      <x:c r="S79" s="19"/>
      <x:c r="T79" s="19"/>
    </x:row>
    <x:row r="80">
      <x:c r="A80" s="19"/>
      <x:c r="B80" s="19"/>
      <x:c r="C80" s="19"/>
      <x:c r="D80" s="19"/>
      <x:c r="E80" s="19"/>
      <x:c r="F80" s="19"/>
      <x:c r="G80" s="19"/>
      <x:c r="H80" s="25"/>
      <x:c r="I80" s="112" t="str">
        <x:f>IF($A80="","",SUMIFS('PipelineStages'!$E$2:$E$100,'PipelineStages'!$A$2:$A$100,$E80,'PipelineStages'!$B$2:$B$100,$F80))</x:f>
      </x:c>
      <x:c r="J80" s="24"/>
      <x:c r="K80" s="19"/>
      <x:c r="L80" s="100" t="str">
        <x:f>IF($A80="","",IF(COUNTIFS('FollowUps'!$C$2:$C$500,$A80,'FollowUps'!$H$2:$H$500,"open")=0,"",MINIFS('FollowUps'!$E$2:$E$500,'FollowUps'!$C$2:$C$500,$A80,'FollowUps'!$H$2:$H$500,"open")))</x:f>
      </x:c>
      <x:c r="M80" s="19"/>
      <x:c r="N80" s="26"/>
      <x:c r="O80" s="19"/>
      <x:c r="P80" s="26"/>
      <x:c r="Q80" s="19"/>
      <x:c r="R80" s="26"/>
      <x:c r="S80" s="19"/>
      <x:c r="T80" s="19"/>
    </x:row>
    <x:row r="81">
      <x:c r="A81" s="19"/>
      <x:c r="B81" s="19"/>
      <x:c r="C81" s="19"/>
      <x:c r="D81" s="19"/>
      <x:c r="E81" s="19"/>
      <x:c r="F81" s="19"/>
      <x:c r="G81" s="19"/>
      <x:c r="H81" s="25"/>
      <x:c r="I81" s="112" t="str">
        <x:f>IF($A81="","",SUMIFS('PipelineStages'!$E$2:$E$100,'PipelineStages'!$A$2:$A$100,$E81,'PipelineStages'!$B$2:$B$100,$F81))</x:f>
      </x:c>
      <x:c r="J81" s="24"/>
      <x:c r="K81" s="19"/>
      <x:c r="L81" s="100" t="str">
        <x:f>IF($A81="","",IF(COUNTIFS('FollowUps'!$C$2:$C$500,$A81,'FollowUps'!$H$2:$H$500,"open")=0,"",MINIFS('FollowUps'!$E$2:$E$500,'FollowUps'!$C$2:$C$500,$A81,'FollowUps'!$H$2:$H$500,"open")))</x:f>
      </x:c>
      <x:c r="M81" s="19"/>
      <x:c r="N81" s="26"/>
      <x:c r="O81" s="19"/>
      <x:c r="P81" s="26"/>
      <x:c r="Q81" s="19"/>
      <x:c r="R81" s="26"/>
      <x:c r="S81" s="19"/>
      <x:c r="T81" s="19"/>
    </x:row>
    <x:row r="82">
      <x:c r="A82" s="19"/>
      <x:c r="B82" s="19"/>
      <x:c r="C82" s="19"/>
      <x:c r="D82" s="19"/>
      <x:c r="E82" s="19"/>
      <x:c r="F82" s="19"/>
      <x:c r="G82" s="19"/>
      <x:c r="H82" s="25"/>
      <x:c r="I82" s="112" t="str">
        <x:f>IF($A82="","",SUMIFS('PipelineStages'!$E$2:$E$100,'PipelineStages'!$A$2:$A$100,$E82,'PipelineStages'!$B$2:$B$100,$F82))</x:f>
      </x:c>
      <x:c r="J82" s="24"/>
      <x:c r="K82" s="19"/>
      <x:c r="L82" s="100" t="str">
        <x:f>IF($A82="","",IF(COUNTIFS('FollowUps'!$C$2:$C$500,$A82,'FollowUps'!$H$2:$H$500,"open")=0,"",MINIFS('FollowUps'!$E$2:$E$500,'FollowUps'!$C$2:$C$500,$A82,'FollowUps'!$H$2:$H$500,"open")))</x:f>
      </x:c>
      <x:c r="M82" s="19"/>
      <x:c r="N82" s="26"/>
      <x:c r="O82" s="19"/>
      <x:c r="P82" s="26"/>
      <x:c r="Q82" s="19"/>
      <x:c r="R82" s="26"/>
      <x:c r="S82" s="19"/>
      <x:c r="T82" s="19"/>
    </x:row>
    <x:row r="83">
      <x:c r="A83" s="19"/>
      <x:c r="B83" s="19"/>
      <x:c r="C83" s="19"/>
      <x:c r="D83" s="19"/>
      <x:c r="E83" s="19"/>
      <x:c r="F83" s="19"/>
      <x:c r="G83" s="19"/>
      <x:c r="H83" s="25"/>
      <x:c r="I83" s="112" t="str">
        <x:f>IF($A83="","",SUMIFS('PipelineStages'!$E$2:$E$100,'PipelineStages'!$A$2:$A$100,$E83,'PipelineStages'!$B$2:$B$100,$F83))</x:f>
      </x:c>
      <x:c r="J83" s="24"/>
      <x:c r="K83" s="19"/>
      <x:c r="L83" s="100" t="str">
        <x:f>IF($A83="","",IF(COUNTIFS('FollowUps'!$C$2:$C$500,$A83,'FollowUps'!$H$2:$H$500,"open")=0,"",MINIFS('FollowUps'!$E$2:$E$500,'FollowUps'!$C$2:$C$500,$A83,'FollowUps'!$H$2:$H$500,"open")))</x:f>
      </x:c>
      <x:c r="M83" s="19"/>
      <x:c r="N83" s="26"/>
      <x:c r="O83" s="19"/>
      <x:c r="P83" s="26"/>
      <x:c r="Q83" s="19"/>
      <x:c r="R83" s="26"/>
      <x:c r="S83" s="19"/>
      <x:c r="T83" s="19"/>
    </x:row>
    <x:row r="84">
      <x:c r="A84" s="19"/>
      <x:c r="B84" s="19"/>
      <x:c r="C84" s="19"/>
      <x:c r="D84" s="19"/>
      <x:c r="E84" s="19"/>
      <x:c r="F84" s="19"/>
      <x:c r="G84" s="19"/>
      <x:c r="H84" s="25"/>
      <x:c r="I84" s="112" t="str">
        <x:f>IF($A84="","",SUMIFS('PipelineStages'!$E$2:$E$100,'PipelineStages'!$A$2:$A$100,$E84,'PipelineStages'!$B$2:$B$100,$F84))</x:f>
      </x:c>
      <x:c r="J84" s="24"/>
      <x:c r="K84" s="19"/>
      <x:c r="L84" s="100" t="str">
        <x:f>IF($A84="","",IF(COUNTIFS('FollowUps'!$C$2:$C$500,$A84,'FollowUps'!$H$2:$H$500,"open")=0,"",MINIFS('FollowUps'!$E$2:$E$500,'FollowUps'!$C$2:$C$500,$A84,'FollowUps'!$H$2:$H$500,"open")))</x:f>
      </x:c>
      <x:c r="M84" s="19"/>
      <x:c r="N84" s="26"/>
      <x:c r="O84" s="19"/>
      <x:c r="P84" s="26"/>
      <x:c r="Q84" s="19"/>
      <x:c r="R84" s="26"/>
      <x:c r="S84" s="19"/>
      <x:c r="T84" s="19"/>
    </x:row>
    <x:row r="85">
      <x:c r="A85" s="19"/>
      <x:c r="B85" s="19"/>
      <x:c r="C85" s="19"/>
      <x:c r="D85" s="19"/>
      <x:c r="E85" s="19"/>
      <x:c r="F85" s="19"/>
      <x:c r="G85" s="19"/>
      <x:c r="H85" s="25"/>
      <x:c r="I85" s="112" t="str">
        <x:f>IF($A85="","",SUMIFS('PipelineStages'!$E$2:$E$100,'PipelineStages'!$A$2:$A$100,$E85,'PipelineStages'!$B$2:$B$100,$F85))</x:f>
      </x:c>
      <x:c r="J85" s="24"/>
      <x:c r="K85" s="19"/>
      <x:c r="L85" s="100" t="str">
        <x:f>IF($A85="","",IF(COUNTIFS('FollowUps'!$C$2:$C$500,$A85,'FollowUps'!$H$2:$H$500,"open")=0,"",MINIFS('FollowUps'!$E$2:$E$500,'FollowUps'!$C$2:$C$500,$A85,'FollowUps'!$H$2:$H$500,"open")))</x:f>
      </x:c>
      <x:c r="M85" s="19"/>
      <x:c r="N85" s="26"/>
      <x:c r="O85" s="19"/>
      <x:c r="P85" s="26"/>
      <x:c r="Q85" s="19"/>
      <x:c r="R85" s="26"/>
      <x:c r="S85" s="19"/>
      <x:c r="T85" s="19"/>
    </x:row>
    <x:row r="86">
      <x:c r="A86" s="19"/>
      <x:c r="B86" s="19"/>
      <x:c r="C86" s="19"/>
      <x:c r="D86" s="19"/>
      <x:c r="E86" s="19"/>
      <x:c r="F86" s="19"/>
      <x:c r="G86" s="19"/>
      <x:c r="H86" s="25"/>
      <x:c r="I86" s="112" t="str">
        <x:f>IF($A86="","",SUMIFS('PipelineStages'!$E$2:$E$100,'PipelineStages'!$A$2:$A$100,$E86,'PipelineStages'!$B$2:$B$100,$F86))</x:f>
      </x:c>
      <x:c r="J86" s="24"/>
      <x:c r="K86" s="19"/>
      <x:c r="L86" s="100" t="str">
        <x:f>IF($A86="","",IF(COUNTIFS('FollowUps'!$C$2:$C$500,$A86,'FollowUps'!$H$2:$H$500,"open")=0,"",MINIFS('FollowUps'!$E$2:$E$500,'FollowUps'!$C$2:$C$500,$A86,'FollowUps'!$H$2:$H$500,"open")))</x:f>
      </x:c>
      <x:c r="M86" s="19"/>
      <x:c r="N86" s="26"/>
      <x:c r="O86" s="19"/>
      <x:c r="P86" s="26"/>
      <x:c r="Q86" s="19"/>
      <x:c r="R86" s="26"/>
      <x:c r="S86" s="19"/>
      <x:c r="T86" s="19"/>
    </x:row>
    <x:row r="87">
      <x:c r="A87" s="19"/>
      <x:c r="B87" s="19"/>
      <x:c r="C87" s="19"/>
      <x:c r="D87" s="19"/>
      <x:c r="E87" s="19"/>
      <x:c r="F87" s="19"/>
      <x:c r="G87" s="19"/>
      <x:c r="H87" s="25"/>
      <x:c r="I87" s="112" t="str">
        <x:f>IF($A87="","",SUMIFS('PipelineStages'!$E$2:$E$100,'PipelineStages'!$A$2:$A$100,$E87,'PipelineStages'!$B$2:$B$100,$F87))</x:f>
      </x:c>
      <x:c r="J87" s="24"/>
      <x:c r="K87" s="19"/>
      <x:c r="L87" s="100" t="str">
        <x:f>IF($A87="","",IF(COUNTIFS('FollowUps'!$C$2:$C$500,$A87,'FollowUps'!$H$2:$H$500,"open")=0,"",MINIFS('FollowUps'!$E$2:$E$500,'FollowUps'!$C$2:$C$500,$A87,'FollowUps'!$H$2:$H$500,"open")))</x:f>
      </x:c>
      <x:c r="M87" s="19"/>
      <x:c r="N87" s="26"/>
      <x:c r="O87" s="19"/>
      <x:c r="P87" s="26"/>
      <x:c r="Q87" s="19"/>
      <x:c r="R87" s="26"/>
      <x:c r="S87" s="19"/>
      <x:c r="T87" s="19"/>
    </x:row>
    <x:row r="88">
      <x:c r="A88" s="19"/>
      <x:c r="B88" s="19"/>
      <x:c r="C88" s="19"/>
      <x:c r="D88" s="19"/>
      <x:c r="E88" s="19"/>
      <x:c r="F88" s="19"/>
      <x:c r="G88" s="19"/>
      <x:c r="H88" s="25"/>
      <x:c r="I88" s="112" t="str">
        <x:f>IF($A88="","",SUMIFS('PipelineStages'!$E$2:$E$100,'PipelineStages'!$A$2:$A$100,$E88,'PipelineStages'!$B$2:$B$100,$F88))</x:f>
      </x:c>
      <x:c r="J88" s="24"/>
      <x:c r="K88" s="19"/>
      <x:c r="L88" s="100" t="str">
        <x:f>IF($A88="","",IF(COUNTIFS('FollowUps'!$C$2:$C$500,$A88,'FollowUps'!$H$2:$H$500,"open")=0,"",MINIFS('FollowUps'!$E$2:$E$500,'FollowUps'!$C$2:$C$500,$A88,'FollowUps'!$H$2:$H$500,"open")))</x:f>
      </x:c>
      <x:c r="M88" s="19"/>
      <x:c r="N88" s="26"/>
      <x:c r="O88" s="19"/>
      <x:c r="P88" s="26"/>
      <x:c r="Q88" s="19"/>
      <x:c r="R88" s="26"/>
      <x:c r="S88" s="19"/>
      <x:c r="T88" s="19"/>
    </x:row>
    <x:row r="89">
      <x:c r="A89" s="19"/>
      <x:c r="B89" s="19"/>
      <x:c r="C89" s="19"/>
      <x:c r="D89" s="19"/>
      <x:c r="E89" s="19"/>
      <x:c r="F89" s="19"/>
      <x:c r="G89" s="19"/>
      <x:c r="H89" s="25"/>
      <x:c r="I89" s="112" t="str">
        <x:f>IF($A89="","",SUMIFS('PipelineStages'!$E$2:$E$100,'PipelineStages'!$A$2:$A$100,$E89,'PipelineStages'!$B$2:$B$100,$F89))</x:f>
      </x:c>
      <x:c r="J89" s="24"/>
      <x:c r="K89" s="19"/>
      <x:c r="L89" s="100" t="str">
        <x:f>IF($A89="","",IF(COUNTIFS('FollowUps'!$C$2:$C$500,$A89,'FollowUps'!$H$2:$H$500,"open")=0,"",MINIFS('FollowUps'!$E$2:$E$500,'FollowUps'!$C$2:$C$500,$A89,'FollowUps'!$H$2:$H$500,"open")))</x:f>
      </x:c>
      <x:c r="M89" s="19"/>
      <x:c r="N89" s="26"/>
      <x:c r="O89" s="19"/>
      <x:c r="P89" s="26"/>
      <x:c r="Q89" s="19"/>
      <x:c r="R89" s="26"/>
      <x:c r="S89" s="19"/>
      <x:c r="T89" s="19"/>
    </x:row>
    <x:row r="90">
      <x:c r="A90" s="19"/>
      <x:c r="B90" s="19"/>
      <x:c r="C90" s="19"/>
      <x:c r="D90" s="19"/>
      <x:c r="E90" s="19"/>
      <x:c r="F90" s="19"/>
      <x:c r="G90" s="19"/>
      <x:c r="H90" s="25"/>
      <x:c r="I90" s="112" t="str">
        <x:f>IF($A90="","",SUMIFS('PipelineStages'!$E$2:$E$100,'PipelineStages'!$A$2:$A$100,$E90,'PipelineStages'!$B$2:$B$100,$F90))</x:f>
      </x:c>
      <x:c r="J90" s="24"/>
      <x:c r="K90" s="19"/>
      <x:c r="L90" s="100" t="str">
        <x:f>IF($A90="","",IF(COUNTIFS('FollowUps'!$C$2:$C$500,$A90,'FollowUps'!$H$2:$H$500,"open")=0,"",MINIFS('FollowUps'!$E$2:$E$500,'FollowUps'!$C$2:$C$500,$A90,'FollowUps'!$H$2:$H$500,"open")))</x:f>
      </x:c>
      <x:c r="M90" s="19"/>
      <x:c r="N90" s="26"/>
      <x:c r="O90" s="19"/>
      <x:c r="P90" s="26"/>
      <x:c r="Q90" s="19"/>
      <x:c r="R90" s="26"/>
      <x:c r="S90" s="19"/>
      <x:c r="T90" s="19"/>
    </x:row>
    <x:row r="91">
      <x:c r="A91" s="19"/>
      <x:c r="B91" s="19"/>
      <x:c r="C91" s="19"/>
      <x:c r="D91" s="19"/>
      <x:c r="E91" s="19"/>
      <x:c r="F91" s="19"/>
      <x:c r="G91" s="19"/>
      <x:c r="H91" s="25"/>
      <x:c r="I91" s="112" t="str">
        <x:f>IF($A91="","",SUMIFS('PipelineStages'!$E$2:$E$100,'PipelineStages'!$A$2:$A$100,$E91,'PipelineStages'!$B$2:$B$100,$F91))</x:f>
      </x:c>
      <x:c r="J91" s="24"/>
      <x:c r="K91" s="19"/>
      <x:c r="L91" s="100" t="str">
        <x:f>IF($A91="","",IF(COUNTIFS('FollowUps'!$C$2:$C$500,$A91,'FollowUps'!$H$2:$H$500,"open")=0,"",MINIFS('FollowUps'!$E$2:$E$500,'FollowUps'!$C$2:$C$500,$A91,'FollowUps'!$H$2:$H$500,"open")))</x:f>
      </x:c>
      <x:c r="M91" s="19"/>
      <x:c r="N91" s="26"/>
      <x:c r="O91" s="19"/>
      <x:c r="P91" s="26"/>
      <x:c r="Q91" s="19"/>
      <x:c r="R91" s="26"/>
      <x:c r="S91" s="19"/>
      <x:c r="T91" s="19"/>
    </x:row>
    <x:row r="92">
      <x:c r="A92" s="19"/>
      <x:c r="B92" s="19"/>
      <x:c r="C92" s="19"/>
      <x:c r="D92" s="19"/>
      <x:c r="E92" s="19"/>
      <x:c r="F92" s="19"/>
      <x:c r="G92" s="19"/>
      <x:c r="H92" s="25"/>
      <x:c r="I92" s="112" t="str">
        <x:f>IF($A92="","",SUMIFS('PipelineStages'!$E$2:$E$100,'PipelineStages'!$A$2:$A$100,$E92,'PipelineStages'!$B$2:$B$100,$F92))</x:f>
      </x:c>
      <x:c r="J92" s="24"/>
      <x:c r="K92" s="19"/>
      <x:c r="L92" s="100" t="str">
        <x:f>IF($A92="","",IF(COUNTIFS('FollowUps'!$C$2:$C$500,$A92,'FollowUps'!$H$2:$H$500,"open")=0,"",MINIFS('FollowUps'!$E$2:$E$500,'FollowUps'!$C$2:$C$500,$A92,'FollowUps'!$H$2:$H$500,"open")))</x:f>
      </x:c>
      <x:c r="M92" s="19"/>
      <x:c r="N92" s="26"/>
      <x:c r="O92" s="19"/>
      <x:c r="P92" s="26"/>
      <x:c r="Q92" s="19"/>
      <x:c r="R92" s="26"/>
      <x:c r="S92" s="19"/>
      <x:c r="T92" s="19"/>
    </x:row>
    <x:row r="93">
      <x:c r="A93" s="19"/>
      <x:c r="B93" s="19"/>
      <x:c r="C93" s="19"/>
      <x:c r="D93" s="19"/>
      <x:c r="E93" s="19"/>
      <x:c r="F93" s="19"/>
      <x:c r="G93" s="19"/>
      <x:c r="H93" s="25"/>
      <x:c r="I93" s="112" t="str">
        <x:f>IF($A93="","",SUMIFS('PipelineStages'!$E$2:$E$100,'PipelineStages'!$A$2:$A$100,$E93,'PipelineStages'!$B$2:$B$100,$F93))</x:f>
      </x:c>
      <x:c r="J93" s="24"/>
      <x:c r="K93" s="19"/>
      <x:c r="L93" s="100" t="str">
        <x:f>IF($A93="","",IF(COUNTIFS('FollowUps'!$C$2:$C$500,$A93,'FollowUps'!$H$2:$H$500,"open")=0,"",MINIFS('FollowUps'!$E$2:$E$500,'FollowUps'!$C$2:$C$500,$A93,'FollowUps'!$H$2:$H$500,"open")))</x:f>
      </x:c>
      <x:c r="M93" s="19"/>
      <x:c r="N93" s="26"/>
      <x:c r="O93" s="19"/>
      <x:c r="P93" s="26"/>
      <x:c r="Q93" s="19"/>
      <x:c r="R93" s="26"/>
      <x:c r="S93" s="19"/>
      <x:c r="T93" s="19"/>
    </x:row>
    <x:row r="94">
      <x:c r="A94" s="19"/>
      <x:c r="B94" s="19"/>
      <x:c r="C94" s="19"/>
      <x:c r="D94" s="19"/>
      <x:c r="E94" s="19"/>
      <x:c r="F94" s="19"/>
      <x:c r="G94" s="19"/>
      <x:c r="H94" s="25"/>
      <x:c r="I94" s="112" t="str">
        <x:f>IF($A94="","",SUMIFS('PipelineStages'!$E$2:$E$100,'PipelineStages'!$A$2:$A$100,$E94,'PipelineStages'!$B$2:$B$100,$F94))</x:f>
      </x:c>
      <x:c r="J94" s="24"/>
      <x:c r="K94" s="19"/>
      <x:c r="L94" s="100" t="str">
        <x:f>IF($A94="","",IF(COUNTIFS('FollowUps'!$C$2:$C$500,$A94,'FollowUps'!$H$2:$H$500,"open")=0,"",MINIFS('FollowUps'!$E$2:$E$500,'FollowUps'!$C$2:$C$500,$A94,'FollowUps'!$H$2:$H$500,"open")))</x:f>
      </x:c>
      <x:c r="M94" s="19"/>
      <x:c r="N94" s="26"/>
      <x:c r="O94" s="19"/>
      <x:c r="P94" s="26"/>
      <x:c r="Q94" s="19"/>
      <x:c r="R94" s="26"/>
      <x:c r="S94" s="19"/>
      <x:c r="T94" s="19"/>
    </x:row>
    <x:row r="95">
      <x:c r="A95" s="19"/>
      <x:c r="B95" s="19"/>
      <x:c r="C95" s="19"/>
      <x:c r="D95" s="19"/>
      <x:c r="E95" s="19"/>
      <x:c r="F95" s="19"/>
      <x:c r="G95" s="19"/>
      <x:c r="H95" s="25"/>
      <x:c r="I95" s="112" t="str">
        <x:f>IF($A95="","",SUMIFS('PipelineStages'!$E$2:$E$100,'PipelineStages'!$A$2:$A$100,$E95,'PipelineStages'!$B$2:$B$100,$F95))</x:f>
      </x:c>
      <x:c r="J95" s="24"/>
      <x:c r="K95" s="19"/>
      <x:c r="L95" s="100" t="str">
        <x:f>IF($A95="","",IF(COUNTIFS('FollowUps'!$C$2:$C$500,$A95,'FollowUps'!$H$2:$H$500,"open")=0,"",MINIFS('FollowUps'!$E$2:$E$500,'FollowUps'!$C$2:$C$500,$A95,'FollowUps'!$H$2:$H$500,"open")))</x:f>
      </x:c>
      <x:c r="M95" s="19"/>
      <x:c r="N95" s="26"/>
      <x:c r="O95" s="19"/>
      <x:c r="P95" s="26"/>
      <x:c r="Q95" s="19"/>
      <x:c r="R95" s="26"/>
      <x:c r="S95" s="19"/>
      <x:c r="T95" s="19"/>
    </x:row>
    <x:row r="96">
      <x:c r="A96" s="19"/>
      <x:c r="B96" s="19"/>
      <x:c r="C96" s="19"/>
      <x:c r="D96" s="19"/>
      <x:c r="E96" s="19"/>
      <x:c r="F96" s="19"/>
      <x:c r="G96" s="19"/>
      <x:c r="H96" s="25"/>
      <x:c r="I96" s="112" t="str">
        <x:f>IF($A96="","",SUMIFS('PipelineStages'!$E$2:$E$100,'PipelineStages'!$A$2:$A$100,$E96,'PipelineStages'!$B$2:$B$100,$F96))</x:f>
      </x:c>
      <x:c r="J96" s="24"/>
      <x:c r="K96" s="19"/>
      <x:c r="L96" s="100" t="str">
        <x:f>IF($A96="","",IF(COUNTIFS('FollowUps'!$C$2:$C$500,$A96,'FollowUps'!$H$2:$H$500,"open")=0,"",MINIFS('FollowUps'!$E$2:$E$500,'FollowUps'!$C$2:$C$500,$A96,'FollowUps'!$H$2:$H$500,"open")))</x:f>
      </x:c>
      <x:c r="M96" s="19"/>
      <x:c r="N96" s="26"/>
      <x:c r="O96" s="19"/>
      <x:c r="P96" s="26"/>
      <x:c r="Q96" s="19"/>
      <x:c r="R96" s="26"/>
      <x:c r="S96" s="19"/>
      <x:c r="T96" s="19"/>
    </x:row>
    <x:row r="97">
      <x:c r="A97" s="19"/>
      <x:c r="B97" s="19"/>
      <x:c r="C97" s="19"/>
      <x:c r="D97" s="19"/>
      <x:c r="E97" s="19"/>
      <x:c r="F97" s="19"/>
      <x:c r="G97" s="19"/>
      <x:c r="H97" s="25"/>
      <x:c r="I97" s="112" t="str">
        <x:f>IF($A97="","",SUMIFS('PipelineStages'!$E$2:$E$100,'PipelineStages'!$A$2:$A$100,$E97,'PipelineStages'!$B$2:$B$100,$F97))</x:f>
      </x:c>
      <x:c r="J97" s="24"/>
      <x:c r="K97" s="19"/>
      <x:c r="L97" s="100" t="str">
        <x:f>IF($A97="","",IF(COUNTIFS('FollowUps'!$C$2:$C$500,$A97,'FollowUps'!$H$2:$H$500,"open")=0,"",MINIFS('FollowUps'!$E$2:$E$500,'FollowUps'!$C$2:$C$500,$A97,'FollowUps'!$H$2:$H$500,"open")))</x:f>
      </x:c>
      <x:c r="M97" s="19"/>
      <x:c r="N97" s="26"/>
      <x:c r="O97" s="19"/>
      <x:c r="P97" s="26"/>
      <x:c r="Q97" s="19"/>
      <x:c r="R97" s="26"/>
      <x:c r="S97" s="19"/>
      <x:c r="T97" s="19"/>
    </x:row>
    <x:row r="98">
      <x:c r="A98" s="19"/>
      <x:c r="B98" s="19"/>
      <x:c r="C98" s="19"/>
      <x:c r="D98" s="19"/>
      <x:c r="E98" s="19"/>
      <x:c r="F98" s="19"/>
      <x:c r="G98" s="19"/>
      <x:c r="H98" s="25"/>
      <x:c r="I98" s="112" t="str">
        <x:f>IF($A98="","",SUMIFS('PipelineStages'!$E$2:$E$100,'PipelineStages'!$A$2:$A$100,$E98,'PipelineStages'!$B$2:$B$100,$F98))</x:f>
      </x:c>
      <x:c r="J98" s="24"/>
      <x:c r="K98" s="19"/>
      <x:c r="L98" s="100" t="str">
        <x:f>IF($A98="","",IF(COUNTIFS('FollowUps'!$C$2:$C$500,$A98,'FollowUps'!$H$2:$H$500,"open")=0,"",MINIFS('FollowUps'!$E$2:$E$500,'FollowUps'!$C$2:$C$500,$A98,'FollowUps'!$H$2:$H$500,"open")))</x:f>
      </x:c>
      <x:c r="M98" s="19"/>
      <x:c r="N98" s="26"/>
      <x:c r="O98" s="19"/>
      <x:c r="P98" s="26"/>
      <x:c r="Q98" s="19"/>
      <x:c r="R98" s="26"/>
      <x:c r="S98" s="19"/>
      <x:c r="T98" s="19"/>
    </x:row>
    <x:row r="99">
      <x:c r="A99" s="19"/>
      <x:c r="B99" s="19"/>
      <x:c r="C99" s="19"/>
      <x:c r="D99" s="19"/>
      <x:c r="E99" s="19"/>
      <x:c r="F99" s="19"/>
      <x:c r="G99" s="19"/>
      <x:c r="H99" s="25"/>
      <x:c r="I99" s="112" t="str">
        <x:f>IF($A99="","",SUMIFS('PipelineStages'!$E$2:$E$100,'PipelineStages'!$A$2:$A$100,$E99,'PipelineStages'!$B$2:$B$100,$F99))</x:f>
      </x:c>
      <x:c r="J99" s="24"/>
      <x:c r="K99" s="19"/>
      <x:c r="L99" s="100" t="str">
        <x:f>IF($A99="","",IF(COUNTIFS('FollowUps'!$C$2:$C$500,$A99,'FollowUps'!$H$2:$H$500,"open")=0,"",MINIFS('FollowUps'!$E$2:$E$500,'FollowUps'!$C$2:$C$500,$A99,'FollowUps'!$H$2:$H$500,"open")))</x:f>
      </x:c>
      <x:c r="M99" s="19"/>
      <x:c r="N99" s="26"/>
      <x:c r="O99" s="19"/>
      <x:c r="P99" s="26"/>
      <x:c r="Q99" s="19"/>
      <x:c r="R99" s="26"/>
      <x:c r="S99" s="19"/>
      <x:c r="T99" s="19"/>
    </x:row>
    <x:row r="100">
      <x:c r="A100" s="19"/>
      <x:c r="B100" s="19"/>
      <x:c r="C100" s="19"/>
      <x:c r="D100" s="19"/>
      <x:c r="E100" s="19"/>
      <x:c r="F100" s="19"/>
      <x:c r="G100" s="19"/>
      <x:c r="H100" s="25"/>
      <x:c r="I100" s="112" t="str">
        <x:f>IF($A100="","",SUMIFS('PipelineStages'!$E$2:$E$100,'PipelineStages'!$A$2:$A$100,$E100,'PipelineStages'!$B$2:$B$100,$F100))</x:f>
      </x:c>
      <x:c r="J100" s="24"/>
      <x:c r="K100" s="19"/>
      <x:c r="L100" s="100" t="str">
        <x:f>IF($A100="","",IF(COUNTIFS('FollowUps'!$C$2:$C$500,$A100,'FollowUps'!$H$2:$H$500,"open")=0,"",MINIFS('FollowUps'!$E$2:$E$500,'FollowUps'!$C$2:$C$500,$A100,'FollowUps'!$H$2:$H$500,"open")))</x:f>
      </x:c>
      <x:c r="M100" s="19"/>
      <x:c r="N100" s="26"/>
      <x:c r="O100" s="19"/>
      <x:c r="P100" s="26"/>
      <x:c r="Q100" s="19"/>
      <x:c r="R100" s="26"/>
      <x:c r="S100" s="19"/>
      <x:c r="T100" s="19"/>
    </x:row>
    <x:row r="101">
      <x:c r="A101" s="19"/>
      <x:c r="B101" s="19"/>
      <x:c r="C101" s="19"/>
      <x:c r="D101" s="19"/>
      <x:c r="E101" s="19"/>
      <x:c r="F101" s="19"/>
      <x:c r="G101" s="19"/>
      <x:c r="H101" s="25"/>
      <x:c r="I101" s="112" t="str">
        <x:f>IF($A101="","",SUMIFS('PipelineStages'!$E$2:$E$100,'PipelineStages'!$A$2:$A$100,$E101,'PipelineStages'!$B$2:$B$100,$F101))</x:f>
      </x:c>
      <x:c r="J101" s="24"/>
      <x:c r="K101" s="19"/>
      <x:c r="L101" s="100" t="str">
        <x:f>IF($A101="","",IF(COUNTIFS('FollowUps'!$C$2:$C$500,$A101,'FollowUps'!$H$2:$H$500,"open")=0,"",MINIFS('FollowUps'!$E$2:$E$500,'FollowUps'!$C$2:$C$500,$A101,'FollowUps'!$H$2:$H$500,"open")))</x:f>
      </x:c>
      <x:c r="M101" s="19"/>
      <x:c r="N101" s="26"/>
      <x:c r="O101" s="19"/>
      <x:c r="P101" s="26"/>
      <x:c r="Q101" s="19"/>
      <x:c r="R101" s="26"/>
      <x:c r="S101" s="19"/>
      <x:c r="T101" s="19"/>
    </x:row>
    <x:row r="102">
      <x:c r="A102" s="19"/>
      <x:c r="B102" s="19"/>
      <x:c r="C102" s="19"/>
      <x:c r="D102" s="19"/>
      <x:c r="E102" s="19"/>
      <x:c r="F102" s="19"/>
      <x:c r="G102" s="19"/>
      <x:c r="H102" s="25"/>
      <x:c r="I102" s="112" t="str">
        <x:f>IF($A102="","",SUMIFS('PipelineStages'!$E$2:$E$100,'PipelineStages'!$A$2:$A$100,$E102,'PipelineStages'!$B$2:$B$100,$F102))</x:f>
      </x:c>
      <x:c r="J102" s="24"/>
      <x:c r="K102" s="19"/>
      <x:c r="L102" s="100" t="str">
        <x:f>IF($A102="","",IF(COUNTIFS('FollowUps'!$C$2:$C$500,$A102,'FollowUps'!$H$2:$H$500,"open")=0,"",MINIFS('FollowUps'!$E$2:$E$500,'FollowUps'!$C$2:$C$500,$A102,'FollowUps'!$H$2:$H$500,"open")))</x:f>
      </x:c>
      <x:c r="M102" s="19"/>
      <x:c r="N102" s="26"/>
      <x:c r="O102" s="19"/>
      <x:c r="P102" s="26"/>
      <x:c r="Q102" s="19"/>
      <x:c r="R102" s="26"/>
      <x:c r="S102" s="19"/>
      <x:c r="T102" s="19"/>
    </x:row>
    <x:row r="103">
      <x:c r="A103" s="19"/>
      <x:c r="B103" s="19"/>
      <x:c r="C103" s="19"/>
      <x:c r="D103" s="19"/>
      <x:c r="E103" s="19"/>
      <x:c r="F103" s="19"/>
      <x:c r="G103" s="19"/>
      <x:c r="H103" s="25"/>
      <x:c r="I103" s="112" t="str">
        <x:f>IF($A103="","",SUMIFS('PipelineStages'!$E$2:$E$100,'PipelineStages'!$A$2:$A$100,$E103,'PipelineStages'!$B$2:$B$100,$F103))</x:f>
      </x:c>
      <x:c r="J103" s="24"/>
      <x:c r="K103" s="19"/>
      <x:c r="L103" s="100" t="str">
        <x:f>IF($A103="","",IF(COUNTIFS('FollowUps'!$C$2:$C$500,$A103,'FollowUps'!$H$2:$H$500,"open")=0,"",MINIFS('FollowUps'!$E$2:$E$500,'FollowUps'!$C$2:$C$500,$A103,'FollowUps'!$H$2:$H$500,"open")))</x:f>
      </x:c>
      <x:c r="M103" s="19"/>
      <x:c r="N103" s="26"/>
      <x:c r="O103" s="19"/>
      <x:c r="P103" s="26"/>
      <x:c r="Q103" s="19"/>
      <x:c r="R103" s="26"/>
      <x:c r="S103" s="19"/>
      <x:c r="T103" s="19"/>
    </x:row>
    <x:row r="104">
      <x:c r="A104" s="19"/>
      <x:c r="B104" s="19"/>
      <x:c r="C104" s="19"/>
      <x:c r="D104" s="19"/>
      <x:c r="E104" s="19"/>
      <x:c r="F104" s="19"/>
      <x:c r="G104" s="19"/>
      <x:c r="H104" s="25"/>
      <x:c r="I104" s="112" t="str">
        <x:f>IF($A104="","",SUMIFS('PipelineStages'!$E$2:$E$100,'PipelineStages'!$A$2:$A$100,$E104,'PipelineStages'!$B$2:$B$100,$F104))</x:f>
      </x:c>
      <x:c r="J104" s="24"/>
      <x:c r="K104" s="19"/>
      <x:c r="L104" s="100" t="str">
        <x:f>IF($A104="","",IF(COUNTIFS('FollowUps'!$C$2:$C$500,$A104,'FollowUps'!$H$2:$H$500,"open")=0,"",MINIFS('FollowUps'!$E$2:$E$500,'FollowUps'!$C$2:$C$500,$A104,'FollowUps'!$H$2:$H$500,"open")))</x:f>
      </x:c>
      <x:c r="M104" s="19"/>
      <x:c r="N104" s="26"/>
      <x:c r="O104" s="19"/>
      <x:c r="P104" s="26"/>
      <x:c r="Q104" s="19"/>
      <x:c r="R104" s="26"/>
      <x:c r="S104" s="19"/>
      <x:c r="T104" s="19"/>
    </x:row>
    <x:row r="105">
      <x:c r="A105" s="19"/>
      <x:c r="B105" s="19"/>
      <x:c r="C105" s="19"/>
      <x:c r="D105" s="19"/>
      <x:c r="E105" s="19"/>
      <x:c r="F105" s="19"/>
      <x:c r="G105" s="19"/>
      <x:c r="H105" s="25"/>
      <x:c r="I105" s="112" t="str">
        <x:f>IF($A105="","",SUMIFS('PipelineStages'!$E$2:$E$100,'PipelineStages'!$A$2:$A$100,$E105,'PipelineStages'!$B$2:$B$100,$F105))</x:f>
      </x:c>
      <x:c r="J105" s="24"/>
      <x:c r="K105" s="19"/>
      <x:c r="L105" s="100" t="str">
        <x:f>IF($A105="","",IF(COUNTIFS('FollowUps'!$C$2:$C$500,$A105,'FollowUps'!$H$2:$H$500,"open")=0,"",MINIFS('FollowUps'!$E$2:$E$500,'FollowUps'!$C$2:$C$500,$A105,'FollowUps'!$H$2:$H$500,"open")))</x:f>
      </x:c>
      <x:c r="M105" s="19"/>
      <x:c r="N105" s="26"/>
      <x:c r="O105" s="19"/>
      <x:c r="P105" s="26"/>
      <x:c r="Q105" s="19"/>
      <x:c r="R105" s="26"/>
      <x:c r="S105" s="19"/>
      <x:c r="T105" s="19"/>
    </x:row>
    <x:row r="106">
      <x:c r="A106" s="19"/>
      <x:c r="B106" s="19"/>
      <x:c r="C106" s="19"/>
      <x:c r="D106" s="19"/>
      <x:c r="E106" s="19"/>
      <x:c r="F106" s="19"/>
      <x:c r="G106" s="19"/>
      <x:c r="H106" s="25"/>
      <x:c r="I106" s="112" t="str">
        <x:f>IF($A106="","",SUMIFS('PipelineStages'!$E$2:$E$100,'PipelineStages'!$A$2:$A$100,$E106,'PipelineStages'!$B$2:$B$100,$F106))</x:f>
      </x:c>
      <x:c r="J106" s="24"/>
      <x:c r="K106" s="19"/>
      <x:c r="L106" s="100" t="str">
        <x:f>IF($A106="","",IF(COUNTIFS('FollowUps'!$C$2:$C$500,$A106,'FollowUps'!$H$2:$H$500,"open")=0,"",MINIFS('FollowUps'!$E$2:$E$500,'FollowUps'!$C$2:$C$500,$A106,'FollowUps'!$H$2:$H$500,"open")))</x:f>
      </x:c>
      <x:c r="M106" s="19"/>
      <x:c r="N106" s="26"/>
      <x:c r="O106" s="19"/>
      <x:c r="P106" s="26"/>
      <x:c r="Q106" s="19"/>
      <x:c r="R106" s="26"/>
      <x:c r="S106" s="19"/>
      <x:c r="T106" s="19"/>
    </x:row>
    <x:row r="107">
      <x:c r="A107" s="19"/>
      <x:c r="B107" s="19"/>
      <x:c r="C107" s="19"/>
      <x:c r="D107" s="19"/>
      <x:c r="E107" s="19"/>
      <x:c r="F107" s="19"/>
      <x:c r="G107" s="19"/>
      <x:c r="H107" s="25"/>
      <x:c r="I107" s="112" t="str">
        <x:f>IF($A107="","",SUMIFS('PipelineStages'!$E$2:$E$100,'PipelineStages'!$A$2:$A$100,$E107,'PipelineStages'!$B$2:$B$100,$F107))</x:f>
      </x:c>
      <x:c r="J107" s="24"/>
      <x:c r="K107" s="19"/>
      <x:c r="L107" s="100" t="str">
        <x:f>IF($A107="","",IF(COUNTIFS('FollowUps'!$C$2:$C$500,$A107,'FollowUps'!$H$2:$H$500,"open")=0,"",MINIFS('FollowUps'!$E$2:$E$500,'FollowUps'!$C$2:$C$500,$A107,'FollowUps'!$H$2:$H$500,"open")))</x:f>
      </x:c>
      <x:c r="M107" s="19"/>
      <x:c r="N107" s="26"/>
      <x:c r="O107" s="19"/>
      <x:c r="P107" s="26"/>
      <x:c r="Q107" s="19"/>
      <x:c r="R107" s="26"/>
      <x:c r="S107" s="19"/>
      <x:c r="T107" s="19"/>
    </x:row>
    <x:row r="108">
      <x:c r="A108" s="19"/>
      <x:c r="B108" s="19"/>
      <x:c r="C108" s="19"/>
      <x:c r="D108" s="19"/>
      <x:c r="E108" s="19"/>
      <x:c r="F108" s="19"/>
      <x:c r="G108" s="19"/>
      <x:c r="H108" s="25"/>
      <x:c r="I108" s="112" t="str">
        <x:f>IF($A108="","",SUMIFS('PipelineStages'!$E$2:$E$100,'PipelineStages'!$A$2:$A$100,$E108,'PipelineStages'!$B$2:$B$100,$F108))</x:f>
      </x:c>
      <x:c r="J108" s="24"/>
      <x:c r="K108" s="19"/>
      <x:c r="L108" s="100" t="str">
        <x:f>IF($A108="","",IF(COUNTIFS('FollowUps'!$C$2:$C$500,$A108,'FollowUps'!$H$2:$H$500,"open")=0,"",MINIFS('FollowUps'!$E$2:$E$500,'FollowUps'!$C$2:$C$500,$A108,'FollowUps'!$H$2:$H$500,"open")))</x:f>
      </x:c>
      <x:c r="M108" s="19"/>
      <x:c r="N108" s="26"/>
      <x:c r="O108" s="19"/>
      <x:c r="P108" s="26"/>
      <x:c r="Q108" s="19"/>
      <x:c r="R108" s="26"/>
      <x:c r="S108" s="19"/>
      <x:c r="T108" s="19"/>
    </x:row>
    <x:row r="109">
      <x:c r="A109" s="19"/>
      <x:c r="B109" s="19"/>
      <x:c r="C109" s="19"/>
      <x:c r="D109" s="19"/>
      <x:c r="E109" s="19"/>
      <x:c r="F109" s="19"/>
      <x:c r="G109" s="19"/>
      <x:c r="H109" s="25"/>
      <x:c r="I109" s="112" t="str">
        <x:f>IF($A109="","",SUMIFS('PipelineStages'!$E$2:$E$100,'PipelineStages'!$A$2:$A$100,$E109,'PipelineStages'!$B$2:$B$100,$F109))</x:f>
      </x:c>
      <x:c r="J109" s="24"/>
      <x:c r="K109" s="19"/>
      <x:c r="L109" s="100" t="str">
        <x:f>IF($A109="","",IF(COUNTIFS('FollowUps'!$C$2:$C$500,$A109,'FollowUps'!$H$2:$H$500,"open")=0,"",MINIFS('FollowUps'!$E$2:$E$500,'FollowUps'!$C$2:$C$500,$A109,'FollowUps'!$H$2:$H$500,"open")))</x:f>
      </x:c>
      <x:c r="M109" s="19"/>
      <x:c r="N109" s="26"/>
      <x:c r="O109" s="19"/>
      <x:c r="P109" s="26"/>
      <x:c r="Q109" s="19"/>
      <x:c r="R109" s="26"/>
      <x:c r="S109" s="19"/>
      <x:c r="T109" s="19"/>
    </x:row>
    <x:row r="110">
      <x:c r="A110" s="19"/>
      <x:c r="B110" s="19"/>
      <x:c r="C110" s="19"/>
      <x:c r="D110" s="19"/>
      <x:c r="E110" s="19"/>
      <x:c r="F110" s="19"/>
      <x:c r="G110" s="19"/>
      <x:c r="H110" s="25"/>
      <x:c r="I110" s="112" t="str">
        <x:f>IF($A110="","",SUMIFS('PipelineStages'!$E$2:$E$100,'PipelineStages'!$A$2:$A$100,$E110,'PipelineStages'!$B$2:$B$100,$F110))</x:f>
      </x:c>
      <x:c r="J110" s="24"/>
      <x:c r="K110" s="19"/>
      <x:c r="L110" s="100" t="str">
        <x:f>IF($A110="","",IF(COUNTIFS('FollowUps'!$C$2:$C$500,$A110,'FollowUps'!$H$2:$H$500,"open")=0,"",MINIFS('FollowUps'!$E$2:$E$500,'FollowUps'!$C$2:$C$500,$A110,'FollowUps'!$H$2:$H$500,"open")))</x:f>
      </x:c>
      <x:c r="M110" s="19"/>
      <x:c r="N110" s="26"/>
      <x:c r="O110" s="19"/>
      <x:c r="P110" s="26"/>
      <x:c r="Q110" s="19"/>
      <x:c r="R110" s="26"/>
      <x:c r="S110" s="19"/>
      <x:c r="T110" s="19"/>
    </x:row>
    <x:row r="111">
      <x:c r="A111" s="19"/>
      <x:c r="B111" s="19"/>
      <x:c r="C111" s="19"/>
      <x:c r="D111" s="19"/>
      <x:c r="E111" s="19"/>
      <x:c r="F111" s="19"/>
      <x:c r="G111" s="19"/>
      <x:c r="H111" s="25"/>
      <x:c r="I111" s="112" t="str">
        <x:f>IF($A111="","",SUMIFS('PipelineStages'!$E$2:$E$100,'PipelineStages'!$A$2:$A$100,$E111,'PipelineStages'!$B$2:$B$100,$F111))</x:f>
      </x:c>
      <x:c r="J111" s="24"/>
      <x:c r="K111" s="19"/>
      <x:c r="L111" s="100" t="str">
        <x:f>IF($A111="","",IF(COUNTIFS('FollowUps'!$C$2:$C$500,$A111,'FollowUps'!$H$2:$H$500,"open")=0,"",MINIFS('FollowUps'!$E$2:$E$500,'FollowUps'!$C$2:$C$500,$A111,'FollowUps'!$H$2:$H$500,"open")))</x:f>
      </x:c>
      <x:c r="M111" s="19"/>
      <x:c r="N111" s="26"/>
      <x:c r="O111" s="19"/>
      <x:c r="P111" s="26"/>
      <x:c r="Q111" s="19"/>
      <x:c r="R111" s="26"/>
      <x:c r="S111" s="19"/>
      <x:c r="T111" s="19"/>
    </x:row>
    <x:row r="112">
      <x:c r="A112" s="19"/>
      <x:c r="B112" s="19"/>
      <x:c r="C112" s="19"/>
      <x:c r="D112" s="19"/>
      <x:c r="E112" s="19"/>
      <x:c r="F112" s="19"/>
      <x:c r="G112" s="19"/>
      <x:c r="H112" s="25"/>
      <x:c r="I112" s="112" t="str">
        <x:f>IF($A112="","",SUMIFS('PipelineStages'!$E$2:$E$100,'PipelineStages'!$A$2:$A$100,$E112,'PipelineStages'!$B$2:$B$100,$F112))</x:f>
      </x:c>
      <x:c r="J112" s="24"/>
      <x:c r="K112" s="19"/>
      <x:c r="L112" s="100" t="str">
        <x:f>IF($A112="","",IF(COUNTIFS('FollowUps'!$C$2:$C$500,$A112,'FollowUps'!$H$2:$H$500,"open")=0,"",MINIFS('FollowUps'!$E$2:$E$500,'FollowUps'!$C$2:$C$500,$A112,'FollowUps'!$H$2:$H$500,"open")))</x:f>
      </x:c>
      <x:c r="M112" s="19"/>
      <x:c r="N112" s="26"/>
      <x:c r="O112" s="19"/>
      <x:c r="P112" s="26"/>
      <x:c r="Q112" s="19"/>
      <x:c r="R112" s="26"/>
      <x:c r="S112" s="19"/>
      <x:c r="T112" s="19"/>
    </x:row>
    <x:row r="113">
      <x:c r="A113" s="19"/>
      <x:c r="B113" s="19"/>
      <x:c r="C113" s="19"/>
      <x:c r="D113" s="19"/>
      <x:c r="E113" s="19"/>
      <x:c r="F113" s="19"/>
      <x:c r="G113" s="19"/>
      <x:c r="H113" s="25"/>
      <x:c r="I113" s="112" t="str">
        <x:f>IF($A113="","",SUMIFS('PipelineStages'!$E$2:$E$100,'PipelineStages'!$A$2:$A$100,$E113,'PipelineStages'!$B$2:$B$100,$F113))</x:f>
      </x:c>
      <x:c r="J113" s="24"/>
      <x:c r="K113" s="19"/>
      <x:c r="L113" s="100" t="str">
        <x:f>IF($A113="","",IF(COUNTIFS('FollowUps'!$C$2:$C$500,$A113,'FollowUps'!$H$2:$H$500,"open")=0,"",MINIFS('FollowUps'!$E$2:$E$500,'FollowUps'!$C$2:$C$500,$A113,'FollowUps'!$H$2:$H$500,"open")))</x:f>
      </x:c>
      <x:c r="M113" s="19"/>
      <x:c r="N113" s="26"/>
      <x:c r="O113" s="19"/>
      <x:c r="P113" s="26"/>
      <x:c r="Q113" s="19"/>
      <x:c r="R113" s="26"/>
      <x:c r="S113" s="19"/>
      <x:c r="T113" s="19"/>
    </x:row>
    <x:row r="114">
      <x:c r="A114" s="19"/>
      <x:c r="B114" s="19"/>
      <x:c r="C114" s="19"/>
      <x:c r="D114" s="19"/>
      <x:c r="E114" s="19"/>
      <x:c r="F114" s="19"/>
      <x:c r="G114" s="19"/>
      <x:c r="H114" s="25"/>
      <x:c r="I114" s="112" t="str">
        <x:f>IF($A114="","",SUMIFS('PipelineStages'!$E$2:$E$100,'PipelineStages'!$A$2:$A$100,$E114,'PipelineStages'!$B$2:$B$100,$F114))</x:f>
      </x:c>
      <x:c r="J114" s="24"/>
      <x:c r="K114" s="19"/>
      <x:c r="L114" s="100" t="str">
        <x:f>IF($A114="","",IF(COUNTIFS('FollowUps'!$C$2:$C$500,$A114,'FollowUps'!$H$2:$H$500,"open")=0,"",MINIFS('FollowUps'!$E$2:$E$500,'FollowUps'!$C$2:$C$500,$A114,'FollowUps'!$H$2:$H$500,"open")))</x:f>
      </x:c>
      <x:c r="M114" s="19"/>
      <x:c r="N114" s="26"/>
      <x:c r="O114" s="19"/>
      <x:c r="P114" s="26"/>
      <x:c r="Q114" s="19"/>
      <x:c r="R114" s="26"/>
      <x:c r="S114" s="19"/>
      <x:c r="T114" s="19"/>
    </x:row>
    <x:row r="115">
      <x:c r="A115" s="19"/>
      <x:c r="B115" s="19"/>
      <x:c r="C115" s="19"/>
      <x:c r="D115" s="19"/>
      <x:c r="E115" s="19"/>
      <x:c r="F115" s="19"/>
      <x:c r="G115" s="19"/>
      <x:c r="H115" s="25"/>
      <x:c r="I115" s="112" t="str">
        <x:f>IF($A115="","",SUMIFS('PipelineStages'!$E$2:$E$100,'PipelineStages'!$A$2:$A$100,$E115,'PipelineStages'!$B$2:$B$100,$F115))</x:f>
      </x:c>
      <x:c r="J115" s="24"/>
      <x:c r="K115" s="19"/>
      <x:c r="L115" s="100" t="str">
        <x:f>IF($A115="","",IF(COUNTIFS('FollowUps'!$C$2:$C$500,$A115,'FollowUps'!$H$2:$H$500,"open")=0,"",MINIFS('FollowUps'!$E$2:$E$500,'FollowUps'!$C$2:$C$500,$A115,'FollowUps'!$H$2:$H$500,"open")))</x:f>
      </x:c>
      <x:c r="M115" s="19"/>
      <x:c r="N115" s="26"/>
      <x:c r="O115" s="19"/>
      <x:c r="P115" s="26"/>
      <x:c r="Q115" s="19"/>
      <x:c r="R115" s="26"/>
      <x:c r="S115" s="19"/>
      <x:c r="T115" s="19"/>
    </x:row>
    <x:row r="116">
      <x:c r="A116" s="19"/>
      <x:c r="B116" s="19"/>
      <x:c r="C116" s="19"/>
      <x:c r="D116" s="19"/>
      <x:c r="E116" s="19"/>
      <x:c r="F116" s="19"/>
      <x:c r="G116" s="19"/>
      <x:c r="H116" s="25"/>
      <x:c r="I116" s="112" t="str">
        <x:f>IF($A116="","",SUMIFS('PipelineStages'!$E$2:$E$100,'PipelineStages'!$A$2:$A$100,$E116,'PipelineStages'!$B$2:$B$100,$F116))</x:f>
      </x:c>
      <x:c r="J116" s="24"/>
      <x:c r="K116" s="19"/>
      <x:c r="L116" s="100" t="str">
        <x:f>IF($A116="","",IF(COUNTIFS('FollowUps'!$C$2:$C$500,$A116,'FollowUps'!$H$2:$H$500,"open")=0,"",MINIFS('FollowUps'!$E$2:$E$500,'FollowUps'!$C$2:$C$500,$A116,'FollowUps'!$H$2:$H$500,"open")))</x:f>
      </x:c>
      <x:c r="M116" s="19"/>
      <x:c r="N116" s="26"/>
      <x:c r="O116" s="19"/>
      <x:c r="P116" s="26"/>
      <x:c r="Q116" s="19"/>
      <x:c r="R116" s="26"/>
      <x:c r="S116" s="19"/>
      <x:c r="T116" s="19"/>
    </x:row>
    <x:row r="117">
      <x:c r="A117" s="19"/>
      <x:c r="B117" s="19"/>
      <x:c r="C117" s="19"/>
      <x:c r="D117" s="19"/>
      <x:c r="E117" s="19"/>
      <x:c r="F117" s="19"/>
      <x:c r="G117" s="19"/>
      <x:c r="H117" s="25"/>
      <x:c r="I117" s="112" t="str">
        <x:f>IF($A117="","",SUMIFS('PipelineStages'!$E$2:$E$100,'PipelineStages'!$A$2:$A$100,$E117,'PipelineStages'!$B$2:$B$100,$F117))</x:f>
      </x:c>
      <x:c r="J117" s="24"/>
      <x:c r="K117" s="19"/>
      <x:c r="L117" s="100" t="str">
        <x:f>IF($A117="","",IF(COUNTIFS('FollowUps'!$C$2:$C$500,$A117,'FollowUps'!$H$2:$H$500,"open")=0,"",MINIFS('FollowUps'!$E$2:$E$500,'FollowUps'!$C$2:$C$500,$A117,'FollowUps'!$H$2:$H$500,"open")))</x:f>
      </x:c>
      <x:c r="M117" s="19"/>
      <x:c r="N117" s="26"/>
      <x:c r="O117" s="19"/>
      <x:c r="P117" s="26"/>
      <x:c r="Q117" s="19"/>
      <x:c r="R117" s="26"/>
      <x:c r="S117" s="19"/>
      <x:c r="T117" s="19"/>
    </x:row>
    <x:row r="118">
      <x:c r="A118" s="19"/>
      <x:c r="B118" s="19"/>
      <x:c r="C118" s="19"/>
      <x:c r="D118" s="19"/>
      <x:c r="E118" s="19"/>
      <x:c r="F118" s="19"/>
      <x:c r="G118" s="19"/>
      <x:c r="H118" s="25"/>
      <x:c r="I118" s="112" t="str">
        <x:f>IF($A118="","",SUMIFS('PipelineStages'!$E$2:$E$100,'PipelineStages'!$A$2:$A$100,$E118,'PipelineStages'!$B$2:$B$100,$F118))</x:f>
      </x:c>
      <x:c r="J118" s="24"/>
      <x:c r="K118" s="19"/>
      <x:c r="L118" s="100" t="str">
        <x:f>IF($A118="","",IF(COUNTIFS('FollowUps'!$C$2:$C$500,$A118,'FollowUps'!$H$2:$H$500,"open")=0,"",MINIFS('FollowUps'!$E$2:$E$500,'FollowUps'!$C$2:$C$500,$A118,'FollowUps'!$H$2:$H$500,"open")))</x:f>
      </x:c>
      <x:c r="M118" s="19"/>
      <x:c r="N118" s="26"/>
      <x:c r="O118" s="19"/>
      <x:c r="P118" s="26"/>
      <x:c r="Q118" s="19"/>
      <x:c r="R118" s="26"/>
      <x:c r="S118" s="19"/>
      <x:c r="T118" s="19"/>
    </x:row>
    <x:row r="119">
      <x:c r="A119" s="19"/>
      <x:c r="B119" s="19"/>
      <x:c r="C119" s="19"/>
      <x:c r="D119" s="19"/>
      <x:c r="E119" s="19"/>
      <x:c r="F119" s="19"/>
      <x:c r="G119" s="19"/>
      <x:c r="H119" s="25"/>
      <x:c r="I119" s="112" t="str">
        <x:f>IF($A119="","",SUMIFS('PipelineStages'!$E$2:$E$100,'PipelineStages'!$A$2:$A$100,$E119,'PipelineStages'!$B$2:$B$100,$F119))</x:f>
      </x:c>
      <x:c r="J119" s="24"/>
      <x:c r="K119" s="19"/>
      <x:c r="L119" s="100" t="str">
        <x:f>IF($A119="","",IF(COUNTIFS('FollowUps'!$C$2:$C$500,$A119,'FollowUps'!$H$2:$H$500,"open")=0,"",MINIFS('FollowUps'!$E$2:$E$500,'FollowUps'!$C$2:$C$500,$A119,'FollowUps'!$H$2:$H$500,"open")))</x:f>
      </x:c>
      <x:c r="M119" s="19"/>
      <x:c r="N119" s="26"/>
      <x:c r="O119" s="19"/>
      <x:c r="P119" s="26"/>
      <x:c r="Q119" s="19"/>
      <x:c r="R119" s="26"/>
      <x:c r="S119" s="19"/>
      <x:c r="T119" s="19"/>
    </x:row>
    <x:row r="120">
      <x:c r="A120" s="19"/>
      <x:c r="B120" s="19"/>
      <x:c r="C120" s="19"/>
      <x:c r="D120" s="19"/>
      <x:c r="E120" s="19"/>
      <x:c r="F120" s="19"/>
      <x:c r="G120" s="19"/>
      <x:c r="H120" s="25"/>
      <x:c r="I120" s="112" t="str">
        <x:f>IF($A120="","",SUMIFS('PipelineStages'!$E$2:$E$100,'PipelineStages'!$A$2:$A$100,$E120,'PipelineStages'!$B$2:$B$100,$F120))</x:f>
      </x:c>
      <x:c r="J120" s="24"/>
      <x:c r="K120" s="19"/>
      <x:c r="L120" s="100" t="str">
        <x:f>IF($A120="","",IF(COUNTIFS('FollowUps'!$C$2:$C$500,$A120,'FollowUps'!$H$2:$H$500,"open")=0,"",MINIFS('FollowUps'!$E$2:$E$500,'FollowUps'!$C$2:$C$500,$A120,'FollowUps'!$H$2:$H$500,"open")))</x:f>
      </x:c>
      <x:c r="M120" s="19"/>
      <x:c r="N120" s="26"/>
      <x:c r="O120" s="19"/>
      <x:c r="P120" s="26"/>
      <x:c r="Q120" s="19"/>
      <x:c r="R120" s="26"/>
      <x:c r="S120" s="19"/>
      <x:c r="T120" s="19"/>
    </x:row>
    <x:row r="121">
      <x:c r="A121" s="19"/>
      <x:c r="B121" s="19"/>
      <x:c r="C121" s="19"/>
      <x:c r="D121" s="19"/>
      <x:c r="E121" s="19"/>
      <x:c r="F121" s="19"/>
      <x:c r="G121" s="19"/>
      <x:c r="H121" s="25"/>
      <x:c r="I121" s="112" t="str">
        <x:f>IF($A121="","",SUMIFS('PipelineStages'!$E$2:$E$100,'PipelineStages'!$A$2:$A$100,$E121,'PipelineStages'!$B$2:$B$100,$F121))</x:f>
      </x:c>
      <x:c r="J121" s="24"/>
      <x:c r="K121" s="19"/>
      <x:c r="L121" s="100" t="str">
        <x:f>IF($A121="","",IF(COUNTIFS('FollowUps'!$C$2:$C$500,$A121,'FollowUps'!$H$2:$H$500,"open")=0,"",MINIFS('FollowUps'!$E$2:$E$500,'FollowUps'!$C$2:$C$500,$A121,'FollowUps'!$H$2:$H$500,"open")))</x:f>
      </x:c>
      <x:c r="M121" s="19"/>
      <x:c r="N121" s="26"/>
      <x:c r="O121" s="19"/>
      <x:c r="P121" s="26"/>
      <x:c r="Q121" s="19"/>
      <x:c r="R121" s="26"/>
      <x:c r="S121" s="19"/>
      <x:c r="T121" s="19"/>
    </x:row>
    <x:row r="122">
      <x:c r="A122" s="19"/>
      <x:c r="B122" s="19"/>
      <x:c r="C122" s="19"/>
      <x:c r="D122" s="19"/>
      <x:c r="E122" s="19"/>
      <x:c r="F122" s="19"/>
      <x:c r="G122" s="19"/>
      <x:c r="H122" s="25"/>
      <x:c r="I122" s="112" t="str">
        <x:f>IF($A122="","",SUMIFS('PipelineStages'!$E$2:$E$100,'PipelineStages'!$A$2:$A$100,$E122,'PipelineStages'!$B$2:$B$100,$F122))</x:f>
      </x:c>
      <x:c r="J122" s="24"/>
      <x:c r="K122" s="19"/>
      <x:c r="L122" s="100" t="str">
        <x:f>IF($A122="","",IF(COUNTIFS('FollowUps'!$C$2:$C$500,$A122,'FollowUps'!$H$2:$H$500,"open")=0,"",MINIFS('FollowUps'!$E$2:$E$500,'FollowUps'!$C$2:$C$500,$A122,'FollowUps'!$H$2:$H$500,"open")))</x:f>
      </x:c>
      <x:c r="M122" s="19"/>
      <x:c r="N122" s="26"/>
      <x:c r="O122" s="19"/>
      <x:c r="P122" s="26"/>
      <x:c r="Q122" s="19"/>
      <x:c r="R122" s="26"/>
      <x:c r="S122" s="19"/>
      <x:c r="T122" s="19"/>
    </x:row>
    <x:row r="123">
      <x:c r="A123" s="19"/>
      <x:c r="B123" s="19"/>
      <x:c r="C123" s="19"/>
      <x:c r="D123" s="19"/>
      <x:c r="E123" s="19"/>
      <x:c r="F123" s="19"/>
      <x:c r="G123" s="19"/>
      <x:c r="H123" s="25"/>
      <x:c r="I123" s="112" t="str">
        <x:f>IF($A123="","",SUMIFS('PipelineStages'!$E$2:$E$100,'PipelineStages'!$A$2:$A$100,$E123,'PipelineStages'!$B$2:$B$100,$F123))</x:f>
      </x:c>
      <x:c r="J123" s="24"/>
      <x:c r="K123" s="19"/>
      <x:c r="L123" s="100" t="str">
        <x:f>IF($A123="","",IF(COUNTIFS('FollowUps'!$C$2:$C$500,$A123,'FollowUps'!$H$2:$H$500,"open")=0,"",MINIFS('FollowUps'!$E$2:$E$500,'FollowUps'!$C$2:$C$500,$A123,'FollowUps'!$H$2:$H$500,"open")))</x:f>
      </x:c>
      <x:c r="M123" s="19"/>
      <x:c r="N123" s="26"/>
      <x:c r="O123" s="19"/>
      <x:c r="P123" s="26"/>
      <x:c r="Q123" s="19"/>
      <x:c r="R123" s="26"/>
      <x:c r="S123" s="19"/>
      <x:c r="T123" s="19"/>
    </x:row>
    <x:row r="124">
      <x:c r="A124" s="19"/>
      <x:c r="B124" s="19"/>
      <x:c r="C124" s="19"/>
      <x:c r="D124" s="19"/>
      <x:c r="E124" s="19"/>
      <x:c r="F124" s="19"/>
      <x:c r="G124" s="19"/>
      <x:c r="H124" s="25"/>
      <x:c r="I124" s="112" t="str">
        <x:f>IF($A124="","",SUMIFS('PipelineStages'!$E$2:$E$100,'PipelineStages'!$A$2:$A$100,$E124,'PipelineStages'!$B$2:$B$100,$F124))</x:f>
      </x:c>
      <x:c r="J124" s="24"/>
      <x:c r="K124" s="19"/>
      <x:c r="L124" s="100" t="str">
        <x:f>IF($A124="","",IF(COUNTIFS('FollowUps'!$C$2:$C$500,$A124,'FollowUps'!$H$2:$H$500,"open")=0,"",MINIFS('FollowUps'!$E$2:$E$500,'FollowUps'!$C$2:$C$500,$A124,'FollowUps'!$H$2:$H$500,"open")))</x:f>
      </x:c>
      <x:c r="M124" s="19"/>
      <x:c r="N124" s="26"/>
      <x:c r="O124" s="19"/>
      <x:c r="P124" s="26"/>
      <x:c r="Q124" s="19"/>
      <x:c r="R124" s="26"/>
      <x:c r="S124" s="19"/>
      <x:c r="T124" s="19"/>
    </x:row>
    <x:row r="125">
      <x:c r="A125" s="19"/>
      <x:c r="B125" s="19"/>
      <x:c r="C125" s="19"/>
      <x:c r="D125" s="19"/>
      <x:c r="E125" s="19"/>
      <x:c r="F125" s="19"/>
      <x:c r="G125" s="19"/>
      <x:c r="H125" s="25"/>
      <x:c r="I125" s="112" t="str">
        <x:f>IF($A125="","",SUMIFS('PipelineStages'!$E$2:$E$100,'PipelineStages'!$A$2:$A$100,$E125,'PipelineStages'!$B$2:$B$100,$F125))</x:f>
      </x:c>
      <x:c r="J125" s="24"/>
      <x:c r="K125" s="19"/>
      <x:c r="L125" s="100" t="str">
        <x:f>IF($A125="","",IF(COUNTIFS('FollowUps'!$C$2:$C$500,$A125,'FollowUps'!$H$2:$H$500,"open")=0,"",MINIFS('FollowUps'!$E$2:$E$500,'FollowUps'!$C$2:$C$500,$A125,'FollowUps'!$H$2:$H$500,"open")))</x:f>
      </x:c>
      <x:c r="M125" s="19"/>
      <x:c r="N125" s="26"/>
      <x:c r="O125" s="19"/>
      <x:c r="P125" s="26"/>
      <x:c r="Q125" s="19"/>
      <x:c r="R125" s="26"/>
      <x:c r="S125" s="19"/>
      <x:c r="T125" s="19"/>
    </x:row>
    <x:row r="126">
      <x:c r="A126" s="19"/>
      <x:c r="B126" s="19"/>
      <x:c r="C126" s="19"/>
      <x:c r="D126" s="19"/>
      <x:c r="E126" s="19"/>
      <x:c r="F126" s="19"/>
      <x:c r="G126" s="19"/>
      <x:c r="H126" s="25"/>
      <x:c r="I126" s="112" t="str">
        <x:f>IF($A126="","",SUMIFS('PipelineStages'!$E$2:$E$100,'PipelineStages'!$A$2:$A$100,$E126,'PipelineStages'!$B$2:$B$100,$F126))</x:f>
      </x:c>
      <x:c r="J126" s="24"/>
      <x:c r="K126" s="19"/>
      <x:c r="L126" s="100" t="str">
        <x:f>IF($A126="","",IF(COUNTIFS('FollowUps'!$C$2:$C$500,$A126,'FollowUps'!$H$2:$H$500,"open")=0,"",MINIFS('FollowUps'!$E$2:$E$500,'FollowUps'!$C$2:$C$500,$A126,'FollowUps'!$H$2:$H$500,"open")))</x:f>
      </x:c>
      <x:c r="M126" s="19"/>
      <x:c r="N126" s="26"/>
      <x:c r="O126" s="19"/>
      <x:c r="P126" s="26"/>
      <x:c r="Q126" s="19"/>
      <x:c r="R126" s="26"/>
      <x:c r="S126" s="19"/>
      <x:c r="T126" s="19"/>
    </x:row>
    <x:row r="127">
      <x:c r="A127" s="19"/>
      <x:c r="B127" s="19"/>
      <x:c r="C127" s="19"/>
      <x:c r="D127" s="19"/>
      <x:c r="E127" s="19"/>
      <x:c r="F127" s="19"/>
      <x:c r="G127" s="19"/>
      <x:c r="H127" s="25"/>
      <x:c r="I127" s="112" t="str">
        <x:f>IF($A127="","",SUMIFS('PipelineStages'!$E$2:$E$100,'PipelineStages'!$A$2:$A$100,$E127,'PipelineStages'!$B$2:$B$100,$F127))</x:f>
      </x:c>
      <x:c r="J127" s="24"/>
      <x:c r="K127" s="19"/>
      <x:c r="L127" s="100" t="str">
        <x:f>IF($A127="","",IF(COUNTIFS('FollowUps'!$C$2:$C$500,$A127,'FollowUps'!$H$2:$H$500,"open")=0,"",MINIFS('FollowUps'!$E$2:$E$500,'FollowUps'!$C$2:$C$500,$A127,'FollowUps'!$H$2:$H$500,"open")))</x:f>
      </x:c>
      <x:c r="M127" s="19"/>
      <x:c r="N127" s="26"/>
      <x:c r="O127" s="19"/>
      <x:c r="P127" s="26"/>
      <x:c r="Q127" s="19"/>
      <x:c r="R127" s="26"/>
      <x:c r="S127" s="19"/>
      <x:c r="T127" s="19"/>
    </x:row>
    <x:row r="128">
      <x:c r="A128" s="19"/>
      <x:c r="B128" s="19"/>
      <x:c r="C128" s="19"/>
      <x:c r="D128" s="19"/>
      <x:c r="E128" s="19"/>
      <x:c r="F128" s="19"/>
      <x:c r="G128" s="19"/>
      <x:c r="H128" s="25"/>
      <x:c r="I128" s="112" t="str">
        <x:f>IF($A128="","",SUMIFS('PipelineStages'!$E$2:$E$100,'PipelineStages'!$A$2:$A$100,$E128,'PipelineStages'!$B$2:$B$100,$F128))</x:f>
      </x:c>
      <x:c r="J128" s="24"/>
      <x:c r="K128" s="19"/>
      <x:c r="L128" s="100" t="str">
        <x:f>IF($A128="","",IF(COUNTIFS('FollowUps'!$C$2:$C$500,$A128,'FollowUps'!$H$2:$H$500,"open")=0,"",MINIFS('FollowUps'!$E$2:$E$500,'FollowUps'!$C$2:$C$500,$A128,'FollowUps'!$H$2:$H$500,"open")))</x:f>
      </x:c>
      <x:c r="M128" s="19"/>
      <x:c r="N128" s="26"/>
      <x:c r="O128" s="19"/>
      <x:c r="P128" s="26"/>
      <x:c r="Q128" s="19"/>
      <x:c r="R128" s="26"/>
      <x:c r="S128" s="19"/>
      <x:c r="T128" s="19"/>
    </x:row>
    <x:row r="129">
      <x:c r="A129" s="19"/>
      <x:c r="B129" s="19"/>
      <x:c r="C129" s="19"/>
      <x:c r="D129" s="19"/>
      <x:c r="E129" s="19"/>
      <x:c r="F129" s="19"/>
      <x:c r="G129" s="19"/>
      <x:c r="H129" s="25"/>
      <x:c r="I129" s="112" t="str">
        <x:f>IF($A129="","",SUMIFS('PipelineStages'!$E$2:$E$100,'PipelineStages'!$A$2:$A$100,$E129,'PipelineStages'!$B$2:$B$100,$F129))</x:f>
      </x:c>
      <x:c r="J129" s="24"/>
      <x:c r="K129" s="19"/>
      <x:c r="L129" s="100" t="str">
        <x:f>IF($A129="","",IF(COUNTIFS('FollowUps'!$C$2:$C$500,$A129,'FollowUps'!$H$2:$H$500,"open")=0,"",MINIFS('FollowUps'!$E$2:$E$500,'FollowUps'!$C$2:$C$500,$A129,'FollowUps'!$H$2:$H$500,"open")))</x:f>
      </x:c>
      <x:c r="M129" s="19"/>
      <x:c r="N129" s="26"/>
      <x:c r="O129" s="19"/>
      <x:c r="P129" s="26"/>
      <x:c r="Q129" s="19"/>
      <x:c r="R129" s="26"/>
      <x:c r="S129" s="19"/>
      <x:c r="T129" s="19"/>
    </x:row>
    <x:row r="130">
      <x:c r="A130" s="19"/>
      <x:c r="B130" s="19"/>
      <x:c r="C130" s="19"/>
      <x:c r="D130" s="19"/>
      <x:c r="E130" s="19"/>
      <x:c r="F130" s="19"/>
      <x:c r="G130" s="19"/>
      <x:c r="H130" s="25"/>
      <x:c r="I130" s="112" t="str">
        <x:f>IF($A130="","",SUMIFS('PipelineStages'!$E$2:$E$100,'PipelineStages'!$A$2:$A$100,$E130,'PipelineStages'!$B$2:$B$100,$F130))</x:f>
      </x:c>
      <x:c r="J130" s="24"/>
      <x:c r="K130" s="19"/>
      <x:c r="L130" s="100" t="str">
        <x:f>IF($A130="","",IF(COUNTIFS('FollowUps'!$C$2:$C$500,$A130,'FollowUps'!$H$2:$H$500,"open")=0,"",MINIFS('FollowUps'!$E$2:$E$500,'FollowUps'!$C$2:$C$500,$A130,'FollowUps'!$H$2:$H$500,"open")))</x:f>
      </x:c>
      <x:c r="M130" s="19"/>
      <x:c r="N130" s="26"/>
      <x:c r="O130" s="19"/>
      <x:c r="P130" s="26"/>
      <x:c r="Q130" s="19"/>
      <x:c r="R130" s="26"/>
      <x:c r="S130" s="19"/>
      <x:c r="T130" s="19"/>
    </x:row>
    <x:row r="131">
      <x:c r="A131" s="19"/>
      <x:c r="B131" s="19"/>
      <x:c r="C131" s="19"/>
      <x:c r="D131" s="19"/>
      <x:c r="E131" s="19"/>
      <x:c r="F131" s="19"/>
      <x:c r="G131" s="19"/>
      <x:c r="H131" s="25"/>
      <x:c r="I131" s="112" t="str">
        <x:f>IF($A131="","",SUMIFS('PipelineStages'!$E$2:$E$100,'PipelineStages'!$A$2:$A$100,$E131,'PipelineStages'!$B$2:$B$100,$F131))</x:f>
      </x:c>
      <x:c r="J131" s="24"/>
      <x:c r="K131" s="19"/>
      <x:c r="L131" s="100" t="str">
        <x:f>IF($A131="","",IF(COUNTIFS('FollowUps'!$C$2:$C$500,$A131,'FollowUps'!$H$2:$H$500,"open")=0,"",MINIFS('FollowUps'!$E$2:$E$500,'FollowUps'!$C$2:$C$500,$A131,'FollowUps'!$H$2:$H$500,"open")))</x:f>
      </x:c>
      <x:c r="M131" s="19"/>
      <x:c r="N131" s="26"/>
      <x:c r="O131" s="19"/>
      <x:c r="P131" s="26"/>
      <x:c r="Q131" s="19"/>
      <x:c r="R131" s="26"/>
      <x:c r="S131" s="19"/>
      <x:c r="T131" s="19"/>
    </x:row>
    <x:row r="132">
      <x:c r="A132" s="19"/>
      <x:c r="B132" s="19"/>
      <x:c r="C132" s="19"/>
      <x:c r="D132" s="19"/>
      <x:c r="E132" s="19"/>
      <x:c r="F132" s="19"/>
      <x:c r="G132" s="19"/>
      <x:c r="H132" s="25"/>
      <x:c r="I132" s="112" t="str">
        <x:f>IF($A132="","",SUMIFS('PipelineStages'!$E$2:$E$100,'PipelineStages'!$A$2:$A$100,$E132,'PipelineStages'!$B$2:$B$100,$F132))</x:f>
      </x:c>
      <x:c r="J132" s="24"/>
      <x:c r="K132" s="19"/>
      <x:c r="L132" s="100" t="str">
        <x:f>IF($A132="","",IF(COUNTIFS('FollowUps'!$C$2:$C$500,$A132,'FollowUps'!$H$2:$H$500,"open")=0,"",MINIFS('FollowUps'!$E$2:$E$500,'FollowUps'!$C$2:$C$500,$A132,'FollowUps'!$H$2:$H$500,"open")))</x:f>
      </x:c>
      <x:c r="M132" s="19"/>
      <x:c r="N132" s="26"/>
      <x:c r="O132" s="19"/>
      <x:c r="P132" s="26"/>
      <x:c r="Q132" s="19"/>
      <x:c r="R132" s="26"/>
      <x:c r="S132" s="19"/>
      <x:c r="T132" s="19"/>
    </x:row>
    <x:row r="133">
      <x:c r="A133" s="19"/>
      <x:c r="B133" s="19"/>
      <x:c r="C133" s="19"/>
      <x:c r="D133" s="19"/>
      <x:c r="E133" s="19"/>
      <x:c r="F133" s="19"/>
      <x:c r="G133" s="19"/>
      <x:c r="H133" s="25"/>
      <x:c r="I133" s="112" t="str">
        <x:f>IF($A133="","",SUMIFS('PipelineStages'!$E$2:$E$100,'PipelineStages'!$A$2:$A$100,$E133,'PipelineStages'!$B$2:$B$100,$F133))</x:f>
      </x:c>
      <x:c r="J133" s="24"/>
      <x:c r="K133" s="19"/>
      <x:c r="L133" s="100" t="str">
        <x:f>IF($A133="","",IF(COUNTIFS('FollowUps'!$C$2:$C$500,$A133,'FollowUps'!$H$2:$H$500,"open")=0,"",MINIFS('FollowUps'!$E$2:$E$500,'FollowUps'!$C$2:$C$500,$A133,'FollowUps'!$H$2:$H$500,"open")))</x:f>
      </x:c>
      <x:c r="M133" s="19"/>
      <x:c r="N133" s="26"/>
      <x:c r="O133" s="19"/>
      <x:c r="P133" s="26"/>
      <x:c r="Q133" s="19"/>
      <x:c r="R133" s="26"/>
      <x:c r="S133" s="19"/>
      <x:c r="T133" s="19"/>
    </x:row>
    <x:row r="134">
      <x:c r="A134" s="19"/>
      <x:c r="B134" s="19"/>
      <x:c r="C134" s="19"/>
      <x:c r="D134" s="19"/>
      <x:c r="E134" s="19"/>
      <x:c r="F134" s="19"/>
      <x:c r="G134" s="19"/>
      <x:c r="H134" s="25"/>
      <x:c r="I134" s="112" t="str">
        <x:f>IF($A134="","",SUMIFS('PipelineStages'!$E$2:$E$100,'PipelineStages'!$A$2:$A$100,$E134,'PipelineStages'!$B$2:$B$100,$F134))</x:f>
      </x:c>
      <x:c r="J134" s="24"/>
      <x:c r="K134" s="19"/>
      <x:c r="L134" s="100" t="str">
        <x:f>IF($A134="","",IF(COUNTIFS('FollowUps'!$C$2:$C$500,$A134,'FollowUps'!$H$2:$H$500,"open")=0,"",MINIFS('FollowUps'!$E$2:$E$500,'FollowUps'!$C$2:$C$500,$A134,'FollowUps'!$H$2:$H$500,"open")))</x:f>
      </x:c>
      <x:c r="M134" s="19"/>
      <x:c r="N134" s="26"/>
      <x:c r="O134" s="19"/>
      <x:c r="P134" s="26"/>
      <x:c r="Q134" s="19"/>
      <x:c r="R134" s="26"/>
      <x:c r="S134" s="19"/>
      <x:c r="T134" s="19"/>
    </x:row>
    <x:row r="135">
      <x:c r="A135" s="19"/>
      <x:c r="B135" s="19"/>
      <x:c r="C135" s="19"/>
      <x:c r="D135" s="19"/>
      <x:c r="E135" s="19"/>
      <x:c r="F135" s="19"/>
      <x:c r="G135" s="19"/>
      <x:c r="H135" s="25"/>
      <x:c r="I135" s="112" t="str">
        <x:f>IF($A135="","",SUMIFS('PipelineStages'!$E$2:$E$100,'PipelineStages'!$A$2:$A$100,$E135,'PipelineStages'!$B$2:$B$100,$F135))</x:f>
      </x:c>
      <x:c r="J135" s="24"/>
      <x:c r="K135" s="19"/>
      <x:c r="L135" s="100" t="str">
        <x:f>IF($A135="","",IF(COUNTIFS('FollowUps'!$C$2:$C$500,$A135,'FollowUps'!$H$2:$H$500,"open")=0,"",MINIFS('FollowUps'!$E$2:$E$500,'FollowUps'!$C$2:$C$500,$A135,'FollowUps'!$H$2:$H$500,"open")))</x:f>
      </x:c>
      <x:c r="M135" s="19"/>
      <x:c r="N135" s="26"/>
      <x:c r="O135" s="19"/>
      <x:c r="P135" s="26"/>
      <x:c r="Q135" s="19"/>
      <x:c r="R135" s="26"/>
      <x:c r="S135" s="19"/>
      <x:c r="T135" s="19"/>
    </x:row>
    <x:row r="136">
      <x:c r="A136" s="19"/>
      <x:c r="B136" s="19"/>
      <x:c r="C136" s="19"/>
      <x:c r="D136" s="19"/>
      <x:c r="E136" s="19"/>
      <x:c r="F136" s="19"/>
      <x:c r="G136" s="19"/>
      <x:c r="H136" s="25"/>
      <x:c r="I136" s="112" t="str">
        <x:f>IF($A136="","",SUMIFS('PipelineStages'!$E$2:$E$100,'PipelineStages'!$A$2:$A$100,$E136,'PipelineStages'!$B$2:$B$100,$F136))</x:f>
      </x:c>
      <x:c r="J136" s="24"/>
      <x:c r="K136" s="19"/>
      <x:c r="L136" s="100" t="str">
        <x:f>IF($A136="","",IF(COUNTIFS('FollowUps'!$C$2:$C$500,$A136,'FollowUps'!$H$2:$H$500,"open")=0,"",MINIFS('FollowUps'!$E$2:$E$500,'FollowUps'!$C$2:$C$500,$A136,'FollowUps'!$H$2:$H$500,"open")))</x:f>
      </x:c>
      <x:c r="M136" s="19"/>
      <x:c r="N136" s="26"/>
      <x:c r="O136" s="19"/>
      <x:c r="P136" s="26"/>
      <x:c r="Q136" s="19"/>
      <x:c r="R136" s="26"/>
      <x:c r="S136" s="19"/>
      <x:c r="T136" s="19"/>
    </x:row>
    <x:row r="137">
      <x:c r="A137" s="19"/>
      <x:c r="B137" s="19"/>
      <x:c r="C137" s="19"/>
      <x:c r="D137" s="19"/>
      <x:c r="E137" s="19"/>
      <x:c r="F137" s="19"/>
      <x:c r="G137" s="19"/>
      <x:c r="H137" s="25"/>
      <x:c r="I137" s="112" t="str">
        <x:f>IF($A137="","",SUMIFS('PipelineStages'!$E$2:$E$100,'PipelineStages'!$A$2:$A$100,$E137,'PipelineStages'!$B$2:$B$100,$F137))</x:f>
      </x:c>
      <x:c r="J137" s="24"/>
      <x:c r="K137" s="19"/>
      <x:c r="L137" s="100" t="str">
        <x:f>IF($A137="","",IF(COUNTIFS('FollowUps'!$C$2:$C$500,$A137,'FollowUps'!$H$2:$H$500,"open")=0,"",MINIFS('FollowUps'!$E$2:$E$500,'FollowUps'!$C$2:$C$500,$A137,'FollowUps'!$H$2:$H$500,"open")))</x:f>
      </x:c>
      <x:c r="M137" s="19"/>
      <x:c r="N137" s="26"/>
      <x:c r="O137" s="19"/>
      <x:c r="P137" s="26"/>
      <x:c r="Q137" s="19"/>
      <x:c r="R137" s="26"/>
      <x:c r="S137" s="19"/>
      <x:c r="T137" s="19"/>
    </x:row>
    <x:row r="138">
      <x:c r="A138" s="19"/>
      <x:c r="B138" s="19"/>
      <x:c r="C138" s="19"/>
      <x:c r="D138" s="19"/>
      <x:c r="E138" s="19"/>
      <x:c r="F138" s="19"/>
      <x:c r="G138" s="19"/>
      <x:c r="H138" s="25"/>
      <x:c r="I138" s="112" t="str">
        <x:f>IF($A138="","",SUMIFS('PipelineStages'!$E$2:$E$100,'PipelineStages'!$A$2:$A$100,$E138,'PipelineStages'!$B$2:$B$100,$F138))</x:f>
      </x:c>
      <x:c r="J138" s="24"/>
      <x:c r="K138" s="19"/>
      <x:c r="L138" s="100" t="str">
        <x:f>IF($A138="","",IF(COUNTIFS('FollowUps'!$C$2:$C$500,$A138,'FollowUps'!$H$2:$H$500,"open")=0,"",MINIFS('FollowUps'!$E$2:$E$500,'FollowUps'!$C$2:$C$500,$A138,'FollowUps'!$H$2:$H$500,"open")))</x:f>
      </x:c>
      <x:c r="M138" s="19"/>
      <x:c r="N138" s="26"/>
      <x:c r="O138" s="19"/>
      <x:c r="P138" s="26"/>
      <x:c r="Q138" s="19"/>
      <x:c r="R138" s="26"/>
      <x:c r="S138" s="19"/>
      <x:c r="T138" s="19"/>
    </x:row>
    <x:row r="139">
      <x:c r="A139" s="19"/>
      <x:c r="B139" s="19"/>
      <x:c r="C139" s="19"/>
      <x:c r="D139" s="19"/>
      <x:c r="E139" s="19"/>
      <x:c r="F139" s="19"/>
      <x:c r="G139" s="19"/>
      <x:c r="H139" s="25"/>
      <x:c r="I139" s="112" t="str">
        <x:f>IF($A139="","",SUMIFS('PipelineStages'!$E$2:$E$100,'PipelineStages'!$A$2:$A$100,$E139,'PipelineStages'!$B$2:$B$100,$F139))</x:f>
      </x:c>
      <x:c r="J139" s="24"/>
      <x:c r="K139" s="19"/>
      <x:c r="L139" s="100" t="str">
        <x:f>IF($A139="","",IF(COUNTIFS('FollowUps'!$C$2:$C$500,$A139,'FollowUps'!$H$2:$H$500,"open")=0,"",MINIFS('FollowUps'!$E$2:$E$500,'FollowUps'!$C$2:$C$500,$A139,'FollowUps'!$H$2:$H$500,"open")))</x:f>
      </x:c>
      <x:c r="M139" s="19"/>
      <x:c r="N139" s="26"/>
      <x:c r="O139" s="19"/>
      <x:c r="P139" s="26"/>
      <x:c r="Q139" s="19"/>
      <x:c r="R139" s="26"/>
      <x:c r="S139" s="19"/>
      <x:c r="T139" s="19"/>
    </x:row>
    <x:row r="140">
      <x:c r="A140" s="19"/>
      <x:c r="B140" s="19"/>
      <x:c r="C140" s="19"/>
      <x:c r="D140" s="19"/>
      <x:c r="E140" s="19"/>
      <x:c r="F140" s="19"/>
      <x:c r="G140" s="19"/>
      <x:c r="H140" s="25"/>
      <x:c r="I140" s="112" t="str">
        <x:f>IF($A140="","",SUMIFS('PipelineStages'!$E$2:$E$100,'PipelineStages'!$A$2:$A$100,$E140,'PipelineStages'!$B$2:$B$100,$F140))</x:f>
      </x:c>
      <x:c r="J140" s="24"/>
      <x:c r="K140" s="19"/>
      <x:c r="L140" s="100" t="str">
        <x:f>IF($A140="","",IF(COUNTIFS('FollowUps'!$C$2:$C$500,$A140,'FollowUps'!$H$2:$H$500,"open")=0,"",MINIFS('FollowUps'!$E$2:$E$500,'FollowUps'!$C$2:$C$500,$A140,'FollowUps'!$H$2:$H$500,"open")))</x:f>
      </x:c>
      <x:c r="M140" s="19"/>
      <x:c r="N140" s="26"/>
      <x:c r="O140" s="19"/>
      <x:c r="P140" s="26"/>
      <x:c r="Q140" s="19"/>
      <x:c r="R140" s="26"/>
      <x:c r="S140" s="19"/>
      <x:c r="T140" s="19"/>
    </x:row>
    <x:row r="141">
      <x:c r="A141" s="19"/>
      <x:c r="B141" s="19"/>
      <x:c r="C141" s="19"/>
      <x:c r="D141" s="19"/>
      <x:c r="E141" s="19"/>
      <x:c r="F141" s="19"/>
      <x:c r="G141" s="19"/>
      <x:c r="H141" s="25"/>
      <x:c r="I141" s="112" t="str">
        <x:f>IF($A141="","",SUMIFS('PipelineStages'!$E$2:$E$100,'PipelineStages'!$A$2:$A$100,$E141,'PipelineStages'!$B$2:$B$100,$F141))</x:f>
      </x:c>
      <x:c r="J141" s="24"/>
      <x:c r="K141" s="19"/>
      <x:c r="L141" s="100" t="str">
        <x:f>IF($A141="","",IF(COUNTIFS('FollowUps'!$C$2:$C$500,$A141,'FollowUps'!$H$2:$H$500,"open")=0,"",MINIFS('FollowUps'!$E$2:$E$500,'FollowUps'!$C$2:$C$500,$A141,'FollowUps'!$H$2:$H$500,"open")))</x:f>
      </x:c>
      <x:c r="M141" s="19"/>
      <x:c r="N141" s="26"/>
      <x:c r="O141" s="19"/>
      <x:c r="P141" s="26"/>
      <x:c r="Q141" s="19"/>
      <x:c r="R141" s="26"/>
      <x:c r="S141" s="19"/>
      <x:c r="T141" s="19"/>
    </x:row>
    <x:row r="142">
      <x:c r="A142" s="19"/>
      <x:c r="B142" s="19"/>
      <x:c r="C142" s="19"/>
      <x:c r="D142" s="19"/>
      <x:c r="E142" s="19"/>
      <x:c r="F142" s="19"/>
      <x:c r="G142" s="19"/>
      <x:c r="H142" s="25"/>
      <x:c r="I142" s="112" t="str">
        <x:f>IF($A142="","",SUMIFS('PipelineStages'!$E$2:$E$100,'PipelineStages'!$A$2:$A$100,$E142,'PipelineStages'!$B$2:$B$100,$F142))</x:f>
      </x:c>
      <x:c r="J142" s="24"/>
      <x:c r="K142" s="19"/>
      <x:c r="L142" s="100" t="str">
        <x:f>IF($A142="","",IF(COUNTIFS('FollowUps'!$C$2:$C$500,$A142,'FollowUps'!$H$2:$H$500,"open")=0,"",MINIFS('FollowUps'!$E$2:$E$500,'FollowUps'!$C$2:$C$500,$A142,'FollowUps'!$H$2:$H$500,"open")))</x:f>
      </x:c>
      <x:c r="M142" s="19"/>
      <x:c r="N142" s="26"/>
      <x:c r="O142" s="19"/>
      <x:c r="P142" s="26"/>
      <x:c r="Q142" s="19"/>
      <x:c r="R142" s="26"/>
      <x:c r="S142" s="19"/>
      <x:c r="T142" s="19"/>
    </x:row>
    <x:row r="143">
      <x:c r="A143" s="19"/>
      <x:c r="B143" s="19"/>
      <x:c r="C143" s="19"/>
      <x:c r="D143" s="19"/>
      <x:c r="E143" s="19"/>
      <x:c r="F143" s="19"/>
      <x:c r="G143" s="19"/>
      <x:c r="H143" s="25"/>
      <x:c r="I143" s="112" t="str">
        <x:f>IF($A143="","",SUMIFS('PipelineStages'!$E$2:$E$100,'PipelineStages'!$A$2:$A$100,$E143,'PipelineStages'!$B$2:$B$100,$F143))</x:f>
      </x:c>
      <x:c r="J143" s="24"/>
      <x:c r="K143" s="19"/>
      <x:c r="L143" s="100" t="str">
        <x:f>IF($A143="","",IF(COUNTIFS('FollowUps'!$C$2:$C$500,$A143,'FollowUps'!$H$2:$H$500,"open")=0,"",MINIFS('FollowUps'!$E$2:$E$500,'FollowUps'!$C$2:$C$500,$A143,'FollowUps'!$H$2:$H$500,"open")))</x:f>
      </x:c>
      <x:c r="M143" s="19"/>
      <x:c r="N143" s="26"/>
      <x:c r="O143" s="19"/>
      <x:c r="P143" s="26"/>
      <x:c r="Q143" s="19"/>
      <x:c r="R143" s="26"/>
      <x:c r="S143" s="19"/>
      <x:c r="T143" s="19"/>
    </x:row>
    <x:row r="144">
      <x:c r="A144" s="19"/>
      <x:c r="B144" s="19"/>
      <x:c r="C144" s="19"/>
      <x:c r="D144" s="19"/>
      <x:c r="E144" s="19"/>
      <x:c r="F144" s="19"/>
      <x:c r="G144" s="19"/>
      <x:c r="H144" s="25"/>
      <x:c r="I144" s="112" t="str">
        <x:f>IF($A144="","",SUMIFS('PipelineStages'!$E$2:$E$100,'PipelineStages'!$A$2:$A$100,$E144,'PipelineStages'!$B$2:$B$100,$F144))</x:f>
      </x:c>
      <x:c r="J144" s="24"/>
      <x:c r="K144" s="19"/>
      <x:c r="L144" s="100" t="str">
        <x:f>IF($A144="","",IF(COUNTIFS('FollowUps'!$C$2:$C$500,$A144,'FollowUps'!$H$2:$H$500,"open")=0,"",MINIFS('FollowUps'!$E$2:$E$500,'FollowUps'!$C$2:$C$500,$A144,'FollowUps'!$H$2:$H$500,"open")))</x:f>
      </x:c>
      <x:c r="M144" s="19"/>
      <x:c r="N144" s="26"/>
      <x:c r="O144" s="19"/>
      <x:c r="P144" s="26"/>
      <x:c r="Q144" s="19"/>
      <x:c r="R144" s="26"/>
      <x:c r="S144" s="19"/>
      <x:c r="T144" s="19"/>
    </x:row>
    <x:row r="145">
      <x:c r="A145" s="19"/>
      <x:c r="B145" s="19"/>
      <x:c r="C145" s="19"/>
      <x:c r="D145" s="19"/>
      <x:c r="E145" s="19"/>
      <x:c r="F145" s="19"/>
      <x:c r="G145" s="19"/>
      <x:c r="H145" s="25"/>
      <x:c r="I145" s="112" t="str">
        <x:f>IF($A145="","",SUMIFS('PipelineStages'!$E$2:$E$100,'PipelineStages'!$A$2:$A$100,$E145,'PipelineStages'!$B$2:$B$100,$F145))</x:f>
      </x:c>
      <x:c r="J145" s="24"/>
      <x:c r="K145" s="19"/>
      <x:c r="L145" s="100" t="str">
        <x:f>IF($A145="","",IF(COUNTIFS('FollowUps'!$C$2:$C$500,$A145,'FollowUps'!$H$2:$H$500,"open")=0,"",MINIFS('FollowUps'!$E$2:$E$500,'FollowUps'!$C$2:$C$500,$A145,'FollowUps'!$H$2:$H$500,"open")))</x:f>
      </x:c>
      <x:c r="M145" s="19"/>
      <x:c r="N145" s="26"/>
      <x:c r="O145" s="19"/>
      <x:c r="P145" s="26"/>
      <x:c r="Q145" s="19"/>
      <x:c r="R145" s="26"/>
      <x:c r="S145" s="19"/>
      <x:c r="T145" s="19"/>
    </x:row>
    <x:row r="146">
      <x:c r="A146" s="19"/>
      <x:c r="B146" s="19"/>
      <x:c r="C146" s="19"/>
      <x:c r="D146" s="19"/>
      <x:c r="E146" s="19"/>
      <x:c r="F146" s="19"/>
      <x:c r="G146" s="19"/>
      <x:c r="H146" s="25"/>
      <x:c r="I146" s="112" t="str">
        <x:f>IF($A146="","",SUMIFS('PipelineStages'!$E$2:$E$100,'PipelineStages'!$A$2:$A$100,$E146,'PipelineStages'!$B$2:$B$100,$F146))</x:f>
      </x:c>
      <x:c r="J146" s="24"/>
      <x:c r="K146" s="19"/>
      <x:c r="L146" s="100" t="str">
        <x:f>IF($A146="","",IF(COUNTIFS('FollowUps'!$C$2:$C$500,$A146,'FollowUps'!$H$2:$H$500,"open")=0,"",MINIFS('FollowUps'!$E$2:$E$500,'FollowUps'!$C$2:$C$500,$A146,'FollowUps'!$H$2:$H$500,"open")))</x:f>
      </x:c>
      <x:c r="M146" s="19"/>
      <x:c r="N146" s="26"/>
      <x:c r="O146" s="19"/>
      <x:c r="P146" s="26"/>
      <x:c r="Q146" s="19"/>
      <x:c r="R146" s="26"/>
      <x:c r="S146" s="19"/>
      <x:c r="T146" s="19"/>
    </x:row>
    <x:row r="147">
      <x:c r="A147" s="19"/>
      <x:c r="B147" s="19"/>
      <x:c r="C147" s="19"/>
      <x:c r="D147" s="19"/>
      <x:c r="E147" s="19"/>
      <x:c r="F147" s="19"/>
      <x:c r="G147" s="19"/>
      <x:c r="H147" s="25"/>
      <x:c r="I147" s="112" t="str">
        <x:f>IF($A147="","",SUMIFS('PipelineStages'!$E$2:$E$100,'PipelineStages'!$A$2:$A$100,$E147,'PipelineStages'!$B$2:$B$100,$F147))</x:f>
      </x:c>
      <x:c r="J147" s="24"/>
      <x:c r="K147" s="19"/>
      <x:c r="L147" s="100" t="str">
        <x:f>IF($A147="","",IF(COUNTIFS('FollowUps'!$C$2:$C$500,$A147,'FollowUps'!$H$2:$H$500,"open")=0,"",MINIFS('FollowUps'!$E$2:$E$500,'FollowUps'!$C$2:$C$500,$A147,'FollowUps'!$H$2:$H$500,"open")))</x:f>
      </x:c>
      <x:c r="M147" s="19"/>
      <x:c r="N147" s="26"/>
      <x:c r="O147" s="19"/>
      <x:c r="P147" s="26"/>
      <x:c r="Q147" s="19"/>
      <x:c r="R147" s="26"/>
      <x:c r="S147" s="19"/>
      <x:c r="T147" s="19"/>
    </x:row>
    <x:row r="148">
      <x:c r="A148" s="19"/>
      <x:c r="B148" s="19"/>
      <x:c r="C148" s="19"/>
      <x:c r="D148" s="19"/>
      <x:c r="E148" s="19"/>
      <x:c r="F148" s="19"/>
      <x:c r="G148" s="19"/>
      <x:c r="H148" s="25"/>
      <x:c r="I148" s="112" t="str">
        <x:f>IF($A148="","",SUMIFS('PipelineStages'!$E$2:$E$100,'PipelineStages'!$A$2:$A$100,$E148,'PipelineStages'!$B$2:$B$100,$F148))</x:f>
      </x:c>
      <x:c r="J148" s="24"/>
      <x:c r="K148" s="19"/>
      <x:c r="L148" s="100" t="str">
        <x:f>IF($A148="","",IF(COUNTIFS('FollowUps'!$C$2:$C$500,$A148,'FollowUps'!$H$2:$H$500,"open")=0,"",MINIFS('FollowUps'!$E$2:$E$500,'FollowUps'!$C$2:$C$500,$A148,'FollowUps'!$H$2:$H$500,"open")))</x:f>
      </x:c>
      <x:c r="M148" s="19"/>
      <x:c r="N148" s="26"/>
      <x:c r="O148" s="19"/>
      <x:c r="P148" s="26"/>
      <x:c r="Q148" s="19"/>
      <x:c r="R148" s="26"/>
      <x:c r="S148" s="19"/>
      <x:c r="T148" s="19"/>
    </x:row>
    <x:row r="149">
      <x:c r="A149" s="19"/>
      <x:c r="B149" s="19"/>
      <x:c r="C149" s="19"/>
      <x:c r="D149" s="19"/>
      <x:c r="E149" s="19"/>
      <x:c r="F149" s="19"/>
      <x:c r="G149" s="19"/>
      <x:c r="H149" s="25"/>
      <x:c r="I149" s="112" t="str">
        <x:f>IF($A149="","",SUMIFS('PipelineStages'!$E$2:$E$100,'PipelineStages'!$A$2:$A$100,$E149,'PipelineStages'!$B$2:$B$100,$F149))</x:f>
      </x:c>
      <x:c r="J149" s="24"/>
      <x:c r="K149" s="19"/>
      <x:c r="L149" s="100" t="str">
        <x:f>IF($A149="","",IF(COUNTIFS('FollowUps'!$C$2:$C$500,$A149,'FollowUps'!$H$2:$H$500,"open")=0,"",MINIFS('FollowUps'!$E$2:$E$500,'FollowUps'!$C$2:$C$500,$A149,'FollowUps'!$H$2:$H$500,"open")))</x:f>
      </x:c>
      <x:c r="M149" s="19"/>
      <x:c r="N149" s="26"/>
      <x:c r="O149" s="19"/>
      <x:c r="P149" s="26"/>
      <x:c r="Q149" s="19"/>
      <x:c r="R149" s="26"/>
      <x:c r="S149" s="19"/>
      <x:c r="T149" s="19"/>
    </x:row>
    <x:row r="150">
      <x:c r="A150" s="19"/>
      <x:c r="B150" s="19"/>
      <x:c r="C150" s="19"/>
      <x:c r="D150" s="19"/>
      <x:c r="E150" s="19"/>
      <x:c r="F150" s="19"/>
      <x:c r="G150" s="19"/>
      <x:c r="H150" s="25"/>
      <x:c r="I150" s="112" t="str">
        <x:f>IF($A150="","",SUMIFS('PipelineStages'!$E$2:$E$100,'PipelineStages'!$A$2:$A$100,$E150,'PipelineStages'!$B$2:$B$100,$F150))</x:f>
      </x:c>
      <x:c r="J150" s="24"/>
      <x:c r="K150" s="19"/>
      <x:c r="L150" s="100" t="str">
        <x:f>IF($A150="","",IF(COUNTIFS('FollowUps'!$C$2:$C$500,$A150,'FollowUps'!$H$2:$H$500,"open")=0,"",MINIFS('FollowUps'!$E$2:$E$500,'FollowUps'!$C$2:$C$500,$A150,'FollowUps'!$H$2:$H$500,"open")))</x:f>
      </x:c>
      <x:c r="M150" s="19"/>
      <x:c r="N150" s="26"/>
      <x:c r="O150" s="19"/>
      <x:c r="P150" s="26"/>
      <x:c r="Q150" s="19"/>
      <x:c r="R150" s="26"/>
      <x:c r="S150" s="19"/>
      <x:c r="T150" s="19"/>
    </x:row>
    <x:row r="151">
      <x:c r="A151" s="19"/>
      <x:c r="B151" s="19"/>
      <x:c r="C151" s="19"/>
      <x:c r="D151" s="19"/>
      <x:c r="E151" s="19"/>
      <x:c r="F151" s="19"/>
      <x:c r="G151" s="19"/>
      <x:c r="H151" s="25"/>
      <x:c r="I151" s="112" t="str">
        <x:f>IF($A151="","",SUMIFS('PipelineStages'!$E$2:$E$100,'PipelineStages'!$A$2:$A$100,$E151,'PipelineStages'!$B$2:$B$100,$F151))</x:f>
      </x:c>
      <x:c r="J151" s="24"/>
      <x:c r="K151" s="19"/>
      <x:c r="L151" s="100" t="str">
        <x:f>IF($A151="","",IF(COUNTIFS('FollowUps'!$C$2:$C$500,$A151,'FollowUps'!$H$2:$H$500,"open")=0,"",MINIFS('FollowUps'!$E$2:$E$500,'FollowUps'!$C$2:$C$500,$A151,'FollowUps'!$H$2:$H$500,"open")))</x:f>
      </x:c>
      <x:c r="M151" s="19"/>
      <x:c r="N151" s="26"/>
      <x:c r="O151" s="19"/>
      <x:c r="P151" s="26"/>
      <x:c r="Q151" s="19"/>
      <x:c r="R151" s="26"/>
      <x:c r="S151" s="19"/>
      <x:c r="T151" s="19"/>
    </x:row>
    <x:row r="152">
      <x:c r="A152" s="19"/>
      <x:c r="B152" s="19"/>
      <x:c r="C152" s="19"/>
      <x:c r="D152" s="19"/>
      <x:c r="E152" s="19"/>
      <x:c r="F152" s="19"/>
      <x:c r="G152" s="19"/>
      <x:c r="H152" s="25"/>
      <x:c r="I152" s="112" t="str">
        <x:f>IF($A152="","",SUMIFS('PipelineStages'!$E$2:$E$100,'PipelineStages'!$A$2:$A$100,$E152,'PipelineStages'!$B$2:$B$100,$F152))</x:f>
      </x:c>
      <x:c r="J152" s="24"/>
      <x:c r="K152" s="19"/>
      <x:c r="L152" s="100" t="str">
        <x:f>IF($A152="","",IF(COUNTIFS('FollowUps'!$C$2:$C$500,$A152,'FollowUps'!$H$2:$H$500,"open")=0,"",MINIFS('FollowUps'!$E$2:$E$500,'FollowUps'!$C$2:$C$500,$A152,'FollowUps'!$H$2:$H$500,"open")))</x:f>
      </x:c>
      <x:c r="M152" s="19"/>
      <x:c r="N152" s="26"/>
      <x:c r="O152" s="19"/>
      <x:c r="P152" s="26"/>
      <x:c r="Q152" s="19"/>
      <x:c r="R152" s="26"/>
      <x:c r="S152" s="19"/>
      <x:c r="T152" s="19"/>
    </x:row>
    <x:row r="153">
      <x:c r="A153" s="19"/>
      <x:c r="B153" s="19"/>
      <x:c r="C153" s="19"/>
      <x:c r="D153" s="19"/>
      <x:c r="E153" s="19"/>
      <x:c r="F153" s="19"/>
      <x:c r="G153" s="19"/>
      <x:c r="H153" s="25"/>
      <x:c r="I153" s="112" t="str">
        <x:f>IF($A153="","",SUMIFS('PipelineStages'!$E$2:$E$100,'PipelineStages'!$A$2:$A$100,$E153,'PipelineStages'!$B$2:$B$100,$F153))</x:f>
      </x:c>
      <x:c r="J153" s="24"/>
      <x:c r="K153" s="19"/>
      <x:c r="L153" s="100" t="str">
        <x:f>IF($A153="","",IF(COUNTIFS('FollowUps'!$C$2:$C$500,$A153,'FollowUps'!$H$2:$H$500,"open")=0,"",MINIFS('FollowUps'!$E$2:$E$500,'FollowUps'!$C$2:$C$500,$A153,'FollowUps'!$H$2:$H$500,"open")))</x:f>
      </x:c>
      <x:c r="M153" s="19"/>
      <x:c r="N153" s="26"/>
      <x:c r="O153" s="19"/>
      <x:c r="P153" s="26"/>
      <x:c r="Q153" s="19"/>
      <x:c r="R153" s="26"/>
      <x:c r="S153" s="19"/>
      <x:c r="T153" s="19"/>
    </x:row>
    <x:row r="154">
      <x:c r="A154" s="19"/>
      <x:c r="B154" s="19"/>
      <x:c r="C154" s="19"/>
      <x:c r="D154" s="19"/>
      <x:c r="E154" s="19"/>
      <x:c r="F154" s="19"/>
      <x:c r="G154" s="19"/>
      <x:c r="H154" s="25"/>
      <x:c r="I154" s="112" t="str">
        <x:f>IF($A154="","",SUMIFS('PipelineStages'!$E$2:$E$100,'PipelineStages'!$A$2:$A$100,$E154,'PipelineStages'!$B$2:$B$100,$F154))</x:f>
      </x:c>
      <x:c r="J154" s="24"/>
      <x:c r="K154" s="19"/>
      <x:c r="L154" s="100" t="str">
        <x:f>IF($A154="","",IF(COUNTIFS('FollowUps'!$C$2:$C$500,$A154,'FollowUps'!$H$2:$H$500,"open")=0,"",MINIFS('FollowUps'!$E$2:$E$500,'FollowUps'!$C$2:$C$500,$A154,'FollowUps'!$H$2:$H$500,"open")))</x:f>
      </x:c>
      <x:c r="M154" s="19"/>
      <x:c r="N154" s="26"/>
      <x:c r="O154" s="19"/>
      <x:c r="P154" s="26"/>
      <x:c r="Q154" s="19"/>
      <x:c r="R154" s="26"/>
      <x:c r="S154" s="19"/>
      <x:c r="T154" s="19"/>
    </x:row>
    <x:row r="155">
      <x:c r="A155" s="19"/>
      <x:c r="B155" s="19"/>
      <x:c r="C155" s="19"/>
      <x:c r="D155" s="19"/>
      <x:c r="E155" s="19"/>
      <x:c r="F155" s="19"/>
      <x:c r="G155" s="19"/>
      <x:c r="H155" s="25"/>
      <x:c r="I155" s="112" t="str">
        <x:f>IF($A155="","",SUMIFS('PipelineStages'!$E$2:$E$100,'PipelineStages'!$A$2:$A$100,$E155,'PipelineStages'!$B$2:$B$100,$F155))</x:f>
      </x:c>
      <x:c r="J155" s="24"/>
      <x:c r="K155" s="19"/>
      <x:c r="L155" s="100" t="str">
        <x:f>IF($A155="","",IF(COUNTIFS('FollowUps'!$C$2:$C$500,$A155,'FollowUps'!$H$2:$H$500,"open")=0,"",MINIFS('FollowUps'!$E$2:$E$500,'FollowUps'!$C$2:$C$500,$A155,'FollowUps'!$H$2:$H$500,"open")))</x:f>
      </x:c>
      <x:c r="M155" s="19"/>
      <x:c r="N155" s="26"/>
      <x:c r="O155" s="19"/>
      <x:c r="P155" s="26"/>
      <x:c r="Q155" s="19"/>
      <x:c r="R155" s="26"/>
      <x:c r="S155" s="19"/>
      <x:c r="T155" s="19"/>
    </x:row>
    <x:row r="156">
      <x:c r="A156" s="19"/>
      <x:c r="B156" s="19"/>
      <x:c r="C156" s="19"/>
      <x:c r="D156" s="19"/>
      <x:c r="E156" s="19"/>
      <x:c r="F156" s="19"/>
      <x:c r="G156" s="19"/>
      <x:c r="H156" s="25"/>
      <x:c r="I156" s="112" t="str">
        <x:f>IF($A156="","",SUMIFS('PipelineStages'!$E$2:$E$100,'PipelineStages'!$A$2:$A$100,$E156,'PipelineStages'!$B$2:$B$100,$F156))</x:f>
      </x:c>
      <x:c r="J156" s="24"/>
      <x:c r="K156" s="19"/>
      <x:c r="L156" s="100" t="str">
        <x:f>IF($A156="","",IF(COUNTIFS('FollowUps'!$C$2:$C$500,$A156,'FollowUps'!$H$2:$H$500,"open")=0,"",MINIFS('FollowUps'!$E$2:$E$500,'FollowUps'!$C$2:$C$500,$A156,'FollowUps'!$H$2:$H$500,"open")))</x:f>
      </x:c>
      <x:c r="M156" s="19"/>
      <x:c r="N156" s="26"/>
      <x:c r="O156" s="19"/>
      <x:c r="P156" s="26"/>
      <x:c r="Q156" s="19"/>
      <x:c r="R156" s="26"/>
      <x:c r="S156" s="19"/>
      <x:c r="T156" s="19"/>
    </x:row>
    <x:row r="157">
      <x:c r="A157" s="19"/>
      <x:c r="B157" s="19"/>
      <x:c r="C157" s="19"/>
      <x:c r="D157" s="19"/>
      <x:c r="E157" s="19"/>
      <x:c r="F157" s="19"/>
      <x:c r="G157" s="19"/>
      <x:c r="H157" s="25"/>
      <x:c r="I157" s="112" t="str">
        <x:f>IF($A157="","",SUMIFS('PipelineStages'!$E$2:$E$100,'PipelineStages'!$A$2:$A$100,$E157,'PipelineStages'!$B$2:$B$100,$F157))</x:f>
      </x:c>
      <x:c r="J157" s="24"/>
      <x:c r="K157" s="19"/>
      <x:c r="L157" s="100" t="str">
        <x:f>IF($A157="","",IF(COUNTIFS('FollowUps'!$C$2:$C$500,$A157,'FollowUps'!$H$2:$H$500,"open")=0,"",MINIFS('FollowUps'!$E$2:$E$500,'FollowUps'!$C$2:$C$500,$A157,'FollowUps'!$H$2:$H$500,"open")))</x:f>
      </x:c>
      <x:c r="M157" s="19"/>
      <x:c r="N157" s="26"/>
      <x:c r="O157" s="19"/>
      <x:c r="P157" s="26"/>
      <x:c r="Q157" s="19"/>
      <x:c r="R157" s="26"/>
      <x:c r="S157" s="19"/>
      <x:c r="T157" s="19"/>
    </x:row>
    <x:row r="158">
      <x:c r="A158" s="19"/>
      <x:c r="B158" s="19"/>
      <x:c r="C158" s="19"/>
      <x:c r="D158" s="19"/>
      <x:c r="E158" s="19"/>
      <x:c r="F158" s="19"/>
      <x:c r="G158" s="19"/>
      <x:c r="H158" s="25"/>
      <x:c r="I158" s="112" t="str">
        <x:f>IF($A158="","",SUMIFS('PipelineStages'!$E$2:$E$100,'PipelineStages'!$A$2:$A$100,$E158,'PipelineStages'!$B$2:$B$100,$F158))</x:f>
      </x:c>
      <x:c r="J158" s="24"/>
      <x:c r="K158" s="19"/>
      <x:c r="L158" s="100" t="str">
        <x:f>IF($A158="","",IF(COUNTIFS('FollowUps'!$C$2:$C$500,$A158,'FollowUps'!$H$2:$H$500,"open")=0,"",MINIFS('FollowUps'!$E$2:$E$500,'FollowUps'!$C$2:$C$500,$A158,'FollowUps'!$H$2:$H$500,"open")))</x:f>
      </x:c>
      <x:c r="M158" s="19"/>
      <x:c r="N158" s="26"/>
      <x:c r="O158" s="19"/>
      <x:c r="P158" s="26"/>
      <x:c r="Q158" s="19"/>
      <x:c r="R158" s="26"/>
      <x:c r="S158" s="19"/>
      <x:c r="T158" s="19"/>
    </x:row>
    <x:row r="159">
      <x:c r="A159" s="19"/>
      <x:c r="B159" s="19"/>
      <x:c r="C159" s="19"/>
      <x:c r="D159" s="19"/>
      <x:c r="E159" s="19"/>
      <x:c r="F159" s="19"/>
      <x:c r="G159" s="19"/>
      <x:c r="H159" s="25"/>
      <x:c r="I159" s="112" t="str">
        <x:f>IF($A159="","",SUMIFS('PipelineStages'!$E$2:$E$100,'PipelineStages'!$A$2:$A$100,$E159,'PipelineStages'!$B$2:$B$100,$F159))</x:f>
      </x:c>
      <x:c r="J159" s="24"/>
      <x:c r="K159" s="19"/>
      <x:c r="L159" s="100" t="str">
        <x:f>IF($A159="","",IF(COUNTIFS('FollowUps'!$C$2:$C$500,$A159,'FollowUps'!$H$2:$H$500,"open")=0,"",MINIFS('FollowUps'!$E$2:$E$500,'FollowUps'!$C$2:$C$500,$A159,'FollowUps'!$H$2:$H$500,"open")))</x:f>
      </x:c>
      <x:c r="M159" s="19"/>
      <x:c r="N159" s="26"/>
      <x:c r="O159" s="19"/>
      <x:c r="P159" s="26"/>
      <x:c r="Q159" s="19"/>
      <x:c r="R159" s="26"/>
      <x:c r="S159" s="19"/>
      <x:c r="T159" s="19"/>
    </x:row>
    <x:row r="160">
      <x:c r="A160" s="19"/>
      <x:c r="B160" s="19"/>
      <x:c r="C160" s="19"/>
      <x:c r="D160" s="19"/>
      <x:c r="E160" s="19"/>
      <x:c r="F160" s="19"/>
      <x:c r="G160" s="19"/>
      <x:c r="H160" s="25"/>
      <x:c r="I160" s="112" t="str">
        <x:f>IF($A160="","",SUMIFS('PipelineStages'!$E$2:$E$100,'PipelineStages'!$A$2:$A$100,$E160,'PipelineStages'!$B$2:$B$100,$F160))</x:f>
      </x:c>
      <x:c r="J160" s="24"/>
      <x:c r="K160" s="19"/>
      <x:c r="L160" s="100" t="str">
        <x:f>IF($A160="","",IF(COUNTIFS('FollowUps'!$C$2:$C$500,$A160,'FollowUps'!$H$2:$H$500,"open")=0,"",MINIFS('FollowUps'!$E$2:$E$500,'FollowUps'!$C$2:$C$500,$A160,'FollowUps'!$H$2:$H$500,"open")))</x:f>
      </x:c>
      <x:c r="M160" s="19"/>
      <x:c r="N160" s="26"/>
      <x:c r="O160" s="19"/>
      <x:c r="P160" s="26"/>
      <x:c r="Q160" s="19"/>
      <x:c r="R160" s="26"/>
      <x:c r="S160" s="19"/>
      <x:c r="T160" s="19"/>
    </x:row>
    <x:row r="161">
      <x:c r="A161" s="19"/>
      <x:c r="B161" s="19"/>
      <x:c r="C161" s="19"/>
      <x:c r="D161" s="19"/>
      <x:c r="E161" s="19"/>
      <x:c r="F161" s="19"/>
      <x:c r="G161" s="19"/>
      <x:c r="H161" s="25"/>
      <x:c r="I161" s="112" t="str">
        <x:f>IF($A161="","",SUMIFS('PipelineStages'!$E$2:$E$100,'PipelineStages'!$A$2:$A$100,$E161,'PipelineStages'!$B$2:$B$100,$F161))</x:f>
      </x:c>
      <x:c r="J161" s="24"/>
      <x:c r="K161" s="19"/>
      <x:c r="L161" s="100" t="str">
        <x:f>IF($A161="","",IF(COUNTIFS('FollowUps'!$C$2:$C$500,$A161,'FollowUps'!$H$2:$H$500,"open")=0,"",MINIFS('FollowUps'!$E$2:$E$500,'FollowUps'!$C$2:$C$500,$A161,'FollowUps'!$H$2:$H$500,"open")))</x:f>
      </x:c>
      <x:c r="M161" s="19"/>
      <x:c r="N161" s="26"/>
      <x:c r="O161" s="19"/>
      <x:c r="P161" s="26"/>
      <x:c r="Q161" s="19"/>
      <x:c r="R161" s="26"/>
      <x:c r="S161" s="19"/>
      <x:c r="T161" s="19"/>
    </x:row>
    <x:row r="162">
      <x:c r="A162" s="19"/>
      <x:c r="B162" s="19"/>
      <x:c r="C162" s="19"/>
      <x:c r="D162" s="19"/>
      <x:c r="E162" s="19"/>
      <x:c r="F162" s="19"/>
      <x:c r="G162" s="19"/>
      <x:c r="H162" s="25"/>
      <x:c r="I162" s="112" t="str">
        <x:f>IF($A162="","",SUMIFS('PipelineStages'!$E$2:$E$100,'PipelineStages'!$A$2:$A$100,$E162,'PipelineStages'!$B$2:$B$100,$F162))</x:f>
      </x:c>
      <x:c r="J162" s="24"/>
      <x:c r="K162" s="19"/>
      <x:c r="L162" s="100" t="str">
        <x:f>IF($A162="","",IF(COUNTIFS('FollowUps'!$C$2:$C$500,$A162,'FollowUps'!$H$2:$H$500,"open")=0,"",MINIFS('FollowUps'!$E$2:$E$500,'FollowUps'!$C$2:$C$500,$A162,'FollowUps'!$H$2:$H$500,"open")))</x:f>
      </x:c>
      <x:c r="M162" s="19"/>
      <x:c r="N162" s="26"/>
      <x:c r="O162" s="19"/>
      <x:c r="P162" s="26"/>
      <x:c r="Q162" s="19"/>
      <x:c r="R162" s="26"/>
      <x:c r="S162" s="19"/>
      <x:c r="T162" s="19"/>
    </x:row>
    <x:row r="163">
      <x:c r="A163" s="19"/>
      <x:c r="B163" s="19"/>
      <x:c r="C163" s="19"/>
      <x:c r="D163" s="19"/>
      <x:c r="E163" s="19"/>
      <x:c r="F163" s="19"/>
      <x:c r="G163" s="19"/>
      <x:c r="H163" s="25"/>
      <x:c r="I163" s="112" t="str">
        <x:f>IF($A163="","",SUMIFS('PipelineStages'!$E$2:$E$100,'PipelineStages'!$A$2:$A$100,$E163,'PipelineStages'!$B$2:$B$100,$F163))</x:f>
      </x:c>
      <x:c r="J163" s="24"/>
      <x:c r="K163" s="19"/>
      <x:c r="L163" s="100" t="str">
        <x:f>IF($A163="","",IF(COUNTIFS('FollowUps'!$C$2:$C$500,$A163,'FollowUps'!$H$2:$H$500,"open")=0,"",MINIFS('FollowUps'!$E$2:$E$500,'FollowUps'!$C$2:$C$500,$A163,'FollowUps'!$H$2:$H$500,"open")))</x:f>
      </x:c>
      <x:c r="M163" s="19"/>
      <x:c r="N163" s="26"/>
      <x:c r="O163" s="19"/>
      <x:c r="P163" s="26"/>
      <x:c r="Q163" s="19"/>
      <x:c r="R163" s="26"/>
      <x:c r="S163" s="19"/>
      <x:c r="T163" s="19"/>
    </x:row>
    <x:row r="164">
      <x:c r="A164" s="19"/>
      <x:c r="B164" s="19"/>
      <x:c r="C164" s="19"/>
      <x:c r="D164" s="19"/>
      <x:c r="E164" s="19"/>
      <x:c r="F164" s="19"/>
      <x:c r="G164" s="19"/>
      <x:c r="H164" s="25"/>
      <x:c r="I164" s="112" t="str">
        <x:f>IF($A164="","",SUMIFS('PipelineStages'!$E$2:$E$100,'PipelineStages'!$A$2:$A$100,$E164,'PipelineStages'!$B$2:$B$100,$F164))</x:f>
      </x:c>
      <x:c r="J164" s="24"/>
      <x:c r="K164" s="19"/>
      <x:c r="L164" s="100" t="str">
        <x:f>IF($A164="","",IF(COUNTIFS('FollowUps'!$C$2:$C$500,$A164,'FollowUps'!$H$2:$H$500,"open")=0,"",MINIFS('FollowUps'!$E$2:$E$500,'FollowUps'!$C$2:$C$500,$A164,'FollowUps'!$H$2:$H$500,"open")))</x:f>
      </x:c>
      <x:c r="M164" s="19"/>
      <x:c r="N164" s="26"/>
      <x:c r="O164" s="19"/>
      <x:c r="P164" s="26"/>
      <x:c r="Q164" s="19"/>
      <x:c r="R164" s="26"/>
      <x:c r="S164" s="19"/>
      <x:c r="T164" s="19"/>
    </x:row>
    <x:row r="165">
      <x:c r="A165" s="19"/>
      <x:c r="B165" s="19"/>
      <x:c r="C165" s="19"/>
      <x:c r="D165" s="19"/>
      <x:c r="E165" s="19"/>
      <x:c r="F165" s="19"/>
      <x:c r="G165" s="19"/>
      <x:c r="H165" s="25"/>
      <x:c r="I165" s="112" t="str">
        <x:f>IF($A165="","",SUMIFS('PipelineStages'!$E$2:$E$100,'PipelineStages'!$A$2:$A$100,$E165,'PipelineStages'!$B$2:$B$100,$F165))</x:f>
      </x:c>
      <x:c r="J165" s="24"/>
      <x:c r="K165" s="19"/>
      <x:c r="L165" s="100" t="str">
        <x:f>IF($A165="","",IF(COUNTIFS('FollowUps'!$C$2:$C$500,$A165,'FollowUps'!$H$2:$H$500,"open")=0,"",MINIFS('FollowUps'!$E$2:$E$500,'FollowUps'!$C$2:$C$500,$A165,'FollowUps'!$H$2:$H$500,"open")))</x:f>
      </x:c>
      <x:c r="M165" s="19"/>
      <x:c r="N165" s="26"/>
      <x:c r="O165" s="19"/>
      <x:c r="P165" s="26"/>
      <x:c r="Q165" s="19"/>
      <x:c r="R165" s="26"/>
      <x:c r="S165" s="19"/>
      <x:c r="T165" s="19"/>
    </x:row>
    <x:row r="166">
      <x:c r="A166" s="19"/>
      <x:c r="B166" s="19"/>
      <x:c r="C166" s="19"/>
      <x:c r="D166" s="19"/>
      <x:c r="E166" s="19"/>
      <x:c r="F166" s="19"/>
      <x:c r="G166" s="19"/>
      <x:c r="H166" s="25"/>
      <x:c r="I166" s="112" t="str">
        <x:f>IF($A166="","",SUMIFS('PipelineStages'!$E$2:$E$100,'PipelineStages'!$A$2:$A$100,$E166,'PipelineStages'!$B$2:$B$100,$F166))</x:f>
      </x:c>
      <x:c r="J166" s="24"/>
      <x:c r="K166" s="19"/>
      <x:c r="L166" s="100" t="str">
        <x:f>IF($A166="","",IF(COUNTIFS('FollowUps'!$C$2:$C$500,$A166,'FollowUps'!$H$2:$H$500,"open")=0,"",MINIFS('FollowUps'!$E$2:$E$500,'FollowUps'!$C$2:$C$500,$A166,'FollowUps'!$H$2:$H$500,"open")))</x:f>
      </x:c>
      <x:c r="M166" s="19"/>
      <x:c r="N166" s="26"/>
      <x:c r="O166" s="19"/>
      <x:c r="P166" s="26"/>
      <x:c r="Q166" s="19"/>
      <x:c r="R166" s="26"/>
      <x:c r="S166" s="19"/>
      <x:c r="T166" s="19"/>
    </x:row>
    <x:row r="167">
      <x:c r="A167" s="19"/>
      <x:c r="B167" s="19"/>
      <x:c r="C167" s="19"/>
      <x:c r="D167" s="19"/>
      <x:c r="E167" s="19"/>
      <x:c r="F167" s="19"/>
      <x:c r="G167" s="19"/>
      <x:c r="H167" s="25"/>
      <x:c r="I167" s="112" t="str">
        <x:f>IF($A167="","",SUMIFS('PipelineStages'!$E$2:$E$100,'PipelineStages'!$A$2:$A$100,$E167,'PipelineStages'!$B$2:$B$100,$F167))</x:f>
      </x:c>
      <x:c r="J167" s="24"/>
      <x:c r="K167" s="19"/>
      <x:c r="L167" s="100" t="str">
        <x:f>IF($A167="","",IF(COUNTIFS('FollowUps'!$C$2:$C$500,$A167,'FollowUps'!$H$2:$H$500,"open")=0,"",MINIFS('FollowUps'!$E$2:$E$500,'FollowUps'!$C$2:$C$500,$A167,'FollowUps'!$H$2:$H$500,"open")))</x:f>
      </x:c>
      <x:c r="M167" s="19"/>
      <x:c r="N167" s="26"/>
      <x:c r="O167" s="19"/>
      <x:c r="P167" s="26"/>
      <x:c r="Q167" s="19"/>
      <x:c r="R167" s="26"/>
      <x:c r="S167" s="19"/>
      <x:c r="T167" s="19"/>
    </x:row>
    <x:row r="168">
      <x:c r="A168" s="19"/>
      <x:c r="B168" s="19"/>
      <x:c r="C168" s="19"/>
      <x:c r="D168" s="19"/>
      <x:c r="E168" s="19"/>
      <x:c r="F168" s="19"/>
      <x:c r="G168" s="19"/>
      <x:c r="H168" s="25"/>
      <x:c r="I168" s="112" t="str">
        <x:f>IF($A168="","",SUMIFS('PipelineStages'!$E$2:$E$100,'PipelineStages'!$A$2:$A$100,$E168,'PipelineStages'!$B$2:$B$100,$F168))</x:f>
      </x:c>
      <x:c r="J168" s="24"/>
      <x:c r="K168" s="19"/>
      <x:c r="L168" s="100" t="str">
        <x:f>IF($A168="","",IF(COUNTIFS('FollowUps'!$C$2:$C$500,$A168,'FollowUps'!$H$2:$H$500,"open")=0,"",MINIFS('FollowUps'!$E$2:$E$500,'FollowUps'!$C$2:$C$500,$A168,'FollowUps'!$H$2:$H$500,"open")))</x:f>
      </x:c>
      <x:c r="M168" s="19"/>
      <x:c r="N168" s="26"/>
      <x:c r="O168" s="19"/>
      <x:c r="P168" s="26"/>
      <x:c r="Q168" s="19"/>
      <x:c r="R168" s="26"/>
      <x:c r="S168" s="19"/>
      <x:c r="T168" s="19"/>
    </x:row>
    <x:row r="169">
      <x:c r="A169" s="19"/>
      <x:c r="B169" s="19"/>
      <x:c r="C169" s="19"/>
      <x:c r="D169" s="19"/>
      <x:c r="E169" s="19"/>
      <x:c r="F169" s="19"/>
      <x:c r="G169" s="19"/>
      <x:c r="H169" s="25"/>
      <x:c r="I169" s="112" t="str">
        <x:f>IF($A169="","",SUMIFS('PipelineStages'!$E$2:$E$100,'PipelineStages'!$A$2:$A$100,$E169,'PipelineStages'!$B$2:$B$100,$F169))</x:f>
      </x:c>
      <x:c r="J169" s="24"/>
      <x:c r="K169" s="19"/>
      <x:c r="L169" s="100" t="str">
        <x:f>IF($A169="","",IF(COUNTIFS('FollowUps'!$C$2:$C$500,$A169,'FollowUps'!$H$2:$H$500,"open")=0,"",MINIFS('FollowUps'!$E$2:$E$500,'FollowUps'!$C$2:$C$500,$A169,'FollowUps'!$H$2:$H$500,"open")))</x:f>
      </x:c>
      <x:c r="M169" s="19"/>
      <x:c r="N169" s="26"/>
      <x:c r="O169" s="19"/>
      <x:c r="P169" s="26"/>
      <x:c r="Q169" s="19"/>
      <x:c r="R169" s="26"/>
      <x:c r="S169" s="19"/>
      <x:c r="T169" s="19"/>
    </x:row>
    <x:row r="170">
      <x:c r="A170" s="19"/>
      <x:c r="B170" s="19"/>
      <x:c r="C170" s="19"/>
      <x:c r="D170" s="19"/>
      <x:c r="E170" s="19"/>
      <x:c r="F170" s="19"/>
      <x:c r="G170" s="19"/>
      <x:c r="H170" s="25"/>
      <x:c r="I170" s="112" t="str">
        <x:f>IF($A170="","",SUMIFS('PipelineStages'!$E$2:$E$100,'PipelineStages'!$A$2:$A$100,$E170,'PipelineStages'!$B$2:$B$100,$F170))</x:f>
      </x:c>
      <x:c r="J170" s="24"/>
      <x:c r="K170" s="19"/>
      <x:c r="L170" s="100" t="str">
        <x:f>IF($A170="","",IF(COUNTIFS('FollowUps'!$C$2:$C$500,$A170,'FollowUps'!$H$2:$H$500,"open")=0,"",MINIFS('FollowUps'!$E$2:$E$500,'FollowUps'!$C$2:$C$500,$A170,'FollowUps'!$H$2:$H$500,"open")))</x:f>
      </x:c>
      <x:c r="M170" s="19"/>
      <x:c r="N170" s="26"/>
      <x:c r="O170" s="19"/>
      <x:c r="P170" s="26"/>
      <x:c r="Q170" s="19"/>
      <x:c r="R170" s="26"/>
      <x:c r="S170" s="19"/>
      <x:c r="T170" s="19"/>
    </x:row>
    <x:row r="171">
      <x:c r="A171" s="19"/>
      <x:c r="B171" s="19"/>
      <x:c r="C171" s="19"/>
      <x:c r="D171" s="19"/>
      <x:c r="E171" s="19"/>
      <x:c r="F171" s="19"/>
      <x:c r="G171" s="19"/>
      <x:c r="H171" s="25"/>
      <x:c r="I171" s="112" t="str">
        <x:f>IF($A171="","",SUMIFS('PipelineStages'!$E$2:$E$100,'PipelineStages'!$A$2:$A$100,$E171,'PipelineStages'!$B$2:$B$100,$F171))</x:f>
      </x:c>
      <x:c r="J171" s="24"/>
      <x:c r="K171" s="19"/>
      <x:c r="L171" s="100" t="str">
        <x:f>IF($A171="","",IF(COUNTIFS('FollowUps'!$C$2:$C$500,$A171,'FollowUps'!$H$2:$H$500,"open")=0,"",MINIFS('FollowUps'!$E$2:$E$500,'FollowUps'!$C$2:$C$500,$A171,'FollowUps'!$H$2:$H$500,"open")))</x:f>
      </x:c>
      <x:c r="M171" s="19"/>
      <x:c r="N171" s="26"/>
      <x:c r="O171" s="19"/>
      <x:c r="P171" s="26"/>
      <x:c r="Q171" s="19"/>
      <x:c r="R171" s="26"/>
      <x:c r="S171" s="19"/>
      <x:c r="T171" s="19"/>
    </x:row>
    <x:row r="172">
      <x:c r="A172" s="19"/>
      <x:c r="B172" s="19"/>
      <x:c r="C172" s="19"/>
      <x:c r="D172" s="19"/>
      <x:c r="E172" s="19"/>
      <x:c r="F172" s="19"/>
      <x:c r="G172" s="19"/>
      <x:c r="H172" s="25"/>
      <x:c r="I172" s="112" t="str">
        <x:f>IF($A172="","",SUMIFS('PipelineStages'!$E$2:$E$100,'PipelineStages'!$A$2:$A$100,$E172,'PipelineStages'!$B$2:$B$100,$F172))</x:f>
      </x:c>
      <x:c r="J172" s="24"/>
      <x:c r="K172" s="19"/>
      <x:c r="L172" s="100" t="str">
        <x:f>IF($A172="","",IF(COUNTIFS('FollowUps'!$C$2:$C$500,$A172,'FollowUps'!$H$2:$H$500,"open")=0,"",MINIFS('FollowUps'!$E$2:$E$500,'FollowUps'!$C$2:$C$500,$A172,'FollowUps'!$H$2:$H$500,"open")))</x:f>
      </x:c>
      <x:c r="M172" s="19"/>
      <x:c r="N172" s="26"/>
      <x:c r="O172" s="19"/>
      <x:c r="P172" s="26"/>
      <x:c r="Q172" s="19"/>
      <x:c r="R172" s="26"/>
      <x:c r="S172" s="19"/>
      <x:c r="T172" s="19"/>
    </x:row>
    <x:row r="173">
      <x:c r="A173" s="19"/>
      <x:c r="B173" s="19"/>
      <x:c r="C173" s="19"/>
      <x:c r="D173" s="19"/>
      <x:c r="E173" s="19"/>
      <x:c r="F173" s="19"/>
      <x:c r="G173" s="19"/>
      <x:c r="H173" s="25"/>
      <x:c r="I173" s="112" t="str">
        <x:f>IF($A173="","",SUMIFS('PipelineStages'!$E$2:$E$100,'PipelineStages'!$A$2:$A$100,$E173,'PipelineStages'!$B$2:$B$100,$F173))</x:f>
      </x:c>
      <x:c r="J173" s="24"/>
      <x:c r="K173" s="19"/>
      <x:c r="L173" s="100" t="str">
        <x:f>IF($A173="","",IF(COUNTIFS('FollowUps'!$C$2:$C$500,$A173,'FollowUps'!$H$2:$H$500,"open")=0,"",MINIFS('FollowUps'!$E$2:$E$500,'FollowUps'!$C$2:$C$500,$A173,'FollowUps'!$H$2:$H$500,"open")))</x:f>
      </x:c>
      <x:c r="M173" s="19"/>
      <x:c r="N173" s="26"/>
      <x:c r="O173" s="19"/>
      <x:c r="P173" s="26"/>
      <x:c r="Q173" s="19"/>
      <x:c r="R173" s="26"/>
      <x:c r="S173" s="19"/>
      <x:c r="T173" s="19"/>
    </x:row>
    <x:row r="174">
      <x:c r="A174" s="19"/>
      <x:c r="B174" s="19"/>
      <x:c r="C174" s="19"/>
      <x:c r="D174" s="19"/>
      <x:c r="E174" s="19"/>
      <x:c r="F174" s="19"/>
      <x:c r="G174" s="19"/>
      <x:c r="H174" s="25"/>
      <x:c r="I174" s="112" t="str">
        <x:f>IF($A174="","",SUMIFS('PipelineStages'!$E$2:$E$100,'PipelineStages'!$A$2:$A$100,$E174,'PipelineStages'!$B$2:$B$100,$F174))</x:f>
      </x:c>
      <x:c r="J174" s="24"/>
      <x:c r="K174" s="19"/>
      <x:c r="L174" s="100" t="str">
        <x:f>IF($A174="","",IF(COUNTIFS('FollowUps'!$C$2:$C$500,$A174,'FollowUps'!$H$2:$H$500,"open")=0,"",MINIFS('FollowUps'!$E$2:$E$500,'FollowUps'!$C$2:$C$500,$A174,'FollowUps'!$H$2:$H$500,"open")))</x:f>
      </x:c>
      <x:c r="M174" s="19"/>
      <x:c r="N174" s="26"/>
      <x:c r="O174" s="19"/>
      <x:c r="P174" s="26"/>
      <x:c r="Q174" s="19"/>
      <x:c r="R174" s="26"/>
      <x:c r="S174" s="19"/>
      <x:c r="T174" s="19"/>
    </x:row>
    <x:row r="175">
      <x:c r="A175" s="19"/>
      <x:c r="B175" s="19"/>
      <x:c r="C175" s="19"/>
      <x:c r="D175" s="19"/>
      <x:c r="E175" s="19"/>
      <x:c r="F175" s="19"/>
      <x:c r="G175" s="19"/>
      <x:c r="H175" s="25"/>
      <x:c r="I175" s="112" t="str">
        <x:f>IF($A175="","",SUMIFS('PipelineStages'!$E$2:$E$100,'PipelineStages'!$A$2:$A$100,$E175,'PipelineStages'!$B$2:$B$100,$F175))</x:f>
      </x:c>
      <x:c r="J175" s="24"/>
      <x:c r="K175" s="19"/>
      <x:c r="L175" s="100" t="str">
        <x:f>IF($A175="","",IF(COUNTIFS('FollowUps'!$C$2:$C$500,$A175,'FollowUps'!$H$2:$H$500,"open")=0,"",MINIFS('FollowUps'!$E$2:$E$500,'FollowUps'!$C$2:$C$500,$A175,'FollowUps'!$H$2:$H$500,"open")))</x:f>
      </x:c>
      <x:c r="M175" s="19"/>
      <x:c r="N175" s="26"/>
      <x:c r="O175" s="19"/>
      <x:c r="P175" s="26"/>
      <x:c r="Q175" s="19"/>
      <x:c r="R175" s="26"/>
      <x:c r="S175" s="19"/>
      <x:c r="T175" s="19"/>
    </x:row>
    <x:row r="176">
      <x:c r="A176" s="19"/>
      <x:c r="B176" s="19"/>
      <x:c r="C176" s="19"/>
      <x:c r="D176" s="19"/>
      <x:c r="E176" s="19"/>
      <x:c r="F176" s="19"/>
      <x:c r="G176" s="19"/>
      <x:c r="H176" s="25"/>
      <x:c r="I176" s="112" t="str">
        <x:f>IF($A176="","",SUMIFS('PipelineStages'!$E$2:$E$100,'PipelineStages'!$A$2:$A$100,$E176,'PipelineStages'!$B$2:$B$100,$F176))</x:f>
      </x:c>
      <x:c r="J176" s="24"/>
      <x:c r="K176" s="19"/>
      <x:c r="L176" s="100" t="str">
        <x:f>IF($A176="","",IF(COUNTIFS('FollowUps'!$C$2:$C$500,$A176,'FollowUps'!$H$2:$H$500,"open")=0,"",MINIFS('FollowUps'!$E$2:$E$500,'FollowUps'!$C$2:$C$500,$A176,'FollowUps'!$H$2:$H$500,"open")))</x:f>
      </x:c>
      <x:c r="M176" s="19"/>
      <x:c r="N176" s="26"/>
      <x:c r="O176" s="19"/>
      <x:c r="P176" s="26"/>
      <x:c r="Q176" s="19"/>
      <x:c r="R176" s="26"/>
      <x:c r="S176" s="19"/>
      <x:c r="T176" s="19"/>
    </x:row>
    <x:row r="177">
      <x:c r="A177" s="19"/>
      <x:c r="B177" s="19"/>
      <x:c r="C177" s="19"/>
      <x:c r="D177" s="19"/>
      <x:c r="E177" s="19"/>
      <x:c r="F177" s="19"/>
      <x:c r="G177" s="19"/>
      <x:c r="H177" s="25"/>
      <x:c r="I177" s="112" t="str">
        <x:f>IF($A177="","",SUMIFS('PipelineStages'!$E$2:$E$100,'PipelineStages'!$A$2:$A$100,$E177,'PipelineStages'!$B$2:$B$100,$F177))</x:f>
      </x:c>
      <x:c r="J177" s="24"/>
      <x:c r="K177" s="19"/>
      <x:c r="L177" s="100" t="str">
        <x:f>IF($A177="","",IF(COUNTIFS('FollowUps'!$C$2:$C$500,$A177,'FollowUps'!$H$2:$H$500,"open")=0,"",MINIFS('FollowUps'!$E$2:$E$500,'FollowUps'!$C$2:$C$500,$A177,'FollowUps'!$H$2:$H$500,"open")))</x:f>
      </x:c>
      <x:c r="M177" s="19"/>
      <x:c r="N177" s="26"/>
      <x:c r="O177" s="19"/>
      <x:c r="P177" s="26"/>
      <x:c r="Q177" s="19"/>
      <x:c r="R177" s="26"/>
      <x:c r="S177" s="19"/>
      <x:c r="T177" s="19"/>
    </x:row>
    <x:row r="178">
      <x:c r="A178" s="19"/>
      <x:c r="B178" s="19"/>
      <x:c r="C178" s="19"/>
      <x:c r="D178" s="19"/>
      <x:c r="E178" s="19"/>
      <x:c r="F178" s="19"/>
      <x:c r="G178" s="19"/>
      <x:c r="H178" s="25"/>
      <x:c r="I178" s="112" t="str">
        <x:f>IF($A178="","",SUMIFS('PipelineStages'!$E$2:$E$100,'PipelineStages'!$A$2:$A$100,$E178,'PipelineStages'!$B$2:$B$100,$F178))</x:f>
      </x:c>
      <x:c r="J178" s="24"/>
      <x:c r="K178" s="19"/>
      <x:c r="L178" s="100" t="str">
        <x:f>IF($A178="","",IF(COUNTIFS('FollowUps'!$C$2:$C$500,$A178,'FollowUps'!$H$2:$H$500,"open")=0,"",MINIFS('FollowUps'!$E$2:$E$500,'FollowUps'!$C$2:$C$500,$A178,'FollowUps'!$H$2:$H$500,"open")))</x:f>
      </x:c>
      <x:c r="M178" s="19"/>
      <x:c r="N178" s="26"/>
      <x:c r="O178" s="19"/>
      <x:c r="P178" s="26"/>
      <x:c r="Q178" s="19"/>
      <x:c r="R178" s="26"/>
      <x:c r="S178" s="19"/>
      <x:c r="T178" s="19"/>
    </x:row>
    <x:row r="179">
      <x:c r="A179" s="19"/>
      <x:c r="B179" s="19"/>
      <x:c r="C179" s="19"/>
      <x:c r="D179" s="19"/>
      <x:c r="E179" s="19"/>
      <x:c r="F179" s="19"/>
      <x:c r="G179" s="19"/>
      <x:c r="H179" s="25"/>
      <x:c r="I179" s="112" t="str">
        <x:f>IF($A179="","",SUMIFS('PipelineStages'!$E$2:$E$100,'PipelineStages'!$A$2:$A$100,$E179,'PipelineStages'!$B$2:$B$100,$F179))</x:f>
      </x:c>
      <x:c r="J179" s="24"/>
      <x:c r="K179" s="19"/>
      <x:c r="L179" s="100" t="str">
        <x:f>IF($A179="","",IF(COUNTIFS('FollowUps'!$C$2:$C$500,$A179,'FollowUps'!$H$2:$H$500,"open")=0,"",MINIFS('FollowUps'!$E$2:$E$500,'FollowUps'!$C$2:$C$500,$A179,'FollowUps'!$H$2:$H$500,"open")))</x:f>
      </x:c>
      <x:c r="M179" s="19"/>
      <x:c r="N179" s="26"/>
      <x:c r="O179" s="19"/>
      <x:c r="P179" s="26"/>
      <x:c r="Q179" s="19"/>
      <x:c r="R179" s="26"/>
      <x:c r="S179" s="19"/>
      <x:c r="T179" s="19"/>
    </x:row>
    <x:row r="180">
      <x:c r="A180" s="19"/>
      <x:c r="B180" s="19"/>
      <x:c r="C180" s="19"/>
      <x:c r="D180" s="19"/>
      <x:c r="E180" s="19"/>
      <x:c r="F180" s="19"/>
      <x:c r="G180" s="19"/>
      <x:c r="H180" s="25"/>
      <x:c r="I180" s="112" t="str">
        <x:f>IF($A180="","",SUMIFS('PipelineStages'!$E$2:$E$100,'PipelineStages'!$A$2:$A$100,$E180,'PipelineStages'!$B$2:$B$100,$F180))</x:f>
      </x:c>
      <x:c r="J180" s="24"/>
      <x:c r="K180" s="19"/>
      <x:c r="L180" s="100" t="str">
        <x:f>IF($A180="","",IF(COUNTIFS('FollowUps'!$C$2:$C$500,$A180,'FollowUps'!$H$2:$H$500,"open")=0,"",MINIFS('FollowUps'!$E$2:$E$500,'FollowUps'!$C$2:$C$500,$A180,'FollowUps'!$H$2:$H$500,"open")))</x:f>
      </x:c>
      <x:c r="M180" s="19"/>
      <x:c r="N180" s="26"/>
      <x:c r="O180" s="19"/>
      <x:c r="P180" s="26"/>
      <x:c r="Q180" s="19"/>
      <x:c r="R180" s="26"/>
      <x:c r="S180" s="19"/>
      <x:c r="T180" s="19"/>
    </x:row>
    <x:row r="181">
      <x:c r="A181" s="19"/>
      <x:c r="B181" s="19"/>
      <x:c r="C181" s="19"/>
      <x:c r="D181" s="19"/>
      <x:c r="E181" s="19"/>
      <x:c r="F181" s="19"/>
      <x:c r="G181" s="19"/>
      <x:c r="H181" s="25"/>
      <x:c r="I181" s="112" t="str">
        <x:f>IF($A181="","",SUMIFS('PipelineStages'!$E$2:$E$100,'PipelineStages'!$A$2:$A$100,$E181,'PipelineStages'!$B$2:$B$100,$F181))</x:f>
      </x:c>
      <x:c r="J181" s="24"/>
      <x:c r="K181" s="19"/>
      <x:c r="L181" s="100" t="str">
        <x:f>IF($A181="","",IF(COUNTIFS('FollowUps'!$C$2:$C$500,$A181,'FollowUps'!$H$2:$H$500,"open")=0,"",MINIFS('FollowUps'!$E$2:$E$500,'FollowUps'!$C$2:$C$500,$A181,'FollowUps'!$H$2:$H$500,"open")))</x:f>
      </x:c>
      <x:c r="M181" s="19"/>
      <x:c r="N181" s="26"/>
      <x:c r="O181" s="19"/>
      <x:c r="P181" s="26"/>
      <x:c r="Q181" s="19"/>
      <x:c r="R181" s="26"/>
      <x:c r="S181" s="19"/>
      <x:c r="T181" s="19"/>
    </x:row>
    <x:row r="182">
      <x:c r="A182" s="19"/>
      <x:c r="B182" s="19"/>
      <x:c r="C182" s="19"/>
      <x:c r="D182" s="19"/>
      <x:c r="E182" s="19"/>
      <x:c r="F182" s="19"/>
      <x:c r="G182" s="19"/>
      <x:c r="H182" s="25"/>
      <x:c r="I182" s="112" t="str">
        <x:f>IF($A182="","",SUMIFS('PipelineStages'!$E$2:$E$100,'PipelineStages'!$A$2:$A$100,$E182,'PipelineStages'!$B$2:$B$100,$F182))</x:f>
      </x:c>
      <x:c r="J182" s="24"/>
      <x:c r="K182" s="19"/>
      <x:c r="L182" s="100" t="str">
        <x:f>IF($A182="","",IF(COUNTIFS('FollowUps'!$C$2:$C$500,$A182,'FollowUps'!$H$2:$H$500,"open")=0,"",MINIFS('FollowUps'!$E$2:$E$500,'FollowUps'!$C$2:$C$500,$A182,'FollowUps'!$H$2:$H$500,"open")))</x:f>
      </x:c>
      <x:c r="M182" s="19"/>
      <x:c r="N182" s="26"/>
      <x:c r="O182" s="19"/>
      <x:c r="P182" s="26"/>
      <x:c r="Q182" s="19"/>
      <x:c r="R182" s="26"/>
      <x:c r="S182" s="19"/>
      <x:c r="T182" s="19"/>
    </x:row>
    <x:row r="183">
      <x:c r="A183" s="19"/>
      <x:c r="B183" s="19"/>
      <x:c r="C183" s="19"/>
      <x:c r="D183" s="19"/>
      <x:c r="E183" s="19"/>
      <x:c r="F183" s="19"/>
      <x:c r="G183" s="19"/>
      <x:c r="H183" s="25"/>
      <x:c r="I183" s="112" t="str">
        <x:f>IF($A183="","",SUMIFS('PipelineStages'!$E$2:$E$100,'PipelineStages'!$A$2:$A$100,$E183,'PipelineStages'!$B$2:$B$100,$F183))</x:f>
      </x:c>
      <x:c r="J183" s="24"/>
      <x:c r="K183" s="19"/>
      <x:c r="L183" s="100" t="str">
        <x:f>IF($A183="","",IF(COUNTIFS('FollowUps'!$C$2:$C$500,$A183,'FollowUps'!$H$2:$H$500,"open")=0,"",MINIFS('FollowUps'!$E$2:$E$500,'FollowUps'!$C$2:$C$500,$A183,'FollowUps'!$H$2:$H$500,"open")))</x:f>
      </x:c>
      <x:c r="M183" s="19"/>
      <x:c r="N183" s="26"/>
      <x:c r="O183" s="19"/>
      <x:c r="P183" s="26"/>
      <x:c r="Q183" s="19"/>
      <x:c r="R183" s="26"/>
      <x:c r="S183" s="19"/>
      <x:c r="T183" s="19"/>
    </x:row>
    <x:row r="184">
      <x:c r="A184" s="19"/>
      <x:c r="B184" s="19"/>
      <x:c r="C184" s="19"/>
      <x:c r="D184" s="19"/>
      <x:c r="E184" s="19"/>
      <x:c r="F184" s="19"/>
      <x:c r="G184" s="19"/>
      <x:c r="H184" s="25"/>
      <x:c r="I184" s="112" t="str">
        <x:f>IF($A184="","",SUMIFS('PipelineStages'!$E$2:$E$100,'PipelineStages'!$A$2:$A$100,$E184,'PipelineStages'!$B$2:$B$100,$F184))</x:f>
      </x:c>
      <x:c r="J184" s="24"/>
      <x:c r="K184" s="19"/>
      <x:c r="L184" s="100" t="str">
        <x:f>IF($A184="","",IF(COUNTIFS('FollowUps'!$C$2:$C$500,$A184,'FollowUps'!$H$2:$H$500,"open")=0,"",MINIFS('FollowUps'!$E$2:$E$500,'FollowUps'!$C$2:$C$500,$A184,'FollowUps'!$H$2:$H$500,"open")))</x:f>
      </x:c>
      <x:c r="M184" s="19"/>
      <x:c r="N184" s="26"/>
      <x:c r="O184" s="19"/>
      <x:c r="P184" s="26"/>
      <x:c r="Q184" s="19"/>
      <x:c r="R184" s="26"/>
      <x:c r="S184" s="19"/>
      <x:c r="T184" s="19"/>
    </x:row>
    <x:row r="185">
      <x:c r="A185" s="19"/>
      <x:c r="B185" s="19"/>
      <x:c r="C185" s="19"/>
      <x:c r="D185" s="19"/>
      <x:c r="E185" s="19"/>
      <x:c r="F185" s="19"/>
      <x:c r="G185" s="19"/>
      <x:c r="H185" s="25"/>
      <x:c r="I185" s="112" t="str">
        <x:f>IF($A185="","",SUMIFS('PipelineStages'!$E$2:$E$100,'PipelineStages'!$A$2:$A$100,$E185,'PipelineStages'!$B$2:$B$100,$F185))</x:f>
      </x:c>
      <x:c r="J185" s="24"/>
      <x:c r="K185" s="19"/>
      <x:c r="L185" s="100" t="str">
        <x:f>IF($A185="","",IF(COUNTIFS('FollowUps'!$C$2:$C$500,$A185,'FollowUps'!$H$2:$H$500,"open")=0,"",MINIFS('FollowUps'!$E$2:$E$500,'FollowUps'!$C$2:$C$500,$A185,'FollowUps'!$H$2:$H$500,"open")))</x:f>
      </x:c>
      <x:c r="M185" s="19"/>
      <x:c r="N185" s="26"/>
      <x:c r="O185" s="19"/>
      <x:c r="P185" s="26"/>
      <x:c r="Q185" s="19"/>
      <x:c r="R185" s="26"/>
      <x:c r="S185" s="19"/>
      <x:c r="T185" s="19"/>
    </x:row>
    <x:row r="186">
      <x:c r="A186" s="19"/>
      <x:c r="B186" s="19"/>
      <x:c r="C186" s="19"/>
      <x:c r="D186" s="19"/>
      <x:c r="E186" s="19"/>
      <x:c r="F186" s="19"/>
      <x:c r="G186" s="19"/>
      <x:c r="H186" s="25"/>
      <x:c r="I186" s="112" t="str">
        <x:f>IF($A186="","",SUMIFS('PipelineStages'!$E$2:$E$100,'PipelineStages'!$A$2:$A$100,$E186,'PipelineStages'!$B$2:$B$100,$F186))</x:f>
      </x:c>
      <x:c r="J186" s="24"/>
      <x:c r="K186" s="19"/>
      <x:c r="L186" s="100" t="str">
        <x:f>IF($A186="","",IF(COUNTIFS('FollowUps'!$C$2:$C$500,$A186,'FollowUps'!$H$2:$H$500,"open")=0,"",MINIFS('FollowUps'!$E$2:$E$500,'FollowUps'!$C$2:$C$500,$A186,'FollowUps'!$H$2:$H$500,"open")))</x:f>
      </x:c>
      <x:c r="M186" s="19"/>
      <x:c r="N186" s="26"/>
      <x:c r="O186" s="19"/>
      <x:c r="P186" s="26"/>
      <x:c r="Q186" s="19"/>
      <x:c r="R186" s="26"/>
      <x:c r="S186" s="19"/>
      <x:c r="T186" s="19"/>
    </x:row>
    <x:row r="187">
      <x:c r="A187" s="19"/>
      <x:c r="B187" s="19"/>
      <x:c r="C187" s="19"/>
      <x:c r="D187" s="19"/>
      <x:c r="E187" s="19"/>
      <x:c r="F187" s="19"/>
      <x:c r="G187" s="19"/>
      <x:c r="H187" s="25"/>
      <x:c r="I187" s="112" t="str">
        <x:f>IF($A187="","",SUMIFS('PipelineStages'!$E$2:$E$100,'PipelineStages'!$A$2:$A$100,$E187,'PipelineStages'!$B$2:$B$100,$F187))</x:f>
      </x:c>
      <x:c r="J187" s="24"/>
      <x:c r="K187" s="19"/>
      <x:c r="L187" s="100" t="str">
        <x:f>IF($A187="","",IF(COUNTIFS('FollowUps'!$C$2:$C$500,$A187,'FollowUps'!$H$2:$H$500,"open")=0,"",MINIFS('FollowUps'!$E$2:$E$500,'FollowUps'!$C$2:$C$500,$A187,'FollowUps'!$H$2:$H$500,"open")))</x:f>
      </x:c>
      <x:c r="M187" s="19"/>
      <x:c r="N187" s="26"/>
      <x:c r="O187" s="19"/>
      <x:c r="P187" s="26"/>
      <x:c r="Q187" s="19"/>
      <x:c r="R187" s="26"/>
      <x:c r="S187" s="19"/>
      <x:c r="T187" s="19"/>
    </x:row>
    <x:row r="188">
      <x:c r="A188" s="19"/>
      <x:c r="B188" s="19"/>
      <x:c r="C188" s="19"/>
      <x:c r="D188" s="19"/>
      <x:c r="E188" s="19"/>
      <x:c r="F188" s="19"/>
      <x:c r="G188" s="19"/>
      <x:c r="H188" s="25"/>
      <x:c r="I188" s="112" t="str">
        <x:f>IF($A188="","",SUMIFS('PipelineStages'!$E$2:$E$100,'PipelineStages'!$A$2:$A$100,$E188,'PipelineStages'!$B$2:$B$100,$F188))</x:f>
      </x:c>
      <x:c r="J188" s="24"/>
      <x:c r="K188" s="19"/>
      <x:c r="L188" s="100" t="str">
        <x:f>IF($A188="","",IF(COUNTIFS('FollowUps'!$C$2:$C$500,$A188,'FollowUps'!$H$2:$H$500,"open")=0,"",MINIFS('FollowUps'!$E$2:$E$500,'FollowUps'!$C$2:$C$500,$A188,'FollowUps'!$H$2:$H$500,"open")))</x:f>
      </x:c>
      <x:c r="M188" s="19"/>
      <x:c r="N188" s="26"/>
      <x:c r="O188" s="19"/>
      <x:c r="P188" s="26"/>
      <x:c r="Q188" s="19"/>
      <x:c r="R188" s="26"/>
      <x:c r="S188" s="19"/>
      <x:c r="T188" s="19"/>
    </x:row>
    <x:row r="189">
      <x:c r="A189" s="19"/>
      <x:c r="B189" s="19"/>
      <x:c r="C189" s="19"/>
      <x:c r="D189" s="19"/>
      <x:c r="E189" s="19"/>
      <x:c r="F189" s="19"/>
      <x:c r="G189" s="19"/>
      <x:c r="H189" s="25"/>
      <x:c r="I189" s="112" t="str">
        <x:f>IF($A189="","",SUMIFS('PipelineStages'!$E$2:$E$100,'PipelineStages'!$A$2:$A$100,$E189,'PipelineStages'!$B$2:$B$100,$F189))</x:f>
      </x:c>
      <x:c r="J189" s="24"/>
      <x:c r="K189" s="19"/>
      <x:c r="L189" s="100" t="str">
        <x:f>IF($A189="","",IF(COUNTIFS('FollowUps'!$C$2:$C$500,$A189,'FollowUps'!$H$2:$H$500,"open")=0,"",MINIFS('FollowUps'!$E$2:$E$500,'FollowUps'!$C$2:$C$500,$A189,'FollowUps'!$H$2:$H$500,"open")))</x:f>
      </x:c>
      <x:c r="M189" s="19"/>
      <x:c r="N189" s="26"/>
      <x:c r="O189" s="19"/>
      <x:c r="P189" s="26"/>
      <x:c r="Q189" s="19"/>
      <x:c r="R189" s="26"/>
      <x:c r="S189" s="19"/>
      <x:c r="T189" s="19"/>
    </x:row>
    <x:row r="190">
      <x:c r="A190" s="19"/>
      <x:c r="B190" s="19"/>
      <x:c r="C190" s="19"/>
      <x:c r="D190" s="19"/>
      <x:c r="E190" s="19"/>
      <x:c r="F190" s="19"/>
      <x:c r="G190" s="19"/>
      <x:c r="H190" s="25"/>
      <x:c r="I190" s="112" t="str">
        <x:f>IF($A190="","",SUMIFS('PipelineStages'!$E$2:$E$100,'PipelineStages'!$A$2:$A$100,$E190,'PipelineStages'!$B$2:$B$100,$F190))</x:f>
      </x:c>
      <x:c r="J190" s="24"/>
      <x:c r="K190" s="19"/>
      <x:c r="L190" s="100" t="str">
        <x:f>IF($A190="","",IF(COUNTIFS('FollowUps'!$C$2:$C$500,$A190,'FollowUps'!$H$2:$H$500,"open")=0,"",MINIFS('FollowUps'!$E$2:$E$500,'FollowUps'!$C$2:$C$500,$A190,'FollowUps'!$H$2:$H$500,"open")))</x:f>
      </x:c>
      <x:c r="M190" s="19"/>
      <x:c r="N190" s="26"/>
      <x:c r="O190" s="19"/>
      <x:c r="P190" s="26"/>
      <x:c r="Q190" s="19"/>
      <x:c r="R190" s="26"/>
      <x:c r="S190" s="19"/>
      <x:c r="T190" s="19"/>
    </x:row>
    <x:row r="191">
      <x:c r="A191" s="19"/>
      <x:c r="B191" s="19"/>
      <x:c r="C191" s="19"/>
      <x:c r="D191" s="19"/>
      <x:c r="E191" s="19"/>
      <x:c r="F191" s="19"/>
      <x:c r="G191" s="19"/>
      <x:c r="H191" s="25"/>
      <x:c r="I191" s="112" t="str">
        <x:f>IF($A191="","",SUMIFS('PipelineStages'!$E$2:$E$100,'PipelineStages'!$A$2:$A$100,$E191,'PipelineStages'!$B$2:$B$100,$F191))</x:f>
      </x:c>
      <x:c r="J191" s="24"/>
      <x:c r="K191" s="19"/>
      <x:c r="L191" s="100" t="str">
        <x:f>IF($A191="","",IF(COUNTIFS('FollowUps'!$C$2:$C$500,$A191,'FollowUps'!$H$2:$H$500,"open")=0,"",MINIFS('FollowUps'!$E$2:$E$500,'FollowUps'!$C$2:$C$500,$A191,'FollowUps'!$H$2:$H$500,"open")))</x:f>
      </x:c>
      <x:c r="M191" s="19"/>
      <x:c r="N191" s="26"/>
      <x:c r="O191" s="19"/>
      <x:c r="P191" s="26"/>
      <x:c r="Q191" s="19"/>
      <x:c r="R191" s="26"/>
      <x:c r="S191" s="19"/>
      <x:c r="T191" s="19"/>
    </x:row>
    <x:row r="192">
      <x:c r="A192" s="19"/>
      <x:c r="B192" s="19"/>
      <x:c r="C192" s="19"/>
      <x:c r="D192" s="19"/>
      <x:c r="E192" s="19"/>
      <x:c r="F192" s="19"/>
      <x:c r="G192" s="19"/>
      <x:c r="H192" s="25"/>
      <x:c r="I192" s="112" t="str">
        <x:f>IF($A192="","",SUMIFS('PipelineStages'!$E$2:$E$100,'PipelineStages'!$A$2:$A$100,$E192,'PipelineStages'!$B$2:$B$100,$F192))</x:f>
      </x:c>
      <x:c r="J192" s="24"/>
      <x:c r="K192" s="19"/>
      <x:c r="L192" s="100" t="str">
        <x:f>IF($A192="","",IF(COUNTIFS('FollowUps'!$C$2:$C$500,$A192,'FollowUps'!$H$2:$H$500,"open")=0,"",MINIFS('FollowUps'!$E$2:$E$500,'FollowUps'!$C$2:$C$500,$A192,'FollowUps'!$H$2:$H$500,"open")))</x:f>
      </x:c>
      <x:c r="M192" s="19"/>
      <x:c r="N192" s="26"/>
      <x:c r="O192" s="19"/>
      <x:c r="P192" s="26"/>
      <x:c r="Q192" s="19"/>
      <x:c r="R192" s="26"/>
      <x:c r="S192" s="19"/>
      <x:c r="T192" s="19"/>
    </x:row>
    <x:row r="193">
      <x:c r="A193" s="19"/>
      <x:c r="B193" s="19"/>
      <x:c r="C193" s="19"/>
      <x:c r="D193" s="19"/>
      <x:c r="E193" s="19"/>
      <x:c r="F193" s="19"/>
      <x:c r="G193" s="19"/>
      <x:c r="H193" s="25"/>
      <x:c r="I193" s="112" t="str">
        <x:f>IF($A193="","",SUMIFS('PipelineStages'!$E$2:$E$100,'PipelineStages'!$A$2:$A$100,$E193,'PipelineStages'!$B$2:$B$100,$F193))</x:f>
      </x:c>
      <x:c r="J193" s="24"/>
      <x:c r="K193" s="19"/>
      <x:c r="L193" s="100" t="str">
        <x:f>IF($A193="","",IF(COUNTIFS('FollowUps'!$C$2:$C$500,$A193,'FollowUps'!$H$2:$H$500,"open")=0,"",MINIFS('FollowUps'!$E$2:$E$500,'FollowUps'!$C$2:$C$500,$A193,'FollowUps'!$H$2:$H$500,"open")))</x:f>
      </x:c>
      <x:c r="M193" s="19"/>
      <x:c r="N193" s="26"/>
      <x:c r="O193" s="19"/>
      <x:c r="P193" s="26"/>
      <x:c r="Q193" s="19"/>
      <x:c r="R193" s="26"/>
      <x:c r="S193" s="19"/>
      <x:c r="T193" s="19"/>
    </x:row>
    <x:row r="194">
      <x:c r="A194" s="19"/>
      <x:c r="B194" s="19"/>
      <x:c r="C194" s="19"/>
      <x:c r="D194" s="19"/>
      <x:c r="E194" s="19"/>
      <x:c r="F194" s="19"/>
      <x:c r="G194" s="19"/>
      <x:c r="H194" s="25"/>
      <x:c r="I194" s="112" t="str">
        <x:f>IF($A194="","",SUMIFS('PipelineStages'!$E$2:$E$100,'PipelineStages'!$A$2:$A$100,$E194,'PipelineStages'!$B$2:$B$100,$F194))</x:f>
      </x:c>
      <x:c r="J194" s="24"/>
      <x:c r="K194" s="19"/>
      <x:c r="L194" s="100" t="str">
        <x:f>IF($A194="","",IF(COUNTIFS('FollowUps'!$C$2:$C$500,$A194,'FollowUps'!$H$2:$H$500,"open")=0,"",MINIFS('FollowUps'!$E$2:$E$500,'FollowUps'!$C$2:$C$500,$A194,'FollowUps'!$H$2:$H$500,"open")))</x:f>
      </x:c>
      <x:c r="M194" s="19"/>
      <x:c r="N194" s="26"/>
      <x:c r="O194" s="19"/>
      <x:c r="P194" s="26"/>
      <x:c r="Q194" s="19"/>
      <x:c r="R194" s="26"/>
      <x:c r="S194" s="19"/>
      <x:c r="T194" s="19"/>
    </x:row>
    <x:row r="195">
      <x:c r="A195" s="19"/>
      <x:c r="B195" s="19"/>
      <x:c r="C195" s="19"/>
      <x:c r="D195" s="19"/>
      <x:c r="E195" s="19"/>
      <x:c r="F195" s="19"/>
      <x:c r="G195" s="19"/>
      <x:c r="H195" s="25"/>
      <x:c r="I195" s="112" t="str">
        <x:f>IF($A195="","",SUMIFS('PipelineStages'!$E$2:$E$100,'PipelineStages'!$A$2:$A$100,$E195,'PipelineStages'!$B$2:$B$100,$F195))</x:f>
      </x:c>
      <x:c r="J195" s="24"/>
      <x:c r="K195" s="19"/>
      <x:c r="L195" s="100" t="str">
        <x:f>IF($A195="","",IF(COUNTIFS('FollowUps'!$C$2:$C$500,$A195,'FollowUps'!$H$2:$H$500,"open")=0,"",MINIFS('FollowUps'!$E$2:$E$500,'FollowUps'!$C$2:$C$500,$A195,'FollowUps'!$H$2:$H$500,"open")))</x:f>
      </x:c>
      <x:c r="M195" s="19"/>
      <x:c r="N195" s="26"/>
      <x:c r="O195" s="19"/>
      <x:c r="P195" s="26"/>
      <x:c r="Q195" s="19"/>
      <x:c r="R195" s="26"/>
      <x:c r="S195" s="19"/>
      <x:c r="T195" s="19"/>
    </x:row>
    <x:row r="196">
      <x:c r="A196" s="19"/>
      <x:c r="B196" s="19"/>
      <x:c r="C196" s="19"/>
      <x:c r="D196" s="19"/>
      <x:c r="E196" s="19"/>
      <x:c r="F196" s="19"/>
      <x:c r="G196" s="19"/>
      <x:c r="H196" s="25"/>
      <x:c r="I196" s="112" t="str">
        <x:f>IF($A196="","",SUMIFS('PipelineStages'!$E$2:$E$100,'PipelineStages'!$A$2:$A$100,$E196,'PipelineStages'!$B$2:$B$100,$F196))</x:f>
      </x:c>
      <x:c r="J196" s="24"/>
      <x:c r="K196" s="19"/>
      <x:c r="L196" s="100" t="str">
        <x:f>IF($A196="","",IF(COUNTIFS('FollowUps'!$C$2:$C$500,$A196,'FollowUps'!$H$2:$H$500,"open")=0,"",MINIFS('FollowUps'!$E$2:$E$500,'FollowUps'!$C$2:$C$500,$A196,'FollowUps'!$H$2:$H$500,"open")))</x:f>
      </x:c>
      <x:c r="M196" s="19"/>
      <x:c r="N196" s="26"/>
      <x:c r="O196" s="19"/>
      <x:c r="P196" s="26"/>
      <x:c r="Q196" s="19"/>
      <x:c r="R196" s="26"/>
      <x:c r="S196" s="19"/>
      <x:c r="T196" s="19"/>
    </x:row>
    <x:row r="197">
      <x:c r="A197" s="19"/>
      <x:c r="B197" s="19"/>
      <x:c r="C197" s="19"/>
      <x:c r="D197" s="19"/>
      <x:c r="E197" s="19"/>
      <x:c r="F197" s="19"/>
      <x:c r="G197" s="19"/>
      <x:c r="H197" s="25"/>
      <x:c r="I197" s="112" t="str">
        <x:f>IF($A197="","",SUMIFS('PipelineStages'!$E$2:$E$100,'PipelineStages'!$A$2:$A$100,$E197,'PipelineStages'!$B$2:$B$100,$F197))</x:f>
      </x:c>
      <x:c r="J197" s="24"/>
      <x:c r="K197" s="19"/>
      <x:c r="L197" s="100" t="str">
        <x:f>IF($A197="","",IF(COUNTIFS('FollowUps'!$C$2:$C$500,$A197,'FollowUps'!$H$2:$H$500,"open")=0,"",MINIFS('FollowUps'!$E$2:$E$500,'FollowUps'!$C$2:$C$500,$A197,'FollowUps'!$H$2:$H$500,"open")))</x:f>
      </x:c>
      <x:c r="M197" s="19"/>
      <x:c r="N197" s="26"/>
      <x:c r="O197" s="19"/>
      <x:c r="P197" s="26"/>
      <x:c r="Q197" s="19"/>
      <x:c r="R197" s="26"/>
      <x:c r="S197" s="19"/>
      <x:c r="T197" s="19"/>
    </x:row>
    <x:row r="198">
      <x:c r="A198" s="19"/>
      <x:c r="B198" s="19"/>
      <x:c r="C198" s="19"/>
      <x:c r="D198" s="19"/>
      <x:c r="E198" s="19"/>
      <x:c r="F198" s="19"/>
      <x:c r="G198" s="19"/>
      <x:c r="H198" s="25"/>
      <x:c r="I198" s="112" t="str">
        <x:f>IF($A198="","",SUMIFS('PipelineStages'!$E$2:$E$100,'PipelineStages'!$A$2:$A$100,$E198,'PipelineStages'!$B$2:$B$100,$F198))</x:f>
      </x:c>
      <x:c r="J198" s="24"/>
      <x:c r="K198" s="19"/>
      <x:c r="L198" s="100" t="str">
        <x:f>IF($A198="","",IF(COUNTIFS('FollowUps'!$C$2:$C$500,$A198,'FollowUps'!$H$2:$H$500,"open")=0,"",MINIFS('FollowUps'!$E$2:$E$500,'FollowUps'!$C$2:$C$500,$A198,'FollowUps'!$H$2:$H$500,"open")))</x:f>
      </x:c>
      <x:c r="M198" s="19"/>
      <x:c r="N198" s="26"/>
      <x:c r="O198" s="19"/>
      <x:c r="P198" s="26"/>
      <x:c r="Q198" s="19"/>
      <x:c r="R198" s="26"/>
      <x:c r="S198" s="19"/>
      <x:c r="T198" s="19"/>
    </x:row>
    <x:row r="199">
      <x:c r="A199" s="19"/>
      <x:c r="B199" s="19"/>
      <x:c r="C199" s="19"/>
      <x:c r="D199" s="19"/>
      <x:c r="E199" s="19"/>
      <x:c r="F199" s="19"/>
      <x:c r="G199" s="19"/>
      <x:c r="H199" s="25"/>
      <x:c r="I199" s="112" t="str">
        <x:f>IF($A199="","",SUMIFS('PipelineStages'!$E$2:$E$100,'PipelineStages'!$A$2:$A$100,$E199,'PipelineStages'!$B$2:$B$100,$F199))</x:f>
      </x:c>
      <x:c r="J199" s="24"/>
      <x:c r="K199" s="19"/>
      <x:c r="L199" s="100" t="str">
        <x:f>IF($A199="","",IF(COUNTIFS('FollowUps'!$C$2:$C$500,$A199,'FollowUps'!$H$2:$H$500,"open")=0,"",MINIFS('FollowUps'!$E$2:$E$500,'FollowUps'!$C$2:$C$500,$A199,'FollowUps'!$H$2:$H$500,"open")))</x:f>
      </x:c>
      <x:c r="M199" s="19"/>
      <x:c r="N199" s="26"/>
      <x:c r="O199" s="19"/>
      <x:c r="P199" s="26"/>
      <x:c r="Q199" s="19"/>
      <x:c r="R199" s="26"/>
      <x:c r="S199" s="19"/>
      <x:c r="T199" s="19"/>
    </x:row>
    <x:row r="200">
      <x:c r="A200" s="19"/>
      <x:c r="B200" s="19"/>
      <x:c r="C200" s="19"/>
      <x:c r="D200" s="19"/>
      <x:c r="E200" s="19"/>
      <x:c r="F200" s="19"/>
      <x:c r="G200" s="19"/>
      <x:c r="H200" s="25"/>
      <x:c r="I200" s="112" t="str">
        <x:f>IF($A200="","",SUMIFS('PipelineStages'!$E$2:$E$100,'PipelineStages'!$A$2:$A$100,$E200,'PipelineStages'!$B$2:$B$100,$F200))</x:f>
      </x:c>
      <x:c r="J200" s="24"/>
      <x:c r="K200" s="19"/>
      <x:c r="L200" s="100" t="str">
        <x:f>IF($A200="","",IF(COUNTIFS('FollowUps'!$C$2:$C$500,$A200,'FollowUps'!$H$2:$H$500,"open")=0,"",MINIFS('FollowUps'!$E$2:$E$500,'FollowUps'!$C$2:$C$500,$A200,'FollowUps'!$H$2:$H$500,"open")))</x:f>
      </x:c>
      <x:c r="M200" s="19"/>
      <x:c r="N200" s="26"/>
      <x:c r="O200" s="19"/>
      <x:c r="P200" s="26"/>
      <x:c r="Q200" s="19"/>
      <x:c r="R200" s="26"/>
      <x:c r="S200" s="19"/>
      <x:c r="T200" s="19"/>
    </x:row>
    <x:row r="201">
      <x:c r="A201" s="19"/>
      <x:c r="B201" s="19"/>
      <x:c r="C201" s="19"/>
      <x:c r="D201" s="19"/>
      <x:c r="E201" s="19"/>
      <x:c r="F201" s="19"/>
      <x:c r="G201" s="19"/>
      <x:c r="H201" s="25"/>
      <x:c r="I201" s="112" t="str">
        <x:f>IF($A201="","",SUMIFS('PipelineStages'!$E$2:$E$100,'PipelineStages'!$A$2:$A$100,$E201,'PipelineStages'!$B$2:$B$100,$F201))</x:f>
      </x:c>
      <x:c r="J201" s="24"/>
      <x:c r="K201" s="19"/>
      <x:c r="L201" s="100" t="str">
        <x:f>IF($A201="","",IF(COUNTIFS('FollowUps'!$C$2:$C$500,$A201,'FollowUps'!$H$2:$H$500,"open")=0,"",MINIFS('FollowUps'!$E$2:$E$500,'FollowUps'!$C$2:$C$500,$A201,'FollowUps'!$H$2:$H$500,"open")))</x:f>
      </x:c>
      <x:c r="M201" s="19"/>
      <x:c r="N201" s="26"/>
      <x:c r="O201" s="19"/>
      <x:c r="P201" s="26"/>
      <x:c r="Q201" s="19"/>
      <x:c r="R201" s="26"/>
      <x:c r="S201" s="19"/>
      <x:c r="T201" s="19"/>
    </x:row>
    <x:row r="202">
      <x:c r="A202" s="19"/>
      <x:c r="B202" s="19"/>
      <x:c r="C202" s="19"/>
      <x:c r="D202" s="19"/>
      <x:c r="E202" s="19"/>
      <x:c r="F202" s="19"/>
      <x:c r="G202" s="19"/>
      <x:c r="H202" s="25"/>
      <x:c r="I202" s="112" t="str">
        <x:f>IF($A202="","",SUMIFS('PipelineStages'!$E$2:$E$100,'PipelineStages'!$A$2:$A$100,$E202,'PipelineStages'!$B$2:$B$100,$F202))</x:f>
      </x:c>
      <x:c r="J202" s="24"/>
      <x:c r="K202" s="19"/>
      <x:c r="L202" s="100" t="str">
        <x:f>IF($A202="","",IF(COUNTIFS('FollowUps'!$C$2:$C$500,$A202,'FollowUps'!$H$2:$H$500,"open")=0,"",MINIFS('FollowUps'!$E$2:$E$500,'FollowUps'!$C$2:$C$500,$A202,'FollowUps'!$H$2:$H$500,"open")))</x:f>
      </x:c>
      <x:c r="M202" s="19"/>
      <x:c r="N202" s="26"/>
      <x:c r="O202" s="19"/>
      <x:c r="P202" s="26"/>
      <x:c r="Q202" s="19"/>
      <x:c r="R202" s="26"/>
      <x:c r="S202" s="19"/>
      <x:c r="T202" s="19"/>
    </x:row>
    <x:row r="203">
      <x:c r="A203" s="19"/>
      <x:c r="B203" s="19"/>
      <x:c r="C203" s="19"/>
      <x:c r="D203" s="19"/>
      <x:c r="E203" s="19"/>
      <x:c r="F203" s="19"/>
      <x:c r="G203" s="19"/>
      <x:c r="H203" s="25"/>
      <x:c r="I203" s="112" t="str">
        <x:f>IF($A203="","",SUMIFS('PipelineStages'!$E$2:$E$100,'PipelineStages'!$A$2:$A$100,$E203,'PipelineStages'!$B$2:$B$100,$F203))</x:f>
      </x:c>
      <x:c r="J203" s="24"/>
      <x:c r="K203" s="19"/>
      <x:c r="L203" s="100" t="str">
        <x:f>IF($A203="","",IF(COUNTIFS('FollowUps'!$C$2:$C$500,$A203,'FollowUps'!$H$2:$H$500,"open")=0,"",MINIFS('FollowUps'!$E$2:$E$500,'FollowUps'!$C$2:$C$500,$A203,'FollowUps'!$H$2:$H$500,"open")))</x:f>
      </x:c>
      <x:c r="M203" s="19"/>
      <x:c r="N203" s="26"/>
      <x:c r="O203" s="19"/>
      <x:c r="P203" s="26"/>
      <x:c r="Q203" s="19"/>
      <x:c r="R203" s="26"/>
      <x:c r="S203" s="19"/>
      <x:c r="T203" s="19"/>
    </x:row>
    <x:row r="204">
      <x:c r="A204" s="19"/>
      <x:c r="B204" s="19"/>
      <x:c r="C204" s="19"/>
      <x:c r="D204" s="19"/>
      <x:c r="E204" s="19"/>
      <x:c r="F204" s="19"/>
      <x:c r="G204" s="19"/>
      <x:c r="H204" s="25"/>
      <x:c r="I204" s="112" t="str">
        <x:f>IF($A204="","",SUMIFS('PipelineStages'!$E$2:$E$100,'PipelineStages'!$A$2:$A$100,$E204,'PipelineStages'!$B$2:$B$100,$F204))</x:f>
      </x:c>
      <x:c r="J204" s="24"/>
      <x:c r="K204" s="19"/>
      <x:c r="L204" s="100" t="str">
        <x:f>IF($A204="","",IF(COUNTIFS('FollowUps'!$C$2:$C$500,$A204,'FollowUps'!$H$2:$H$500,"open")=0,"",MINIFS('FollowUps'!$E$2:$E$500,'FollowUps'!$C$2:$C$500,$A204,'FollowUps'!$H$2:$H$500,"open")))</x:f>
      </x:c>
      <x:c r="M204" s="19"/>
      <x:c r="N204" s="26"/>
      <x:c r="O204" s="19"/>
      <x:c r="P204" s="26"/>
      <x:c r="Q204" s="19"/>
      <x:c r="R204" s="26"/>
      <x:c r="S204" s="19"/>
      <x:c r="T204" s="19"/>
    </x:row>
    <x:row r="205">
      <x:c r="A205" s="19"/>
      <x:c r="B205" s="19"/>
      <x:c r="C205" s="19"/>
      <x:c r="D205" s="19"/>
      <x:c r="E205" s="19"/>
      <x:c r="F205" s="19"/>
      <x:c r="G205" s="19"/>
      <x:c r="H205" s="25"/>
      <x:c r="I205" s="112" t="str">
        <x:f>IF($A205="","",SUMIFS('PipelineStages'!$E$2:$E$100,'PipelineStages'!$A$2:$A$100,$E205,'PipelineStages'!$B$2:$B$100,$F205))</x:f>
      </x:c>
      <x:c r="J205" s="24"/>
      <x:c r="K205" s="19"/>
      <x:c r="L205" s="100" t="str">
        <x:f>IF($A205="","",IF(COUNTIFS('FollowUps'!$C$2:$C$500,$A205,'FollowUps'!$H$2:$H$500,"open")=0,"",MINIFS('FollowUps'!$E$2:$E$500,'FollowUps'!$C$2:$C$500,$A205,'FollowUps'!$H$2:$H$500,"open")))</x:f>
      </x:c>
      <x:c r="M205" s="19"/>
      <x:c r="N205" s="26"/>
      <x:c r="O205" s="19"/>
      <x:c r="P205" s="26"/>
      <x:c r="Q205" s="19"/>
      <x:c r="R205" s="26"/>
      <x:c r="S205" s="19"/>
      <x:c r="T205" s="19"/>
    </x:row>
    <x:row r="206">
      <x:c r="A206" s="19"/>
      <x:c r="B206" s="19"/>
      <x:c r="C206" s="19"/>
      <x:c r="D206" s="19"/>
      <x:c r="E206" s="19"/>
      <x:c r="F206" s="19"/>
      <x:c r="G206" s="19"/>
      <x:c r="H206" s="25"/>
      <x:c r="I206" s="112" t="str">
        <x:f>IF($A206="","",SUMIFS('PipelineStages'!$E$2:$E$100,'PipelineStages'!$A$2:$A$100,$E206,'PipelineStages'!$B$2:$B$100,$F206))</x:f>
      </x:c>
      <x:c r="J206" s="24"/>
      <x:c r="K206" s="19"/>
      <x:c r="L206" s="100" t="str">
        <x:f>IF($A206="","",IF(COUNTIFS('FollowUps'!$C$2:$C$500,$A206,'FollowUps'!$H$2:$H$500,"open")=0,"",MINIFS('FollowUps'!$E$2:$E$500,'FollowUps'!$C$2:$C$500,$A206,'FollowUps'!$H$2:$H$500,"open")))</x:f>
      </x:c>
      <x:c r="M206" s="19"/>
      <x:c r="N206" s="26"/>
      <x:c r="O206" s="19"/>
      <x:c r="P206" s="26"/>
      <x:c r="Q206" s="19"/>
      <x:c r="R206" s="26"/>
      <x:c r="S206" s="19"/>
      <x:c r="T206" s="19"/>
    </x:row>
    <x:row r="207">
      <x:c r="A207" s="19"/>
      <x:c r="B207" s="19"/>
      <x:c r="C207" s="19"/>
      <x:c r="D207" s="19"/>
      <x:c r="E207" s="19"/>
      <x:c r="F207" s="19"/>
      <x:c r="G207" s="19"/>
      <x:c r="H207" s="25"/>
      <x:c r="I207" s="112" t="str">
        <x:f>IF($A207="","",SUMIFS('PipelineStages'!$E$2:$E$100,'PipelineStages'!$A$2:$A$100,$E207,'PipelineStages'!$B$2:$B$100,$F207))</x:f>
      </x:c>
      <x:c r="J207" s="24"/>
      <x:c r="K207" s="19"/>
      <x:c r="L207" s="100" t="str">
        <x:f>IF($A207="","",IF(COUNTIFS('FollowUps'!$C$2:$C$500,$A207,'FollowUps'!$H$2:$H$500,"open")=0,"",MINIFS('FollowUps'!$E$2:$E$500,'FollowUps'!$C$2:$C$500,$A207,'FollowUps'!$H$2:$H$500,"open")))</x:f>
      </x:c>
      <x:c r="M207" s="19"/>
      <x:c r="N207" s="26"/>
      <x:c r="O207" s="19"/>
      <x:c r="P207" s="26"/>
      <x:c r="Q207" s="19"/>
      <x:c r="R207" s="26"/>
      <x:c r="S207" s="19"/>
      <x:c r="T207" s="19"/>
    </x:row>
    <x:row r="208">
      <x:c r="A208" s="19"/>
      <x:c r="B208" s="19"/>
      <x:c r="C208" s="19"/>
      <x:c r="D208" s="19"/>
      <x:c r="E208" s="19"/>
      <x:c r="F208" s="19"/>
      <x:c r="G208" s="19"/>
      <x:c r="H208" s="25"/>
      <x:c r="I208" s="112" t="str">
        <x:f>IF($A208="","",SUMIFS('PipelineStages'!$E$2:$E$100,'PipelineStages'!$A$2:$A$100,$E208,'PipelineStages'!$B$2:$B$100,$F208))</x:f>
      </x:c>
      <x:c r="J208" s="24"/>
      <x:c r="K208" s="19"/>
      <x:c r="L208" s="100" t="str">
        <x:f>IF($A208="","",IF(COUNTIFS('FollowUps'!$C$2:$C$500,$A208,'FollowUps'!$H$2:$H$500,"open")=0,"",MINIFS('FollowUps'!$E$2:$E$500,'FollowUps'!$C$2:$C$500,$A208,'FollowUps'!$H$2:$H$500,"open")))</x:f>
      </x:c>
      <x:c r="M208" s="19"/>
      <x:c r="N208" s="26"/>
      <x:c r="O208" s="19"/>
      <x:c r="P208" s="26"/>
      <x:c r="Q208" s="19"/>
      <x:c r="R208" s="26"/>
      <x:c r="S208" s="19"/>
      <x:c r="T208" s="19"/>
    </x:row>
    <x:row r="209">
      <x:c r="A209" s="19"/>
      <x:c r="B209" s="19"/>
      <x:c r="C209" s="19"/>
      <x:c r="D209" s="19"/>
      <x:c r="E209" s="19"/>
      <x:c r="F209" s="19"/>
      <x:c r="G209" s="19"/>
      <x:c r="H209" s="25"/>
      <x:c r="I209" s="112" t="str">
        <x:f>IF($A209="","",SUMIFS('PipelineStages'!$E$2:$E$100,'PipelineStages'!$A$2:$A$100,$E209,'PipelineStages'!$B$2:$B$100,$F209))</x:f>
      </x:c>
      <x:c r="J209" s="24"/>
      <x:c r="K209" s="19"/>
      <x:c r="L209" s="100" t="str">
        <x:f>IF($A209="","",IF(COUNTIFS('FollowUps'!$C$2:$C$500,$A209,'FollowUps'!$H$2:$H$500,"open")=0,"",MINIFS('FollowUps'!$E$2:$E$500,'FollowUps'!$C$2:$C$500,$A209,'FollowUps'!$H$2:$H$500,"open")))</x:f>
      </x:c>
      <x:c r="M209" s="19"/>
      <x:c r="N209" s="26"/>
      <x:c r="O209" s="19"/>
      <x:c r="P209" s="26"/>
      <x:c r="Q209" s="19"/>
      <x:c r="R209" s="26"/>
      <x:c r="S209" s="19"/>
      <x:c r="T209" s="19"/>
    </x:row>
    <x:row r="210">
      <x:c r="A210" s="19"/>
      <x:c r="B210" s="19"/>
      <x:c r="C210" s="19"/>
      <x:c r="D210" s="19"/>
      <x:c r="E210" s="19"/>
      <x:c r="F210" s="19"/>
      <x:c r="G210" s="19"/>
      <x:c r="H210" s="25"/>
      <x:c r="I210" s="112" t="str">
        <x:f>IF($A210="","",SUMIFS('PipelineStages'!$E$2:$E$100,'PipelineStages'!$A$2:$A$100,$E210,'PipelineStages'!$B$2:$B$100,$F210))</x:f>
      </x:c>
      <x:c r="J210" s="24"/>
      <x:c r="K210" s="19"/>
      <x:c r="L210" s="100" t="str">
        <x:f>IF($A210="","",IF(COUNTIFS('FollowUps'!$C$2:$C$500,$A210,'FollowUps'!$H$2:$H$500,"open")=0,"",MINIFS('FollowUps'!$E$2:$E$500,'FollowUps'!$C$2:$C$500,$A210,'FollowUps'!$H$2:$H$500,"open")))</x:f>
      </x:c>
      <x:c r="M210" s="19"/>
      <x:c r="N210" s="26"/>
      <x:c r="O210" s="19"/>
      <x:c r="P210" s="26"/>
      <x:c r="Q210" s="19"/>
      <x:c r="R210" s="26"/>
      <x:c r="S210" s="19"/>
      <x:c r="T210" s="19"/>
    </x:row>
    <x:row r="211">
      <x:c r="A211" s="19"/>
      <x:c r="B211" s="19"/>
      <x:c r="C211" s="19"/>
      <x:c r="D211" s="19"/>
      <x:c r="E211" s="19"/>
      <x:c r="F211" s="19"/>
      <x:c r="G211" s="19"/>
      <x:c r="H211" s="25"/>
      <x:c r="I211" s="112" t="str">
        <x:f>IF($A211="","",SUMIFS('PipelineStages'!$E$2:$E$100,'PipelineStages'!$A$2:$A$100,$E211,'PipelineStages'!$B$2:$B$100,$F211))</x:f>
      </x:c>
      <x:c r="J211" s="24"/>
      <x:c r="K211" s="19"/>
      <x:c r="L211" s="100" t="str">
        <x:f>IF($A211="","",IF(COUNTIFS('FollowUps'!$C$2:$C$500,$A211,'FollowUps'!$H$2:$H$500,"open")=0,"",MINIFS('FollowUps'!$E$2:$E$500,'FollowUps'!$C$2:$C$500,$A211,'FollowUps'!$H$2:$H$500,"open")))</x:f>
      </x:c>
      <x:c r="M211" s="19"/>
      <x:c r="N211" s="26"/>
      <x:c r="O211" s="19"/>
      <x:c r="P211" s="26"/>
      <x:c r="Q211" s="19"/>
      <x:c r="R211" s="26"/>
      <x:c r="S211" s="19"/>
      <x:c r="T211" s="19"/>
    </x:row>
    <x:row r="212">
      <x:c r="A212" s="19"/>
      <x:c r="B212" s="19"/>
      <x:c r="C212" s="19"/>
      <x:c r="D212" s="19"/>
      <x:c r="E212" s="19"/>
      <x:c r="F212" s="19"/>
      <x:c r="G212" s="19"/>
      <x:c r="H212" s="25"/>
      <x:c r="I212" s="112" t="str">
        <x:f>IF($A212="","",SUMIFS('PipelineStages'!$E$2:$E$100,'PipelineStages'!$A$2:$A$100,$E212,'PipelineStages'!$B$2:$B$100,$F212))</x:f>
      </x:c>
      <x:c r="J212" s="24"/>
      <x:c r="K212" s="19"/>
      <x:c r="L212" s="100" t="str">
        <x:f>IF($A212="","",IF(COUNTIFS('FollowUps'!$C$2:$C$500,$A212,'FollowUps'!$H$2:$H$500,"open")=0,"",MINIFS('FollowUps'!$E$2:$E$500,'FollowUps'!$C$2:$C$500,$A212,'FollowUps'!$H$2:$H$500,"open")))</x:f>
      </x:c>
      <x:c r="M212" s="19"/>
      <x:c r="N212" s="26"/>
      <x:c r="O212" s="19"/>
      <x:c r="P212" s="26"/>
      <x:c r="Q212" s="19"/>
      <x:c r="R212" s="26"/>
      <x:c r="S212" s="19"/>
      <x:c r="T212" s="19"/>
    </x:row>
    <x:row r="213">
      <x:c r="A213" s="19"/>
      <x:c r="B213" s="19"/>
      <x:c r="C213" s="19"/>
      <x:c r="D213" s="19"/>
      <x:c r="E213" s="19"/>
      <x:c r="F213" s="19"/>
      <x:c r="G213" s="19"/>
      <x:c r="H213" s="25"/>
      <x:c r="I213" s="112" t="str">
        <x:f>IF($A213="","",SUMIFS('PipelineStages'!$E$2:$E$100,'PipelineStages'!$A$2:$A$100,$E213,'PipelineStages'!$B$2:$B$100,$F213))</x:f>
      </x:c>
      <x:c r="J213" s="24"/>
      <x:c r="K213" s="19"/>
      <x:c r="L213" s="100" t="str">
        <x:f>IF($A213="","",IF(COUNTIFS('FollowUps'!$C$2:$C$500,$A213,'FollowUps'!$H$2:$H$500,"open")=0,"",MINIFS('FollowUps'!$E$2:$E$500,'FollowUps'!$C$2:$C$500,$A213,'FollowUps'!$H$2:$H$500,"open")))</x:f>
      </x:c>
      <x:c r="M213" s="19"/>
      <x:c r="N213" s="26"/>
      <x:c r="O213" s="19"/>
      <x:c r="P213" s="26"/>
      <x:c r="Q213" s="19"/>
      <x:c r="R213" s="26"/>
      <x:c r="S213" s="19"/>
      <x:c r="T213" s="19"/>
    </x:row>
    <x:row r="214">
      <x:c r="A214" s="19"/>
      <x:c r="B214" s="19"/>
      <x:c r="C214" s="19"/>
      <x:c r="D214" s="19"/>
      <x:c r="E214" s="19"/>
      <x:c r="F214" s="19"/>
      <x:c r="G214" s="19"/>
      <x:c r="H214" s="25"/>
      <x:c r="I214" s="112" t="str">
        <x:f>IF($A214="","",SUMIFS('PipelineStages'!$E$2:$E$100,'PipelineStages'!$A$2:$A$100,$E214,'PipelineStages'!$B$2:$B$100,$F214))</x:f>
      </x:c>
      <x:c r="J214" s="24"/>
      <x:c r="K214" s="19"/>
      <x:c r="L214" s="100" t="str">
        <x:f>IF($A214="","",IF(COUNTIFS('FollowUps'!$C$2:$C$500,$A214,'FollowUps'!$H$2:$H$500,"open")=0,"",MINIFS('FollowUps'!$E$2:$E$500,'FollowUps'!$C$2:$C$500,$A214,'FollowUps'!$H$2:$H$500,"open")))</x:f>
      </x:c>
      <x:c r="M214" s="19"/>
      <x:c r="N214" s="26"/>
      <x:c r="O214" s="19"/>
      <x:c r="P214" s="26"/>
      <x:c r="Q214" s="19"/>
      <x:c r="R214" s="26"/>
      <x:c r="S214" s="19"/>
      <x:c r="T214" s="19"/>
    </x:row>
    <x:row r="215">
      <x:c r="A215" s="19"/>
      <x:c r="B215" s="19"/>
      <x:c r="C215" s="19"/>
      <x:c r="D215" s="19"/>
      <x:c r="E215" s="19"/>
      <x:c r="F215" s="19"/>
      <x:c r="G215" s="19"/>
      <x:c r="H215" s="25"/>
      <x:c r="I215" s="112" t="str">
        <x:f>IF($A215="","",SUMIFS('PipelineStages'!$E$2:$E$100,'PipelineStages'!$A$2:$A$100,$E215,'PipelineStages'!$B$2:$B$100,$F215))</x:f>
      </x:c>
      <x:c r="J215" s="24"/>
      <x:c r="K215" s="19"/>
      <x:c r="L215" s="100" t="str">
        <x:f>IF($A215="","",IF(COUNTIFS('FollowUps'!$C$2:$C$500,$A215,'FollowUps'!$H$2:$H$500,"open")=0,"",MINIFS('FollowUps'!$E$2:$E$500,'FollowUps'!$C$2:$C$500,$A215,'FollowUps'!$H$2:$H$500,"open")))</x:f>
      </x:c>
      <x:c r="M215" s="19"/>
      <x:c r="N215" s="26"/>
      <x:c r="O215" s="19"/>
      <x:c r="P215" s="26"/>
      <x:c r="Q215" s="19"/>
      <x:c r="R215" s="26"/>
      <x:c r="S215" s="19"/>
      <x:c r="T215" s="19"/>
    </x:row>
    <x:row r="216">
      <x:c r="A216" s="19"/>
      <x:c r="B216" s="19"/>
      <x:c r="C216" s="19"/>
      <x:c r="D216" s="19"/>
      <x:c r="E216" s="19"/>
      <x:c r="F216" s="19"/>
      <x:c r="G216" s="19"/>
      <x:c r="H216" s="25"/>
      <x:c r="I216" s="112" t="str">
        <x:f>IF($A216="","",SUMIFS('PipelineStages'!$E$2:$E$100,'PipelineStages'!$A$2:$A$100,$E216,'PipelineStages'!$B$2:$B$100,$F216))</x:f>
      </x:c>
      <x:c r="J216" s="24"/>
      <x:c r="K216" s="19"/>
      <x:c r="L216" s="100" t="str">
        <x:f>IF($A216="","",IF(COUNTIFS('FollowUps'!$C$2:$C$500,$A216,'FollowUps'!$H$2:$H$500,"open")=0,"",MINIFS('FollowUps'!$E$2:$E$500,'FollowUps'!$C$2:$C$500,$A216,'FollowUps'!$H$2:$H$500,"open")))</x:f>
      </x:c>
      <x:c r="M216" s="19"/>
      <x:c r="N216" s="26"/>
      <x:c r="O216" s="19"/>
      <x:c r="P216" s="26"/>
      <x:c r="Q216" s="19"/>
      <x:c r="R216" s="26"/>
      <x:c r="S216" s="19"/>
      <x:c r="T216" s="19"/>
    </x:row>
    <x:row r="217">
      <x:c r="A217" s="19"/>
      <x:c r="B217" s="19"/>
      <x:c r="C217" s="19"/>
      <x:c r="D217" s="19"/>
      <x:c r="E217" s="19"/>
      <x:c r="F217" s="19"/>
      <x:c r="G217" s="19"/>
      <x:c r="H217" s="25"/>
      <x:c r="I217" s="112" t="str">
        <x:f>IF($A217="","",SUMIFS('PipelineStages'!$E$2:$E$100,'PipelineStages'!$A$2:$A$100,$E217,'PipelineStages'!$B$2:$B$100,$F217))</x:f>
      </x:c>
      <x:c r="J217" s="24"/>
      <x:c r="K217" s="19"/>
      <x:c r="L217" s="100" t="str">
        <x:f>IF($A217="","",IF(COUNTIFS('FollowUps'!$C$2:$C$500,$A217,'FollowUps'!$H$2:$H$500,"open")=0,"",MINIFS('FollowUps'!$E$2:$E$500,'FollowUps'!$C$2:$C$500,$A217,'FollowUps'!$H$2:$H$500,"open")))</x:f>
      </x:c>
      <x:c r="M217" s="19"/>
      <x:c r="N217" s="26"/>
      <x:c r="O217" s="19"/>
      <x:c r="P217" s="26"/>
      <x:c r="Q217" s="19"/>
      <x:c r="R217" s="26"/>
      <x:c r="S217" s="19"/>
      <x:c r="T217" s="19"/>
    </x:row>
    <x:row r="218">
      <x:c r="A218" s="19"/>
      <x:c r="B218" s="19"/>
      <x:c r="C218" s="19"/>
      <x:c r="D218" s="19"/>
      <x:c r="E218" s="19"/>
      <x:c r="F218" s="19"/>
      <x:c r="G218" s="19"/>
      <x:c r="H218" s="25"/>
      <x:c r="I218" s="112" t="str">
        <x:f>IF($A218="","",SUMIFS('PipelineStages'!$E$2:$E$100,'PipelineStages'!$A$2:$A$100,$E218,'PipelineStages'!$B$2:$B$100,$F218))</x:f>
      </x:c>
      <x:c r="J218" s="24"/>
      <x:c r="K218" s="19"/>
      <x:c r="L218" s="100" t="str">
        <x:f>IF($A218="","",IF(COUNTIFS('FollowUps'!$C$2:$C$500,$A218,'FollowUps'!$H$2:$H$500,"open")=0,"",MINIFS('FollowUps'!$E$2:$E$500,'FollowUps'!$C$2:$C$500,$A218,'FollowUps'!$H$2:$H$500,"open")))</x:f>
      </x:c>
      <x:c r="M218" s="19"/>
      <x:c r="N218" s="26"/>
      <x:c r="O218" s="19"/>
      <x:c r="P218" s="26"/>
      <x:c r="Q218" s="19"/>
      <x:c r="R218" s="26"/>
      <x:c r="S218" s="19"/>
      <x:c r="T218" s="19"/>
    </x:row>
    <x:row r="219">
      <x:c r="A219" s="19"/>
      <x:c r="B219" s="19"/>
      <x:c r="C219" s="19"/>
      <x:c r="D219" s="19"/>
      <x:c r="E219" s="19"/>
      <x:c r="F219" s="19"/>
      <x:c r="G219" s="19"/>
      <x:c r="H219" s="25"/>
      <x:c r="I219" s="112" t="str">
        <x:f>IF($A219="","",SUMIFS('PipelineStages'!$E$2:$E$100,'PipelineStages'!$A$2:$A$100,$E219,'PipelineStages'!$B$2:$B$100,$F219))</x:f>
      </x:c>
      <x:c r="J219" s="24"/>
      <x:c r="K219" s="19"/>
      <x:c r="L219" s="100" t="str">
        <x:f>IF($A219="","",IF(COUNTIFS('FollowUps'!$C$2:$C$500,$A219,'FollowUps'!$H$2:$H$500,"open")=0,"",MINIFS('FollowUps'!$E$2:$E$500,'FollowUps'!$C$2:$C$500,$A219,'FollowUps'!$H$2:$H$500,"open")))</x:f>
      </x:c>
      <x:c r="M219" s="19"/>
      <x:c r="N219" s="26"/>
      <x:c r="O219" s="19"/>
      <x:c r="P219" s="26"/>
      <x:c r="Q219" s="19"/>
      <x:c r="R219" s="26"/>
      <x:c r="S219" s="19"/>
      <x:c r="T219" s="19"/>
    </x:row>
    <x:row r="220">
      <x:c r="A220" s="19"/>
      <x:c r="B220" s="19"/>
      <x:c r="C220" s="19"/>
      <x:c r="D220" s="19"/>
      <x:c r="E220" s="19"/>
      <x:c r="F220" s="19"/>
      <x:c r="G220" s="19"/>
      <x:c r="H220" s="25"/>
      <x:c r="I220" s="112" t="str">
        <x:f>IF($A220="","",SUMIFS('PipelineStages'!$E$2:$E$100,'PipelineStages'!$A$2:$A$100,$E220,'PipelineStages'!$B$2:$B$100,$F220))</x:f>
      </x:c>
      <x:c r="J220" s="24"/>
      <x:c r="K220" s="19"/>
      <x:c r="L220" s="100" t="str">
        <x:f>IF($A220="","",IF(COUNTIFS('FollowUps'!$C$2:$C$500,$A220,'FollowUps'!$H$2:$H$500,"open")=0,"",MINIFS('FollowUps'!$E$2:$E$500,'FollowUps'!$C$2:$C$500,$A220,'FollowUps'!$H$2:$H$500,"open")))</x:f>
      </x:c>
      <x:c r="M220" s="19"/>
      <x:c r="N220" s="26"/>
      <x:c r="O220" s="19"/>
      <x:c r="P220" s="26"/>
      <x:c r="Q220" s="19"/>
      <x:c r="R220" s="26"/>
      <x:c r="S220" s="19"/>
      <x:c r="T220" s="19"/>
    </x:row>
    <x:row r="221">
      <x:c r="A221" s="19"/>
      <x:c r="B221" s="19"/>
      <x:c r="C221" s="19"/>
      <x:c r="D221" s="19"/>
      <x:c r="E221" s="19"/>
      <x:c r="F221" s="19"/>
      <x:c r="G221" s="19"/>
      <x:c r="H221" s="25"/>
      <x:c r="I221" s="112" t="str">
        <x:f>IF($A221="","",SUMIFS('PipelineStages'!$E$2:$E$100,'PipelineStages'!$A$2:$A$100,$E221,'PipelineStages'!$B$2:$B$100,$F221))</x:f>
      </x:c>
      <x:c r="J221" s="24"/>
      <x:c r="K221" s="19"/>
      <x:c r="L221" s="100" t="str">
        <x:f>IF($A221="","",IF(COUNTIFS('FollowUps'!$C$2:$C$500,$A221,'FollowUps'!$H$2:$H$500,"open")=0,"",MINIFS('FollowUps'!$E$2:$E$500,'FollowUps'!$C$2:$C$500,$A221,'FollowUps'!$H$2:$H$500,"open")))</x:f>
      </x:c>
      <x:c r="M221" s="19"/>
      <x:c r="N221" s="26"/>
      <x:c r="O221" s="19"/>
      <x:c r="P221" s="26"/>
      <x:c r="Q221" s="19"/>
      <x:c r="R221" s="26"/>
      <x:c r="S221" s="19"/>
      <x:c r="T221" s="19"/>
    </x:row>
    <x:row r="222">
      <x:c r="A222" s="19"/>
      <x:c r="B222" s="19"/>
      <x:c r="C222" s="19"/>
      <x:c r="D222" s="19"/>
      <x:c r="E222" s="19"/>
      <x:c r="F222" s="19"/>
      <x:c r="G222" s="19"/>
      <x:c r="H222" s="25"/>
      <x:c r="I222" s="112" t="str">
        <x:f>IF($A222="","",SUMIFS('PipelineStages'!$E$2:$E$100,'PipelineStages'!$A$2:$A$100,$E222,'PipelineStages'!$B$2:$B$100,$F222))</x:f>
      </x:c>
      <x:c r="J222" s="24"/>
      <x:c r="K222" s="19"/>
      <x:c r="L222" s="100" t="str">
        <x:f>IF($A222="","",IF(COUNTIFS('FollowUps'!$C$2:$C$500,$A222,'FollowUps'!$H$2:$H$500,"open")=0,"",MINIFS('FollowUps'!$E$2:$E$500,'FollowUps'!$C$2:$C$500,$A222,'FollowUps'!$H$2:$H$500,"open")))</x:f>
      </x:c>
      <x:c r="M222" s="19"/>
      <x:c r="N222" s="26"/>
      <x:c r="O222" s="19"/>
      <x:c r="P222" s="26"/>
      <x:c r="Q222" s="19"/>
      <x:c r="R222" s="26"/>
      <x:c r="S222" s="19"/>
      <x:c r="T222" s="19"/>
    </x:row>
    <x:row r="223">
      <x:c r="A223" s="19"/>
      <x:c r="B223" s="19"/>
      <x:c r="C223" s="19"/>
      <x:c r="D223" s="19"/>
      <x:c r="E223" s="19"/>
      <x:c r="F223" s="19"/>
      <x:c r="G223" s="19"/>
      <x:c r="H223" s="25"/>
      <x:c r="I223" s="112" t="str">
        <x:f>IF($A223="","",SUMIFS('PipelineStages'!$E$2:$E$100,'PipelineStages'!$A$2:$A$100,$E223,'PipelineStages'!$B$2:$B$100,$F223))</x:f>
      </x:c>
      <x:c r="J223" s="24"/>
      <x:c r="K223" s="19"/>
      <x:c r="L223" s="100" t="str">
        <x:f>IF($A223="","",IF(COUNTIFS('FollowUps'!$C$2:$C$500,$A223,'FollowUps'!$H$2:$H$500,"open")=0,"",MINIFS('FollowUps'!$E$2:$E$500,'FollowUps'!$C$2:$C$500,$A223,'FollowUps'!$H$2:$H$500,"open")))</x:f>
      </x:c>
      <x:c r="M223" s="19"/>
      <x:c r="N223" s="26"/>
      <x:c r="O223" s="19"/>
      <x:c r="P223" s="26"/>
      <x:c r="Q223" s="19"/>
      <x:c r="R223" s="26"/>
      <x:c r="S223" s="19"/>
      <x:c r="T223" s="19"/>
    </x:row>
    <x:row r="224">
      <x:c r="A224" s="19"/>
      <x:c r="B224" s="19"/>
      <x:c r="C224" s="19"/>
      <x:c r="D224" s="19"/>
      <x:c r="E224" s="19"/>
      <x:c r="F224" s="19"/>
      <x:c r="G224" s="19"/>
      <x:c r="H224" s="25"/>
      <x:c r="I224" s="112" t="str">
        <x:f>IF($A224="","",SUMIFS('PipelineStages'!$E$2:$E$100,'PipelineStages'!$A$2:$A$100,$E224,'PipelineStages'!$B$2:$B$100,$F224))</x:f>
      </x:c>
      <x:c r="J224" s="24"/>
      <x:c r="K224" s="19"/>
      <x:c r="L224" s="100" t="str">
        <x:f>IF($A224="","",IF(COUNTIFS('FollowUps'!$C$2:$C$500,$A224,'FollowUps'!$H$2:$H$500,"open")=0,"",MINIFS('FollowUps'!$E$2:$E$500,'FollowUps'!$C$2:$C$500,$A224,'FollowUps'!$H$2:$H$500,"open")))</x:f>
      </x:c>
      <x:c r="M224" s="19"/>
      <x:c r="N224" s="26"/>
      <x:c r="O224" s="19"/>
      <x:c r="P224" s="26"/>
      <x:c r="Q224" s="19"/>
      <x:c r="R224" s="26"/>
      <x:c r="S224" s="19"/>
      <x:c r="T224" s="19"/>
    </x:row>
    <x:row r="225">
      <x:c r="A225" s="19"/>
      <x:c r="B225" s="19"/>
      <x:c r="C225" s="19"/>
      <x:c r="D225" s="19"/>
      <x:c r="E225" s="19"/>
      <x:c r="F225" s="19"/>
      <x:c r="G225" s="19"/>
      <x:c r="H225" s="25"/>
      <x:c r="I225" s="112" t="str">
        <x:f>IF($A225="","",SUMIFS('PipelineStages'!$E$2:$E$100,'PipelineStages'!$A$2:$A$100,$E225,'PipelineStages'!$B$2:$B$100,$F225))</x:f>
      </x:c>
      <x:c r="J225" s="24"/>
      <x:c r="K225" s="19"/>
      <x:c r="L225" s="100" t="str">
        <x:f>IF($A225="","",IF(COUNTIFS('FollowUps'!$C$2:$C$500,$A225,'FollowUps'!$H$2:$H$500,"open")=0,"",MINIFS('FollowUps'!$E$2:$E$500,'FollowUps'!$C$2:$C$500,$A225,'FollowUps'!$H$2:$H$500,"open")))</x:f>
      </x:c>
      <x:c r="M225" s="19"/>
      <x:c r="N225" s="26"/>
      <x:c r="O225" s="19"/>
      <x:c r="P225" s="26"/>
      <x:c r="Q225" s="19"/>
      <x:c r="R225" s="26"/>
      <x:c r="S225" s="19"/>
      <x:c r="T225" s="19"/>
    </x:row>
    <x:row r="226">
      <x:c r="A226" s="19"/>
      <x:c r="B226" s="19"/>
      <x:c r="C226" s="19"/>
      <x:c r="D226" s="19"/>
      <x:c r="E226" s="19"/>
      <x:c r="F226" s="19"/>
      <x:c r="G226" s="19"/>
      <x:c r="H226" s="25"/>
      <x:c r="I226" s="112" t="str">
        <x:f>IF($A226="","",SUMIFS('PipelineStages'!$E$2:$E$100,'PipelineStages'!$A$2:$A$100,$E226,'PipelineStages'!$B$2:$B$100,$F226))</x:f>
      </x:c>
      <x:c r="J226" s="24"/>
      <x:c r="K226" s="19"/>
      <x:c r="L226" s="100" t="str">
        <x:f>IF($A226="","",IF(COUNTIFS('FollowUps'!$C$2:$C$500,$A226,'FollowUps'!$H$2:$H$500,"open")=0,"",MINIFS('FollowUps'!$E$2:$E$500,'FollowUps'!$C$2:$C$500,$A226,'FollowUps'!$H$2:$H$500,"open")))</x:f>
      </x:c>
      <x:c r="M226" s="19"/>
      <x:c r="N226" s="26"/>
      <x:c r="O226" s="19"/>
      <x:c r="P226" s="26"/>
      <x:c r="Q226" s="19"/>
      <x:c r="R226" s="26"/>
      <x:c r="S226" s="19"/>
      <x:c r="T226" s="19"/>
    </x:row>
    <x:row r="227">
      <x:c r="A227" s="19"/>
      <x:c r="B227" s="19"/>
      <x:c r="C227" s="19"/>
      <x:c r="D227" s="19"/>
      <x:c r="E227" s="19"/>
      <x:c r="F227" s="19"/>
      <x:c r="G227" s="19"/>
      <x:c r="H227" s="25"/>
      <x:c r="I227" s="112" t="str">
        <x:f>IF($A227="","",SUMIFS('PipelineStages'!$E$2:$E$100,'PipelineStages'!$A$2:$A$100,$E227,'PipelineStages'!$B$2:$B$100,$F227))</x:f>
      </x:c>
      <x:c r="J227" s="24"/>
      <x:c r="K227" s="19"/>
      <x:c r="L227" s="100" t="str">
        <x:f>IF($A227="","",IF(COUNTIFS('FollowUps'!$C$2:$C$500,$A227,'FollowUps'!$H$2:$H$500,"open")=0,"",MINIFS('FollowUps'!$E$2:$E$500,'FollowUps'!$C$2:$C$500,$A227,'FollowUps'!$H$2:$H$500,"open")))</x:f>
      </x:c>
      <x:c r="M227" s="19"/>
      <x:c r="N227" s="26"/>
      <x:c r="O227" s="19"/>
      <x:c r="P227" s="26"/>
      <x:c r="Q227" s="19"/>
      <x:c r="R227" s="26"/>
      <x:c r="S227" s="19"/>
      <x:c r="T227" s="19"/>
    </x:row>
    <x:row r="228">
      <x:c r="A228" s="19"/>
      <x:c r="B228" s="19"/>
      <x:c r="C228" s="19"/>
      <x:c r="D228" s="19"/>
      <x:c r="E228" s="19"/>
      <x:c r="F228" s="19"/>
      <x:c r="G228" s="19"/>
      <x:c r="H228" s="25"/>
      <x:c r="I228" s="112" t="str">
        <x:f>IF($A228="","",SUMIFS('PipelineStages'!$E$2:$E$100,'PipelineStages'!$A$2:$A$100,$E228,'PipelineStages'!$B$2:$B$100,$F228))</x:f>
      </x:c>
      <x:c r="J228" s="24"/>
      <x:c r="K228" s="19"/>
      <x:c r="L228" s="100" t="str">
        <x:f>IF($A228="","",IF(COUNTIFS('FollowUps'!$C$2:$C$500,$A228,'FollowUps'!$H$2:$H$500,"open")=0,"",MINIFS('FollowUps'!$E$2:$E$500,'FollowUps'!$C$2:$C$500,$A228,'FollowUps'!$H$2:$H$500,"open")))</x:f>
      </x:c>
      <x:c r="M228" s="19"/>
      <x:c r="N228" s="26"/>
      <x:c r="O228" s="19"/>
      <x:c r="P228" s="26"/>
      <x:c r="Q228" s="19"/>
      <x:c r="R228" s="26"/>
      <x:c r="S228" s="19"/>
      <x:c r="T228" s="19"/>
    </x:row>
    <x:row r="229">
      <x:c r="A229" s="19"/>
      <x:c r="B229" s="19"/>
      <x:c r="C229" s="19"/>
      <x:c r="D229" s="19"/>
      <x:c r="E229" s="19"/>
      <x:c r="F229" s="19"/>
      <x:c r="G229" s="19"/>
      <x:c r="H229" s="25"/>
      <x:c r="I229" s="112" t="str">
        <x:f>IF($A229="","",SUMIFS('PipelineStages'!$E$2:$E$100,'PipelineStages'!$A$2:$A$100,$E229,'PipelineStages'!$B$2:$B$100,$F229))</x:f>
      </x:c>
      <x:c r="J229" s="24"/>
      <x:c r="K229" s="19"/>
      <x:c r="L229" s="100" t="str">
        <x:f>IF($A229="","",IF(COUNTIFS('FollowUps'!$C$2:$C$500,$A229,'FollowUps'!$H$2:$H$500,"open")=0,"",MINIFS('FollowUps'!$E$2:$E$500,'FollowUps'!$C$2:$C$500,$A229,'FollowUps'!$H$2:$H$500,"open")))</x:f>
      </x:c>
      <x:c r="M229" s="19"/>
      <x:c r="N229" s="26"/>
      <x:c r="O229" s="19"/>
      <x:c r="P229" s="26"/>
      <x:c r="Q229" s="19"/>
      <x:c r="R229" s="26"/>
      <x:c r="S229" s="19"/>
      <x:c r="T229" s="19"/>
    </x:row>
    <x:row r="230">
      <x:c r="A230" s="19"/>
      <x:c r="B230" s="19"/>
      <x:c r="C230" s="19"/>
      <x:c r="D230" s="19"/>
      <x:c r="E230" s="19"/>
      <x:c r="F230" s="19"/>
      <x:c r="G230" s="19"/>
      <x:c r="H230" s="25"/>
      <x:c r="I230" s="112" t="str">
        <x:f>IF($A230="","",SUMIFS('PipelineStages'!$E$2:$E$100,'PipelineStages'!$A$2:$A$100,$E230,'PipelineStages'!$B$2:$B$100,$F230))</x:f>
      </x:c>
      <x:c r="J230" s="24"/>
      <x:c r="K230" s="19"/>
      <x:c r="L230" s="100" t="str">
        <x:f>IF($A230="","",IF(COUNTIFS('FollowUps'!$C$2:$C$500,$A230,'FollowUps'!$H$2:$H$500,"open")=0,"",MINIFS('FollowUps'!$E$2:$E$500,'FollowUps'!$C$2:$C$500,$A230,'FollowUps'!$H$2:$H$500,"open")))</x:f>
      </x:c>
      <x:c r="M230" s="19"/>
      <x:c r="N230" s="26"/>
      <x:c r="O230" s="19"/>
      <x:c r="P230" s="26"/>
      <x:c r="Q230" s="19"/>
      <x:c r="R230" s="26"/>
      <x:c r="S230" s="19"/>
      <x:c r="T230" s="19"/>
    </x:row>
    <x:row r="231">
      <x:c r="A231" s="19"/>
      <x:c r="B231" s="19"/>
      <x:c r="C231" s="19"/>
      <x:c r="D231" s="19"/>
      <x:c r="E231" s="19"/>
      <x:c r="F231" s="19"/>
      <x:c r="G231" s="19"/>
      <x:c r="H231" s="25"/>
      <x:c r="I231" s="112" t="str">
        <x:f>IF($A231="","",SUMIFS('PipelineStages'!$E$2:$E$100,'PipelineStages'!$A$2:$A$100,$E231,'PipelineStages'!$B$2:$B$100,$F231))</x:f>
      </x:c>
      <x:c r="J231" s="24"/>
      <x:c r="K231" s="19"/>
      <x:c r="L231" s="100" t="str">
        <x:f>IF($A231="","",IF(COUNTIFS('FollowUps'!$C$2:$C$500,$A231,'FollowUps'!$H$2:$H$500,"open")=0,"",MINIFS('FollowUps'!$E$2:$E$500,'FollowUps'!$C$2:$C$500,$A231,'FollowUps'!$H$2:$H$500,"open")))</x:f>
      </x:c>
      <x:c r="M231" s="19"/>
      <x:c r="N231" s="26"/>
      <x:c r="O231" s="19"/>
      <x:c r="P231" s="26"/>
      <x:c r="Q231" s="19"/>
      <x:c r="R231" s="26"/>
      <x:c r="S231" s="19"/>
      <x:c r="T231" s="19"/>
    </x:row>
    <x:row r="232">
      <x:c r="A232" s="19"/>
      <x:c r="B232" s="19"/>
      <x:c r="C232" s="19"/>
      <x:c r="D232" s="19"/>
      <x:c r="E232" s="19"/>
      <x:c r="F232" s="19"/>
      <x:c r="G232" s="19"/>
      <x:c r="H232" s="25"/>
      <x:c r="I232" s="112" t="str">
        <x:f>IF($A232="","",SUMIFS('PipelineStages'!$E$2:$E$100,'PipelineStages'!$A$2:$A$100,$E232,'PipelineStages'!$B$2:$B$100,$F232))</x:f>
      </x:c>
      <x:c r="J232" s="24"/>
      <x:c r="K232" s="19"/>
      <x:c r="L232" s="100" t="str">
        <x:f>IF($A232="","",IF(COUNTIFS('FollowUps'!$C$2:$C$500,$A232,'FollowUps'!$H$2:$H$500,"open")=0,"",MINIFS('FollowUps'!$E$2:$E$500,'FollowUps'!$C$2:$C$500,$A232,'FollowUps'!$H$2:$H$500,"open")))</x:f>
      </x:c>
      <x:c r="M232" s="19"/>
      <x:c r="N232" s="26"/>
      <x:c r="O232" s="19"/>
      <x:c r="P232" s="26"/>
      <x:c r="Q232" s="19"/>
      <x:c r="R232" s="26"/>
      <x:c r="S232" s="19"/>
      <x:c r="T232" s="19"/>
    </x:row>
    <x:row r="233">
      <x:c r="A233" s="19"/>
      <x:c r="B233" s="19"/>
      <x:c r="C233" s="19"/>
      <x:c r="D233" s="19"/>
      <x:c r="E233" s="19"/>
      <x:c r="F233" s="19"/>
      <x:c r="G233" s="19"/>
      <x:c r="H233" s="25"/>
      <x:c r="I233" s="112" t="str">
        <x:f>IF($A233="","",SUMIFS('PipelineStages'!$E$2:$E$100,'PipelineStages'!$A$2:$A$100,$E233,'PipelineStages'!$B$2:$B$100,$F233))</x:f>
      </x:c>
      <x:c r="J233" s="24"/>
      <x:c r="K233" s="19"/>
      <x:c r="L233" s="100" t="str">
        <x:f>IF($A233="","",IF(COUNTIFS('FollowUps'!$C$2:$C$500,$A233,'FollowUps'!$H$2:$H$500,"open")=0,"",MINIFS('FollowUps'!$E$2:$E$500,'FollowUps'!$C$2:$C$500,$A233,'FollowUps'!$H$2:$H$500,"open")))</x:f>
      </x:c>
      <x:c r="M233" s="19"/>
      <x:c r="N233" s="26"/>
      <x:c r="O233" s="19"/>
      <x:c r="P233" s="26"/>
      <x:c r="Q233" s="19"/>
      <x:c r="R233" s="26"/>
      <x:c r="S233" s="19"/>
      <x:c r="T233" s="19"/>
    </x:row>
    <x:row r="234">
      <x:c r="A234" s="19"/>
      <x:c r="B234" s="19"/>
      <x:c r="C234" s="19"/>
      <x:c r="D234" s="19"/>
      <x:c r="E234" s="19"/>
      <x:c r="F234" s="19"/>
      <x:c r="G234" s="19"/>
      <x:c r="H234" s="25"/>
      <x:c r="I234" s="112" t="str">
        <x:f>IF($A234="","",SUMIFS('PipelineStages'!$E$2:$E$100,'PipelineStages'!$A$2:$A$100,$E234,'PipelineStages'!$B$2:$B$100,$F234))</x:f>
      </x:c>
      <x:c r="J234" s="24"/>
      <x:c r="K234" s="19"/>
      <x:c r="L234" s="100" t="str">
        <x:f>IF($A234="","",IF(COUNTIFS('FollowUps'!$C$2:$C$500,$A234,'FollowUps'!$H$2:$H$500,"open")=0,"",MINIFS('FollowUps'!$E$2:$E$500,'FollowUps'!$C$2:$C$500,$A234,'FollowUps'!$H$2:$H$500,"open")))</x:f>
      </x:c>
      <x:c r="M234" s="19"/>
      <x:c r="N234" s="26"/>
      <x:c r="O234" s="19"/>
      <x:c r="P234" s="26"/>
      <x:c r="Q234" s="19"/>
      <x:c r="R234" s="26"/>
      <x:c r="S234" s="19"/>
      <x:c r="T234" s="19"/>
    </x:row>
    <x:row r="235">
      <x:c r="A235" s="19"/>
      <x:c r="B235" s="19"/>
      <x:c r="C235" s="19"/>
      <x:c r="D235" s="19"/>
      <x:c r="E235" s="19"/>
      <x:c r="F235" s="19"/>
      <x:c r="G235" s="19"/>
      <x:c r="H235" s="25"/>
      <x:c r="I235" s="112" t="str">
        <x:f>IF($A235="","",SUMIFS('PipelineStages'!$E$2:$E$100,'PipelineStages'!$A$2:$A$100,$E235,'PipelineStages'!$B$2:$B$100,$F235))</x:f>
      </x:c>
      <x:c r="J235" s="24"/>
      <x:c r="K235" s="19"/>
      <x:c r="L235" s="100" t="str">
        <x:f>IF($A235="","",IF(COUNTIFS('FollowUps'!$C$2:$C$500,$A235,'FollowUps'!$H$2:$H$500,"open")=0,"",MINIFS('FollowUps'!$E$2:$E$500,'FollowUps'!$C$2:$C$500,$A235,'FollowUps'!$H$2:$H$500,"open")))</x:f>
      </x:c>
      <x:c r="M235" s="19"/>
      <x:c r="N235" s="26"/>
      <x:c r="O235" s="19"/>
      <x:c r="P235" s="26"/>
      <x:c r="Q235" s="19"/>
      <x:c r="R235" s="26"/>
      <x:c r="S235" s="19"/>
      <x:c r="T235" s="19"/>
    </x:row>
    <x:row r="236">
      <x:c r="A236" s="19"/>
      <x:c r="B236" s="19"/>
      <x:c r="C236" s="19"/>
      <x:c r="D236" s="19"/>
      <x:c r="E236" s="19"/>
      <x:c r="F236" s="19"/>
      <x:c r="G236" s="19"/>
      <x:c r="H236" s="25"/>
      <x:c r="I236" s="112" t="str">
        <x:f>IF($A236="","",SUMIFS('PipelineStages'!$E$2:$E$100,'PipelineStages'!$A$2:$A$100,$E236,'PipelineStages'!$B$2:$B$100,$F236))</x:f>
      </x:c>
      <x:c r="J236" s="24"/>
      <x:c r="K236" s="19"/>
      <x:c r="L236" s="100" t="str">
        <x:f>IF($A236="","",IF(COUNTIFS('FollowUps'!$C$2:$C$500,$A236,'FollowUps'!$H$2:$H$500,"open")=0,"",MINIFS('FollowUps'!$E$2:$E$500,'FollowUps'!$C$2:$C$500,$A236,'FollowUps'!$H$2:$H$500,"open")))</x:f>
      </x:c>
      <x:c r="M236" s="19"/>
      <x:c r="N236" s="26"/>
      <x:c r="O236" s="19"/>
      <x:c r="P236" s="26"/>
      <x:c r="Q236" s="19"/>
      <x:c r="R236" s="26"/>
      <x:c r="S236" s="19"/>
      <x:c r="T236" s="19"/>
    </x:row>
    <x:row r="237">
      <x:c r="A237" s="19"/>
      <x:c r="B237" s="19"/>
      <x:c r="C237" s="19"/>
      <x:c r="D237" s="19"/>
      <x:c r="E237" s="19"/>
      <x:c r="F237" s="19"/>
      <x:c r="G237" s="19"/>
      <x:c r="H237" s="25"/>
      <x:c r="I237" s="112" t="str">
        <x:f>IF($A237="","",SUMIFS('PipelineStages'!$E$2:$E$100,'PipelineStages'!$A$2:$A$100,$E237,'PipelineStages'!$B$2:$B$100,$F237))</x:f>
      </x:c>
      <x:c r="J237" s="24"/>
      <x:c r="K237" s="19"/>
      <x:c r="L237" s="100" t="str">
        <x:f>IF($A237="","",IF(COUNTIFS('FollowUps'!$C$2:$C$500,$A237,'FollowUps'!$H$2:$H$500,"open")=0,"",MINIFS('FollowUps'!$E$2:$E$500,'FollowUps'!$C$2:$C$500,$A237,'FollowUps'!$H$2:$H$500,"open")))</x:f>
      </x:c>
      <x:c r="M237" s="19"/>
      <x:c r="N237" s="26"/>
      <x:c r="O237" s="19"/>
      <x:c r="P237" s="26"/>
      <x:c r="Q237" s="19"/>
      <x:c r="R237" s="26"/>
      <x:c r="S237" s="19"/>
      <x:c r="T237" s="19"/>
    </x:row>
    <x:row r="238">
      <x:c r="A238" s="19"/>
      <x:c r="B238" s="19"/>
      <x:c r="C238" s="19"/>
      <x:c r="D238" s="19"/>
      <x:c r="E238" s="19"/>
      <x:c r="F238" s="19"/>
      <x:c r="G238" s="19"/>
      <x:c r="H238" s="25"/>
      <x:c r="I238" s="112" t="str">
        <x:f>IF($A238="","",SUMIFS('PipelineStages'!$E$2:$E$100,'PipelineStages'!$A$2:$A$100,$E238,'PipelineStages'!$B$2:$B$100,$F238))</x:f>
      </x:c>
      <x:c r="J238" s="24"/>
      <x:c r="K238" s="19"/>
      <x:c r="L238" s="100" t="str">
        <x:f>IF($A238="","",IF(COUNTIFS('FollowUps'!$C$2:$C$500,$A238,'FollowUps'!$H$2:$H$500,"open")=0,"",MINIFS('FollowUps'!$E$2:$E$500,'FollowUps'!$C$2:$C$500,$A238,'FollowUps'!$H$2:$H$500,"open")))</x:f>
      </x:c>
      <x:c r="M238" s="19"/>
      <x:c r="N238" s="26"/>
      <x:c r="O238" s="19"/>
      <x:c r="P238" s="26"/>
      <x:c r="Q238" s="19"/>
      <x:c r="R238" s="26"/>
      <x:c r="S238" s="19"/>
      <x:c r="T238" s="19"/>
    </x:row>
    <x:row r="239">
      <x:c r="A239" s="19"/>
      <x:c r="B239" s="19"/>
      <x:c r="C239" s="19"/>
      <x:c r="D239" s="19"/>
      <x:c r="E239" s="19"/>
      <x:c r="F239" s="19"/>
      <x:c r="G239" s="19"/>
      <x:c r="H239" s="25"/>
      <x:c r="I239" s="112" t="str">
        <x:f>IF($A239="","",SUMIFS('PipelineStages'!$E$2:$E$100,'PipelineStages'!$A$2:$A$100,$E239,'PipelineStages'!$B$2:$B$100,$F239))</x:f>
      </x:c>
      <x:c r="J239" s="24"/>
      <x:c r="K239" s="19"/>
      <x:c r="L239" s="100" t="str">
        <x:f>IF($A239="","",IF(COUNTIFS('FollowUps'!$C$2:$C$500,$A239,'FollowUps'!$H$2:$H$500,"open")=0,"",MINIFS('FollowUps'!$E$2:$E$500,'FollowUps'!$C$2:$C$500,$A239,'FollowUps'!$H$2:$H$500,"open")))</x:f>
      </x:c>
      <x:c r="M239" s="19"/>
      <x:c r="N239" s="26"/>
      <x:c r="O239" s="19"/>
      <x:c r="P239" s="26"/>
      <x:c r="Q239" s="19"/>
      <x:c r="R239" s="26"/>
      <x:c r="S239" s="19"/>
      <x:c r="T239" s="19"/>
    </x:row>
    <x:row r="240">
      <x:c r="A240" s="19"/>
      <x:c r="B240" s="19"/>
      <x:c r="C240" s="19"/>
      <x:c r="D240" s="19"/>
      <x:c r="E240" s="19"/>
      <x:c r="F240" s="19"/>
      <x:c r="G240" s="19"/>
      <x:c r="H240" s="25"/>
      <x:c r="I240" s="112" t="str">
        <x:f>IF($A240="","",SUMIFS('PipelineStages'!$E$2:$E$100,'PipelineStages'!$A$2:$A$100,$E240,'PipelineStages'!$B$2:$B$100,$F240))</x:f>
      </x:c>
      <x:c r="J240" s="24"/>
      <x:c r="K240" s="19"/>
      <x:c r="L240" s="100" t="str">
        <x:f>IF($A240="","",IF(COUNTIFS('FollowUps'!$C$2:$C$500,$A240,'FollowUps'!$H$2:$H$500,"open")=0,"",MINIFS('FollowUps'!$E$2:$E$500,'FollowUps'!$C$2:$C$500,$A240,'FollowUps'!$H$2:$H$500,"open")))</x:f>
      </x:c>
      <x:c r="M240" s="19"/>
      <x:c r="N240" s="26"/>
      <x:c r="O240" s="19"/>
      <x:c r="P240" s="26"/>
      <x:c r="Q240" s="19"/>
      <x:c r="R240" s="26"/>
      <x:c r="S240" s="19"/>
      <x:c r="T240" s="19"/>
    </x:row>
    <x:row r="241">
      <x:c r="A241" s="19"/>
      <x:c r="B241" s="19"/>
      <x:c r="C241" s="19"/>
      <x:c r="D241" s="19"/>
      <x:c r="E241" s="19"/>
      <x:c r="F241" s="19"/>
      <x:c r="G241" s="19"/>
      <x:c r="H241" s="25"/>
      <x:c r="I241" s="112" t="str">
        <x:f>IF($A241="","",SUMIFS('PipelineStages'!$E$2:$E$100,'PipelineStages'!$A$2:$A$100,$E241,'PipelineStages'!$B$2:$B$100,$F241))</x:f>
      </x:c>
      <x:c r="J241" s="24"/>
      <x:c r="K241" s="19"/>
      <x:c r="L241" s="100" t="str">
        <x:f>IF($A241="","",IF(COUNTIFS('FollowUps'!$C$2:$C$500,$A241,'FollowUps'!$H$2:$H$500,"open")=0,"",MINIFS('FollowUps'!$E$2:$E$500,'FollowUps'!$C$2:$C$500,$A241,'FollowUps'!$H$2:$H$500,"open")))</x:f>
      </x:c>
      <x:c r="M241" s="19"/>
      <x:c r="N241" s="26"/>
      <x:c r="O241" s="19"/>
      <x:c r="P241" s="26"/>
      <x:c r="Q241" s="19"/>
      <x:c r="R241" s="26"/>
      <x:c r="S241" s="19"/>
      <x:c r="T241" s="19"/>
    </x:row>
    <x:row r="242">
      <x:c r="A242" s="19"/>
      <x:c r="B242" s="19"/>
      <x:c r="C242" s="19"/>
      <x:c r="D242" s="19"/>
      <x:c r="E242" s="19"/>
      <x:c r="F242" s="19"/>
      <x:c r="G242" s="19"/>
      <x:c r="H242" s="25"/>
      <x:c r="I242" s="112" t="str">
        <x:f>IF($A242="","",SUMIFS('PipelineStages'!$E$2:$E$100,'PipelineStages'!$A$2:$A$100,$E242,'PipelineStages'!$B$2:$B$100,$F242))</x:f>
      </x:c>
      <x:c r="J242" s="24"/>
      <x:c r="K242" s="19"/>
      <x:c r="L242" s="100" t="str">
        <x:f>IF($A242="","",IF(COUNTIFS('FollowUps'!$C$2:$C$500,$A242,'FollowUps'!$H$2:$H$500,"open")=0,"",MINIFS('FollowUps'!$E$2:$E$500,'FollowUps'!$C$2:$C$500,$A242,'FollowUps'!$H$2:$H$500,"open")))</x:f>
      </x:c>
      <x:c r="M242" s="19"/>
      <x:c r="N242" s="26"/>
      <x:c r="O242" s="19"/>
      <x:c r="P242" s="26"/>
      <x:c r="Q242" s="19"/>
      <x:c r="R242" s="26"/>
      <x:c r="S242" s="19"/>
      <x:c r="T242" s="19"/>
    </x:row>
    <x:row r="243">
      <x:c r="A243" s="19"/>
      <x:c r="B243" s="19"/>
      <x:c r="C243" s="19"/>
      <x:c r="D243" s="19"/>
      <x:c r="E243" s="19"/>
      <x:c r="F243" s="19"/>
      <x:c r="G243" s="19"/>
      <x:c r="H243" s="25"/>
      <x:c r="I243" s="112" t="str">
        <x:f>IF($A243="","",SUMIFS('PipelineStages'!$E$2:$E$100,'PipelineStages'!$A$2:$A$100,$E243,'PipelineStages'!$B$2:$B$100,$F243))</x:f>
      </x:c>
      <x:c r="J243" s="24"/>
      <x:c r="K243" s="19"/>
      <x:c r="L243" s="100" t="str">
        <x:f>IF($A243="","",IF(COUNTIFS('FollowUps'!$C$2:$C$500,$A243,'FollowUps'!$H$2:$H$500,"open")=0,"",MINIFS('FollowUps'!$E$2:$E$500,'FollowUps'!$C$2:$C$500,$A243,'FollowUps'!$H$2:$H$500,"open")))</x:f>
      </x:c>
      <x:c r="M243" s="19"/>
      <x:c r="N243" s="26"/>
      <x:c r="O243" s="19"/>
      <x:c r="P243" s="26"/>
      <x:c r="Q243" s="19"/>
      <x:c r="R243" s="26"/>
      <x:c r="S243" s="19"/>
      <x:c r="T243" s="19"/>
    </x:row>
    <x:row r="244">
      <x:c r="A244" s="19"/>
      <x:c r="B244" s="19"/>
      <x:c r="C244" s="19"/>
      <x:c r="D244" s="19"/>
      <x:c r="E244" s="19"/>
      <x:c r="F244" s="19"/>
      <x:c r="G244" s="19"/>
      <x:c r="H244" s="25"/>
      <x:c r="I244" s="112" t="str">
        <x:f>IF($A244="","",SUMIFS('PipelineStages'!$E$2:$E$100,'PipelineStages'!$A$2:$A$100,$E244,'PipelineStages'!$B$2:$B$100,$F244))</x:f>
      </x:c>
      <x:c r="J244" s="24"/>
      <x:c r="K244" s="19"/>
      <x:c r="L244" s="100" t="str">
        <x:f>IF($A244="","",IF(COUNTIFS('FollowUps'!$C$2:$C$500,$A244,'FollowUps'!$H$2:$H$500,"open")=0,"",MINIFS('FollowUps'!$E$2:$E$500,'FollowUps'!$C$2:$C$500,$A244,'FollowUps'!$H$2:$H$500,"open")))</x:f>
      </x:c>
      <x:c r="M244" s="19"/>
      <x:c r="N244" s="26"/>
      <x:c r="O244" s="19"/>
      <x:c r="P244" s="26"/>
      <x:c r="Q244" s="19"/>
      <x:c r="R244" s="26"/>
      <x:c r="S244" s="19"/>
      <x:c r="T244" s="19"/>
    </x:row>
    <x:row r="245">
      <x:c r="A245" s="19"/>
      <x:c r="B245" s="19"/>
      <x:c r="C245" s="19"/>
      <x:c r="D245" s="19"/>
      <x:c r="E245" s="19"/>
      <x:c r="F245" s="19"/>
      <x:c r="G245" s="19"/>
      <x:c r="H245" s="25"/>
      <x:c r="I245" s="112" t="str">
        <x:f>IF($A245="","",SUMIFS('PipelineStages'!$E$2:$E$100,'PipelineStages'!$A$2:$A$100,$E245,'PipelineStages'!$B$2:$B$100,$F245))</x:f>
      </x:c>
      <x:c r="J245" s="24"/>
      <x:c r="K245" s="19"/>
      <x:c r="L245" s="100" t="str">
        <x:f>IF($A245="","",IF(COUNTIFS('FollowUps'!$C$2:$C$500,$A245,'FollowUps'!$H$2:$H$500,"open")=0,"",MINIFS('FollowUps'!$E$2:$E$500,'FollowUps'!$C$2:$C$500,$A245,'FollowUps'!$H$2:$H$500,"open")))</x:f>
      </x:c>
      <x:c r="M245" s="19"/>
      <x:c r="N245" s="26"/>
      <x:c r="O245" s="19"/>
      <x:c r="P245" s="26"/>
      <x:c r="Q245" s="19"/>
      <x:c r="R245" s="26"/>
      <x:c r="S245" s="19"/>
      <x:c r="T245" s="19"/>
    </x:row>
    <x:row r="246">
      <x:c r="A246" s="19"/>
      <x:c r="B246" s="19"/>
      <x:c r="C246" s="19"/>
      <x:c r="D246" s="19"/>
      <x:c r="E246" s="19"/>
      <x:c r="F246" s="19"/>
      <x:c r="G246" s="19"/>
      <x:c r="H246" s="25"/>
      <x:c r="I246" s="112" t="str">
        <x:f>IF($A246="","",SUMIFS('PipelineStages'!$E$2:$E$100,'PipelineStages'!$A$2:$A$100,$E246,'PipelineStages'!$B$2:$B$100,$F246))</x:f>
      </x:c>
      <x:c r="J246" s="24"/>
      <x:c r="K246" s="19"/>
      <x:c r="L246" s="100" t="str">
        <x:f>IF($A246="","",IF(COUNTIFS('FollowUps'!$C$2:$C$500,$A246,'FollowUps'!$H$2:$H$500,"open")=0,"",MINIFS('FollowUps'!$E$2:$E$500,'FollowUps'!$C$2:$C$500,$A246,'FollowUps'!$H$2:$H$500,"open")))</x:f>
      </x:c>
      <x:c r="M246" s="19"/>
      <x:c r="N246" s="26"/>
      <x:c r="O246" s="19"/>
      <x:c r="P246" s="26"/>
      <x:c r="Q246" s="19"/>
      <x:c r="R246" s="26"/>
      <x:c r="S246" s="19"/>
      <x:c r="T246" s="19"/>
    </x:row>
    <x:row r="247">
      <x:c r="A247" s="19"/>
      <x:c r="B247" s="19"/>
      <x:c r="C247" s="19"/>
      <x:c r="D247" s="19"/>
      <x:c r="E247" s="19"/>
      <x:c r="F247" s="19"/>
      <x:c r="G247" s="19"/>
      <x:c r="H247" s="25"/>
      <x:c r="I247" s="112" t="str">
        <x:f>IF($A247="","",SUMIFS('PipelineStages'!$E$2:$E$100,'PipelineStages'!$A$2:$A$100,$E247,'PipelineStages'!$B$2:$B$100,$F247))</x:f>
      </x:c>
      <x:c r="J247" s="24"/>
      <x:c r="K247" s="19"/>
      <x:c r="L247" s="100" t="str">
        <x:f>IF($A247="","",IF(COUNTIFS('FollowUps'!$C$2:$C$500,$A247,'FollowUps'!$H$2:$H$500,"open")=0,"",MINIFS('FollowUps'!$E$2:$E$500,'FollowUps'!$C$2:$C$500,$A247,'FollowUps'!$H$2:$H$500,"open")))</x:f>
      </x:c>
      <x:c r="M247" s="19"/>
      <x:c r="N247" s="26"/>
      <x:c r="O247" s="19"/>
      <x:c r="P247" s="26"/>
      <x:c r="Q247" s="19"/>
      <x:c r="R247" s="26"/>
      <x:c r="S247" s="19"/>
      <x:c r="T247" s="19"/>
    </x:row>
    <x:row r="248">
      <x:c r="A248" s="19"/>
      <x:c r="B248" s="19"/>
      <x:c r="C248" s="19"/>
      <x:c r="D248" s="19"/>
      <x:c r="E248" s="19"/>
      <x:c r="F248" s="19"/>
      <x:c r="G248" s="19"/>
      <x:c r="H248" s="25"/>
      <x:c r="I248" s="112" t="str">
        <x:f>IF($A248="","",SUMIFS('PipelineStages'!$E$2:$E$100,'PipelineStages'!$A$2:$A$100,$E248,'PipelineStages'!$B$2:$B$100,$F248))</x:f>
      </x:c>
      <x:c r="J248" s="24"/>
      <x:c r="K248" s="19"/>
      <x:c r="L248" s="100" t="str">
        <x:f>IF($A248="","",IF(COUNTIFS('FollowUps'!$C$2:$C$500,$A248,'FollowUps'!$H$2:$H$500,"open")=0,"",MINIFS('FollowUps'!$E$2:$E$500,'FollowUps'!$C$2:$C$500,$A248,'FollowUps'!$H$2:$H$500,"open")))</x:f>
      </x:c>
      <x:c r="M248" s="19"/>
      <x:c r="N248" s="26"/>
      <x:c r="O248" s="19"/>
      <x:c r="P248" s="26"/>
      <x:c r="Q248" s="19"/>
      <x:c r="R248" s="26"/>
      <x:c r="S248" s="19"/>
      <x:c r="T248" s="19"/>
    </x:row>
    <x:row r="249">
      <x:c r="A249" s="19"/>
      <x:c r="B249" s="19"/>
      <x:c r="C249" s="19"/>
      <x:c r="D249" s="19"/>
      <x:c r="E249" s="19"/>
      <x:c r="F249" s="19"/>
      <x:c r="G249" s="19"/>
      <x:c r="H249" s="25"/>
      <x:c r="I249" s="112" t="str">
        <x:f>IF($A249="","",SUMIFS('PipelineStages'!$E$2:$E$100,'PipelineStages'!$A$2:$A$100,$E249,'PipelineStages'!$B$2:$B$100,$F249))</x:f>
      </x:c>
      <x:c r="J249" s="24"/>
      <x:c r="K249" s="19"/>
      <x:c r="L249" s="100" t="str">
        <x:f>IF($A249="","",IF(COUNTIFS('FollowUps'!$C$2:$C$500,$A249,'FollowUps'!$H$2:$H$500,"open")=0,"",MINIFS('FollowUps'!$E$2:$E$500,'FollowUps'!$C$2:$C$500,$A249,'FollowUps'!$H$2:$H$500,"open")))</x:f>
      </x:c>
      <x:c r="M249" s="19"/>
      <x:c r="N249" s="26"/>
      <x:c r="O249" s="19"/>
      <x:c r="P249" s="26"/>
      <x:c r="Q249" s="19"/>
      <x:c r="R249" s="26"/>
      <x:c r="S249" s="19"/>
      <x:c r="T249" s="19"/>
    </x:row>
    <x:row r="250">
      <x:c r="A250" s="19"/>
      <x:c r="B250" s="19"/>
      <x:c r="C250" s="19"/>
      <x:c r="D250" s="19"/>
      <x:c r="E250" s="19"/>
      <x:c r="F250" s="19"/>
      <x:c r="G250" s="19"/>
      <x:c r="H250" s="25"/>
      <x:c r="I250" s="112" t="str">
        <x:f>IF($A250="","",SUMIFS('PipelineStages'!$E$2:$E$100,'PipelineStages'!$A$2:$A$100,$E250,'PipelineStages'!$B$2:$B$100,$F250))</x:f>
      </x:c>
      <x:c r="J250" s="24"/>
      <x:c r="K250" s="19"/>
      <x:c r="L250" s="100" t="str">
        <x:f>IF($A250="","",IF(COUNTIFS('FollowUps'!$C$2:$C$500,$A250,'FollowUps'!$H$2:$H$500,"open")=0,"",MINIFS('FollowUps'!$E$2:$E$500,'FollowUps'!$C$2:$C$500,$A250,'FollowUps'!$H$2:$H$500,"open")))</x:f>
      </x:c>
      <x:c r="M250" s="19"/>
      <x:c r="N250" s="26"/>
      <x:c r="O250" s="19"/>
      <x:c r="P250" s="26"/>
      <x:c r="Q250" s="19"/>
      <x:c r="R250" s="26"/>
      <x:c r="S250" s="19"/>
      <x:c r="T250" s="19"/>
    </x:row>
    <x:row r="251">
      <x:c r="A251" s="19"/>
      <x:c r="B251" s="19"/>
      <x:c r="C251" s="19"/>
      <x:c r="D251" s="19"/>
      <x:c r="E251" s="19"/>
      <x:c r="F251" s="19"/>
      <x:c r="G251" s="19"/>
      <x:c r="H251" s="25"/>
      <x:c r="I251" s="112" t="str">
        <x:f>IF($A251="","",SUMIFS('PipelineStages'!$E$2:$E$100,'PipelineStages'!$A$2:$A$100,$E251,'PipelineStages'!$B$2:$B$100,$F251))</x:f>
      </x:c>
      <x:c r="J251" s="24"/>
      <x:c r="K251" s="19"/>
      <x:c r="L251" s="100" t="str">
        <x:f>IF($A251="","",IF(COUNTIFS('FollowUps'!$C$2:$C$500,$A251,'FollowUps'!$H$2:$H$500,"open")=0,"",MINIFS('FollowUps'!$E$2:$E$500,'FollowUps'!$C$2:$C$500,$A251,'FollowUps'!$H$2:$H$500,"open")))</x:f>
      </x:c>
      <x:c r="M251" s="19"/>
      <x:c r="N251" s="26"/>
      <x:c r="O251" s="19"/>
      <x:c r="P251" s="26"/>
      <x:c r="Q251" s="19"/>
      <x:c r="R251" s="26"/>
      <x:c r="S251" s="19"/>
      <x:c r="T251" s="19"/>
    </x:row>
    <x:row r="252">
      <x:c r="A252" s="19"/>
      <x:c r="B252" s="19"/>
      <x:c r="C252" s="19"/>
      <x:c r="D252" s="19"/>
      <x:c r="E252" s="19"/>
      <x:c r="F252" s="19"/>
      <x:c r="G252" s="19"/>
      <x:c r="H252" s="25"/>
      <x:c r="I252" s="112" t="str">
        <x:f>IF($A252="","",SUMIFS('PipelineStages'!$E$2:$E$100,'PipelineStages'!$A$2:$A$100,$E252,'PipelineStages'!$B$2:$B$100,$F252))</x:f>
      </x:c>
      <x:c r="J252" s="24"/>
      <x:c r="K252" s="19"/>
      <x:c r="L252" s="100" t="str">
        <x:f>IF($A252="","",IF(COUNTIFS('FollowUps'!$C$2:$C$500,$A252,'FollowUps'!$H$2:$H$500,"open")=0,"",MINIFS('FollowUps'!$E$2:$E$500,'FollowUps'!$C$2:$C$500,$A252,'FollowUps'!$H$2:$H$500,"open")))</x:f>
      </x:c>
      <x:c r="M252" s="19"/>
      <x:c r="N252" s="26"/>
      <x:c r="O252" s="19"/>
      <x:c r="P252" s="26"/>
      <x:c r="Q252" s="19"/>
      <x:c r="R252" s="26"/>
      <x:c r="S252" s="19"/>
      <x:c r="T252" s="19"/>
    </x:row>
    <x:row r="253">
      <x:c r="A253" s="19"/>
      <x:c r="B253" s="19"/>
      <x:c r="C253" s="19"/>
      <x:c r="D253" s="19"/>
      <x:c r="E253" s="19"/>
      <x:c r="F253" s="19"/>
      <x:c r="G253" s="19"/>
      <x:c r="H253" s="25"/>
      <x:c r="I253" s="112" t="str">
        <x:f>IF($A253="","",SUMIFS('PipelineStages'!$E$2:$E$100,'PipelineStages'!$A$2:$A$100,$E253,'PipelineStages'!$B$2:$B$100,$F253))</x:f>
      </x:c>
      <x:c r="J253" s="24"/>
      <x:c r="K253" s="19"/>
      <x:c r="L253" s="100" t="str">
        <x:f>IF($A253="","",IF(COUNTIFS('FollowUps'!$C$2:$C$500,$A253,'FollowUps'!$H$2:$H$500,"open")=0,"",MINIFS('FollowUps'!$E$2:$E$500,'FollowUps'!$C$2:$C$500,$A253,'FollowUps'!$H$2:$H$500,"open")))</x:f>
      </x:c>
      <x:c r="M253" s="19"/>
      <x:c r="N253" s="26"/>
      <x:c r="O253" s="19"/>
      <x:c r="P253" s="26"/>
      <x:c r="Q253" s="19"/>
      <x:c r="R253" s="26"/>
      <x:c r="S253" s="19"/>
      <x:c r="T253" s="19"/>
    </x:row>
    <x:row r="254">
      <x:c r="A254" s="19"/>
      <x:c r="B254" s="19"/>
      <x:c r="C254" s="19"/>
      <x:c r="D254" s="19"/>
      <x:c r="E254" s="19"/>
      <x:c r="F254" s="19"/>
      <x:c r="G254" s="19"/>
      <x:c r="H254" s="25"/>
      <x:c r="I254" s="112" t="str">
        <x:f>IF($A254="","",SUMIFS('PipelineStages'!$E$2:$E$100,'PipelineStages'!$A$2:$A$100,$E254,'PipelineStages'!$B$2:$B$100,$F254))</x:f>
      </x:c>
      <x:c r="J254" s="24"/>
      <x:c r="K254" s="19"/>
      <x:c r="L254" s="100" t="str">
        <x:f>IF($A254="","",IF(COUNTIFS('FollowUps'!$C$2:$C$500,$A254,'FollowUps'!$H$2:$H$500,"open")=0,"",MINIFS('FollowUps'!$E$2:$E$500,'FollowUps'!$C$2:$C$500,$A254,'FollowUps'!$H$2:$H$500,"open")))</x:f>
      </x:c>
      <x:c r="M254" s="19"/>
      <x:c r="N254" s="26"/>
      <x:c r="O254" s="19"/>
      <x:c r="P254" s="26"/>
      <x:c r="Q254" s="19"/>
      <x:c r="R254" s="26"/>
      <x:c r="S254" s="19"/>
      <x:c r="T254" s="19"/>
    </x:row>
    <x:row r="255">
      <x:c r="A255" s="19"/>
      <x:c r="B255" s="19"/>
      <x:c r="C255" s="19"/>
      <x:c r="D255" s="19"/>
      <x:c r="E255" s="19"/>
      <x:c r="F255" s="19"/>
      <x:c r="G255" s="19"/>
      <x:c r="H255" s="25"/>
      <x:c r="I255" s="112" t="str">
        <x:f>IF($A255="","",SUMIFS('PipelineStages'!$E$2:$E$100,'PipelineStages'!$A$2:$A$100,$E255,'PipelineStages'!$B$2:$B$100,$F255))</x:f>
      </x:c>
      <x:c r="J255" s="24"/>
      <x:c r="K255" s="19"/>
      <x:c r="L255" s="100" t="str">
        <x:f>IF($A255="","",IF(COUNTIFS('FollowUps'!$C$2:$C$500,$A255,'FollowUps'!$H$2:$H$500,"open")=0,"",MINIFS('FollowUps'!$E$2:$E$500,'FollowUps'!$C$2:$C$500,$A255,'FollowUps'!$H$2:$H$500,"open")))</x:f>
      </x:c>
      <x:c r="M255" s="19"/>
      <x:c r="N255" s="26"/>
      <x:c r="O255" s="19"/>
      <x:c r="P255" s="26"/>
      <x:c r="Q255" s="19"/>
      <x:c r="R255" s="26"/>
      <x:c r="S255" s="19"/>
      <x:c r="T255" s="19"/>
    </x:row>
    <x:row r="256">
      <x:c r="A256" s="19"/>
      <x:c r="B256" s="19"/>
      <x:c r="C256" s="19"/>
      <x:c r="D256" s="19"/>
      <x:c r="E256" s="19"/>
      <x:c r="F256" s="19"/>
      <x:c r="G256" s="19"/>
      <x:c r="H256" s="25"/>
      <x:c r="I256" s="112" t="str">
        <x:f>IF($A256="","",SUMIFS('PipelineStages'!$E$2:$E$100,'PipelineStages'!$A$2:$A$100,$E256,'PipelineStages'!$B$2:$B$100,$F256))</x:f>
      </x:c>
      <x:c r="J256" s="24"/>
      <x:c r="K256" s="19"/>
      <x:c r="L256" s="100" t="str">
        <x:f>IF($A256="","",IF(COUNTIFS('FollowUps'!$C$2:$C$500,$A256,'FollowUps'!$H$2:$H$500,"open")=0,"",MINIFS('FollowUps'!$E$2:$E$500,'FollowUps'!$C$2:$C$500,$A256,'FollowUps'!$H$2:$H$500,"open")))</x:f>
      </x:c>
      <x:c r="M256" s="19"/>
      <x:c r="N256" s="26"/>
      <x:c r="O256" s="19"/>
      <x:c r="P256" s="26"/>
      <x:c r="Q256" s="19"/>
      <x:c r="R256" s="26"/>
      <x:c r="S256" s="19"/>
      <x:c r="T256" s="19"/>
    </x:row>
    <x:row r="257">
      <x:c r="A257" s="19"/>
      <x:c r="B257" s="19"/>
      <x:c r="C257" s="19"/>
      <x:c r="D257" s="19"/>
      <x:c r="E257" s="19"/>
      <x:c r="F257" s="19"/>
      <x:c r="G257" s="19"/>
      <x:c r="H257" s="25"/>
      <x:c r="I257" s="112" t="str">
        <x:f>IF($A257="","",SUMIFS('PipelineStages'!$E$2:$E$100,'PipelineStages'!$A$2:$A$100,$E257,'PipelineStages'!$B$2:$B$100,$F257))</x:f>
      </x:c>
      <x:c r="J257" s="24"/>
      <x:c r="K257" s="19"/>
      <x:c r="L257" s="100" t="str">
        <x:f>IF($A257="","",IF(COUNTIFS('FollowUps'!$C$2:$C$500,$A257,'FollowUps'!$H$2:$H$500,"open")=0,"",MINIFS('FollowUps'!$E$2:$E$500,'FollowUps'!$C$2:$C$500,$A257,'FollowUps'!$H$2:$H$500,"open")))</x:f>
      </x:c>
      <x:c r="M257" s="19"/>
      <x:c r="N257" s="26"/>
      <x:c r="O257" s="19"/>
      <x:c r="P257" s="26"/>
      <x:c r="Q257" s="19"/>
      <x:c r="R257" s="26"/>
      <x:c r="S257" s="19"/>
      <x:c r="T257" s="19"/>
    </x:row>
    <x:row r="258">
      <x:c r="A258" s="19"/>
      <x:c r="B258" s="19"/>
      <x:c r="C258" s="19"/>
      <x:c r="D258" s="19"/>
      <x:c r="E258" s="19"/>
      <x:c r="F258" s="19"/>
      <x:c r="G258" s="19"/>
      <x:c r="H258" s="25"/>
      <x:c r="I258" s="112" t="str">
        <x:f>IF($A258="","",SUMIFS('PipelineStages'!$E$2:$E$100,'PipelineStages'!$A$2:$A$100,$E258,'PipelineStages'!$B$2:$B$100,$F258))</x:f>
      </x:c>
      <x:c r="J258" s="24"/>
      <x:c r="K258" s="19"/>
      <x:c r="L258" s="100" t="str">
        <x:f>IF($A258="","",IF(COUNTIFS('FollowUps'!$C$2:$C$500,$A258,'FollowUps'!$H$2:$H$500,"open")=0,"",MINIFS('FollowUps'!$E$2:$E$500,'FollowUps'!$C$2:$C$500,$A258,'FollowUps'!$H$2:$H$500,"open")))</x:f>
      </x:c>
      <x:c r="M258" s="19"/>
      <x:c r="N258" s="26"/>
      <x:c r="O258" s="19"/>
      <x:c r="P258" s="26"/>
      <x:c r="Q258" s="19"/>
      <x:c r="R258" s="26"/>
      <x:c r="S258" s="19"/>
      <x:c r="T258" s="19"/>
    </x:row>
    <x:row r="259">
      <x:c r="A259" s="19"/>
      <x:c r="B259" s="19"/>
      <x:c r="C259" s="19"/>
      <x:c r="D259" s="19"/>
      <x:c r="E259" s="19"/>
      <x:c r="F259" s="19"/>
      <x:c r="G259" s="19"/>
      <x:c r="H259" s="25"/>
      <x:c r="I259" s="112" t="str">
        <x:f>IF($A259="","",SUMIFS('PipelineStages'!$E$2:$E$100,'PipelineStages'!$A$2:$A$100,$E259,'PipelineStages'!$B$2:$B$100,$F259))</x:f>
      </x:c>
      <x:c r="J259" s="24"/>
      <x:c r="K259" s="19"/>
      <x:c r="L259" s="100" t="str">
        <x:f>IF($A259="","",IF(COUNTIFS('FollowUps'!$C$2:$C$500,$A259,'FollowUps'!$H$2:$H$500,"open")=0,"",MINIFS('FollowUps'!$E$2:$E$500,'FollowUps'!$C$2:$C$500,$A259,'FollowUps'!$H$2:$H$500,"open")))</x:f>
      </x:c>
      <x:c r="M259" s="19"/>
      <x:c r="N259" s="26"/>
      <x:c r="O259" s="19"/>
      <x:c r="P259" s="26"/>
      <x:c r="Q259" s="19"/>
      <x:c r="R259" s="26"/>
      <x:c r="S259" s="19"/>
      <x:c r="T259" s="19"/>
    </x:row>
    <x:row r="260">
      <x:c r="A260" s="19"/>
      <x:c r="B260" s="19"/>
      <x:c r="C260" s="19"/>
      <x:c r="D260" s="19"/>
      <x:c r="E260" s="19"/>
      <x:c r="F260" s="19"/>
      <x:c r="G260" s="19"/>
      <x:c r="H260" s="25"/>
      <x:c r="I260" s="112" t="str">
        <x:f>IF($A260="","",SUMIFS('PipelineStages'!$E$2:$E$100,'PipelineStages'!$A$2:$A$100,$E260,'PipelineStages'!$B$2:$B$100,$F260))</x:f>
      </x:c>
      <x:c r="J260" s="24"/>
      <x:c r="K260" s="19"/>
      <x:c r="L260" s="100" t="str">
        <x:f>IF($A260="","",IF(COUNTIFS('FollowUps'!$C$2:$C$500,$A260,'FollowUps'!$H$2:$H$500,"open")=0,"",MINIFS('FollowUps'!$E$2:$E$500,'FollowUps'!$C$2:$C$500,$A260,'FollowUps'!$H$2:$H$500,"open")))</x:f>
      </x:c>
      <x:c r="M260" s="19"/>
      <x:c r="N260" s="26"/>
      <x:c r="O260" s="19"/>
      <x:c r="P260" s="26"/>
      <x:c r="Q260" s="19"/>
      <x:c r="R260" s="26"/>
      <x:c r="S260" s="19"/>
      <x:c r="T260" s="19"/>
    </x:row>
    <x:row r="261">
      <x:c r="A261" s="19"/>
      <x:c r="B261" s="19"/>
      <x:c r="C261" s="19"/>
      <x:c r="D261" s="19"/>
      <x:c r="E261" s="19"/>
      <x:c r="F261" s="19"/>
      <x:c r="G261" s="19"/>
      <x:c r="H261" s="25"/>
      <x:c r="I261" s="112" t="str">
        <x:f>IF($A261="","",SUMIFS('PipelineStages'!$E$2:$E$100,'PipelineStages'!$A$2:$A$100,$E261,'PipelineStages'!$B$2:$B$100,$F261))</x:f>
      </x:c>
      <x:c r="J261" s="24"/>
      <x:c r="K261" s="19"/>
      <x:c r="L261" s="100" t="str">
        <x:f>IF($A261="","",IF(COUNTIFS('FollowUps'!$C$2:$C$500,$A261,'FollowUps'!$H$2:$H$500,"open")=0,"",MINIFS('FollowUps'!$E$2:$E$500,'FollowUps'!$C$2:$C$500,$A261,'FollowUps'!$H$2:$H$500,"open")))</x:f>
      </x:c>
      <x:c r="M261" s="19"/>
      <x:c r="N261" s="26"/>
      <x:c r="O261" s="19"/>
      <x:c r="P261" s="26"/>
      <x:c r="Q261" s="19"/>
      <x:c r="R261" s="26"/>
      <x:c r="S261" s="19"/>
      <x:c r="T261" s="19"/>
    </x:row>
    <x:row r="262">
      <x:c r="A262" s="19"/>
      <x:c r="B262" s="19"/>
      <x:c r="C262" s="19"/>
      <x:c r="D262" s="19"/>
      <x:c r="E262" s="19"/>
      <x:c r="F262" s="19"/>
      <x:c r="G262" s="19"/>
      <x:c r="H262" s="25"/>
      <x:c r="I262" s="112" t="str">
        <x:f>IF($A262="","",SUMIFS('PipelineStages'!$E$2:$E$100,'PipelineStages'!$A$2:$A$100,$E262,'PipelineStages'!$B$2:$B$100,$F262))</x:f>
      </x:c>
      <x:c r="J262" s="24"/>
      <x:c r="K262" s="19"/>
      <x:c r="L262" s="100" t="str">
        <x:f>IF($A262="","",IF(COUNTIFS('FollowUps'!$C$2:$C$500,$A262,'FollowUps'!$H$2:$H$500,"open")=0,"",MINIFS('FollowUps'!$E$2:$E$500,'FollowUps'!$C$2:$C$500,$A262,'FollowUps'!$H$2:$H$500,"open")))</x:f>
      </x:c>
      <x:c r="M262" s="19"/>
      <x:c r="N262" s="26"/>
      <x:c r="O262" s="19"/>
      <x:c r="P262" s="26"/>
      <x:c r="Q262" s="19"/>
      <x:c r="R262" s="26"/>
      <x:c r="S262" s="19"/>
      <x:c r="T262" s="19"/>
    </x:row>
    <x:row r="263">
      <x:c r="A263" s="19"/>
      <x:c r="B263" s="19"/>
      <x:c r="C263" s="19"/>
      <x:c r="D263" s="19"/>
      <x:c r="E263" s="19"/>
      <x:c r="F263" s="19"/>
      <x:c r="G263" s="19"/>
      <x:c r="H263" s="25"/>
      <x:c r="I263" s="112" t="str">
        <x:f>IF($A263="","",SUMIFS('PipelineStages'!$E$2:$E$100,'PipelineStages'!$A$2:$A$100,$E263,'PipelineStages'!$B$2:$B$100,$F263))</x:f>
      </x:c>
      <x:c r="J263" s="24"/>
      <x:c r="K263" s="19"/>
      <x:c r="L263" s="100" t="str">
        <x:f>IF($A263="","",IF(COUNTIFS('FollowUps'!$C$2:$C$500,$A263,'FollowUps'!$H$2:$H$500,"open")=0,"",MINIFS('FollowUps'!$E$2:$E$500,'FollowUps'!$C$2:$C$500,$A263,'FollowUps'!$H$2:$H$500,"open")))</x:f>
      </x:c>
      <x:c r="M263" s="19"/>
      <x:c r="N263" s="26"/>
      <x:c r="O263" s="19"/>
      <x:c r="P263" s="26"/>
      <x:c r="Q263" s="19"/>
      <x:c r="R263" s="26"/>
      <x:c r="S263" s="19"/>
      <x:c r="T263" s="19"/>
    </x:row>
    <x:row r="264">
      <x:c r="A264" s="19"/>
      <x:c r="B264" s="19"/>
      <x:c r="C264" s="19"/>
      <x:c r="D264" s="19"/>
      <x:c r="E264" s="19"/>
      <x:c r="F264" s="19"/>
      <x:c r="G264" s="19"/>
      <x:c r="H264" s="25"/>
      <x:c r="I264" s="112" t="str">
        <x:f>IF($A264="","",SUMIFS('PipelineStages'!$E$2:$E$100,'PipelineStages'!$A$2:$A$100,$E264,'PipelineStages'!$B$2:$B$100,$F264))</x:f>
      </x:c>
      <x:c r="J264" s="24"/>
      <x:c r="K264" s="19"/>
      <x:c r="L264" s="100" t="str">
        <x:f>IF($A264="","",IF(COUNTIFS('FollowUps'!$C$2:$C$500,$A264,'FollowUps'!$H$2:$H$500,"open")=0,"",MINIFS('FollowUps'!$E$2:$E$500,'FollowUps'!$C$2:$C$500,$A264,'FollowUps'!$H$2:$H$500,"open")))</x:f>
      </x:c>
      <x:c r="M264" s="19"/>
      <x:c r="N264" s="26"/>
      <x:c r="O264" s="19"/>
      <x:c r="P264" s="26"/>
      <x:c r="Q264" s="19"/>
      <x:c r="R264" s="26"/>
      <x:c r="S264" s="19"/>
      <x:c r="T264" s="19"/>
    </x:row>
    <x:row r="265">
      <x:c r="A265" s="19"/>
      <x:c r="B265" s="19"/>
      <x:c r="C265" s="19"/>
      <x:c r="D265" s="19"/>
      <x:c r="E265" s="19"/>
      <x:c r="F265" s="19"/>
      <x:c r="G265" s="19"/>
      <x:c r="H265" s="25"/>
      <x:c r="I265" s="112" t="str">
        <x:f>IF($A265="","",SUMIFS('PipelineStages'!$E$2:$E$100,'PipelineStages'!$A$2:$A$100,$E265,'PipelineStages'!$B$2:$B$100,$F265))</x:f>
      </x:c>
      <x:c r="J265" s="24"/>
      <x:c r="K265" s="19"/>
      <x:c r="L265" s="100" t="str">
        <x:f>IF($A265="","",IF(COUNTIFS('FollowUps'!$C$2:$C$500,$A265,'FollowUps'!$H$2:$H$500,"open")=0,"",MINIFS('FollowUps'!$E$2:$E$500,'FollowUps'!$C$2:$C$500,$A265,'FollowUps'!$H$2:$H$500,"open")))</x:f>
      </x:c>
      <x:c r="M265" s="19"/>
      <x:c r="N265" s="26"/>
      <x:c r="O265" s="19"/>
      <x:c r="P265" s="26"/>
      <x:c r="Q265" s="19"/>
      <x:c r="R265" s="26"/>
      <x:c r="S265" s="19"/>
      <x:c r="T265" s="19"/>
    </x:row>
    <x:row r="266">
      <x:c r="A266" s="19"/>
      <x:c r="B266" s="19"/>
      <x:c r="C266" s="19"/>
      <x:c r="D266" s="19"/>
      <x:c r="E266" s="19"/>
      <x:c r="F266" s="19"/>
      <x:c r="G266" s="19"/>
      <x:c r="H266" s="25"/>
      <x:c r="I266" s="112" t="str">
        <x:f>IF($A266="","",SUMIFS('PipelineStages'!$E$2:$E$100,'PipelineStages'!$A$2:$A$100,$E266,'PipelineStages'!$B$2:$B$100,$F266))</x:f>
      </x:c>
      <x:c r="J266" s="24"/>
      <x:c r="K266" s="19"/>
      <x:c r="L266" s="100" t="str">
        <x:f>IF($A266="","",IF(COUNTIFS('FollowUps'!$C$2:$C$500,$A266,'FollowUps'!$H$2:$H$500,"open")=0,"",MINIFS('FollowUps'!$E$2:$E$500,'FollowUps'!$C$2:$C$500,$A266,'FollowUps'!$H$2:$H$500,"open")))</x:f>
      </x:c>
      <x:c r="M266" s="19"/>
      <x:c r="N266" s="26"/>
      <x:c r="O266" s="19"/>
      <x:c r="P266" s="26"/>
      <x:c r="Q266" s="19"/>
      <x:c r="R266" s="26"/>
      <x:c r="S266" s="19"/>
      <x:c r="T266" s="19"/>
    </x:row>
    <x:row r="267">
      <x:c r="A267" s="19"/>
      <x:c r="B267" s="19"/>
      <x:c r="C267" s="19"/>
      <x:c r="D267" s="19"/>
      <x:c r="E267" s="19"/>
      <x:c r="F267" s="19"/>
      <x:c r="G267" s="19"/>
      <x:c r="H267" s="25"/>
      <x:c r="I267" s="112" t="str">
        <x:f>IF($A267="","",SUMIFS('PipelineStages'!$E$2:$E$100,'PipelineStages'!$A$2:$A$100,$E267,'PipelineStages'!$B$2:$B$100,$F267))</x:f>
      </x:c>
      <x:c r="J267" s="24"/>
      <x:c r="K267" s="19"/>
      <x:c r="L267" s="100" t="str">
        <x:f>IF($A267="","",IF(COUNTIFS('FollowUps'!$C$2:$C$500,$A267,'FollowUps'!$H$2:$H$500,"open")=0,"",MINIFS('FollowUps'!$E$2:$E$500,'FollowUps'!$C$2:$C$500,$A267,'FollowUps'!$H$2:$H$500,"open")))</x:f>
      </x:c>
      <x:c r="M267" s="19"/>
      <x:c r="N267" s="26"/>
      <x:c r="O267" s="19"/>
      <x:c r="P267" s="26"/>
      <x:c r="Q267" s="19"/>
      <x:c r="R267" s="26"/>
      <x:c r="S267" s="19"/>
      <x:c r="T267" s="19"/>
    </x:row>
    <x:row r="268">
      <x:c r="A268" s="19"/>
      <x:c r="B268" s="19"/>
      <x:c r="C268" s="19"/>
      <x:c r="D268" s="19"/>
      <x:c r="E268" s="19"/>
      <x:c r="F268" s="19"/>
      <x:c r="G268" s="19"/>
      <x:c r="H268" s="25"/>
      <x:c r="I268" s="112" t="str">
        <x:f>IF($A268="","",SUMIFS('PipelineStages'!$E$2:$E$100,'PipelineStages'!$A$2:$A$100,$E268,'PipelineStages'!$B$2:$B$100,$F268))</x:f>
      </x:c>
      <x:c r="J268" s="24"/>
      <x:c r="K268" s="19"/>
      <x:c r="L268" s="100" t="str">
        <x:f>IF($A268="","",IF(COUNTIFS('FollowUps'!$C$2:$C$500,$A268,'FollowUps'!$H$2:$H$500,"open")=0,"",MINIFS('FollowUps'!$E$2:$E$500,'FollowUps'!$C$2:$C$500,$A268,'FollowUps'!$H$2:$H$500,"open")))</x:f>
      </x:c>
      <x:c r="M268" s="19"/>
      <x:c r="N268" s="26"/>
      <x:c r="O268" s="19"/>
      <x:c r="P268" s="26"/>
      <x:c r="Q268" s="19"/>
      <x:c r="R268" s="26"/>
      <x:c r="S268" s="19"/>
      <x:c r="T268" s="19"/>
    </x:row>
    <x:row r="269">
      <x:c r="A269" s="19"/>
      <x:c r="B269" s="19"/>
      <x:c r="C269" s="19"/>
      <x:c r="D269" s="19"/>
      <x:c r="E269" s="19"/>
      <x:c r="F269" s="19"/>
      <x:c r="G269" s="19"/>
      <x:c r="H269" s="25"/>
      <x:c r="I269" s="112" t="str">
        <x:f>IF($A269="","",SUMIFS('PipelineStages'!$E$2:$E$100,'PipelineStages'!$A$2:$A$100,$E269,'PipelineStages'!$B$2:$B$100,$F269))</x:f>
      </x:c>
      <x:c r="J269" s="24"/>
      <x:c r="K269" s="19"/>
      <x:c r="L269" s="100" t="str">
        <x:f>IF($A269="","",IF(COUNTIFS('FollowUps'!$C$2:$C$500,$A269,'FollowUps'!$H$2:$H$500,"open")=0,"",MINIFS('FollowUps'!$E$2:$E$500,'FollowUps'!$C$2:$C$500,$A269,'FollowUps'!$H$2:$H$500,"open")))</x:f>
      </x:c>
      <x:c r="M269" s="19"/>
      <x:c r="N269" s="26"/>
      <x:c r="O269" s="19"/>
      <x:c r="P269" s="26"/>
      <x:c r="Q269" s="19"/>
      <x:c r="R269" s="26"/>
      <x:c r="S269" s="19"/>
      <x:c r="T269" s="19"/>
    </x:row>
    <x:row r="270">
      <x:c r="A270" s="19"/>
      <x:c r="B270" s="19"/>
      <x:c r="C270" s="19"/>
      <x:c r="D270" s="19"/>
      <x:c r="E270" s="19"/>
      <x:c r="F270" s="19"/>
      <x:c r="G270" s="19"/>
      <x:c r="H270" s="25"/>
      <x:c r="I270" s="112" t="str">
        <x:f>IF($A270="","",SUMIFS('PipelineStages'!$E$2:$E$100,'PipelineStages'!$A$2:$A$100,$E270,'PipelineStages'!$B$2:$B$100,$F270))</x:f>
      </x:c>
      <x:c r="J270" s="24"/>
      <x:c r="K270" s="19"/>
      <x:c r="L270" s="100" t="str">
        <x:f>IF($A270="","",IF(COUNTIFS('FollowUps'!$C$2:$C$500,$A270,'FollowUps'!$H$2:$H$500,"open")=0,"",MINIFS('FollowUps'!$E$2:$E$500,'FollowUps'!$C$2:$C$500,$A270,'FollowUps'!$H$2:$H$500,"open")))</x:f>
      </x:c>
      <x:c r="M270" s="19"/>
      <x:c r="N270" s="26"/>
      <x:c r="O270" s="19"/>
      <x:c r="P270" s="26"/>
      <x:c r="Q270" s="19"/>
      <x:c r="R270" s="26"/>
      <x:c r="S270" s="19"/>
      <x:c r="T270" s="19"/>
    </x:row>
    <x:row r="271">
      <x:c r="A271" s="19"/>
      <x:c r="B271" s="19"/>
      <x:c r="C271" s="19"/>
      <x:c r="D271" s="19"/>
      <x:c r="E271" s="19"/>
      <x:c r="F271" s="19"/>
      <x:c r="G271" s="19"/>
      <x:c r="H271" s="25"/>
      <x:c r="I271" s="112" t="str">
        <x:f>IF($A271="","",SUMIFS('PipelineStages'!$E$2:$E$100,'PipelineStages'!$A$2:$A$100,$E271,'PipelineStages'!$B$2:$B$100,$F271))</x:f>
      </x:c>
      <x:c r="J271" s="24"/>
      <x:c r="K271" s="19"/>
      <x:c r="L271" s="100" t="str">
        <x:f>IF($A271="","",IF(COUNTIFS('FollowUps'!$C$2:$C$500,$A271,'FollowUps'!$H$2:$H$500,"open")=0,"",MINIFS('FollowUps'!$E$2:$E$500,'FollowUps'!$C$2:$C$500,$A271,'FollowUps'!$H$2:$H$500,"open")))</x:f>
      </x:c>
      <x:c r="M271" s="19"/>
      <x:c r="N271" s="26"/>
      <x:c r="O271" s="19"/>
      <x:c r="P271" s="26"/>
      <x:c r="Q271" s="19"/>
      <x:c r="R271" s="26"/>
      <x:c r="S271" s="19"/>
      <x:c r="T271" s="19"/>
    </x:row>
    <x:row r="272">
      <x:c r="A272" s="19"/>
      <x:c r="B272" s="19"/>
      <x:c r="C272" s="19"/>
      <x:c r="D272" s="19"/>
      <x:c r="E272" s="19"/>
      <x:c r="F272" s="19"/>
      <x:c r="G272" s="19"/>
      <x:c r="H272" s="25"/>
      <x:c r="I272" s="112" t="str">
        <x:f>IF($A272="","",SUMIFS('PipelineStages'!$E$2:$E$100,'PipelineStages'!$A$2:$A$100,$E272,'PipelineStages'!$B$2:$B$100,$F272))</x:f>
      </x:c>
      <x:c r="J272" s="24"/>
      <x:c r="K272" s="19"/>
      <x:c r="L272" s="100" t="str">
        <x:f>IF($A272="","",IF(COUNTIFS('FollowUps'!$C$2:$C$500,$A272,'FollowUps'!$H$2:$H$500,"open")=0,"",MINIFS('FollowUps'!$E$2:$E$500,'FollowUps'!$C$2:$C$500,$A272,'FollowUps'!$H$2:$H$500,"open")))</x:f>
      </x:c>
      <x:c r="M272" s="19"/>
      <x:c r="N272" s="26"/>
      <x:c r="O272" s="19"/>
      <x:c r="P272" s="26"/>
      <x:c r="Q272" s="19"/>
      <x:c r="R272" s="26"/>
      <x:c r="S272" s="19"/>
      <x:c r="T272" s="19"/>
    </x:row>
    <x:row r="273">
      <x:c r="A273" s="19"/>
      <x:c r="B273" s="19"/>
      <x:c r="C273" s="19"/>
      <x:c r="D273" s="19"/>
      <x:c r="E273" s="19"/>
      <x:c r="F273" s="19"/>
      <x:c r="G273" s="19"/>
      <x:c r="H273" s="25"/>
      <x:c r="I273" s="112" t="str">
        <x:f>IF($A273="","",SUMIFS('PipelineStages'!$E$2:$E$100,'PipelineStages'!$A$2:$A$100,$E273,'PipelineStages'!$B$2:$B$100,$F273))</x:f>
      </x:c>
      <x:c r="J273" s="24"/>
      <x:c r="K273" s="19"/>
      <x:c r="L273" s="100" t="str">
        <x:f>IF($A273="","",IF(COUNTIFS('FollowUps'!$C$2:$C$500,$A273,'FollowUps'!$H$2:$H$500,"open")=0,"",MINIFS('FollowUps'!$E$2:$E$500,'FollowUps'!$C$2:$C$500,$A273,'FollowUps'!$H$2:$H$500,"open")))</x:f>
      </x:c>
      <x:c r="M273" s="19"/>
      <x:c r="N273" s="26"/>
      <x:c r="O273" s="19"/>
      <x:c r="P273" s="26"/>
      <x:c r="Q273" s="19"/>
      <x:c r="R273" s="26"/>
      <x:c r="S273" s="19"/>
      <x:c r="T273" s="19"/>
    </x:row>
    <x:row r="274">
      <x:c r="A274" s="19"/>
      <x:c r="B274" s="19"/>
      <x:c r="C274" s="19"/>
      <x:c r="D274" s="19"/>
      <x:c r="E274" s="19"/>
      <x:c r="F274" s="19"/>
      <x:c r="G274" s="19"/>
      <x:c r="H274" s="25"/>
      <x:c r="I274" s="112" t="str">
        <x:f>IF($A274="","",SUMIFS('PipelineStages'!$E$2:$E$100,'PipelineStages'!$A$2:$A$100,$E274,'PipelineStages'!$B$2:$B$100,$F274))</x:f>
      </x:c>
      <x:c r="J274" s="24"/>
      <x:c r="K274" s="19"/>
      <x:c r="L274" s="100" t="str">
        <x:f>IF($A274="","",IF(COUNTIFS('FollowUps'!$C$2:$C$500,$A274,'FollowUps'!$H$2:$H$500,"open")=0,"",MINIFS('FollowUps'!$E$2:$E$500,'FollowUps'!$C$2:$C$500,$A274,'FollowUps'!$H$2:$H$500,"open")))</x:f>
      </x:c>
      <x:c r="M274" s="19"/>
      <x:c r="N274" s="26"/>
      <x:c r="O274" s="19"/>
      <x:c r="P274" s="26"/>
      <x:c r="Q274" s="19"/>
      <x:c r="R274" s="26"/>
      <x:c r="S274" s="19"/>
      <x:c r="T274" s="19"/>
    </x:row>
    <x:row r="275">
      <x:c r="A275" s="19"/>
      <x:c r="B275" s="19"/>
      <x:c r="C275" s="19"/>
      <x:c r="D275" s="19"/>
      <x:c r="E275" s="19"/>
      <x:c r="F275" s="19"/>
      <x:c r="G275" s="19"/>
      <x:c r="H275" s="25"/>
      <x:c r="I275" s="112" t="str">
        <x:f>IF($A275="","",SUMIFS('PipelineStages'!$E$2:$E$100,'PipelineStages'!$A$2:$A$100,$E275,'PipelineStages'!$B$2:$B$100,$F275))</x:f>
      </x:c>
      <x:c r="J275" s="24"/>
      <x:c r="K275" s="19"/>
      <x:c r="L275" s="100" t="str">
        <x:f>IF($A275="","",IF(COUNTIFS('FollowUps'!$C$2:$C$500,$A275,'FollowUps'!$H$2:$H$500,"open")=0,"",MINIFS('FollowUps'!$E$2:$E$500,'FollowUps'!$C$2:$C$500,$A275,'FollowUps'!$H$2:$H$500,"open")))</x:f>
      </x:c>
      <x:c r="M275" s="19"/>
      <x:c r="N275" s="26"/>
      <x:c r="O275" s="19"/>
      <x:c r="P275" s="26"/>
      <x:c r="Q275" s="19"/>
      <x:c r="R275" s="26"/>
      <x:c r="S275" s="19"/>
      <x:c r="T275" s="19"/>
    </x:row>
    <x:row r="276">
      <x:c r="A276" s="19"/>
      <x:c r="B276" s="19"/>
      <x:c r="C276" s="19"/>
      <x:c r="D276" s="19"/>
      <x:c r="E276" s="19"/>
      <x:c r="F276" s="19"/>
      <x:c r="G276" s="19"/>
      <x:c r="H276" s="25"/>
      <x:c r="I276" s="112" t="str">
        <x:f>IF($A276="","",SUMIFS('PipelineStages'!$E$2:$E$100,'PipelineStages'!$A$2:$A$100,$E276,'PipelineStages'!$B$2:$B$100,$F276))</x:f>
      </x:c>
      <x:c r="J276" s="24"/>
      <x:c r="K276" s="19"/>
      <x:c r="L276" s="100" t="str">
        <x:f>IF($A276="","",IF(COUNTIFS('FollowUps'!$C$2:$C$500,$A276,'FollowUps'!$H$2:$H$500,"open")=0,"",MINIFS('FollowUps'!$E$2:$E$500,'FollowUps'!$C$2:$C$500,$A276,'FollowUps'!$H$2:$H$500,"open")))</x:f>
      </x:c>
      <x:c r="M276" s="19"/>
      <x:c r="N276" s="26"/>
      <x:c r="O276" s="19"/>
      <x:c r="P276" s="26"/>
      <x:c r="Q276" s="19"/>
      <x:c r="R276" s="26"/>
      <x:c r="S276" s="19"/>
      <x:c r="T276" s="19"/>
    </x:row>
    <x:row r="277">
      <x:c r="A277" s="19"/>
      <x:c r="B277" s="19"/>
      <x:c r="C277" s="19"/>
      <x:c r="D277" s="19"/>
      <x:c r="E277" s="19"/>
      <x:c r="F277" s="19"/>
      <x:c r="G277" s="19"/>
      <x:c r="H277" s="25"/>
      <x:c r="I277" s="112" t="str">
        <x:f>IF($A277="","",SUMIFS('PipelineStages'!$E$2:$E$100,'PipelineStages'!$A$2:$A$100,$E277,'PipelineStages'!$B$2:$B$100,$F277))</x:f>
      </x:c>
      <x:c r="J277" s="24"/>
      <x:c r="K277" s="19"/>
      <x:c r="L277" s="100" t="str">
        <x:f>IF($A277="","",IF(COUNTIFS('FollowUps'!$C$2:$C$500,$A277,'FollowUps'!$H$2:$H$500,"open")=0,"",MINIFS('FollowUps'!$E$2:$E$500,'FollowUps'!$C$2:$C$500,$A277,'FollowUps'!$H$2:$H$500,"open")))</x:f>
      </x:c>
      <x:c r="M277" s="19"/>
      <x:c r="N277" s="26"/>
      <x:c r="O277" s="19"/>
      <x:c r="P277" s="26"/>
      <x:c r="Q277" s="19"/>
      <x:c r="R277" s="26"/>
      <x:c r="S277" s="19"/>
      <x:c r="T277" s="19"/>
    </x:row>
    <x:row r="278">
      <x:c r="A278" s="19"/>
      <x:c r="B278" s="19"/>
      <x:c r="C278" s="19"/>
      <x:c r="D278" s="19"/>
      <x:c r="E278" s="19"/>
      <x:c r="F278" s="19"/>
      <x:c r="G278" s="19"/>
      <x:c r="H278" s="25"/>
      <x:c r="I278" s="112" t="str">
        <x:f>IF($A278="","",SUMIFS('PipelineStages'!$E$2:$E$100,'PipelineStages'!$A$2:$A$100,$E278,'PipelineStages'!$B$2:$B$100,$F278))</x:f>
      </x:c>
      <x:c r="J278" s="24"/>
      <x:c r="K278" s="19"/>
      <x:c r="L278" s="100" t="str">
        <x:f>IF($A278="","",IF(COUNTIFS('FollowUps'!$C$2:$C$500,$A278,'FollowUps'!$H$2:$H$500,"open")=0,"",MINIFS('FollowUps'!$E$2:$E$500,'FollowUps'!$C$2:$C$500,$A278,'FollowUps'!$H$2:$H$500,"open")))</x:f>
      </x:c>
      <x:c r="M278" s="19"/>
      <x:c r="N278" s="26"/>
      <x:c r="O278" s="19"/>
      <x:c r="P278" s="26"/>
      <x:c r="Q278" s="19"/>
      <x:c r="R278" s="26"/>
      <x:c r="S278" s="19"/>
      <x:c r="T278" s="19"/>
    </x:row>
    <x:row r="279">
      <x:c r="A279" s="19"/>
      <x:c r="B279" s="19"/>
      <x:c r="C279" s="19"/>
      <x:c r="D279" s="19"/>
      <x:c r="E279" s="19"/>
      <x:c r="F279" s="19"/>
      <x:c r="G279" s="19"/>
      <x:c r="H279" s="25"/>
      <x:c r="I279" s="112" t="str">
        <x:f>IF($A279="","",SUMIFS('PipelineStages'!$E$2:$E$100,'PipelineStages'!$A$2:$A$100,$E279,'PipelineStages'!$B$2:$B$100,$F279))</x:f>
      </x:c>
      <x:c r="J279" s="24"/>
      <x:c r="K279" s="19"/>
      <x:c r="L279" s="100" t="str">
        <x:f>IF($A279="","",IF(COUNTIFS('FollowUps'!$C$2:$C$500,$A279,'FollowUps'!$H$2:$H$500,"open")=0,"",MINIFS('FollowUps'!$E$2:$E$500,'FollowUps'!$C$2:$C$500,$A279,'FollowUps'!$H$2:$H$500,"open")))</x:f>
      </x:c>
      <x:c r="M279" s="19"/>
      <x:c r="N279" s="26"/>
      <x:c r="O279" s="19"/>
      <x:c r="P279" s="26"/>
      <x:c r="Q279" s="19"/>
      <x:c r="R279" s="26"/>
      <x:c r="S279" s="19"/>
      <x:c r="T279" s="19"/>
    </x:row>
    <x:row r="280">
      <x:c r="A280" s="19"/>
      <x:c r="B280" s="19"/>
      <x:c r="C280" s="19"/>
      <x:c r="D280" s="19"/>
      <x:c r="E280" s="19"/>
      <x:c r="F280" s="19"/>
      <x:c r="G280" s="19"/>
      <x:c r="H280" s="25"/>
      <x:c r="I280" s="112" t="str">
        <x:f>IF($A280="","",SUMIFS('PipelineStages'!$E$2:$E$100,'PipelineStages'!$A$2:$A$100,$E280,'PipelineStages'!$B$2:$B$100,$F280))</x:f>
      </x:c>
      <x:c r="J280" s="24"/>
      <x:c r="K280" s="19"/>
      <x:c r="L280" s="100" t="str">
        <x:f>IF($A280="","",IF(COUNTIFS('FollowUps'!$C$2:$C$500,$A280,'FollowUps'!$H$2:$H$500,"open")=0,"",MINIFS('FollowUps'!$E$2:$E$500,'FollowUps'!$C$2:$C$500,$A280,'FollowUps'!$H$2:$H$500,"open")))</x:f>
      </x:c>
      <x:c r="M280" s="19"/>
      <x:c r="N280" s="26"/>
      <x:c r="O280" s="19"/>
      <x:c r="P280" s="26"/>
      <x:c r="Q280" s="19"/>
      <x:c r="R280" s="26"/>
      <x:c r="S280" s="19"/>
      <x:c r="T280" s="19"/>
    </x:row>
    <x:row r="281">
      <x:c r="A281" s="19"/>
      <x:c r="B281" s="19"/>
      <x:c r="C281" s="19"/>
      <x:c r="D281" s="19"/>
      <x:c r="E281" s="19"/>
      <x:c r="F281" s="19"/>
      <x:c r="G281" s="19"/>
      <x:c r="H281" s="25"/>
      <x:c r="I281" s="112" t="str">
        <x:f>IF($A281="","",SUMIFS('PipelineStages'!$E$2:$E$100,'PipelineStages'!$A$2:$A$100,$E281,'PipelineStages'!$B$2:$B$100,$F281))</x:f>
      </x:c>
      <x:c r="J281" s="24"/>
      <x:c r="K281" s="19"/>
      <x:c r="L281" s="100" t="str">
        <x:f>IF($A281="","",IF(COUNTIFS('FollowUps'!$C$2:$C$500,$A281,'FollowUps'!$H$2:$H$500,"open")=0,"",MINIFS('FollowUps'!$E$2:$E$500,'FollowUps'!$C$2:$C$500,$A281,'FollowUps'!$H$2:$H$500,"open")))</x:f>
      </x:c>
      <x:c r="M281" s="19"/>
      <x:c r="N281" s="26"/>
      <x:c r="O281" s="19"/>
      <x:c r="P281" s="26"/>
      <x:c r="Q281" s="19"/>
      <x:c r="R281" s="26"/>
      <x:c r="S281" s="19"/>
      <x:c r="T281" s="19"/>
    </x:row>
    <x:row r="282">
      <x:c r="A282" s="19"/>
      <x:c r="B282" s="19"/>
      <x:c r="C282" s="19"/>
      <x:c r="D282" s="19"/>
      <x:c r="E282" s="19"/>
      <x:c r="F282" s="19"/>
      <x:c r="G282" s="19"/>
      <x:c r="H282" s="25"/>
      <x:c r="I282" s="112" t="str">
        <x:f>IF($A282="","",SUMIFS('PipelineStages'!$E$2:$E$100,'PipelineStages'!$A$2:$A$100,$E282,'PipelineStages'!$B$2:$B$100,$F282))</x:f>
      </x:c>
      <x:c r="J282" s="24"/>
      <x:c r="K282" s="19"/>
      <x:c r="L282" s="100" t="str">
        <x:f>IF($A282="","",IF(COUNTIFS('FollowUps'!$C$2:$C$500,$A282,'FollowUps'!$H$2:$H$500,"open")=0,"",MINIFS('FollowUps'!$E$2:$E$500,'FollowUps'!$C$2:$C$500,$A282,'FollowUps'!$H$2:$H$500,"open")))</x:f>
      </x:c>
      <x:c r="M282" s="19"/>
      <x:c r="N282" s="26"/>
      <x:c r="O282" s="19"/>
      <x:c r="P282" s="26"/>
      <x:c r="Q282" s="19"/>
      <x:c r="R282" s="26"/>
      <x:c r="S282" s="19"/>
      <x:c r="T282" s="19"/>
    </x:row>
    <x:row r="283">
      <x:c r="A283" s="19"/>
      <x:c r="B283" s="19"/>
      <x:c r="C283" s="19"/>
      <x:c r="D283" s="19"/>
      <x:c r="E283" s="19"/>
      <x:c r="F283" s="19"/>
      <x:c r="G283" s="19"/>
      <x:c r="H283" s="25"/>
      <x:c r="I283" s="112" t="str">
        <x:f>IF($A283="","",SUMIFS('PipelineStages'!$E$2:$E$100,'PipelineStages'!$A$2:$A$100,$E283,'PipelineStages'!$B$2:$B$100,$F283))</x:f>
      </x:c>
      <x:c r="J283" s="24"/>
      <x:c r="K283" s="19"/>
      <x:c r="L283" s="100" t="str">
        <x:f>IF($A283="","",IF(COUNTIFS('FollowUps'!$C$2:$C$500,$A283,'FollowUps'!$H$2:$H$500,"open")=0,"",MINIFS('FollowUps'!$E$2:$E$500,'FollowUps'!$C$2:$C$500,$A283,'FollowUps'!$H$2:$H$500,"open")))</x:f>
      </x:c>
      <x:c r="M283" s="19"/>
      <x:c r="N283" s="26"/>
      <x:c r="O283" s="19"/>
      <x:c r="P283" s="26"/>
      <x:c r="Q283" s="19"/>
      <x:c r="R283" s="26"/>
      <x:c r="S283" s="19"/>
      <x:c r="T283" s="19"/>
    </x:row>
    <x:row r="284">
      <x:c r="A284" s="19"/>
      <x:c r="B284" s="19"/>
      <x:c r="C284" s="19"/>
      <x:c r="D284" s="19"/>
      <x:c r="E284" s="19"/>
      <x:c r="F284" s="19"/>
      <x:c r="G284" s="19"/>
      <x:c r="H284" s="25"/>
      <x:c r="I284" s="112" t="str">
        <x:f>IF($A284="","",SUMIFS('PipelineStages'!$E$2:$E$100,'PipelineStages'!$A$2:$A$100,$E284,'PipelineStages'!$B$2:$B$100,$F284))</x:f>
      </x:c>
      <x:c r="J284" s="24"/>
      <x:c r="K284" s="19"/>
      <x:c r="L284" s="100" t="str">
        <x:f>IF($A284="","",IF(COUNTIFS('FollowUps'!$C$2:$C$500,$A284,'FollowUps'!$H$2:$H$500,"open")=0,"",MINIFS('FollowUps'!$E$2:$E$500,'FollowUps'!$C$2:$C$500,$A284,'FollowUps'!$H$2:$H$500,"open")))</x:f>
      </x:c>
      <x:c r="M284" s="19"/>
      <x:c r="N284" s="26"/>
      <x:c r="O284" s="19"/>
      <x:c r="P284" s="26"/>
      <x:c r="Q284" s="19"/>
      <x:c r="R284" s="26"/>
      <x:c r="S284" s="19"/>
      <x:c r="T284" s="19"/>
    </x:row>
    <x:row r="285">
      <x:c r="A285" s="19"/>
      <x:c r="B285" s="19"/>
      <x:c r="C285" s="19"/>
      <x:c r="D285" s="19"/>
      <x:c r="E285" s="19"/>
      <x:c r="F285" s="19"/>
      <x:c r="G285" s="19"/>
      <x:c r="H285" s="25"/>
      <x:c r="I285" s="112" t="str">
        <x:f>IF($A285="","",SUMIFS('PipelineStages'!$E$2:$E$100,'PipelineStages'!$A$2:$A$100,$E285,'PipelineStages'!$B$2:$B$100,$F285))</x:f>
      </x:c>
      <x:c r="J285" s="24"/>
      <x:c r="K285" s="19"/>
      <x:c r="L285" s="100" t="str">
        <x:f>IF($A285="","",IF(COUNTIFS('FollowUps'!$C$2:$C$500,$A285,'FollowUps'!$H$2:$H$500,"open")=0,"",MINIFS('FollowUps'!$E$2:$E$500,'FollowUps'!$C$2:$C$500,$A285,'FollowUps'!$H$2:$H$500,"open")))</x:f>
      </x:c>
      <x:c r="M285" s="19"/>
      <x:c r="N285" s="26"/>
      <x:c r="O285" s="19"/>
      <x:c r="P285" s="26"/>
      <x:c r="Q285" s="19"/>
      <x:c r="R285" s="26"/>
      <x:c r="S285" s="19"/>
      <x:c r="T285" s="19"/>
    </x:row>
    <x:row r="286">
      <x:c r="A286" s="19"/>
      <x:c r="B286" s="19"/>
      <x:c r="C286" s="19"/>
      <x:c r="D286" s="19"/>
      <x:c r="E286" s="19"/>
      <x:c r="F286" s="19"/>
      <x:c r="G286" s="19"/>
      <x:c r="H286" s="25"/>
      <x:c r="I286" s="112" t="str">
        <x:f>IF($A286="","",SUMIFS('PipelineStages'!$E$2:$E$100,'PipelineStages'!$A$2:$A$100,$E286,'PipelineStages'!$B$2:$B$100,$F286))</x:f>
      </x:c>
      <x:c r="J286" s="24"/>
      <x:c r="K286" s="19"/>
      <x:c r="L286" s="100" t="str">
        <x:f>IF($A286="","",IF(COUNTIFS('FollowUps'!$C$2:$C$500,$A286,'FollowUps'!$H$2:$H$500,"open")=0,"",MINIFS('FollowUps'!$E$2:$E$500,'FollowUps'!$C$2:$C$500,$A286,'FollowUps'!$H$2:$H$500,"open")))</x:f>
      </x:c>
      <x:c r="M286" s="19"/>
      <x:c r="N286" s="26"/>
      <x:c r="O286" s="19"/>
      <x:c r="P286" s="26"/>
      <x:c r="Q286" s="19"/>
      <x:c r="R286" s="26"/>
      <x:c r="S286" s="19"/>
      <x:c r="T286" s="19"/>
    </x:row>
    <x:row r="287">
      <x:c r="A287" s="19"/>
      <x:c r="B287" s="19"/>
      <x:c r="C287" s="19"/>
      <x:c r="D287" s="19"/>
      <x:c r="E287" s="19"/>
      <x:c r="F287" s="19"/>
      <x:c r="G287" s="19"/>
      <x:c r="H287" s="25"/>
      <x:c r="I287" s="112" t="str">
        <x:f>IF($A287="","",SUMIFS('PipelineStages'!$E$2:$E$100,'PipelineStages'!$A$2:$A$100,$E287,'PipelineStages'!$B$2:$B$100,$F287))</x:f>
      </x:c>
      <x:c r="J287" s="24"/>
      <x:c r="K287" s="19"/>
      <x:c r="L287" s="100" t="str">
        <x:f>IF($A287="","",IF(COUNTIFS('FollowUps'!$C$2:$C$500,$A287,'FollowUps'!$H$2:$H$500,"open")=0,"",MINIFS('FollowUps'!$E$2:$E$500,'FollowUps'!$C$2:$C$500,$A287,'FollowUps'!$H$2:$H$500,"open")))</x:f>
      </x:c>
      <x:c r="M287" s="19"/>
      <x:c r="N287" s="26"/>
      <x:c r="O287" s="19"/>
      <x:c r="P287" s="26"/>
      <x:c r="Q287" s="19"/>
      <x:c r="R287" s="26"/>
      <x:c r="S287" s="19"/>
      <x:c r="T287" s="19"/>
    </x:row>
    <x:row r="288">
      <x:c r="A288" s="19"/>
      <x:c r="B288" s="19"/>
      <x:c r="C288" s="19"/>
      <x:c r="D288" s="19"/>
      <x:c r="E288" s="19"/>
      <x:c r="F288" s="19"/>
      <x:c r="G288" s="19"/>
      <x:c r="H288" s="25"/>
      <x:c r="I288" s="112" t="str">
        <x:f>IF($A288="","",SUMIFS('PipelineStages'!$E$2:$E$100,'PipelineStages'!$A$2:$A$100,$E288,'PipelineStages'!$B$2:$B$100,$F288))</x:f>
      </x:c>
      <x:c r="J288" s="24"/>
      <x:c r="K288" s="19"/>
      <x:c r="L288" s="100" t="str">
        <x:f>IF($A288="","",IF(COUNTIFS('FollowUps'!$C$2:$C$500,$A288,'FollowUps'!$H$2:$H$500,"open")=0,"",MINIFS('FollowUps'!$E$2:$E$500,'FollowUps'!$C$2:$C$500,$A288,'FollowUps'!$H$2:$H$500,"open")))</x:f>
      </x:c>
      <x:c r="M288" s="19"/>
      <x:c r="N288" s="26"/>
      <x:c r="O288" s="19"/>
      <x:c r="P288" s="26"/>
      <x:c r="Q288" s="19"/>
      <x:c r="R288" s="26"/>
      <x:c r="S288" s="19"/>
      <x:c r="T288" s="19"/>
    </x:row>
    <x:row r="289">
      <x:c r="A289" s="19"/>
      <x:c r="B289" s="19"/>
      <x:c r="C289" s="19"/>
      <x:c r="D289" s="19"/>
      <x:c r="E289" s="19"/>
      <x:c r="F289" s="19"/>
      <x:c r="G289" s="19"/>
      <x:c r="H289" s="25"/>
      <x:c r="I289" s="112" t="str">
        <x:f>IF($A289="","",SUMIFS('PipelineStages'!$E$2:$E$100,'PipelineStages'!$A$2:$A$100,$E289,'PipelineStages'!$B$2:$B$100,$F289))</x:f>
      </x:c>
      <x:c r="J289" s="24"/>
      <x:c r="K289" s="19"/>
      <x:c r="L289" s="100" t="str">
        <x:f>IF($A289="","",IF(COUNTIFS('FollowUps'!$C$2:$C$500,$A289,'FollowUps'!$H$2:$H$500,"open")=0,"",MINIFS('FollowUps'!$E$2:$E$500,'FollowUps'!$C$2:$C$500,$A289,'FollowUps'!$H$2:$H$500,"open")))</x:f>
      </x:c>
      <x:c r="M289" s="19"/>
      <x:c r="N289" s="26"/>
      <x:c r="O289" s="19"/>
      <x:c r="P289" s="26"/>
      <x:c r="Q289" s="19"/>
      <x:c r="R289" s="26"/>
      <x:c r="S289" s="19"/>
      <x:c r="T289" s="19"/>
    </x:row>
    <x:row r="290">
      <x:c r="A290" s="19"/>
      <x:c r="B290" s="19"/>
      <x:c r="C290" s="19"/>
      <x:c r="D290" s="19"/>
      <x:c r="E290" s="19"/>
      <x:c r="F290" s="19"/>
      <x:c r="G290" s="19"/>
      <x:c r="H290" s="25"/>
      <x:c r="I290" s="112" t="str">
        <x:f>IF($A290="","",SUMIFS('PipelineStages'!$E$2:$E$100,'PipelineStages'!$A$2:$A$100,$E290,'PipelineStages'!$B$2:$B$100,$F290))</x:f>
      </x:c>
      <x:c r="J290" s="24"/>
      <x:c r="K290" s="19"/>
      <x:c r="L290" s="100" t="str">
        <x:f>IF($A290="","",IF(COUNTIFS('FollowUps'!$C$2:$C$500,$A290,'FollowUps'!$H$2:$H$500,"open")=0,"",MINIFS('FollowUps'!$E$2:$E$500,'FollowUps'!$C$2:$C$500,$A290,'FollowUps'!$H$2:$H$500,"open")))</x:f>
      </x:c>
      <x:c r="M290" s="19"/>
      <x:c r="N290" s="26"/>
      <x:c r="O290" s="19"/>
      <x:c r="P290" s="26"/>
      <x:c r="Q290" s="19"/>
      <x:c r="R290" s="26"/>
      <x:c r="S290" s="19"/>
      <x:c r="T290" s="19"/>
    </x:row>
    <x:row r="291">
      <x:c r="A291" s="19"/>
      <x:c r="B291" s="19"/>
      <x:c r="C291" s="19"/>
      <x:c r="D291" s="19"/>
      <x:c r="E291" s="19"/>
      <x:c r="F291" s="19"/>
      <x:c r="G291" s="19"/>
      <x:c r="H291" s="25"/>
      <x:c r="I291" s="112" t="str">
        <x:f>IF($A291="","",SUMIFS('PipelineStages'!$E$2:$E$100,'PipelineStages'!$A$2:$A$100,$E291,'PipelineStages'!$B$2:$B$100,$F291))</x:f>
      </x:c>
      <x:c r="J291" s="24"/>
      <x:c r="K291" s="19"/>
      <x:c r="L291" s="100" t="str">
        <x:f>IF($A291="","",IF(COUNTIFS('FollowUps'!$C$2:$C$500,$A291,'FollowUps'!$H$2:$H$500,"open")=0,"",MINIFS('FollowUps'!$E$2:$E$500,'FollowUps'!$C$2:$C$500,$A291,'FollowUps'!$H$2:$H$500,"open")))</x:f>
      </x:c>
      <x:c r="M291" s="19"/>
      <x:c r="N291" s="26"/>
      <x:c r="O291" s="19"/>
      <x:c r="P291" s="26"/>
      <x:c r="Q291" s="19"/>
      <x:c r="R291" s="26"/>
      <x:c r="S291" s="19"/>
      <x:c r="T291" s="19"/>
    </x:row>
    <x:row r="292">
      <x:c r="A292" s="19"/>
      <x:c r="B292" s="19"/>
      <x:c r="C292" s="19"/>
      <x:c r="D292" s="19"/>
      <x:c r="E292" s="19"/>
      <x:c r="F292" s="19"/>
      <x:c r="G292" s="19"/>
      <x:c r="H292" s="25"/>
      <x:c r="I292" s="112" t="str">
        <x:f>IF($A292="","",SUMIFS('PipelineStages'!$E$2:$E$100,'PipelineStages'!$A$2:$A$100,$E292,'PipelineStages'!$B$2:$B$100,$F292))</x:f>
      </x:c>
      <x:c r="J292" s="24"/>
      <x:c r="K292" s="19"/>
      <x:c r="L292" s="100" t="str">
        <x:f>IF($A292="","",IF(COUNTIFS('FollowUps'!$C$2:$C$500,$A292,'FollowUps'!$H$2:$H$500,"open")=0,"",MINIFS('FollowUps'!$E$2:$E$500,'FollowUps'!$C$2:$C$500,$A292,'FollowUps'!$H$2:$H$500,"open")))</x:f>
      </x:c>
      <x:c r="M292" s="19"/>
      <x:c r="N292" s="26"/>
      <x:c r="O292" s="19"/>
      <x:c r="P292" s="26"/>
      <x:c r="Q292" s="19"/>
      <x:c r="R292" s="26"/>
      <x:c r="S292" s="19"/>
      <x:c r="T292" s="19"/>
    </x:row>
    <x:row r="293">
      <x:c r="A293" s="19"/>
      <x:c r="B293" s="19"/>
      <x:c r="C293" s="19"/>
      <x:c r="D293" s="19"/>
      <x:c r="E293" s="19"/>
      <x:c r="F293" s="19"/>
      <x:c r="G293" s="19"/>
      <x:c r="H293" s="25"/>
      <x:c r="I293" s="112" t="str">
        <x:f>IF($A293="","",SUMIFS('PipelineStages'!$E$2:$E$100,'PipelineStages'!$A$2:$A$100,$E293,'PipelineStages'!$B$2:$B$100,$F293))</x:f>
      </x:c>
      <x:c r="J293" s="24"/>
      <x:c r="K293" s="19"/>
      <x:c r="L293" s="100" t="str">
        <x:f>IF($A293="","",IF(COUNTIFS('FollowUps'!$C$2:$C$500,$A293,'FollowUps'!$H$2:$H$500,"open")=0,"",MINIFS('FollowUps'!$E$2:$E$500,'FollowUps'!$C$2:$C$500,$A293,'FollowUps'!$H$2:$H$500,"open")))</x:f>
      </x:c>
      <x:c r="M293" s="19"/>
      <x:c r="N293" s="26"/>
      <x:c r="O293" s="19"/>
      <x:c r="P293" s="26"/>
      <x:c r="Q293" s="19"/>
      <x:c r="R293" s="26"/>
      <x:c r="S293" s="19"/>
      <x:c r="T293" s="19"/>
    </x:row>
    <x:row r="294">
      <x:c r="A294" s="19"/>
      <x:c r="B294" s="19"/>
      <x:c r="C294" s="19"/>
      <x:c r="D294" s="19"/>
      <x:c r="E294" s="19"/>
      <x:c r="F294" s="19"/>
      <x:c r="G294" s="19"/>
      <x:c r="H294" s="25"/>
      <x:c r="I294" s="112" t="str">
        <x:f>IF($A294="","",SUMIFS('PipelineStages'!$E$2:$E$100,'PipelineStages'!$A$2:$A$100,$E294,'PipelineStages'!$B$2:$B$100,$F294))</x:f>
      </x:c>
      <x:c r="J294" s="24"/>
      <x:c r="K294" s="19"/>
      <x:c r="L294" s="100" t="str">
        <x:f>IF($A294="","",IF(COUNTIFS('FollowUps'!$C$2:$C$500,$A294,'FollowUps'!$H$2:$H$500,"open")=0,"",MINIFS('FollowUps'!$E$2:$E$500,'FollowUps'!$C$2:$C$500,$A294,'FollowUps'!$H$2:$H$500,"open")))</x:f>
      </x:c>
      <x:c r="M294" s="19"/>
      <x:c r="N294" s="26"/>
      <x:c r="O294" s="19"/>
      <x:c r="P294" s="26"/>
      <x:c r="Q294" s="19"/>
      <x:c r="R294" s="26"/>
      <x:c r="S294" s="19"/>
      <x:c r="T294" s="19"/>
    </x:row>
    <x:row r="295">
      <x:c r="A295" s="19"/>
      <x:c r="B295" s="19"/>
      <x:c r="C295" s="19"/>
      <x:c r="D295" s="19"/>
      <x:c r="E295" s="19"/>
      <x:c r="F295" s="19"/>
      <x:c r="G295" s="19"/>
      <x:c r="H295" s="25"/>
      <x:c r="I295" s="112" t="str">
        <x:f>IF($A295="","",SUMIFS('PipelineStages'!$E$2:$E$100,'PipelineStages'!$A$2:$A$100,$E295,'PipelineStages'!$B$2:$B$100,$F295))</x:f>
      </x:c>
      <x:c r="J295" s="24"/>
      <x:c r="K295" s="19"/>
      <x:c r="L295" s="100" t="str">
        <x:f>IF($A295="","",IF(COUNTIFS('FollowUps'!$C$2:$C$500,$A295,'FollowUps'!$H$2:$H$500,"open")=0,"",MINIFS('FollowUps'!$E$2:$E$500,'FollowUps'!$C$2:$C$500,$A295,'FollowUps'!$H$2:$H$500,"open")))</x:f>
      </x:c>
      <x:c r="M295" s="19"/>
      <x:c r="N295" s="26"/>
      <x:c r="O295" s="19"/>
      <x:c r="P295" s="26"/>
      <x:c r="Q295" s="19"/>
      <x:c r="R295" s="26"/>
      <x:c r="S295" s="19"/>
      <x:c r="T295" s="19"/>
    </x:row>
    <x:row r="296">
      <x:c r="A296" s="19"/>
      <x:c r="B296" s="19"/>
      <x:c r="C296" s="19"/>
      <x:c r="D296" s="19"/>
      <x:c r="E296" s="19"/>
      <x:c r="F296" s="19"/>
      <x:c r="G296" s="19"/>
      <x:c r="H296" s="25"/>
      <x:c r="I296" s="112" t="str">
        <x:f>IF($A296="","",SUMIFS('PipelineStages'!$E$2:$E$100,'PipelineStages'!$A$2:$A$100,$E296,'PipelineStages'!$B$2:$B$100,$F296))</x:f>
      </x:c>
      <x:c r="J296" s="24"/>
      <x:c r="K296" s="19"/>
      <x:c r="L296" s="100" t="str">
        <x:f>IF($A296="","",IF(COUNTIFS('FollowUps'!$C$2:$C$500,$A296,'FollowUps'!$H$2:$H$500,"open")=0,"",MINIFS('FollowUps'!$E$2:$E$500,'FollowUps'!$C$2:$C$500,$A296,'FollowUps'!$H$2:$H$500,"open")))</x:f>
      </x:c>
      <x:c r="M296" s="19"/>
      <x:c r="N296" s="26"/>
      <x:c r="O296" s="19"/>
      <x:c r="P296" s="26"/>
      <x:c r="Q296" s="19"/>
      <x:c r="R296" s="26"/>
      <x:c r="S296" s="19"/>
      <x:c r="T296" s="19"/>
    </x:row>
    <x:row r="297">
      <x:c r="A297" s="19"/>
      <x:c r="B297" s="19"/>
      <x:c r="C297" s="19"/>
      <x:c r="D297" s="19"/>
      <x:c r="E297" s="19"/>
      <x:c r="F297" s="19"/>
      <x:c r="G297" s="19"/>
      <x:c r="H297" s="25"/>
      <x:c r="I297" s="112" t="str">
        <x:f>IF($A297="","",SUMIFS('PipelineStages'!$E$2:$E$100,'PipelineStages'!$A$2:$A$100,$E297,'PipelineStages'!$B$2:$B$100,$F297))</x:f>
      </x:c>
      <x:c r="J297" s="24"/>
      <x:c r="K297" s="19"/>
      <x:c r="L297" s="100" t="str">
        <x:f>IF($A297="","",IF(COUNTIFS('FollowUps'!$C$2:$C$500,$A297,'FollowUps'!$H$2:$H$500,"open")=0,"",MINIFS('FollowUps'!$E$2:$E$500,'FollowUps'!$C$2:$C$500,$A297,'FollowUps'!$H$2:$H$500,"open")))</x:f>
      </x:c>
      <x:c r="M297" s="19"/>
      <x:c r="N297" s="26"/>
      <x:c r="O297" s="19"/>
      <x:c r="P297" s="26"/>
      <x:c r="Q297" s="19"/>
      <x:c r="R297" s="26"/>
      <x:c r="S297" s="19"/>
      <x:c r="T297" s="19"/>
    </x:row>
    <x:row r="298">
      <x:c r="A298" s="19"/>
      <x:c r="B298" s="19"/>
      <x:c r="C298" s="19"/>
      <x:c r="D298" s="19"/>
      <x:c r="E298" s="19"/>
      <x:c r="F298" s="19"/>
      <x:c r="G298" s="19"/>
      <x:c r="H298" s="25"/>
      <x:c r="I298" s="112" t="str">
        <x:f>IF($A298="","",SUMIFS('PipelineStages'!$E$2:$E$100,'PipelineStages'!$A$2:$A$100,$E298,'PipelineStages'!$B$2:$B$100,$F298))</x:f>
      </x:c>
      <x:c r="J298" s="24"/>
      <x:c r="K298" s="19"/>
      <x:c r="L298" s="100" t="str">
        <x:f>IF($A298="","",IF(COUNTIFS('FollowUps'!$C$2:$C$500,$A298,'FollowUps'!$H$2:$H$500,"open")=0,"",MINIFS('FollowUps'!$E$2:$E$500,'FollowUps'!$C$2:$C$500,$A298,'FollowUps'!$H$2:$H$500,"open")))</x:f>
      </x:c>
      <x:c r="M298" s="19"/>
      <x:c r="N298" s="26"/>
      <x:c r="O298" s="19"/>
      <x:c r="P298" s="26"/>
      <x:c r="Q298" s="19"/>
      <x:c r="R298" s="26"/>
      <x:c r="S298" s="19"/>
      <x:c r="T298" s="19"/>
    </x:row>
    <x:row r="299">
      <x:c r="A299" s="19"/>
      <x:c r="B299" s="19"/>
      <x:c r="C299" s="19"/>
      <x:c r="D299" s="19"/>
      <x:c r="E299" s="19"/>
      <x:c r="F299" s="19"/>
      <x:c r="G299" s="19"/>
      <x:c r="H299" s="25"/>
      <x:c r="I299" s="112" t="str">
        <x:f>IF($A299="","",SUMIFS('PipelineStages'!$E$2:$E$100,'PipelineStages'!$A$2:$A$100,$E299,'PipelineStages'!$B$2:$B$100,$F299))</x:f>
      </x:c>
      <x:c r="J299" s="24"/>
      <x:c r="K299" s="19"/>
      <x:c r="L299" s="100" t="str">
        <x:f>IF($A299="","",IF(COUNTIFS('FollowUps'!$C$2:$C$500,$A299,'FollowUps'!$H$2:$H$500,"open")=0,"",MINIFS('FollowUps'!$E$2:$E$500,'FollowUps'!$C$2:$C$500,$A299,'FollowUps'!$H$2:$H$500,"open")))</x:f>
      </x:c>
      <x:c r="M299" s="19"/>
      <x:c r="N299" s="26"/>
      <x:c r="O299" s="19"/>
      <x:c r="P299" s="26"/>
      <x:c r="Q299" s="19"/>
      <x:c r="R299" s="26"/>
      <x:c r="S299" s="19"/>
      <x:c r="T299" s="19"/>
    </x:row>
    <x:row r="300">
      <x:c r="A300" s="19"/>
      <x:c r="B300" s="19"/>
      <x:c r="C300" s="19"/>
      <x:c r="D300" s="19"/>
      <x:c r="E300" s="19"/>
      <x:c r="F300" s="19"/>
      <x:c r="G300" s="19"/>
      <x:c r="H300" s="25"/>
      <x:c r="I300" s="112" t="str">
        <x:f>IF($A300="","",SUMIFS('PipelineStages'!$E$2:$E$100,'PipelineStages'!$A$2:$A$100,$E300,'PipelineStages'!$B$2:$B$100,$F300))</x:f>
      </x:c>
      <x:c r="J300" s="24"/>
      <x:c r="K300" s="19"/>
      <x:c r="L300" s="100" t="str">
        <x:f>IF($A300="","",IF(COUNTIFS('FollowUps'!$C$2:$C$500,$A300,'FollowUps'!$H$2:$H$500,"open")=0,"",MINIFS('FollowUps'!$E$2:$E$500,'FollowUps'!$C$2:$C$500,$A300,'FollowUps'!$H$2:$H$500,"open")))</x:f>
      </x:c>
      <x:c r="M300" s="19"/>
      <x:c r="N300" s="26"/>
      <x:c r="O300" s="19"/>
      <x:c r="P300" s="26"/>
      <x:c r="Q300" s="19"/>
      <x:c r="R300" s="26"/>
      <x:c r="S300" s="19"/>
      <x:c r="T300" s="19"/>
    </x:row>
    <x:row r="301">
      <x:c r="A301" s="19"/>
      <x:c r="B301" s="19"/>
      <x:c r="C301" s="19"/>
      <x:c r="D301" s="19"/>
      <x:c r="E301" s="19"/>
      <x:c r="F301" s="19"/>
      <x:c r="G301" s="19"/>
      <x:c r="H301" s="25"/>
      <x:c r="I301" s="112" t="str">
        <x:f>IF($A301="","",SUMIFS('PipelineStages'!$E$2:$E$100,'PipelineStages'!$A$2:$A$100,$E301,'PipelineStages'!$B$2:$B$100,$F301))</x:f>
      </x:c>
      <x:c r="J301" s="24"/>
      <x:c r="K301" s="19"/>
      <x:c r="L301" s="100" t="str">
        <x:f>IF($A301="","",IF(COUNTIFS('FollowUps'!$C$2:$C$500,$A301,'FollowUps'!$H$2:$H$500,"open")=0,"",MINIFS('FollowUps'!$E$2:$E$500,'FollowUps'!$C$2:$C$500,$A301,'FollowUps'!$H$2:$H$500,"open")))</x:f>
      </x:c>
      <x:c r="M301" s="19"/>
      <x:c r="N301" s="26"/>
      <x:c r="O301" s="19"/>
      <x:c r="P301" s="26"/>
      <x:c r="Q301" s="19"/>
      <x:c r="R301" s="26"/>
      <x:c r="S301" s="19"/>
      <x:c r="T301" s="19"/>
    </x:row>
    <x:row r="302">
      <x:c r="A302" s="19"/>
      <x:c r="B302" s="19"/>
      <x:c r="C302" s="19"/>
      <x:c r="D302" s="19"/>
      <x:c r="E302" s="19"/>
      <x:c r="F302" s="19"/>
      <x:c r="G302" s="19"/>
      <x:c r="H302" s="25"/>
      <x:c r="I302" s="112" t="str">
        <x:f>IF($A302="","",SUMIFS('PipelineStages'!$E$2:$E$100,'PipelineStages'!$A$2:$A$100,$E302,'PipelineStages'!$B$2:$B$100,$F302))</x:f>
      </x:c>
      <x:c r="J302" s="24"/>
      <x:c r="K302" s="19"/>
      <x:c r="L302" s="100" t="str">
        <x:f>IF($A302="","",IF(COUNTIFS('FollowUps'!$C$2:$C$500,$A302,'FollowUps'!$H$2:$H$500,"open")=0,"",MINIFS('FollowUps'!$E$2:$E$500,'FollowUps'!$C$2:$C$500,$A302,'FollowUps'!$H$2:$H$500,"open")))</x:f>
      </x:c>
      <x:c r="M302" s="19"/>
      <x:c r="N302" s="26"/>
      <x:c r="O302" s="19"/>
      <x:c r="P302" s="26"/>
      <x:c r="Q302" s="19"/>
      <x:c r="R302" s="26"/>
      <x:c r="S302" s="19"/>
      <x:c r="T302" s="19"/>
    </x:row>
    <x:row r="303">
      <x:c r="A303" s="19"/>
      <x:c r="B303" s="19"/>
      <x:c r="C303" s="19"/>
      <x:c r="D303" s="19"/>
      <x:c r="E303" s="19"/>
      <x:c r="F303" s="19"/>
      <x:c r="G303" s="19"/>
      <x:c r="H303" s="25"/>
      <x:c r="I303" s="112" t="str">
        <x:f>IF($A303="","",SUMIFS('PipelineStages'!$E$2:$E$100,'PipelineStages'!$A$2:$A$100,$E303,'PipelineStages'!$B$2:$B$100,$F303))</x:f>
      </x:c>
      <x:c r="J303" s="24"/>
      <x:c r="K303" s="19"/>
      <x:c r="L303" s="100" t="str">
        <x:f>IF($A303="","",IF(COUNTIFS('FollowUps'!$C$2:$C$500,$A303,'FollowUps'!$H$2:$H$500,"open")=0,"",MINIFS('FollowUps'!$E$2:$E$500,'FollowUps'!$C$2:$C$500,$A303,'FollowUps'!$H$2:$H$500,"open")))</x:f>
      </x:c>
      <x:c r="M303" s="19"/>
      <x:c r="N303" s="26"/>
      <x:c r="O303" s="19"/>
      <x:c r="P303" s="26"/>
      <x:c r="Q303" s="19"/>
      <x:c r="R303" s="26"/>
      <x:c r="S303" s="19"/>
      <x:c r="T303" s="19"/>
    </x:row>
    <x:row r="304">
      <x:c r="A304" s="19"/>
      <x:c r="B304" s="19"/>
      <x:c r="C304" s="19"/>
      <x:c r="D304" s="19"/>
      <x:c r="E304" s="19"/>
      <x:c r="F304" s="19"/>
      <x:c r="G304" s="19"/>
      <x:c r="H304" s="25"/>
      <x:c r="I304" s="112" t="str">
        <x:f>IF($A304="","",SUMIFS('PipelineStages'!$E$2:$E$100,'PipelineStages'!$A$2:$A$100,$E304,'PipelineStages'!$B$2:$B$100,$F304))</x:f>
      </x:c>
      <x:c r="J304" s="24"/>
      <x:c r="K304" s="19"/>
      <x:c r="L304" s="100" t="str">
        <x:f>IF($A304="","",IF(COUNTIFS('FollowUps'!$C$2:$C$500,$A304,'FollowUps'!$H$2:$H$500,"open")=0,"",MINIFS('FollowUps'!$E$2:$E$500,'FollowUps'!$C$2:$C$500,$A304,'FollowUps'!$H$2:$H$500,"open")))</x:f>
      </x:c>
      <x:c r="M304" s="19"/>
      <x:c r="N304" s="26"/>
      <x:c r="O304" s="19"/>
      <x:c r="P304" s="26"/>
      <x:c r="Q304" s="19"/>
      <x:c r="R304" s="26"/>
      <x:c r="S304" s="19"/>
      <x:c r="T304" s="19"/>
    </x:row>
    <x:row r="305">
      <x:c r="A305" s="19"/>
      <x:c r="B305" s="19"/>
      <x:c r="C305" s="19"/>
      <x:c r="D305" s="19"/>
      <x:c r="E305" s="19"/>
      <x:c r="F305" s="19"/>
      <x:c r="G305" s="19"/>
      <x:c r="H305" s="25"/>
      <x:c r="I305" s="112" t="str">
        <x:f>IF($A305="","",SUMIFS('PipelineStages'!$E$2:$E$100,'PipelineStages'!$A$2:$A$100,$E305,'PipelineStages'!$B$2:$B$100,$F305))</x:f>
      </x:c>
      <x:c r="J305" s="24"/>
      <x:c r="K305" s="19"/>
      <x:c r="L305" s="100" t="str">
        <x:f>IF($A305="","",IF(COUNTIFS('FollowUps'!$C$2:$C$500,$A305,'FollowUps'!$H$2:$H$500,"open")=0,"",MINIFS('FollowUps'!$E$2:$E$500,'FollowUps'!$C$2:$C$500,$A305,'FollowUps'!$H$2:$H$500,"open")))</x:f>
      </x:c>
      <x:c r="M305" s="19"/>
      <x:c r="N305" s="26"/>
      <x:c r="O305" s="19"/>
      <x:c r="P305" s="26"/>
      <x:c r="Q305" s="19"/>
      <x:c r="R305" s="26"/>
      <x:c r="S305" s="19"/>
      <x:c r="T305" s="19"/>
    </x:row>
    <x:row r="306">
      <x:c r="A306" s="19"/>
      <x:c r="B306" s="19"/>
      <x:c r="C306" s="19"/>
      <x:c r="D306" s="19"/>
      <x:c r="E306" s="19"/>
      <x:c r="F306" s="19"/>
      <x:c r="G306" s="19"/>
      <x:c r="H306" s="25"/>
      <x:c r="I306" s="112" t="str">
        <x:f>IF($A306="","",SUMIFS('PipelineStages'!$E$2:$E$100,'PipelineStages'!$A$2:$A$100,$E306,'PipelineStages'!$B$2:$B$100,$F306))</x:f>
      </x:c>
      <x:c r="J306" s="24"/>
      <x:c r="K306" s="19"/>
      <x:c r="L306" s="100" t="str">
        <x:f>IF($A306="","",IF(COUNTIFS('FollowUps'!$C$2:$C$500,$A306,'FollowUps'!$H$2:$H$500,"open")=0,"",MINIFS('FollowUps'!$E$2:$E$500,'FollowUps'!$C$2:$C$500,$A306,'FollowUps'!$H$2:$H$500,"open")))</x:f>
      </x:c>
      <x:c r="M306" s="19"/>
      <x:c r="N306" s="26"/>
      <x:c r="O306" s="19"/>
      <x:c r="P306" s="26"/>
      <x:c r="Q306" s="19"/>
      <x:c r="R306" s="26"/>
      <x:c r="S306" s="19"/>
      <x:c r="T306" s="19"/>
    </x:row>
    <x:row r="307">
      <x:c r="A307" s="19"/>
      <x:c r="B307" s="19"/>
      <x:c r="C307" s="19"/>
      <x:c r="D307" s="19"/>
      <x:c r="E307" s="19"/>
      <x:c r="F307" s="19"/>
      <x:c r="G307" s="19"/>
      <x:c r="H307" s="25"/>
      <x:c r="I307" s="112" t="str">
        <x:f>IF($A307="","",SUMIFS('PipelineStages'!$E$2:$E$100,'PipelineStages'!$A$2:$A$100,$E307,'PipelineStages'!$B$2:$B$100,$F307))</x:f>
      </x:c>
      <x:c r="J307" s="24"/>
      <x:c r="K307" s="19"/>
      <x:c r="L307" s="100" t="str">
        <x:f>IF($A307="","",IF(COUNTIFS('FollowUps'!$C$2:$C$500,$A307,'FollowUps'!$H$2:$H$500,"open")=0,"",MINIFS('FollowUps'!$E$2:$E$500,'FollowUps'!$C$2:$C$500,$A307,'FollowUps'!$H$2:$H$500,"open")))</x:f>
      </x:c>
      <x:c r="M307" s="19"/>
      <x:c r="N307" s="26"/>
      <x:c r="O307" s="19"/>
      <x:c r="P307" s="26"/>
      <x:c r="Q307" s="19"/>
      <x:c r="R307" s="26"/>
      <x:c r="S307" s="19"/>
      <x:c r="T307" s="19"/>
    </x:row>
    <x:row r="308">
      <x:c r="A308" s="19"/>
      <x:c r="B308" s="19"/>
      <x:c r="C308" s="19"/>
      <x:c r="D308" s="19"/>
      <x:c r="E308" s="19"/>
      <x:c r="F308" s="19"/>
      <x:c r="G308" s="19"/>
      <x:c r="H308" s="25"/>
      <x:c r="I308" s="112" t="str">
        <x:f>IF($A308="","",SUMIFS('PipelineStages'!$E$2:$E$100,'PipelineStages'!$A$2:$A$100,$E308,'PipelineStages'!$B$2:$B$100,$F308))</x:f>
      </x:c>
      <x:c r="J308" s="24"/>
      <x:c r="K308" s="19"/>
      <x:c r="L308" s="100" t="str">
        <x:f>IF($A308="","",IF(COUNTIFS('FollowUps'!$C$2:$C$500,$A308,'FollowUps'!$H$2:$H$500,"open")=0,"",MINIFS('FollowUps'!$E$2:$E$500,'FollowUps'!$C$2:$C$500,$A308,'FollowUps'!$H$2:$H$500,"open")))</x:f>
      </x:c>
      <x:c r="M308" s="19"/>
      <x:c r="N308" s="26"/>
      <x:c r="O308" s="19"/>
      <x:c r="P308" s="26"/>
      <x:c r="Q308" s="19"/>
      <x:c r="R308" s="26"/>
      <x:c r="S308" s="19"/>
      <x:c r="T308" s="19"/>
    </x:row>
    <x:row r="309">
      <x:c r="A309" s="19"/>
      <x:c r="B309" s="19"/>
      <x:c r="C309" s="19"/>
      <x:c r="D309" s="19"/>
      <x:c r="E309" s="19"/>
      <x:c r="F309" s="19"/>
      <x:c r="G309" s="19"/>
      <x:c r="H309" s="25"/>
      <x:c r="I309" s="112" t="str">
        <x:f>IF($A309="","",SUMIFS('PipelineStages'!$E$2:$E$100,'PipelineStages'!$A$2:$A$100,$E309,'PipelineStages'!$B$2:$B$100,$F309))</x:f>
      </x:c>
      <x:c r="J309" s="24"/>
      <x:c r="K309" s="19"/>
      <x:c r="L309" s="100" t="str">
        <x:f>IF($A309="","",IF(COUNTIFS('FollowUps'!$C$2:$C$500,$A309,'FollowUps'!$H$2:$H$500,"open")=0,"",MINIFS('FollowUps'!$E$2:$E$500,'FollowUps'!$C$2:$C$500,$A309,'FollowUps'!$H$2:$H$500,"open")))</x:f>
      </x:c>
      <x:c r="M309" s="19"/>
      <x:c r="N309" s="26"/>
      <x:c r="O309" s="19"/>
      <x:c r="P309" s="26"/>
      <x:c r="Q309" s="19"/>
      <x:c r="R309" s="26"/>
      <x:c r="S309" s="19"/>
      <x:c r="T309" s="19"/>
    </x:row>
    <x:row r="310">
      <x:c r="A310" s="19"/>
      <x:c r="B310" s="19"/>
      <x:c r="C310" s="19"/>
      <x:c r="D310" s="19"/>
      <x:c r="E310" s="19"/>
      <x:c r="F310" s="19"/>
      <x:c r="G310" s="19"/>
      <x:c r="H310" s="25"/>
      <x:c r="I310" s="112" t="str">
        <x:f>IF($A310="","",SUMIFS('PipelineStages'!$E$2:$E$100,'PipelineStages'!$A$2:$A$100,$E310,'PipelineStages'!$B$2:$B$100,$F310))</x:f>
      </x:c>
      <x:c r="J310" s="24"/>
      <x:c r="K310" s="19"/>
      <x:c r="L310" s="100" t="str">
        <x:f>IF($A310="","",IF(COUNTIFS('FollowUps'!$C$2:$C$500,$A310,'FollowUps'!$H$2:$H$500,"open")=0,"",MINIFS('FollowUps'!$E$2:$E$500,'FollowUps'!$C$2:$C$500,$A310,'FollowUps'!$H$2:$H$500,"open")))</x:f>
      </x:c>
      <x:c r="M310" s="19"/>
      <x:c r="N310" s="26"/>
      <x:c r="O310" s="19"/>
      <x:c r="P310" s="26"/>
      <x:c r="Q310" s="19"/>
      <x:c r="R310" s="26"/>
      <x:c r="S310" s="19"/>
      <x:c r="T310" s="19"/>
    </x:row>
    <x:row r="311">
      <x:c r="A311" s="19"/>
      <x:c r="B311" s="19"/>
      <x:c r="C311" s="19"/>
      <x:c r="D311" s="19"/>
      <x:c r="E311" s="19"/>
      <x:c r="F311" s="19"/>
      <x:c r="G311" s="19"/>
      <x:c r="H311" s="25"/>
      <x:c r="I311" s="112" t="str">
        <x:f>IF($A311="","",SUMIFS('PipelineStages'!$E$2:$E$100,'PipelineStages'!$A$2:$A$100,$E311,'PipelineStages'!$B$2:$B$100,$F311))</x:f>
      </x:c>
      <x:c r="J311" s="24"/>
      <x:c r="K311" s="19"/>
      <x:c r="L311" s="100" t="str">
        <x:f>IF($A311="","",IF(COUNTIFS('FollowUps'!$C$2:$C$500,$A311,'FollowUps'!$H$2:$H$500,"open")=0,"",MINIFS('FollowUps'!$E$2:$E$500,'FollowUps'!$C$2:$C$500,$A311,'FollowUps'!$H$2:$H$500,"open")))</x:f>
      </x:c>
      <x:c r="M311" s="19"/>
      <x:c r="N311" s="26"/>
      <x:c r="O311" s="19"/>
      <x:c r="P311" s="26"/>
      <x:c r="Q311" s="19"/>
      <x:c r="R311" s="26"/>
      <x:c r="S311" s="19"/>
      <x:c r="T311" s="19"/>
    </x:row>
    <x:row r="312">
      <x:c r="A312" s="19"/>
      <x:c r="B312" s="19"/>
      <x:c r="C312" s="19"/>
      <x:c r="D312" s="19"/>
      <x:c r="E312" s="19"/>
      <x:c r="F312" s="19"/>
      <x:c r="G312" s="19"/>
      <x:c r="H312" s="25"/>
      <x:c r="I312" s="112" t="str">
        <x:f>IF($A312="","",SUMIFS('PipelineStages'!$E$2:$E$100,'PipelineStages'!$A$2:$A$100,$E312,'PipelineStages'!$B$2:$B$100,$F312))</x:f>
      </x:c>
      <x:c r="J312" s="24"/>
      <x:c r="K312" s="19"/>
      <x:c r="L312" s="100" t="str">
        <x:f>IF($A312="","",IF(COUNTIFS('FollowUps'!$C$2:$C$500,$A312,'FollowUps'!$H$2:$H$500,"open")=0,"",MINIFS('FollowUps'!$E$2:$E$500,'FollowUps'!$C$2:$C$500,$A312,'FollowUps'!$H$2:$H$500,"open")))</x:f>
      </x:c>
      <x:c r="M312" s="19"/>
      <x:c r="N312" s="26"/>
      <x:c r="O312" s="19"/>
      <x:c r="P312" s="26"/>
      <x:c r="Q312" s="19"/>
      <x:c r="R312" s="26"/>
      <x:c r="S312" s="19"/>
      <x:c r="T312" s="19"/>
    </x:row>
    <x:row r="313">
      <x:c r="A313" s="19"/>
      <x:c r="B313" s="19"/>
      <x:c r="C313" s="19"/>
      <x:c r="D313" s="19"/>
      <x:c r="E313" s="19"/>
      <x:c r="F313" s="19"/>
      <x:c r="G313" s="19"/>
      <x:c r="H313" s="25"/>
      <x:c r="I313" s="112" t="str">
        <x:f>IF($A313="","",SUMIFS('PipelineStages'!$E$2:$E$100,'PipelineStages'!$A$2:$A$100,$E313,'PipelineStages'!$B$2:$B$100,$F313))</x:f>
      </x:c>
      <x:c r="J313" s="24"/>
      <x:c r="K313" s="19"/>
      <x:c r="L313" s="100" t="str">
        <x:f>IF($A313="","",IF(COUNTIFS('FollowUps'!$C$2:$C$500,$A313,'FollowUps'!$H$2:$H$500,"open")=0,"",MINIFS('FollowUps'!$E$2:$E$500,'FollowUps'!$C$2:$C$500,$A313,'FollowUps'!$H$2:$H$500,"open")))</x:f>
      </x:c>
      <x:c r="M313" s="19"/>
      <x:c r="N313" s="26"/>
      <x:c r="O313" s="19"/>
      <x:c r="P313" s="26"/>
      <x:c r="Q313" s="19"/>
      <x:c r="R313" s="26"/>
      <x:c r="S313" s="19"/>
      <x:c r="T313" s="19"/>
    </x:row>
    <x:row r="314">
      <x:c r="A314" s="19"/>
      <x:c r="B314" s="19"/>
      <x:c r="C314" s="19"/>
      <x:c r="D314" s="19"/>
      <x:c r="E314" s="19"/>
      <x:c r="F314" s="19"/>
      <x:c r="G314" s="19"/>
      <x:c r="H314" s="25"/>
      <x:c r="I314" s="112" t="str">
        <x:f>IF($A314="","",SUMIFS('PipelineStages'!$E$2:$E$100,'PipelineStages'!$A$2:$A$100,$E314,'PipelineStages'!$B$2:$B$100,$F314))</x:f>
      </x:c>
      <x:c r="J314" s="24"/>
      <x:c r="K314" s="19"/>
      <x:c r="L314" s="100" t="str">
        <x:f>IF($A314="","",IF(COUNTIFS('FollowUps'!$C$2:$C$500,$A314,'FollowUps'!$H$2:$H$500,"open")=0,"",MINIFS('FollowUps'!$E$2:$E$500,'FollowUps'!$C$2:$C$500,$A314,'FollowUps'!$H$2:$H$500,"open")))</x:f>
      </x:c>
      <x:c r="M314" s="19"/>
      <x:c r="N314" s="26"/>
      <x:c r="O314" s="19"/>
      <x:c r="P314" s="26"/>
      <x:c r="Q314" s="19"/>
      <x:c r="R314" s="26"/>
      <x:c r="S314" s="19"/>
      <x:c r="T314" s="19"/>
    </x:row>
    <x:row r="315">
      <x:c r="A315" s="19"/>
      <x:c r="B315" s="19"/>
      <x:c r="C315" s="19"/>
      <x:c r="D315" s="19"/>
      <x:c r="E315" s="19"/>
      <x:c r="F315" s="19"/>
      <x:c r="G315" s="19"/>
      <x:c r="H315" s="25"/>
      <x:c r="I315" s="112" t="str">
        <x:f>IF($A315="","",SUMIFS('PipelineStages'!$E$2:$E$100,'PipelineStages'!$A$2:$A$100,$E315,'PipelineStages'!$B$2:$B$100,$F315))</x:f>
      </x:c>
      <x:c r="J315" s="24"/>
      <x:c r="K315" s="19"/>
      <x:c r="L315" s="100" t="str">
        <x:f>IF($A315="","",IF(COUNTIFS('FollowUps'!$C$2:$C$500,$A315,'FollowUps'!$H$2:$H$500,"open")=0,"",MINIFS('FollowUps'!$E$2:$E$500,'FollowUps'!$C$2:$C$500,$A315,'FollowUps'!$H$2:$H$500,"open")))</x:f>
      </x:c>
      <x:c r="M315" s="19"/>
      <x:c r="N315" s="26"/>
      <x:c r="O315" s="19"/>
      <x:c r="P315" s="26"/>
      <x:c r="Q315" s="19"/>
      <x:c r="R315" s="26"/>
      <x:c r="S315" s="19"/>
      <x:c r="T315" s="19"/>
    </x:row>
    <x:row r="316">
      <x:c r="A316" s="19"/>
      <x:c r="B316" s="19"/>
      <x:c r="C316" s="19"/>
      <x:c r="D316" s="19"/>
      <x:c r="E316" s="19"/>
      <x:c r="F316" s="19"/>
      <x:c r="G316" s="19"/>
      <x:c r="H316" s="25"/>
      <x:c r="I316" s="112" t="str">
        <x:f>IF($A316="","",SUMIFS('PipelineStages'!$E$2:$E$100,'PipelineStages'!$A$2:$A$100,$E316,'PipelineStages'!$B$2:$B$100,$F316))</x:f>
      </x:c>
      <x:c r="J316" s="24"/>
      <x:c r="K316" s="19"/>
      <x:c r="L316" s="100" t="str">
        <x:f>IF($A316="","",IF(COUNTIFS('FollowUps'!$C$2:$C$500,$A316,'FollowUps'!$H$2:$H$500,"open")=0,"",MINIFS('FollowUps'!$E$2:$E$500,'FollowUps'!$C$2:$C$500,$A316,'FollowUps'!$H$2:$H$500,"open")))</x:f>
      </x:c>
      <x:c r="M316" s="19"/>
      <x:c r="N316" s="26"/>
      <x:c r="O316" s="19"/>
      <x:c r="P316" s="26"/>
      <x:c r="Q316" s="19"/>
      <x:c r="R316" s="26"/>
      <x:c r="S316" s="19"/>
      <x:c r="T316" s="19"/>
    </x:row>
    <x:row r="317">
      <x:c r="A317" s="19"/>
      <x:c r="B317" s="19"/>
      <x:c r="C317" s="19"/>
      <x:c r="D317" s="19"/>
      <x:c r="E317" s="19"/>
      <x:c r="F317" s="19"/>
      <x:c r="G317" s="19"/>
      <x:c r="H317" s="25"/>
      <x:c r="I317" s="112" t="str">
        <x:f>IF($A317="","",SUMIFS('PipelineStages'!$E$2:$E$100,'PipelineStages'!$A$2:$A$100,$E317,'PipelineStages'!$B$2:$B$100,$F317))</x:f>
      </x:c>
      <x:c r="J317" s="24"/>
      <x:c r="K317" s="19"/>
      <x:c r="L317" s="100" t="str">
        <x:f>IF($A317="","",IF(COUNTIFS('FollowUps'!$C$2:$C$500,$A317,'FollowUps'!$H$2:$H$500,"open")=0,"",MINIFS('FollowUps'!$E$2:$E$500,'FollowUps'!$C$2:$C$500,$A317,'FollowUps'!$H$2:$H$500,"open")))</x:f>
      </x:c>
      <x:c r="M317" s="19"/>
      <x:c r="N317" s="26"/>
      <x:c r="O317" s="19"/>
      <x:c r="P317" s="26"/>
      <x:c r="Q317" s="19"/>
      <x:c r="R317" s="26"/>
      <x:c r="S317" s="19"/>
      <x:c r="T317" s="19"/>
    </x:row>
    <x:row r="318">
      <x:c r="A318" s="19"/>
      <x:c r="B318" s="19"/>
      <x:c r="C318" s="19"/>
      <x:c r="D318" s="19"/>
      <x:c r="E318" s="19"/>
      <x:c r="F318" s="19"/>
      <x:c r="G318" s="19"/>
      <x:c r="H318" s="25"/>
      <x:c r="I318" s="112" t="str">
        <x:f>IF($A318="","",SUMIFS('PipelineStages'!$E$2:$E$100,'PipelineStages'!$A$2:$A$100,$E318,'PipelineStages'!$B$2:$B$100,$F318))</x:f>
      </x:c>
      <x:c r="J318" s="24"/>
      <x:c r="K318" s="19"/>
      <x:c r="L318" s="100" t="str">
        <x:f>IF($A318="","",IF(COUNTIFS('FollowUps'!$C$2:$C$500,$A318,'FollowUps'!$H$2:$H$500,"open")=0,"",MINIFS('FollowUps'!$E$2:$E$500,'FollowUps'!$C$2:$C$500,$A318,'FollowUps'!$H$2:$H$500,"open")))</x:f>
      </x:c>
      <x:c r="M318" s="19"/>
      <x:c r="N318" s="26"/>
      <x:c r="O318" s="19"/>
      <x:c r="P318" s="26"/>
      <x:c r="Q318" s="19"/>
      <x:c r="R318" s="26"/>
      <x:c r="S318" s="19"/>
      <x:c r="T318" s="19"/>
    </x:row>
    <x:row r="319">
      <x:c r="A319" s="19"/>
      <x:c r="B319" s="19"/>
      <x:c r="C319" s="19"/>
      <x:c r="D319" s="19"/>
      <x:c r="E319" s="19"/>
      <x:c r="F319" s="19"/>
      <x:c r="G319" s="19"/>
      <x:c r="H319" s="25"/>
      <x:c r="I319" s="112" t="str">
        <x:f>IF($A319="","",SUMIFS('PipelineStages'!$E$2:$E$100,'PipelineStages'!$A$2:$A$100,$E319,'PipelineStages'!$B$2:$B$100,$F319))</x:f>
      </x:c>
      <x:c r="J319" s="24"/>
      <x:c r="K319" s="19"/>
      <x:c r="L319" s="100" t="str">
        <x:f>IF($A319="","",IF(COUNTIFS('FollowUps'!$C$2:$C$500,$A319,'FollowUps'!$H$2:$H$500,"open")=0,"",MINIFS('FollowUps'!$E$2:$E$500,'FollowUps'!$C$2:$C$500,$A319,'FollowUps'!$H$2:$H$500,"open")))</x:f>
      </x:c>
      <x:c r="M319" s="19"/>
      <x:c r="N319" s="26"/>
      <x:c r="O319" s="19"/>
      <x:c r="P319" s="26"/>
      <x:c r="Q319" s="19"/>
      <x:c r="R319" s="26"/>
      <x:c r="S319" s="19"/>
      <x:c r="T319" s="19"/>
    </x:row>
    <x:row r="320">
      <x:c r="A320" s="19"/>
      <x:c r="B320" s="19"/>
      <x:c r="C320" s="19"/>
      <x:c r="D320" s="19"/>
      <x:c r="E320" s="19"/>
      <x:c r="F320" s="19"/>
      <x:c r="G320" s="19"/>
      <x:c r="H320" s="25"/>
      <x:c r="I320" s="112" t="str">
        <x:f>IF($A320="","",SUMIFS('PipelineStages'!$E$2:$E$100,'PipelineStages'!$A$2:$A$100,$E320,'PipelineStages'!$B$2:$B$100,$F320))</x:f>
      </x:c>
      <x:c r="J320" s="24"/>
      <x:c r="K320" s="19"/>
      <x:c r="L320" s="100" t="str">
        <x:f>IF($A320="","",IF(COUNTIFS('FollowUps'!$C$2:$C$500,$A320,'FollowUps'!$H$2:$H$500,"open")=0,"",MINIFS('FollowUps'!$E$2:$E$500,'FollowUps'!$C$2:$C$500,$A320,'FollowUps'!$H$2:$H$500,"open")))</x:f>
      </x:c>
      <x:c r="M320" s="19"/>
      <x:c r="N320" s="26"/>
      <x:c r="O320" s="19"/>
      <x:c r="P320" s="26"/>
      <x:c r="Q320" s="19"/>
      <x:c r="R320" s="26"/>
      <x:c r="S320" s="19"/>
      <x:c r="T320" s="19"/>
    </x:row>
    <x:row r="321">
      <x:c r="A321" s="19"/>
      <x:c r="B321" s="19"/>
      <x:c r="C321" s="19"/>
      <x:c r="D321" s="19"/>
      <x:c r="E321" s="19"/>
      <x:c r="F321" s="19"/>
      <x:c r="G321" s="19"/>
      <x:c r="H321" s="25"/>
      <x:c r="I321" s="112" t="str">
        <x:f>IF($A321="","",SUMIFS('PipelineStages'!$E$2:$E$100,'PipelineStages'!$A$2:$A$100,$E321,'PipelineStages'!$B$2:$B$100,$F321))</x:f>
      </x:c>
      <x:c r="J321" s="24"/>
      <x:c r="K321" s="19"/>
      <x:c r="L321" s="100" t="str">
        <x:f>IF($A321="","",IF(COUNTIFS('FollowUps'!$C$2:$C$500,$A321,'FollowUps'!$H$2:$H$500,"open")=0,"",MINIFS('FollowUps'!$E$2:$E$500,'FollowUps'!$C$2:$C$500,$A321,'FollowUps'!$H$2:$H$500,"open")))</x:f>
      </x:c>
      <x:c r="M321" s="19"/>
      <x:c r="N321" s="26"/>
      <x:c r="O321" s="19"/>
      <x:c r="P321" s="26"/>
      <x:c r="Q321" s="19"/>
      <x:c r="R321" s="26"/>
      <x:c r="S321" s="19"/>
      <x:c r="T321" s="19"/>
    </x:row>
    <x:row r="322">
      <x:c r="A322" s="19"/>
      <x:c r="B322" s="19"/>
      <x:c r="C322" s="19"/>
      <x:c r="D322" s="19"/>
      <x:c r="E322" s="19"/>
      <x:c r="F322" s="19"/>
      <x:c r="G322" s="19"/>
      <x:c r="H322" s="25"/>
      <x:c r="I322" s="112" t="str">
        <x:f>IF($A322="","",SUMIFS('PipelineStages'!$E$2:$E$100,'PipelineStages'!$A$2:$A$100,$E322,'PipelineStages'!$B$2:$B$100,$F322))</x:f>
      </x:c>
      <x:c r="J322" s="24"/>
      <x:c r="K322" s="19"/>
      <x:c r="L322" s="100" t="str">
        <x:f>IF($A322="","",IF(COUNTIFS('FollowUps'!$C$2:$C$500,$A322,'FollowUps'!$H$2:$H$500,"open")=0,"",MINIFS('FollowUps'!$E$2:$E$500,'FollowUps'!$C$2:$C$500,$A322,'FollowUps'!$H$2:$H$500,"open")))</x:f>
      </x:c>
      <x:c r="M322" s="19"/>
      <x:c r="N322" s="26"/>
      <x:c r="O322" s="19"/>
      <x:c r="P322" s="26"/>
      <x:c r="Q322" s="19"/>
      <x:c r="R322" s="26"/>
      <x:c r="S322" s="19"/>
      <x:c r="T322" s="19"/>
    </x:row>
    <x:row r="323">
      <x:c r="A323" s="19"/>
      <x:c r="B323" s="19"/>
      <x:c r="C323" s="19"/>
      <x:c r="D323" s="19"/>
      <x:c r="E323" s="19"/>
      <x:c r="F323" s="19"/>
      <x:c r="G323" s="19"/>
      <x:c r="H323" s="25"/>
      <x:c r="I323" s="112" t="str">
        <x:f>IF($A323="","",SUMIFS('PipelineStages'!$E$2:$E$100,'PipelineStages'!$A$2:$A$100,$E323,'PipelineStages'!$B$2:$B$100,$F323))</x:f>
      </x:c>
      <x:c r="J323" s="24"/>
      <x:c r="K323" s="19"/>
      <x:c r="L323" s="100" t="str">
        <x:f>IF($A323="","",IF(COUNTIFS('FollowUps'!$C$2:$C$500,$A323,'FollowUps'!$H$2:$H$500,"open")=0,"",MINIFS('FollowUps'!$E$2:$E$500,'FollowUps'!$C$2:$C$500,$A323,'FollowUps'!$H$2:$H$500,"open")))</x:f>
      </x:c>
      <x:c r="M323" s="19"/>
      <x:c r="N323" s="26"/>
      <x:c r="O323" s="19"/>
      <x:c r="P323" s="26"/>
      <x:c r="Q323" s="19"/>
      <x:c r="R323" s="26"/>
      <x:c r="S323" s="19"/>
      <x:c r="T323" s="19"/>
    </x:row>
    <x:row r="324">
      <x:c r="A324" s="19"/>
      <x:c r="B324" s="19"/>
      <x:c r="C324" s="19"/>
      <x:c r="D324" s="19"/>
      <x:c r="E324" s="19"/>
      <x:c r="F324" s="19"/>
      <x:c r="G324" s="19"/>
      <x:c r="H324" s="25"/>
      <x:c r="I324" s="112" t="str">
        <x:f>IF($A324="","",SUMIFS('PipelineStages'!$E$2:$E$100,'PipelineStages'!$A$2:$A$100,$E324,'PipelineStages'!$B$2:$B$100,$F324))</x:f>
      </x:c>
      <x:c r="J324" s="24"/>
      <x:c r="K324" s="19"/>
      <x:c r="L324" s="100" t="str">
        <x:f>IF($A324="","",IF(COUNTIFS('FollowUps'!$C$2:$C$500,$A324,'FollowUps'!$H$2:$H$500,"open")=0,"",MINIFS('FollowUps'!$E$2:$E$500,'FollowUps'!$C$2:$C$500,$A324,'FollowUps'!$H$2:$H$500,"open")))</x:f>
      </x:c>
      <x:c r="M324" s="19"/>
      <x:c r="N324" s="26"/>
      <x:c r="O324" s="19"/>
      <x:c r="P324" s="26"/>
      <x:c r="Q324" s="19"/>
      <x:c r="R324" s="26"/>
      <x:c r="S324" s="19"/>
      <x:c r="T324" s="19"/>
    </x:row>
    <x:row r="325">
      <x:c r="A325" s="19"/>
      <x:c r="B325" s="19"/>
      <x:c r="C325" s="19"/>
      <x:c r="D325" s="19"/>
      <x:c r="E325" s="19"/>
      <x:c r="F325" s="19"/>
      <x:c r="G325" s="19"/>
      <x:c r="H325" s="25"/>
      <x:c r="I325" s="112" t="str">
        <x:f>IF($A325="","",SUMIFS('PipelineStages'!$E$2:$E$100,'PipelineStages'!$A$2:$A$100,$E325,'PipelineStages'!$B$2:$B$100,$F325))</x:f>
      </x:c>
      <x:c r="J325" s="24"/>
      <x:c r="K325" s="19"/>
      <x:c r="L325" s="100" t="str">
        <x:f>IF($A325="","",IF(COUNTIFS('FollowUps'!$C$2:$C$500,$A325,'FollowUps'!$H$2:$H$500,"open")=0,"",MINIFS('FollowUps'!$E$2:$E$500,'FollowUps'!$C$2:$C$500,$A325,'FollowUps'!$H$2:$H$500,"open")))</x:f>
      </x:c>
      <x:c r="M325" s="19"/>
      <x:c r="N325" s="26"/>
      <x:c r="O325" s="19"/>
      <x:c r="P325" s="26"/>
      <x:c r="Q325" s="19"/>
      <x:c r="R325" s="26"/>
      <x:c r="S325" s="19"/>
      <x:c r="T325" s="19"/>
    </x:row>
    <x:row r="326">
      <x:c r="A326" s="19"/>
      <x:c r="B326" s="19"/>
      <x:c r="C326" s="19"/>
      <x:c r="D326" s="19"/>
      <x:c r="E326" s="19"/>
      <x:c r="F326" s="19"/>
      <x:c r="G326" s="19"/>
      <x:c r="H326" s="25"/>
      <x:c r="I326" s="112" t="str">
        <x:f>IF($A326="","",SUMIFS('PipelineStages'!$E$2:$E$100,'PipelineStages'!$A$2:$A$100,$E326,'PipelineStages'!$B$2:$B$100,$F326))</x:f>
      </x:c>
      <x:c r="J326" s="24"/>
      <x:c r="K326" s="19"/>
      <x:c r="L326" s="100" t="str">
        <x:f>IF($A326="","",IF(COUNTIFS('FollowUps'!$C$2:$C$500,$A326,'FollowUps'!$H$2:$H$500,"open")=0,"",MINIFS('FollowUps'!$E$2:$E$500,'FollowUps'!$C$2:$C$500,$A326,'FollowUps'!$H$2:$H$500,"open")))</x:f>
      </x:c>
      <x:c r="M326" s="19"/>
      <x:c r="N326" s="26"/>
      <x:c r="O326" s="19"/>
      <x:c r="P326" s="26"/>
      <x:c r="Q326" s="19"/>
      <x:c r="R326" s="26"/>
      <x:c r="S326" s="19"/>
      <x:c r="T326" s="19"/>
    </x:row>
    <x:row r="327">
      <x:c r="A327" s="19"/>
      <x:c r="B327" s="19"/>
      <x:c r="C327" s="19"/>
      <x:c r="D327" s="19"/>
      <x:c r="E327" s="19"/>
      <x:c r="F327" s="19"/>
      <x:c r="G327" s="19"/>
      <x:c r="H327" s="25"/>
      <x:c r="I327" s="112" t="str">
        <x:f>IF($A327="","",SUMIFS('PipelineStages'!$E$2:$E$100,'PipelineStages'!$A$2:$A$100,$E327,'PipelineStages'!$B$2:$B$100,$F327))</x:f>
      </x:c>
      <x:c r="J327" s="24"/>
      <x:c r="K327" s="19"/>
      <x:c r="L327" s="100" t="str">
        <x:f>IF($A327="","",IF(COUNTIFS('FollowUps'!$C$2:$C$500,$A327,'FollowUps'!$H$2:$H$500,"open")=0,"",MINIFS('FollowUps'!$E$2:$E$500,'FollowUps'!$C$2:$C$500,$A327,'FollowUps'!$H$2:$H$500,"open")))</x:f>
      </x:c>
      <x:c r="M327" s="19"/>
      <x:c r="N327" s="26"/>
      <x:c r="O327" s="19"/>
      <x:c r="P327" s="26"/>
      <x:c r="Q327" s="19"/>
      <x:c r="R327" s="26"/>
      <x:c r="S327" s="19"/>
      <x:c r="T327" s="19"/>
    </x:row>
    <x:row r="328">
      <x:c r="A328" s="19"/>
      <x:c r="B328" s="19"/>
      <x:c r="C328" s="19"/>
      <x:c r="D328" s="19"/>
      <x:c r="E328" s="19"/>
      <x:c r="F328" s="19"/>
      <x:c r="G328" s="19"/>
      <x:c r="H328" s="25"/>
      <x:c r="I328" s="112" t="str">
        <x:f>IF($A328="","",SUMIFS('PipelineStages'!$E$2:$E$100,'PipelineStages'!$A$2:$A$100,$E328,'PipelineStages'!$B$2:$B$100,$F328))</x:f>
      </x:c>
      <x:c r="J328" s="24"/>
      <x:c r="K328" s="19"/>
      <x:c r="L328" s="100" t="str">
        <x:f>IF($A328="","",IF(COUNTIFS('FollowUps'!$C$2:$C$500,$A328,'FollowUps'!$H$2:$H$500,"open")=0,"",MINIFS('FollowUps'!$E$2:$E$500,'FollowUps'!$C$2:$C$500,$A328,'FollowUps'!$H$2:$H$500,"open")))</x:f>
      </x:c>
      <x:c r="M328" s="19"/>
      <x:c r="N328" s="26"/>
      <x:c r="O328" s="19"/>
      <x:c r="P328" s="26"/>
      <x:c r="Q328" s="19"/>
      <x:c r="R328" s="26"/>
      <x:c r="S328" s="19"/>
      <x:c r="T328" s="19"/>
    </x:row>
    <x:row r="329">
      <x:c r="A329" s="19"/>
      <x:c r="B329" s="19"/>
      <x:c r="C329" s="19"/>
      <x:c r="D329" s="19"/>
      <x:c r="E329" s="19"/>
      <x:c r="F329" s="19"/>
      <x:c r="G329" s="19"/>
      <x:c r="H329" s="25"/>
      <x:c r="I329" s="112" t="str">
        <x:f>IF($A329="","",SUMIFS('PipelineStages'!$E$2:$E$100,'PipelineStages'!$A$2:$A$100,$E329,'PipelineStages'!$B$2:$B$100,$F329))</x:f>
      </x:c>
      <x:c r="J329" s="24"/>
      <x:c r="K329" s="19"/>
      <x:c r="L329" s="100" t="str">
        <x:f>IF($A329="","",IF(COUNTIFS('FollowUps'!$C$2:$C$500,$A329,'FollowUps'!$H$2:$H$500,"open")=0,"",MINIFS('FollowUps'!$E$2:$E$500,'FollowUps'!$C$2:$C$500,$A329,'FollowUps'!$H$2:$H$500,"open")))</x:f>
      </x:c>
      <x:c r="M329" s="19"/>
      <x:c r="N329" s="26"/>
      <x:c r="O329" s="19"/>
      <x:c r="P329" s="26"/>
      <x:c r="Q329" s="19"/>
      <x:c r="R329" s="26"/>
      <x:c r="S329" s="19"/>
      <x:c r="T329" s="19"/>
    </x:row>
    <x:row r="330">
      <x:c r="A330" s="19"/>
      <x:c r="B330" s="19"/>
      <x:c r="C330" s="19"/>
      <x:c r="D330" s="19"/>
      <x:c r="E330" s="19"/>
      <x:c r="F330" s="19"/>
      <x:c r="G330" s="19"/>
      <x:c r="H330" s="25"/>
      <x:c r="I330" s="112" t="str">
        <x:f>IF($A330="","",SUMIFS('PipelineStages'!$E$2:$E$100,'PipelineStages'!$A$2:$A$100,$E330,'PipelineStages'!$B$2:$B$100,$F330))</x:f>
      </x:c>
      <x:c r="J330" s="24"/>
      <x:c r="K330" s="19"/>
      <x:c r="L330" s="100" t="str">
        <x:f>IF($A330="","",IF(COUNTIFS('FollowUps'!$C$2:$C$500,$A330,'FollowUps'!$H$2:$H$500,"open")=0,"",MINIFS('FollowUps'!$E$2:$E$500,'FollowUps'!$C$2:$C$500,$A330,'FollowUps'!$H$2:$H$500,"open")))</x:f>
      </x:c>
      <x:c r="M330" s="19"/>
      <x:c r="N330" s="26"/>
      <x:c r="O330" s="19"/>
      <x:c r="P330" s="26"/>
      <x:c r="Q330" s="19"/>
      <x:c r="R330" s="26"/>
      <x:c r="S330" s="19"/>
      <x:c r="T330" s="19"/>
    </x:row>
    <x:row r="331">
      <x:c r="A331" s="19"/>
      <x:c r="B331" s="19"/>
      <x:c r="C331" s="19"/>
      <x:c r="D331" s="19"/>
      <x:c r="E331" s="19"/>
      <x:c r="F331" s="19"/>
      <x:c r="G331" s="19"/>
      <x:c r="H331" s="25"/>
      <x:c r="I331" s="112" t="str">
        <x:f>IF($A331="","",SUMIFS('PipelineStages'!$E$2:$E$100,'PipelineStages'!$A$2:$A$100,$E331,'PipelineStages'!$B$2:$B$100,$F331))</x:f>
      </x:c>
      <x:c r="J331" s="24"/>
      <x:c r="K331" s="19"/>
      <x:c r="L331" s="100" t="str">
        <x:f>IF($A331="","",IF(COUNTIFS('FollowUps'!$C$2:$C$500,$A331,'FollowUps'!$H$2:$H$500,"open")=0,"",MINIFS('FollowUps'!$E$2:$E$500,'FollowUps'!$C$2:$C$500,$A331,'FollowUps'!$H$2:$H$500,"open")))</x:f>
      </x:c>
      <x:c r="M331" s="19"/>
      <x:c r="N331" s="26"/>
      <x:c r="O331" s="19"/>
      <x:c r="P331" s="26"/>
      <x:c r="Q331" s="19"/>
      <x:c r="R331" s="26"/>
      <x:c r="S331" s="19"/>
      <x:c r="T331" s="19"/>
    </x:row>
    <x:row r="332">
      <x:c r="A332" s="19"/>
      <x:c r="B332" s="19"/>
      <x:c r="C332" s="19"/>
      <x:c r="D332" s="19"/>
      <x:c r="E332" s="19"/>
      <x:c r="F332" s="19"/>
      <x:c r="G332" s="19"/>
      <x:c r="H332" s="25"/>
      <x:c r="I332" s="112" t="str">
        <x:f>IF($A332="","",SUMIFS('PipelineStages'!$E$2:$E$100,'PipelineStages'!$A$2:$A$100,$E332,'PipelineStages'!$B$2:$B$100,$F332))</x:f>
      </x:c>
      <x:c r="J332" s="24"/>
      <x:c r="K332" s="19"/>
      <x:c r="L332" s="100" t="str">
        <x:f>IF($A332="","",IF(COUNTIFS('FollowUps'!$C$2:$C$500,$A332,'FollowUps'!$H$2:$H$500,"open")=0,"",MINIFS('FollowUps'!$E$2:$E$500,'FollowUps'!$C$2:$C$500,$A332,'FollowUps'!$H$2:$H$500,"open")))</x:f>
      </x:c>
      <x:c r="M332" s="19"/>
      <x:c r="N332" s="26"/>
      <x:c r="O332" s="19"/>
      <x:c r="P332" s="26"/>
      <x:c r="Q332" s="19"/>
      <x:c r="R332" s="26"/>
      <x:c r="S332" s="19"/>
      <x:c r="T332" s="19"/>
    </x:row>
    <x:row r="333">
      <x:c r="A333" s="19"/>
      <x:c r="B333" s="19"/>
      <x:c r="C333" s="19"/>
      <x:c r="D333" s="19"/>
      <x:c r="E333" s="19"/>
      <x:c r="F333" s="19"/>
      <x:c r="G333" s="19"/>
      <x:c r="H333" s="25"/>
      <x:c r="I333" s="112" t="str">
        <x:f>IF($A333="","",SUMIFS('PipelineStages'!$E$2:$E$100,'PipelineStages'!$A$2:$A$100,$E333,'PipelineStages'!$B$2:$B$100,$F333))</x:f>
      </x:c>
      <x:c r="J333" s="24"/>
      <x:c r="K333" s="19"/>
      <x:c r="L333" s="100" t="str">
        <x:f>IF($A333="","",IF(COUNTIFS('FollowUps'!$C$2:$C$500,$A333,'FollowUps'!$H$2:$H$500,"open")=0,"",MINIFS('FollowUps'!$E$2:$E$500,'FollowUps'!$C$2:$C$500,$A333,'FollowUps'!$H$2:$H$500,"open")))</x:f>
      </x:c>
      <x:c r="M333" s="19"/>
      <x:c r="N333" s="26"/>
      <x:c r="O333" s="19"/>
      <x:c r="P333" s="26"/>
      <x:c r="Q333" s="19"/>
      <x:c r="R333" s="26"/>
      <x:c r="S333" s="19"/>
      <x:c r="T333" s="19"/>
    </x:row>
    <x:row r="334">
      <x:c r="A334" s="19"/>
      <x:c r="B334" s="19"/>
      <x:c r="C334" s="19"/>
      <x:c r="D334" s="19"/>
      <x:c r="E334" s="19"/>
      <x:c r="F334" s="19"/>
      <x:c r="G334" s="19"/>
      <x:c r="H334" s="25"/>
      <x:c r="I334" s="112" t="str">
        <x:f>IF($A334="","",SUMIFS('PipelineStages'!$E$2:$E$100,'PipelineStages'!$A$2:$A$100,$E334,'PipelineStages'!$B$2:$B$100,$F334))</x:f>
      </x:c>
      <x:c r="J334" s="24"/>
      <x:c r="K334" s="19"/>
      <x:c r="L334" s="100" t="str">
        <x:f>IF($A334="","",IF(COUNTIFS('FollowUps'!$C$2:$C$500,$A334,'FollowUps'!$H$2:$H$500,"open")=0,"",MINIFS('FollowUps'!$E$2:$E$500,'FollowUps'!$C$2:$C$500,$A334,'FollowUps'!$H$2:$H$500,"open")))</x:f>
      </x:c>
      <x:c r="M334" s="19"/>
      <x:c r="N334" s="26"/>
      <x:c r="O334" s="19"/>
      <x:c r="P334" s="26"/>
      <x:c r="Q334" s="19"/>
      <x:c r="R334" s="26"/>
      <x:c r="S334" s="19"/>
      <x:c r="T334" s="19"/>
    </x:row>
    <x:row r="335">
      <x:c r="A335" s="19"/>
      <x:c r="B335" s="19"/>
      <x:c r="C335" s="19"/>
      <x:c r="D335" s="19"/>
      <x:c r="E335" s="19"/>
      <x:c r="F335" s="19"/>
      <x:c r="G335" s="19"/>
      <x:c r="H335" s="25"/>
      <x:c r="I335" s="112" t="str">
        <x:f>IF($A335="","",SUMIFS('PipelineStages'!$E$2:$E$100,'PipelineStages'!$A$2:$A$100,$E335,'PipelineStages'!$B$2:$B$100,$F335))</x:f>
      </x:c>
      <x:c r="J335" s="24"/>
      <x:c r="K335" s="19"/>
      <x:c r="L335" s="100" t="str">
        <x:f>IF($A335="","",IF(COUNTIFS('FollowUps'!$C$2:$C$500,$A335,'FollowUps'!$H$2:$H$500,"open")=0,"",MINIFS('FollowUps'!$E$2:$E$500,'FollowUps'!$C$2:$C$500,$A335,'FollowUps'!$H$2:$H$500,"open")))</x:f>
      </x:c>
      <x:c r="M335" s="19"/>
      <x:c r="N335" s="26"/>
      <x:c r="O335" s="19"/>
      <x:c r="P335" s="26"/>
      <x:c r="Q335" s="19"/>
      <x:c r="R335" s="26"/>
      <x:c r="S335" s="19"/>
      <x:c r="T335" s="19"/>
    </x:row>
    <x:row r="336">
      <x:c r="A336" s="19"/>
      <x:c r="B336" s="19"/>
      <x:c r="C336" s="19"/>
      <x:c r="D336" s="19"/>
      <x:c r="E336" s="19"/>
      <x:c r="F336" s="19"/>
      <x:c r="G336" s="19"/>
      <x:c r="H336" s="25"/>
      <x:c r="I336" s="112" t="str">
        <x:f>IF($A336="","",SUMIFS('PipelineStages'!$E$2:$E$100,'PipelineStages'!$A$2:$A$100,$E336,'PipelineStages'!$B$2:$B$100,$F336))</x:f>
      </x:c>
      <x:c r="J336" s="24"/>
      <x:c r="K336" s="19"/>
      <x:c r="L336" s="100" t="str">
        <x:f>IF($A336="","",IF(COUNTIFS('FollowUps'!$C$2:$C$500,$A336,'FollowUps'!$H$2:$H$500,"open")=0,"",MINIFS('FollowUps'!$E$2:$E$500,'FollowUps'!$C$2:$C$500,$A336,'FollowUps'!$H$2:$H$500,"open")))</x:f>
      </x:c>
      <x:c r="M336" s="19"/>
      <x:c r="N336" s="26"/>
      <x:c r="O336" s="19"/>
      <x:c r="P336" s="26"/>
      <x:c r="Q336" s="19"/>
      <x:c r="R336" s="26"/>
      <x:c r="S336" s="19"/>
      <x:c r="T336" s="19"/>
    </x:row>
    <x:row r="337">
      <x:c r="A337" s="19"/>
      <x:c r="B337" s="19"/>
      <x:c r="C337" s="19"/>
      <x:c r="D337" s="19"/>
      <x:c r="E337" s="19"/>
      <x:c r="F337" s="19"/>
      <x:c r="G337" s="19"/>
      <x:c r="H337" s="25"/>
      <x:c r="I337" s="112" t="str">
        <x:f>IF($A337="","",SUMIFS('PipelineStages'!$E$2:$E$100,'PipelineStages'!$A$2:$A$100,$E337,'PipelineStages'!$B$2:$B$100,$F337))</x:f>
      </x:c>
      <x:c r="J337" s="24"/>
      <x:c r="K337" s="19"/>
      <x:c r="L337" s="100" t="str">
        <x:f>IF($A337="","",IF(COUNTIFS('FollowUps'!$C$2:$C$500,$A337,'FollowUps'!$H$2:$H$500,"open")=0,"",MINIFS('FollowUps'!$E$2:$E$500,'FollowUps'!$C$2:$C$500,$A337,'FollowUps'!$H$2:$H$500,"open")))</x:f>
      </x:c>
      <x:c r="M337" s="19"/>
      <x:c r="N337" s="26"/>
      <x:c r="O337" s="19"/>
      <x:c r="P337" s="26"/>
      <x:c r="Q337" s="19"/>
      <x:c r="R337" s="26"/>
      <x:c r="S337" s="19"/>
      <x:c r="T337" s="19"/>
    </x:row>
    <x:row r="338">
      <x:c r="A338" s="19"/>
      <x:c r="B338" s="19"/>
      <x:c r="C338" s="19"/>
      <x:c r="D338" s="19"/>
      <x:c r="E338" s="19"/>
      <x:c r="F338" s="19"/>
      <x:c r="G338" s="19"/>
      <x:c r="H338" s="25"/>
      <x:c r="I338" s="112" t="str">
        <x:f>IF($A338="","",SUMIFS('PipelineStages'!$E$2:$E$100,'PipelineStages'!$A$2:$A$100,$E338,'PipelineStages'!$B$2:$B$100,$F338))</x:f>
      </x:c>
      <x:c r="J338" s="24"/>
      <x:c r="K338" s="19"/>
      <x:c r="L338" s="100" t="str">
        <x:f>IF($A338="","",IF(COUNTIFS('FollowUps'!$C$2:$C$500,$A338,'FollowUps'!$H$2:$H$500,"open")=0,"",MINIFS('FollowUps'!$E$2:$E$500,'FollowUps'!$C$2:$C$500,$A338,'FollowUps'!$H$2:$H$500,"open")))</x:f>
      </x:c>
      <x:c r="M338" s="19"/>
      <x:c r="N338" s="26"/>
      <x:c r="O338" s="19"/>
      <x:c r="P338" s="26"/>
      <x:c r="Q338" s="19"/>
      <x:c r="R338" s="26"/>
      <x:c r="S338" s="19"/>
      <x:c r="T338" s="19"/>
    </x:row>
    <x:row r="339">
      <x:c r="A339" s="19"/>
      <x:c r="B339" s="19"/>
      <x:c r="C339" s="19"/>
      <x:c r="D339" s="19"/>
      <x:c r="E339" s="19"/>
      <x:c r="F339" s="19"/>
      <x:c r="G339" s="19"/>
      <x:c r="H339" s="25"/>
      <x:c r="I339" s="112" t="str">
        <x:f>IF($A339="","",SUMIFS('PipelineStages'!$E$2:$E$100,'PipelineStages'!$A$2:$A$100,$E339,'PipelineStages'!$B$2:$B$100,$F339))</x:f>
      </x:c>
      <x:c r="J339" s="24"/>
      <x:c r="K339" s="19"/>
      <x:c r="L339" s="100" t="str">
        <x:f>IF($A339="","",IF(COUNTIFS('FollowUps'!$C$2:$C$500,$A339,'FollowUps'!$H$2:$H$500,"open")=0,"",MINIFS('FollowUps'!$E$2:$E$500,'FollowUps'!$C$2:$C$500,$A339,'FollowUps'!$H$2:$H$500,"open")))</x:f>
      </x:c>
      <x:c r="M339" s="19"/>
      <x:c r="N339" s="26"/>
      <x:c r="O339" s="19"/>
      <x:c r="P339" s="26"/>
      <x:c r="Q339" s="19"/>
      <x:c r="R339" s="26"/>
      <x:c r="S339" s="19"/>
      <x:c r="T339" s="19"/>
    </x:row>
    <x:row r="340">
      <x:c r="A340" s="19"/>
      <x:c r="B340" s="19"/>
      <x:c r="C340" s="19"/>
      <x:c r="D340" s="19"/>
      <x:c r="E340" s="19"/>
      <x:c r="F340" s="19"/>
      <x:c r="G340" s="19"/>
      <x:c r="H340" s="25"/>
      <x:c r="I340" s="112" t="str">
        <x:f>IF($A340="","",SUMIFS('PipelineStages'!$E$2:$E$100,'PipelineStages'!$A$2:$A$100,$E340,'PipelineStages'!$B$2:$B$100,$F340))</x:f>
      </x:c>
      <x:c r="J340" s="24"/>
      <x:c r="K340" s="19"/>
      <x:c r="L340" s="100" t="str">
        <x:f>IF($A340="","",IF(COUNTIFS('FollowUps'!$C$2:$C$500,$A340,'FollowUps'!$H$2:$H$500,"open")=0,"",MINIFS('FollowUps'!$E$2:$E$500,'FollowUps'!$C$2:$C$500,$A340,'FollowUps'!$H$2:$H$500,"open")))</x:f>
      </x:c>
      <x:c r="M340" s="19"/>
      <x:c r="N340" s="26"/>
      <x:c r="O340" s="19"/>
      <x:c r="P340" s="26"/>
      <x:c r="Q340" s="19"/>
      <x:c r="R340" s="26"/>
      <x:c r="S340" s="19"/>
      <x:c r="T340" s="19"/>
    </x:row>
    <x:row r="341">
      <x:c r="A341" s="19"/>
      <x:c r="B341" s="19"/>
      <x:c r="C341" s="19"/>
      <x:c r="D341" s="19"/>
      <x:c r="E341" s="19"/>
      <x:c r="F341" s="19"/>
      <x:c r="G341" s="19"/>
      <x:c r="H341" s="25"/>
      <x:c r="I341" s="112" t="str">
        <x:f>IF($A341="","",SUMIFS('PipelineStages'!$E$2:$E$100,'PipelineStages'!$A$2:$A$100,$E341,'PipelineStages'!$B$2:$B$100,$F341))</x:f>
      </x:c>
      <x:c r="J341" s="24"/>
      <x:c r="K341" s="19"/>
      <x:c r="L341" s="100" t="str">
        <x:f>IF($A341="","",IF(COUNTIFS('FollowUps'!$C$2:$C$500,$A341,'FollowUps'!$H$2:$H$500,"open")=0,"",MINIFS('FollowUps'!$E$2:$E$500,'FollowUps'!$C$2:$C$500,$A341,'FollowUps'!$H$2:$H$500,"open")))</x:f>
      </x:c>
      <x:c r="M341" s="19"/>
      <x:c r="N341" s="26"/>
      <x:c r="O341" s="19"/>
      <x:c r="P341" s="26"/>
      <x:c r="Q341" s="19"/>
      <x:c r="R341" s="26"/>
      <x:c r="S341" s="19"/>
      <x:c r="T341" s="19"/>
    </x:row>
    <x:row r="342">
      <x:c r="A342" s="19"/>
      <x:c r="B342" s="19"/>
      <x:c r="C342" s="19"/>
      <x:c r="D342" s="19"/>
      <x:c r="E342" s="19"/>
      <x:c r="F342" s="19"/>
      <x:c r="G342" s="19"/>
      <x:c r="H342" s="25"/>
      <x:c r="I342" s="112" t="str">
        <x:f>IF($A342="","",SUMIFS('PipelineStages'!$E$2:$E$100,'PipelineStages'!$A$2:$A$100,$E342,'PipelineStages'!$B$2:$B$100,$F342))</x:f>
      </x:c>
      <x:c r="J342" s="24"/>
      <x:c r="K342" s="19"/>
      <x:c r="L342" s="100" t="str">
        <x:f>IF($A342="","",IF(COUNTIFS('FollowUps'!$C$2:$C$500,$A342,'FollowUps'!$H$2:$H$500,"open")=0,"",MINIFS('FollowUps'!$E$2:$E$500,'FollowUps'!$C$2:$C$500,$A342,'FollowUps'!$H$2:$H$500,"open")))</x:f>
      </x:c>
      <x:c r="M342" s="19"/>
      <x:c r="N342" s="26"/>
      <x:c r="O342" s="19"/>
      <x:c r="P342" s="26"/>
      <x:c r="Q342" s="19"/>
      <x:c r="R342" s="26"/>
      <x:c r="S342" s="19"/>
      <x:c r="T342" s="19"/>
    </x:row>
    <x:row r="343">
      <x:c r="A343" s="19"/>
      <x:c r="B343" s="19"/>
      <x:c r="C343" s="19"/>
      <x:c r="D343" s="19"/>
      <x:c r="E343" s="19"/>
      <x:c r="F343" s="19"/>
      <x:c r="G343" s="19"/>
      <x:c r="H343" s="25"/>
      <x:c r="I343" s="112" t="str">
        <x:f>IF($A343="","",SUMIFS('PipelineStages'!$E$2:$E$100,'PipelineStages'!$A$2:$A$100,$E343,'PipelineStages'!$B$2:$B$100,$F343))</x:f>
      </x:c>
      <x:c r="J343" s="24"/>
      <x:c r="K343" s="19"/>
      <x:c r="L343" s="100" t="str">
        <x:f>IF($A343="","",IF(COUNTIFS('FollowUps'!$C$2:$C$500,$A343,'FollowUps'!$H$2:$H$500,"open")=0,"",MINIFS('FollowUps'!$E$2:$E$500,'FollowUps'!$C$2:$C$500,$A343,'FollowUps'!$H$2:$H$500,"open")))</x:f>
      </x:c>
      <x:c r="M343" s="19"/>
      <x:c r="N343" s="26"/>
      <x:c r="O343" s="19"/>
      <x:c r="P343" s="26"/>
      <x:c r="Q343" s="19"/>
      <x:c r="R343" s="26"/>
      <x:c r="S343" s="19"/>
      <x:c r="T343" s="19"/>
    </x:row>
    <x:row r="344">
      <x:c r="A344" s="19"/>
      <x:c r="B344" s="19"/>
      <x:c r="C344" s="19"/>
      <x:c r="D344" s="19"/>
      <x:c r="E344" s="19"/>
      <x:c r="F344" s="19"/>
      <x:c r="G344" s="19"/>
      <x:c r="H344" s="25"/>
      <x:c r="I344" s="112" t="str">
        <x:f>IF($A344="","",SUMIFS('PipelineStages'!$E$2:$E$100,'PipelineStages'!$A$2:$A$100,$E344,'PipelineStages'!$B$2:$B$100,$F344))</x:f>
      </x:c>
      <x:c r="J344" s="24"/>
      <x:c r="K344" s="19"/>
      <x:c r="L344" s="100" t="str">
        <x:f>IF($A344="","",IF(COUNTIFS('FollowUps'!$C$2:$C$500,$A344,'FollowUps'!$H$2:$H$500,"open")=0,"",MINIFS('FollowUps'!$E$2:$E$500,'FollowUps'!$C$2:$C$500,$A344,'FollowUps'!$H$2:$H$500,"open")))</x:f>
      </x:c>
      <x:c r="M344" s="19"/>
      <x:c r="N344" s="26"/>
      <x:c r="O344" s="19"/>
      <x:c r="P344" s="26"/>
      <x:c r="Q344" s="19"/>
      <x:c r="R344" s="26"/>
      <x:c r="S344" s="19"/>
      <x:c r="T344" s="19"/>
    </x:row>
    <x:row r="345">
      <x:c r="A345" s="19"/>
      <x:c r="B345" s="19"/>
      <x:c r="C345" s="19"/>
      <x:c r="D345" s="19"/>
      <x:c r="E345" s="19"/>
      <x:c r="F345" s="19"/>
      <x:c r="G345" s="19"/>
      <x:c r="H345" s="25"/>
      <x:c r="I345" s="112" t="str">
        <x:f>IF($A345="","",SUMIFS('PipelineStages'!$E$2:$E$100,'PipelineStages'!$A$2:$A$100,$E345,'PipelineStages'!$B$2:$B$100,$F345))</x:f>
      </x:c>
      <x:c r="J345" s="24"/>
      <x:c r="K345" s="19"/>
      <x:c r="L345" s="100" t="str">
        <x:f>IF($A345="","",IF(COUNTIFS('FollowUps'!$C$2:$C$500,$A345,'FollowUps'!$H$2:$H$500,"open")=0,"",MINIFS('FollowUps'!$E$2:$E$500,'FollowUps'!$C$2:$C$500,$A345,'FollowUps'!$H$2:$H$500,"open")))</x:f>
      </x:c>
      <x:c r="M345" s="19"/>
      <x:c r="N345" s="26"/>
      <x:c r="O345" s="19"/>
      <x:c r="P345" s="26"/>
      <x:c r="Q345" s="19"/>
      <x:c r="R345" s="26"/>
      <x:c r="S345" s="19"/>
      <x:c r="T345" s="19"/>
    </x:row>
    <x:row r="346">
      <x:c r="A346" s="19"/>
      <x:c r="B346" s="19"/>
      <x:c r="C346" s="19"/>
      <x:c r="D346" s="19"/>
      <x:c r="E346" s="19"/>
      <x:c r="F346" s="19"/>
      <x:c r="G346" s="19"/>
      <x:c r="H346" s="25"/>
      <x:c r="I346" s="112" t="str">
        <x:f>IF($A346="","",SUMIFS('PipelineStages'!$E$2:$E$100,'PipelineStages'!$A$2:$A$100,$E346,'PipelineStages'!$B$2:$B$100,$F346))</x:f>
      </x:c>
      <x:c r="J346" s="24"/>
      <x:c r="K346" s="19"/>
      <x:c r="L346" s="100" t="str">
        <x:f>IF($A346="","",IF(COUNTIFS('FollowUps'!$C$2:$C$500,$A346,'FollowUps'!$H$2:$H$500,"open")=0,"",MINIFS('FollowUps'!$E$2:$E$500,'FollowUps'!$C$2:$C$500,$A346,'FollowUps'!$H$2:$H$500,"open")))</x:f>
      </x:c>
      <x:c r="M346" s="19"/>
      <x:c r="N346" s="26"/>
      <x:c r="O346" s="19"/>
      <x:c r="P346" s="26"/>
      <x:c r="Q346" s="19"/>
      <x:c r="R346" s="26"/>
      <x:c r="S346" s="19"/>
      <x:c r="T346" s="19"/>
    </x:row>
    <x:row r="347">
      <x:c r="A347" s="19"/>
      <x:c r="B347" s="19"/>
      <x:c r="C347" s="19"/>
      <x:c r="D347" s="19"/>
      <x:c r="E347" s="19"/>
      <x:c r="F347" s="19"/>
      <x:c r="G347" s="19"/>
      <x:c r="H347" s="25"/>
      <x:c r="I347" s="112" t="str">
        <x:f>IF($A347="","",SUMIFS('PipelineStages'!$E$2:$E$100,'PipelineStages'!$A$2:$A$100,$E347,'PipelineStages'!$B$2:$B$100,$F347))</x:f>
      </x:c>
      <x:c r="J347" s="24"/>
      <x:c r="K347" s="19"/>
      <x:c r="L347" s="100" t="str">
        <x:f>IF($A347="","",IF(COUNTIFS('FollowUps'!$C$2:$C$500,$A347,'FollowUps'!$H$2:$H$500,"open")=0,"",MINIFS('FollowUps'!$E$2:$E$500,'FollowUps'!$C$2:$C$500,$A347,'FollowUps'!$H$2:$H$500,"open")))</x:f>
      </x:c>
      <x:c r="M347" s="19"/>
      <x:c r="N347" s="26"/>
      <x:c r="O347" s="19"/>
      <x:c r="P347" s="26"/>
      <x:c r="Q347" s="19"/>
      <x:c r="R347" s="26"/>
      <x:c r="S347" s="19"/>
      <x:c r="T347" s="19"/>
    </x:row>
    <x:row r="348">
      <x:c r="A348" s="19"/>
      <x:c r="B348" s="19"/>
      <x:c r="C348" s="19"/>
      <x:c r="D348" s="19"/>
      <x:c r="E348" s="19"/>
      <x:c r="F348" s="19"/>
      <x:c r="G348" s="19"/>
      <x:c r="H348" s="25"/>
      <x:c r="I348" s="112" t="str">
        <x:f>IF($A348="","",SUMIFS('PipelineStages'!$E$2:$E$100,'PipelineStages'!$A$2:$A$100,$E348,'PipelineStages'!$B$2:$B$100,$F348))</x:f>
      </x:c>
      <x:c r="J348" s="24"/>
      <x:c r="K348" s="19"/>
      <x:c r="L348" s="100" t="str">
        <x:f>IF($A348="","",IF(COUNTIFS('FollowUps'!$C$2:$C$500,$A348,'FollowUps'!$H$2:$H$500,"open")=0,"",MINIFS('FollowUps'!$E$2:$E$500,'FollowUps'!$C$2:$C$500,$A348,'FollowUps'!$H$2:$H$500,"open")))</x:f>
      </x:c>
      <x:c r="M348" s="19"/>
      <x:c r="N348" s="26"/>
      <x:c r="O348" s="19"/>
      <x:c r="P348" s="26"/>
      <x:c r="Q348" s="19"/>
      <x:c r="R348" s="26"/>
      <x:c r="S348" s="19"/>
      <x:c r="T348" s="19"/>
    </x:row>
    <x:row r="349">
      <x:c r="A349" s="19"/>
      <x:c r="B349" s="19"/>
      <x:c r="C349" s="19"/>
      <x:c r="D349" s="19"/>
      <x:c r="E349" s="19"/>
      <x:c r="F349" s="19"/>
      <x:c r="G349" s="19"/>
      <x:c r="H349" s="25"/>
      <x:c r="I349" s="112" t="str">
        <x:f>IF($A349="","",SUMIFS('PipelineStages'!$E$2:$E$100,'PipelineStages'!$A$2:$A$100,$E349,'PipelineStages'!$B$2:$B$100,$F349))</x:f>
      </x:c>
      <x:c r="J349" s="24"/>
      <x:c r="K349" s="19"/>
      <x:c r="L349" s="100" t="str">
        <x:f>IF($A349="","",IF(COUNTIFS('FollowUps'!$C$2:$C$500,$A349,'FollowUps'!$H$2:$H$500,"open")=0,"",MINIFS('FollowUps'!$E$2:$E$500,'FollowUps'!$C$2:$C$500,$A349,'FollowUps'!$H$2:$H$500,"open")))</x:f>
      </x:c>
      <x:c r="M349" s="19"/>
      <x:c r="N349" s="26"/>
      <x:c r="O349" s="19"/>
      <x:c r="P349" s="26"/>
      <x:c r="Q349" s="19"/>
      <x:c r="R349" s="26"/>
      <x:c r="S349" s="19"/>
      <x:c r="T349" s="19"/>
    </x:row>
    <x:row r="350">
      <x:c r="A350" s="19"/>
      <x:c r="B350" s="19"/>
      <x:c r="C350" s="19"/>
      <x:c r="D350" s="19"/>
      <x:c r="E350" s="19"/>
      <x:c r="F350" s="19"/>
      <x:c r="G350" s="19"/>
      <x:c r="H350" s="25"/>
      <x:c r="I350" s="112" t="str">
        <x:f>IF($A350="","",SUMIFS('PipelineStages'!$E$2:$E$100,'PipelineStages'!$A$2:$A$100,$E350,'PipelineStages'!$B$2:$B$100,$F350))</x:f>
      </x:c>
      <x:c r="J350" s="24"/>
      <x:c r="K350" s="19"/>
      <x:c r="L350" s="100" t="str">
        <x:f>IF($A350="","",IF(COUNTIFS('FollowUps'!$C$2:$C$500,$A350,'FollowUps'!$H$2:$H$500,"open")=0,"",MINIFS('FollowUps'!$E$2:$E$500,'FollowUps'!$C$2:$C$500,$A350,'FollowUps'!$H$2:$H$500,"open")))</x:f>
      </x:c>
      <x:c r="M350" s="19"/>
      <x:c r="N350" s="26"/>
      <x:c r="O350" s="19"/>
      <x:c r="P350" s="26"/>
      <x:c r="Q350" s="19"/>
      <x:c r="R350" s="26"/>
      <x:c r="S350" s="19"/>
      <x:c r="T350" s="19"/>
    </x:row>
    <x:row r="351">
      <x:c r="A351" s="19"/>
      <x:c r="B351" s="19"/>
      <x:c r="C351" s="19"/>
      <x:c r="D351" s="19"/>
      <x:c r="E351" s="19"/>
      <x:c r="F351" s="19"/>
      <x:c r="G351" s="19"/>
      <x:c r="H351" s="25"/>
      <x:c r="I351" s="112" t="str">
        <x:f>IF($A351="","",SUMIFS('PipelineStages'!$E$2:$E$100,'PipelineStages'!$A$2:$A$100,$E351,'PipelineStages'!$B$2:$B$100,$F351))</x:f>
      </x:c>
      <x:c r="J351" s="24"/>
      <x:c r="K351" s="19"/>
      <x:c r="L351" s="100" t="str">
        <x:f>IF($A351="","",IF(COUNTIFS('FollowUps'!$C$2:$C$500,$A351,'FollowUps'!$H$2:$H$500,"open")=0,"",MINIFS('FollowUps'!$E$2:$E$500,'FollowUps'!$C$2:$C$500,$A351,'FollowUps'!$H$2:$H$500,"open")))</x:f>
      </x:c>
      <x:c r="M351" s="19"/>
      <x:c r="N351" s="26"/>
      <x:c r="O351" s="19"/>
      <x:c r="P351" s="26"/>
      <x:c r="Q351" s="19"/>
      <x:c r="R351" s="26"/>
      <x:c r="S351" s="19"/>
      <x:c r="T351" s="19"/>
    </x:row>
    <x:row r="352">
      <x:c r="A352" s="19"/>
      <x:c r="B352" s="19"/>
      <x:c r="C352" s="19"/>
      <x:c r="D352" s="19"/>
      <x:c r="E352" s="19"/>
      <x:c r="F352" s="19"/>
      <x:c r="G352" s="19"/>
      <x:c r="H352" s="25"/>
      <x:c r="I352" s="112" t="str">
        <x:f>IF($A352="","",SUMIFS('PipelineStages'!$E$2:$E$100,'PipelineStages'!$A$2:$A$100,$E352,'PipelineStages'!$B$2:$B$100,$F352))</x:f>
      </x:c>
      <x:c r="J352" s="24"/>
      <x:c r="K352" s="19"/>
      <x:c r="L352" s="100" t="str">
        <x:f>IF($A352="","",IF(COUNTIFS('FollowUps'!$C$2:$C$500,$A352,'FollowUps'!$H$2:$H$500,"open")=0,"",MINIFS('FollowUps'!$E$2:$E$500,'FollowUps'!$C$2:$C$500,$A352,'FollowUps'!$H$2:$H$500,"open")))</x:f>
      </x:c>
      <x:c r="M352" s="19"/>
      <x:c r="N352" s="26"/>
      <x:c r="O352" s="19"/>
      <x:c r="P352" s="26"/>
      <x:c r="Q352" s="19"/>
      <x:c r="R352" s="26"/>
      <x:c r="S352" s="19"/>
      <x:c r="T352" s="19"/>
    </x:row>
    <x:row r="353">
      <x:c r="A353" s="19"/>
      <x:c r="B353" s="19"/>
      <x:c r="C353" s="19"/>
      <x:c r="D353" s="19"/>
      <x:c r="E353" s="19"/>
      <x:c r="F353" s="19"/>
      <x:c r="G353" s="19"/>
      <x:c r="H353" s="25"/>
      <x:c r="I353" s="112" t="str">
        <x:f>IF($A353="","",SUMIFS('PipelineStages'!$E$2:$E$100,'PipelineStages'!$A$2:$A$100,$E353,'PipelineStages'!$B$2:$B$100,$F353))</x:f>
      </x:c>
      <x:c r="J353" s="24"/>
      <x:c r="K353" s="19"/>
      <x:c r="L353" s="100" t="str">
        <x:f>IF($A353="","",IF(COUNTIFS('FollowUps'!$C$2:$C$500,$A353,'FollowUps'!$H$2:$H$500,"open")=0,"",MINIFS('FollowUps'!$E$2:$E$500,'FollowUps'!$C$2:$C$500,$A353,'FollowUps'!$H$2:$H$500,"open")))</x:f>
      </x:c>
      <x:c r="M353" s="19"/>
      <x:c r="N353" s="26"/>
      <x:c r="O353" s="19"/>
      <x:c r="P353" s="26"/>
      <x:c r="Q353" s="19"/>
      <x:c r="R353" s="26"/>
      <x:c r="S353" s="19"/>
      <x:c r="T353" s="19"/>
    </x:row>
    <x:row r="354">
      <x:c r="A354" s="19"/>
      <x:c r="B354" s="19"/>
      <x:c r="C354" s="19"/>
      <x:c r="D354" s="19"/>
      <x:c r="E354" s="19"/>
      <x:c r="F354" s="19"/>
      <x:c r="G354" s="19"/>
      <x:c r="H354" s="25"/>
      <x:c r="I354" s="112" t="str">
        <x:f>IF($A354="","",SUMIFS('PipelineStages'!$E$2:$E$100,'PipelineStages'!$A$2:$A$100,$E354,'PipelineStages'!$B$2:$B$100,$F354))</x:f>
      </x:c>
      <x:c r="J354" s="24"/>
      <x:c r="K354" s="19"/>
      <x:c r="L354" s="100" t="str">
        <x:f>IF($A354="","",IF(COUNTIFS('FollowUps'!$C$2:$C$500,$A354,'FollowUps'!$H$2:$H$500,"open")=0,"",MINIFS('FollowUps'!$E$2:$E$500,'FollowUps'!$C$2:$C$500,$A354,'FollowUps'!$H$2:$H$500,"open")))</x:f>
      </x:c>
      <x:c r="M354" s="19"/>
      <x:c r="N354" s="26"/>
      <x:c r="O354" s="19"/>
      <x:c r="P354" s="26"/>
      <x:c r="Q354" s="19"/>
      <x:c r="R354" s="26"/>
      <x:c r="S354" s="19"/>
      <x:c r="T354" s="19"/>
    </x:row>
    <x:row r="355">
      <x:c r="A355" s="19"/>
      <x:c r="B355" s="19"/>
      <x:c r="C355" s="19"/>
      <x:c r="D355" s="19"/>
      <x:c r="E355" s="19"/>
      <x:c r="F355" s="19"/>
      <x:c r="G355" s="19"/>
      <x:c r="H355" s="25"/>
      <x:c r="I355" s="112" t="str">
        <x:f>IF($A355="","",SUMIFS('PipelineStages'!$E$2:$E$100,'PipelineStages'!$A$2:$A$100,$E355,'PipelineStages'!$B$2:$B$100,$F355))</x:f>
      </x:c>
      <x:c r="J355" s="24"/>
      <x:c r="K355" s="19"/>
      <x:c r="L355" s="100" t="str">
        <x:f>IF($A355="","",IF(COUNTIFS('FollowUps'!$C$2:$C$500,$A355,'FollowUps'!$H$2:$H$500,"open")=0,"",MINIFS('FollowUps'!$E$2:$E$500,'FollowUps'!$C$2:$C$500,$A355,'FollowUps'!$H$2:$H$500,"open")))</x:f>
      </x:c>
      <x:c r="M355" s="19"/>
      <x:c r="N355" s="26"/>
      <x:c r="O355" s="19"/>
      <x:c r="P355" s="26"/>
      <x:c r="Q355" s="19"/>
      <x:c r="R355" s="26"/>
      <x:c r="S355" s="19"/>
      <x:c r="T355" s="19"/>
    </x:row>
    <x:row r="356">
      <x:c r="A356" s="19"/>
      <x:c r="B356" s="19"/>
      <x:c r="C356" s="19"/>
      <x:c r="D356" s="19"/>
      <x:c r="E356" s="19"/>
      <x:c r="F356" s="19"/>
      <x:c r="G356" s="19"/>
      <x:c r="H356" s="25"/>
      <x:c r="I356" s="112" t="str">
        <x:f>IF($A356="","",SUMIFS('PipelineStages'!$E$2:$E$100,'PipelineStages'!$A$2:$A$100,$E356,'PipelineStages'!$B$2:$B$100,$F356))</x:f>
      </x:c>
      <x:c r="J356" s="24"/>
      <x:c r="K356" s="19"/>
      <x:c r="L356" s="100" t="str">
        <x:f>IF($A356="","",IF(COUNTIFS('FollowUps'!$C$2:$C$500,$A356,'FollowUps'!$H$2:$H$500,"open")=0,"",MINIFS('FollowUps'!$E$2:$E$500,'FollowUps'!$C$2:$C$500,$A356,'FollowUps'!$H$2:$H$500,"open")))</x:f>
      </x:c>
      <x:c r="M356" s="19"/>
      <x:c r="N356" s="26"/>
      <x:c r="O356" s="19"/>
      <x:c r="P356" s="26"/>
      <x:c r="Q356" s="19"/>
      <x:c r="R356" s="26"/>
      <x:c r="S356" s="19"/>
      <x:c r="T356" s="19"/>
    </x:row>
    <x:row r="357">
      <x:c r="A357" s="19"/>
      <x:c r="B357" s="19"/>
      <x:c r="C357" s="19"/>
      <x:c r="D357" s="19"/>
      <x:c r="E357" s="19"/>
      <x:c r="F357" s="19"/>
      <x:c r="G357" s="19"/>
      <x:c r="H357" s="25"/>
      <x:c r="I357" s="112" t="str">
        <x:f>IF($A357="","",SUMIFS('PipelineStages'!$E$2:$E$100,'PipelineStages'!$A$2:$A$100,$E357,'PipelineStages'!$B$2:$B$100,$F357))</x:f>
      </x:c>
      <x:c r="J357" s="24"/>
      <x:c r="K357" s="19"/>
      <x:c r="L357" s="100" t="str">
        <x:f>IF($A357="","",IF(COUNTIFS('FollowUps'!$C$2:$C$500,$A357,'FollowUps'!$H$2:$H$500,"open")=0,"",MINIFS('FollowUps'!$E$2:$E$500,'FollowUps'!$C$2:$C$500,$A357,'FollowUps'!$H$2:$H$500,"open")))</x:f>
      </x:c>
      <x:c r="M357" s="19"/>
      <x:c r="N357" s="26"/>
      <x:c r="O357" s="19"/>
      <x:c r="P357" s="26"/>
      <x:c r="Q357" s="19"/>
      <x:c r="R357" s="26"/>
      <x:c r="S357" s="19"/>
      <x:c r="T357" s="19"/>
    </x:row>
    <x:row r="358">
      <x:c r="A358" s="19"/>
      <x:c r="B358" s="19"/>
      <x:c r="C358" s="19"/>
      <x:c r="D358" s="19"/>
      <x:c r="E358" s="19"/>
      <x:c r="F358" s="19"/>
      <x:c r="G358" s="19"/>
      <x:c r="H358" s="25"/>
      <x:c r="I358" s="112" t="str">
        <x:f>IF($A358="","",SUMIFS('PipelineStages'!$E$2:$E$100,'PipelineStages'!$A$2:$A$100,$E358,'PipelineStages'!$B$2:$B$100,$F358))</x:f>
      </x:c>
      <x:c r="J358" s="24"/>
      <x:c r="K358" s="19"/>
      <x:c r="L358" s="100" t="str">
        <x:f>IF($A358="","",IF(COUNTIFS('FollowUps'!$C$2:$C$500,$A358,'FollowUps'!$H$2:$H$500,"open")=0,"",MINIFS('FollowUps'!$E$2:$E$500,'FollowUps'!$C$2:$C$500,$A358,'FollowUps'!$H$2:$H$500,"open")))</x:f>
      </x:c>
      <x:c r="M358" s="19"/>
      <x:c r="N358" s="26"/>
      <x:c r="O358" s="19"/>
      <x:c r="P358" s="26"/>
      <x:c r="Q358" s="19"/>
      <x:c r="R358" s="26"/>
      <x:c r="S358" s="19"/>
      <x:c r="T358" s="19"/>
    </x:row>
    <x:row r="359">
      <x:c r="A359" s="19"/>
      <x:c r="B359" s="19"/>
      <x:c r="C359" s="19"/>
      <x:c r="D359" s="19"/>
      <x:c r="E359" s="19"/>
      <x:c r="F359" s="19"/>
      <x:c r="G359" s="19"/>
      <x:c r="H359" s="25"/>
      <x:c r="I359" s="112" t="str">
        <x:f>IF($A359="","",SUMIFS('PipelineStages'!$E$2:$E$100,'PipelineStages'!$A$2:$A$100,$E359,'PipelineStages'!$B$2:$B$100,$F359))</x:f>
      </x:c>
      <x:c r="J359" s="24"/>
      <x:c r="K359" s="19"/>
      <x:c r="L359" s="100" t="str">
        <x:f>IF($A359="","",IF(COUNTIFS('FollowUps'!$C$2:$C$500,$A359,'FollowUps'!$H$2:$H$500,"open")=0,"",MINIFS('FollowUps'!$E$2:$E$500,'FollowUps'!$C$2:$C$500,$A359,'FollowUps'!$H$2:$H$500,"open")))</x:f>
      </x:c>
      <x:c r="M359" s="19"/>
      <x:c r="N359" s="26"/>
      <x:c r="O359" s="19"/>
      <x:c r="P359" s="26"/>
      <x:c r="Q359" s="19"/>
      <x:c r="R359" s="26"/>
      <x:c r="S359" s="19"/>
      <x:c r="T359" s="19"/>
    </x:row>
    <x:row r="360">
      <x:c r="A360" s="19"/>
      <x:c r="B360" s="19"/>
      <x:c r="C360" s="19"/>
      <x:c r="D360" s="19"/>
      <x:c r="E360" s="19"/>
      <x:c r="F360" s="19"/>
      <x:c r="G360" s="19"/>
      <x:c r="H360" s="25"/>
      <x:c r="I360" s="112" t="str">
        <x:f>IF($A360="","",SUMIFS('PipelineStages'!$E$2:$E$100,'PipelineStages'!$A$2:$A$100,$E360,'PipelineStages'!$B$2:$B$100,$F360))</x:f>
      </x:c>
      <x:c r="J360" s="24"/>
      <x:c r="K360" s="19"/>
      <x:c r="L360" s="100" t="str">
        <x:f>IF($A360="","",IF(COUNTIFS('FollowUps'!$C$2:$C$500,$A360,'FollowUps'!$H$2:$H$500,"open")=0,"",MINIFS('FollowUps'!$E$2:$E$500,'FollowUps'!$C$2:$C$500,$A360,'FollowUps'!$H$2:$H$500,"open")))</x:f>
      </x:c>
      <x:c r="M360" s="19"/>
      <x:c r="N360" s="26"/>
      <x:c r="O360" s="19"/>
      <x:c r="P360" s="26"/>
      <x:c r="Q360" s="19"/>
      <x:c r="R360" s="26"/>
      <x:c r="S360" s="19"/>
      <x:c r="T360" s="19"/>
    </x:row>
    <x:row r="361">
      <x:c r="A361" s="19"/>
      <x:c r="B361" s="19"/>
      <x:c r="C361" s="19"/>
      <x:c r="D361" s="19"/>
      <x:c r="E361" s="19"/>
      <x:c r="F361" s="19"/>
      <x:c r="G361" s="19"/>
      <x:c r="H361" s="25"/>
      <x:c r="I361" s="112" t="str">
        <x:f>IF($A361="","",SUMIFS('PipelineStages'!$E$2:$E$100,'PipelineStages'!$A$2:$A$100,$E361,'PipelineStages'!$B$2:$B$100,$F361))</x:f>
      </x:c>
      <x:c r="J361" s="24"/>
      <x:c r="K361" s="19"/>
      <x:c r="L361" s="100" t="str">
        <x:f>IF($A361="","",IF(COUNTIFS('FollowUps'!$C$2:$C$500,$A361,'FollowUps'!$H$2:$H$500,"open")=0,"",MINIFS('FollowUps'!$E$2:$E$500,'FollowUps'!$C$2:$C$500,$A361,'FollowUps'!$H$2:$H$500,"open")))</x:f>
      </x:c>
      <x:c r="M361" s="19"/>
      <x:c r="N361" s="26"/>
      <x:c r="O361" s="19"/>
      <x:c r="P361" s="26"/>
      <x:c r="Q361" s="19"/>
      <x:c r="R361" s="26"/>
      <x:c r="S361" s="19"/>
      <x:c r="T361" s="19"/>
    </x:row>
    <x:row r="362">
      <x:c r="A362" s="19"/>
      <x:c r="B362" s="19"/>
      <x:c r="C362" s="19"/>
      <x:c r="D362" s="19"/>
      <x:c r="E362" s="19"/>
      <x:c r="F362" s="19"/>
      <x:c r="G362" s="19"/>
      <x:c r="H362" s="25"/>
      <x:c r="I362" s="112" t="str">
        <x:f>IF($A362="","",SUMIFS('PipelineStages'!$E$2:$E$100,'PipelineStages'!$A$2:$A$100,$E362,'PipelineStages'!$B$2:$B$100,$F362))</x:f>
      </x:c>
      <x:c r="J362" s="24"/>
      <x:c r="K362" s="19"/>
      <x:c r="L362" s="100" t="str">
        <x:f>IF($A362="","",IF(COUNTIFS('FollowUps'!$C$2:$C$500,$A362,'FollowUps'!$H$2:$H$500,"open")=0,"",MINIFS('FollowUps'!$E$2:$E$500,'FollowUps'!$C$2:$C$500,$A362,'FollowUps'!$H$2:$H$500,"open")))</x:f>
      </x:c>
      <x:c r="M362" s="19"/>
      <x:c r="N362" s="26"/>
      <x:c r="O362" s="19"/>
      <x:c r="P362" s="26"/>
      <x:c r="Q362" s="19"/>
      <x:c r="R362" s="26"/>
      <x:c r="S362" s="19"/>
      <x:c r="T362" s="19"/>
    </x:row>
    <x:row r="363">
      <x:c r="A363" s="19"/>
      <x:c r="B363" s="19"/>
      <x:c r="C363" s="19"/>
      <x:c r="D363" s="19"/>
      <x:c r="E363" s="19"/>
      <x:c r="F363" s="19"/>
      <x:c r="G363" s="19"/>
      <x:c r="H363" s="25"/>
      <x:c r="I363" s="112" t="str">
        <x:f>IF($A363="","",SUMIFS('PipelineStages'!$E$2:$E$100,'PipelineStages'!$A$2:$A$100,$E363,'PipelineStages'!$B$2:$B$100,$F363))</x:f>
      </x:c>
      <x:c r="J363" s="24"/>
      <x:c r="K363" s="19"/>
      <x:c r="L363" s="100" t="str">
        <x:f>IF($A363="","",IF(COUNTIFS('FollowUps'!$C$2:$C$500,$A363,'FollowUps'!$H$2:$H$500,"open")=0,"",MINIFS('FollowUps'!$E$2:$E$500,'FollowUps'!$C$2:$C$500,$A363,'FollowUps'!$H$2:$H$500,"open")))</x:f>
      </x:c>
      <x:c r="M363" s="19"/>
      <x:c r="N363" s="26"/>
      <x:c r="O363" s="19"/>
      <x:c r="P363" s="26"/>
      <x:c r="Q363" s="19"/>
      <x:c r="R363" s="26"/>
      <x:c r="S363" s="19"/>
      <x:c r="T363" s="19"/>
    </x:row>
    <x:row r="364">
      <x:c r="A364" s="19"/>
      <x:c r="B364" s="19"/>
      <x:c r="C364" s="19"/>
      <x:c r="D364" s="19"/>
      <x:c r="E364" s="19"/>
      <x:c r="F364" s="19"/>
      <x:c r="G364" s="19"/>
      <x:c r="H364" s="25"/>
      <x:c r="I364" s="112" t="str">
        <x:f>IF($A364="","",SUMIFS('PipelineStages'!$E$2:$E$100,'PipelineStages'!$A$2:$A$100,$E364,'PipelineStages'!$B$2:$B$100,$F364))</x:f>
      </x:c>
      <x:c r="J364" s="24"/>
      <x:c r="K364" s="19"/>
      <x:c r="L364" s="100" t="str">
        <x:f>IF($A364="","",IF(COUNTIFS('FollowUps'!$C$2:$C$500,$A364,'FollowUps'!$H$2:$H$500,"open")=0,"",MINIFS('FollowUps'!$E$2:$E$500,'FollowUps'!$C$2:$C$500,$A364,'FollowUps'!$H$2:$H$500,"open")))</x:f>
      </x:c>
      <x:c r="M364" s="19"/>
      <x:c r="N364" s="26"/>
      <x:c r="O364" s="19"/>
      <x:c r="P364" s="26"/>
      <x:c r="Q364" s="19"/>
      <x:c r="R364" s="26"/>
      <x:c r="S364" s="19"/>
      <x:c r="T364" s="19"/>
    </x:row>
    <x:row r="365">
      <x:c r="A365" s="19"/>
      <x:c r="B365" s="19"/>
      <x:c r="C365" s="19"/>
      <x:c r="D365" s="19"/>
      <x:c r="E365" s="19"/>
      <x:c r="F365" s="19"/>
      <x:c r="G365" s="19"/>
      <x:c r="H365" s="25"/>
      <x:c r="I365" s="112" t="str">
        <x:f>IF($A365="","",SUMIFS('PipelineStages'!$E$2:$E$100,'PipelineStages'!$A$2:$A$100,$E365,'PipelineStages'!$B$2:$B$100,$F365))</x:f>
      </x:c>
      <x:c r="J365" s="24"/>
      <x:c r="K365" s="19"/>
      <x:c r="L365" s="100" t="str">
        <x:f>IF($A365="","",IF(COUNTIFS('FollowUps'!$C$2:$C$500,$A365,'FollowUps'!$H$2:$H$500,"open")=0,"",MINIFS('FollowUps'!$E$2:$E$500,'FollowUps'!$C$2:$C$500,$A365,'FollowUps'!$H$2:$H$500,"open")))</x:f>
      </x:c>
      <x:c r="M365" s="19"/>
      <x:c r="N365" s="26"/>
      <x:c r="O365" s="19"/>
      <x:c r="P365" s="26"/>
      <x:c r="Q365" s="19"/>
      <x:c r="R365" s="26"/>
      <x:c r="S365" s="19"/>
      <x:c r="T365" s="19"/>
    </x:row>
    <x:row r="366">
      <x:c r="A366" s="19"/>
      <x:c r="B366" s="19"/>
      <x:c r="C366" s="19"/>
      <x:c r="D366" s="19"/>
      <x:c r="E366" s="19"/>
      <x:c r="F366" s="19"/>
      <x:c r="G366" s="19"/>
      <x:c r="H366" s="25"/>
      <x:c r="I366" s="112" t="str">
        <x:f>IF($A366="","",SUMIFS('PipelineStages'!$E$2:$E$100,'PipelineStages'!$A$2:$A$100,$E366,'PipelineStages'!$B$2:$B$100,$F366))</x:f>
      </x:c>
      <x:c r="J366" s="24"/>
      <x:c r="K366" s="19"/>
      <x:c r="L366" s="100" t="str">
        <x:f>IF($A366="","",IF(COUNTIFS('FollowUps'!$C$2:$C$500,$A366,'FollowUps'!$H$2:$H$500,"open")=0,"",MINIFS('FollowUps'!$E$2:$E$500,'FollowUps'!$C$2:$C$500,$A366,'FollowUps'!$H$2:$H$500,"open")))</x:f>
      </x:c>
      <x:c r="M366" s="19"/>
      <x:c r="N366" s="26"/>
      <x:c r="O366" s="19"/>
      <x:c r="P366" s="26"/>
      <x:c r="Q366" s="19"/>
      <x:c r="R366" s="26"/>
      <x:c r="S366" s="19"/>
      <x:c r="T366" s="19"/>
    </x:row>
    <x:row r="367">
      <x:c r="A367" s="19"/>
      <x:c r="B367" s="19"/>
      <x:c r="C367" s="19"/>
      <x:c r="D367" s="19"/>
      <x:c r="E367" s="19"/>
      <x:c r="F367" s="19"/>
      <x:c r="G367" s="19"/>
      <x:c r="H367" s="25"/>
      <x:c r="I367" s="112" t="str">
        <x:f>IF($A367="","",SUMIFS('PipelineStages'!$E$2:$E$100,'PipelineStages'!$A$2:$A$100,$E367,'PipelineStages'!$B$2:$B$100,$F367))</x:f>
      </x:c>
      <x:c r="J367" s="24"/>
      <x:c r="K367" s="19"/>
      <x:c r="L367" s="100" t="str">
        <x:f>IF($A367="","",IF(COUNTIFS('FollowUps'!$C$2:$C$500,$A367,'FollowUps'!$H$2:$H$500,"open")=0,"",MINIFS('FollowUps'!$E$2:$E$500,'FollowUps'!$C$2:$C$500,$A367,'FollowUps'!$H$2:$H$500,"open")))</x:f>
      </x:c>
      <x:c r="M367" s="19"/>
      <x:c r="N367" s="26"/>
      <x:c r="O367" s="19"/>
      <x:c r="P367" s="26"/>
      <x:c r="Q367" s="19"/>
      <x:c r="R367" s="26"/>
      <x:c r="S367" s="19"/>
      <x:c r="T367" s="19"/>
    </x:row>
    <x:row r="368">
      <x:c r="A368" s="19"/>
      <x:c r="B368" s="19"/>
      <x:c r="C368" s="19"/>
      <x:c r="D368" s="19"/>
      <x:c r="E368" s="19"/>
      <x:c r="F368" s="19"/>
      <x:c r="G368" s="19"/>
      <x:c r="H368" s="25"/>
      <x:c r="I368" s="112" t="str">
        <x:f>IF($A368="","",SUMIFS('PipelineStages'!$E$2:$E$100,'PipelineStages'!$A$2:$A$100,$E368,'PipelineStages'!$B$2:$B$100,$F368))</x:f>
      </x:c>
      <x:c r="J368" s="24"/>
      <x:c r="K368" s="19"/>
      <x:c r="L368" s="100" t="str">
        <x:f>IF($A368="","",IF(COUNTIFS('FollowUps'!$C$2:$C$500,$A368,'FollowUps'!$H$2:$H$500,"open")=0,"",MINIFS('FollowUps'!$E$2:$E$500,'FollowUps'!$C$2:$C$500,$A368,'FollowUps'!$H$2:$H$500,"open")))</x:f>
      </x:c>
      <x:c r="M368" s="19"/>
      <x:c r="N368" s="26"/>
      <x:c r="O368" s="19"/>
      <x:c r="P368" s="26"/>
      <x:c r="Q368" s="19"/>
      <x:c r="R368" s="26"/>
      <x:c r="S368" s="19"/>
      <x:c r="T368" s="19"/>
    </x:row>
    <x:row r="369">
      <x:c r="A369" s="19"/>
      <x:c r="B369" s="19"/>
      <x:c r="C369" s="19"/>
      <x:c r="D369" s="19"/>
      <x:c r="E369" s="19"/>
      <x:c r="F369" s="19"/>
      <x:c r="G369" s="19"/>
      <x:c r="H369" s="25"/>
      <x:c r="I369" s="112" t="str">
        <x:f>IF($A369="","",SUMIFS('PipelineStages'!$E$2:$E$100,'PipelineStages'!$A$2:$A$100,$E369,'PipelineStages'!$B$2:$B$100,$F369))</x:f>
      </x:c>
      <x:c r="J369" s="24"/>
      <x:c r="K369" s="19"/>
      <x:c r="L369" s="100" t="str">
        <x:f>IF($A369="","",IF(COUNTIFS('FollowUps'!$C$2:$C$500,$A369,'FollowUps'!$H$2:$H$500,"open")=0,"",MINIFS('FollowUps'!$E$2:$E$500,'FollowUps'!$C$2:$C$500,$A369,'FollowUps'!$H$2:$H$500,"open")))</x:f>
      </x:c>
      <x:c r="M369" s="19"/>
      <x:c r="N369" s="26"/>
      <x:c r="O369" s="19"/>
      <x:c r="P369" s="26"/>
      <x:c r="Q369" s="19"/>
      <x:c r="R369" s="26"/>
      <x:c r="S369" s="19"/>
      <x:c r="T369" s="19"/>
    </x:row>
    <x:row r="370">
      <x:c r="A370" s="19"/>
      <x:c r="B370" s="19"/>
      <x:c r="C370" s="19"/>
      <x:c r="D370" s="19"/>
      <x:c r="E370" s="19"/>
      <x:c r="F370" s="19"/>
      <x:c r="G370" s="19"/>
      <x:c r="H370" s="25"/>
      <x:c r="I370" s="112" t="str">
        <x:f>IF($A370="","",SUMIFS('PipelineStages'!$E$2:$E$100,'PipelineStages'!$A$2:$A$100,$E370,'PipelineStages'!$B$2:$B$100,$F370))</x:f>
      </x:c>
      <x:c r="J370" s="24"/>
      <x:c r="K370" s="19"/>
      <x:c r="L370" s="100" t="str">
        <x:f>IF($A370="","",IF(COUNTIFS('FollowUps'!$C$2:$C$500,$A370,'FollowUps'!$H$2:$H$500,"open")=0,"",MINIFS('FollowUps'!$E$2:$E$500,'FollowUps'!$C$2:$C$500,$A370,'FollowUps'!$H$2:$H$500,"open")))</x:f>
      </x:c>
      <x:c r="M370" s="19"/>
      <x:c r="N370" s="26"/>
      <x:c r="O370" s="19"/>
      <x:c r="P370" s="26"/>
      <x:c r="Q370" s="19"/>
      <x:c r="R370" s="26"/>
      <x:c r="S370" s="19"/>
      <x:c r="T370" s="19"/>
    </x:row>
    <x:row r="371">
      <x:c r="A371" s="19"/>
      <x:c r="B371" s="19"/>
      <x:c r="C371" s="19"/>
      <x:c r="D371" s="19"/>
      <x:c r="E371" s="19"/>
      <x:c r="F371" s="19"/>
      <x:c r="G371" s="19"/>
      <x:c r="H371" s="25"/>
      <x:c r="I371" s="112" t="str">
        <x:f>IF($A371="","",SUMIFS('PipelineStages'!$E$2:$E$100,'PipelineStages'!$A$2:$A$100,$E371,'PipelineStages'!$B$2:$B$100,$F371))</x:f>
      </x:c>
      <x:c r="J371" s="24"/>
      <x:c r="K371" s="19"/>
      <x:c r="L371" s="100" t="str">
        <x:f>IF($A371="","",IF(COUNTIFS('FollowUps'!$C$2:$C$500,$A371,'FollowUps'!$H$2:$H$500,"open")=0,"",MINIFS('FollowUps'!$E$2:$E$500,'FollowUps'!$C$2:$C$500,$A371,'FollowUps'!$H$2:$H$500,"open")))</x:f>
      </x:c>
      <x:c r="M371" s="19"/>
      <x:c r="N371" s="26"/>
      <x:c r="O371" s="19"/>
      <x:c r="P371" s="26"/>
      <x:c r="Q371" s="19"/>
      <x:c r="R371" s="26"/>
      <x:c r="S371" s="19"/>
      <x:c r="T371" s="19"/>
    </x:row>
    <x:row r="372">
      <x:c r="A372" s="19"/>
      <x:c r="B372" s="19"/>
      <x:c r="C372" s="19"/>
      <x:c r="D372" s="19"/>
      <x:c r="E372" s="19"/>
      <x:c r="F372" s="19"/>
      <x:c r="G372" s="19"/>
      <x:c r="H372" s="25"/>
      <x:c r="I372" s="112" t="str">
        <x:f>IF($A372="","",SUMIFS('PipelineStages'!$E$2:$E$100,'PipelineStages'!$A$2:$A$100,$E372,'PipelineStages'!$B$2:$B$100,$F372))</x:f>
      </x:c>
      <x:c r="J372" s="24"/>
      <x:c r="K372" s="19"/>
      <x:c r="L372" s="100" t="str">
        <x:f>IF($A372="","",IF(COUNTIFS('FollowUps'!$C$2:$C$500,$A372,'FollowUps'!$H$2:$H$500,"open")=0,"",MINIFS('FollowUps'!$E$2:$E$500,'FollowUps'!$C$2:$C$500,$A372,'FollowUps'!$H$2:$H$500,"open")))</x:f>
      </x:c>
      <x:c r="M372" s="19"/>
      <x:c r="N372" s="26"/>
      <x:c r="O372" s="19"/>
      <x:c r="P372" s="26"/>
      <x:c r="Q372" s="19"/>
      <x:c r="R372" s="26"/>
      <x:c r="S372" s="19"/>
      <x:c r="T372" s="19"/>
    </x:row>
    <x:row r="373">
      <x:c r="A373" s="19"/>
      <x:c r="B373" s="19"/>
      <x:c r="C373" s="19"/>
      <x:c r="D373" s="19"/>
      <x:c r="E373" s="19"/>
      <x:c r="F373" s="19"/>
      <x:c r="G373" s="19"/>
      <x:c r="H373" s="25"/>
      <x:c r="I373" s="112" t="str">
        <x:f>IF($A373="","",SUMIFS('PipelineStages'!$E$2:$E$100,'PipelineStages'!$A$2:$A$100,$E373,'PipelineStages'!$B$2:$B$100,$F373))</x:f>
      </x:c>
      <x:c r="J373" s="24"/>
      <x:c r="K373" s="19"/>
      <x:c r="L373" s="100" t="str">
        <x:f>IF($A373="","",IF(COUNTIFS('FollowUps'!$C$2:$C$500,$A373,'FollowUps'!$H$2:$H$500,"open")=0,"",MINIFS('FollowUps'!$E$2:$E$500,'FollowUps'!$C$2:$C$500,$A373,'FollowUps'!$H$2:$H$500,"open")))</x:f>
      </x:c>
      <x:c r="M373" s="19"/>
      <x:c r="N373" s="26"/>
      <x:c r="O373" s="19"/>
      <x:c r="P373" s="26"/>
      <x:c r="Q373" s="19"/>
      <x:c r="R373" s="26"/>
      <x:c r="S373" s="19"/>
      <x:c r="T373" s="19"/>
    </x:row>
    <x:row r="374">
      <x:c r="A374" s="19"/>
      <x:c r="B374" s="19"/>
      <x:c r="C374" s="19"/>
      <x:c r="D374" s="19"/>
      <x:c r="E374" s="19"/>
      <x:c r="F374" s="19"/>
      <x:c r="G374" s="19"/>
      <x:c r="H374" s="25"/>
      <x:c r="I374" s="112" t="str">
        <x:f>IF($A374="","",SUMIFS('PipelineStages'!$E$2:$E$100,'PipelineStages'!$A$2:$A$100,$E374,'PipelineStages'!$B$2:$B$100,$F374))</x:f>
      </x:c>
      <x:c r="J374" s="24"/>
      <x:c r="K374" s="19"/>
      <x:c r="L374" s="100" t="str">
        <x:f>IF($A374="","",IF(COUNTIFS('FollowUps'!$C$2:$C$500,$A374,'FollowUps'!$H$2:$H$500,"open")=0,"",MINIFS('FollowUps'!$E$2:$E$500,'FollowUps'!$C$2:$C$500,$A374,'FollowUps'!$H$2:$H$500,"open")))</x:f>
      </x:c>
      <x:c r="M374" s="19"/>
      <x:c r="N374" s="26"/>
      <x:c r="O374" s="19"/>
      <x:c r="P374" s="26"/>
      <x:c r="Q374" s="19"/>
      <x:c r="R374" s="26"/>
      <x:c r="S374" s="19"/>
      <x:c r="T374" s="19"/>
    </x:row>
    <x:row r="375">
      <x:c r="A375" s="19"/>
      <x:c r="B375" s="19"/>
      <x:c r="C375" s="19"/>
      <x:c r="D375" s="19"/>
      <x:c r="E375" s="19"/>
      <x:c r="F375" s="19"/>
      <x:c r="G375" s="19"/>
      <x:c r="H375" s="25"/>
      <x:c r="I375" s="112" t="str">
        <x:f>IF($A375="","",SUMIFS('PipelineStages'!$E$2:$E$100,'PipelineStages'!$A$2:$A$100,$E375,'PipelineStages'!$B$2:$B$100,$F375))</x:f>
      </x:c>
      <x:c r="J375" s="24"/>
      <x:c r="K375" s="19"/>
      <x:c r="L375" s="100" t="str">
        <x:f>IF($A375="","",IF(COUNTIFS('FollowUps'!$C$2:$C$500,$A375,'FollowUps'!$H$2:$H$500,"open")=0,"",MINIFS('FollowUps'!$E$2:$E$500,'FollowUps'!$C$2:$C$500,$A375,'FollowUps'!$H$2:$H$500,"open")))</x:f>
      </x:c>
      <x:c r="M375" s="19"/>
      <x:c r="N375" s="26"/>
      <x:c r="O375" s="19"/>
      <x:c r="P375" s="26"/>
      <x:c r="Q375" s="19"/>
      <x:c r="R375" s="26"/>
      <x:c r="S375" s="19"/>
      <x:c r="T375" s="19"/>
    </x:row>
    <x:row r="376">
      <x:c r="A376" s="19"/>
      <x:c r="B376" s="19"/>
      <x:c r="C376" s="19"/>
      <x:c r="D376" s="19"/>
      <x:c r="E376" s="19"/>
      <x:c r="F376" s="19"/>
      <x:c r="G376" s="19"/>
      <x:c r="H376" s="25"/>
      <x:c r="I376" s="112" t="str">
        <x:f>IF($A376="","",SUMIFS('PipelineStages'!$E$2:$E$100,'PipelineStages'!$A$2:$A$100,$E376,'PipelineStages'!$B$2:$B$100,$F376))</x:f>
      </x:c>
      <x:c r="J376" s="24"/>
      <x:c r="K376" s="19"/>
      <x:c r="L376" s="100" t="str">
        <x:f>IF($A376="","",IF(COUNTIFS('FollowUps'!$C$2:$C$500,$A376,'FollowUps'!$H$2:$H$500,"open")=0,"",MINIFS('FollowUps'!$E$2:$E$500,'FollowUps'!$C$2:$C$500,$A376,'FollowUps'!$H$2:$H$500,"open")))</x:f>
      </x:c>
      <x:c r="M376" s="19"/>
      <x:c r="N376" s="26"/>
      <x:c r="O376" s="19"/>
      <x:c r="P376" s="26"/>
      <x:c r="Q376" s="19"/>
      <x:c r="R376" s="26"/>
      <x:c r="S376" s="19"/>
      <x:c r="T376" s="19"/>
    </x:row>
    <x:row r="377">
      <x:c r="A377" s="19"/>
      <x:c r="B377" s="19"/>
      <x:c r="C377" s="19"/>
      <x:c r="D377" s="19"/>
      <x:c r="E377" s="19"/>
      <x:c r="F377" s="19"/>
      <x:c r="G377" s="19"/>
      <x:c r="H377" s="25"/>
      <x:c r="I377" s="112" t="str">
        <x:f>IF($A377="","",SUMIFS('PipelineStages'!$E$2:$E$100,'PipelineStages'!$A$2:$A$100,$E377,'PipelineStages'!$B$2:$B$100,$F377))</x:f>
      </x:c>
      <x:c r="J377" s="24"/>
      <x:c r="K377" s="19"/>
      <x:c r="L377" s="100" t="str">
        <x:f>IF($A377="","",IF(COUNTIFS('FollowUps'!$C$2:$C$500,$A377,'FollowUps'!$H$2:$H$500,"open")=0,"",MINIFS('FollowUps'!$E$2:$E$500,'FollowUps'!$C$2:$C$500,$A377,'FollowUps'!$H$2:$H$500,"open")))</x:f>
      </x:c>
      <x:c r="M377" s="19"/>
      <x:c r="N377" s="26"/>
      <x:c r="O377" s="19"/>
      <x:c r="P377" s="26"/>
      <x:c r="Q377" s="19"/>
      <x:c r="R377" s="26"/>
      <x:c r="S377" s="19"/>
      <x:c r="T377" s="19"/>
    </x:row>
    <x:row r="378">
      <x:c r="A378" s="19"/>
      <x:c r="B378" s="19"/>
      <x:c r="C378" s="19"/>
      <x:c r="D378" s="19"/>
      <x:c r="E378" s="19"/>
      <x:c r="F378" s="19"/>
      <x:c r="G378" s="19"/>
      <x:c r="H378" s="25"/>
      <x:c r="I378" s="112" t="str">
        <x:f>IF($A378="","",SUMIFS('PipelineStages'!$E$2:$E$100,'PipelineStages'!$A$2:$A$100,$E378,'PipelineStages'!$B$2:$B$100,$F378))</x:f>
      </x:c>
      <x:c r="J378" s="24"/>
      <x:c r="K378" s="19"/>
      <x:c r="L378" s="100" t="str">
        <x:f>IF($A378="","",IF(COUNTIFS('FollowUps'!$C$2:$C$500,$A378,'FollowUps'!$H$2:$H$500,"open")=0,"",MINIFS('FollowUps'!$E$2:$E$500,'FollowUps'!$C$2:$C$500,$A378,'FollowUps'!$H$2:$H$500,"open")))</x:f>
      </x:c>
      <x:c r="M378" s="19"/>
      <x:c r="N378" s="26"/>
      <x:c r="O378" s="19"/>
      <x:c r="P378" s="26"/>
      <x:c r="Q378" s="19"/>
      <x:c r="R378" s="26"/>
      <x:c r="S378" s="19"/>
      <x:c r="T378" s="19"/>
    </x:row>
    <x:row r="379">
      <x:c r="A379" s="19"/>
      <x:c r="B379" s="19"/>
      <x:c r="C379" s="19"/>
      <x:c r="D379" s="19"/>
      <x:c r="E379" s="19"/>
      <x:c r="F379" s="19"/>
      <x:c r="G379" s="19"/>
      <x:c r="H379" s="25"/>
      <x:c r="I379" s="112" t="str">
        <x:f>IF($A379="","",SUMIFS('PipelineStages'!$E$2:$E$100,'PipelineStages'!$A$2:$A$100,$E379,'PipelineStages'!$B$2:$B$100,$F379))</x:f>
      </x:c>
      <x:c r="J379" s="24"/>
      <x:c r="K379" s="19"/>
      <x:c r="L379" s="100" t="str">
        <x:f>IF($A379="","",IF(COUNTIFS('FollowUps'!$C$2:$C$500,$A379,'FollowUps'!$H$2:$H$500,"open")=0,"",MINIFS('FollowUps'!$E$2:$E$500,'FollowUps'!$C$2:$C$500,$A379,'FollowUps'!$H$2:$H$500,"open")))</x:f>
      </x:c>
      <x:c r="M379" s="19"/>
      <x:c r="N379" s="26"/>
      <x:c r="O379" s="19"/>
      <x:c r="P379" s="26"/>
      <x:c r="Q379" s="19"/>
      <x:c r="R379" s="26"/>
      <x:c r="S379" s="19"/>
      <x:c r="T379" s="19"/>
    </x:row>
    <x:row r="380">
      <x:c r="A380" s="19"/>
      <x:c r="B380" s="19"/>
      <x:c r="C380" s="19"/>
      <x:c r="D380" s="19"/>
      <x:c r="E380" s="19"/>
      <x:c r="F380" s="19"/>
      <x:c r="G380" s="19"/>
      <x:c r="H380" s="25"/>
      <x:c r="I380" s="112" t="str">
        <x:f>IF($A380="","",SUMIFS('PipelineStages'!$E$2:$E$100,'PipelineStages'!$A$2:$A$100,$E380,'PipelineStages'!$B$2:$B$100,$F380))</x:f>
      </x:c>
      <x:c r="J380" s="24"/>
      <x:c r="K380" s="19"/>
      <x:c r="L380" s="100" t="str">
        <x:f>IF($A380="","",IF(COUNTIFS('FollowUps'!$C$2:$C$500,$A380,'FollowUps'!$H$2:$H$500,"open")=0,"",MINIFS('FollowUps'!$E$2:$E$500,'FollowUps'!$C$2:$C$500,$A380,'FollowUps'!$H$2:$H$500,"open")))</x:f>
      </x:c>
      <x:c r="M380" s="19"/>
      <x:c r="N380" s="26"/>
      <x:c r="O380" s="19"/>
      <x:c r="P380" s="26"/>
      <x:c r="Q380" s="19"/>
      <x:c r="R380" s="26"/>
      <x:c r="S380" s="19"/>
      <x:c r="T380" s="19"/>
    </x:row>
    <x:row r="381">
      <x:c r="A381" s="19"/>
      <x:c r="B381" s="19"/>
      <x:c r="C381" s="19"/>
      <x:c r="D381" s="19"/>
      <x:c r="E381" s="19"/>
      <x:c r="F381" s="19"/>
      <x:c r="G381" s="19"/>
      <x:c r="H381" s="25"/>
      <x:c r="I381" s="112" t="str">
        <x:f>IF($A381="","",SUMIFS('PipelineStages'!$E$2:$E$100,'PipelineStages'!$A$2:$A$100,$E381,'PipelineStages'!$B$2:$B$100,$F381))</x:f>
      </x:c>
      <x:c r="J381" s="24"/>
      <x:c r="K381" s="19"/>
      <x:c r="L381" s="100" t="str">
        <x:f>IF($A381="","",IF(COUNTIFS('FollowUps'!$C$2:$C$500,$A381,'FollowUps'!$H$2:$H$500,"open")=0,"",MINIFS('FollowUps'!$E$2:$E$500,'FollowUps'!$C$2:$C$500,$A381,'FollowUps'!$H$2:$H$500,"open")))</x:f>
      </x:c>
      <x:c r="M381" s="19"/>
      <x:c r="N381" s="26"/>
      <x:c r="O381" s="19"/>
      <x:c r="P381" s="26"/>
      <x:c r="Q381" s="19"/>
      <x:c r="R381" s="26"/>
      <x:c r="S381" s="19"/>
      <x:c r="T381" s="19"/>
    </x:row>
    <x:row r="382">
      <x:c r="A382" s="19"/>
      <x:c r="B382" s="19"/>
      <x:c r="C382" s="19"/>
      <x:c r="D382" s="19"/>
      <x:c r="E382" s="19"/>
      <x:c r="F382" s="19"/>
      <x:c r="G382" s="19"/>
      <x:c r="H382" s="25"/>
      <x:c r="I382" s="112" t="str">
        <x:f>IF($A382="","",SUMIFS('PipelineStages'!$E$2:$E$100,'PipelineStages'!$A$2:$A$100,$E382,'PipelineStages'!$B$2:$B$100,$F382))</x:f>
      </x:c>
      <x:c r="J382" s="24"/>
      <x:c r="K382" s="19"/>
      <x:c r="L382" s="100" t="str">
        <x:f>IF($A382="","",IF(COUNTIFS('FollowUps'!$C$2:$C$500,$A382,'FollowUps'!$H$2:$H$500,"open")=0,"",MINIFS('FollowUps'!$E$2:$E$500,'FollowUps'!$C$2:$C$500,$A382,'FollowUps'!$H$2:$H$500,"open")))</x:f>
      </x:c>
      <x:c r="M382" s="19"/>
      <x:c r="N382" s="26"/>
      <x:c r="O382" s="19"/>
      <x:c r="P382" s="26"/>
      <x:c r="Q382" s="19"/>
      <x:c r="R382" s="26"/>
      <x:c r="S382" s="19"/>
      <x:c r="T382" s="19"/>
    </x:row>
    <x:row r="383">
      <x:c r="A383" s="19"/>
      <x:c r="B383" s="19"/>
      <x:c r="C383" s="19"/>
      <x:c r="D383" s="19"/>
      <x:c r="E383" s="19"/>
      <x:c r="F383" s="19"/>
      <x:c r="G383" s="19"/>
      <x:c r="H383" s="25"/>
      <x:c r="I383" s="112" t="str">
        <x:f>IF($A383="","",SUMIFS('PipelineStages'!$E$2:$E$100,'PipelineStages'!$A$2:$A$100,$E383,'PipelineStages'!$B$2:$B$100,$F383))</x:f>
      </x:c>
      <x:c r="J383" s="24"/>
      <x:c r="K383" s="19"/>
      <x:c r="L383" s="100" t="str">
        <x:f>IF($A383="","",IF(COUNTIFS('FollowUps'!$C$2:$C$500,$A383,'FollowUps'!$H$2:$H$500,"open")=0,"",MINIFS('FollowUps'!$E$2:$E$500,'FollowUps'!$C$2:$C$500,$A383,'FollowUps'!$H$2:$H$500,"open")))</x:f>
      </x:c>
      <x:c r="M383" s="19"/>
      <x:c r="N383" s="26"/>
      <x:c r="O383" s="19"/>
      <x:c r="P383" s="26"/>
      <x:c r="Q383" s="19"/>
      <x:c r="R383" s="26"/>
      <x:c r="S383" s="19"/>
      <x:c r="T383" s="19"/>
    </x:row>
    <x:row r="384">
      <x:c r="A384" s="19"/>
      <x:c r="B384" s="19"/>
      <x:c r="C384" s="19"/>
      <x:c r="D384" s="19"/>
      <x:c r="E384" s="19"/>
      <x:c r="F384" s="19"/>
      <x:c r="G384" s="19"/>
      <x:c r="H384" s="25"/>
      <x:c r="I384" s="112" t="str">
        <x:f>IF($A384="","",SUMIFS('PipelineStages'!$E$2:$E$100,'PipelineStages'!$A$2:$A$100,$E384,'PipelineStages'!$B$2:$B$100,$F384))</x:f>
      </x:c>
      <x:c r="J384" s="24"/>
      <x:c r="K384" s="19"/>
      <x:c r="L384" s="100" t="str">
        <x:f>IF($A384="","",IF(COUNTIFS('FollowUps'!$C$2:$C$500,$A384,'FollowUps'!$H$2:$H$500,"open")=0,"",MINIFS('FollowUps'!$E$2:$E$500,'FollowUps'!$C$2:$C$500,$A384,'FollowUps'!$H$2:$H$500,"open")))</x:f>
      </x:c>
      <x:c r="M384" s="19"/>
      <x:c r="N384" s="26"/>
      <x:c r="O384" s="19"/>
      <x:c r="P384" s="26"/>
      <x:c r="Q384" s="19"/>
      <x:c r="R384" s="26"/>
      <x:c r="S384" s="19"/>
      <x:c r="T384" s="19"/>
    </x:row>
    <x:row r="385">
      <x:c r="A385" s="19"/>
      <x:c r="B385" s="19"/>
      <x:c r="C385" s="19"/>
      <x:c r="D385" s="19"/>
      <x:c r="E385" s="19"/>
      <x:c r="F385" s="19"/>
      <x:c r="G385" s="19"/>
      <x:c r="H385" s="25"/>
      <x:c r="I385" s="112" t="str">
        <x:f>IF($A385="","",SUMIFS('PipelineStages'!$E$2:$E$100,'PipelineStages'!$A$2:$A$100,$E385,'PipelineStages'!$B$2:$B$100,$F385))</x:f>
      </x:c>
      <x:c r="J385" s="24"/>
      <x:c r="K385" s="19"/>
      <x:c r="L385" s="100" t="str">
        <x:f>IF($A385="","",IF(COUNTIFS('FollowUps'!$C$2:$C$500,$A385,'FollowUps'!$H$2:$H$500,"open")=0,"",MINIFS('FollowUps'!$E$2:$E$500,'FollowUps'!$C$2:$C$500,$A385,'FollowUps'!$H$2:$H$500,"open")))</x:f>
      </x:c>
      <x:c r="M385" s="19"/>
      <x:c r="N385" s="26"/>
      <x:c r="O385" s="19"/>
      <x:c r="P385" s="26"/>
      <x:c r="Q385" s="19"/>
      <x:c r="R385" s="26"/>
      <x:c r="S385" s="19"/>
      <x:c r="T385" s="19"/>
    </x:row>
    <x:row r="386">
      <x:c r="A386" s="19"/>
      <x:c r="B386" s="19"/>
      <x:c r="C386" s="19"/>
      <x:c r="D386" s="19"/>
      <x:c r="E386" s="19"/>
      <x:c r="F386" s="19"/>
      <x:c r="G386" s="19"/>
      <x:c r="H386" s="25"/>
      <x:c r="I386" s="112" t="str">
        <x:f>IF($A386="","",SUMIFS('PipelineStages'!$E$2:$E$100,'PipelineStages'!$A$2:$A$100,$E386,'PipelineStages'!$B$2:$B$100,$F386))</x:f>
      </x:c>
      <x:c r="J386" s="24"/>
      <x:c r="K386" s="19"/>
      <x:c r="L386" s="100" t="str">
        <x:f>IF($A386="","",IF(COUNTIFS('FollowUps'!$C$2:$C$500,$A386,'FollowUps'!$H$2:$H$500,"open")=0,"",MINIFS('FollowUps'!$E$2:$E$500,'FollowUps'!$C$2:$C$500,$A386,'FollowUps'!$H$2:$H$500,"open")))</x:f>
      </x:c>
      <x:c r="M386" s="19"/>
      <x:c r="N386" s="26"/>
      <x:c r="O386" s="19"/>
      <x:c r="P386" s="26"/>
      <x:c r="Q386" s="19"/>
      <x:c r="R386" s="26"/>
      <x:c r="S386" s="19"/>
      <x:c r="T386" s="19"/>
    </x:row>
    <x:row r="387">
      <x:c r="A387" s="19"/>
      <x:c r="B387" s="19"/>
      <x:c r="C387" s="19"/>
      <x:c r="D387" s="19"/>
      <x:c r="E387" s="19"/>
      <x:c r="F387" s="19"/>
      <x:c r="G387" s="19"/>
      <x:c r="H387" s="25"/>
      <x:c r="I387" s="112" t="str">
        <x:f>IF($A387="","",SUMIFS('PipelineStages'!$E$2:$E$100,'PipelineStages'!$A$2:$A$100,$E387,'PipelineStages'!$B$2:$B$100,$F387))</x:f>
      </x:c>
      <x:c r="J387" s="24"/>
      <x:c r="K387" s="19"/>
      <x:c r="L387" s="100" t="str">
        <x:f>IF($A387="","",IF(COUNTIFS('FollowUps'!$C$2:$C$500,$A387,'FollowUps'!$H$2:$H$500,"open")=0,"",MINIFS('FollowUps'!$E$2:$E$500,'FollowUps'!$C$2:$C$500,$A387,'FollowUps'!$H$2:$H$500,"open")))</x:f>
      </x:c>
      <x:c r="M387" s="19"/>
      <x:c r="N387" s="26"/>
      <x:c r="O387" s="19"/>
      <x:c r="P387" s="26"/>
      <x:c r="Q387" s="19"/>
      <x:c r="R387" s="26"/>
      <x:c r="S387" s="19"/>
      <x:c r="T387" s="19"/>
    </x:row>
    <x:row r="388">
      <x:c r="A388" s="19"/>
      <x:c r="B388" s="19"/>
      <x:c r="C388" s="19"/>
      <x:c r="D388" s="19"/>
      <x:c r="E388" s="19"/>
      <x:c r="F388" s="19"/>
      <x:c r="G388" s="19"/>
      <x:c r="H388" s="25"/>
      <x:c r="I388" s="112" t="str">
        <x:f>IF($A388="","",SUMIFS('PipelineStages'!$E$2:$E$100,'PipelineStages'!$A$2:$A$100,$E388,'PipelineStages'!$B$2:$B$100,$F388))</x:f>
      </x:c>
      <x:c r="J388" s="24"/>
      <x:c r="K388" s="19"/>
      <x:c r="L388" s="100" t="str">
        <x:f>IF($A388="","",IF(COUNTIFS('FollowUps'!$C$2:$C$500,$A388,'FollowUps'!$H$2:$H$500,"open")=0,"",MINIFS('FollowUps'!$E$2:$E$500,'FollowUps'!$C$2:$C$500,$A388,'FollowUps'!$H$2:$H$500,"open")))</x:f>
      </x:c>
      <x:c r="M388" s="19"/>
      <x:c r="N388" s="26"/>
      <x:c r="O388" s="19"/>
      <x:c r="P388" s="26"/>
      <x:c r="Q388" s="19"/>
      <x:c r="R388" s="26"/>
      <x:c r="S388" s="19"/>
      <x:c r="T388" s="19"/>
    </x:row>
    <x:row r="389">
      <x:c r="A389" s="19"/>
      <x:c r="B389" s="19"/>
      <x:c r="C389" s="19"/>
      <x:c r="D389" s="19"/>
      <x:c r="E389" s="19"/>
      <x:c r="F389" s="19"/>
      <x:c r="G389" s="19"/>
      <x:c r="H389" s="25"/>
      <x:c r="I389" s="112" t="str">
        <x:f>IF($A389="","",SUMIFS('PipelineStages'!$E$2:$E$100,'PipelineStages'!$A$2:$A$100,$E389,'PipelineStages'!$B$2:$B$100,$F389))</x:f>
      </x:c>
      <x:c r="J389" s="24"/>
      <x:c r="K389" s="19"/>
      <x:c r="L389" s="100" t="str">
        <x:f>IF($A389="","",IF(COUNTIFS('FollowUps'!$C$2:$C$500,$A389,'FollowUps'!$H$2:$H$500,"open")=0,"",MINIFS('FollowUps'!$E$2:$E$500,'FollowUps'!$C$2:$C$500,$A389,'FollowUps'!$H$2:$H$500,"open")))</x:f>
      </x:c>
      <x:c r="M389" s="19"/>
      <x:c r="N389" s="26"/>
      <x:c r="O389" s="19"/>
      <x:c r="P389" s="26"/>
      <x:c r="Q389" s="19"/>
      <x:c r="R389" s="26"/>
      <x:c r="S389" s="19"/>
      <x:c r="T389" s="19"/>
    </x:row>
    <x:row r="390">
      <x:c r="A390" s="19"/>
      <x:c r="B390" s="19"/>
      <x:c r="C390" s="19"/>
      <x:c r="D390" s="19"/>
      <x:c r="E390" s="19"/>
      <x:c r="F390" s="19"/>
      <x:c r="G390" s="19"/>
      <x:c r="H390" s="25"/>
      <x:c r="I390" s="112" t="str">
        <x:f>IF($A390="","",SUMIFS('PipelineStages'!$E$2:$E$100,'PipelineStages'!$A$2:$A$100,$E390,'PipelineStages'!$B$2:$B$100,$F390))</x:f>
      </x:c>
      <x:c r="J390" s="24"/>
      <x:c r="K390" s="19"/>
      <x:c r="L390" s="100" t="str">
        <x:f>IF($A390="","",IF(COUNTIFS('FollowUps'!$C$2:$C$500,$A390,'FollowUps'!$H$2:$H$500,"open")=0,"",MINIFS('FollowUps'!$E$2:$E$500,'FollowUps'!$C$2:$C$500,$A390,'FollowUps'!$H$2:$H$500,"open")))</x:f>
      </x:c>
      <x:c r="M390" s="19"/>
      <x:c r="N390" s="26"/>
      <x:c r="O390" s="19"/>
      <x:c r="P390" s="26"/>
      <x:c r="Q390" s="19"/>
      <x:c r="R390" s="26"/>
      <x:c r="S390" s="19"/>
      <x:c r="T390" s="19"/>
    </x:row>
    <x:row r="391">
      <x:c r="A391" s="19"/>
      <x:c r="B391" s="19"/>
      <x:c r="C391" s="19"/>
      <x:c r="D391" s="19"/>
      <x:c r="E391" s="19"/>
      <x:c r="F391" s="19"/>
      <x:c r="G391" s="19"/>
      <x:c r="H391" s="25"/>
      <x:c r="I391" s="112" t="str">
        <x:f>IF($A391="","",SUMIFS('PipelineStages'!$E$2:$E$100,'PipelineStages'!$A$2:$A$100,$E391,'PipelineStages'!$B$2:$B$100,$F391))</x:f>
      </x:c>
      <x:c r="J391" s="24"/>
      <x:c r="K391" s="19"/>
      <x:c r="L391" s="100" t="str">
        <x:f>IF($A391="","",IF(COUNTIFS('FollowUps'!$C$2:$C$500,$A391,'FollowUps'!$H$2:$H$500,"open")=0,"",MINIFS('FollowUps'!$E$2:$E$500,'FollowUps'!$C$2:$C$500,$A391,'FollowUps'!$H$2:$H$500,"open")))</x:f>
      </x:c>
      <x:c r="M391" s="19"/>
      <x:c r="N391" s="26"/>
      <x:c r="O391" s="19"/>
      <x:c r="P391" s="26"/>
      <x:c r="Q391" s="19"/>
      <x:c r="R391" s="26"/>
      <x:c r="S391" s="19"/>
      <x:c r="T391" s="19"/>
    </x:row>
    <x:row r="392">
      <x:c r="A392" s="19"/>
      <x:c r="B392" s="19"/>
      <x:c r="C392" s="19"/>
      <x:c r="D392" s="19"/>
      <x:c r="E392" s="19"/>
      <x:c r="F392" s="19"/>
      <x:c r="G392" s="19"/>
      <x:c r="H392" s="25"/>
      <x:c r="I392" s="112" t="str">
        <x:f>IF($A392="","",SUMIFS('PipelineStages'!$E$2:$E$100,'PipelineStages'!$A$2:$A$100,$E392,'PipelineStages'!$B$2:$B$100,$F392))</x:f>
      </x:c>
      <x:c r="J392" s="24"/>
      <x:c r="K392" s="19"/>
      <x:c r="L392" s="100" t="str">
        <x:f>IF($A392="","",IF(COUNTIFS('FollowUps'!$C$2:$C$500,$A392,'FollowUps'!$H$2:$H$500,"open")=0,"",MINIFS('FollowUps'!$E$2:$E$500,'FollowUps'!$C$2:$C$500,$A392,'FollowUps'!$H$2:$H$500,"open")))</x:f>
      </x:c>
      <x:c r="M392" s="19"/>
      <x:c r="N392" s="26"/>
      <x:c r="O392" s="19"/>
      <x:c r="P392" s="26"/>
      <x:c r="Q392" s="19"/>
      <x:c r="R392" s="26"/>
      <x:c r="S392" s="19"/>
      <x:c r="T392" s="19"/>
    </x:row>
    <x:row r="393">
      <x:c r="A393" s="19"/>
      <x:c r="B393" s="19"/>
      <x:c r="C393" s="19"/>
      <x:c r="D393" s="19"/>
      <x:c r="E393" s="19"/>
      <x:c r="F393" s="19"/>
      <x:c r="G393" s="19"/>
      <x:c r="H393" s="25"/>
      <x:c r="I393" s="112" t="str">
        <x:f>IF($A393="","",SUMIFS('PipelineStages'!$E$2:$E$100,'PipelineStages'!$A$2:$A$100,$E393,'PipelineStages'!$B$2:$B$100,$F393))</x:f>
      </x:c>
      <x:c r="J393" s="24"/>
      <x:c r="K393" s="19"/>
      <x:c r="L393" s="100" t="str">
        <x:f>IF($A393="","",IF(COUNTIFS('FollowUps'!$C$2:$C$500,$A393,'FollowUps'!$H$2:$H$500,"open")=0,"",MINIFS('FollowUps'!$E$2:$E$500,'FollowUps'!$C$2:$C$500,$A393,'FollowUps'!$H$2:$H$500,"open")))</x:f>
      </x:c>
      <x:c r="M393" s="19"/>
      <x:c r="N393" s="26"/>
      <x:c r="O393" s="19"/>
      <x:c r="P393" s="26"/>
      <x:c r="Q393" s="19"/>
      <x:c r="R393" s="26"/>
      <x:c r="S393" s="19"/>
      <x:c r="T393" s="19"/>
    </x:row>
    <x:row r="394">
      <x:c r="A394" s="19"/>
      <x:c r="B394" s="19"/>
      <x:c r="C394" s="19"/>
      <x:c r="D394" s="19"/>
      <x:c r="E394" s="19"/>
      <x:c r="F394" s="19"/>
      <x:c r="G394" s="19"/>
      <x:c r="H394" s="25"/>
      <x:c r="I394" s="112" t="str">
        <x:f>IF($A394="","",SUMIFS('PipelineStages'!$E$2:$E$100,'PipelineStages'!$A$2:$A$100,$E394,'PipelineStages'!$B$2:$B$100,$F394))</x:f>
      </x:c>
      <x:c r="J394" s="24"/>
      <x:c r="K394" s="19"/>
      <x:c r="L394" s="100" t="str">
        <x:f>IF($A394="","",IF(COUNTIFS('FollowUps'!$C$2:$C$500,$A394,'FollowUps'!$H$2:$H$500,"open")=0,"",MINIFS('FollowUps'!$E$2:$E$500,'FollowUps'!$C$2:$C$500,$A394,'FollowUps'!$H$2:$H$500,"open")))</x:f>
      </x:c>
      <x:c r="M394" s="19"/>
      <x:c r="N394" s="26"/>
      <x:c r="O394" s="19"/>
      <x:c r="P394" s="26"/>
      <x:c r="Q394" s="19"/>
      <x:c r="R394" s="26"/>
      <x:c r="S394" s="19"/>
      <x:c r="T394" s="19"/>
    </x:row>
    <x:row r="395">
      <x:c r="A395" s="19"/>
      <x:c r="B395" s="19"/>
      <x:c r="C395" s="19"/>
      <x:c r="D395" s="19"/>
      <x:c r="E395" s="19"/>
      <x:c r="F395" s="19"/>
      <x:c r="G395" s="19"/>
      <x:c r="H395" s="25"/>
      <x:c r="I395" s="112" t="str">
        <x:f>IF($A395="","",SUMIFS('PipelineStages'!$E$2:$E$100,'PipelineStages'!$A$2:$A$100,$E395,'PipelineStages'!$B$2:$B$100,$F395))</x:f>
      </x:c>
      <x:c r="J395" s="24"/>
      <x:c r="K395" s="19"/>
      <x:c r="L395" s="100" t="str">
        <x:f>IF($A395="","",IF(COUNTIFS('FollowUps'!$C$2:$C$500,$A395,'FollowUps'!$H$2:$H$500,"open")=0,"",MINIFS('FollowUps'!$E$2:$E$500,'FollowUps'!$C$2:$C$500,$A395,'FollowUps'!$H$2:$H$500,"open")))</x:f>
      </x:c>
      <x:c r="M395" s="19"/>
      <x:c r="N395" s="26"/>
      <x:c r="O395" s="19"/>
      <x:c r="P395" s="26"/>
      <x:c r="Q395" s="19"/>
      <x:c r="R395" s="26"/>
      <x:c r="S395" s="19"/>
      <x:c r="T395" s="19"/>
    </x:row>
    <x:row r="396">
      <x:c r="A396" s="19"/>
      <x:c r="B396" s="19"/>
      <x:c r="C396" s="19"/>
      <x:c r="D396" s="19"/>
      <x:c r="E396" s="19"/>
      <x:c r="F396" s="19"/>
      <x:c r="G396" s="19"/>
      <x:c r="H396" s="25"/>
      <x:c r="I396" s="112" t="str">
        <x:f>IF($A396="","",SUMIFS('PipelineStages'!$E$2:$E$100,'PipelineStages'!$A$2:$A$100,$E396,'PipelineStages'!$B$2:$B$100,$F396))</x:f>
      </x:c>
      <x:c r="J396" s="24"/>
      <x:c r="K396" s="19"/>
      <x:c r="L396" s="100" t="str">
        <x:f>IF($A396="","",IF(COUNTIFS('FollowUps'!$C$2:$C$500,$A396,'FollowUps'!$H$2:$H$500,"open")=0,"",MINIFS('FollowUps'!$E$2:$E$500,'FollowUps'!$C$2:$C$500,$A396,'FollowUps'!$H$2:$H$500,"open")))</x:f>
      </x:c>
      <x:c r="M396" s="19"/>
      <x:c r="N396" s="26"/>
      <x:c r="O396" s="19"/>
      <x:c r="P396" s="26"/>
      <x:c r="Q396" s="19"/>
      <x:c r="R396" s="26"/>
      <x:c r="S396" s="19"/>
      <x:c r="T396" s="19"/>
    </x:row>
    <x:row r="397">
      <x:c r="A397" s="19"/>
      <x:c r="B397" s="19"/>
      <x:c r="C397" s="19"/>
      <x:c r="D397" s="19"/>
      <x:c r="E397" s="19"/>
      <x:c r="F397" s="19"/>
      <x:c r="G397" s="19"/>
      <x:c r="H397" s="25"/>
      <x:c r="I397" s="112" t="str">
        <x:f>IF($A397="","",SUMIFS('PipelineStages'!$E$2:$E$100,'PipelineStages'!$A$2:$A$100,$E397,'PipelineStages'!$B$2:$B$100,$F397))</x:f>
      </x:c>
      <x:c r="J397" s="24"/>
      <x:c r="K397" s="19"/>
      <x:c r="L397" s="100" t="str">
        <x:f>IF($A397="","",IF(COUNTIFS('FollowUps'!$C$2:$C$500,$A397,'FollowUps'!$H$2:$H$500,"open")=0,"",MINIFS('FollowUps'!$E$2:$E$500,'FollowUps'!$C$2:$C$500,$A397,'FollowUps'!$H$2:$H$500,"open")))</x:f>
      </x:c>
      <x:c r="M397" s="19"/>
      <x:c r="N397" s="26"/>
      <x:c r="O397" s="19"/>
      <x:c r="P397" s="26"/>
      <x:c r="Q397" s="19"/>
      <x:c r="R397" s="26"/>
      <x:c r="S397" s="19"/>
      <x:c r="T397" s="19"/>
    </x:row>
    <x:row r="398">
      <x:c r="A398" s="19"/>
      <x:c r="B398" s="19"/>
      <x:c r="C398" s="19"/>
      <x:c r="D398" s="19"/>
      <x:c r="E398" s="19"/>
      <x:c r="F398" s="19"/>
      <x:c r="G398" s="19"/>
      <x:c r="H398" s="25"/>
      <x:c r="I398" s="112" t="str">
        <x:f>IF($A398="","",SUMIFS('PipelineStages'!$E$2:$E$100,'PipelineStages'!$A$2:$A$100,$E398,'PipelineStages'!$B$2:$B$100,$F398))</x:f>
      </x:c>
      <x:c r="J398" s="24"/>
      <x:c r="K398" s="19"/>
      <x:c r="L398" s="100" t="str">
        <x:f>IF($A398="","",IF(COUNTIFS('FollowUps'!$C$2:$C$500,$A398,'FollowUps'!$H$2:$H$500,"open")=0,"",MINIFS('FollowUps'!$E$2:$E$500,'FollowUps'!$C$2:$C$500,$A398,'FollowUps'!$H$2:$H$500,"open")))</x:f>
      </x:c>
      <x:c r="M398" s="19"/>
      <x:c r="N398" s="26"/>
      <x:c r="O398" s="19"/>
      <x:c r="P398" s="26"/>
      <x:c r="Q398" s="19"/>
      <x:c r="R398" s="26"/>
      <x:c r="S398" s="19"/>
      <x:c r="T398" s="19"/>
    </x:row>
    <x:row r="399">
      <x:c r="A399" s="19"/>
      <x:c r="B399" s="19"/>
      <x:c r="C399" s="19"/>
      <x:c r="D399" s="19"/>
      <x:c r="E399" s="19"/>
      <x:c r="F399" s="19"/>
      <x:c r="G399" s="19"/>
      <x:c r="H399" s="25"/>
      <x:c r="I399" s="112" t="str">
        <x:f>IF($A399="","",SUMIFS('PipelineStages'!$E$2:$E$100,'PipelineStages'!$A$2:$A$100,$E399,'PipelineStages'!$B$2:$B$100,$F399))</x:f>
      </x:c>
      <x:c r="J399" s="24"/>
      <x:c r="K399" s="19"/>
      <x:c r="L399" s="100" t="str">
        <x:f>IF($A399="","",IF(COUNTIFS('FollowUps'!$C$2:$C$500,$A399,'FollowUps'!$H$2:$H$500,"open")=0,"",MINIFS('FollowUps'!$E$2:$E$500,'FollowUps'!$C$2:$C$500,$A399,'FollowUps'!$H$2:$H$500,"open")))</x:f>
      </x:c>
      <x:c r="M399" s="19"/>
      <x:c r="N399" s="26"/>
      <x:c r="O399" s="19"/>
      <x:c r="P399" s="26"/>
      <x:c r="Q399" s="19"/>
      <x:c r="R399" s="26"/>
      <x:c r="S399" s="19"/>
      <x:c r="T399" s="19"/>
    </x:row>
    <x:row r="400">
      <x:c r="A400" s="19"/>
      <x:c r="B400" s="19"/>
      <x:c r="C400" s="19"/>
      <x:c r="D400" s="19"/>
      <x:c r="E400" s="19"/>
      <x:c r="F400" s="19"/>
      <x:c r="G400" s="19"/>
      <x:c r="H400" s="25"/>
      <x:c r="I400" s="112" t="str">
        <x:f>IF($A400="","",SUMIFS('PipelineStages'!$E$2:$E$100,'PipelineStages'!$A$2:$A$100,$E400,'PipelineStages'!$B$2:$B$100,$F400))</x:f>
      </x:c>
      <x:c r="J400" s="24"/>
      <x:c r="K400" s="19"/>
      <x:c r="L400" s="100" t="str">
        <x:f>IF($A400="","",IF(COUNTIFS('FollowUps'!$C$2:$C$500,$A400,'FollowUps'!$H$2:$H$500,"open")=0,"",MINIFS('FollowUps'!$E$2:$E$500,'FollowUps'!$C$2:$C$500,$A400,'FollowUps'!$H$2:$H$500,"open")))</x:f>
      </x:c>
      <x:c r="M400" s="19"/>
      <x:c r="N400" s="26"/>
      <x:c r="O400" s="19"/>
      <x:c r="P400" s="26"/>
      <x:c r="Q400" s="19"/>
      <x:c r="R400" s="26"/>
      <x:c r="S400" s="19"/>
      <x:c r="T400" s="19"/>
    </x:row>
    <x:row r="401">
      <x:c r="A401" s="19"/>
      <x:c r="B401" s="19"/>
      <x:c r="C401" s="19"/>
      <x:c r="D401" s="19"/>
      <x:c r="E401" s="19"/>
      <x:c r="F401" s="19"/>
      <x:c r="G401" s="19"/>
      <x:c r="H401" s="25"/>
      <x:c r="I401" s="112" t="str">
        <x:f>IF($A401="","",SUMIFS('PipelineStages'!$E$2:$E$100,'PipelineStages'!$A$2:$A$100,$E401,'PipelineStages'!$B$2:$B$100,$F401))</x:f>
      </x:c>
      <x:c r="J401" s="24"/>
      <x:c r="K401" s="19"/>
      <x:c r="L401" s="100" t="str">
        <x:f>IF($A401="","",IF(COUNTIFS('FollowUps'!$C$2:$C$500,$A401,'FollowUps'!$H$2:$H$500,"open")=0,"",MINIFS('FollowUps'!$E$2:$E$500,'FollowUps'!$C$2:$C$500,$A401,'FollowUps'!$H$2:$H$500,"open")))</x:f>
      </x:c>
      <x:c r="M401" s="19"/>
      <x:c r="N401" s="26"/>
      <x:c r="O401" s="19"/>
      <x:c r="P401" s="26"/>
      <x:c r="Q401" s="19"/>
      <x:c r="R401" s="26"/>
      <x:c r="S401" s="19"/>
      <x:c r="T401" s="19"/>
    </x:row>
    <x:row r="402">
      <x:c r="A402" s="19"/>
      <x:c r="B402" s="19"/>
      <x:c r="C402" s="19"/>
      <x:c r="D402" s="19"/>
      <x:c r="E402" s="19"/>
      <x:c r="F402" s="19"/>
      <x:c r="G402" s="19"/>
      <x:c r="H402" s="25"/>
      <x:c r="I402" s="112" t="str">
        <x:f>IF($A402="","",SUMIFS('PipelineStages'!$E$2:$E$100,'PipelineStages'!$A$2:$A$100,$E402,'PipelineStages'!$B$2:$B$100,$F402))</x:f>
      </x:c>
      <x:c r="J402" s="24"/>
      <x:c r="K402" s="19"/>
      <x:c r="L402" s="100" t="str">
        <x:f>IF($A402="","",IF(COUNTIFS('FollowUps'!$C$2:$C$500,$A402,'FollowUps'!$H$2:$H$500,"open")=0,"",MINIFS('FollowUps'!$E$2:$E$500,'FollowUps'!$C$2:$C$500,$A402,'FollowUps'!$H$2:$H$500,"open")))</x:f>
      </x:c>
      <x:c r="M402" s="19"/>
      <x:c r="N402" s="26"/>
      <x:c r="O402" s="19"/>
      <x:c r="P402" s="26"/>
      <x:c r="Q402" s="19"/>
      <x:c r="R402" s="26"/>
      <x:c r="S402" s="19"/>
      <x:c r="T402" s="19"/>
    </x:row>
    <x:row r="403">
      <x:c r="A403" s="19"/>
      <x:c r="B403" s="19"/>
      <x:c r="C403" s="19"/>
      <x:c r="D403" s="19"/>
      <x:c r="E403" s="19"/>
      <x:c r="F403" s="19"/>
      <x:c r="G403" s="19"/>
      <x:c r="H403" s="25"/>
      <x:c r="I403" s="112" t="str">
        <x:f>IF($A403="","",SUMIFS('PipelineStages'!$E$2:$E$100,'PipelineStages'!$A$2:$A$100,$E403,'PipelineStages'!$B$2:$B$100,$F403))</x:f>
      </x:c>
      <x:c r="J403" s="24"/>
      <x:c r="K403" s="19"/>
      <x:c r="L403" s="100" t="str">
        <x:f>IF($A403="","",IF(COUNTIFS('FollowUps'!$C$2:$C$500,$A403,'FollowUps'!$H$2:$H$500,"open")=0,"",MINIFS('FollowUps'!$E$2:$E$500,'FollowUps'!$C$2:$C$500,$A403,'FollowUps'!$H$2:$H$500,"open")))</x:f>
      </x:c>
      <x:c r="M403" s="19"/>
      <x:c r="N403" s="26"/>
      <x:c r="O403" s="19"/>
      <x:c r="P403" s="26"/>
      <x:c r="Q403" s="19"/>
      <x:c r="R403" s="26"/>
      <x:c r="S403" s="19"/>
      <x:c r="T403" s="19"/>
    </x:row>
    <x:row r="404">
      <x:c r="A404" s="19"/>
      <x:c r="B404" s="19"/>
      <x:c r="C404" s="19"/>
      <x:c r="D404" s="19"/>
      <x:c r="E404" s="19"/>
      <x:c r="F404" s="19"/>
      <x:c r="G404" s="19"/>
      <x:c r="H404" s="25"/>
      <x:c r="I404" s="112" t="str">
        <x:f>IF($A404="","",SUMIFS('PipelineStages'!$E$2:$E$100,'PipelineStages'!$A$2:$A$100,$E404,'PipelineStages'!$B$2:$B$100,$F404))</x:f>
      </x:c>
      <x:c r="J404" s="24"/>
      <x:c r="K404" s="19"/>
      <x:c r="L404" s="100" t="str">
        <x:f>IF($A404="","",IF(COUNTIFS('FollowUps'!$C$2:$C$500,$A404,'FollowUps'!$H$2:$H$500,"open")=0,"",MINIFS('FollowUps'!$E$2:$E$500,'FollowUps'!$C$2:$C$500,$A404,'FollowUps'!$H$2:$H$500,"open")))</x:f>
      </x:c>
      <x:c r="M404" s="19"/>
      <x:c r="N404" s="26"/>
      <x:c r="O404" s="19"/>
      <x:c r="P404" s="26"/>
      <x:c r="Q404" s="19"/>
      <x:c r="R404" s="26"/>
      <x:c r="S404" s="19"/>
      <x:c r="T404" s="19"/>
    </x:row>
    <x:row r="405">
      <x:c r="A405" s="19"/>
      <x:c r="B405" s="19"/>
      <x:c r="C405" s="19"/>
      <x:c r="D405" s="19"/>
      <x:c r="E405" s="19"/>
      <x:c r="F405" s="19"/>
      <x:c r="G405" s="19"/>
      <x:c r="H405" s="25"/>
      <x:c r="I405" s="112" t="str">
        <x:f>IF($A405="","",SUMIFS('PipelineStages'!$E$2:$E$100,'PipelineStages'!$A$2:$A$100,$E405,'PipelineStages'!$B$2:$B$100,$F405))</x:f>
      </x:c>
      <x:c r="J405" s="24"/>
      <x:c r="K405" s="19"/>
      <x:c r="L405" s="100" t="str">
        <x:f>IF($A405="","",IF(COUNTIFS('FollowUps'!$C$2:$C$500,$A405,'FollowUps'!$H$2:$H$500,"open")=0,"",MINIFS('FollowUps'!$E$2:$E$500,'FollowUps'!$C$2:$C$500,$A405,'FollowUps'!$H$2:$H$500,"open")))</x:f>
      </x:c>
      <x:c r="M405" s="19"/>
      <x:c r="N405" s="26"/>
      <x:c r="O405" s="19"/>
      <x:c r="P405" s="26"/>
      <x:c r="Q405" s="19"/>
      <x:c r="R405" s="26"/>
      <x:c r="S405" s="19"/>
      <x:c r="T405" s="19"/>
    </x:row>
    <x:row r="406">
      <x:c r="A406" s="19"/>
      <x:c r="B406" s="19"/>
      <x:c r="C406" s="19"/>
      <x:c r="D406" s="19"/>
      <x:c r="E406" s="19"/>
      <x:c r="F406" s="19"/>
      <x:c r="G406" s="19"/>
      <x:c r="H406" s="25"/>
      <x:c r="I406" s="112" t="str">
        <x:f>IF($A406="","",SUMIFS('PipelineStages'!$E$2:$E$100,'PipelineStages'!$A$2:$A$100,$E406,'PipelineStages'!$B$2:$B$100,$F406))</x:f>
      </x:c>
      <x:c r="J406" s="24"/>
      <x:c r="K406" s="19"/>
      <x:c r="L406" s="100" t="str">
        <x:f>IF($A406="","",IF(COUNTIFS('FollowUps'!$C$2:$C$500,$A406,'FollowUps'!$H$2:$H$500,"open")=0,"",MINIFS('FollowUps'!$E$2:$E$500,'FollowUps'!$C$2:$C$500,$A406,'FollowUps'!$H$2:$H$500,"open")))</x:f>
      </x:c>
      <x:c r="M406" s="19"/>
      <x:c r="N406" s="26"/>
      <x:c r="O406" s="19"/>
      <x:c r="P406" s="26"/>
      <x:c r="Q406" s="19"/>
      <x:c r="R406" s="26"/>
      <x:c r="S406" s="19"/>
      <x:c r="T406" s="19"/>
    </x:row>
    <x:row r="407">
      <x:c r="A407" s="19"/>
      <x:c r="B407" s="19"/>
      <x:c r="C407" s="19"/>
      <x:c r="D407" s="19"/>
      <x:c r="E407" s="19"/>
      <x:c r="F407" s="19"/>
      <x:c r="G407" s="19"/>
      <x:c r="H407" s="25"/>
      <x:c r="I407" s="112" t="str">
        <x:f>IF($A407="","",SUMIFS('PipelineStages'!$E$2:$E$100,'PipelineStages'!$A$2:$A$100,$E407,'PipelineStages'!$B$2:$B$100,$F407))</x:f>
      </x:c>
      <x:c r="J407" s="24"/>
      <x:c r="K407" s="19"/>
      <x:c r="L407" s="100" t="str">
        <x:f>IF($A407="","",IF(COUNTIFS('FollowUps'!$C$2:$C$500,$A407,'FollowUps'!$H$2:$H$500,"open")=0,"",MINIFS('FollowUps'!$E$2:$E$500,'FollowUps'!$C$2:$C$500,$A407,'FollowUps'!$H$2:$H$500,"open")))</x:f>
      </x:c>
      <x:c r="M407" s="19"/>
      <x:c r="N407" s="26"/>
      <x:c r="O407" s="19"/>
      <x:c r="P407" s="26"/>
      <x:c r="Q407" s="19"/>
      <x:c r="R407" s="26"/>
      <x:c r="S407" s="19"/>
      <x:c r="T407" s="19"/>
    </x:row>
    <x:row r="408">
      <x:c r="A408" s="19"/>
      <x:c r="B408" s="19"/>
      <x:c r="C408" s="19"/>
      <x:c r="D408" s="19"/>
      <x:c r="E408" s="19"/>
      <x:c r="F408" s="19"/>
      <x:c r="G408" s="19"/>
      <x:c r="H408" s="25"/>
      <x:c r="I408" s="112" t="str">
        <x:f>IF($A408="","",SUMIFS('PipelineStages'!$E$2:$E$100,'PipelineStages'!$A$2:$A$100,$E408,'PipelineStages'!$B$2:$B$100,$F408))</x:f>
      </x:c>
      <x:c r="J408" s="24"/>
      <x:c r="K408" s="19"/>
      <x:c r="L408" s="100" t="str">
        <x:f>IF($A408="","",IF(COUNTIFS('FollowUps'!$C$2:$C$500,$A408,'FollowUps'!$H$2:$H$500,"open")=0,"",MINIFS('FollowUps'!$E$2:$E$500,'FollowUps'!$C$2:$C$500,$A408,'FollowUps'!$H$2:$H$500,"open")))</x:f>
      </x:c>
      <x:c r="M408" s="19"/>
      <x:c r="N408" s="26"/>
      <x:c r="O408" s="19"/>
      <x:c r="P408" s="26"/>
      <x:c r="Q408" s="19"/>
      <x:c r="R408" s="26"/>
      <x:c r="S408" s="19"/>
      <x:c r="T408" s="19"/>
    </x:row>
    <x:row r="409">
      <x:c r="A409" s="19"/>
      <x:c r="B409" s="19"/>
      <x:c r="C409" s="19"/>
      <x:c r="D409" s="19"/>
      <x:c r="E409" s="19"/>
      <x:c r="F409" s="19"/>
      <x:c r="G409" s="19"/>
      <x:c r="H409" s="25"/>
      <x:c r="I409" s="112" t="str">
        <x:f>IF($A409="","",SUMIFS('PipelineStages'!$E$2:$E$100,'PipelineStages'!$A$2:$A$100,$E409,'PipelineStages'!$B$2:$B$100,$F409))</x:f>
      </x:c>
      <x:c r="J409" s="24"/>
      <x:c r="K409" s="19"/>
      <x:c r="L409" s="100" t="str">
        <x:f>IF($A409="","",IF(COUNTIFS('FollowUps'!$C$2:$C$500,$A409,'FollowUps'!$H$2:$H$500,"open")=0,"",MINIFS('FollowUps'!$E$2:$E$500,'FollowUps'!$C$2:$C$500,$A409,'FollowUps'!$H$2:$H$500,"open")))</x:f>
      </x:c>
      <x:c r="M409" s="19"/>
      <x:c r="N409" s="26"/>
      <x:c r="O409" s="19"/>
      <x:c r="P409" s="26"/>
      <x:c r="Q409" s="19"/>
      <x:c r="R409" s="26"/>
      <x:c r="S409" s="19"/>
      <x:c r="T409" s="19"/>
    </x:row>
    <x:row r="410">
      <x:c r="A410" s="19"/>
      <x:c r="B410" s="19"/>
      <x:c r="C410" s="19"/>
      <x:c r="D410" s="19"/>
      <x:c r="E410" s="19"/>
      <x:c r="F410" s="19"/>
      <x:c r="G410" s="19"/>
      <x:c r="H410" s="25"/>
      <x:c r="I410" s="112" t="str">
        <x:f>IF($A410="","",SUMIFS('PipelineStages'!$E$2:$E$100,'PipelineStages'!$A$2:$A$100,$E410,'PipelineStages'!$B$2:$B$100,$F410))</x:f>
      </x:c>
      <x:c r="J410" s="24"/>
      <x:c r="K410" s="19"/>
      <x:c r="L410" s="100" t="str">
        <x:f>IF($A410="","",IF(COUNTIFS('FollowUps'!$C$2:$C$500,$A410,'FollowUps'!$H$2:$H$500,"open")=0,"",MINIFS('FollowUps'!$E$2:$E$500,'FollowUps'!$C$2:$C$500,$A410,'FollowUps'!$H$2:$H$500,"open")))</x:f>
      </x:c>
      <x:c r="M410" s="19"/>
      <x:c r="N410" s="26"/>
      <x:c r="O410" s="19"/>
      <x:c r="P410" s="26"/>
      <x:c r="Q410" s="19"/>
      <x:c r="R410" s="26"/>
      <x:c r="S410" s="19"/>
      <x:c r="T410" s="19"/>
    </x:row>
    <x:row r="411">
      <x:c r="A411" s="19"/>
      <x:c r="B411" s="19"/>
      <x:c r="C411" s="19"/>
      <x:c r="D411" s="19"/>
      <x:c r="E411" s="19"/>
      <x:c r="F411" s="19"/>
      <x:c r="G411" s="19"/>
      <x:c r="H411" s="25"/>
      <x:c r="I411" s="112" t="str">
        <x:f>IF($A411="","",SUMIFS('PipelineStages'!$E$2:$E$100,'PipelineStages'!$A$2:$A$100,$E411,'PipelineStages'!$B$2:$B$100,$F411))</x:f>
      </x:c>
      <x:c r="J411" s="24"/>
      <x:c r="K411" s="19"/>
      <x:c r="L411" s="100" t="str">
        <x:f>IF($A411="","",IF(COUNTIFS('FollowUps'!$C$2:$C$500,$A411,'FollowUps'!$H$2:$H$500,"open")=0,"",MINIFS('FollowUps'!$E$2:$E$500,'FollowUps'!$C$2:$C$500,$A411,'FollowUps'!$H$2:$H$500,"open")))</x:f>
      </x:c>
      <x:c r="M411" s="19"/>
      <x:c r="N411" s="26"/>
      <x:c r="O411" s="19"/>
      <x:c r="P411" s="26"/>
      <x:c r="Q411" s="19"/>
      <x:c r="R411" s="26"/>
      <x:c r="S411" s="19"/>
      <x:c r="T411" s="19"/>
    </x:row>
    <x:row r="412">
      <x:c r="A412" s="19"/>
      <x:c r="B412" s="19"/>
      <x:c r="C412" s="19"/>
      <x:c r="D412" s="19"/>
      <x:c r="E412" s="19"/>
      <x:c r="F412" s="19"/>
      <x:c r="G412" s="19"/>
      <x:c r="H412" s="25"/>
      <x:c r="I412" s="112" t="str">
        <x:f>IF($A412="","",SUMIFS('PipelineStages'!$E$2:$E$100,'PipelineStages'!$A$2:$A$100,$E412,'PipelineStages'!$B$2:$B$100,$F412))</x:f>
      </x:c>
      <x:c r="J412" s="24"/>
      <x:c r="K412" s="19"/>
      <x:c r="L412" s="100" t="str">
        <x:f>IF($A412="","",IF(COUNTIFS('FollowUps'!$C$2:$C$500,$A412,'FollowUps'!$H$2:$H$500,"open")=0,"",MINIFS('FollowUps'!$E$2:$E$500,'FollowUps'!$C$2:$C$500,$A412,'FollowUps'!$H$2:$H$500,"open")))</x:f>
      </x:c>
      <x:c r="M412" s="19"/>
      <x:c r="N412" s="26"/>
      <x:c r="O412" s="19"/>
      <x:c r="P412" s="26"/>
      <x:c r="Q412" s="19"/>
      <x:c r="R412" s="26"/>
      <x:c r="S412" s="19"/>
      <x:c r="T412" s="19"/>
    </x:row>
    <x:row r="413">
      <x:c r="A413" s="19"/>
      <x:c r="B413" s="19"/>
      <x:c r="C413" s="19"/>
      <x:c r="D413" s="19"/>
      <x:c r="E413" s="19"/>
      <x:c r="F413" s="19"/>
      <x:c r="G413" s="19"/>
      <x:c r="H413" s="25"/>
      <x:c r="I413" s="112" t="str">
        <x:f>IF($A413="","",SUMIFS('PipelineStages'!$E$2:$E$100,'PipelineStages'!$A$2:$A$100,$E413,'PipelineStages'!$B$2:$B$100,$F413))</x:f>
      </x:c>
      <x:c r="J413" s="24"/>
      <x:c r="K413" s="19"/>
      <x:c r="L413" s="100" t="str">
        <x:f>IF($A413="","",IF(COUNTIFS('FollowUps'!$C$2:$C$500,$A413,'FollowUps'!$H$2:$H$500,"open")=0,"",MINIFS('FollowUps'!$E$2:$E$500,'FollowUps'!$C$2:$C$500,$A413,'FollowUps'!$H$2:$H$500,"open")))</x:f>
      </x:c>
      <x:c r="M413" s="19"/>
      <x:c r="N413" s="26"/>
      <x:c r="O413" s="19"/>
      <x:c r="P413" s="26"/>
      <x:c r="Q413" s="19"/>
      <x:c r="R413" s="26"/>
      <x:c r="S413" s="19"/>
      <x:c r="T413" s="19"/>
    </x:row>
    <x:row r="414">
      <x:c r="A414" s="19"/>
      <x:c r="B414" s="19"/>
      <x:c r="C414" s="19"/>
      <x:c r="D414" s="19"/>
      <x:c r="E414" s="19"/>
      <x:c r="F414" s="19"/>
      <x:c r="G414" s="19"/>
      <x:c r="H414" s="25"/>
      <x:c r="I414" s="112" t="str">
        <x:f>IF($A414="","",SUMIFS('PipelineStages'!$E$2:$E$100,'PipelineStages'!$A$2:$A$100,$E414,'PipelineStages'!$B$2:$B$100,$F414))</x:f>
      </x:c>
      <x:c r="J414" s="24"/>
      <x:c r="K414" s="19"/>
      <x:c r="L414" s="100" t="str">
        <x:f>IF($A414="","",IF(COUNTIFS('FollowUps'!$C$2:$C$500,$A414,'FollowUps'!$H$2:$H$500,"open")=0,"",MINIFS('FollowUps'!$E$2:$E$500,'FollowUps'!$C$2:$C$500,$A414,'FollowUps'!$H$2:$H$500,"open")))</x:f>
      </x:c>
      <x:c r="M414" s="19"/>
      <x:c r="N414" s="26"/>
      <x:c r="O414" s="19"/>
      <x:c r="P414" s="26"/>
      <x:c r="Q414" s="19"/>
      <x:c r="R414" s="26"/>
      <x:c r="S414" s="19"/>
      <x:c r="T414" s="19"/>
    </x:row>
    <x:row r="415">
      <x:c r="A415" s="19"/>
      <x:c r="B415" s="19"/>
      <x:c r="C415" s="19"/>
      <x:c r="D415" s="19"/>
      <x:c r="E415" s="19"/>
      <x:c r="F415" s="19"/>
      <x:c r="G415" s="19"/>
      <x:c r="H415" s="25"/>
      <x:c r="I415" s="112" t="str">
        <x:f>IF($A415="","",SUMIFS('PipelineStages'!$E$2:$E$100,'PipelineStages'!$A$2:$A$100,$E415,'PipelineStages'!$B$2:$B$100,$F415))</x:f>
      </x:c>
      <x:c r="J415" s="24"/>
      <x:c r="K415" s="19"/>
      <x:c r="L415" s="100" t="str">
        <x:f>IF($A415="","",IF(COUNTIFS('FollowUps'!$C$2:$C$500,$A415,'FollowUps'!$H$2:$H$500,"open")=0,"",MINIFS('FollowUps'!$E$2:$E$500,'FollowUps'!$C$2:$C$500,$A415,'FollowUps'!$H$2:$H$500,"open")))</x:f>
      </x:c>
      <x:c r="M415" s="19"/>
      <x:c r="N415" s="26"/>
      <x:c r="O415" s="19"/>
      <x:c r="P415" s="26"/>
      <x:c r="Q415" s="19"/>
      <x:c r="R415" s="26"/>
      <x:c r="S415" s="19"/>
      <x:c r="T415" s="19"/>
    </x:row>
    <x:row r="416">
      <x:c r="A416" s="19"/>
      <x:c r="B416" s="19"/>
      <x:c r="C416" s="19"/>
      <x:c r="D416" s="19"/>
      <x:c r="E416" s="19"/>
      <x:c r="F416" s="19"/>
      <x:c r="G416" s="19"/>
      <x:c r="H416" s="25"/>
      <x:c r="I416" s="112" t="str">
        <x:f>IF($A416="","",SUMIFS('PipelineStages'!$E$2:$E$100,'PipelineStages'!$A$2:$A$100,$E416,'PipelineStages'!$B$2:$B$100,$F416))</x:f>
      </x:c>
      <x:c r="J416" s="24"/>
      <x:c r="K416" s="19"/>
      <x:c r="L416" s="100" t="str">
        <x:f>IF($A416="","",IF(COUNTIFS('FollowUps'!$C$2:$C$500,$A416,'FollowUps'!$H$2:$H$500,"open")=0,"",MINIFS('FollowUps'!$E$2:$E$500,'FollowUps'!$C$2:$C$500,$A416,'FollowUps'!$H$2:$H$500,"open")))</x:f>
      </x:c>
      <x:c r="M416" s="19"/>
      <x:c r="N416" s="26"/>
      <x:c r="O416" s="19"/>
      <x:c r="P416" s="26"/>
      <x:c r="Q416" s="19"/>
      <x:c r="R416" s="26"/>
      <x:c r="S416" s="19"/>
      <x:c r="T416" s="19"/>
    </x:row>
    <x:row r="417">
      <x:c r="A417" s="19"/>
      <x:c r="B417" s="19"/>
      <x:c r="C417" s="19"/>
      <x:c r="D417" s="19"/>
      <x:c r="E417" s="19"/>
      <x:c r="F417" s="19"/>
      <x:c r="G417" s="19"/>
      <x:c r="H417" s="25"/>
      <x:c r="I417" s="112" t="str">
        <x:f>IF($A417="","",SUMIFS('PipelineStages'!$E$2:$E$100,'PipelineStages'!$A$2:$A$100,$E417,'PipelineStages'!$B$2:$B$100,$F417))</x:f>
      </x:c>
      <x:c r="J417" s="24"/>
      <x:c r="K417" s="19"/>
      <x:c r="L417" s="100" t="str">
        <x:f>IF($A417="","",IF(COUNTIFS('FollowUps'!$C$2:$C$500,$A417,'FollowUps'!$H$2:$H$500,"open")=0,"",MINIFS('FollowUps'!$E$2:$E$500,'FollowUps'!$C$2:$C$500,$A417,'FollowUps'!$H$2:$H$500,"open")))</x:f>
      </x:c>
      <x:c r="M417" s="19"/>
      <x:c r="N417" s="26"/>
      <x:c r="O417" s="19"/>
      <x:c r="P417" s="26"/>
      <x:c r="Q417" s="19"/>
      <x:c r="R417" s="26"/>
      <x:c r="S417" s="19"/>
      <x:c r="T417" s="19"/>
    </x:row>
    <x:row r="418">
      <x:c r="A418" s="19"/>
      <x:c r="B418" s="19"/>
      <x:c r="C418" s="19"/>
      <x:c r="D418" s="19"/>
      <x:c r="E418" s="19"/>
      <x:c r="F418" s="19"/>
      <x:c r="G418" s="19"/>
      <x:c r="H418" s="25"/>
      <x:c r="I418" s="112" t="str">
        <x:f>IF($A418="","",SUMIFS('PipelineStages'!$E$2:$E$100,'PipelineStages'!$A$2:$A$100,$E418,'PipelineStages'!$B$2:$B$100,$F418))</x:f>
      </x:c>
      <x:c r="J418" s="24"/>
      <x:c r="K418" s="19"/>
      <x:c r="L418" s="100" t="str">
        <x:f>IF($A418="","",IF(COUNTIFS('FollowUps'!$C$2:$C$500,$A418,'FollowUps'!$H$2:$H$500,"open")=0,"",MINIFS('FollowUps'!$E$2:$E$500,'FollowUps'!$C$2:$C$500,$A418,'FollowUps'!$H$2:$H$500,"open")))</x:f>
      </x:c>
      <x:c r="M418" s="19"/>
      <x:c r="N418" s="26"/>
      <x:c r="O418" s="19"/>
      <x:c r="P418" s="26"/>
      <x:c r="Q418" s="19"/>
      <x:c r="R418" s="26"/>
      <x:c r="S418" s="19"/>
      <x:c r="T418" s="19"/>
    </x:row>
    <x:row r="419">
      <x:c r="A419" s="19"/>
      <x:c r="B419" s="19"/>
      <x:c r="C419" s="19"/>
      <x:c r="D419" s="19"/>
      <x:c r="E419" s="19"/>
      <x:c r="F419" s="19"/>
      <x:c r="G419" s="19"/>
      <x:c r="H419" s="25"/>
      <x:c r="I419" s="112" t="str">
        <x:f>IF($A419="","",SUMIFS('PipelineStages'!$E$2:$E$100,'PipelineStages'!$A$2:$A$100,$E419,'PipelineStages'!$B$2:$B$100,$F419))</x:f>
      </x:c>
      <x:c r="J419" s="24"/>
      <x:c r="K419" s="19"/>
      <x:c r="L419" s="100" t="str">
        <x:f>IF($A419="","",IF(COUNTIFS('FollowUps'!$C$2:$C$500,$A419,'FollowUps'!$H$2:$H$500,"open")=0,"",MINIFS('FollowUps'!$E$2:$E$500,'FollowUps'!$C$2:$C$500,$A419,'FollowUps'!$H$2:$H$500,"open")))</x:f>
      </x:c>
      <x:c r="M419" s="19"/>
      <x:c r="N419" s="26"/>
      <x:c r="O419" s="19"/>
      <x:c r="P419" s="26"/>
      <x:c r="Q419" s="19"/>
      <x:c r="R419" s="26"/>
      <x:c r="S419" s="19"/>
      <x:c r="T419" s="19"/>
    </x:row>
    <x:row r="420">
      <x:c r="A420" s="19"/>
      <x:c r="B420" s="19"/>
      <x:c r="C420" s="19"/>
      <x:c r="D420" s="19"/>
      <x:c r="E420" s="19"/>
      <x:c r="F420" s="19"/>
      <x:c r="G420" s="19"/>
      <x:c r="H420" s="25"/>
      <x:c r="I420" s="112" t="str">
        <x:f>IF($A420="","",SUMIFS('PipelineStages'!$E$2:$E$100,'PipelineStages'!$A$2:$A$100,$E420,'PipelineStages'!$B$2:$B$100,$F420))</x:f>
      </x:c>
      <x:c r="J420" s="24"/>
      <x:c r="K420" s="19"/>
      <x:c r="L420" s="100" t="str">
        <x:f>IF($A420="","",IF(COUNTIFS('FollowUps'!$C$2:$C$500,$A420,'FollowUps'!$H$2:$H$500,"open")=0,"",MINIFS('FollowUps'!$E$2:$E$500,'FollowUps'!$C$2:$C$500,$A420,'FollowUps'!$H$2:$H$500,"open")))</x:f>
      </x:c>
      <x:c r="M420" s="19"/>
      <x:c r="N420" s="26"/>
      <x:c r="O420" s="19"/>
      <x:c r="P420" s="26"/>
      <x:c r="Q420" s="19"/>
      <x:c r="R420" s="26"/>
      <x:c r="S420" s="19"/>
      <x:c r="T420" s="19"/>
    </x:row>
    <x:row r="421">
      <x:c r="A421" s="19"/>
      <x:c r="B421" s="19"/>
      <x:c r="C421" s="19"/>
      <x:c r="D421" s="19"/>
      <x:c r="E421" s="19"/>
      <x:c r="F421" s="19"/>
      <x:c r="G421" s="19"/>
      <x:c r="H421" s="25"/>
      <x:c r="I421" s="112" t="str">
        <x:f>IF($A421="","",SUMIFS('PipelineStages'!$E$2:$E$100,'PipelineStages'!$A$2:$A$100,$E421,'PipelineStages'!$B$2:$B$100,$F421))</x:f>
      </x:c>
      <x:c r="J421" s="24"/>
      <x:c r="K421" s="19"/>
      <x:c r="L421" s="100" t="str">
        <x:f>IF($A421="","",IF(COUNTIFS('FollowUps'!$C$2:$C$500,$A421,'FollowUps'!$H$2:$H$500,"open")=0,"",MINIFS('FollowUps'!$E$2:$E$500,'FollowUps'!$C$2:$C$500,$A421,'FollowUps'!$H$2:$H$500,"open")))</x:f>
      </x:c>
      <x:c r="M421" s="19"/>
      <x:c r="N421" s="26"/>
      <x:c r="O421" s="19"/>
      <x:c r="P421" s="26"/>
      <x:c r="Q421" s="19"/>
      <x:c r="R421" s="26"/>
      <x:c r="S421" s="19"/>
      <x:c r="T421" s="19"/>
    </x:row>
    <x:row r="422">
      <x:c r="A422" s="19"/>
      <x:c r="B422" s="19"/>
      <x:c r="C422" s="19"/>
      <x:c r="D422" s="19"/>
      <x:c r="E422" s="19"/>
      <x:c r="F422" s="19"/>
      <x:c r="G422" s="19"/>
      <x:c r="H422" s="25"/>
      <x:c r="I422" s="112" t="str">
        <x:f>IF($A422="","",SUMIFS('PipelineStages'!$E$2:$E$100,'PipelineStages'!$A$2:$A$100,$E422,'PipelineStages'!$B$2:$B$100,$F422))</x:f>
      </x:c>
      <x:c r="J422" s="24"/>
      <x:c r="K422" s="19"/>
      <x:c r="L422" s="100" t="str">
        <x:f>IF($A422="","",IF(COUNTIFS('FollowUps'!$C$2:$C$500,$A422,'FollowUps'!$H$2:$H$500,"open")=0,"",MINIFS('FollowUps'!$E$2:$E$500,'FollowUps'!$C$2:$C$500,$A422,'FollowUps'!$H$2:$H$500,"open")))</x:f>
      </x:c>
      <x:c r="M422" s="19"/>
      <x:c r="N422" s="26"/>
      <x:c r="O422" s="19"/>
      <x:c r="P422" s="26"/>
      <x:c r="Q422" s="19"/>
      <x:c r="R422" s="26"/>
      <x:c r="S422" s="19"/>
      <x:c r="T422" s="19"/>
    </x:row>
    <x:row r="423">
      <x:c r="A423" s="19"/>
      <x:c r="B423" s="19"/>
      <x:c r="C423" s="19"/>
      <x:c r="D423" s="19"/>
      <x:c r="E423" s="19"/>
      <x:c r="F423" s="19"/>
      <x:c r="G423" s="19"/>
      <x:c r="H423" s="25"/>
      <x:c r="I423" s="112" t="str">
        <x:f>IF($A423="","",SUMIFS('PipelineStages'!$E$2:$E$100,'PipelineStages'!$A$2:$A$100,$E423,'PipelineStages'!$B$2:$B$100,$F423))</x:f>
      </x:c>
      <x:c r="J423" s="24"/>
      <x:c r="K423" s="19"/>
      <x:c r="L423" s="100" t="str">
        <x:f>IF($A423="","",IF(COUNTIFS('FollowUps'!$C$2:$C$500,$A423,'FollowUps'!$H$2:$H$500,"open")=0,"",MINIFS('FollowUps'!$E$2:$E$500,'FollowUps'!$C$2:$C$500,$A423,'FollowUps'!$H$2:$H$500,"open")))</x:f>
      </x:c>
      <x:c r="M423" s="19"/>
      <x:c r="N423" s="26"/>
      <x:c r="O423" s="19"/>
      <x:c r="P423" s="26"/>
      <x:c r="Q423" s="19"/>
      <x:c r="R423" s="26"/>
      <x:c r="S423" s="19"/>
      <x:c r="T423" s="19"/>
    </x:row>
    <x:row r="424">
      <x:c r="A424" s="19"/>
      <x:c r="B424" s="19"/>
      <x:c r="C424" s="19"/>
      <x:c r="D424" s="19"/>
      <x:c r="E424" s="19"/>
      <x:c r="F424" s="19"/>
      <x:c r="G424" s="19"/>
      <x:c r="H424" s="25"/>
      <x:c r="I424" s="112" t="str">
        <x:f>IF($A424="","",SUMIFS('PipelineStages'!$E$2:$E$100,'PipelineStages'!$A$2:$A$100,$E424,'PipelineStages'!$B$2:$B$100,$F424))</x:f>
      </x:c>
      <x:c r="J424" s="24"/>
      <x:c r="K424" s="19"/>
      <x:c r="L424" s="100" t="str">
        <x:f>IF($A424="","",IF(COUNTIFS('FollowUps'!$C$2:$C$500,$A424,'FollowUps'!$H$2:$H$500,"open")=0,"",MINIFS('FollowUps'!$E$2:$E$500,'FollowUps'!$C$2:$C$500,$A424,'FollowUps'!$H$2:$H$500,"open")))</x:f>
      </x:c>
      <x:c r="M424" s="19"/>
      <x:c r="N424" s="26"/>
      <x:c r="O424" s="19"/>
      <x:c r="P424" s="26"/>
      <x:c r="Q424" s="19"/>
      <x:c r="R424" s="26"/>
      <x:c r="S424" s="19"/>
      <x:c r="T424" s="19"/>
    </x:row>
    <x:row r="425">
      <x:c r="A425" s="19"/>
      <x:c r="B425" s="19"/>
      <x:c r="C425" s="19"/>
      <x:c r="D425" s="19"/>
      <x:c r="E425" s="19"/>
      <x:c r="F425" s="19"/>
      <x:c r="G425" s="19"/>
      <x:c r="H425" s="25"/>
      <x:c r="I425" s="112" t="str">
        <x:f>IF($A425="","",SUMIFS('PipelineStages'!$E$2:$E$100,'PipelineStages'!$A$2:$A$100,$E425,'PipelineStages'!$B$2:$B$100,$F425))</x:f>
      </x:c>
      <x:c r="J425" s="24"/>
      <x:c r="K425" s="19"/>
      <x:c r="L425" s="100" t="str">
        <x:f>IF($A425="","",IF(COUNTIFS('FollowUps'!$C$2:$C$500,$A425,'FollowUps'!$H$2:$H$500,"open")=0,"",MINIFS('FollowUps'!$E$2:$E$500,'FollowUps'!$C$2:$C$500,$A425,'FollowUps'!$H$2:$H$500,"open")))</x:f>
      </x:c>
      <x:c r="M425" s="19"/>
      <x:c r="N425" s="26"/>
      <x:c r="O425" s="19"/>
      <x:c r="P425" s="26"/>
      <x:c r="Q425" s="19"/>
      <x:c r="R425" s="26"/>
      <x:c r="S425" s="19"/>
      <x:c r="T425" s="19"/>
    </x:row>
    <x:row r="426">
      <x:c r="A426" s="19"/>
      <x:c r="B426" s="19"/>
      <x:c r="C426" s="19"/>
      <x:c r="D426" s="19"/>
      <x:c r="E426" s="19"/>
      <x:c r="F426" s="19"/>
      <x:c r="G426" s="19"/>
      <x:c r="H426" s="25"/>
      <x:c r="I426" s="112" t="str">
        <x:f>IF($A426="","",SUMIFS('PipelineStages'!$E$2:$E$100,'PipelineStages'!$A$2:$A$100,$E426,'PipelineStages'!$B$2:$B$100,$F426))</x:f>
      </x:c>
      <x:c r="J426" s="24"/>
      <x:c r="K426" s="19"/>
      <x:c r="L426" s="100" t="str">
        <x:f>IF($A426="","",IF(COUNTIFS('FollowUps'!$C$2:$C$500,$A426,'FollowUps'!$H$2:$H$500,"open")=0,"",MINIFS('FollowUps'!$E$2:$E$500,'FollowUps'!$C$2:$C$500,$A426,'FollowUps'!$H$2:$H$500,"open")))</x:f>
      </x:c>
      <x:c r="M426" s="19"/>
      <x:c r="N426" s="26"/>
      <x:c r="O426" s="19"/>
      <x:c r="P426" s="26"/>
      <x:c r="Q426" s="19"/>
      <x:c r="R426" s="26"/>
      <x:c r="S426" s="19"/>
      <x:c r="T426" s="19"/>
    </x:row>
    <x:row r="427">
      <x:c r="A427" s="19"/>
      <x:c r="B427" s="19"/>
      <x:c r="C427" s="19"/>
      <x:c r="D427" s="19"/>
      <x:c r="E427" s="19"/>
      <x:c r="F427" s="19"/>
      <x:c r="G427" s="19"/>
      <x:c r="H427" s="25"/>
      <x:c r="I427" s="112" t="str">
        <x:f>IF($A427="","",SUMIFS('PipelineStages'!$E$2:$E$100,'PipelineStages'!$A$2:$A$100,$E427,'PipelineStages'!$B$2:$B$100,$F427))</x:f>
      </x:c>
      <x:c r="J427" s="24"/>
      <x:c r="K427" s="19"/>
      <x:c r="L427" s="100" t="str">
        <x:f>IF($A427="","",IF(COUNTIFS('FollowUps'!$C$2:$C$500,$A427,'FollowUps'!$H$2:$H$500,"open")=0,"",MINIFS('FollowUps'!$E$2:$E$500,'FollowUps'!$C$2:$C$500,$A427,'FollowUps'!$H$2:$H$500,"open")))</x:f>
      </x:c>
      <x:c r="M427" s="19"/>
      <x:c r="N427" s="26"/>
      <x:c r="O427" s="19"/>
      <x:c r="P427" s="26"/>
      <x:c r="Q427" s="19"/>
      <x:c r="R427" s="26"/>
      <x:c r="S427" s="19"/>
      <x:c r="T427" s="19"/>
    </x:row>
    <x:row r="428">
      <x:c r="A428" s="19"/>
      <x:c r="B428" s="19"/>
      <x:c r="C428" s="19"/>
      <x:c r="D428" s="19"/>
      <x:c r="E428" s="19"/>
      <x:c r="F428" s="19"/>
      <x:c r="G428" s="19"/>
      <x:c r="H428" s="25"/>
      <x:c r="I428" s="112" t="str">
        <x:f>IF($A428="","",SUMIFS('PipelineStages'!$E$2:$E$100,'PipelineStages'!$A$2:$A$100,$E428,'PipelineStages'!$B$2:$B$100,$F428))</x:f>
      </x:c>
      <x:c r="J428" s="24"/>
      <x:c r="K428" s="19"/>
      <x:c r="L428" s="100" t="str">
        <x:f>IF($A428="","",IF(COUNTIFS('FollowUps'!$C$2:$C$500,$A428,'FollowUps'!$H$2:$H$500,"open")=0,"",MINIFS('FollowUps'!$E$2:$E$500,'FollowUps'!$C$2:$C$500,$A428,'FollowUps'!$H$2:$H$500,"open")))</x:f>
      </x:c>
      <x:c r="M428" s="19"/>
      <x:c r="N428" s="26"/>
      <x:c r="O428" s="19"/>
      <x:c r="P428" s="26"/>
      <x:c r="Q428" s="19"/>
      <x:c r="R428" s="26"/>
      <x:c r="S428" s="19"/>
      <x:c r="T428" s="19"/>
    </x:row>
    <x:row r="429">
      <x:c r="A429" s="19"/>
      <x:c r="B429" s="19"/>
      <x:c r="C429" s="19"/>
      <x:c r="D429" s="19"/>
      <x:c r="E429" s="19"/>
      <x:c r="F429" s="19"/>
      <x:c r="G429" s="19"/>
      <x:c r="H429" s="25"/>
      <x:c r="I429" s="112" t="str">
        <x:f>IF($A429="","",SUMIFS('PipelineStages'!$E$2:$E$100,'PipelineStages'!$A$2:$A$100,$E429,'PipelineStages'!$B$2:$B$100,$F429))</x:f>
      </x:c>
      <x:c r="J429" s="24"/>
      <x:c r="K429" s="19"/>
      <x:c r="L429" s="100" t="str">
        <x:f>IF($A429="","",IF(COUNTIFS('FollowUps'!$C$2:$C$500,$A429,'FollowUps'!$H$2:$H$500,"open")=0,"",MINIFS('FollowUps'!$E$2:$E$500,'FollowUps'!$C$2:$C$500,$A429,'FollowUps'!$H$2:$H$500,"open")))</x:f>
      </x:c>
      <x:c r="M429" s="19"/>
      <x:c r="N429" s="26"/>
      <x:c r="O429" s="19"/>
      <x:c r="P429" s="26"/>
      <x:c r="Q429" s="19"/>
      <x:c r="R429" s="26"/>
      <x:c r="S429" s="19"/>
      <x:c r="T429" s="19"/>
    </x:row>
    <x:row r="430">
      <x:c r="A430" s="19"/>
      <x:c r="B430" s="19"/>
      <x:c r="C430" s="19"/>
      <x:c r="D430" s="19"/>
      <x:c r="E430" s="19"/>
      <x:c r="F430" s="19"/>
      <x:c r="G430" s="19"/>
      <x:c r="H430" s="25"/>
      <x:c r="I430" s="112" t="str">
        <x:f>IF($A430="","",SUMIFS('PipelineStages'!$E$2:$E$100,'PipelineStages'!$A$2:$A$100,$E430,'PipelineStages'!$B$2:$B$100,$F430))</x:f>
      </x:c>
      <x:c r="J430" s="24"/>
      <x:c r="K430" s="19"/>
      <x:c r="L430" s="100" t="str">
        <x:f>IF($A430="","",IF(COUNTIFS('FollowUps'!$C$2:$C$500,$A430,'FollowUps'!$H$2:$H$500,"open")=0,"",MINIFS('FollowUps'!$E$2:$E$500,'FollowUps'!$C$2:$C$500,$A430,'FollowUps'!$H$2:$H$500,"open")))</x:f>
      </x:c>
      <x:c r="M430" s="19"/>
      <x:c r="N430" s="26"/>
      <x:c r="O430" s="19"/>
      <x:c r="P430" s="26"/>
      <x:c r="Q430" s="19"/>
      <x:c r="R430" s="26"/>
      <x:c r="S430" s="19"/>
      <x:c r="T430" s="19"/>
    </x:row>
    <x:row r="431">
      <x:c r="A431" s="19"/>
      <x:c r="B431" s="19"/>
      <x:c r="C431" s="19"/>
      <x:c r="D431" s="19"/>
      <x:c r="E431" s="19"/>
      <x:c r="F431" s="19"/>
      <x:c r="G431" s="19"/>
      <x:c r="H431" s="25"/>
      <x:c r="I431" s="112" t="str">
        <x:f>IF($A431="","",SUMIFS('PipelineStages'!$E$2:$E$100,'PipelineStages'!$A$2:$A$100,$E431,'PipelineStages'!$B$2:$B$100,$F431))</x:f>
      </x:c>
      <x:c r="J431" s="24"/>
      <x:c r="K431" s="19"/>
      <x:c r="L431" s="100" t="str">
        <x:f>IF($A431="","",IF(COUNTIFS('FollowUps'!$C$2:$C$500,$A431,'FollowUps'!$H$2:$H$500,"open")=0,"",MINIFS('FollowUps'!$E$2:$E$500,'FollowUps'!$C$2:$C$500,$A431,'FollowUps'!$H$2:$H$500,"open")))</x:f>
      </x:c>
      <x:c r="M431" s="19"/>
      <x:c r="N431" s="26"/>
      <x:c r="O431" s="19"/>
      <x:c r="P431" s="26"/>
      <x:c r="Q431" s="19"/>
      <x:c r="R431" s="26"/>
      <x:c r="S431" s="19"/>
      <x:c r="T431" s="19"/>
    </x:row>
    <x:row r="432">
      <x:c r="A432" s="19"/>
      <x:c r="B432" s="19"/>
      <x:c r="C432" s="19"/>
      <x:c r="D432" s="19"/>
      <x:c r="E432" s="19"/>
      <x:c r="F432" s="19"/>
      <x:c r="G432" s="19"/>
      <x:c r="H432" s="25"/>
      <x:c r="I432" s="112" t="str">
        <x:f>IF($A432="","",SUMIFS('PipelineStages'!$E$2:$E$100,'PipelineStages'!$A$2:$A$100,$E432,'PipelineStages'!$B$2:$B$100,$F432))</x:f>
      </x:c>
      <x:c r="J432" s="24"/>
      <x:c r="K432" s="19"/>
      <x:c r="L432" s="100" t="str">
        <x:f>IF($A432="","",IF(COUNTIFS('FollowUps'!$C$2:$C$500,$A432,'FollowUps'!$H$2:$H$500,"open")=0,"",MINIFS('FollowUps'!$E$2:$E$500,'FollowUps'!$C$2:$C$500,$A432,'FollowUps'!$H$2:$H$500,"open")))</x:f>
      </x:c>
      <x:c r="M432" s="19"/>
      <x:c r="N432" s="26"/>
      <x:c r="O432" s="19"/>
      <x:c r="P432" s="26"/>
      <x:c r="Q432" s="19"/>
      <x:c r="R432" s="26"/>
      <x:c r="S432" s="19"/>
      <x:c r="T432" s="19"/>
    </x:row>
    <x:row r="433">
      <x:c r="A433" s="19"/>
      <x:c r="B433" s="19"/>
      <x:c r="C433" s="19"/>
      <x:c r="D433" s="19"/>
      <x:c r="E433" s="19"/>
      <x:c r="F433" s="19"/>
      <x:c r="G433" s="19"/>
      <x:c r="H433" s="25"/>
      <x:c r="I433" s="112" t="str">
        <x:f>IF($A433="","",SUMIFS('PipelineStages'!$E$2:$E$100,'PipelineStages'!$A$2:$A$100,$E433,'PipelineStages'!$B$2:$B$100,$F433))</x:f>
      </x:c>
      <x:c r="J433" s="24"/>
      <x:c r="K433" s="19"/>
      <x:c r="L433" s="100" t="str">
        <x:f>IF($A433="","",IF(COUNTIFS('FollowUps'!$C$2:$C$500,$A433,'FollowUps'!$H$2:$H$500,"open")=0,"",MINIFS('FollowUps'!$E$2:$E$500,'FollowUps'!$C$2:$C$500,$A433,'FollowUps'!$H$2:$H$500,"open")))</x:f>
      </x:c>
      <x:c r="M433" s="19"/>
      <x:c r="N433" s="26"/>
      <x:c r="O433" s="19"/>
      <x:c r="P433" s="26"/>
      <x:c r="Q433" s="19"/>
      <x:c r="R433" s="26"/>
      <x:c r="S433" s="19"/>
      <x:c r="T433" s="19"/>
    </x:row>
    <x:row r="434">
      <x:c r="A434" s="19"/>
      <x:c r="B434" s="19"/>
      <x:c r="C434" s="19"/>
      <x:c r="D434" s="19"/>
      <x:c r="E434" s="19"/>
      <x:c r="F434" s="19"/>
      <x:c r="G434" s="19"/>
      <x:c r="H434" s="25"/>
      <x:c r="I434" s="112" t="str">
        <x:f>IF($A434="","",SUMIFS('PipelineStages'!$E$2:$E$100,'PipelineStages'!$A$2:$A$100,$E434,'PipelineStages'!$B$2:$B$100,$F434))</x:f>
      </x:c>
      <x:c r="J434" s="24"/>
      <x:c r="K434" s="19"/>
      <x:c r="L434" s="100" t="str">
        <x:f>IF($A434="","",IF(COUNTIFS('FollowUps'!$C$2:$C$500,$A434,'FollowUps'!$H$2:$H$500,"open")=0,"",MINIFS('FollowUps'!$E$2:$E$500,'FollowUps'!$C$2:$C$500,$A434,'FollowUps'!$H$2:$H$500,"open")))</x:f>
      </x:c>
      <x:c r="M434" s="19"/>
      <x:c r="N434" s="26"/>
      <x:c r="O434" s="19"/>
      <x:c r="P434" s="26"/>
      <x:c r="Q434" s="19"/>
      <x:c r="R434" s="26"/>
      <x:c r="S434" s="19"/>
      <x:c r="T434" s="19"/>
    </x:row>
    <x:row r="435">
      <x:c r="A435" s="19"/>
      <x:c r="B435" s="19"/>
      <x:c r="C435" s="19"/>
      <x:c r="D435" s="19"/>
      <x:c r="E435" s="19"/>
      <x:c r="F435" s="19"/>
      <x:c r="G435" s="19"/>
      <x:c r="H435" s="25"/>
      <x:c r="I435" s="112" t="str">
        <x:f>IF($A435="","",SUMIFS('PipelineStages'!$E$2:$E$100,'PipelineStages'!$A$2:$A$100,$E435,'PipelineStages'!$B$2:$B$100,$F435))</x:f>
      </x:c>
      <x:c r="J435" s="24"/>
      <x:c r="K435" s="19"/>
      <x:c r="L435" s="100" t="str">
        <x:f>IF($A435="","",IF(COUNTIFS('FollowUps'!$C$2:$C$500,$A435,'FollowUps'!$H$2:$H$500,"open")=0,"",MINIFS('FollowUps'!$E$2:$E$500,'FollowUps'!$C$2:$C$500,$A435,'FollowUps'!$H$2:$H$500,"open")))</x:f>
      </x:c>
      <x:c r="M435" s="19"/>
      <x:c r="N435" s="26"/>
      <x:c r="O435" s="19"/>
      <x:c r="P435" s="26"/>
      <x:c r="Q435" s="19"/>
      <x:c r="R435" s="26"/>
      <x:c r="S435" s="19"/>
      <x:c r="T435" s="19"/>
    </x:row>
    <x:row r="436">
      <x:c r="A436" s="19"/>
      <x:c r="B436" s="19"/>
      <x:c r="C436" s="19"/>
      <x:c r="D436" s="19"/>
      <x:c r="E436" s="19"/>
      <x:c r="F436" s="19"/>
      <x:c r="G436" s="19"/>
      <x:c r="H436" s="25"/>
      <x:c r="I436" s="112" t="str">
        <x:f>IF($A436="","",SUMIFS('PipelineStages'!$E$2:$E$100,'PipelineStages'!$A$2:$A$100,$E436,'PipelineStages'!$B$2:$B$100,$F436))</x:f>
      </x:c>
      <x:c r="J436" s="24"/>
      <x:c r="K436" s="19"/>
      <x:c r="L436" s="100" t="str">
        <x:f>IF($A436="","",IF(COUNTIFS('FollowUps'!$C$2:$C$500,$A436,'FollowUps'!$H$2:$H$500,"open")=0,"",MINIFS('FollowUps'!$E$2:$E$500,'FollowUps'!$C$2:$C$500,$A436,'FollowUps'!$H$2:$H$500,"open")))</x:f>
      </x:c>
      <x:c r="M436" s="19"/>
      <x:c r="N436" s="26"/>
      <x:c r="O436" s="19"/>
      <x:c r="P436" s="26"/>
      <x:c r="Q436" s="19"/>
      <x:c r="R436" s="26"/>
      <x:c r="S436" s="19"/>
      <x:c r="T436" s="19"/>
    </x:row>
    <x:row r="437">
      <x:c r="A437" s="19"/>
      <x:c r="B437" s="19"/>
      <x:c r="C437" s="19"/>
      <x:c r="D437" s="19"/>
      <x:c r="E437" s="19"/>
      <x:c r="F437" s="19"/>
      <x:c r="G437" s="19"/>
      <x:c r="H437" s="25"/>
      <x:c r="I437" s="112" t="str">
        <x:f>IF($A437="","",SUMIFS('PipelineStages'!$E$2:$E$100,'PipelineStages'!$A$2:$A$100,$E437,'PipelineStages'!$B$2:$B$100,$F437))</x:f>
      </x:c>
      <x:c r="J437" s="24"/>
      <x:c r="K437" s="19"/>
      <x:c r="L437" s="100" t="str">
        <x:f>IF($A437="","",IF(COUNTIFS('FollowUps'!$C$2:$C$500,$A437,'FollowUps'!$H$2:$H$500,"open")=0,"",MINIFS('FollowUps'!$E$2:$E$500,'FollowUps'!$C$2:$C$500,$A437,'FollowUps'!$H$2:$H$500,"open")))</x:f>
      </x:c>
      <x:c r="M437" s="19"/>
      <x:c r="N437" s="26"/>
      <x:c r="O437" s="19"/>
      <x:c r="P437" s="26"/>
      <x:c r="Q437" s="19"/>
      <x:c r="R437" s="26"/>
      <x:c r="S437" s="19"/>
      <x:c r="T437" s="19"/>
    </x:row>
    <x:row r="438">
      <x:c r="A438" s="19"/>
      <x:c r="B438" s="19"/>
      <x:c r="C438" s="19"/>
      <x:c r="D438" s="19"/>
      <x:c r="E438" s="19"/>
      <x:c r="F438" s="19"/>
      <x:c r="G438" s="19"/>
      <x:c r="H438" s="25"/>
      <x:c r="I438" s="112" t="str">
        <x:f>IF($A438="","",SUMIFS('PipelineStages'!$E$2:$E$100,'PipelineStages'!$A$2:$A$100,$E438,'PipelineStages'!$B$2:$B$100,$F438))</x:f>
      </x:c>
      <x:c r="J438" s="24"/>
      <x:c r="K438" s="19"/>
      <x:c r="L438" s="100" t="str">
        <x:f>IF($A438="","",IF(COUNTIFS('FollowUps'!$C$2:$C$500,$A438,'FollowUps'!$H$2:$H$500,"open")=0,"",MINIFS('FollowUps'!$E$2:$E$500,'FollowUps'!$C$2:$C$500,$A438,'FollowUps'!$H$2:$H$500,"open")))</x:f>
      </x:c>
      <x:c r="M438" s="19"/>
      <x:c r="N438" s="26"/>
      <x:c r="O438" s="19"/>
      <x:c r="P438" s="26"/>
      <x:c r="Q438" s="19"/>
      <x:c r="R438" s="26"/>
      <x:c r="S438" s="19"/>
      <x:c r="T438" s="19"/>
    </x:row>
    <x:row r="439">
      <x:c r="A439" s="19"/>
      <x:c r="B439" s="19"/>
      <x:c r="C439" s="19"/>
      <x:c r="D439" s="19"/>
      <x:c r="E439" s="19"/>
      <x:c r="F439" s="19"/>
      <x:c r="G439" s="19"/>
      <x:c r="H439" s="25"/>
      <x:c r="I439" s="112" t="str">
        <x:f>IF($A439="","",SUMIFS('PipelineStages'!$E$2:$E$100,'PipelineStages'!$A$2:$A$100,$E439,'PipelineStages'!$B$2:$B$100,$F439))</x:f>
      </x:c>
      <x:c r="J439" s="24"/>
      <x:c r="K439" s="19"/>
      <x:c r="L439" s="100" t="str">
        <x:f>IF($A439="","",IF(COUNTIFS('FollowUps'!$C$2:$C$500,$A439,'FollowUps'!$H$2:$H$500,"open")=0,"",MINIFS('FollowUps'!$E$2:$E$500,'FollowUps'!$C$2:$C$500,$A439,'FollowUps'!$H$2:$H$500,"open")))</x:f>
      </x:c>
      <x:c r="M439" s="19"/>
      <x:c r="N439" s="26"/>
      <x:c r="O439" s="19"/>
      <x:c r="P439" s="26"/>
      <x:c r="Q439" s="19"/>
      <x:c r="R439" s="26"/>
      <x:c r="S439" s="19"/>
      <x:c r="T439" s="19"/>
    </x:row>
    <x:row r="440">
      <x:c r="A440" s="19"/>
      <x:c r="B440" s="19"/>
      <x:c r="C440" s="19"/>
      <x:c r="D440" s="19"/>
      <x:c r="E440" s="19"/>
      <x:c r="F440" s="19"/>
      <x:c r="G440" s="19"/>
      <x:c r="H440" s="25"/>
      <x:c r="I440" s="112" t="str">
        <x:f>IF($A440="","",SUMIFS('PipelineStages'!$E$2:$E$100,'PipelineStages'!$A$2:$A$100,$E440,'PipelineStages'!$B$2:$B$100,$F440))</x:f>
      </x:c>
      <x:c r="J440" s="24"/>
      <x:c r="K440" s="19"/>
      <x:c r="L440" s="100" t="str">
        <x:f>IF($A440="","",IF(COUNTIFS('FollowUps'!$C$2:$C$500,$A440,'FollowUps'!$H$2:$H$500,"open")=0,"",MINIFS('FollowUps'!$E$2:$E$500,'FollowUps'!$C$2:$C$500,$A440,'FollowUps'!$H$2:$H$500,"open")))</x:f>
      </x:c>
      <x:c r="M440" s="19"/>
      <x:c r="N440" s="26"/>
      <x:c r="O440" s="19"/>
      <x:c r="P440" s="26"/>
      <x:c r="Q440" s="19"/>
      <x:c r="R440" s="26"/>
      <x:c r="S440" s="19"/>
      <x:c r="T440" s="19"/>
    </x:row>
    <x:row r="441">
      <x:c r="A441" s="19"/>
      <x:c r="B441" s="19"/>
      <x:c r="C441" s="19"/>
      <x:c r="D441" s="19"/>
      <x:c r="E441" s="19"/>
      <x:c r="F441" s="19"/>
      <x:c r="G441" s="19"/>
      <x:c r="H441" s="25"/>
      <x:c r="I441" s="112" t="str">
        <x:f>IF($A441="","",SUMIFS('PipelineStages'!$E$2:$E$100,'PipelineStages'!$A$2:$A$100,$E441,'PipelineStages'!$B$2:$B$100,$F441))</x:f>
      </x:c>
      <x:c r="J441" s="24"/>
      <x:c r="K441" s="19"/>
      <x:c r="L441" s="100" t="str">
        <x:f>IF($A441="","",IF(COUNTIFS('FollowUps'!$C$2:$C$500,$A441,'FollowUps'!$H$2:$H$500,"open")=0,"",MINIFS('FollowUps'!$E$2:$E$500,'FollowUps'!$C$2:$C$500,$A441,'FollowUps'!$H$2:$H$500,"open")))</x:f>
      </x:c>
      <x:c r="M441" s="19"/>
      <x:c r="N441" s="26"/>
      <x:c r="O441" s="19"/>
      <x:c r="P441" s="26"/>
      <x:c r="Q441" s="19"/>
      <x:c r="R441" s="26"/>
      <x:c r="S441" s="19"/>
      <x:c r="T441" s="19"/>
    </x:row>
    <x:row r="442">
      <x:c r="A442" s="19"/>
      <x:c r="B442" s="19"/>
      <x:c r="C442" s="19"/>
      <x:c r="D442" s="19"/>
      <x:c r="E442" s="19"/>
      <x:c r="F442" s="19"/>
      <x:c r="G442" s="19"/>
      <x:c r="H442" s="25"/>
      <x:c r="I442" s="112" t="str">
        <x:f>IF($A442="","",SUMIFS('PipelineStages'!$E$2:$E$100,'PipelineStages'!$A$2:$A$100,$E442,'PipelineStages'!$B$2:$B$100,$F442))</x:f>
      </x:c>
      <x:c r="J442" s="24"/>
      <x:c r="K442" s="19"/>
      <x:c r="L442" s="100" t="str">
        <x:f>IF($A442="","",IF(COUNTIFS('FollowUps'!$C$2:$C$500,$A442,'FollowUps'!$H$2:$H$500,"open")=0,"",MINIFS('FollowUps'!$E$2:$E$500,'FollowUps'!$C$2:$C$500,$A442,'FollowUps'!$H$2:$H$500,"open")))</x:f>
      </x:c>
      <x:c r="M442" s="19"/>
      <x:c r="N442" s="26"/>
      <x:c r="O442" s="19"/>
      <x:c r="P442" s="26"/>
      <x:c r="Q442" s="19"/>
      <x:c r="R442" s="26"/>
      <x:c r="S442" s="19"/>
      <x:c r="T442" s="19"/>
    </x:row>
    <x:row r="443">
      <x:c r="A443" s="19"/>
      <x:c r="B443" s="19"/>
      <x:c r="C443" s="19"/>
      <x:c r="D443" s="19"/>
      <x:c r="E443" s="19"/>
      <x:c r="F443" s="19"/>
      <x:c r="G443" s="19"/>
      <x:c r="H443" s="25"/>
      <x:c r="I443" s="112" t="str">
        <x:f>IF($A443="","",SUMIFS('PipelineStages'!$E$2:$E$100,'PipelineStages'!$A$2:$A$100,$E443,'PipelineStages'!$B$2:$B$100,$F443))</x:f>
      </x:c>
      <x:c r="J443" s="24"/>
      <x:c r="K443" s="19"/>
      <x:c r="L443" s="100" t="str">
        <x:f>IF($A443="","",IF(COUNTIFS('FollowUps'!$C$2:$C$500,$A443,'FollowUps'!$H$2:$H$500,"open")=0,"",MINIFS('FollowUps'!$E$2:$E$500,'FollowUps'!$C$2:$C$500,$A443,'FollowUps'!$H$2:$H$500,"open")))</x:f>
      </x:c>
      <x:c r="M443" s="19"/>
      <x:c r="N443" s="26"/>
      <x:c r="O443" s="19"/>
      <x:c r="P443" s="26"/>
      <x:c r="Q443" s="19"/>
      <x:c r="R443" s="26"/>
      <x:c r="S443" s="19"/>
      <x:c r="T443" s="19"/>
    </x:row>
    <x:row r="444">
      <x:c r="A444" s="19"/>
      <x:c r="B444" s="19"/>
      <x:c r="C444" s="19"/>
      <x:c r="D444" s="19"/>
      <x:c r="E444" s="19"/>
      <x:c r="F444" s="19"/>
      <x:c r="G444" s="19"/>
      <x:c r="H444" s="25"/>
      <x:c r="I444" s="112" t="str">
        <x:f>IF($A444="","",SUMIFS('PipelineStages'!$E$2:$E$100,'PipelineStages'!$A$2:$A$100,$E444,'PipelineStages'!$B$2:$B$100,$F444))</x:f>
      </x:c>
      <x:c r="J444" s="24"/>
      <x:c r="K444" s="19"/>
      <x:c r="L444" s="100" t="str">
        <x:f>IF($A444="","",IF(COUNTIFS('FollowUps'!$C$2:$C$500,$A444,'FollowUps'!$H$2:$H$500,"open")=0,"",MINIFS('FollowUps'!$E$2:$E$500,'FollowUps'!$C$2:$C$500,$A444,'FollowUps'!$H$2:$H$500,"open")))</x:f>
      </x:c>
      <x:c r="M444" s="19"/>
      <x:c r="N444" s="26"/>
      <x:c r="O444" s="19"/>
      <x:c r="P444" s="26"/>
      <x:c r="Q444" s="19"/>
      <x:c r="R444" s="26"/>
      <x:c r="S444" s="19"/>
      <x:c r="T444" s="19"/>
    </x:row>
    <x:row r="445">
      <x:c r="A445" s="19"/>
      <x:c r="B445" s="19"/>
      <x:c r="C445" s="19"/>
      <x:c r="D445" s="19"/>
      <x:c r="E445" s="19"/>
      <x:c r="F445" s="19"/>
      <x:c r="G445" s="19"/>
      <x:c r="H445" s="25"/>
      <x:c r="I445" s="112" t="str">
        <x:f>IF($A445="","",SUMIFS('PipelineStages'!$E$2:$E$100,'PipelineStages'!$A$2:$A$100,$E445,'PipelineStages'!$B$2:$B$100,$F445))</x:f>
      </x:c>
      <x:c r="J445" s="24"/>
      <x:c r="K445" s="19"/>
      <x:c r="L445" s="100" t="str">
        <x:f>IF($A445="","",IF(COUNTIFS('FollowUps'!$C$2:$C$500,$A445,'FollowUps'!$H$2:$H$500,"open")=0,"",MINIFS('FollowUps'!$E$2:$E$500,'FollowUps'!$C$2:$C$500,$A445,'FollowUps'!$H$2:$H$500,"open")))</x:f>
      </x:c>
      <x:c r="M445" s="19"/>
      <x:c r="N445" s="26"/>
      <x:c r="O445" s="19"/>
      <x:c r="P445" s="26"/>
      <x:c r="Q445" s="19"/>
      <x:c r="R445" s="26"/>
      <x:c r="S445" s="19"/>
      <x:c r="T445" s="19"/>
    </x:row>
    <x:row r="446">
      <x:c r="A446" s="19"/>
      <x:c r="B446" s="19"/>
      <x:c r="C446" s="19"/>
      <x:c r="D446" s="19"/>
      <x:c r="E446" s="19"/>
      <x:c r="F446" s="19"/>
      <x:c r="G446" s="19"/>
      <x:c r="H446" s="25"/>
      <x:c r="I446" s="112" t="str">
        <x:f>IF($A446="","",SUMIFS('PipelineStages'!$E$2:$E$100,'PipelineStages'!$A$2:$A$100,$E446,'PipelineStages'!$B$2:$B$100,$F446))</x:f>
      </x:c>
      <x:c r="J446" s="24"/>
      <x:c r="K446" s="19"/>
      <x:c r="L446" s="100" t="str">
        <x:f>IF($A446="","",IF(COUNTIFS('FollowUps'!$C$2:$C$500,$A446,'FollowUps'!$H$2:$H$500,"open")=0,"",MINIFS('FollowUps'!$E$2:$E$500,'FollowUps'!$C$2:$C$500,$A446,'FollowUps'!$H$2:$H$500,"open")))</x:f>
      </x:c>
      <x:c r="M446" s="19"/>
      <x:c r="N446" s="26"/>
      <x:c r="O446" s="19"/>
      <x:c r="P446" s="26"/>
      <x:c r="Q446" s="19"/>
      <x:c r="R446" s="26"/>
      <x:c r="S446" s="19"/>
      <x:c r="T446" s="19"/>
    </x:row>
    <x:row r="447">
      <x:c r="A447" s="19"/>
      <x:c r="B447" s="19"/>
      <x:c r="C447" s="19"/>
      <x:c r="D447" s="19"/>
      <x:c r="E447" s="19"/>
      <x:c r="F447" s="19"/>
      <x:c r="G447" s="19"/>
      <x:c r="H447" s="25"/>
      <x:c r="I447" s="112" t="str">
        <x:f>IF($A447="","",SUMIFS('PipelineStages'!$E$2:$E$100,'PipelineStages'!$A$2:$A$100,$E447,'PipelineStages'!$B$2:$B$100,$F447))</x:f>
      </x:c>
      <x:c r="J447" s="24"/>
      <x:c r="K447" s="19"/>
      <x:c r="L447" s="100" t="str">
        <x:f>IF($A447="","",IF(COUNTIFS('FollowUps'!$C$2:$C$500,$A447,'FollowUps'!$H$2:$H$500,"open")=0,"",MINIFS('FollowUps'!$E$2:$E$500,'FollowUps'!$C$2:$C$500,$A447,'FollowUps'!$H$2:$H$500,"open")))</x:f>
      </x:c>
      <x:c r="M447" s="19"/>
      <x:c r="N447" s="26"/>
      <x:c r="O447" s="19"/>
      <x:c r="P447" s="26"/>
      <x:c r="Q447" s="19"/>
      <x:c r="R447" s="26"/>
      <x:c r="S447" s="19"/>
      <x:c r="T447" s="19"/>
    </x:row>
    <x:row r="448">
      <x:c r="A448" s="19"/>
      <x:c r="B448" s="19"/>
      <x:c r="C448" s="19"/>
      <x:c r="D448" s="19"/>
      <x:c r="E448" s="19"/>
      <x:c r="F448" s="19"/>
      <x:c r="G448" s="19"/>
      <x:c r="H448" s="25"/>
      <x:c r="I448" s="112" t="str">
        <x:f>IF($A448="","",SUMIFS('PipelineStages'!$E$2:$E$100,'PipelineStages'!$A$2:$A$100,$E448,'PipelineStages'!$B$2:$B$100,$F448))</x:f>
      </x:c>
      <x:c r="J448" s="24"/>
      <x:c r="K448" s="19"/>
      <x:c r="L448" s="100" t="str">
        <x:f>IF($A448="","",IF(COUNTIFS('FollowUps'!$C$2:$C$500,$A448,'FollowUps'!$H$2:$H$500,"open")=0,"",MINIFS('FollowUps'!$E$2:$E$500,'FollowUps'!$C$2:$C$500,$A448,'FollowUps'!$H$2:$H$500,"open")))</x:f>
      </x:c>
      <x:c r="M448" s="19"/>
      <x:c r="N448" s="26"/>
      <x:c r="O448" s="19"/>
      <x:c r="P448" s="26"/>
      <x:c r="Q448" s="19"/>
      <x:c r="R448" s="26"/>
      <x:c r="S448" s="19"/>
      <x:c r="T448" s="19"/>
    </x:row>
    <x:row r="449">
      <x:c r="A449" s="19"/>
      <x:c r="B449" s="19"/>
      <x:c r="C449" s="19"/>
      <x:c r="D449" s="19"/>
      <x:c r="E449" s="19"/>
      <x:c r="F449" s="19"/>
      <x:c r="G449" s="19"/>
      <x:c r="H449" s="25"/>
      <x:c r="I449" s="112" t="str">
        <x:f>IF($A449="","",SUMIFS('PipelineStages'!$E$2:$E$100,'PipelineStages'!$A$2:$A$100,$E449,'PipelineStages'!$B$2:$B$100,$F449))</x:f>
      </x:c>
      <x:c r="J449" s="24"/>
      <x:c r="K449" s="19"/>
      <x:c r="L449" s="100" t="str">
        <x:f>IF($A449="","",IF(COUNTIFS('FollowUps'!$C$2:$C$500,$A449,'FollowUps'!$H$2:$H$500,"open")=0,"",MINIFS('FollowUps'!$E$2:$E$500,'FollowUps'!$C$2:$C$500,$A449,'FollowUps'!$H$2:$H$500,"open")))</x:f>
      </x:c>
      <x:c r="M449" s="19"/>
      <x:c r="N449" s="26"/>
      <x:c r="O449" s="19"/>
      <x:c r="P449" s="26"/>
      <x:c r="Q449" s="19"/>
      <x:c r="R449" s="26"/>
      <x:c r="S449" s="19"/>
      <x:c r="T449" s="19"/>
    </x:row>
    <x:row r="450">
      <x:c r="A450" s="19"/>
      <x:c r="B450" s="19"/>
      <x:c r="C450" s="19"/>
      <x:c r="D450" s="19"/>
      <x:c r="E450" s="19"/>
      <x:c r="F450" s="19"/>
      <x:c r="G450" s="19"/>
      <x:c r="H450" s="25"/>
      <x:c r="I450" s="112" t="str">
        <x:f>IF($A450="","",SUMIFS('PipelineStages'!$E$2:$E$100,'PipelineStages'!$A$2:$A$100,$E450,'PipelineStages'!$B$2:$B$100,$F450))</x:f>
      </x:c>
      <x:c r="J450" s="24"/>
      <x:c r="K450" s="19"/>
      <x:c r="L450" s="100" t="str">
        <x:f>IF($A450="","",IF(COUNTIFS('FollowUps'!$C$2:$C$500,$A450,'FollowUps'!$H$2:$H$500,"open")=0,"",MINIFS('FollowUps'!$E$2:$E$500,'FollowUps'!$C$2:$C$500,$A450,'FollowUps'!$H$2:$H$500,"open")))</x:f>
      </x:c>
      <x:c r="M450" s="19"/>
      <x:c r="N450" s="26"/>
      <x:c r="O450" s="19"/>
      <x:c r="P450" s="26"/>
      <x:c r="Q450" s="19"/>
      <x:c r="R450" s="26"/>
      <x:c r="S450" s="19"/>
      <x:c r="T450" s="19"/>
    </x:row>
    <x:row r="451">
      <x:c r="A451" s="19"/>
      <x:c r="B451" s="19"/>
      <x:c r="C451" s="19"/>
      <x:c r="D451" s="19"/>
      <x:c r="E451" s="19"/>
      <x:c r="F451" s="19"/>
      <x:c r="G451" s="19"/>
      <x:c r="H451" s="25"/>
      <x:c r="I451" s="112" t="str">
        <x:f>IF($A451="","",SUMIFS('PipelineStages'!$E$2:$E$100,'PipelineStages'!$A$2:$A$100,$E451,'PipelineStages'!$B$2:$B$100,$F451))</x:f>
      </x:c>
      <x:c r="J451" s="24"/>
      <x:c r="K451" s="19"/>
      <x:c r="L451" s="100" t="str">
        <x:f>IF($A451="","",IF(COUNTIFS('FollowUps'!$C$2:$C$500,$A451,'FollowUps'!$H$2:$H$500,"open")=0,"",MINIFS('FollowUps'!$E$2:$E$500,'FollowUps'!$C$2:$C$500,$A451,'FollowUps'!$H$2:$H$500,"open")))</x:f>
      </x:c>
      <x:c r="M451" s="19"/>
      <x:c r="N451" s="26"/>
      <x:c r="O451" s="19"/>
      <x:c r="P451" s="26"/>
      <x:c r="Q451" s="19"/>
      <x:c r="R451" s="26"/>
      <x:c r="S451" s="19"/>
      <x:c r="T451" s="19"/>
    </x:row>
    <x:row r="452">
      <x:c r="A452" s="19"/>
      <x:c r="B452" s="19"/>
      <x:c r="C452" s="19"/>
      <x:c r="D452" s="19"/>
      <x:c r="E452" s="19"/>
      <x:c r="F452" s="19"/>
      <x:c r="G452" s="19"/>
      <x:c r="H452" s="25"/>
      <x:c r="I452" s="112" t="str">
        <x:f>IF($A452="","",SUMIFS('PipelineStages'!$E$2:$E$100,'PipelineStages'!$A$2:$A$100,$E452,'PipelineStages'!$B$2:$B$100,$F452))</x:f>
      </x:c>
      <x:c r="J452" s="24"/>
      <x:c r="K452" s="19"/>
      <x:c r="L452" s="100" t="str">
        <x:f>IF($A452="","",IF(COUNTIFS('FollowUps'!$C$2:$C$500,$A452,'FollowUps'!$H$2:$H$500,"open")=0,"",MINIFS('FollowUps'!$E$2:$E$500,'FollowUps'!$C$2:$C$500,$A452,'FollowUps'!$H$2:$H$500,"open")))</x:f>
      </x:c>
      <x:c r="M452" s="19"/>
      <x:c r="N452" s="26"/>
      <x:c r="O452" s="19"/>
      <x:c r="P452" s="26"/>
      <x:c r="Q452" s="19"/>
      <x:c r="R452" s="26"/>
      <x:c r="S452" s="19"/>
      <x:c r="T452" s="19"/>
    </x:row>
    <x:row r="453">
      <x:c r="A453" s="19"/>
      <x:c r="B453" s="19"/>
      <x:c r="C453" s="19"/>
      <x:c r="D453" s="19"/>
      <x:c r="E453" s="19"/>
      <x:c r="F453" s="19"/>
      <x:c r="G453" s="19"/>
      <x:c r="H453" s="25"/>
      <x:c r="I453" s="112" t="str">
        <x:f>IF($A453="","",SUMIFS('PipelineStages'!$E$2:$E$100,'PipelineStages'!$A$2:$A$100,$E453,'PipelineStages'!$B$2:$B$100,$F453))</x:f>
      </x:c>
      <x:c r="J453" s="24"/>
      <x:c r="K453" s="19"/>
      <x:c r="L453" s="100" t="str">
        <x:f>IF($A453="","",IF(COUNTIFS('FollowUps'!$C$2:$C$500,$A453,'FollowUps'!$H$2:$H$500,"open")=0,"",MINIFS('FollowUps'!$E$2:$E$500,'FollowUps'!$C$2:$C$500,$A453,'FollowUps'!$H$2:$H$500,"open")))</x:f>
      </x:c>
      <x:c r="M453" s="19"/>
      <x:c r="N453" s="26"/>
      <x:c r="O453" s="19"/>
      <x:c r="P453" s="26"/>
      <x:c r="Q453" s="19"/>
      <x:c r="R453" s="26"/>
      <x:c r="S453" s="19"/>
      <x:c r="T453" s="19"/>
    </x:row>
    <x:row r="454">
      <x:c r="A454" s="19"/>
      <x:c r="B454" s="19"/>
      <x:c r="C454" s="19"/>
      <x:c r="D454" s="19"/>
      <x:c r="E454" s="19"/>
      <x:c r="F454" s="19"/>
      <x:c r="G454" s="19"/>
      <x:c r="H454" s="25"/>
      <x:c r="I454" s="112" t="str">
        <x:f>IF($A454="","",SUMIFS('PipelineStages'!$E$2:$E$100,'PipelineStages'!$A$2:$A$100,$E454,'PipelineStages'!$B$2:$B$100,$F454))</x:f>
      </x:c>
      <x:c r="J454" s="24"/>
      <x:c r="K454" s="19"/>
      <x:c r="L454" s="100" t="str">
        <x:f>IF($A454="","",IF(COUNTIFS('FollowUps'!$C$2:$C$500,$A454,'FollowUps'!$H$2:$H$500,"open")=0,"",MINIFS('FollowUps'!$E$2:$E$500,'FollowUps'!$C$2:$C$500,$A454,'FollowUps'!$H$2:$H$500,"open")))</x:f>
      </x:c>
      <x:c r="M454" s="19"/>
      <x:c r="N454" s="26"/>
      <x:c r="O454" s="19"/>
      <x:c r="P454" s="26"/>
      <x:c r="Q454" s="19"/>
      <x:c r="R454" s="26"/>
      <x:c r="S454" s="19"/>
      <x:c r="T454" s="19"/>
    </x:row>
    <x:row r="455">
      <x:c r="A455" s="19"/>
      <x:c r="B455" s="19"/>
      <x:c r="C455" s="19"/>
      <x:c r="D455" s="19"/>
      <x:c r="E455" s="19"/>
      <x:c r="F455" s="19"/>
      <x:c r="G455" s="19"/>
      <x:c r="H455" s="25"/>
      <x:c r="I455" s="112" t="str">
        <x:f>IF($A455="","",SUMIFS('PipelineStages'!$E$2:$E$100,'PipelineStages'!$A$2:$A$100,$E455,'PipelineStages'!$B$2:$B$100,$F455))</x:f>
      </x:c>
      <x:c r="J455" s="24"/>
      <x:c r="K455" s="19"/>
      <x:c r="L455" s="100" t="str">
        <x:f>IF($A455="","",IF(COUNTIFS('FollowUps'!$C$2:$C$500,$A455,'FollowUps'!$H$2:$H$500,"open")=0,"",MINIFS('FollowUps'!$E$2:$E$500,'FollowUps'!$C$2:$C$500,$A455,'FollowUps'!$H$2:$H$500,"open")))</x:f>
      </x:c>
      <x:c r="M455" s="19"/>
      <x:c r="N455" s="26"/>
      <x:c r="O455" s="19"/>
      <x:c r="P455" s="26"/>
      <x:c r="Q455" s="19"/>
      <x:c r="R455" s="26"/>
      <x:c r="S455" s="19"/>
      <x:c r="T455" s="19"/>
    </x:row>
    <x:row r="456">
      <x:c r="A456" s="19"/>
      <x:c r="B456" s="19"/>
      <x:c r="C456" s="19"/>
      <x:c r="D456" s="19"/>
      <x:c r="E456" s="19"/>
      <x:c r="F456" s="19"/>
      <x:c r="G456" s="19"/>
      <x:c r="H456" s="25"/>
      <x:c r="I456" s="112" t="str">
        <x:f>IF($A456="","",SUMIFS('PipelineStages'!$E$2:$E$100,'PipelineStages'!$A$2:$A$100,$E456,'PipelineStages'!$B$2:$B$100,$F456))</x:f>
      </x:c>
      <x:c r="J456" s="24"/>
      <x:c r="K456" s="19"/>
      <x:c r="L456" s="100" t="str">
        <x:f>IF($A456="","",IF(COUNTIFS('FollowUps'!$C$2:$C$500,$A456,'FollowUps'!$H$2:$H$500,"open")=0,"",MINIFS('FollowUps'!$E$2:$E$500,'FollowUps'!$C$2:$C$500,$A456,'FollowUps'!$H$2:$H$500,"open")))</x:f>
      </x:c>
      <x:c r="M456" s="19"/>
      <x:c r="N456" s="26"/>
      <x:c r="O456" s="19"/>
      <x:c r="P456" s="26"/>
      <x:c r="Q456" s="19"/>
      <x:c r="R456" s="26"/>
      <x:c r="S456" s="19"/>
      <x:c r="T456" s="19"/>
    </x:row>
    <x:row r="457">
      <x:c r="A457" s="19"/>
      <x:c r="B457" s="19"/>
      <x:c r="C457" s="19"/>
      <x:c r="D457" s="19"/>
      <x:c r="E457" s="19"/>
      <x:c r="F457" s="19"/>
      <x:c r="G457" s="19"/>
      <x:c r="H457" s="25"/>
      <x:c r="I457" s="112" t="str">
        <x:f>IF($A457="","",SUMIFS('PipelineStages'!$E$2:$E$100,'PipelineStages'!$A$2:$A$100,$E457,'PipelineStages'!$B$2:$B$100,$F457))</x:f>
      </x:c>
      <x:c r="J457" s="24"/>
      <x:c r="K457" s="19"/>
      <x:c r="L457" s="100" t="str">
        <x:f>IF($A457="","",IF(COUNTIFS('FollowUps'!$C$2:$C$500,$A457,'FollowUps'!$H$2:$H$500,"open")=0,"",MINIFS('FollowUps'!$E$2:$E$500,'FollowUps'!$C$2:$C$500,$A457,'FollowUps'!$H$2:$H$500,"open")))</x:f>
      </x:c>
      <x:c r="M457" s="19"/>
      <x:c r="N457" s="26"/>
      <x:c r="O457" s="19"/>
      <x:c r="P457" s="26"/>
      <x:c r="Q457" s="19"/>
      <x:c r="R457" s="26"/>
      <x:c r="S457" s="19"/>
      <x:c r="T457" s="19"/>
    </x:row>
    <x:row r="458">
      <x:c r="A458" s="19"/>
      <x:c r="B458" s="19"/>
      <x:c r="C458" s="19"/>
      <x:c r="D458" s="19"/>
      <x:c r="E458" s="19"/>
      <x:c r="F458" s="19"/>
      <x:c r="G458" s="19"/>
      <x:c r="H458" s="25"/>
      <x:c r="I458" s="112" t="str">
        <x:f>IF($A458="","",SUMIFS('PipelineStages'!$E$2:$E$100,'PipelineStages'!$A$2:$A$100,$E458,'PipelineStages'!$B$2:$B$100,$F458))</x:f>
      </x:c>
      <x:c r="J458" s="24"/>
      <x:c r="K458" s="19"/>
      <x:c r="L458" s="100" t="str">
        <x:f>IF($A458="","",IF(COUNTIFS('FollowUps'!$C$2:$C$500,$A458,'FollowUps'!$H$2:$H$500,"open")=0,"",MINIFS('FollowUps'!$E$2:$E$500,'FollowUps'!$C$2:$C$500,$A458,'FollowUps'!$H$2:$H$500,"open")))</x:f>
      </x:c>
      <x:c r="M458" s="19"/>
      <x:c r="N458" s="26"/>
      <x:c r="O458" s="19"/>
      <x:c r="P458" s="26"/>
      <x:c r="Q458" s="19"/>
      <x:c r="R458" s="26"/>
      <x:c r="S458" s="19"/>
      <x:c r="T458" s="19"/>
    </x:row>
    <x:row r="459">
      <x:c r="A459" s="19"/>
      <x:c r="B459" s="19"/>
      <x:c r="C459" s="19"/>
      <x:c r="D459" s="19"/>
      <x:c r="E459" s="19"/>
      <x:c r="F459" s="19"/>
      <x:c r="G459" s="19"/>
      <x:c r="H459" s="25"/>
      <x:c r="I459" s="112" t="str">
        <x:f>IF($A459="","",SUMIFS('PipelineStages'!$E$2:$E$100,'PipelineStages'!$A$2:$A$100,$E459,'PipelineStages'!$B$2:$B$100,$F459))</x:f>
      </x:c>
      <x:c r="J459" s="24"/>
      <x:c r="K459" s="19"/>
      <x:c r="L459" s="100" t="str">
        <x:f>IF($A459="","",IF(COUNTIFS('FollowUps'!$C$2:$C$500,$A459,'FollowUps'!$H$2:$H$500,"open")=0,"",MINIFS('FollowUps'!$E$2:$E$500,'FollowUps'!$C$2:$C$500,$A459,'FollowUps'!$H$2:$H$500,"open")))</x:f>
      </x:c>
      <x:c r="M459" s="19"/>
      <x:c r="N459" s="26"/>
      <x:c r="O459" s="19"/>
      <x:c r="P459" s="26"/>
      <x:c r="Q459" s="19"/>
      <x:c r="R459" s="26"/>
      <x:c r="S459" s="19"/>
      <x:c r="T459" s="19"/>
    </x:row>
    <x:row r="460">
      <x:c r="A460" s="19"/>
      <x:c r="B460" s="19"/>
      <x:c r="C460" s="19"/>
      <x:c r="D460" s="19"/>
      <x:c r="E460" s="19"/>
      <x:c r="F460" s="19"/>
      <x:c r="G460" s="19"/>
      <x:c r="H460" s="25"/>
      <x:c r="I460" s="112" t="str">
        <x:f>IF($A460="","",SUMIFS('PipelineStages'!$E$2:$E$100,'PipelineStages'!$A$2:$A$100,$E460,'PipelineStages'!$B$2:$B$100,$F460))</x:f>
      </x:c>
      <x:c r="J460" s="24"/>
      <x:c r="K460" s="19"/>
      <x:c r="L460" s="100" t="str">
        <x:f>IF($A460="","",IF(COUNTIFS('FollowUps'!$C$2:$C$500,$A460,'FollowUps'!$H$2:$H$500,"open")=0,"",MINIFS('FollowUps'!$E$2:$E$500,'FollowUps'!$C$2:$C$500,$A460,'FollowUps'!$H$2:$H$500,"open")))</x:f>
      </x:c>
      <x:c r="M460" s="19"/>
      <x:c r="N460" s="26"/>
      <x:c r="O460" s="19"/>
      <x:c r="P460" s="26"/>
      <x:c r="Q460" s="19"/>
      <x:c r="R460" s="26"/>
      <x:c r="S460" s="19"/>
      <x:c r="T460" s="19"/>
    </x:row>
    <x:row r="461">
      <x:c r="A461" s="19"/>
      <x:c r="B461" s="19"/>
      <x:c r="C461" s="19"/>
      <x:c r="D461" s="19"/>
      <x:c r="E461" s="19"/>
      <x:c r="F461" s="19"/>
      <x:c r="G461" s="19"/>
      <x:c r="H461" s="25"/>
      <x:c r="I461" s="112" t="str">
        <x:f>IF($A461="","",SUMIFS('PipelineStages'!$E$2:$E$100,'PipelineStages'!$A$2:$A$100,$E461,'PipelineStages'!$B$2:$B$100,$F461))</x:f>
      </x:c>
      <x:c r="J461" s="24"/>
      <x:c r="K461" s="19"/>
      <x:c r="L461" s="100" t="str">
        <x:f>IF($A461="","",IF(COUNTIFS('FollowUps'!$C$2:$C$500,$A461,'FollowUps'!$H$2:$H$500,"open")=0,"",MINIFS('FollowUps'!$E$2:$E$500,'FollowUps'!$C$2:$C$500,$A461,'FollowUps'!$H$2:$H$500,"open")))</x:f>
      </x:c>
      <x:c r="M461" s="19"/>
      <x:c r="N461" s="26"/>
      <x:c r="O461" s="19"/>
      <x:c r="P461" s="26"/>
      <x:c r="Q461" s="19"/>
      <x:c r="R461" s="26"/>
      <x:c r="S461" s="19"/>
      <x:c r="T461" s="19"/>
    </x:row>
    <x:row r="462">
      <x:c r="A462" s="19"/>
      <x:c r="B462" s="19"/>
      <x:c r="C462" s="19"/>
      <x:c r="D462" s="19"/>
      <x:c r="E462" s="19"/>
      <x:c r="F462" s="19"/>
      <x:c r="G462" s="19"/>
      <x:c r="H462" s="25"/>
      <x:c r="I462" s="112" t="str">
        <x:f>IF($A462="","",SUMIFS('PipelineStages'!$E$2:$E$100,'PipelineStages'!$A$2:$A$100,$E462,'PipelineStages'!$B$2:$B$100,$F462))</x:f>
      </x:c>
      <x:c r="J462" s="24"/>
      <x:c r="K462" s="19"/>
      <x:c r="L462" s="100" t="str">
        <x:f>IF($A462="","",IF(COUNTIFS('FollowUps'!$C$2:$C$500,$A462,'FollowUps'!$H$2:$H$500,"open")=0,"",MINIFS('FollowUps'!$E$2:$E$500,'FollowUps'!$C$2:$C$500,$A462,'FollowUps'!$H$2:$H$500,"open")))</x:f>
      </x:c>
      <x:c r="M462" s="19"/>
      <x:c r="N462" s="26"/>
      <x:c r="O462" s="19"/>
      <x:c r="P462" s="26"/>
      <x:c r="Q462" s="19"/>
      <x:c r="R462" s="26"/>
      <x:c r="S462" s="19"/>
      <x:c r="T462" s="19"/>
    </x:row>
    <x:row r="463">
      <x:c r="A463" s="19"/>
      <x:c r="B463" s="19"/>
      <x:c r="C463" s="19"/>
      <x:c r="D463" s="19"/>
      <x:c r="E463" s="19"/>
      <x:c r="F463" s="19"/>
      <x:c r="G463" s="19"/>
      <x:c r="H463" s="25"/>
      <x:c r="I463" s="112" t="str">
        <x:f>IF($A463="","",SUMIFS('PipelineStages'!$E$2:$E$100,'PipelineStages'!$A$2:$A$100,$E463,'PipelineStages'!$B$2:$B$100,$F463))</x:f>
      </x:c>
      <x:c r="J463" s="24"/>
      <x:c r="K463" s="19"/>
      <x:c r="L463" s="100" t="str">
        <x:f>IF($A463="","",IF(COUNTIFS('FollowUps'!$C$2:$C$500,$A463,'FollowUps'!$H$2:$H$500,"open")=0,"",MINIFS('FollowUps'!$E$2:$E$500,'FollowUps'!$C$2:$C$500,$A463,'FollowUps'!$H$2:$H$500,"open")))</x:f>
      </x:c>
      <x:c r="M463" s="19"/>
      <x:c r="N463" s="26"/>
      <x:c r="O463" s="19"/>
      <x:c r="P463" s="26"/>
      <x:c r="Q463" s="19"/>
      <x:c r="R463" s="26"/>
      <x:c r="S463" s="19"/>
      <x:c r="T463" s="19"/>
    </x:row>
    <x:row r="464">
      <x:c r="A464" s="19"/>
      <x:c r="B464" s="19"/>
      <x:c r="C464" s="19"/>
      <x:c r="D464" s="19"/>
      <x:c r="E464" s="19"/>
      <x:c r="F464" s="19"/>
      <x:c r="G464" s="19"/>
      <x:c r="H464" s="25"/>
      <x:c r="I464" s="112" t="str">
        <x:f>IF($A464="","",SUMIFS('PipelineStages'!$E$2:$E$100,'PipelineStages'!$A$2:$A$100,$E464,'PipelineStages'!$B$2:$B$100,$F464))</x:f>
      </x:c>
      <x:c r="J464" s="24"/>
      <x:c r="K464" s="19"/>
      <x:c r="L464" s="100" t="str">
        <x:f>IF($A464="","",IF(COUNTIFS('FollowUps'!$C$2:$C$500,$A464,'FollowUps'!$H$2:$H$500,"open")=0,"",MINIFS('FollowUps'!$E$2:$E$500,'FollowUps'!$C$2:$C$500,$A464,'FollowUps'!$H$2:$H$500,"open")))</x:f>
      </x:c>
      <x:c r="M464" s="19"/>
      <x:c r="N464" s="26"/>
      <x:c r="O464" s="19"/>
      <x:c r="P464" s="26"/>
      <x:c r="Q464" s="19"/>
      <x:c r="R464" s="26"/>
      <x:c r="S464" s="19"/>
      <x:c r="T464" s="19"/>
    </x:row>
    <x:row r="465">
      <x:c r="A465" s="19"/>
      <x:c r="B465" s="19"/>
      <x:c r="C465" s="19"/>
      <x:c r="D465" s="19"/>
      <x:c r="E465" s="19"/>
      <x:c r="F465" s="19"/>
      <x:c r="G465" s="19"/>
      <x:c r="H465" s="25"/>
      <x:c r="I465" s="112" t="str">
        <x:f>IF($A465="","",SUMIFS('PipelineStages'!$E$2:$E$100,'PipelineStages'!$A$2:$A$100,$E465,'PipelineStages'!$B$2:$B$100,$F465))</x:f>
      </x:c>
      <x:c r="J465" s="24"/>
      <x:c r="K465" s="19"/>
      <x:c r="L465" s="100" t="str">
        <x:f>IF($A465="","",IF(COUNTIFS('FollowUps'!$C$2:$C$500,$A465,'FollowUps'!$H$2:$H$500,"open")=0,"",MINIFS('FollowUps'!$E$2:$E$500,'FollowUps'!$C$2:$C$500,$A465,'FollowUps'!$H$2:$H$500,"open")))</x:f>
      </x:c>
      <x:c r="M465" s="19"/>
      <x:c r="N465" s="26"/>
      <x:c r="O465" s="19"/>
      <x:c r="P465" s="26"/>
      <x:c r="Q465" s="19"/>
      <x:c r="R465" s="26"/>
      <x:c r="S465" s="19"/>
      <x:c r="T465" s="19"/>
    </x:row>
    <x:row r="466">
      <x:c r="A466" s="19"/>
      <x:c r="B466" s="19"/>
      <x:c r="C466" s="19"/>
      <x:c r="D466" s="19"/>
      <x:c r="E466" s="19"/>
      <x:c r="F466" s="19"/>
      <x:c r="G466" s="19"/>
      <x:c r="H466" s="25"/>
      <x:c r="I466" s="112" t="str">
        <x:f>IF($A466="","",SUMIFS('PipelineStages'!$E$2:$E$100,'PipelineStages'!$A$2:$A$100,$E466,'PipelineStages'!$B$2:$B$100,$F466))</x:f>
      </x:c>
      <x:c r="J466" s="24"/>
      <x:c r="K466" s="19"/>
      <x:c r="L466" s="100" t="str">
        <x:f>IF($A466="","",IF(COUNTIFS('FollowUps'!$C$2:$C$500,$A466,'FollowUps'!$H$2:$H$500,"open")=0,"",MINIFS('FollowUps'!$E$2:$E$500,'FollowUps'!$C$2:$C$500,$A466,'FollowUps'!$H$2:$H$500,"open")))</x:f>
      </x:c>
      <x:c r="M466" s="19"/>
      <x:c r="N466" s="26"/>
      <x:c r="O466" s="19"/>
      <x:c r="P466" s="26"/>
      <x:c r="Q466" s="19"/>
      <x:c r="R466" s="26"/>
      <x:c r="S466" s="19"/>
      <x:c r="T466" s="19"/>
    </x:row>
    <x:row r="467">
      <x:c r="A467" s="19"/>
      <x:c r="B467" s="19"/>
      <x:c r="C467" s="19"/>
      <x:c r="D467" s="19"/>
      <x:c r="E467" s="19"/>
      <x:c r="F467" s="19"/>
      <x:c r="G467" s="19"/>
      <x:c r="H467" s="25"/>
      <x:c r="I467" s="112" t="str">
        <x:f>IF($A467="","",SUMIFS('PipelineStages'!$E$2:$E$100,'PipelineStages'!$A$2:$A$100,$E467,'PipelineStages'!$B$2:$B$100,$F467))</x:f>
      </x:c>
      <x:c r="J467" s="24"/>
      <x:c r="K467" s="19"/>
      <x:c r="L467" s="100" t="str">
        <x:f>IF($A467="","",IF(COUNTIFS('FollowUps'!$C$2:$C$500,$A467,'FollowUps'!$H$2:$H$500,"open")=0,"",MINIFS('FollowUps'!$E$2:$E$500,'FollowUps'!$C$2:$C$500,$A467,'FollowUps'!$H$2:$H$500,"open")))</x:f>
      </x:c>
      <x:c r="M467" s="19"/>
      <x:c r="N467" s="26"/>
      <x:c r="O467" s="19"/>
      <x:c r="P467" s="26"/>
      <x:c r="Q467" s="19"/>
      <x:c r="R467" s="26"/>
      <x:c r="S467" s="19"/>
      <x:c r="T467" s="19"/>
    </x:row>
    <x:row r="468">
      <x:c r="A468" s="19"/>
      <x:c r="B468" s="19"/>
      <x:c r="C468" s="19"/>
      <x:c r="D468" s="19"/>
      <x:c r="E468" s="19"/>
      <x:c r="F468" s="19"/>
      <x:c r="G468" s="19"/>
      <x:c r="H468" s="25"/>
      <x:c r="I468" s="112" t="str">
        <x:f>IF($A468="","",SUMIFS('PipelineStages'!$E$2:$E$100,'PipelineStages'!$A$2:$A$100,$E468,'PipelineStages'!$B$2:$B$100,$F468))</x:f>
      </x:c>
      <x:c r="J468" s="24"/>
      <x:c r="K468" s="19"/>
      <x:c r="L468" s="100" t="str">
        <x:f>IF($A468="","",IF(COUNTIFS('FollowUps'!$C$2:$C$500,$A468,'FollowUps'!$H$2:$H$500,"open")=0,"",MINIFS('FollowUps'!$E$2:$E$500,'FollowUps'!$C$2:$C$500,$A468,'FollowUps'!$H$2:$H$500,"open")))</x:f>
      </x:c>
      <x:c r="M468" s="19"/>
      <x:c r="N468" s="26"/>
      <x:c r="O468" s="19"/>
      <x:c r="P468" s="26"/>
      <x:c r="Q468" s="19"/>
      <x:c r="R468" s="26"/>
      <x:c r="S468" s="19"/>
      <x:c r="T468" s="19"/>
    </x:row>
    <x:row r="469">
      <x:c r="A469" s="19"/>
      <x:c r="B469" s="19"/>
      <x:c r="C469" s="19"/>
      <x:c r="D469" s="19"/>
      <x:c r="E469" s="19"/>
      <x:c r="F469" s="19"/>
      <x:c r="G469" s="19"/>
      <x:c r="H469" s="25"/>
      <x:c r="I469" s="112" t="str">
        <x:f>IF($A469="","",SUMIFS('PipelineStages'!$E$2:$E$100,'PipelineStages'!$A$2:$A$100,$E469,'PipelineStages'!$B$2:$B$100,$F469))</x:f>
      </x:c>
      <x:c r="J469" s="24"/>
      <x:c r="K469" s="19"/>
      <x:c r="L469" s="100" t="str">
        <x:f>IF($A469="","",IF(COUNTIFS('FollowUps'!$C$2:$C$500,$A469,'FollowUps'!$H$2:$H$500,"open")=0,"",MINIFS('FollowUps'!$E$2:$E$500,'FollowUps'!$C$2:$C$500,$A469,'FollowUps'!$H$2:$H$500,"open")))</x:f>
      </x:c>
      <x:c r="M469" s="19"/>
      <x:c r="N469" s="26"/>
      <x:c r="O469" s="19"/>
      <x:c r="P469" s="26"/>
      <x:c r="Q469" s="19"/>
      <x:c r="R469" s="26"/>
      <x:c r="S469" s="19"/>
      <x:c r="T469" s="19"/>
    </x:row>
    <x:row r="470">
      <x:c r="A470" s="19"/>
      <x:c r="B470" s="19"/>
      <x:c r="C470" s="19"/>
      <x:c r="D470" s="19"/>
      <x:c r="E470" s="19"/>
      <x:c r="F470" s="19"/>
      <x:c r="G470" s="19"/>
      <x:c r="H470" s="25"/>
      <x:c r="I470" s="112" t="str">
        <x:f>IF($A470="","",SUMIFS('PipelineStages'!$E$2:$E$100,'PipelineStages'!$A$2:$A$100,$E470,'PipelineStages'!$B$2:$B$100,$F470))</x:f>
      </x:c>
      <x:c r="J470" s="24"/>
      <x:c r="K470" s="19"/>
      <x:c r="L470" s="100" t="str">
        <x:f>IF($A470="","",IF(COUNTIFS('FollowUps'!$C$2:$C$500,$A470,'FollowUps'!$H$2:$H$500,"open")=0,"",MINIFS('FollowUps'!$E$2:$E$500,'FollowUps'!$C$2:$C$500,$A470,'FollowUps'!$H$2:$H$500,"open")))</x:f>
      </x:c>
      <x:c r="M470" s="19"/>
      <x:c r="N470" s="26"/>
      <x:c r="O470" s="19"/>
      <x:c r="P470" s="26"/>
      <x:c r="Q470" s="19"/>
      <x:c r="R470" s="26"/>
      <x:c r="S470" s="19"/>
      <x:c r="T470" s="19"/>
    </x:row>
    <x:row r="471">
      <x:c r="A471" s="19"/>
      <x:c r="B471" s="19"/>
      <x:c r="C471" s="19"/>
      <x:c r="D471" s="19"/>
      <x:c r="E471" s="19"/>
      <x:c r="F471" s="19"/>
      <x:c r="G471" s="19"/>
      <x:c r="H471" s="25"/>
      <x:c r="I471" s="112" t="str">
        <x:f>IF($A471="","",SUMIFS('PipelineStages'!$E$2:$E$100,'PipelineStages'!$A$2:$A$100,$E471,'PipelineStages'!$B$2:$B$100,$F471))</x:f>
      </x:c>
      <x:c r="J471" s="24"/>
      <x:c r="K471" s="19"/>
      <x:c r="L471" s="100" t="str">
        <x:f>IF($A471="","",IF(COUNTIFS('FollowUps'!$C$2:$C$500,$A471,'FollowUps'!$H$2:$H$500,"open")=0,"",MINIFS('FollowUps'!$E$2:$E$500,'FollowUps'!$C$2:$C$500,$A471,'FollowUps'!$H$2:$H$500,"open")))</x:f>
      </x:c>
      <x:c r="M471" s="19"/>
      <x:c r="N471" s="26"/>
      <x:c r="O471" s="19"/>
      <x:c r="P471" s="26"/>
      <x:c r="Q471" s="19"/>
      <x:c r="R471" s="26"/>
      <x:c r="S471" s="19"/>
      <x:c r="T471" s="19"/>
    </x:row>
    <x:row r="472">
      <x:c r="A472" s="19"/>
      <x:c r="B472" s="19"/>
      <x:c r="C472" s="19"/>
      <x:c r="D472" s="19"/>
      <x:c r="E472" s="19"/>
      <x:c r="F472" s="19"/>
      <x:c r="G472" s="19"/>
      <x:c r="H472" s="25"/>
      <x:c r="I472" s="112" t="str">
        <x:f>IF($A472="","",SUMIFS('PipelineStages'!$E$2:$E$100,'PipelineStages'!$A$2:$A$100,$E472,'PipelineStages'!$B$2:$B$100,$F472))</x:f>
      </x:c>
      <x:c r="J472" s="24"/>
      <x:c r="K472" s="19"/>
      <x:c r="L472" s="100" t="str">
        <x:f>IF($A472="","",IF(COUNTIFS('FollowUps'!$C$2:$C$500,$A472,'FollowUps'!$H$2:$H$500,"open")=0,"",MINIFS('FollowUps'!$E$2:$E$500,'FollowUps'!$C$2:$C$500,$A472,'FollowUps'!$H$2:$H$500,"open")))</x:f>
      </x:c>
      <x:c r="M472" s="19"/>
      <x:c r="N472" s="26"/>
      <x:c r="O472" s="19"/>
      <x:c r="P472" s="26"/>
      <x:c r="Q472" s="19"/>
      <x:c r="R472" s="26"/>
      <x:c r="S472" s="19"/>
      <x:c r="T472" s="19"/>
    </x:row>
    <x:row r="473">
      <x:c r="A473" s="19"/>
      <x:c r="B473" s="19"/>
      <x:c r="C473" s="19"/>
      <x:c r="D473" s="19"/>
      <x:c r="E473" s="19"/>
      <x:c r="F473" s="19"/>
      <x:c r="G473" s="19"/>
      <x:c r="H473" s="25"/>
      <x:c r="I473" s="112" t="str">
        <x:f>IF($A473="","",SUMIFS('PipelineStages'!$E$2:$E$100,'PipelineStages'!$A$2:$A$100,$E473,'PipelineStages'!$B$2:$B$100,$F473))</x:f>
      </x:c>
      <x:c r="J473" s="24"/>
      <x:c r="K473" s="19"/>
      <x:c r="L473" s="100" t="str">
        <x:f>IF($A473="","",IF(COUNTIFS('FollowUps'!$C$2:$C$500,$A473,'FollowUps'!$H$2:$H$500,"open")=0,"",MINIFS('FollowUps'!$E$2:$E$500,'FollowUps'!$C$2:$C$500,$A473,'FollowUps'!$H$2:$H$500,"open")))</x:f>
      </x:c>
      <x:c r="M473" s="19"/>
      <x:c r="N473" s="26"/>
      <x:c r="O473" s="19"/>
      <x:c r="P473" s="26"/>
      <x:c r="Q473" s="19"/>
      <x:c r="R473" s="26"/>
      <x:c r="S473" s="19"/>
      <x:c r="T473" s="19"/>
    </x:row>
    <x:row r="474">
      <x:c r="A474" s="19"/>
      <x:c r="B474" s="19"/>
      <x:c r="C474" s="19"/>
      <x:c r="D474" s="19"/>
      <x:c r="E474" s="19"/>
      <x:c r="F474" s="19"/>
      <x:c r="G474" s="19"/>
      <x:c r="H474" s="25"/>
      <x:c r="I474" s="112" t="str">
        <x:f>IF($A474="","",SUMIFS('PipelineStages'!$E$2:$E$100,'PipelineStages'!$A$2:$A$100,$E474,'PipelineStages'!$B$2:$B$100,$F474))</x:f>
      </x:c>
      <x:c r="J474" s="24"/>
      <x:c r="K474" s="19"/>
      <x:c r="L474" s="100" t="str">
        <x:f>IF($A474="","",IF(COUNTIFS('FollowUps'!$C$2:$C$500,$A474,'FollowUps'!$H$2:$H$500,"open")=0,"",MINIFS('FollowUps'!$E$2:$E$500,'FollowUps'!$C$2:$C$500,$A474,'FollowUps'!$H$2:$H$500,"open")))</x:f>
      </x:c>
      <x:c r="M474" s="19"/>
      <x:c r="N474" s="26"/>
      <x:c r="O474" s="19"/>
      <x:c r="P474" s="26"/>
      <x:c r="Q474" s="19"/>
      <x:c r="R474" s="26"/>
      <x:c r="S474" s="19"/>
      <x:c r="T474" s="19"/>
    </x:row>
    <x:row r="475">
      <x:c r="A475" s="19"/>
      <x:c r="B475" s="19"/>
      <x:c r="C475" s="19"/>
      <x:c r="D475" s="19"/>
      <x:c r="E475" s="19"/>
      <x:c r="F475" s="19"/>
      <x:c r="G475" s="19"/>
      <x:c r="H475" s="25"/>
      <x:c r="I475" s="112" t="str">
        <x:f>IF($A475="","",SUMIFS('PipelineStages'!$E$2:$E$100,'PipelineStages'!$A$2:$A$100,$E475,'PipelineStages'!$B$2:$B$100,$F475))</x:f>
      </x:c>
      <x:c r="J475" s="24"/>
      <x:c r="K475" s="19"/>
      <x:c r="L475" s="100" t="str">
        <x:f>IF($A475="","",IF(COUNTIFS('FollowUps'!$C$2:$C$500,$A475,'FollowUps'!$H$2:$H$500,"open")=0,"",MINIFS('FollowUps'!$E$2:$E$500,'FollowUps'!$C$2:$C$500,$A475,'FollowUps'!$H$2:$H$500,"open")))</x:f>
      </x:c>
      <x:c r="M475" s="19"/>
      <x:c r="N475" s="26"/>
      <x:c r="O475" s="19"/>
      <x:c r="P475" s="26"/>
      <x:c r="Q475" s="19"/>
      <x:c r="R475" s="26"/>
      <x:c r="S475" s="19"/>
      <x:c r="T475" s="19"/>
    </x:row>
    <x:row r="476">
      <x:c r="A476" s="19"/>
      <x:c r="B476" s="19"/>
      <x:c r="C476" s="19"/>
      <x:c r="D476" s="19"/>
      <x:c r="E476" s="19"/>
      <x:c r="F476" s="19"/>
      <x:c r="G476" s="19"/>
      <x:c r="H476" s="25"/>
      <x:c r="I476" s="112" t="str">
        <x:f>IF($A476="","",SUMIFS('PipelineStages'!$E$2:$E$100,'PipelineStages'!$A$2:$A$100,$E476,'PipelineStages'!$B$2:$B$100,$F476))</x:f>
      </x:c>
      <x:c r="J476" s="24"/>
      <x:c r="K476" s="19"/>
      <x:c r="L476" s="100" t="str">
        <x:f>IF($A476="","",IF(COUNTIFS('FollowUps'!$C$2:$C$500,$A476,'FollowUps'!$H$2:$H$500,"open")=0,"",MINIFS('FollowUps'!$E$2:$E$500,'FollowUps'!$C$2:$C$500,$A476,'FollowUps'!$H$2:$H$500,"open")))</x:f>
      </x:c>
      <x:c r="M476" s="19"/>
      <x:c r="N476" s="26"/>
      <x:c r="O476" s="19"/>
      <x:c r="P476" s="26"/>
      <x:c r="Q476" s="19"/>
      <x:c r="R476" s="26"/>
      <x:c r="S476" s="19"/>
      <x:c r="T476" s="19"/>
    </x:row>
    <x:row r="477">
      <x:c r="A477" s="19"/>
      <x:c r="B477" s="19"/>
      <x:c r="C477" s="19"/>
      <x:c r="D477" s="19"/>
      <x:c r="E477" s="19"/>
      <x:c r="F477" s="19"/>
      <x:c r="G477" s="19"/>
      <x:c r="H477" s="25"/>
      <x:c r="I477" s="112" t="str">
        <x:f>IF($A477="","",SUMIFS('PipelineStages'!$E$2:$E$100,'PipelineStages'!$A$2:$A$100,$E477,'PipelineStages'!$B$2:$B$100,$F477))</x:f>
      </x:c>
      <x:c r="J477" s="24"/>
      <x:c r="K477" s="19"/>
      <x:c r="L477" s="100" t="str">
        <x:f>IF($A477="","",IF(COUNTIFS('FollowUps'!$C$2:$C$500,$A477,'FollowUps'!$H$2:$H$500,"open")=0,"",MINIFS('FollowUps'!$E$2:$E$500,'FollowUps'!$C$2:$C$500,$A477,'FollowUps'!$H$2:$H$500,"open")))</x:f>
      </x:c>
      <x:c r="M477" s="19"/>
      <x:c r="N477" s="26"/>
      <x:c r="O477" s="19"/>
      <x:c r="P477" s="26"/>
      <x:c r="Q477" s="19"/>
      <x:c r="R477" s="26"/>
      <x:c r="S477" s="19"/>
      <x:c r="T477" s="19"/>
    </x:row>
    <x:row r="478">
      <x:c r="A478" s="19"/>
      <x:c r="B478" s="19"/>
      <x:c r="C478" s="19"/>
      <x:c r="D478" s="19"/>
      <x:c r="E478" s="19"/>
      <x:c r="F478" s="19"/>
      <x:c r="G478" s="19"/>
      <x:c r="H478" s="25"/>
      <x:c r="I478" s="112" t="str">
        <x:f>IF($A478="","",SUMIFS('PipelineStages'!$E$2:$E$100,'PipelineStages'!$A$2:$A$100,$E478,'PipelineStages'!$B$2:$B$100,$F478))</x:f>
      </x:c>
      <x:c r="J478" s="24"/>
      <x:c r="K478" s="19"/>
      <x:c r="L478" s="100" t="str">
        <x:f>IF($A478="","",IF(COUNTIFS('FollowUps'!$C$2:$C$500,$A478,'FollowUps'!$H$2:$H$500,"open")=0,"",MINIFS('FollowUps'!$E$2:$E$500,'FollowUps'!$C$2:$C$500,$A478,'FollowUps'!$H$2:$H$500,"open")))</x:f>
      </x:c>
      <x:c r="M478" s="19"/>
      <x:c r="N478" s="26"/>
      <x:c r="O478" s="19"/>
      <x:c r="P478" s="26"/>
      <x:c r="Q478" s="19"/>
      <x:c r="R478" s="26"/>
      <x:c r="S478" s="19"/>
      <x:c r="T478" s="19"/>
    </x:row>
    <x:row r="479">
      <x:c r="A479" s="19"/>
      <x:c r="B479" s="19"/>
      <x:c r="C479" s="19"/>
      <x:c r="D479" s="19"/>
      <x:c r="E479" s="19"/>
      <x:c r="F479" s="19"/>
      <x:c r="G479" s="19"/>
      <x:c r="H479" s="25"/>
      <x:c r="I479" s="112" t="str">
        <x:f>IF($A479="","",SUMIFS('PipelineStages'!$E$2:$E$100,'PipelineStages'!$A$2:$A$100,$E479,'PipelineStages'!$B$2:$B$100,$F479))</x:f>
      </x:c>
      <x:c r="J479" s="24"/>
      <x:c r="K479" s="19"/>
      <x:c r="L479" s="100" t="str">
        <x:f>IF($A479="","",IF(COUNTIFS('FollowUps'!$C$2:$C$500,$A479,'FollowUps'!$H$2:$H$500,"open")=0,"",MINIFS('FollowUps'!$E$2:$E$500,'FollowUps'!$C$2:$C$500,$A479,'FollowUps'!$H$2:$H$500,"open")))</x:f>
      </x:c>
      <x:c r="M479" s="19"/>
      <x:c r="N479" s="26"/>
      <x:c r="O479" s="19"/>
      <x:c r="P479" s="26"/>
      <x:c r="Q479" s="19"/>
      <x:c r="R479" s="26"/>
      <x:c r="S479" s="19"/>
      <x:c r="T479" s="19"/>
    </x:row>
    <x:row r="480">
      <x:c r="A480" s="19"/>
      <x:c r="B480" s="19"/>
      <x:c r="C480" s="19"/>
      <x:c r="D480" s="19"/>
      <x:c r="E480" s="19"/>
      <x:c r="F480" s="19"/>
      <x:c r="G480" s="19"/>
      <x:c r="H480" s="25"/>
      <x:c r="I480" s="112" t="str">
        <x:f>IF($A480="","",SUMIFS('PipelineStages'!$E$2:$E$100,'PipelineStages'!$A$2:$A$100,$E480,'PipelineStages'!$B$2:$B$100,$F480))</x:f>
      </x:c>
      <x:c r="J480" s="24"/>
      <x:c r="K480" s="19"/>
      <x:c r="L480" s="100" t="str">
        <x:f>IF($A480="","",IF(COUNTIFS('FollowUps'!$C$2:$C$500,$A480,'FollowUps'!$H$2:$H$500,"open")=0,"",MINIFS('FollowUps'!$E$2:$E$500,'FollowUps'!$C$2:$C$500,$A480,'FollowUps'!$H$2:$H$500,"open")))</x:f>
      </x:c>
      <x:c r="M480" s="19"/>
      <x:c r="N480" s="26"/>
      <x:c r="O480" s="19"/>
      <x:c r="P480" s="26"/>
      <x:c r="Q480" s="19"/>
      <x:c r="R480" s="26"/>
      <x:c r="S480" s="19"/>
      <x:c r="T480" s="19"/>
    </x:row>
    <x:row r="481">
      <x:c r="A481" s="19"/>
      <x:c r="B481" s="19"/>
      <x:c r="C481" s="19"/>
      <x:c r="D481" s="19"/>
      <x:c r="E481" s="19"/>
      <x:c r="F481" s="19"/>
      <x:c r="G481" s="19"/>
      <x:c r="H481" s="25"/>
      <x:c r="I481" s="112" t="str">
        <x:f>IF($A481="","",SUMIFS('PipelineStages'!$E$2:$E$100,'PipelineStages'!$A$2:$A$100,$E481,'PipelineStages'!$B$2:$B$100,$F481))</x:f>
      </x:c>
      <x:c r="J481" s="24"/>
      <x:c r="K481" s="19"/>
      <x:c r="L481" s="100" t="str">
        <x:f>IF($A481="","",IF(COUNTIFS('FollowUps'!$C$2:$C$500,$A481,'FollowUps'!$H$2:$H$500,"open")=0,"",MINIFS('FollowUps'!$E$2:$E$500,'FollowUps'!$C$2:$C$500,$A481,'FollowUps'!$H$2:$H$500,"open")))</x:f>
      </x:c>
      <x:c r="M481" s="19"/>
      <x:c r="N481" s="26"/>
      <x:c r="O481" s="19"/>
      <x:c r="P481" s="26"/>
      <x:c r="Q481" s="19"/>
      <x:c r="R481" s="26"/>
      <x:c r="S481" s="19"/>
      <x:c r="T481" s="19"/>
    </x:row>
    <x:row r="482">
      <x:c r="A482" s="19"/>
      <x:c r="B482" s="19"/>
      <x:c r="C482" s="19"/>
      <x:c r="D482" s="19"/>
      <x:c r="E482" s="19"/>
      <x:c r="F482" s="19"/>
      <x:c r="G482" s="19"/>
      <x:c r="H482" s="25"/>
      <x:c r="I482" s="112" t="str">
        <x:f>IF($A482="","",SUMIFS('PipelineStages'!$E$2:$E$100,'PipelineStages'!$A$2:$A$100,$E482,'PipelineStages'!$B$2:$B$100,$F482))</x:f>
      </x:c>
      <x:c r="J482" s="24"/>
      <x:c r="K482" s="19"/>
      <x:c r="L482" s="100" t="str">
        <x:f>IF($A482="","",IF(COUNTIFS('FollowUps'!$C$2:$C$500,$A482,'FollowUps'!$H$2:$H$500,"open")=0,"",MINIFS('FollowUps'!$E$2:$E$500,'FollowUps'!$C$2:$C$500,$A482,'FollowUps'!$H$2:$H$500,"open")))</x:f>
      </x:c>
      <x:c r="M482" s="19"/>
      <x:c r="N482" s="26"/>
      <x:c r="O482" s="19"/>
      <x:c r="P482" s="26"/>
      <x:c r="Q482" s="19"/>
      <x:c r="R482" s="26"/>
      <x:c r="S482" s="19"/>
      <x:c r="T482" s="19"/>
    </x:row>
    <x:row r="483">
      <x:c r="A483" s="19"/>
      <x:c r="B483" s="19"/>
      <x:c r="C483" s="19"/>
      <x:c r="D483" s="19"/>
      <x:c r="E483" s="19"/>
      <x:c r="F483" s="19"/>
      <x:c r="G483" s="19"/>
      <x:c r="H483" s="25"/>
      <x:c r="I483" s="112" t="str">
        <x:f>IF($A483="","",SUMIFS('PipelineStages'!$E$2:$E$100,'PipelineStages'!$A$2:$A$100,$E483,'PipelineStages'!$B$2:$B$100,$F483))</x:f>
      </x:c>
      <x:c r="J483" s="24"/>
      <x:c r="K483" s="19"/>
      <x:c r="L483" s="100" t="str">
        <x:f>IF($A483="","",IF(COUNTIFS('FollowUps'!$C$2:$C$500,$A483,'FollowUps'!$H$2:$H$500,"open")=0,"",MINIFS('FollowUps'!$E$2:$E$500,'FollowUps'!$C$2:$C$500,$A483,'FollowUps'!$H$2:$H$500,"open")))</x:f>
      </x:c>
      <x:c r="M483" s="19"/>
      <x:c r="N483" s="26"/>
      <x:c r="O483" s="19"/>
      <x:c r="P483" s="26"/>
      <x:c r="Q483" s="19"/>
      <x:c r="R483" s="26"/>
      <x:c r="S483" s="19"/>
      <x:c r="T483" s="19"/>
    </x:row>
    <x:row r="484">
      <x:c r="A484" s="19"/>
      <x:c r="B484" s="19"/>
      <x:c r="C484" s="19"/>
      <x:c r="D484" s="19"/>
      <x:c r="E484" s="19"/>
      <x:c r="F484" s="19"/>
      <x:c r="G484" s="19"/>
      <x:c r="H484" s="25"/>
      <x:c r="I484" s="112" t="str">
        <x:f>IF($A484="","",SUMIFS('PipelineStages'!$E$2:$E$100,'PipelineStages'!$A$2:$A$100,$E484,'PipelineStages'!$B$2:$B$100,$F484))</x:f>
      </x:c>
      <x:c r="J484" s="24"/>
      <x:c r="K484" s="19"/>
      <x:c r="L484" s="100" t="str">
        <x:f>IF($A484="","",IF(COUNTIFS('FollowUps'!$C$2:$C$500,$A484,'FollowUps'!$H$2:$H$500,"open")=0,"",MINIFS('FollowUps'!$E$2:$E$500,'FollowUps'!$C$2:$C$500,$A484,'FollowUps'!$H$2:$H$500,"open")))</x:f>
      </x:c>
      <x:c r="M484" s="19"/>
      <x:c r="N484" s="26"/>
      <x:c r="O484" s="19"/>
      <x:c r="P484" s="26"/>
      <x:c r="Q484" s="19"/>
      <x:c r="R484" s="26"/>
      <x:c r="S484" s="19"/>
      <x:c r="T484" s="19"/>
    </x:row>
    <x:row r="485">
      <x:c r="A485" s="19"/>
      <x:c r="B485" s="19"/>
      <x:c r="C485" s="19"/>
      <x:c r="D485" s="19"/>
      <x:c r="E485" s="19"/>
      <x:c r="F485" s="19"/>
      <x:c r="G485" s="19"/>
      <x:c r="H485" s="25"/>
      <x:c r="I485" s="112" t="str">
        <x:f>IF($A485="","",SUMIFS('PipelineStages'!$E$2:$E$100,'PipelineStages'!$A$2:$A$100,$E485,'PipelineStages'!$B$2:$B$100,$F485))</x:f>
      </x:c>
      <x:c r="J485" s="24"/>
      <x:c r="K485" s="19"/>
      <x:c r="L485" s="100" t="str">
        <x:f>IF($A485="","",IF(COUNTIFS('FollowUps'!$C$2:$C$500,$A485,'FollowUps'!$H$2:$H$500,"open")=0,"",MINIFS('FollowUps'!$E$2:$E$500,'FollowUps'!$C$2:$C$500,$A485,'FollowUps'!$H$2:$H$500,"open")))</x:f>
      </x:c>
      <x:c r="M485" s="19"/>
      <x:c r="N485" s="26"/>
      <x:c r="O485" s="19"/>
      <x:c r="P485" s="26"/>
      <x:c r="Q485" s="19"/>
      <x:c r="R485" s="26"/>
      <x:c r="S485" s="19"/>
      <x:c r="T485" s="19"/>
    </x:row>
    <x:row r="486">
      <x:c r="A486" s="19"/>
      <x:c r="B486" s="19"/>
      <x:c r="C486" s="19"/>
      <x:c r="D486" s="19"/>
      <x:c r="E486" s="19"/>
      <x:c r="F486" s="19"/>
      <x:c r="G486" s="19"/>
      <x:c r="H486" s="25"/>
      <x:c r="I486" s="112" t="str">
        <x:f>IF($A486="","",SUMIFS('PipelineStages'!$E$2:$E$100,'PipelineStages'!$A$2:$A$100,$E486,'PipelineStages'!$B$2:$B$100,$F486))</x:f>
      </x:c>
      <x:c r="J486" s="24"/>
      <x:c r="K486" s="19"/>
      <x:c r="L486" s="100" t="str">
        <x:f>IF($A486="","",IF(COUNTIFS('FollowUps'!$C$2:$C$500,$A486,'FollowUps'!$H$2:$H$500,"open")=0,"",MINIFS('FollowUps'!$E$2:$E$500,'FollowUps'!$C$2:$C$500,$A486,'FollowUps'!$H$2:$H$500,"open")))</x:f>
      </x:c>
      <x:c r="M486" s="19"/>
      <x:c r="N486" s="26"/>
      <x:c r="O486" s="19"/>
      <x:c r="P486" s="26"/>
      <x:c r="Q486" s="19"/>
      <x:c r="R486" s="26"/>
      <x:c r="S486" s="19"/>
      <x:c r="T486" s="19"/>
    </x:row>
    <x:row r="487">
      <x:c r="A487" s="19"/>
      <x:c r="B487" s="19"/>
      <x:c r="C487" s="19"/>
      <x:c r="D487" s="19"/>
      <x:c r="E487" s="19"/>
      <x:c r="F487" s="19"/>
      <x:c r="G487" s="19"/>
      <x:c r="H487" s="25"/>
      <x:c r="I487" s="112" t="str">
        <x:f>IF($A487="","",SUMIFS('PipelineStages'!$E$2:$E$100,'PipelineStages'!$A$2:$A$100,$E487,'PipelineStages'!$B$2:$B$100,$F487))</x:f>
      </x:c>
      <x:c r="J487" s="24"/>
      <x:c r="K487" s="19"/>
      <x:c r="L487" s="100" t="str">
        <x:f>IF($A487="","",IF(COUNTIFS('FollowUps'!$C$2:$C$500,$A487,'FollowUps'!$H$2:$H$500,"open")=0,"",MINIFS('FollowUps'!$E$2:$E$500,'FollowUps'!$C$2:$C$500,$A487,'FollowUps'!$H$2:$H$500,"open")))</x:f>
      </x:c>
      <x:c r="M487" s="19"/>
      <x:c r="N487" s="26"/>
      <x:c r="O487" s="19"/>
      <x:c r="P487" s="26"/>
      <x:c r="Q487" s="19"/>
      <x:c r="R487" s="26"/>
      <x:c r="S487" s="19"/>
      <x:c r="T487" s="19"/>
    </x:row>
    <x:row r="488">
      <x:c r="A488" s="19"/>
      <x:c r="B488" s="19"/>
      <x:c r="C488" s="19"/>
      <x:c r="D488" s="19"/>
      <x:c r="E488" s="19"/>
      <x:c r="F488" s="19"/>
      <x:c r="G488" s="19"/>
      <x:c r="H488" s="25"/>
      <x:c r="I488" s="112" t="str">
        <x:f>IF($A488="","",SUMIFS('PipelineStages'!$E$2:$E$100,'PipelineStages'!$A$2:$A$100,$E488,'PipelineStages'!$B$2:$B$100,$F488))</x:f>
      </x:c>
      <x:c r="J488" s="24"/>
      <x:c r="K488" s="19"/>
      <x:c r="L488" s="100" t="str">
        <x:f>IF($A488="","",IF(COUNTIFS('FollowUps'!$C$2:$C$500,$A488,'FollowUps'!$H$2:$H$500,"open")=0,"",MINIFS('FollowUps'!$E$2:$E$500,'FollowUps'!$C$2:$C$500,$A488,'FollowUps'!$H$2:$H$500,"open")))</x:f>
      </x:c>
      <x:c r="M488" s="19"/>
      <x:c r="N488" s="26"/>
      <x:c r="O488" s="19"/>
      <x:c r="P488" s="26"/>
      <x:c r="Q488" s="19"/>
      <x:c r="R488" s="26"/>
      <x:c r="S488" s="19"/>
      <x:c r="T488" s="19"/>
    </x:row>
    <x:row r="489">
      <x:c r="A489" s="19"/>
      <x:c r="B489" s="19"/>
      <x:c r="C489" s="19"/>
      <x:c r="D489" s="19"/>
      <x:c r="E489" s="19"/>
      <x:c r="F489" s="19"/>
      <x:c r="G489" s="19"/>
      <x:c r="H489" s="25"/>
      <x:c r="I489" s="112" t="str">
        <x:f>IF($A489="","",SUMIFS('PipelineStages'!$E$2:$E$100,'PipelineStages'!$A$2:$A$100,$E489,'PipelineStages'!$B$2:$B$100,$F489))</x:f>
      </x:c>
      <x:c r="J489" s="24"/>
      <x:c r="K489" s="19"/>
      <x:c r="L489" s="100" t="str">
        <x:f>IF($A489="","",IF(COUNTIFS('FollowUps'!$C$2:$C$500,$A489,'FollowUps'!$H$2:$H$500,"open")=0,"",MINIFS('FollowUps'!$E$2:$E$500,'FollowUps'!$C$2:$C$500,$A489,'FollowUps'!$H$2:$H$500,"open")))</x:f>
      </x:c>
      <x:c r="M489" s="19"/>
      <x:c r="N489" s="26"/>
      <x:c r="O489" s="19"/>
      <x:c r="P489" s="26"/>
      <x:c r="Q489" s="19"/>
      <x:c r="R489" s="26"/>
      <x:c r="S489" s="19"/>
      <x:c r="T489" s="19"/>
    </x:row>
    <x:row r="490">
      <x:c r="A490" s="19"/>
      <x:c r="B490" s="19"/>
      <x:c r="C490" s="19"/>
      <x:c r="D490" s="19"/>
      <x:c r="E490" s="19"/>
      <x:c r="F490" s="19"/>
      <x:c r="G490" s="19"/>
      <x:c r="H490" s="25"/>
      <x:c r="I490" s="112" t="str">
        <x:f>IF($A490="","",SUMIFS('PipelineStages'!$E$2:$E$100,'PipelineStages'!$A$2:$A$100,$E490,'PipelineStages'!$B$2:$B$100,$F490))</x:f>
      </x:c>
      <x:c r="J490" s="24"/>
      <x:c r="K490" s="19"/>
      <x:c r="L490" s="100" t="str">
        <x:f>IF($A490="","",IF(COUNTIFS('FollowUps'!$C$2:$C$500,$A490,'FollowUps'!$H$2:$H$500,"open")=0,"",MINIFS('FollowUps'!$E$2:$E$500,'FollowUps'!$C$2:$C$500,$A490,'FollowUps'!$H$2:$H$500,"open")))</x:f>
      </x:c>
      <x:c r="M490" s="19"/>
      <x:c r="N490" s="26"/>
      <x:c r="O490" s="19"/>
      <x:c r="P490" s="26"/>
      <x:c r="Q490" s="19"/>
      <x:c r="R490" s="26"/>
      <x:c r="S490" s="19"/>
      <x:c r="T490" s="19"/>
    </x:row>
    <x:row r="491">
      <x:c r="A491" s="19"/>
      <x:c r="B491" s="19"/>
      <x:c r="C491" s="19"/>
      <x:c r="D491" s="19"/>
      <x:c r="E491" s="19"/>
      <x:c r="F491" s="19"/>
      <x:c r="G491" s="19"/>
      <x:c r="H491" s="25"/>
      <x:c r="I491" s="112" t="str">
        <x:f>IF($A491="","",SUMIFS('PipelineStages'!$E$2:$E$100,'PipelineStages'!$A$2:$A$100,$E491,'PipelineStages'!$B$2:$B$100,$F491))</x:f>
      </x:c>
      <x:c r="J491" s="24"/>
      <x:c r="K491" s="19"/>
      <x:c r="L491" s="100" t="str">
        <x:f>IF($A491="","",IF(COUNTIFS('FollowUps'!$C$2:$C$500,$A491,'FollowUps'!$H$2:$H$500,"open")=0,"",MINIFS('FollowUps'!$E$2:$E$500,'FollowUps'!$C$2:$C$500,$A491,'FollowUps'!$H$2:$H$500,"open")))</x:f>
      </x:c>
      <x:c r="M491" s="19"/>
      <x:c r="N491" s="26"/>
      <x:c r="O491" s="19"/>
      <x:c r="P491" s="26"/>
      <x:c r="Q491" s="19"/>
      <x:c r="R491" s="26"/>
      <x:c r="S491" s="19"/>
      <x:c r="T491" s="19"/>
    </x:row>
    <x:row r="492">
      <x:c r="A492" s="19"/>
      <x:c r="B492" s="19"/>
      <x:c r="C492" s="19"/>
      <x:c r="D492" s="19"/>
      <x:c r="E492" s="19"/>
      <x:c r="F492" s="19"/>
      <x:c r="G492" s="19"/>
      <x:c r="H492" s="25"/>
      <x:c r="I492" s="112" t="str">
        <x:f>IF($A492="","",SUMIFS('PipelineStages'!$E$2:$E$100,'PipelineStages'!$A$2:$A$100,$E492,'PipelineStages'!$B$2:$B$100,$F492))</x:f>
      </x:c>
      <x:c r="J492" s="24"/>
      <x:c r="K492" s="19"/>
      <x:c r="L492" s="100" t="str">
        <x:f>IF($A492="","",IF(COUNTIFS('FollowUps'!$C$2:$C$500,$A492,'FollowUps'!$H$2:$H$500,"open")=0,"",MINIFS('FollowUps'!$E$2:$E$500,'FollowUps'!$C$2:$C$500,$A492,'FollowUps'!$H$2:$H$500,"open")))</x:f>
      </x:c>
      <x:c r="M492" s="19"/>
      <x:c r="N492" s="26"/>
      <x:c r="O492" s="19"/>
      <x:c r="P492" s="26"/>
      <x:c r="Q492" s="19"/>
      <x:c r="R492" s="26"/>
      <x:c r="S492" s="19"/>
      <x:c r="T492" s="19"/>
    </x:row>
    <x:row r="493">
      <x:c r="A493" s="19"/>
      <x:c r="B493" s="19"/>
      <x:c r="C493" s="19"/>
      <x:c r="D493" s="19"/>
      <x:c r="E493" s="19"/>
      <x:c r="F493" s="19"/>
      <x:c r="G493" s="19"/>
      <x:c r="H493" s="25"/>
      <x:c r="I493" s="112" t="str">
        <x:f>IF($A493="","",SUMIFS('PipelineStages'!$E$2:$E$100,'PipelineStages'!$A$2:$A$100,$E493,'PipelineStages'!$B$2:$B$100,$F493))</x:f>
      </x:c>
      <x:c r="J493" s="24"/>
      <x:c r="K493" s="19"/>
      <x:c r="L493" s="100" t="str">
        <x:f>IF($A493="","",IF(COUNTIFS('FollowUps'!$C$2:$C$500,$A493,'FollowUps'!$H$2:$H$500,"open")=0,"",MINIFS('FollowUps'!$E$2:$E$500,'FollowUps'!$C$2:$C$500,$A493,'FollowUps'!$H$2:$H$500,"open")))</x:f>
      </x:c>
      <x:c r="M493" s="19"/>
      <x:c r="N493" s="26"/>
      <x:c r="O493" s="19"/>
      <x:c r="P493" s="26"/>
      <x:c r="Q493" s="19"/>
      <x:c r="R493" s="26"/>
      <x:c r="S493" s="19"/>
      <x:c r="T493" s="19"/>
    </x:row>
    <x:row r="494">
      <x:c r="A494" s="19"/>
      <x:c r="B494" s="19"/>
      <x:c r="C494" s="19"/>
      <x:c r="D494" s="19"/>
      <x:c r="E494" s="19"/>
      <x:c r="F494" s="19"/>
      <x:c r="G494" s="19"/>
      <x:c r="H494" s="25"/>
      <x:c r="I494" s="112" t="str">
        <x:f>IF($A494="","",SUMIFS('PipelineStages'!$E$2:$E$100,'PipelineStages'!$A$2:$A$100,$E494,'PipelineStages'!$B$2:$B$100,$F494))</x:f>
      </x:c>
      <x:c r="J494" s="24"/>
      <x:c r="K494" s="19"/>
      <x:c r="L494" s="100" t="str">
        <x:f>IF($A494="","",IF(COUNTIFS('FollowUps'!$C$2:$C$500,$A494,'FollowUps'!$H$2:$H$500,"open")=0,"",MINIFS('FollowUps'!$E$2:$E$500,'FollowUps'!$C$2:$C$500,$A494,'FollowUps'!$H$2:$H$500,"open")))</x:f>
      </x:c>
      <x:c r="M494" s="19"/>
      <x:c r="N494" s="26"/>
      <x:c r="O494" s="19"/>
      <x:c r="P494" s="26"/>
      <x:c r="Q494" s="19"/>
      <x:c r="R494" s="26"/>
      <x:c r="S494" s="19"/>
      <x:c r="T494" s="19"/>
    </x:row>
    <x:row r="495">
      <x:c r="A495" s="19"/>
      <x:c r="B495" s="19"/>
      <x:c r="C495" s="19"/>
      <x:c r="D495" s="19"/>
      <x:c r="E495" s="19"/>
      <x:c r="F495" s="19"/>
      <x:c r="G495" s="19"/>
      <x:c r="H495" s="25"/>
      <x:c r="I495" s="112" t="str">
        <x:f>IF($A495="","",SUMIFS('PipelineStages'!$E$2:$E$100,'PipelineStages'!$A$2:$A$100,$E495,'PipelineStages'!$B$2:$B$100,$F495))</x:f>
      </x:c>
      <x:c r="J495" s="24"/>
      <x:c r="K495" s="19"/>
      <x:c r="L495" s="100" t="str">
        <x:f>IF($A495="","",IF(COUNTIFS('FollowUps'!$C$2:$C$500,$A495,'FollowUps'!$H$2:$H$500,"open")=0,"",MINIFS('FollowUps'!$E$2:$E$500,'FollowUps'!$C$2:$C$500,$A495,'FollowUps'!$H$2:$H$500,"open")))</x:f>
      </x:c>
      <x:c r="M495" s="19"/>
      <x:c r="N495" s="26"/>
      <x:c r="O495" s="19"/>
      <x:c r="P495" s="26"/>
      <x:c r="Q495" s="19"/>
      <x:c r="R495" s="26"/>
      <x:c r="S495" s="19"/>
      <x:c r="T495" s="19"/>
    </x:row>
    <x:row r="496">
      <x:c r="A496" s="19"/>
      <x:c r="B496" s="19"/>
      <x:c r="C496" s="19"/>
      <x:c r="D496" s="19"/>
      <x:c r="E496" s="19"/>
      <x:c r="F496" s="19"/>
      <x:c r="G496" s="19"/>
      <x:c r="H496" s="25"/>
      <x:c r="I496" s="112" t="str">
        <x:f>IF($A496="","",SUMIFS('PipelineStages'!$E$2:$E$100,'PipelineStages'!$A$2:$A$100,$E496,'PipelineStages'!$B$2:$B$100,$F496))</x:f>
      </x:c>
      <x:c r="J496" s="24"/>
      <x:c r="K496" s="19"/>
      <x:c r="L496" s="100" t="str">
        <x:f>IF($A496="","",IF(COUNTIFS('FollowUps'!$C$2:$C$500,$A496,'FollowUps'!$H$2:$H$500,"open")=0,"",MINIFS('FollowUps'!$E$2:$E$500,'FollowUps'!$C$2:$C$500,$A496,'FollowUps'!$H$2:$H$500,"open")))</x:f>
      </x:c>
      <x:c r="M496" s="19"/>
      <x:c r="N496" s="26"/>
      <x:c r="O496" s="19"/>
      <x:c r="P496" s="26"/>
      <x:c r="Q496" s="19"/>
      <x:c r="R496" s="26"/>
      <x:c r="S496" s="19"/>
      <x:c r="T496" s="19"/>
    </x:row>
    <x:row r="497">
      <x:c r="A497" s="19"/>
      <x:c r="B497" s="19"/>
      <x:c r="C497" s="19"/>
      <x:c r="D497" s="19"/>
      <x:c r="E497" s="19"/>
      <x:c r="F497" s="19"/>
      <x:c r="G497" s="19"/>
      <x:c r="H497" s="25"/>
      <x:c r="I497" s="112" t="str">
        <x:f>IF($A497="","",SUMIFS('PipelineStages'!$E$2:$E$100,'PipelineStages'!$A$2:$A$100,$E497,'PipelineStages'!$B$2:$B$100,$F497))</x:f>
      </x:c>
      <x:c r="J497" s="24"/>
      <x:c r="K497" s="19"/>
      <x:c r="L497" s="100" t="str">
        <x:f>IF($A497="","",IF(COUNTIFS('FollowUps'!$C$2:$C$500,$A497,'FollowUps'!$H$2:$H$500,"open")=0,"",MINIFS('FollowUps'!$E$2:$E$500,'FollowUps'!$C$2:$C$500,$A497,'FollowUps'!$H$2:$H$500,"open")))</x:f>
      </x:c>
      <x:c r="M497" s="19"/>
      <x:c r="N497" s="26"/>
      <x:c r="O497" s="19"/>
      <x:c r="P497" s="26"/>
      <x:c r="Q497" s="19"/>
      <x:c r="R497" s="26"/>
      <x:c r="S497" s="19"/>
      <x:c r="T497" s="19"/>
    </x:row>
    <x:row r="498">
      <x:c r="A498" s="19"/>
      <x:c r="B498" s="19"/>
      <x:c r="C498" s="19"/>
      <x:c r="D498" s="19"/>
      <x:c r="E498" s="19"/>
      <x:c r="F498" s="19"/>
      <x:c r="G498" s="19"/>
      <x:c r="H498" s="25"/>
      <x:c r="I498" s="112" t="str">
        <x:f>IF($A498="","",SUMIFS('PipelineStages'!$E$2:$E$100,'PipelineStages'!$A$2:$A$100,$E498,'PipelineStages'!$B$2:$B$100,$F498))</x:f>
      </x:c>
      <x:c r="J498" s="24"/>
      <x:c r="K498" s="19"/>
      <x:c r="L498" s="100" t="str">
        <x:f>IF($A498="","",IF(COUNTIFS('FollowUps'!$C$2:$C$500,$A498,'FollowUps'!$H$2:$H$500,"open")=0,"",MINIFS('FollowUps'!$E$2:$E$500,'FollowUps'!$C$2:$C$500,$A498,'FollowUps'!$H$2:$H$500,"open")))</x:f>
      </x:c>
      <x:c r="M498" s="19"/>
      <x:c r="N498" s="26"/>
      <x:c r="O498" s="19"/>
      <x:c r="P498" s="26"/>
      <x:c r="Q498" s="19"/>
      <x:c r="R498" s="26"/>
      <x:c r="S498" s="19"/>
      <x:c r="T498" s="19"/>
    </x:row>
    <x:row r="499">
      <x:c r="A499" s="19"/>
      <x:c r="B499" s="19"/>
      <x:c r="C499" s="19"/>
      <x:c r="D499" s="19"/>
      <x:c r="E499" s="19"/>
      <x:c r="F499" s="19"/>
      <x:c r="G499" s="19"/>
      <x:c r="H499" s="25"/>
      <x:c r="I499" s="112" t="str">
        <x:f>IF($A499="","",SUMIFS('PipelineStages'!$E$2:$E$100,'PipelineStages'!$A$2:$A$100,$E499,'PipelineStages'!$B$2:$B$100,$F499))</x:f>
      </x:c>
      <x:c r="J499" s="24"/>
      <x:c r="K499" s="19"/>
      <x:c r="L499" s="100" t="str">
        <x:f>IF($A499="","",IF(COUNTIFS('FollowUps'!$C$2:$C$500,$A499,'FollowUps'!$H$2:$H$500,"open")=0,"",MINIFS('FollowUps'!$E$2:$E$500,'FollowUps'!$C$2:$C$500,$A499,'FollowUps'!$H$2:$H$500,"open")))</x:f>
      </x:c>
      <x:c r="M499" s="19"/>
      <x:c r="N499" s="26"/>
      <x:c r="O499" s="19"/>
      <x:c r="P499" s="26"/>
      <x:c r="Q499" s="19"/>
      <x:c r="R499" s="26"/>
      <x:c r="S499" s="19"/>
      <x:c r="T499" s="19"/>
    </x:row>
    <x:row r="500">
      <x:c r="A500" s="19"/>
      <x:c r="B500" s="19"/>
      <x:c r="C500" s="19"/>
      <x:c r="D500" s="19"/>
      <x:c r="E500" s="19"/>
      <x:c r="F500" s="19"/>
      <x:c r="G500" s="19"/>
      <x:c r="H500" s="25"/>
      <x:c r="I500" s="112" t="str">
        <x:f>IF($A500="","",SUMIFS('PipelineStages'!$E$2:$E$100,'PipelineStages'!$A$2:$A$100,$E500,'PipelineStages'!$B$2:$B$100,$F500))</x:f>
      </x:c>
      <x:c r="J500" s="24"/>
      <x:c r="K500" s="19"/>
      <x:c r="L500" s="100" t="str">
        <x:f>IF($A500="","",IF(COUNTIFS('FollowUps'!$C$2:$C$500,$A500,'FollowUps'!$H$2:$H$500,"open")=0,"",MINIFS('FollowUps'!$E$2:$E$500,'FollowUps'!$C$2:$C$500,$A500,'FollowUps'!$H$2:$H$500,"open")))</x:f>
      </x:c>
      <x:c r="M500" s="19"/>
      <x:c r="N500" s="26"/>
      <x:c r="O500" s="19"/>
      <x:c r="P500" s="26"/>
      <x:c r="Q500" s="19"/>
      <x:c r="R500" s="26"/>
      <x:c r="S500" s="19"/>
      <x:c r="T500" s="19"/>
    </x:row>
  </x:sheetData>
  <x:conditionalFormatting sqref="B2:B500">
    <x:cfRule type="expression" dxfId="23" priority="1">
      <x:formula>AND($A2&lt;&gt;"",B2="")</x:formula>
    </x:cfRule>
  </x:conditionalFormatting>
  <x:conditionalFormatting sqref="D2:D500">
    <x:cfRule type="expression" dxfId="24" priority="2">
      <x:formula>AND($A2&lt;&gt;"",D2="")</x:formula>
    </x:cfRule>
  </x:conditionalFormatting>
  <x:conditionalFormatting sqref="E2:E500">
    <x:cfRule type="expression" dxfId="25" priority="3">
      <x:formula>AND($A2&lt;&gt;"",E2="")</x:formula>
    </x:cfRule>
  </x:conditionalFormatting>
  <x:conditionalFormatting sqref="F2:F500">
    <x:cfRule type="expression" dxfId="26" priority="4">
      <x:formula>AND($A2&lt;&gt;"",F2="")</x:formula>
    </x:cfRule>
    <x:cfRule type="containsText" dxfId="35" priority="13" operator="containsText" text="won"/>
    <x:cfRule type="containsText" dxfId="36" priority="14" operator="containsText" text="lost"/>
    <x:cfRule type="containsText" dxfId="37" priority="15" operator="containsText" text="negotiation"/>
    <x:cfRule type="containsText" dxfId="38" priority="16" operator="containsText" text="quote_sent"/>
  </x:conditionalFormatting>
  <x:conditionalFormatting sqref="G2:G500">
    <x:cfRule type="expression" dxfId="27" priority="5">
      <x:formula>AND($A2&lt;&gt;"",G2="")</x:formula>
    </x:cfRule>
  </x:conditionalFormatting>
  <x:conditionalFormatting sqref="K2:K500">
    <x:cfRule type="expression" dxfId="28" priority="6">
      <x:formula>AND($A2&lt;&gt;"",K2="")</x:formula>
    </x:cfRule>
  </x:conditionalFormatting>
  <x:conditionalFormatting sqref="L2:L500">
    <x:cfRule type="expression" dxfId="29" priority="7">
      <x:formula>AND($A2&lt;&gt;"",L2="")</x:formula>
    </x:cfRule>
  </x:conditionalFormatting>
  <x:conditionalFormatting sqref="P2:P500">
    <x:cfRule type="expression" dxfId="30" priority="8">
      <x:formula>AND($A2&lt;&gt;"",P2="")</x:formula>
    </x:cfRule>
  </x:conditionalFormatting>
  <x:conditionalFormatting sqref="Q2:Q500">
    <x:cfRule type="expression" dxfId="31" priority="9">
      <x:formula>AND($A2&lt;&gt;"",Q2="")</x:formula>
    </x:cfRule>
  </x:conditionalFormatting>
  <x:conditionalFormatting sqref="R2:R500">
    <x:cfRule type="expression" dxfId="32" priority="10">
      <x:formula>AND($A2&lt;&gt;"",R2="")</x:formula>
    </x:cfRule>
  </x:conditionalFormatting>
  <x:conditionalFormatting sqref="S2:S500">
    <x:cfRule type="expression" dxfId="33" priority="11">
      <x:formula>AND($A2&lt;&gt;"",S2="")</x:formula>
    </x:cfRule>
  </x:conditionalFormatting>
  <x:conditionalFormatting sqref="T2:T500">
    <x:cfRule type="expression" dxfId="34" priority="12">
      <x:formula>AND($A2&lt;&gt;"",T2="")</x:formula>
    </x:cfRule>
  </x:conditionalFormatting>
  <x:dataValidations count="1">
    <x:dataValidation type="list" sqref="T2:T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2bd232d0d14e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14" hidden="0" customWidth="1"/>
    <x:col min="7" max="7" width="27" hidden="0" customWidth="1"/>
    <x:col min="8" max="8" width="14" hidden="0" customWidth="1"/>
    <x:col min="9" max="9" width="13" hidden="0" customWidth="1"/>
    <x:col min="10" max="10" width="19" hidden="0" customWidth="1"/>
    <x:col min="11" max="11" width="19" hidden="0" customWidth="1"/>
    <x:col min="12" max="12" width="16" hidden="0" customWidth="1"/>
    <x:col min="13" max="13" width="28" hidden="0" customWidth="1"/>
    <x:col min="14" max="14" width="18" hidden="0" customWidth="1"/>
    <x:col min="15" max="15" width="12" hidden="0" customWidth="1"/>
    <x:col min="16" max="16" width="30" hidden="0" customWidth="1"/>
    <x:col min="17" max="17" width="19" hidden="0" customWidth="1"/>
    <x:col min="18" max="18" width="18" hidden="0" customWidth="1"/>
    <x:col min="19" max="19" width="19" hidden="0" customWidth="1"/>
    <x:col min="20" max="20" width="18" hidden="0" customWidth="1"/>
    <x:col min="21" max="21" width="12" hidden="0" customWidth="1"/>
  </x:cols>
  <x:sheetData>
    <x:row r="1" ht="46" customHeight="1">
      <x:c r="A1" s="12" t="str">
        <x:v>شناسه پیگیری *
(followup_id)</x:v>
      </x:c>
      <x:c r="B1" s="13" t="str">
        <x:v>مشتری *
(customer_id)</x:v>
      </x:c>
      <x:c r="C1" s="13" t="str">
        <x:v>فرصت
(opportunity_id)</x:v>
      </x:c>
      <x:c r="D1" s="13" t="str">
        <x:v>مسئول *
(assigned_user_id)</x:v>
      </x:c>
      <x:c r="E1" s="13" t="str">
        <x:v>موعد پیگیری *
(due_at)</x:v>
      </x:c>
      <x:c r="F1" s="13" t="str">
        <x:v>روش *
(channel)</x:v>
      </x:c>
      <x:c r="G1" s="13" t="str">
        <x:v>هدف *
(purpose)</x:v>
      </x:c>
      <x:c r="H1" s="13" t="str">
        <x:v>وضعیت *
(status)</x:v>
      </x:c>
      <x:c r="I1" s="13" t="str">
        <x:v>تعداد هشدار
(reminder_count)</x:v>
      </x:c>
      <x:c r="J1" s="13" t="str">
        <x:v>آخرین هشدار
(last_reminded_at)</x:v>
      </x:c>
      <x:c r="K1" s="13" t="str">
        <x:v>زمان انجام
(completed_at)</x:v>
      </x:c>
      <x:c r="L1" s="13" t="str">
        <x:v>نتیجه
(result_code)</x:v>
      </x:c>
      <x:c r="M1" s="13" t="str">
        <x:v>شرح نتیجه
(result_note)</x:v>
      </x:c>
      <x:c r="N1" s="13" t="str">
        <x:v>پیگیری بعدی
(next_followup_id)</x:v>
      </x:c>
      <x:c r="O1" s="13" t="str">
        <x:v>گام توالی
(sequence_step)</x:v>
      </x:c>
      <x:c r="P1" s="13" t="str">
        <x:v>کلید یکتا *
(idempotency_key)</x:v>
      </x:c>
      <x:c r="Q1" s="13" t="str">
        <x:v>زمان ایجاد *
(created_at)</x:v>
      </x:c>
      <x:c r="R1" s="13" t="str">
        <x:v>ایجادکننده *
(created_by)</x:v>
      </x:c>
      <x:c r="S1" s="13" t="str">
        <x:v>آخرین تغییر *
(updated_at)</x:v>
      </x:c>
      <x:c r="T1" s="13" t="str">
        <x:v>تغییردهنده *
(updated_by)</x:v>
      </x:c>
      <x:c r="U1" s="14" t="str">
        <x:v>حذف نرم *
(is_deleted)</x:v>
      </x:c>
    </x:row>
    <x:row r="2">
      <x:c r="A2" s="28" t="str">
        <x:v>fu_001</x:v>
      </x:c>
      <x:c r="B2" s="29" t="str">
        <x:v>cus_001</x:v>
      </x:c>
      <x:c r="C2" s="29" t="str">
        <x:v>opp_001</x:v>
      </x:c>
      <x:c r="D2" s="29" t="str">
        <x:v>usr_sara</x:v>
      </x:c>
      <x:c r="E2" s="33" t="n">
        <x:v>46216.270833333336</x:v>
      </x:c>
      <x:c r="F2" s="29" t="str">
        <x:v>call</x:v>
      </x:c>
      <x:c r="G2" s="29" t="str">
        <x:v>تأیید دریافت پیش‌فاکتور</x:v>
      </x:c>
      <x:c r="H2" s="29" t="str">
        <x:v>open</x:v>
      </x:c>
      <x:c r="I2" s="34" t="n">
        <x:v>0</x:v>
      </x:c>
      <x:c r="J2" s="33"/>
      <x:c r="K2" s="33"/>
      <x:c r="L2" s="29" t="str"/>
      <x:c r="M2" s="29" t="str"/>
      <x:c r="N2" s="29"/>
      <x:c r="O2" s="34" t="n">
        <x:v>1</x:v>
      </x:c>
      <x:c r="P2" s="29" t="str">
        <x:v>FIRST_FU:opp_001:quote_sent</x:v>
      </x:c>
      <x:c r="Q2" s="33" t="n">
        <x:v>46215.229166666664</x:v>
      </x:c>
      <x:c r="R2" s="29" t="str">
        <x:v>usr_sara</x:v>
      </x:c>
      <x:c r="S2" s="33" t="n">
        <x:v>46215.229166666664</x:v>
      </x:c>
      <x:c r="T2" s="29" t="str">
        <x:v>usr_sara</x:v>
      </x:c>
      <x:c r="U2" s="55" t="b">
        <x:v>0</x:v>
      </x:c>
    </x:row>
    <x:row r="3">
      <x:c r="A3" s="37" t="str">
        <x:v>fu_002</x:v>
      </x:c>
      <x:c r="B3" s="38" t="str">
        <x:v>cus_002</x:v>
      </x:c>
      <x:c r="C3" s="38" t="str">
        <x:v>opp_002</x:v>
      </x:c>
      <x:c r="D3" s="38" t="str">
        <x:v>usr_ali</x:v>
      </x:c>
      <x:c r="E3" s="42" t="n">
        <x:v>46215.5</x:v>
      </x:c>
      <x:c r="F3" s="38" t="str">
        <x:v>instagram</x:v>
      </x:c>
      <x:c r="G3" s="38" t="str">
        <x:v>تکمیل نیازسنجی</x:v>
      </x:c>
      <x:c r="H3" s="38" t="str">
        <x:v>open</x:v>
      </x:c>
      <x:c r="I3" s="43" t="n">
        <x:v>0</x:v>
      </x:c>
      <x:c r="J3" s="42"/>
      <x:c r="K3" s="42"/>
      <x:c r="L3" s="38"/>
      <x:c r="M3" s="38"/>
      <x:c r="N3" s="38"/>
      <x:c r="O3" s="43" t="n">
        <x:v>1</x:v>
      </x:c>
      <x:c r="P3" s="38" t="str">
        <x:v>FIRST_FU:opp_002:needs_analysis</x:v>
      </x:c>
      <x:c r="Q3" s="42" t="n">
        <x:v>46215.229166666664</x:v>
      </x:c>
      <x:c r="R3" s="38" t="str">
        <x:v>usr_ali</x:v>
      </x:c>
      <x:c r="S3" s="42" t="n">
        <x:v>46215.229166666664</x:v>
      </x:c>
      <x:c r="T3" s="38" t="str">
        <x:v>usr_ali</x:v>
      </x:c>
      <x:c r="U3" s="56" t="b">
        <x:v>0</x:v>
      </x:c>
    </x:row>
    <x:row r="4">
      <x:c r="A4" s="37" t="str">
        <x:v>fu_003</x:v>
      </x:c>
      <x:c r="B4" s="38" t="str">
        <x:v>cus_003</x:v>
      </x:c>
      <x:c r="C4" s="38" t="str">
        <x:v>opp_003</x:v>
      </x:c>
      <x:c r="D4" s="38" t="str">
        <x:v>usr_sara</x:v>
      </x:c>
      <x:c r="E4" s="42" t="n">
        <x:v>46215.354166666664</x:v>
      </x:c>
      <x:c r="F4" s="38" t="str">
        <x:v>call</x:v>
      </x:c>
      <x:c r="G4" s="38" t="str">
        <x:v>شرایط پرداخت</x:v>
      </x:c>
      <x:c r="H4" s="38" t="str">
        <x:v>open</x:v>
      </x:c>
      <x:c r="I4" s="43" t="n">
        <x:v>1</x:v>
      </x:c>
      <x:c r="J4" s="42" t="n">
        <x:v>46215.333333333336</x:v>
      </x:c>
      <x:c r="K4" s="42"/>
      <x:c r="L4" s="38"/>
      <x:c r="M4" s="38"/>
      <x:c r="N4" s="38"/>
      <x:c r="O4" s="43" t="n">
        <x:v>1</x:v>
      </x:c>
      <x:c r="P4" s="38" t="str">
        <x:v>NEG:opp_003:20260712</x:v>
      </x:c>
      <x:c r="Q4" s="42" t="n">
        <x:v>46215.229166666664</x:v>
      </x:c>
      <x:c r="R4" s="38" t="str">
        <x:v>usr_sara</x:v>
      </x:c>
      <x:c r="S4" s="42" t="n">
        <x:v>46215.229166666664</x:v>
      </x:c>
      <x:c r="T4" s="38" t="str">
        <x:v>usr_sara</x:v>
      </x:c>
      <x:c r="U4" s="56" t="b">
        <x:v>0</x:v>
      </x:c>
    </x:row>
    <x:row r="5">
      <x:c r="A5" s="37" t="str">
        <x:v>fu_004</x:v>
      </x:c>
      <x:c r="B5" s="38" t="str">
        <x:v>cus_004</x:v>
      </x:c>
      <x:c r="C5" s="38" t="str">
        <x:v>opp_004</x:v>
      </x:c>
      <x:c r="D5" s="38" t="str">
        <x:v>usr_ali</x:v>
      </x:c>
      <x:c r="E5" s="42" t="n">
        <x:v>46196.270833333336</x:v>
      </x:c>
      <x:c r="F5" s="38" t="str">
        <x:v>call</x:v>
      </x:c>
      <x:c r="G5" s="38" t="str">
        <x:v>پیگیری رضایت</x:v>
      </x:c>
      <x:c r="H5" s="38" t="str">
        <x:v>done</x:v>
      </x:c>
      <x:c r="I5" s="43" t="n">
        <x:v>1</x:v>
      </x:c>
      <x:c r="J5" s="42"/>
      <x:c r="K5" s="42" t="n">
        <x:v>46196.28125</x:v>
      </x:c>
      <x:c r="L5" s="38" t="str">
        <x:v>satisfied</x:v>
      </x:c>
      <x:c r="M5" s="38" t="str">
        <x:v>راضی بود</x:v>
      </x:c>
      <x:c r="N5" s="38"/>
      <x:c r="O5" s="43" t="n">
        <x:v>1</x:v>
      </x:c>
      <x:c r="P5" s="38" t="str">
        <x:v>AFTERSALE:ord_001</x:v>
      </x:c>
      <x:c r="Q5" s="42" t="n">
        <x:v>46195.229166666664</x:v>
      </x:c>
      <x:c r="R5" s="38" t="str">
        <x:v>usr_ali</x:v>
      </x:c>
      <x:c r="S5" s="42" t="n">
        <x:v>46196.28125</x:v>
      </x:c>
      <x:c r="T5" s="38" t="str">
        <x:v>usr_ali</x:v>
      </x:c>
      <x:c r="U5" s="56" t="b">
        <x:v>0</x:v>
      </x:c>
    </x:row>
    <x:row r="6">
      <x:c r="A6" s="46" t="str">
        <x:v>fu_005</x:v>
      </x:c>
      <x:c r="B6" s="47" t="str">
        <x:v>cus_005</x:v>
      </x:c>
      <x:c r="C6" s="47" t="str">
        <x:v>opp_005</x:v>
      </x:c>
      <x:c r="D6" s="47" t="str">
        <x:v>usr_sara</x:v>
      </x:c>
      <x:c r="E6" s="51" t="n">
        <x:v>46233.3125</x:v>
      </x:c>
      <x:c r="F6" s="47" t="str">
        <x:v>telegram</x:v>
      </x:c>
      <x:c r="G6" s="47" t="str">
        <x:v>بازفعال‌سازی</x:v>
      </x:c>
      <x:c r="H6" s="47" t="str">
        <x:v>open</x:v>
      </x:c>
      <x:c r="I6" s="52" t="n">
        <x:v>0</x:v>
      </x:c>
      <x:c r="J6" s="51"/>
      <x:c r="K6" s="51"/>
      <x:c r="L6" s="47"/>
      <x:c r="M6" s="47"/>
      <x:c r="N6" s="47"/>
      <x:c r="O6" s="52" t="n">
        <x:v>1</x:v>
      </x:c>
      <x:c r="P6" s="47" t="str">
        <x:v>REACT:cus_005:20260730</x:v>
      </x:c>
      <x:c r="Q6" s="51" t="n">
        <x:v>46215.229166666664</x:v>
      </x:c>
      <x:c r="R6" s="47" t="str">
        <x:v>usr_sara</x:v>
      </x:c>
      <x:c r="S6" s="51" t="n">
        <x:v>46215.229166666664</x:v>
      </x:c>
      <x:c r="T6" s="47" t="str">
        <x:v>usr_sara</x:v>
      </x:c>
      <x:c r="U6" s="57" t="b">
        <x:v>0</x:v>
      </x:c>
    </x:row>
    <x:row r="7">
      <x:c r="A7" s="19"/>
      <x:c r="B7" s="19"/>
      <x:c r="C7" s="19"/>
      <x:c r="D7" s="19"/>
      <x:c r="E7" s="26"/>
      <x:c r="F7" s="19"/>
      <x:c r="G7" s="19"/>
      <x:c r="H7" s="19"/>
      <x:c r="I7" s="27"/>
      <x:c r="J7" s="26"/>
      <x:c r="K7" s="26"/>
      <x:c r="L7" s="19"/>
      <x:c r="M7" s="19"/>
      <x:c r="N7" s="19"/>
      <x:c r="O7" s="27"/>
      <x:c r="P7" s="19"/>
      <x:c r="Q7" s="26"/>
      <x:c r="R7" s="19"/>
      <x:c r="S7" s="26"/>
      <x:c r="T7" s="19"/>
      <x:c r="U7" s="19"/>
    </x:row>
    <x:row r="8">
      <x:c r="A8" s="19"/>
      <x:c r="B8" s="19"/>
      <x:c r="C8" s="19"/>
      <x:c r="D8" s="19"/>
      <x:c r="E8" s="26"/>
      <x:c r="F8" s="19"/>
      <x:c r="G8" s="19"/>
      <x:c r="H8" s="19"/>
      <x:c r="I8" s="27"/>
      <x:c r="J8" s="26"/>
      <x:c r="K8" s="26"/>
      <x:c r="L8" s="19"/>
      <x:c r="M8" s="19"/>
      <x:c r="N8" s="19"/>
      <x:c r="O8" s="27"/>
      <x:c r="P8" s="19"/>
      <x:c r="Q8" s="26"/>
      <x:c r="R8" s="19"/>
      <x:c r="S8" s="26"/>
      <x:c r="T8" s="19"/>
      <x:c r="U8" s="19"/>
    </x:row>
    <x:row r="9">
      <x:c r="A9" s="19"/>
      <x:c r="B9" s="19"/>
      <x:c r="C9" s="19"/>
      <x:c r="D9" s="19"/>
      <x:c r="E9" s="26"/>
      <x:c r="F9" s="19"/>
      <x:c r="G9" s="19"/>
      <x:c r="H9" s="19"/>
      <x:c r="I9" s="27"/>
      <x:c r="J9" s="26"/>
      <x:c r="K9" s="26"/>
      <x:c r="L9" s="19"/>
      <x:c r="M9" s="19"/>
      <x:c r="N9" s="19"/>
      <x:c r="O9" s="27"/>
      <x:c r="P9" s="19"/>
      <x:c r="Q9" s="26"/>
      <x:c r="R9" s="19"/>
      <x:c r="S9" s="26"/>
      <x:c r="T9" s="19"/>
      <x:c r="U9" s="19"/>
    </x:row>
    <x:row r="10">
      <x:c r="A10" s="19"/>
      <x:c r="B10" s="19"/>
      <x:c r="C10" s="19"/>
      <x:c r="D10" s="19"/>
      <x:c r="E10" s="26"/>
      <x:c r="F10" s="19"/>
      <x:c r="G10" s="19"/>
      <x:c r="H10" s="19"/>
      <x:c r="I10" s="27"/>
      <x:c r="J10" s="26"/>
      <x:c r="K10" s="26"/>
      <x:c r="L10" s="19"/>
      <x:c r="M10" s="19"/>
      <x:c r="N10" s="19"/>
      <x:c r="O10" s="27"/>
      <x:c r="P10" s="19"/>
      <x:c r="Q10" s="26"/>
      <x:c r="R10" s="19"/>
      <x:c r="S10" s="26"/>
      <x:c r="T10" s="19"/>
      <x:c r="U10" s="19"/>
    </x:row>
    <x:row r="11">
      <x:c r="A11" s="19"/>
      <x:c r="B11" s="19"/>
      <x:c r="C11" s="19"/>
      <x:c r="D11" s="19"/>
      <x:c r="E11" s="26"/>
      <x:c r="F11" s="19"/>
      <x:c r="G11" s="19"/>
      <x:c r="H11" s="19"/>
      <x:c r="I11" s="27"/>
      <x:c r="J11" s="26"/>
      <x:c r="K11" s="26"/>
      <x:c r="L11" s="19"/>
      <x:c r="M11" s="19"/>
      <x:c r="N11" s="19"/>
      <x:c r="O11" s="27"/>
      <x:c r="P11" s="19"/>
      <x:c r="Q11" s="26"/>
      <x:c r="R11" s="19"/>
      <x:c r="S11" s="26"/>
      <x:c r="T11" s="19"/>
      <x:c r="U11" s="19"/>
    </x:row>
    <x:row r="12">
      <x:c r="A12" s="19"/>
      <x:c r="B12" s="19"/>
      <x:c r="C12" s="19"/>
      <x:c r="D12" s="19"/>
      <x:c r="E12" s="26"/>
      <x:c r="F12" s="19"/>
      <x:c r="G12" s="19"/>
      <x:c r="H12" s="19"/>
      <x:c r="I12" s="27"/>
      <x:c r="J12" s="26"/>
      <x:c r="K12" s="26"/>
      <x:c r="L12" s="19"/>
      <x:c r="M12" s="19"/>
      <x:c r="N12" s="19"/>
      <x:c r="O12" s="27"/>
      <x:c r="P12" s="19"/>
      <x:c r="Q12" s="26"/>
      <x:c r="R12" s="19"/>
      <x:c r="S12" s="26"/>
      <x:c r="T12" s="19"/>
      <x:c r="U12" s="19"/>
    </x:row>
    <x:row r="13">
      <x:c r="A13" s="19"/>
      <x:c r="B13" s="19"/>
      <x:c r="C13" s="19"/>
      <x:c r="D13" s="19"/>
      <x:c r="E13" s="26"/>
      <x:c r="F13" s="19"/>
      <x:c r="G13" s="19"/>
      <x:c r="H13" s="19"/>
      <x:c r="I13" s="27"/>
      <x:c r="J13" s="26"/>
      <x:c r="K13" s="26"/>
      <x:c r="L13" s="19"/>
      <x:c r="M13" s="19"/>
      <x:c r="N13" s="19"/>
      <x:c r="O13" s="27"/>
      <x:c r="P13" s="19"/>
      <x:c r="Q13" s="26"/>
      <x:c r="R13" s="19"/>
      <x:c r="S13" s="26"/>
      <x:c r="T13" s="19"/>
      <x:c r="U13" s="19"/>
    </x:row>
    <x:row r="14">
      <x:c r="A14" s="19"/>
      <x:c r="B14" s="19"/>
      <x:c r="C14" s="19"/>
      <x:c r="D14" s="19"/>
      <x:c r="E14" s="26"/>
      <x:c r="F14" s="19"/>
      <x:c r="G14" s="19"/>
      <x:c r="H14" s="19"/>
      <x:c r="I14" s="27"/>
      <x:c r="J14" s="26"/>
      <x:c r="K14" s="26"/>
      <x:c r="L14" s="19"/>
      <x:c r="M14" s="19"/>
      <x:c r="N14" s="19"/>
      <x:c r="O14" s="27"/>
      <x:c r="P14" s="19"/>
      <x:c r="Q14" s="26"/>
      <x:c r="R14" s="19"/>
      <x:c r="S14" s="26"/>
      <x:c r="T14" s="19"/>
      <x:c r="U14" s="19"/>
    </x:row>
    <x:row r="15">
      <x:c r="A15" s="19"/>
      <x:c r="B15" s="19"/>
      <x:c r="C15" s="19"/>
      <x:c r="D15" s="19"/>
      <x:c r="E15" s="26"/>
      <x:c r="F15" s="19"/>
      <x:c r="G15" s="19"/>
      <x:c r="H15" s="19"/>
      <x:c r="I15" s="27"/>
      <x:c r="J15" s="26"/>
      <x:c r="K15" s="26"/>
      <x:c r="L15" s="19"/>
      <x:c r="M15" s="19"/>
      <x:c r="N15" s="19"/>
      <x:c r="O15" s="27"/>
      <x:c r="P15" s="19"/>
      <x:c r="Q15" s="26"/>
      <x:c r="R15" s="19"/>
      <x:c r="S15" s="26"/>
      <x:c r="T15" s="19"/>
      <x:c r="U15" s="19"/>
    </x:row>
    <x:row r="16">
      <x:c r="A16" s="19"/>
      <x:c r="B16" s="19"/>
      <x:c r="C16" s="19"/>
      <x:c r="D16" s="19"/>
      <x:c r="E16" s="26"/>
      <x:c r="F16" s="19"/>
      <x:c r="G16" s="19"/>
      <x:c r="H16" s="19"/>
      <x:c r="I16" s="27"/>
      <x:c r="J16" s="26"/>
      <x:c r="K16" s="26"/>
      <x:c r="L16" s="19"/>
      <x:c r="M16" s="19"/>
      <x:c r="N16" s="19"/>
      <x:c r="O16" s="27"/>
      <x:c r="P16" s="19"/>
      <x:c r="Q16" s="26"/>
      <x:c r="R16" s="19"/>
      <x:c r="S16" s="26"/>
      <x:c r="T16" s="19"/>
      <x:c r="U16" s="19"/>
    </x:row>
    <x:row r="17">
      <x:c r="A17" s="19"/>
      <x:c r="B17" s="19"/>
      <x:c r="C17" s="19"/>
      <x:c r="D17" s="19"/>
      <x:c r="E17" s="26"/>
      <x:c r="F17" s="19"/>
      <x:c r="G17" s="19"/>
      <x:c r="H17" s="19"/>
      <x:c r="I17" s="27"/>
      <x:c r="J17" s="26"/>
      <x:c r="K17" s="26"/>
      <x:c r="L17" s="19"/>
      <x:c r="M17" s="19"/>
      <x:c r="N17" s="19"/>
      <x:c r="O17" s="27"/>
      <x:c r="P17" s="19"/>
      <x:c r="Q17" s="26"/>
      <x:c r="R17" s="19"/>
      <x:c r="S17" s="26"/>
      <x:c r="T17" s="19"/>
      <x:c r="U17" s="19"/>
    </x:row>
    <x:row r="18">
      <x:c r="A18" s="19"/>
      <x:c r="B18" s="19"/>
      <x:c r="C18" s="19"/>
      <x:c r="D18" s="19"/>
      <x:c r="E18" s="26"/>
      <x:c r="F18" s="19"/>
      <x:c r="G18" s="19"/>
      <x:c r="H18" s="19"/>
      <x:c r="I18" s="27"/>
      <x:c r="J18" s="26"/>
      <x:c r="K18" s="26"/>
      <x:c r="L18" s="19"/>
      <x:c r="M18" s="19"/>
      <x:c r="N18" s="19"/>
      <x:c r="O18" s="27"/>
      <x:c r="P18" s="19"/>
      <x:c r="Q18" s="26"/>
      <x:c r="R18" s="19"/>
      <x:c r="S18" s="26"/>
      <x:c r="T18" s="19"/>
      <x:c r="U18" s="19"/>
    </x:row>
    <x:row r="19">
      <x:c r="A19" s="19"/>
      <x:c r="B19" s="19"/>
      <x:c r="C19" s="19"/>
      <x:c r="D19" s="19"/>
      <x:c r="E19" s="26"/>
      <x:c r="F19" s="19"/>
      <x:c r="G19" s="19"/>
      <x:c r="H19" s="19"/>
      <x:c r="I19" s="27"/>
      <x:c r="J19" s="26"/>
      <x:c r="K19" s="26"/>
      <x:c r="L19" s="19"/>
      <x:c r="M19" s="19"/>
      <x:c r="N19" s="19"/>
      <x:c r="O19" s="27"/>
      <x:c r="P19" s="19"/>
      <x:c r="Q19" s="26"/>
      <x:c r="R19" s="19"/>
      <x:c r="S19" s="26"/>
      <x:c r="T19" s="19"/>
      <x:c r="U19" s="19"/>
    </x:row>
    <x:row r="20">
      <x:c r="A20" s="19"/>
      <x:c r="B20" s="19"/>
      <x:c r="C20" s="19"/>
      <x:c r="D20" s="19"/>
      <x:c r="E20" s="26"/>
      <x:c r="F20" s="19"/>
      <x:c r="G20" s="19"/>
      <x:c r="H20" s="19"/>
      <x:c r="I20" s="27"/>
      <x:c r="J20" s="26"/>
      <x:c r="K20" s="26"/>
      <x:c r="L20" s="19"/>
      <x:c r="M20" s="19"/>
      <x:c r="N20" s="19"/>
      <x:c r="O20" s="27"/>
      <x:c r="P20" s="19"/>
      <x:c r="Q20" s="26"/>
      <x:c r="R20" s="19"/>
      <x:c r="S20" s="26"/>
      <x:c r="T20" s="19"/>
      <x:c r="U20" s="19"/>
    </x:row>
    <x:row r="21">
      <x:c r="A21" s="19"/>
      <x:c r="B21" s="19"/>
      <x:c r="C21" s="19"/>
      <x:c r="D21" s="19"/>
      <x:c r="E21" s="26"/>
      <x:c r="F21" s="19"/>
      <x:c r="G21" s="19"/>
      <x:c r="H21" s="19"/>
      <x:c r="I21" s="27"/>
      <x:c r="J21" s="26"/>
      <x:c r="K21" s="26"/>
      <x:c r="L21" s="19"/>
      <x:c r="M21" s="19"/>
      <x:c r="N21" s="19"/>
      <x:c r="O21" s="27"/>
      <x:c r="P21" s="19"/>
      <x:c r="Q21" s="26"/>
      <x:c r="R21" s="19"/>
      <x:c r="S21" s="26"/>
      <x:c r="T21" s="19"/>
      <x:c r="U21" s="19"/>
    </x:row>
    <x:row r="22">
      <x:c r="A22" s="19"/>
      <x:c r="B22" s="19"/>
      <x:c r="C22" s="19"/>
      <x:c r="D22" s="19"/>
      <x:c r="E22" s="26"/>
      <x:c r="F22" s="19"/>
      <x:c r="G22" s="19"/>
      <x:c r="H22" s="19"/>
      <x:c r="I22" s="27"/>
      <x:c r="J22" s="26"/>
      <x:c r="K22" s="26"/>
      <x:c r="L22" s="19"/>
      <x:c r="M22" s="19"/>
      <x:c r="N22" s="19"/>
      <x:c r="O22" s="27"/>
      <x:c r="P22" s="19"/>
      <x:c r="Q22" s="26"/>
      <x:c r="R22" s="19"/>
      <x:c r="S22" s="26"/>
      <x:c r="T22" s="19"/>
      <x:c r="U22" s="19"/>
    </x:row>
    <x:row r="23">
      <x:c r="A23" s="19"/>
      <x:c r="B23" s="19"/>
      <x:c r="C23" s="19"/>
      <x:c r="D23" s="19"/>
      <x:c r="E23" s="26"/>
      <x:c r="F23" s="19"/>
      <x:c r="G23" s="19"/>
      <x:c r="H23" s="19"/>
      <x:c r="I23" s="27"/>
      <x:c r="J23" s="26"/>
      <x:c r="K23" s="26"/>
      <x:c r="L23" s="19"/>
      <x:c r="M23" s="19"/>
      <x:c r="N23" s="19"/>
      <x:c r="O23" s="27"/>
      <x:c r="P23" s="19"/>
      <x:c r="Q23" s="26"/>
      <x:c r="R23" s="19"/>
      <x:c r="S23" s="26"/>
      <x:c r="T23" s="19"/>
      <x:c r="U23" s="19"/>
    </x:row>
    <x:row r="24">
      <x:c r="A24" s="19"/>
      <x:c r="B24" s="19"/>
      <x:c r="C24" s="19"/>
      <x:c r="D24" s="19"/>
      <x:c r="E24" s="26"/>
      <x:c r="F24" s="19"/>
      <x:c r="G24" s="19"/>
      <x:c r="H24" s="19"/>
      <x:c r="I24" s="27"/>
      <x:c r="J24" s="26"/>
      <x:c r="K24" s="26"/>
      <x:c r="L24" s="19"/>
      <x:c r="M24" s="19"/>
      <x:c r="N24" s="19"/>
      <x:c r="O24" s="27"/>
      <x:c r="P24" s="19"/>
      <x:c r="Q24" s="26"/>
      <x:c r="R24" s="19"/>
      <x:c r="S24" s="26"/>
      <x:c r="T24" s="19"/>
      <x:c r="U24" s="19"/>
    </x:row>
    <x:row r="25">
      <x:c r="A25" s="19"/>
      <x:c r="B25" s="19"/>
      <x:c r="C25" s="19"/>
      <x:c r="D25" s="19"/>
      <x:c r="E25" s="26"/>
      <x:c r="F25" s="19"/>
      <x:c r="G25" s="19"/>
      <x:c r="H25" s="19"/>
      <x:c r="I25" s="27"/>
      <x:c r="J25" s="26"/>
      <x:c r="K25" s="26"/>
      <x:c r="L25" s="19"/>
      <x:c r="M25" s="19"/>
      <x:c r="N25" s="19"/>
      <x:c r="O25" s="27"/>
      <x:c r="P25" s="19"/>
      <x:c r="Q25" s="26"/>
      <x:c r="R25" s="19"/>
      <x:c r="S25" s="26"/>
      <x:c r="T25" s="19"/>
      <x:c r="U25" s="19"/>
    </x:row>
    <x:row r="26">
      <x:c r="A26" s="19"/>
      <x:c r="B26" s="19"/>
      <x:c r="C26" s="19"/>
      <x:c r="D26" s="19"/>
      <x:c r="E26" s="26"/>
      <x:c r="F26" s="19"/>
      <x:c r="G26" s="19"/>
      <x:c r="H26" s="19"/>
      <x:c r="I26" s="27"/>
      <x:c r="J26" s="26"/>
      <x:c r="K26" s="26"/>
      <x:c r="L26" s="19"/>
      <x:c r="M26" s="19"/>
      <x:c r="N26" s="19"/>
      <x:c r="O26" s="27"/>
      <x:c r="P26" s="19"/>
      <x:c r="Q26" s="26"/>
      <x:c r="R26" s="19"/>
      <x:c r="S26" s="26"/>
      <x:c r="T26" s="19"/>
      <x:c r="U26" s="19"/>
    </x:row>
    <x:row r="27">
      <x:c r="A27" s="19"/>
      <x:c r="B27" s="19"/>
      <x:c r="C27" s="19"/>
      <x:c r="D27" s="19"/>
      <x:c r="E27" s="26"/>
      <x:c r="F27" s="19"/>
      <x:c r="G27" s="19"/>
      <x:c r="H27" s="19"/>
      <x:c r="I27" s="27"/>
      <x:c r="J27" s="26"/>
      <x:c r="K27" s="26"/>
      <x:c r="L27" s="19"/>
      <x:c r="M27" s="19"/>
      <x:c r="N27" s="19"/>
      <x:c r="O27" s="27"/>
      <x:c r="P27" s="19"/>
      <x:c r="Q27" s="26"/>
      <x:c r="R27" s="19"/>
      <x:c r="S27" s="26"/>
      <x:c r="T27" s="19"/>
      <x:c r="U27" s="19"/>
    </x:row>
    <x:row r="28">
      <x:c r="A28" s="19"/>
      <x:c r="B28" s="19"/>
      <x:c r="C28" s="19"/>
      <x:c r="D28" s="19"/>
      <x:c r="E28" s="26"/>
      <x:c r="F28" s="19"/>
      <x:c r="G28" s="19"/>
      <x:c r="H28" s="19"/>
      <x:c r="I28" s="27"/>
      <x:c r="J28" s="26"/>
      <x:c r="K28" s="26"/>
      <x:c r="L28" s="19"/>
      <x:c r="M28" s="19"/>
      <x:c r="N28" s="19"/>
      <x:c r="O28" s="27"/>
      <x:c r="P28" s="19"/>
      <x:c r="Q28" s="26"/>
      <x:c r="R28" s="19"/>
      <x:c r="S28" s="26"/>
      <x:c r="T28" s="19"/>
      <x:c r="U28" s="19"/>
    </x:row>
    <x:row r="29">
      <x:c r="A29" s="19"/>
      <x:c r="B29" s="19"/>
      <x:c r="C29" s="19"/>
      <x:c r="D29" s="19"/>
      <x:c r="E29" s="26"/>
      <x:c r="F29" s="19"/>
      <x:c r="G29" s="19"/>
      <x:c r="H29" s="19"/>
      <x:c r="I29" s="27"/>
      <x:c r="J29" s="26"/>
      <x:c r="K29" s="26"/>
      <x:c r="L29" s="19"/>
      <x:c r="M29" s="19"/>
      <x:c r="N29" s="19"/>
      <x:c r="O29" s="27"/>
      <x:c r="P29" s="19"/>
      <x:c r="Q29" s="26"/>
      <x:c r="R29" s="19"/>
      <x:c r="S29" s="26"/>
      <x:c r="T29" s="19"/>
      <x:c r="U29" s="19"/>
    </x:row>
    <x:row r="30">
      <x:c r="A30" s="19"/>
      <x:c r="B30" s="19"/>
      <x:c r="C30" s="19"/>
      <x:c r="D30" s="19"/>
      <x:c r="E30" s="26"/>
      <x:c r="F30" s="19"/>
      <x:c r="G30" s="19"/>
      <x:c r="H30" s="19"/>
      <x:c r="I30" s="27"/>
      <x:c r="J30" s="26"/>
      <x:c r="K30" s="26"/>
      <x:c r="L30" s="19"/>
      <x:c r="M30" s="19"/>
      <x:c r="N30" s="19"/>
      <x:c r="O30" s="27"/>
      <x:c r="P30" s="19"/>
      <x:c r="Q30" s="26"/>
      <x:c r="R30" s="19"/>
      <x:c r="S30" s="26"/>
      <x:c r="T30" s="19"/>
      <x:c r="U30" s="19"/>
    </x:row>
    <x:row r="31">
      <x:c r="A31" s="19"/>
      <x:c r="B31" s="19"/>
      <x:c r="C31" s="19"/>
      <x:c r="D31" s="19"/>
      <x:c r="E31" s="26"/>
      <x:c r="F31" s="19"/>
      <x:c r="G31" s="19"/>
      <x:c r="H31" s="19"/>
      <x:c r="I31" s="27"/>
      <x:c r="J31" s="26"/>
      <x:c r="K31" s="26"/>
      <x:c r="L31" s="19"/>
      <x:c r="M31" s="19"/>
      <x:c r="N31" s="19"/>
      <x:c r="O31" s="27"/>
      <x:c r="P31" s="19"/>
      <x:c r="Q31" s="26"/>
      <x:c r="R31" s="19"/>
      <x:c r="S31" s="26"/>
      <x:c r="T31" s="19"/>
      <x:c r="U31" s="19"/>
    </x:row>
    <x:row r="32">
      <x:c r="A32" s="19"/>
      <x:c r="B32" s="19"/>
      <x:c r="C32" s="19"/>
      <x:c r="D32" s="19"/>
      <x:c r="E32" s="26"/>
      <x:c r="F32" s="19"/>
      <x:c r="G32" s="19"/>
      <x:c r="H32" s="19"/>
      <x:c r="I32" s="27"/>
      <x:c r="J32" s="26"/>
      <x:c r="K32" s="26"/>
      <x:c r="L32" s="19"/>
      <x:c r="M32" s="19"/>
      <x:c r="N32" s="19"/>
      <x:c r="O32" s="27"/>
      <x:c r="P32" s="19"/>
      <x:c r="Q32" s="26"/>
      <x:c r="R32" s="19"/>
      <x:c r="S32" s="26"/>
      <x:c r="T32" s="19"/>
      <x:c r="U32" s="19"/>
    </x:row>
    <x:row r="33">
      <x:c r="A33" s="19"/>
      <x:c r="B33" s="19"/>
      <x:c r="C33" s="19"/>
      <x:c r="D33" s="19"/>
      <x:c r="E33" s="26"/>
      <x:c r="F33" s="19"/>
      <x:c r="G33" s="19"/>
      <x:c r="H33" s="19"/>
      <x:c r="I33" s="27"/>
      <x:c r="J33" s="26"/>
      <x:c r="K33" s="26"/>
      <x:c r="L33" s="19"/>
      <x:c r="M33" s="19"/>
      <x:c r="N33" s="19"/>
      <x:c r="O33" s="27"/>
      <x:c r="P33" s="19"/>
      <x:c r="Q33" s="26"/>
      <x:c r="R33" s="19"/>
      <x:c r="S33" s="26"/>
      <x:c r="T33" s="19"/>
      <x:c r="U33" s="19"/>
    </x:row>
    <x:row r="34">
      <x:c r="A34" s="19"/>
      <x:c r="B34" s="19"/>
      <x:c r="C34" s="19"/>
      <x:c r="D34" s="19"/>
      <x:c r="E34" s="26"/>
      <x:c r="F34" s="19"/>
      <x:c r="G34" s="19"/>
      <x:c r="H34" s="19"/>
      <x:c r="I34" s="27"/>
      <x:c r="J34" s="26"/>
      <x:c r="K34" s="26"/>
      <x:c r="L34" s="19"/>
      <x:c r="M34" s="19"/>
      <x:c r="N34" s="19"/>
      <x:c r="O34" s="27"/>
      <x:c r="P34" s="19"/>
      <x:c r="Q34" s="26"/>
      <x:c r="R34" s="19"/>
      <x:c r="S34" s="26"/>
      <x:c r="T34" s="19"/>
      <x:c r="U34" s="19"/>
    </x:row>
    <x:row r="35">
      <x:c r="A35" s="19"/>
      <x:c r="B35" s="19"/>
      <x:c r="C35" s="19"/>
      <x:c r="D35" s="19"/>
      <x:c r="E35" s="26"/>
      <x:c r="F35" s="19"/>
      <x:c r="G35" s="19"/>
      <x:c r="H35" s="19"/>
      <x:c r="I35" s="27"/>
      <x:c r="J35" s="26"/>
      <x:c r="K35" s="26"/>
      <x:c r="L35" s="19"/>
      <x:c r="M35" s="19"/>
      <x:c r="N35" s="19"/>
      <x:c r="O35" s="27"/>
      <x:c r="P35" s="19"/>
      <x:c r="Q35" s="26"/>
      <x:c r="R35" s="19"/>
      <x:c r="S35" s="26"/>
      <x:c r="T35" s="19"/>
      <x:c r="U35" s="19"/>
    </x:row>
    <x:row r="36">
      <x:c r="A36" s="19"/>
      <x:c r="B36" s="19"/>
      <x:c r="C36" s="19"/>
      <x:c r="D36" s="19"/>
      <x:c r="E36" s="26"/>
      <x:c r="F36" s="19"/>
      <x:c r="G36" s="19"/>
      <x:c r="H36" s="19"/>
      <x:c r="I36" s="27"/>
      <x:c r="J36" s="26"/>
      <x:c r="K36" s="26"/>
      <x:c r="L36" s="19"/>
      <x:c r="M36" s="19"/>
      <x:c r="N36" s="19"/>
      <x:c r="O36" s="27"/>
      <x:c r="P36" s="19"/>
      <x:c r="Q36" s="26"/>
      <x:c r="R36" s="19"/>
      <x:c r="S36" s="26"/>
      <x:c r="T36" s="19"/>
      <x:c r="U36" s="19"/>
    </x:row>
    <x:row r="37">
      <x:c r="A37" s="19"/>
      <x:c r="B37" s="19"/>
      <x:c r="C37" s="19"/>
      <x:c r="D37" s="19"/>
      <x:c r="E37" s="26"/>
      <x:c r="F37" s="19"/>
      <x:c r="G37" s="19"/>
      <x:c r="H37" s="19"/>
      <x:c r="I37" s="27"/>
      <x:c r="J37" s="26"/>
      <x:c r="K37" s="26"/>
      <x:c r="L37" s="19"/>
      <x:c r="M37" s="19"/>
      <x:c r="N37" s="19"/>
      <x:c r="O37" s="27"/>
      <x:c r="P37" s="19"/>
      <x:c r="Q37" s="26"/>
      <x:c r="R37" s="19"/>
      <x:c r="S37" s="26"/>
      <x:c r="T37" s="19"/>
      <x:c r="U37" s="19"/>
    </x:row>
    <x:row r="38">
      <x:c r="A38" s="19"/>
      <x:c r="B38" s="19"/>
      <x:c r="C38" s="19"/>
      <x:c r="D38" s="19"/>
      <x:c r="E38" s="26"/>
      <x:c r="F38" s="19"/>
      <x:c r="G38" s="19"/>
      <x:c r="H38" s="19"/>
      <x:c r="I38" s="27"/>
      <x:c r="J38" s="26"/>
      <x:c r="K38" s="26"/>
      <x:c r="L38" s="19"/>
      <x:c r="M38" s="19"/>
      <x:c r="N38" s="19"/>
      <x:c r="O38" s="27"/>
      <x:c r="P38" s="19"/>
      <x:c r="Q38" s="26"/>
      <x:c r="R38" s="19"/>
      <x:c r="S38" s="26"/>
      <x:c r="T38" s="19"/>
      <x:c r="U38" s="19"/>
    </x:row>
    <x:row r="39">
      <x:c r="A39" s="19"/>
      <x:c r="B39" s="19"/>
      <x:c r="C39" s="19"/>
      <x:c r="D39" s="19"/>
      <x:c r="E39" s="26"/>
      <x:c r="F39" s="19"/>
      <x:c r="G39" s="19"/>
      <x:c r="H39" s="19"/>
      <x:c r="I39" s="27"/>
      <x:c r="J39" s="26"/>
      <x:c r="K39" s="26"/>
      <x:c r="L39" s="19"/>
      <x:c r="M39" s="19"/>
      <x:c r="N39" s="19"/>
      <x:c r="O39" s="27"/>
      <x:c r="P39" s="19"/>
      <x:c r="Q39" s="26"/>
      <x:c r="R39" s="19"/>
      <x:c r="S39" s="26"/>
      <x:c r="T39" s="19"/>
      <x:c r="U39" s="19"/>
    </x:row>
    <x:row r="40">
      <x:c r="A40" s="19"/>
      <x:c r="B40" s="19"/>
      <x:c r="C40" s="19"/>
      <x:c r="D40" s="19"/>
      <x:c r="E40" s="26"/>
      <x:c r="F40" s="19"/>
      <x:c r="G40" s="19"/>
      <x:c r="H40" s="19"/>
      <x:c r="I40" s="27"/>
      <x:c r="J40" s="26"/>
      <x:c r="K40" s="26"/>
      <x:c r="L40" s="19"/>
      <x:c r="M40" s="19"/>
      <x:c r="N40" s="19"/>
      <x:c r="O40" s="27"/>
      <x:c r="P40" s="19"/>
      <x:c r="Q40" s="26"/>
      <x:c r="R40" s="19"/>
      <x:c r="S40" s="26"/>
      <x:c r="T40" s="19"/>
      <x:c r="U40" s="19"/>
    </x:row>
    <x:row r="41">
      <x:c r="A41" s="19"/>
      <x:c r="B41" s="19"/>
      <x:c r="C41" s="19"/>
      <x:c r="D41" s="19"/>
      <x:c r="E41" s="26"/>
      <x:c r="F41" s="19"/>
      <x:c r="G41" s="19"/>
      <x:c r="H41" s="19"/>
      <x:c r="I41" s="27"/>
      <x:c r="J41" s="26"/>
      <x:c r="K41" s="26"/>
      <x:c r="L41" s="19"/>
      <x:c r="M41" s="19"/>
      <x:c r="N41" s="19"/>
      <x:c r="O41" s="27"/>
      <x:c r="P41" s="19"/>
      <x:c r="Q41" s="26"/>
      <x:c r="R41" s="19"/>
      <x:c r="S41" s="26"/>
      <x:c r="T41" s="19"/>
      <x:c r="U41" s="19"/>
    </x:row>
    <x:row r="42">
      <x:c r="A42" s="19"/>
      <x:c r="B42" s="19"/>
      <x:c r="C42" s="19"/>
      <x:c r="D42" s="19"/>
      <x:c r="E42" s="26"/>
      <x:c r="F42" s="19"/>
      <x:c r="G42" s="19"/>
      <x:c r="H42" s="19"/>
      <x:c r="I42" s="27"/>
      <x:c r="J42" s="26"/>
      <x:c r="K42" s="26"/>
      <x:c r="L42" s="19"/>
      <x:c r="M42" s="19"/>
      <x:c r="N42" s="19"/>
      <x:c r="O42" s="27"/>
      <x:c r="P42" s="19"/>
      <x:c r="Q42" s="26"/>
      <x:c r="R42" s="19"/>
      <x:c r="S42" s="26"/>
      <x:c r="T42" s="19"/>
      <x:c r="U42" s="19"/>
    </x:row>
    <x:row r="43">
      <x:c r="A43" s="19"/>
      <x:c r="B43" s="19"/>
      <x:c r="C43" s="19"/>
      <x:c r="D43" s="19"/>
      <x:c r="E43" s="26"/>
      <x:c r="F43" s="19"/>
      <x:c r="G43" s="19"/>
      <x:c r="H43" s="19"/>
      <x:c r="I43" s="27"/>
      <x:c r="J43" s="26"/>
      <x:c r="K43" s="26"/>
      <x:c r="L43" s="19"/>
      <x:c r="M43" s="19"/>
      <x:c r="N43" s="19"/>
      <x:c r="O43" s="27"/>
      <x:c r="P43" s="19"/>
      <x:c r="Q43" s="26"/>
      <x:c r="R43" s="19"/>
      <x:c r="S43" s="26"/>
      <x:c r="T43" s="19"/>
      <x:c r="U43" s="19"/>
    </x:row>
    <x:row r="44">
      <x:c r="A44" s="19"/>
      <x:c r="B44" s="19"/>
      <x:c r="C44" s="19"/>
      <x:c r="D44" s="19"/>
      <x:c r="E44" s="26"/>
      <x:c r="F44" s="19"/>
      <x:c r="G44" s="19"/>
      <x:c r="H44" s="19"/>
      <x:c r="I44" s="27"/>
      <x:c r="J44" s="26"/>
      <x:c r="K44" s="26"/>
      <x:c r="L44" s="19"/>
      <x:c r="M44" s="19"/>
      <x:c r="N44" s="19"/>
      <x:c r="O44" s="27"/>
      <x:c r="P44" s="19"/>
      <x:c r="Q44" s="26"/>
      <x:c r="R44" s="19"/>
      <x:c r="S44" s="26"/>
      <x:c r="T44" s="19"/>
      <x:c r="U44" s="19"/>
    </x:row>
    <x:row r="45">
      <x:c r="A45" s="19"/>
      <x:c r="B45" s="19"/>
      <x:c r="C45" s="19"/>
      <x:c r="D45" s="19"/>
      <x:c r="E45" s="26"/>
      <x:c r="F45" s="19"/>
      <x:c r="G45" s="19"/>
      <x:c r="H45" s="19"/>
      <x:c r="I45" s="27"/>
      <x:c r="J45" s="26"/>
      <x:c r="K45" s="26"/>
      <x:c r="L45" s="19"/>
      <x:c r="M45" s="19"/>
      <x:c r="N45" s="19"/>
      <x:c r="O45" s="27"/>
      <x:c r="P45" s="19"/>
      <x:c r="Q45" s="26"/>
      <x:c r="R45" s="19"/>
      <x:c r="S45" s="26"/>
      <x:c r="T45" s="19"/>
      <x:c r="U45" s="19"/>
    </x:row>
    <x:row r="46">
      <x:c r="A46" s="19"/>
      <x:c r="B46" s="19"/>
      <x:c r="C46" s="19"/>
      <x:c r="D46" s="19"/>
      <x:c r="E46" s="26"/>
      <x:c r="F46" s="19"/>
      <x:c r="G46" s="19"/>
      <x:c r="H46" s="19"/>
      <x:c r="I46" s="27"/>
      <x:c r="J46" s="26"/>
      <x:c r="K46" s="26"/>
      <x:c r="L46" s="19"/>
      <x:c r="M46" s="19"/>
      <x:c r="N46" s="19"/>
      <x:c r="O46" s="27"/>
      <x:c r="P46" s="19"/>
      <x:c r="Q46" s="26"/>
      <x:c r="R46" s="19"/>
      <x:c r="S46" s="26"/>
      <x:c r="T46" s="19"/>
      <x:c r="U46" s="19"/>
    </x:row>
    <x:row r="47">
      <x:c r="A47" s="19"/>
      <x:c r="B47" s="19"/>
      <x:c r="C47" s="19"/>
      <x:c r="D47" s="19"/>
      <x:c r="E47" s="26"/>
      <x:c r="F47" s="19"/>
      <x:c r="G47" s="19"/>
      <x:c r="H47" s="19"/>
      <x:c r="I47" s="27"/>
      <x:c r="J47" s="26"/>
      <x:c r="K47" s="26"/>
      <x:c r="L47" s="19"/>
      <x:c r="M47" s="19"/>
      <x:c r="N47" s="19"/>
      <x:c r="O47" s="27"/>
      <x:c r="P47" s="19"/>
      <x:c r="Q47" s="26"/>
      <x:c r="R47" s="19"/>
      <x:c r="S47" s="26"/>
      <x:c r="T47" s="19"/>
      <x:c r="U47" s="19"/>
    </x:row>
    <x:row r="48">
      <x:c r="A48" s="19"/>
      <x:c r="B48" s="19"/>
      <x:c r="C48" s="19"/>
      <x:c r="D48" s="19"/>
      <x:c r="E48" s="26"/>
      <x:c r="F48" s="19"/>
      <x:c r="G48" s="19"/>
      <x:c r="H48" s="19"/>
      <x:c r="I48" s="27"/>
      <x:c r="J48" s="26"/>
      <x:c r="K48" s="26"/>
      <x:c r="L48" s="19"/>
      <x:c r="M48" s="19"/>
      <x:c r="N48" s="19"/>
      <x:c r="O48" s="27"/>
      <x:c r="P48" s="19"/>
      <x:c r="Q48" s="26"/>
      <x:c r="R48" s="19"/>
      <x:c r="S48" s="26"/>
      <x:c r="T48" s="19"/>
      <x:c r="U48" s="19"/>
    </x:row>
    <x:row r="49">
      <x:c r="A49" s="19"/>
      <x:c r="B49" s="19"/>
      <x:c r="C49" s="19"/>
      <x:c r="D49" s="19"/>
      <x:c r="E49" s="26"/>
      <x:c r="F49" s="19"/>
      <x:c r="G49" s="19"/>
      <x:c r="H49" s="19"/>
      <x:c r="I49" s="27"/>
      <x:c r="J49" s="26"/>
      <x:c r="K49" s="26"/>
      <x:c r="L49" s="19"/>
      <x:c r="M49" s="19"/>
      <x:c r="N49" s="19"/>
      <x:c r="O49" s="27"/>
      <x:c r="P49" s="19"/>
      <x:c r="Q49" s="26"/>
      <x:c r="R49" s="19"/>
      <x:c r="S49" s="26"/>
      <x:c r="T49" s="19"/>
      <x:c r="U49" s="19"/>
    </x:row>
    <x:row r="50">
      <x:c r="A50" s="19"/>
      <x:c r="B50" s="19"/>
      <x:c r="C50" s="19"/>
      <x:c r="D50" s="19"/>
      <x:c r="E50" s="26"/>
      <x:c r="F50" s="19"/>
      <x:c r="G50" s="19"/>
      <x:c r="H50" s="19"/>
      <x:c r="I50" s="27"/>
      <x:c r="J50" s="26"/>
      <x:c r="K50" s="26"/>
      <x:c r="L50" s="19"/>
      <x:c r="M50" s="19"/>
      <x:c r="N50" s="19"/>
      <x:c r="O50" s="27"/>
      <x:c r="P50" s="19"/>
      <x:c r="Q50" s="26"/>
      <x:c r="R50" s="19"/>
      <x:c r="S50" s="26"/>
      <x:c r="T50" s="19"/>
      <x:c r="U50" s="19"/>
    </x:row>
    <x:row r="51">
      <x:c r="A51" s="19"/>
      <x:c r="B51" s="19"/>
      <x:c r="C51" s="19"/>
      <x:c r="D51" s="19"/>
      <x:c r="E51" s="26"/>
      <x:c r="F51" s="19"/>
      <x:c r="G51" s="19"/>
      <x:c r="H51" s="19"/>
      <x:c r="I51" s="27"/>
      <x:c r="J51" s="26"/>
      <x:c r="K51" s="26"/>
      <x:c r="L51" s="19"/>
      <x:c r="M51" s="19"/>
      <x:c r="N51" s="19"/>
      <x:c r="O51" s="27"/>
      <x:c r="P51" s="19"/>
      <x:c r="Q51" s="26"/>
      <x:c r="R51" s="19"/>
      <x:c r="S51" s="26"/>
      <x:c r="T51" s="19"/>
      <x:c r="U51" s="19"/>
    </x:row>
    <x:row r="52">
      <x:c r="A52" s="19"/>
      <x:c r="B52" s="19"/>
      <x:c r="C52" s="19"/>
      <x:c r="D52" s="19"/>
      <x:c r="E52" s="26"/>
      <x:c r="F52" s="19"/>
      <x:c r="G52" s="19"/>
      <x:c r="H52" s="19"/>
      <x:c r="I52" s="27"/>
      <x:c r="J52" s="26"/>
      <x:c r="K52" s="26"/>
      <x:c r="L52" s="19"/>
      <x:c r="M52" s="19"/>
      <x:c r="N52" s="19"/>
      <x:c r="O52" s="27"/>
      <x:c r="P52" s="19"/>
      <x:c r="Q52" s="26"/>
      <x:c r="R52" s="19"/>
      <x:c r="S52" s="26"/>
      <x:c r="T52" s="19"/>
      <x:c r="U52" s="19"/>
    </x:row>
    <x:row r="53">
      <x:c r="A53" s="19"/>
      <x:c r="B53" s="19"/>
      <x:c r="C53" s="19"/>
      <x:c r="D53" s="19"/>
      <x:c r="E53" s="26"/>
      <x:c r="F53" s="19"/>
      <x:c r="G53" s="19"/>
      <x:c r="H53" s="19"/>
      <x:c r="I53" s="27"/>
      <x:c r="J53" s="26"/>
      <x:c r="K53" s="26"/>
      <x:c r="L53" s="19"/>
      <x:c r="M53" s="19"/>
      <x:c r="N53" s="19"/>
      <x:c r="O53" s="27"/>
      <x:c r="P53" s="19"/>
      <x:c r="Q53" s="26"/>
      <x:c r="R53" s="19"/>
      <x:c r="S53" s="26"/>
      <x:c r="T53" s="19"/>
      <x:c r="U53" s="19"/>
    </x:row>
    <x:row r="54">
      <x:c r="A54" s="19"/>
      <x:c r="B54" s="19"/>
      <x:c r="C54" s="19"/>
      <x:c r="D54" s="19"/>
      <x:c r="E54" s="26"/>
      <x:c r="F54" s="19"/>
      <x:c r="G54" s="19"/>
      <x:c r="H54" s="19"/>
      <x:c r="I54" s="27"/>
      <x:c r="J54" s="26"/>
      <x:c r="K54" s="26"/>
      <x:c r="L54" s="19"/>
      <x:c r="M54" s="19"/>
      <x:c r="N54" s="19"/>
      <x:c r="O54" s="27"/>
      <x:c r="P54" s="19"/>
      <x:c r="Q54" s="26"/>
      <x:c r="R54" s="19"/>
      <x:c r="S54" s="26"/>
      <x:c r="T54" s="19"/>
      <x:c r="U54" s="19"/>
    </x:row>
    <x:row r="55">
      <x:c r="A55" s="19"/>
      <x:c r="B55" s="19"/>
      <x:c r="C55" s="19"/>
      <x:c r="D55" s="19"/>
      <x:c r="E55" s="26"/>
      <x:c r="F55" s="19"/>
      <x:c r="G55" s="19"/>
      <x:c r="H55" s="19"/>
      <x:c r="I55" s="27"/>
      <x:c r="J55" s="26"/>
      <x:c r="K55" s="26"/>
      <x:c r="L55" s="19"/>
      <x:c r="M55" s="19"/>
      <x:c r="N55" s="19"/>
      <x:c r="O55" s="27"/>
      <x:c r="P55" s="19"/>
      <x:c r="Q55" s="26"/>
      <x:c r="R55" s="19"/>
      <x:c r="S55" s="26"/>
      <x:c r="T55" s="19"/>
      <x:c r="U55" s="19"/>
    </x:row>
    <x:row r="56">
      <x:c r="A56" s="19"/>
      <x:c r="B56" s="19"/>
      <x:c r="C56" s="19"/>
      <x:c r="D56" s="19"/>
      <x:c r="E56" s="26"/>
      <x:c r="F56" s="19"/>
      <x:c r="G56" s="19"/>
      <x:c r="H56" s="19"/>
      <x:c r="I56" s="27"/>
      <x:c r="J56" s="26"/>
      <x:c r="K56" s="26"/>
      <x:c r="L56" s="19"/>
      <x:c r="M56" s="19"/>
      <x:c r="N56" s="19"/>
      <x:c r="O56" s="27"/>
      <x:c r="P56" s="19"/>
      <x:c r="Q56" s="26"/>
      <x:c r="R56" s="19"/>
      <x:c r="S56" s="26"/>
      <x:c r="T56" s="19"/>
      <x:c r="U56" s="19"/>
    </x:row>
    <x:row r="57">
      <x:c r="A57" s="19"/>
      <x:c r="B57" s="19"/>
      <x:c r="C57" s="19"/>
      <x:c r="D57" s="19"/>
      <x:c r="E57" s="26"/>
      <x:c r="F57" s="19"/>
      <x:c r="G57" s="19"/>
      <x:c r="H57" s="19"/>
      <x:c r="I57" s="27"/>
      <x:c r="J57" s="26"/>
      <x:c r="K57" s="26"/>
      <x:c r="L57" s="19"/>
      <x:c r="M57" s="19"/>
      <x:c r="N57" s="19"/>
      <x:c r="O57" s="27"/>
      <x:c r="P57" s="19"/>
      <x:c r="Q57" s="26"/>
      <x:c r="R57" s="19"/>
      <x:c r="S57" s="26"/>
      <x:c r="T57" s="19"/>
      <x:c r="U57" s="19"/>
    </x:row>
    <x:row r="58">
      <x:c r="A58" s="19"/>
      <x:c r="B58" s="19"/>
      <x:c r="C58" s="19"/>
      <x:c r="D58" s="19"/>
      <x:c r="E58" s="26"/>
      <x:c r="F58" s="19"/>
      <x:c r="G58" s="19"/>
      <x:c r="H58" s="19"/>
      <x:c r="I58" s="27"/>
      <x:c r="J58" s="26"/>
      <x:c r="K58" s="26"/>
      <x:c r="L58" s="19"/>
      <x:c r="M58" s="19"/>
      <x:c r="N58" s="19"/>
      <x:c r="O58" s="27"/>
      <x:c r="P58" s="19"/>
      <x:c r="Q58" s="26"/>
      <x:c r="R58" s="19"/>
      <x:c r="S58" s="26"/>
      <x:c r="T58" s="19"/>
      <x:c r="U58" s="19"/>
    </x:row>
    <x:row r="59">
      <x:c r="A59" s="19"/>
      <x:c r="B59" s="19"/>
      <x:c r="C59" s="19"/>
      <x:c r="D59" s="19"/>
      <x:c r="E59" s="26"/>
      <x:c r="F59" s="19"/>
      <x:c r="G59" s="19"/>
      <x:c r="H59" s="19"/>
      <x:c r="I59" s="27"/>
      <x:c r="J59" s="26"/>
      <x:c r="K59" s="26"/>
      <x:c r="L59" s="19"/>
      <x:c r="M59" s="19"/>
      <x:c r="N59" s="19"/>
      <x:c r="O59" s="27"/>
      <x:c r="P59" s="19"/>
      <x:c r="Q59" s="26"/>
      <x:c r="R59" s="19"/>
      <x:c r="S59" s="26"/>
      <x:c r="T59" s="19"/>
      <x:c r="U59" s="19"/>
    </x:row>
    <x:row r="60">
      <x:c r="A60" s="19"/>
      <x:c r="B60" s="19"/>
      <x:c r="C60" s="19"/>
      <x:c r="D60" s="19"/>
      <x:c r="E60" s="26"/>
      <x:c r="F60" s="19"/>
      <x:c r="G60" s="19"/>
      <x:c r="H60" s="19"/>
      <x:c r="I60" s="27"/>
      <x:c r="J60" s="26"/>
      <x:c r="K60" s="26"/>
      <x:c r="L60" s="19"/>
      <x:c r="M60" s="19"/>
      <x:c r="N60" s="19"/>
      <x:c r="O60" s="27"/>
      <x:c r="P60" s="19"/>
      <x:c r="Q60" s="26"/>
      <x:c r="R60" s="19"/>
      <x:c r="S60" s="26"/>
      <x:c r="T60" s="19"/>
      <x:c r="U60" s="19"/>
    </x:row>
    <x:row r="61">
      <x:c r="A61" s="19"/>
      <x:c r="B61" s="19"/>
      <x:c r="C61" s="19"/>
      <x:c r="D61" s="19"/>
      <x:c r="E61" s="26"/>
      <x:c r="F61" s="19"/>
      <x:c r="G61" s="19"/>
      <x:c r="H61" s="19"/>
      <x:c r="I61" s="27"/>
      <x:c r="J61" s="26"/>
      <x:c r="K61" s="26"/>
      <x:c r="L61" s="19"/>
      <x:c r="M61" s="19"/>
      <x:c r="N61" s="19"/>
      <x:c r="O61" s="27"/>
      <x:c r="P61" s="19"/>
      <x:c r="Q61" s="26"/>
      <x:c r="R61" s="19"/>
      <x:c r="S61" s="26"/>
      <x:c r="T61" s="19"/>
      <x:c r="U61" s="19"/>
    </x:row>
    <x:row r="62">
      <x:c r="A62" s="19"/>
      <x:c r="B62" s="19"/>
      <x:c r="C62" s="19"/>
      <x:c r="D62" s="19"/>
      <x:c r="E62" s="26"/>
      <x:c r="F62" s="19"/>
      <x:c r="G62" s="19"/>
      <x:c r="H62" s="19"/>
      <x:c r="I62" s="27"/>
      <x:c r="J62" s="26"/>
      <x:c r="K62" s="26"/>
      <x:c r="L62" s="19"/>
      <x:c r="M62" s="19"/>
      <x:c r="N62" s="19"/>
      <x:c r="O62" s="27"/>
      <x:c r="P62" s="19"/>
      <x:c r="Q62" s="26"/>
      <x:c r="R62" s="19"/>
      <x:c r="S62" s="26"/>
      <x:c r="T62" s="19"/>
      <x:c r="U62" s="19"/>
    </x:row>
    <x:row r="63">
      <x:c r="A63" s="19"/>
      <x:c r="B63" s="19"/>
      <x:c r="C63" s="19"/>
      <x:c r="D63" s="19"/>
      <x:c r="E63" s="26"/>
      <x:c r="F63" s="19"/>
      <x:c r="G63" s="19"/>
      <x:c r="H63" s="19"/>
      <x:c r="I63" s="27"/>
      <x:c r="J63" s="26"/>
      <x:c r="K63" s="26"/>
      <x:c r="L63" s="19"/>
      <x:c r="M63" s="19"/>
      <x:c r="N63" s="19"/>
      <x:c r="O63" s="27"/>
      <x:c r="P63" s="19"/>
      <x:c r="Q63" s="26"/>
      <x:c r="R63" s="19"/>
      <x:c r="S63" s="26"/>
      <x:c r="T63" s="19"/>
      <x:c r="U63" s="19"/>
    </x:row>
    <x:row r="64">
      <x:c r="A64" s="19"/>
      <x:c r="B64" s="19"/>
      <x:c r="C64" s="19"/>
      <x:c r="D64" s="19"/>
      <x:c r="E64" s="26"/>
      <x:c r="F64" s="19"/>
      <x:c r="G64" s="19"/>
      <x:c r="H64" s="19"/>
      <x:c r="I64" s="27"/>
      <x:c r="J64" s="26"/>
      <x:c r="K64" s="26"/>
      <x:c r="L64" s="19"/>
      <x:c r="M64" s="19"/>
      <x:c r="N64" s="19"/>
      <x:c r="O64" s="27"/>
      <x:c r="P64" s="19"/>
      <x:c r="Q64" s="26"/>
      <x:c r="R64" s="19"/>
      <x:c r="S64" s="26"/>
      <x:c r="T64" s="19"/>
      <x:c r="U64" s="19"/>
    </x:row>
    <x:row r="65">
      <x:c r="A65" s="19"/>
      <x:c r="B65" s="19"/>
      <x:c r="C65" s="19"/>
      <x:c r="D65" s="19"/>
      <x:c r="E65" s="26"/>
      <x:c r="F65" s="19"/>
      <x:c r="G65" s="19"/>
      <x:c r="H65" s="19"/>
      <x:c r="I65" s="27"/>
      <x:c r="J65" s="26"/>
      <x:c r="K65" s="26"/>
      <x:c r="L65" s="19"/>
      <x:c r="M65" s="19"/>
      <x:c r="N65" s="19"/>
      <x:c r="O65" s="27"/>
      <x:c r="P65" s="19"/>
      <x:c r="Q65" s="26"/>
      <x:c r="R65" s="19"/>
      <x:c r="S65" s="26"/>
      <x:c r="T65" s="19"/>
      <x:c r="U65" s="19"/>
    </x:row>
    <x:row r="66">
      <x:c r="A66" s="19"/>
      <x:c r="B66" s="19"/>
      <x:c r="C66" s="19"/>
      <x:c r="D66" s="19"/>
      <x:c r="E66" s="26"/>
      <x:c r="F66" s="19"/>
      <x:c r="G66" s="19"/>
      <x:c r="H66" s="19"/>
      <x:c r="I66" s="27"/>
      <x:c r="J66" s="26"/>
      <x:c r="K66" s="26"/>
      <x:c r="L66" s="19"/>
      <x:c r="M66" s="19"/>
      <x:c r="N66" s="19"/>
      <x:c r="O66" s="27"/>
      <x:c r="P66" s="19"/>
      <x:c r="Q66" s="26"/>
      <x:c r="R66" s="19"/>
      <x:c r="S66" s="26"/>
      <x:c r="T66" s="19"/>
      <x:c r="U66" s="19"/>
    </x:row>
    <x:row r="67">
      <x:c r="A67" s="19"/>
      <x:c r="B67" s="19"/>
      <x:c r="C67" s="19"/>
      <x:c r="D67" s="19"/>
      <x:c r="E67" s="26"/>
      <x:c r="F67" s="19"/>
      <x:c r="G67" s="19"/>
      <x:c r="H67" s="19"/>
      <x:c r="I67" s="27"/>
      <x:c r="J67" s="26"/>
      <x:c r="K67" s="26"/>
      <x:c r="L67" s="19"/>
      <x:c r="M67" s="19"/>
      <x:c r="N67" s="19"/>
      <x:c r="O67" s="27"/>
      <x:c r="P67" s="19"/>
      <x:c r="Q67" s="26"/>
      <x:c r="R67" s="19"/>
      <x:c r="S67" s="26"/>
      <x:c r="T67" s="19"/>
      <x:c r="U67" s="19"/>
    </x:row>
    <x:row r="68">
      <x:c r="A68" s="19"/>
      <x:c r="B68" s="19"/>
      <x:c r="C68" s="19"/>
      <x:c r="D68" s="19"/>
      <x:c r="E68" s="26"/>
      <x:c r="F68" s="19"/>
      <x:c r="G68" s="19"/>
      <x:c r="H68" s="19"/>
      <x:c r="I68" s="27"/>
      <x:c r="J68" s="26"/>
      <x:c r="K68" s="26"/>
      <x:c r="L68" s="19"/>
      <x:c r="M68" s="19"/>
      <x:c r="N68" s="19"/>
      <x:c r="O68" s="27"/>
      <x:c r="P68" s="19"/>
      <x:c r="Q68" s="26"/>
      <x:c r="R68" s="19"/>
      <x:c r="S68" s="26"/>
      <x:c r="T68" s="19"/>
      <x:c r="U68" s="19"/>
    </x:row>
    <x:row r="69">
      <x:c r="A69" s="19"/>
      <x:c r="B69" s="19"/>
      <x:c r="C69" s="19"/>
      <x:c r="D69" s="19"/>
      <x:c r="E69" s="26"/>
      <x:c r="F69" s="19"/>
      <x:c r="G69" s="19"/>
      <x:c r="H69" s="19"/>
      <x:c r="I69" s="27"/>
      <x:c r="J69" s="26"/>
      <x:c r="K69" s="26"/>
      <x:c r="L69" s="19"/>
      <x:c r="M69" s="19"/>
      <x:c r="N69" s="19"/>
      <x:c r="O69" s="27"/>
      <x:c r="P69" s="19"/>
      <x:c r="Q69" s="26"/>
      <x:c r="R69" s="19"/>
      <x:c r="S69" s="26"/>
      <x:c r="T69" s="19"/>
      <x:c r="U69" s="19"/>
    </x:row>
    <x:row r="70">
      <x:c r="A70" s="19"/>
      <x:c r="B70" s="19"/>
      <x:c r="C70" s="19"/>
      <x:c r="D70" s="19"/>
      <x:c r="E70" s="26"/>
      <x:c r="F70" s="19"/>
      <x:c r="G70" s="19"/>
      <x:c r="H70" s="19"/>
      <x:c r="I70" s="27"/>
      <x:c r="J70" s="26"/>
      <x:c r="K70" s="26"/>
      <x:c r="L70" s="19"/>
      <x:c r="M70" s="19"/>
      <x:c r="N70" s="19"/>
      <x:c r="O70" s="27"/>
      <x:c r="P70" s="19"/>
      <x:c r="Q70" s="26"/>
      <x:c r="R70" s="19"/>
      <x:c r="S70" s="26"/>
      <x:c r="T70" s="19"/>
      <x:c r="U70" s="19"/>
    </x:row>
    <x:row r="71">
      <x:c r="A71" s="19"/>
      <x:c r="B71" s="19"/>
      <x:c r="C71" s="19"/>
      <x:c r="D71" s="19"/>
      <x:c r="E71" s="26"/>
      <x:c r="F71" s="19"/>
      <x:c r="G71" s="19"/>
      <x:c r="H71" s="19"/>
      <x:c r="I71" s="27"/>
      <x:c r="J71" s="26"/>
      <x:c r="K71" s="26"/>
      <x:c r="L71" s="19"/>
      <x:c r="M71" s="19"/>
      <x:c r="N71" s="19"/>
      <x:c r="O71" s="27"/>
      <x:c r="P71" s="19"/>
      <x:c r="Q71" s="26"/>
      <x:c r="R71" s="19"/>
      <x:c r="S71" s="26"/>
      <x:c r="T71" s="19"/>
      <x:c r="U71" s="19"/>
    </x:row>
    <x:row r="72">
      <x:c r="A72" s="19"/>
      <x:c r="B72" s="19"/>
      <x:c r="C72" s="19"/>
      <x:c r="D72" s="19"/>
      <x:c r="E72" s="26"/>
      <x:c r="F72" s="19"/>
      <x:c r="G72" s="19"/>
      <x:c r="H72" s="19"/>
      <x:c r="I72" s="27"/>
      <x:c r="J72" s="26"/>
      <x:c r="K72" s="26"/>
      <x:c r="L72" s="19"/>
      <x:c r="M72" s="19"/>
      <x:c r="N72" s="19"/>
      <x:c r="O72" s="27"/>
      <x:c r="P72" s="19"/>
      <x:c r="Q72" s="26"/>
      <x:c r="R72" s="19"/>
      <x:c r="S72" s="26"/>
      <x:c r="T72" s="19"/>
      <x:c r="U72" s="19"/>
    </x:row>
    <x:row r="73">
      <x:c r="A73" s="19"/>
      <x:c r="B73" s="19"/>
      <x:c r="C73" s="19"/>
      <x:c r="D73" s="19"/>
      <x:c r="E73" s="26"/>
      <x:c r="F73" s="19"/>
      <x:c r="G73" s="19"/>
      <x:c r="H73" s="19"/>
      <x:c r="I73" s="27"/>
      <x:c r="J73" s="26"/>
      <x:c r="K73" s="26"/>
      <x:c r="L73" s="19"/>
      <x:c r="M73" s="19"/>
      <x:c r="N73" s="19"/>
      <x:c r="O73" s="27"/>
      <x:c r="P73" s="19"/>
      <x:c r="Q73" s="26"/>
      <x:c r="R73" s="19"/>
      <x:c r="S73" s="26"/>
      <x:c r="T73" s="19"/>
      <x:c r="U73" s="19"/>
    </x:row>
    <x:row r="74">
      <x:c r="A74" s="19"/>
      <x:c r="B74" s="19"/>
      <x:c r="C74" s="19"/>
      <x:c r="D74" s="19"/>
      <x:c r="E74" s="26"/>
      <x:c r="F74" s="19"/>
      <x:c r="G74" s="19"/>
      <x:c r="H74" s="19"/>
      <x:c r="I74" s="27"/>
      <x:c r="J74" s="26"/>
      <x:c r="K74" s="26"/>
      <x:c r="L74" s="19"/>
      <x:c r="M74" s="19"/>
      <x:c r="N74" s="19"/>
      <x:c r="O74" s="27"/>
      <x:c r="P74" s="19"/>
      <x:c r="Q74" s="26"/>
      <x:c r="R74" s="19"/>
      <x:c r="S74" s="26"/>
      <x:c r="T74" s="19"/>
      <x:c r="U74" s="19"/>
    </x:row>
    <x:row r="75">
      <x:c r="A75" s="19"/>
      <x:c r="B75" s="19"/>
      <x:c r="C75" s="19"/>
      <x:c r="D75" s="19"/>
      <x:c r="E75" s="26"/>
      <x:c r="F75" s="19"/>
      <x:c r="G75" s="19"/>
      <x:c r="H75" s="19"/>
      <x:c r="I75" s="27"/>
      <x:c r="J75" s="26"/>
      <x:c r="K75" s="26"/>
      <x:c r="L75" s="19"/>
      <x:c r="M75" s="19"/>
      <x:c r="N75" s="19"/>
      <x:c r="O75" s="27"/>
      <x:c r="P75" s="19"/>
      <x:c r="Q75" s="26"/>
      <x:c r="R75" s="19"/>
      <x:c r="S75" s="26"/>
      <x:c r="T75" s="19"/>
      <x:c r="U75" s="19"/>
    </x:row>
    <x:row r="76">
      <x:c r="A76" s="19"/>
      <x:c r="B76" s="19"/>
      <x:c r="C76" s="19"/>
      <x:c r="D76" s="19"/>
      <x:c r="E76" s="26"/>
      <x:c r="F76" s="19"/>
      <x:c r="G76" s="19"/>
      <x:c r="H76" s="19"/>
      <x:c r="I76" s="27"/>
      <x:c r="J76" s="26"/>
      <x:c r="K76" s="26"/>
      <x:c r="L76" s="19"/>
      <x:c r="M76" s="19"/>
      <x:c r="N76" s="19"/>
      <x:c r="O76" s="27"/>
      <x:c r="P76" s="19"/>
      <x:c r="Q76" s="26"/>
      <x:c r="R76" s="19"/>
      <x:c r="S76" s="26"/>
      <x:c r="T76" s="19"/>
      <x:c r="U76" s="19"/>
    </x:row>
    <x:row r="77">
      <x:c r="A77" s="19"/>
      <x:c r="B77" s="19"/>
      <x:c r="C77" s="19"/>
      <x:c r="D77" s="19"/>
      <x:c r="E77" s="26"/>
      <x:c r="F77" s="19"/>
      <x:c r="G77" s="19"/>
      <x:c r="H77" s="19"/>
      <x:c r="I77" s="27"/>
      <x:c r="J77" s="26"/>
      <x:c r="K77" s="26"/>
      <x:c r="L77" s="19"/>
      <x:c r="M77" s="19"/>
      <x:c r="N77" s="19"/>
      <x:c r="O77" s="27"/>
      <x:c r="P77" s="19"/>
      <x:c r="Q77" s="26"/>
      <x:c r="R77" s="19"/>
      <x:c r="S77" s="26"/>
      <x:c r="T77" s="19"/>
      <x:c r="U77" s="19"/>
    </x:row>
    <x:row r="78">
      <x:c r="A78" s="19"/>
      <x:c r="B78" s="19"/>
      <x:c r="C78" s="19"/>
      <x:c r="D78" s="19"/>
      <x:c r="E78" s="26"/>
      <x:c r="F78" s="19"/>
      <x:c r="G78" s="19"/>
      <x:c r="H78" s="19"/>
      <x:c r="I78" s="27"/>
      <x:c r="J78" s="26"/>
      <x:c r="K78" s="26"/>
      <x:c r="L78" s="19"/>
      <x:c r="M78" s="19"/>
      <x:c r="N78" s="19"/>
      <x:c r="O78" s="27"/>
      <x:c r="P78" s="19"/>
      <x:c r="Q78" s="26"/>
      <x:c r="R78" s="19"/>
      <x:c r="S78" s="26"/>
      <x:c r="T78" s="19"/>
      <x:c r="U78" s="19"/>
    </x:row>
    <x:row r="79">
      <x:c r="A79" s="19"/>
      <x:c r="B79" s="19"/>
      <x:c r="C79" s="19"/>
      <x:c r="D79" s="19"/>
      <x:c r="E79" s="26"/>
      <x:c r="F79" s="19"/>
      <x:c r="G79" s="19"/>
      <x:c r="H79" s="19"/>
      <x:c r="I79" s="27"/>
      <x:c r="J79" s="26"/>
      <x:c r="K79" s="26"/>
      <x:c r="L79" s="19"/>
      <x:c r="M79" s="19"/>
      <x:c r="N79" s="19"/>
      <x:c r="O79" s="27"/>
      <x:c r="P79" s="19"/>
      <x:c r="Q79" s="26"/>
      <x:c r="R79" s="19"/>
      <x:c r="S79" s="26"/>
      <x:c r="T79" s="19"/>
      <x:c r="U79" s="19"/>
    </x:row>
    <x:row r="80">
      <x:c r="A80" s="19"/>
      <x:c r="B80" s="19"/>
      <x:c r="C80" s="19"/>
      <x:c r="D80" s="19"/>
      <x:c r="E80" s="26"/>
      <x:c r="F80" s="19"/>
      <x:c r="G80" s="19"/>
      <x:c r="H80" s="19"/>
      <x:c r="I80" s="27"/>
      <x:c r="J80" s="26"/>
      <x:c r="K80" s="26"/>
      <x:c r="L80" s="19"/>
      <x:c r="M80" s="19"/>
      <x:c r="N80" s="19"/>
      <x:c r="O80" s="27"/>
      <x:c r="P80" s="19"/>
      <x:c r="Q80" s="26"/>
      <x:c r="R80" s="19"/>
      <x:c r="S80" s="26"/>
      <x:c r="T80" s="19"/>
      <x:c r="U80" s="19"/>
    </x:row>
    <x:row r="81">
      <x:c r="A81" s="19"/>
      <x:c r="B81" s="19"/>
      <x:c r="C81" s="19"/>
      <x:c r="D81" s="19"/>
      <x:c r="E81" s="26"/>
      <x:c r="F81" s="19"/>
      <x:c r="G81" s="19"/>
      <x:c r="H81" s="19"/>
      <x:c r="I81" s="27"/>
      <x:c r="J81" s="26"/>
      <x:c r="K81" s="26"/>
      <x:c r="L81" s="19"/>
      <x:c r="M81" s="19"/>
      <x:c r="N81" s="19"/>
      <x:c r="O81" s="27"/>
      <x:c r="P81" s="19"/>
      <x:c r="Q81" s="26"/>
      <x:c r="R81" s="19"/>
      <x:c r="S81" s="26"/>
      <x:c r="T81" s="19"/>
      <x:c r="U81" s="19"/>
    </x:row>
    <x:row r="82">
      <x:c r="A82" s="19"/>
      <x:c r="B82" s="19"/>
      <x:c r="C82" s="19"/>
      <x:c r="D82" s="19"/>
      <x:c r="E82" s="26"/>
      <x:c r="F82" s="19"/>
      <x:c r="G82" s="19"/>
      <x:c r="H82" s="19"/>
      <x:c r="I82" s="27"/>
      <x:c r="J82" s="26"/>
      <x:c r="K82" s="26"/>
      <x:c r="L82" s="19"/>
      <x:c r="M82" s="19"/>
      <x:c r="N82" s="19"/>
      <x:c r="O82" s="27"/>
      <x:c r="P82" s="19"/>
      <x:c r="Q82" s="26"/>
      <x:c r="R82" s="19"/>
      <x:c r="S82" s="26"/>
      <x:c r="T82" s="19"/>
      <x:c r="U82" s="19"/>
    </x:row>
    <x:row r="83">
      <x:c r="A83" s="19"/>
      <x:c r="B83" s="19"/>
      <x:c r="C83" s="19"/>
      <x:c r="D83" s="19"/>
      <x:c r="E83" s="26"/>
      <x:c r="F83" s="19"/>
      <x:c r="G83" s="19"/>
      <x:c r="H83" s="19"/>
      <x:c r="I83" s="27"/>
      <x:c r="J83" s="26"/>
      <x:c r="K83" s="26"/>
      <x:c r="L83" s="19"/>
      <x:c r="M83" s="19"/>
      <x:c r="N83" s="19"/>
      <x:c r="O83" s="27"/>
      <x:c r="P83" s="19"/>
      <x:c r="Q83" s="26"/>
      <x:c r="R83" s="19"/>
      <x:c r="S83" s="26"/>
      <x:c r="T83" s="19"/>
      <x:c r="U83" s="19"/>
    </x:row>
    <x:row r="84">
      <x:c r="A84" s="19"/>
      <x:c r="B84" s="19"/>
      <x:c r="C84" s="19"/>
      <x:c r="D84" s="19"/>
      <x:c r="E84" s="26"/>
      <x:c r="F84" s="19"/>
      <x:c r="G84" s="19"/>
      <x:c r="H84" s="19"/>
      <x:c r="I84" s="27"/>
      <x:c r="J84" s="26"/>
      <x:c r="K84" s="26"/>
      <x:c r="L84" s="19"/>
      <x:c r="M84" s="19"/>
      <x:c r="N84" s="19"/>
      <x:c r="O84" s="27"/>
      <x:c r="P84" s="19"/>
      <x:c r="Q84" s="26"/>
      <x:c r="R84" s="19"/>
      <x:c r="S84" s="26"/>
      <x:c r="T84" s="19"/>
      <x:c r="U84" s="19"/>
    </x:row>
    <x:row r="85">
      <x:c r="A85" s="19"/>
      <x:c r="B85" s="19"/>
      <x:c r="C85" s="19"/>
      <x:c r="D85" s="19"/>
      <x:c r="E85" s="26"/>
      <x:c r="F85" s="19"/>
      <x:c r="G85" s="19"/>
      <x:c r="H85" s="19"/>
      <x:c r="I85" s="27"/>
      <x:c r="J85" s="26"/>
      <x:c r="K85" s="26"/>
      <x:c r="L85" s="19"/>
      <x:c r="M85" s="19"/>
      <x:c r="N85" s="19"/>
      <x:c r="O85" s="27"/>
      <x:c r="P85" s="19"/>
      <x:c r="Q85" s="26"/>
      <x:c r="R85" s="19"/>
      <x:c r="S85" s="26"/>
      <x:c r="T85" s="19"/>
      <x:c r="U85" s="19"/>
    </x:row>
    <x:row r="86">
      <x:c r="A86" s="19"/>
      <x:c r="B86" s="19"/>
      <x:c r="C86" s="19"/>
      <x:c r="D86" s="19"/>
      <x:c r="E86" s="26"/>
      <x:c r="F86" s="19"/>
      <x:c r="G86" s="19"/>
      <x:c r="H86" s="19"/>
      <x:c r="I86" s="27"/>
      <x:c r="J86" s="26"/>
      <x:c r="K86" s="26"/>
      <x:c r="L86" s="19"/>
      <x:c r="M86" s="19"/>
      <x:c r="N86" s="19"/>
      <x:c r="O86" s="27"/>
      <x:c r="P86" s="19"/>
      <x:c r="Q86" s="26"/>
      <x:c r="R86" s="19"/>
      <x:c r="S86" s="26"/>
      <x:c r="T86" s="19"/>
      <x:c r="U86" s="19"/>
    </x:row>
    <x:row r="87">
      <x:c r="A87" s="19"/>
      <x:c r="B87" s="19"/>
      <x:c r="C87" s="19"/>
      <x:c r="D87" s="19"/>
      <x:c r="E87" s="26"/>
      <x:c r="F87" s="19"/>
      <x:c r="G87" s="19"/>
      <x:c r="H87" s="19"/>
      <x:c r="I87" s="27"/>
      <x:c r="J87" s="26"/>
      <x:c r="K87" s="26"/>
      <x:c r="L87" s="19"/>
      <x:c r="M87" s="19"/>
      <x:c r="N87" s="19"/>
      <x:c r="O87" s="27"/>
      <x:c r="P87" s="19"/>
      <x:c r="Q87" s="26"/>
      <x:c r="R87" s="19"/>
      <x:c r="S87" s="26"/>
      <x:c r="T87" s="19"/>
      <x:c r="U87" s="19"/>
    </x:row>
    <x:row r="88">
      <x:c r="A88" s="19"/>
      <x:c r="B88" s="19"/>
      <x:c r="C88" s="19"/>
      <x:c r="D88" s="19"/>
      <x:c r="E88" s="26"/>
      <x:c r="F88" s="19"/>
      <x:c r="G88" s="19"/>
      <x:c r="H88" s="19"/>
      <x:c r="I88" s="27"/>
      <x:c r="J88" s="26"/>
      <x:c r="K88" s="26"/>
      <x:c r="L88" s="19"/>
      <x:c r="M88" s="19"/>
      <x:c r="N88" s="19"/>
      <x:c r="O88" s="27"/>
      <x:c r="P88" s="19"/>
      <x:c r="Q88" s="26"/>
      <x:c r="R88" s="19"/>
      <x:c r="S88" s="26"/>
      <x:c r="T88" s="19"/>
      <x:c r="U88" s="19"/>
    </x:row>
    <x:row r="89">
      <x:c r="A89" s="19"/>
      <x:c r="B89" s="19"/>
      <x:c r="C89" s="19"/>
      <x:c r="D89" s="19"/>
      <x:c r="E89" s="26"/>
      <x:c r="F89" s="19"/>
      <x:c r="G89" s="19"/>
      <x:c r="H89" s="19"/>
      <x:c r="I89" s="27"/>
      <x:c r="J89" s="26"/>
      <x:c r="K89" s="26"/>
      <x:c r="L89" s="19"/>
      <x:c r="M89" s="19"/>
      <x:c r="N89" s="19"/>
      <x:c r="O89" s="27"/>
      <x:c r="P89" s="19"/>
      <x:c r="Q89" s="26"/>
      <x:c r="R89" s="19"/>
      <x:c r="S89" s="26"/>
      <x:c r="T89" s="19"/>
      <x:c r="U89" s="19"/>
    </x:row>
    <x:row r="90">
      <x:c r="A90" s="19"/>
      <x:c r="B90" s="19"/>
      <x:c r="C90" s="19"/>
      <x:c r="D90" s="19"/>
      <x:c r="E90" s="26"/>
      <x:c r="F90" s="19"/>
      <x:c r="G90" s="19"/>
      <x:c r="H90" s="19"/>
      <x:c r="I90" s="27"/>
      <x:c r="J90" s="26"/>
      <x:c r="K90" s="26"/>
      <x:c r="L90" s="19"/>
      <x:c r="M90" s="19"/>
      <x:c r="N90" s="19"/>
      <x:c r="O90" s="27"/>
      <x:c r="P90" s="19"/>
      <x:c r="Q90" s="26"/>
      <x:c r="R90" s="19"/>
      <x:c r="S90" s="26"/>
      <x:c r="T90" s="19"/>
      <x:c r="U90" s="19"/>
    </x:row>
    <x:row r="91">
      <x:c r="A91" s="19"/>
      <x:c r="B91" s="19"/>
      <x:c r="C91" s="19"/>
      <x:c r="D91" s="19"/>
      <x:c r="E91" s="26"/>
      <x:c r="F91" s="19"/>
      <x:c r="G91" s="19"/>
      <x:c r="H91" s="19"/>
      <x:c r="I91" s="27"/>
      <x:c r="J91" s="26"/>
      <x:c r="K91" s="26"/>
      <x:c r="L91" s="19"/>
      <x:c r="M91" s="19"/>
      <x:c r="N91" s="19"/>
      <x:c r="O91" s="27"/>
      <x:c r="P91" s="19"/>
      <x:c r="Q91" s="26"/>
      <x:c r="R91" s="19"/>
      <x:c r="S91" s="26"/>
      <x:c r="T91" s="19"/>
      <x:c r="U91" s="19"/>
    </x:row>
    <x:row r="92">
      <x:c r="A92" s="19"/>
      <x:c r="B92" s="19"/>
      <x:c r="C92" s="19"/>
      <x:c r="D92" s="19"/>
      <x:c r="E92" s="26"/>
      <x:c r="F92" s="19"/>
      <x:c r="G92" s="19"/>
      <x:c r="H92" s="19"/>
      <x:c r="I92" s="27"/>
      <x:c r="J92" s="26"/>
      <x:c r="K92" s="26"/>
      <x:c r="L92" s="19"/>
      <x:c r="M92" s="19"/>
      <x:c r="N92" s="19"/>
      <x:c r="O92" s="27"/>
      <x:c r="P92" s="19"/>
      <x:c r="Q92" s="26"/>
      <x:c r="R92" s="19"/>
      <x:c r="S92" s="26"/>
      <x:c r="T92" s="19"/>
      <x:c r="U92" s="19"/>
    </x:row>
    <x:row r="93">
      <x:c r="A93" s="19"/>
      <x:c r="B93" s="19"/>
      <x:c r="C93" s="19"/>
      <x:c r="D93" s="19"/>
      <x:c r="E93" s="26"/>
      <x:c r="F93" s="19"/>
      <x:c r="G93" s="19"/>
      <x:c r="H93" s="19"/>
      <x:c r="I93" s="27"/>
      <x:c r="J93" s="26"/>
      <x:c r="K93" s="26"/>
      <x:c r="L93" s="19"/>
      <x:c r="M93" s="19"/>
      <x:c r="N93" s="19"/>
      <x:c r="O93" s="27"/>
      <x:c r="P93" s="19"/>
      <x:c r="Q93" s="26"/>
      <x:c r="R93" s="19"/>
      <x:c r="S93" s="26"/>
      <x:c r="T93" s="19"/>
      <x:c r="U93" s="19"/>
    </x:row>
    <x:row r="94">
      <x:c r="A94" s="19"/>
      <x:c r="B94" s="19"/>
      <x:c r="C94" s="19"/>
      <x:c r="D94" s="19"/>
      <x:c r="E94" s="26"/>
      <x:c r="F94" s="19"/>
      <x:c r="G94" s="19"/>
      <x:c r="H94" s="19"/>
      <x:c r="I94" s="27"/>
      <x:c r="J94" s="26"/>
      <x:c r="K94" s="26"/>
      <x:c r="L94" s="19"/>
      <x:c r="M94" s="19"/>
      <x:c r="N94" s="19"/>
      <x:c r="O94" s="27"/>
      <x:c r="P94" s="19"/>
      <x:c r="Q94" s="26"/>
      <x:c r="R94" s="19"/>
      <x:c r="S94" s="26"/>
      <x:c r="T94" s="19"/>
      <x:c r="U94" s="19"/>
    </x:row>
    <x:row r="95">
      <x:c r="A95" s="19"/>
      <x:c r="B95" s="19"/>
      <x:c r="C95" s="19"/>
      <x:c r="D95" s="19"/>
      <x:c r="E95" s="26"/>
      <x:c r="F95" s="19"/>
      <x:c r="G95" s="19"/>
      <x:c r="H95" s="19"/>
      <x:c r="I95" s="27"/>
      <x:c r="J95" s="26"/>
      <x:c r="K95" s="26"/>
      <x:c r="L95" s="19"/>
      <x:c r="M95" s="19"/>
      <x:c r="N95" s="19"/>
      <x:c r="O95" s="27"/>
      <x:c r="P95" s="19"/>
      <x:c r="Q95" s="26"/>
      <x:c r="R95" s="19"/>
      <x:c r="S95" s="26"/>
      <x:c r="T95" s="19"/>
      <x:c r="U95" s="19"/>
    </x:row>
    <x:row r="96">
      <x:c r="A96" s="19"/>
      <x:c r="B96" s="19"/>
      <x:c r="C96" s="19"/>
      <x:c r="D96" s="19"/>
      <x:c r="E96" s="26"/>
      <x:c r="F96" s="19"/>
      <x:c r="G96" s="19"/>
      <x:c r="H96" s="19"/>
      <x:c r="I96" s="27"/>
      <x:c r="J96" s="26"/>
      <x:c r="K96" s="26"/>
      <x:c r="L96" s="19"/>
      <x:c r="M96" s="19"/>
      <x:c r="N96" s="19"/>
      <x:c r="O96" s="27"/>
      <x:c r="P96" s="19"/>
      <x:c r="Q96" s="26"/>
      <x:c r="R96" s="19"/>
      <x:c r="S96" s="26"/>
      <x:c r="T96" s="19"/>
      <x:c r="U96" s="19"/>
    </x:row>
    <x:row r="97">
      <x:c r="A97" s="19"/>
      <x:c r="B97" s="19"/>
      <x:c r="C97" s="19"/>
      <x:c r="D97" s="19"/>
      <x:c r="E97" s="26"/>
      <x:c r="F97" s="19"/>
      <x:c r="G97" s="19"/>
      <x:c r="H97" s="19"/>
      <x:c r="I97" s="27"/>
      <x:c r="J97" s="26"/>
      <x:c r="K97" s="26"/>
      <x:c r="L97" s="19"/>
      <x:c r="M97" s="19"/>
      <x:c r="N97" s="19"/>
      <x:c r="O97" s="27"/>
      <x:c r="P97" s="19"/>
      <x:c r="Q97" s="26"/>
      <x:c r="R97" s="19"/>
      <x:c r="S97" s="26"/>
      <x:c r="T97" s="19"/>
      <x:c r="U97" s="19"/>
    </x:row>
    <x:row r="98">
      <x:c r="A98" s="19"/>
      <x:c r="B98" s="19"/>
      <x:c r="C98" s="19"/>
      <x:c r="D98" s="19"/>
      <x:c r="E98" s="26"/>
      <x:c r="F98" s="19"/>
      <x:c r="G98" s="19"/>
      <x:c r="H98" s="19"/>
      <x:c r="I98" s="27"/>
      <x:c r="J98" s="26"/>
      <x:c r="K98" s="26"/>
      <x:c r="L98" s="19"/>
      <x:c r="M98" s="19"/>
      <x:c r="N98" s="19"/>
      <x:c r="O98" s="27"/>
      <x:c r="P98" s="19"/>
      <x:c r="Q98" s="26"/>
      <x:c r="R98" s="19"/>
      <x:c r="S98" s="26"/>
      <x:c r="T98" s="19"/>
      <x:c r="U98" s="19"/>
    </x:row>
    <x:row r="99">
      <x:c r="A99" s="19"/>
      <x:c r="B99" s="19"/>
      <x:c r="C99" s="19"/>
      <x:c r="D99" s="19"/>
      <x:c r="E99" s="26"/>
      <x:c r="F99" s="19"/>
      <x:c r="G99" s="19"/>
      <x:c r="H99" s="19"/>
      <x:c r="I99" s="27"/>
      <x:c r="J99" s="26"/>
      <x:c r="K99" s="26"/>
      <x:c r="L99" s="19"/>
      <x:c r="M99" s="19"/>
      <x:c r="N99" s="19"/>
      <x:c r="O99" s="27"/>
      <x:c r="P99" s="19"/>
      <x:c r="Q99" s="26"/>
      <x:c r="R99" s="19"/>
      <x:c r="S99" s="26"/>
      <x:c r="T99" s="19"/>
      <x:c r="U99" s="19"/>
    </x:row>
    <x:row r="100">
      <x:c r="A100" s="19"/>
      <x:c r="B100" s="19"/>
      <x:c r="C100" s="19"/>
      <x:c r="D100" s="19"/>
      <x:c r="E100" s="26"/>
      <x:c r="F100" s="19"/>
      <x:c r="G100" s="19"/>
      <x:c r="H100" s="19"/>
      <x:c r="I100" s="27"/>
      <x:c r="J100" s="26"/>
      <x:c r="K100" s="26"/>
      <x:c r="L100" s="19"/>
      <x:c r="M100" s="19"/>
      <x:c r="N100" s="19"/>
      <x:c r="O100" s="27"/>
      <x:c r="P100" s="19"/>
      <x:c r="Q100" s="26"/>
      <x:c r="R100" s="19"/>
      <x:c r="S100" s="26"/>
      <x:c r="T100" s="19"/>
      <x:c r="U100" s="19"/>
    </x:row>
    <x:row r="101">
      <x:c r="A101" s="19"/>
      <x:c r="B101" s="19"/>
      <x:c r="C101" s="19"/>
      <x:c r="D101" s="19"/>
      <x:c r="E101" s="26"/>
      <x:c r="F101" s="19"/>
      <x:c r="G101" s="19"/>
      <x:c r="H101" s="19"/>
      <x:c r="I101" s="27"/>
      <x:c r="J101" s="26"/>
      <x:c r="K101" s="26"/>
      <x:c r="L101" s="19"/>
      <x:c r="M101" s="19"/>
      <x:c r="N101" s="19"/>
      <x:c r="O101" s="27"/>
      <x:c r="P101" s="19"/>
      <x:c r="Q101" s="26"/>
      <x:c r="R101" s="19"/>
      <x:c r="S101" s="26"/>
      <x:c r="T101" s="19"/>
      <x:c r="U101" s="19"/>
    </x:row>
    <x:row r="102">
      <x:c r="A102" s="19"/>
      <x:c r="B102" s="19"/>
      <x:c r="C102" s="19"/>
      <x:c r="D102" s="19"/>
      <x:c r="E102" s="26"/>
      <x:c r="F102" s="19"/>
      <x:c r="G102" s="19"/>
      <x:c r="H102" s="19"/>
      <x:c r="I102" s="27"/>
      <x:c r="J102" s="26"/>
      <x:c r="K102" s="26"/>
      <x:c r="L102" s="19"/>
      <x:c r="M102" s="19"/>
      <x:c r="N102" s="19"/>
      <x:c r="O102" s="27"/>
      <x:c r="P102" s="19"/>
      <x:c r="Q102" s="26"/>
      <x:c r="R102" s="19"/>
      <x:c r="S102" s="26"/>
      <x:c r="T102" s="19"/>
      <x:c r="U102" s="19"/>
    </x:row>
    <x:row r="103">
      <x:c r="A103" s="19"/>
      <x:c r="B103" s="19"/>
      <x:c r="C103" s="19"/>
      <x:c r="D103" s="19"/>
      <x:c r="E103" s="26"/>
      <x:c r="F103" s="19"/>
      <x:c r="G103" s="19"/>
      <x:c r="H103" s="19"/>
      <x:c r="I103" s="27"/>
      <x:c r="J103" s="26"/>
      <x:c r="K103" s="26"/>
      <x:c r="L103" s="19"/>
      <x:c r="M103" s="19"/>
      <x:c r="N103" s="19"/>
      <x:c r="O103" s="27"/>
      <x:c r="P103" s="19"/>
      <x:c r="Q103" s="26"/>
      <x:c r="R103" s="19"/>
      <x:c r="S103" s="26"/>
      <x:c r="T103" s="19"/>
      <x:c r="U103" s="19"/>
    </x:row>
    <x:row r="104">
      <x:c r="A104" s="19"/>
      <x:c r="B104" s="19"/>
      <x:c r="C104" s="19"/>
      <x:c r="D104" s="19"/>
      <x:c r="E104" s="26"/>
      <x:c r="F104" s="19"/>
      <x:c r="G104" s="19"/>
      <x:c r="H104" s="19"/>
      <x:c r="I104" s="27"/>
      <x:c r="J104" s="26"/>
      <x:c r="K104" s="26"/>
      <x:c r="L104" s="19"/>
      <x:c r="M104" s="19"/>
      <x:c r="N104" s="19"/>
      <x:c r="O104" s="27"/>
      <x:c r="P104" s="19"/>
      <x:c r="Q104" s="26"/>
      <x:c r="R104" s="19"/>
      <x:c r="S104" s="26"/>
      <x:c r="T104" s="19"/>
      <x:c r="U104" s="19"/>
    </x:row>
    <x:row r="105">
      <x:c r="A105" s="19"/>
      <x:c r="B105" s="19"/>
      <x:c r="C105" s="19"/>
      <x:c r="D105" s="19"/>
      <x:c r="E105" s="26"/>
      <x:c r="F105" s="19"/>
      <x:c r="G105" s="19"/>
      <x:c r="H105" s="19"/>
      <x:c r="I105" s="27"/>
      <x:c r="J105" s="26"/>
      <x:c r="K105" s="26"/>
      <x:c r="L105" s="19"/>
      <x:c r="M105" s="19"/>
      <x:c r="N105" s="19"/>
      <x:c r="O105" s="27"/>
      <x:c r="P105" s="19"/>
      <x:c r="Q105" s="26"/>
      <x:c r="R105" s="19"/>
      <x:c r="S105" s="26"/>
      <x:c r="T105" s="19"/>
      <x:c r="U105" s="19"/>
    </x:row>
    <x:row r="106">
      <x:c r="A106" s="19"/>
      <x:c r="B106" s="19"/>
      <x:c r="C106" s="19"/>
      <x:c r="D106" s="19"/>
      <x:c r="E106" s="26"/>
      <x:c r="F106" s="19"/>
      <x:c r="G106" s="19"/>
      <x:c r="H106" s="19"/>
      <x:c r="I106" s="27"/>
      <x:c r="J106" s="26"/>
      <x:c r="K106" s="26"/>
      <x:c r="L106" s="19"/>
      <x:c r="M106" s="19"/>
      <x:c r="N106" s="19"/>
      <x:c r="O106" s="27"/>
      <x:c r="P106" s="19"/>
      <x:c r="Q106" s="26"/>
      <x:c r="R106" s="19"/>
      <x:c r="S106" s="26"/>
      <x:c r="T106" s="19"/>
      <x:c r="U106" s="19"/>
    </x:row>
    <x:row r="107">
      <x:c r="A107" s="19"/>
      <x:c r="B107" s="19"/>
      <x:c r="C107" s="19"/>
      <x:c r="D107" s="19"/>
      <x:c r="E107" s="26"/>
      <x:c r="F107" s="19"/>
      <x:c r="G107" s="19"/>
      <x:c r="H107" s="19"/>
      <x:c r="I107" s="27"/>
      <x:c r="J107" s="26"/>
      <x:c r="K107" s="26"/>
      <x:c r="L107" s="19"/>
      <x:c r="M107" s="19"/>
      <x:c r="N107" s="19"/>
      <x:c r="O107" s="27"/>
      <x:c r="P107" s="19"/>
      <x:c r="Q107" s="26"/>
      <x:c r="R107" s="19"/>
      <x:c r="S107" s="26"/>
      <x:c r="T107" s="19"/>
      <x:c r="U107" s="19"/>
    </x:row>
    <x:row r="108">
      <x:c r="A108" s="19"/>
      <x:c r="B108" s="19"/>
      <x:c r="C108" s="19"/>
      <x:c r="D108" s="19"/>
      <x:c r="E108" s="26"/>
      <x:c r="F108" s="19"/>
      <x:c r="G108" s="19"/>
      <x:c r="H108" s="19"/>
      <x:c r="I108" s="27"/>
      <x:c r="J108" s="26"/>
      <x:c r="K108" s="26"/>
      <x:c r="L108" s="19"/>
      <x:c r="M108" s="19"/>
      <x:c r="N108" s="19"/>
      <x:c r="O108" s="27"/>
      <x:c r="P108" s="19"/>
      <x:c r="Q108" s="26"/>
      <x:c r="R108" s="19"/>
      <x:c r="S108" s="26"/>
      <x:c r="T108" s="19"/>
      <x:c r="U108" s="19"/>
    </x:row>
    <x:row r="109">
      <x:c r="A109" s="19"/>
      <x:c r="B109" s="19"/>
      <x:c r="C109" s="19"/>
      <x:c r="D109" s="19"/>
      <x:c r="E109" s="26"/>
      <x:c r="F109" s="19"/>
      <x:c r="G109" s="19"/>
      <x:c r="H109" s="19"/>
      <x:c r="I109" s="27"/>
      <x:c r="J109" s="26"/>
      <x:c r="K109" s="26"/>
      <x:c r="L109" s="19"/>
      <x:c r="M109" s="19"/>
      <x:c r="N109" s="19"/>
      <x:c r="O109" s="27"/>
      <x:c r="P109" s="19"/>
      <x:c r="Q109" s="26"/>
      <x:c r="R109" s="19"/>
      <x:c r="S109" s="26"/>
      <x:c r="T109" s="19"/>
      <x:c r="U109" s="19"/>
    </x:row>
    <x:row r="110">
      <x:c r="A110" s="19"/>
      <x:c r="B110" s="19"/>
      <x:c r="C110" s="19"/>
      <x:c r="D110" s="19"/>
      <x:c r="E110" s="26"/>
      <x:c r="F110" s="19"/>
      <x:c r="G110" s="19"/>
      <x:c r="H110" s="19"/>
      <x:c r="I110" s="27"/>
      <x:c r="J110" s="26"/>
      <x:c r="K110" s="26"/>
      <x:c r="L110" s="19"/>
      <x:c r="M110" s="19"/>
      <x:c r="N110" s="19"/>
      <x:c r="O110" s="27"/>
      <x:c r="P110" s="19"/>
      <x:c r="Q110" s="26"/>
      <x:c r="R110" s="19"/>
      <x:c r="S110" s="26"/>
      <x:c r="T110" s="19"/>
      <x:c r="U110" s="19"/>
    </x:row>
    <x:row r="111">
      <x:c r="A111" s="19"/>
      <x:c r="B111" s="19"/>
      <x:c r="C111" s="19"/>
      <x:c r="D111" s="19"/>
      <x:c r="E111" s="26"/>
      <x:c r="F111" s="19"/>
      <x:c r="G111" s="19"/>
      <x:c r="H111" s="19"/>
      <x:c r="I111" s="27"/>
      <x:c r="J111" s="26"/>
      <x:c r="K111" s="26"/>
      <x:c r="L111" s="19"/>
      <x:c r="M111" s="19"/>
      <x:c r="N111" s="19"/>
      <x:c r="O111" s="27"/>
      <x:c r="P111" s="19"/>
      <x:c r="Q111" s="26"/>
      <x:c r="R111" s="19"/>
      <x:c r="S111" s="26"/>
      <x:c r="T111" s="19"/>
      <x:c r="U111" s="19"/>
    </x:row>
    <x:row r="112">
      <x:c r="A112" s="19"/>
      <x:c r="B112" s="19"/>
      <x:c r="C112" s="19"/>
      <x:c r="D112" s="19"/>
      <x:c r="E112" s="26"/>
      <x:c r="F112" s="19"/>
      <x:c r="G112" s="19"/>
      <x:c r="H112" s="19"/>
      <x:c r="I112" s="27"/>
      <x:c r="J112" s="26"/>
      <x:c r="K112" s="26"/>
      <x:c r="L112" s="19"/>
      <x:c r="M112" s="19"/>
      <x:c r="N112" s="19"/>
      <x:c r="O112" s="27"/>
      <x:c r="P112" s="19"/>
      <x:c r="Q112" s="26"/>
      <x:c r="R112" s="19"/>
      <x:c r="S112" s="26"/>
      <x:c r="T112" s="19"/>
      <x:c r="U112" s="19"/>
    </x:row>
    <x:row r="113">
      <x:c r="A113" s="19"/>
      <x:c r="B113" s="19"/>
      <x:c r="C113" s="19"/>
      <x:c r="D113" s="19"/>
      <x:c r="E113" s="26"/>
      <x:c r="F113" s="19"/>
      <x:c r="G113" s="19"/>
      <x:c r="H113" s="19"/>
      <x:c r="I113" s="27"/>
      <x:c r="J113" s="26"/>
      <x:c r="K113" s="26"/>
      <x:c r="L113" s="19"/>
      <x:c r="M113" s="19"/>
      <x:c r="N113" s="19"/>
      <x:c r="O113" s="27"/>
      <x:c r="P113" s="19"/>
      <x:c r="Q113" s="26"/>
      <x:c r="R113" s="19"/>
      <x:c r="S113" s="26"/>
      <x:c r="T113" s="19"/>
      <x:c r="U113" s="19"/>
    </x:row>
    <x:row r="114">
      <x:c r="A114" s="19"/>
      <x:c r="B114" s="19"/>
      <x:c r="C114" s="19"/>
      <x:c r="D114" s="19"/>
      <x:c r="E114" s="26"/>
      <x:c r="F114" s="19"/>
      <x:c r="G114" s="19"/>
      <x:c r="H114" s="19"/>
      <x:c r="I114" s="27"/>
      <x:c r="J114" s="26"/>
      <x:c r="K114" s="26"/>
      <x:c r="L114" s="19"/>
      <x:c r="M114" s="19"/>
      <x:c r="N114" s="19"/>
      <x:c r="O114" s="27"/>
      <x:c r="P114" s="19"/>
      <x:c r="Q114" s="26"/>
      <x:c r="R114" s="19"/>
      <x:c r="S114" s="26"/>
      <x:c r="T114" s="19"/>
      <x:c r="U114" s="19"/>
    </x:row>
    <x:row r="115">
      <x:c r="A115" s="19"/>
      <x:c r="B115" s="19"/>
      <x:c r="C115" s="19"/>
      <x:c r="D115" s="19"/>
      <x:c r="E115" s="26"/>
      <x:c r="F115" s="19"/>
      <x:c r="G115" s="19"/>
      <x:c r="H115" s="19"/>
      <x:c r="I115" s="27"/>
      <x:c r="J115" s="26"/>
      <x:c r="K115" s="26"/>
      <x:c r="L115" s="19"/>
      <x:c r="M115" s="19"/>
      <x:c r="N115" s="19"/>
      <x:c r="O115" s="27"/>
      <x:c r="P115" s="19"/>
      <x:c r="Q115" s="26"/>
      <x:c r="R115" s="19"/>
      <x:c r="S115" s="26"/>
      <x:c r="T115" s="19"/>
      <x:c r="U115" s="19"/>
    </x:row>
    <x:row r="116">
      <x:c r="A116" s="19"/>
      <x:c r="B116" s="19"/>
      <x:c r="C116" s="19"/>
      <x:c r="D116" s="19"/>
      <x:c r="E116" s="26"/>
      <x:c r="F116" s="19"/>
      <x:c r="G116" s="19"/>
      <x:c r="H116" s="19"/>
      <x:c r="I116" s="27"/>
      <x:c r="J116" s="26"/>
      <x:c r="K116" s="26"/>
      <x:c r="L116" s="19"/>
      <x:c r="M116" s="19"/>
      <x:c r="N116" s="19"/>
      <x:c r="O116" s="27"/>
      <x:c r="P116" s="19"/>
      <x:c r="Q116" s="26"/>
      <x:c r="R116" s="19"/>
      <x:c r="S116" s="26"/>
      <x:c r="T116" s="19"/>
      <x:c r="U116" s="19"/>
    </x:row>
    <x:row r="117">
      <x:c r="A117" s="19"/>
      <x:c r="B117" s="19"/>
      <x:c r="C117" s="19"/>
      <x:c r="D117" s="19"/>
      <x:c r="E117" s="26"/>
      <x:c r="F117" s="19"/>
      <x:c r="G117" s="19"/>
      <x:c r="H117" s="19"/>
      <x:c r="I117" s="27"/>
      <x:c r="J117" s="26"/>
      <x:c r="K117" s="26"/>
      <x:c r="L117" s="19"/>
      <x:c r="M117" s="19"/>
      <x:c r="N117" s="19"/>
      <x:c r="O117" s="27"/>
      <x:c r="P117" s="19"/>
      <x:c r="Q117" s="26"/>
      <x:c r="R117" s="19"/>
      <x:c r="S117" s="26"/>
      <x:c r="T117" s="19"/>
      <x:c r="U117" s="19"/>
    </x:row>
    <x:row r="118">
      <x:c r="A118" s="19"/>
      <x:c r="B118" s="19"/>
      <x:c r="C118" s="19"/>
      <x:c r="D118" s="19"/>
      <x:c r="E118" s="26"/>
      <x:c r="F118" s="19"/>
      <x:c r="G118" s="19"/>
      <x:c r="H118" s="19"/>
      <x:c r="I118" s="27"/>
      <x:c r="J118" s="26"/>
      <x:c r="K118" s="26"/>
      <x:c r="L118" s="19"/>
      <x:c r="M118" s="19"/>
      <x:c r="N118" s="19"/>
      <x:c r="O118" s="27"/>
      <x:c r="P118" s="19"/>
      <x:c r="Q118" s="26"/>
      <x:c r="R118" s="19"/>
      <x:c r="S118" s="26"/>
      <x:c r="T118" s="19"/>
      <x:c r="U118" s="19"/>
    </x:row>
    <x:row r="119">
      <x:c r="A119" s="19"/>
      <x:c r="B119" s="19"/>
      <x:c r="C119" s="19"/>
      <x:c r="D119" s="19"/>
      <x:c r="E119" s="26"/>
      <x:c r="F119" s="19"/>
      <x:c r="G119" s="19"/>
      <x:c r="H119" s="19"/>
      <x:c r="I119" s="27"/>
      <x:c r="J119" s="26"/>
      <x:c r="K119" s="26"/>
      <x:c r="L119" s="19"/>
      <x:c r="M119" s="19"/>
      <x:c r="N119" s="19"/>
      <x:c r="O119" s="27"/>
      <x:c r="P119" s="19"/>
      <x:c r="Q119" s="26"/>
      <x:c r="R119" s="19"/>
      <x:c r="S119" s="26"/>
      <x:c r="T119" s="19"/>
      <x:c r="U119" s="19"/>
    </x:row>
    <x:row r="120">
      <x:c r="A120" s="19"/>
      <x:c r="B120" s="19"/>
      <x:c r="C120" s="19"/>
      <x:c r="D120" s="19"/>
      <x:c r="E120" s="26"/>
      <x:c r="F120" s="19"/>
      <x:c r="G120" s="19"/>
      <x:c r="H120" s="19"/>
      <x:c r="I120" s="27"/>
      <x:c r="J120" s="26"/>
      <x:c r="K120" s="26"/>
      <x:c r="L120" s="19"/>
      <x:c r="M120" s="19"/>
      <x:c r="N120" s="19"/>
      <x:c r="O120" s="27"/>
      <x:c r="P120" s="19"/>
      <x:c r="Q120" s="26"/>
      <x:c r="R120" s="19"/>
      <x:c r="S120" s="26"/>
      <x:c r="T120" s="19"/>
      <x:c r="U120" s="19"/>
    </x:row>
    <x:row r="121">
      <x:c r="A121" s="19"/>
      <x:c r="B121" s="19"/>
      <x:c r="C121" s="19"/>
      <x:c r="D121" s="19"/>
      <x:c r="E121" s="26"/>
      <x:c r="F121" s="19"/>
      <x:c r="G121" s="19"/>
      <x:c r="H121" s="19"/>
      <x:c r="I121" s="27"/>
      <x:c r="J121" s="26"/>
      <x:c r="K121" s="26"/>
      <x:c r="L121" s="19"/>
      <x:c r="M121" s="19"/>
      <x:c r="N121" s="19"/>
      <x:c r="O121" s="27"/>
      <x:c r="P121" s="19"/>
      <x:c r="Q121" s="26"/>
      <x:c r="R121" s="19"/>
      <x:c r="S121" s="26"/>
      <x:c r="T121" s="19"/>
      <x:c r="U121" s="19"/>
    </x:row>
    <x:row r="122">
      <x:c r="A122" s="19"/>
      <x:c r="B122" s="19"/>
      <x:c r="C122" s="19"/>
      <x:c r="D122" s="19"/>
      <x:c r="E122" s="26"/>
      <x:c r="F122" s="19"/>
      <x:c r="G122" s="19"/>
      <x:c r="H122" s="19"/>
      <x:c r="I122" s="27"/>
      <x:c r="J122" s="26"/>
      <x:c r="K122" s="26"/>
      <x:c r="L122" s="19"/>
      <x:c r="M122" s="19"/>
      <x:c r="N122" s="19"/>
      <x:c r="O122" s="27"/>
      <x:c r="P122" s="19"/>
      <x:c r="Q122" s="26"/>
      <x:c r="R122" s="19"/>
      <x:c r="S122" s="26"/>
      <x:c r="T122" s="19"/>
      <x:c r="U122" s="19"/>
    </x:row>
    <x:row r="123">
      <x:c r="A123" s="19"/>
      <x:c r="B123" s="19"/>
      <x:c r="C123" s="19"/>
      <x:c r="D123" s="19"/>
      <x:c r="E123" s="26"/>
      <x:c r="F123" s="19"/>
      <x:c r="G123" s="19"/>
      <x:c r="H123" s="19"/>
      <x:c r="I123" s="27"/>
      <x:c r="J123" s="26"/>
      <x:c r="K123" s="26"/>
      <x:c r="L123" s="19"/>
      <x:c r="M123" s="19"/>
      <x:c r="N123" s="19"/>
      <x:c r="O123" s="27"/>
      <x:c r="P123" s="19"/>
      <x:c r="Q123" s="26"/>
      <x:c r="R123" s="19"/>
      <x:c r="S123" s="26"/>
      <x:c r="T123" s="19"/>
      <x:c r="U123" s="19"/>
    </x:row>
    <x:row r="124">
      <x:c r="A124" s="19"/>
      <x:c r="B124" s="19"/>
      <x:c r="C124" s="19"/>
      <x:c r="D124" s="19"/>
      <x:c r="E124" s="26"/>
      <x:c r="F124" s="19"/>
      <x:c r="G124" s="19"/>
      <x:c r="H124" s="19"/>
      <x:c r="I124" s="27"/>
      <x:c r="J124" s="26"/>
      <x:c r="K124" s="26"/>
      <x:c r="L124" s="19"/>
      <x:c r="M124" s="19"/>
      <x:c r="N124" s="19"/>
      <x:c r="O124" s="27"/>
      <x:c r="P124" s="19"/>
      <x:c r="Q124" s="26"/>
      <x:c r="R124" s="19"/>
      <x:c r="S124" s="26"/>
      <x:c r="T124" s="19"/>
      <x:c r="U124" s="19"/>
    </x:row>
    <x:row r="125">
      <x:c r="A125" s="19"/>
      <x:c r="B125" s="19"/>
      <x:c r="C125" s="19"/>
      <x:c r="D125" s="19"/>
      <x:c r="E125" s="26"/>
      <x:c r="F125" s="19"/>
      <x:c r="G125" s="19"/>
      <x:c r="H125" s="19"/>
      <x:c r="I125" s="27"/>
      <x:c r="J125" s="26"/>
      <x:c r="K125" s="26"/>
      <x:c r="L125" s="19"/>
      <x:c r="M125" s="19"/>
      <x:c r="N125" s="19"/>
      <x:c r="O125" s="27"/>
      <x:c r="P125" s="19"/>
      <x:c r="Q125" s="26"/>
      <x:c r="R125" s="19"/>
      <x:c r="S125" s="26"/>
      <x:c r="T125" s="19"/>
      <x:c r="U125" s="19"/>
    </x:row>
    <x:row r="126">
      <x:c r="A126" s="19"/>
      <x:c r="B126" s="19"/>
      <x:c r="C126" s="19"/>
      <x:c r="D126" s="19"/>
      <x:c r="E126" s="26"/>
      <x:c r="F126" s="19"/>
      <x:c r="G126" s="19"/>
      <x:c r="H126" s="19"/>
      <x:c r="I126" s="27"/>
      <x:c r="J126" s="26"/>
      <x:c r="K126" s="26"/>
      <x:c r="L126" s="19"/>
      <x:c r="M126" s="19"/>
      <x:c r="N126" s="19"/>
      <x:c r="O126" s="27"/>
      <x:c r="P126" s="19"/>
      <x:c r="Q126" s="26"/>
      <x:c r="R126" s="19"/>
      <x:c r="S126" s="26"/>
      <x:c r="T126" s="19"/>
      <x:c r="U126" s="19"/>
    </x:row>
    <x:row r="127">
      <x:c r="A127" s="19"/>
      <x:c r="B127" s="19"/>
      <x:c r="C127" s="19"/>
      <x:c r="D127" s="19"/>
      <x:c r="E127" s="26"/>
      <x:c r="F127" s="19"/>
      <x:c r="G127" s="19"/>
      <x:c r="H127" s="19"/>
      <x:c r="I127" s="27"/>
      <x:c r="J127" s="26"/>
      <x:c r="K127" s="26"/>
      <x:c r="L127" s="19"/>
      <x:c r="M127" s="19"/>
      <x:c r="N127" s="19"/>
      <x:c r="O127" s="27"/>
      <x:c r="P127" s="19"/>
      <x:c r="Q127" s="26"/>
      <x:c r="R127" s="19"/>
      <x:c r="S127" s="26"/>
      <x:c r="T127" s="19"/>
      <x:c r="U127" s="19"/>
    </x:row>
    <x:row r="128">
      <x:c r="A128" s="19"/>
      <x:c r="B128" s="19"/>
      <x:c r="C128" s="19"/>
      <x:c r="D128" s="19"/>
      <x:c r="E128" s="26"/>
      <x:c r="F128" s="19"/>
      <x:c r="G128" s="19"/>
      <x:c r="H128" s="19"/>
      <x:c r="I128" s="27"/>
      <x:c r="J128" s="26"/>
      <x:c r="K128" s="26"/>
      <x:c r="L128" s="19"/>
      <x:c r="M128" s="19"/>
      <x:c r="N128" s="19"/>
      <x:c r="O128" s="27"/>
      <x:c r="P128" s="19"/>
      <x:c r="Q128" s="26"/>
      <x:c r="R128" s="19"/>
      <x:c r="S128" s="26"/>
      <x:c r="T128" s="19"/>
      <x:c r="U128" s="19"/>
    </x:row>
    <x:row r="129">
      <x:c r="A129" s="19"/>
      <x:c r="B129" s="19"/>
      <x:c r="C129" s="19"/>
      <x:c r="D129" s="19"/>
      <x:c r="E129" s="26"/>
      <x:c r="F129" s="19"/>
      <x:c r="G129" s="19"/>
      <x:c r="H129" s="19"/>
      <x:c r="I129" s="27"/>
      <x:c r="J129" s="26"/>
      <x:c r="K129" s="26"/>
      <x:c r="L129" s="19"/>
      <x:c r="M129" s="19"/>
      <x:c r="N129" s="19"/>
      <x:c r="O129" s="27"/>
      <x:c r="P129" s="19"/>
      <x:c r="Q129" s="26"/>
      <x:c r="R129" s="19"/>
      <x:c r="S129" s="26"/>
      <x:c r="T129" s="19"/>
      <x:c r="U129" s="19"/>
    </x:row>
    <x:row r="130">
      <x:c r="A130" s="19"/>
      <x:c r="B130" s="19"/>
      <x:c r="C130" s="19"/>
      <x:c r="D130" s="19"/>
      <x:c r="E130" s="26"/>
      <x:c r="F130" s="19"/>
      <x:c r="G130" s="19"/>
      <x:c r="H130" s="19"/>
      <x:c r="I130" s="27"/>
      <x:c r="J130" s="26"/>
      <x:c r="K130" s="26"/>
      <x:c r="L130" s="19"/>
      <x:c r="M130" s="19"/>
      <x:c r="N130" s="19"/>
      <x:c r="O130" s="27"/>
      <x:c r="P130" s="19"/>
      <x:c r="Q130" s="26"/>
      <x:c r="R130" s="19"/>
      <x:c r="S130" s="26"/>
      <x:c r="T130" s="19"/>
      <x:c r="U130" s="19"/>
    </x:row>
    <x:row r="131">
      <x:c r="A131" s="19"/>
      <x:c r="B131" s="19"/>
      <x:c r="C131" s="19"/>
      <x:c r="D131" s="19"/>
      <x:c r="E131" s="26"/>
      <x:c r="F131" s="19"/>
      <x:c r="G131" s="19"/>
      <x:c r="H131" s="19"/>
      <x:c r="I131" s="27"/>
      <x:c r="J131" s="26"/>
      <x:c r="K131" s="26"/>
      <x:c r="L131" s="19"/>
      <x:c r="M131" s="19"/>
      <x:c r="N131" s="19"/>
      <x:c r="O131" s="27"/>
      <x:c r="P131" s="19"/>
      <x:c r="Q131" s="26"/>
      <x:c r="R131" s="19"/>
      <x:c r="S131" s="26"/>
      <x:c r="T131" s="19"/>
      <x:c r="U131" s="19"/>
    </x:row>
    <x:row r="132">
      <x:c r="A132" s="19"/>
      <x:c r="B132" s="19"/>
      <x:c r="C132" s="19"/>
      <x:c r="D132" s="19"/>
      <x:c r="E132" s="26"/>
      <x:c r="F132" s="19"/>
      <x:c r="G132" s="19"/>
      <x:c r="H132" s="19"/>
      <x:c r="I132" s="27"/>
      <x:c r="J132" s="26"/>
      <x:c r="K132" s="26"/>
      <x:c r="L132" s="19"/>
      <x:c r="M132" s="19"/>
      <x:c r="N132" s="19"/>
      <x:c r="O132" s="27"/>
      <x:c r="P132" s="19"/>
      <x:c r="Q132" s="26"/>
      <x:c r="R132" s="19"/>
      <x:c r="S132" s="26"/>
      <x:c r="T132" s="19"/>
      <x:c r="U132" s="19"/>
    </x:row>
    <x:row r="133">
      <x:c r="A133" s="19"/>
      <x:c r="B133" s="19"/>
      <x:c r="C133" s="19"/>
      <x:c r="D133" s="19"/>
      <x:c r="E133" s="26"/>
      <x:c r="F133" s="19"/>
      <x:c r="G133" s="19"/>
      <x:c r="H133" s="19"/>
      <x:c r="I133" s="27"/>
      <x:c r="J133" s="26"/>
      <x:c r="K133" s="26"/>
      <x:c r="L133" s="19"/>
      <x:c r="M133" s="19"/>
      <x:c r="N133" s="19"/>
      <x:c r="O133" s="27"/>
      <x:c r="P133" s="19"/>
      <x:c r="Q133" s="26"/>
      <x:c r="R133" s="19"/>
      <x:c r="S133" s="26"/>
      <x:c r="T133" s="19"/>
      <x:c r="U133" s="19"/>
    </x:row>
    <x:row r="134">
      <x:c r="A134" s="19"/>
      <x:c r="B134" s="19"/>
      <x:c r="C134" s="19"/>
      <x:c r="D134" s="19"/>
      <x:c r="E134" s="26"/>
      <x:c r="F134" s="19"/>
      <x:c r="G134" s="19"/>
      <x:c r="H134" s="19"/>
      <x:c r="I134" s="27"/>
      <x:c r="J134" s="26"/>
      <x:c r="K134" s="26"/>
      <x:c r="L134" s="19"/>
      <x:c r="M134" s="19"/>
      <x:c r="N134" s="19"/>
      <x:c r="O134" s="27"/>
      <x:c r="P134" s="19"/>
      <x:c r="Q134" s="26"/>
      <x:c r="R134" s="19"/>
      <x:c r="S134" s="26"/>
      <x:c r="T134" s="19"/>
      <x:c r="U134" s="19"/>
    </x:row>
    <x:row r="135">
      <x:c r="A135" s="19"/>
      <x:c r="B135" s="19"/>
      <x:c r="C135" s="19"/>
      <x:c r="D135" s="19"/>
      <x:c r="E135" s="26"/>
      <x:c r="F135" s="19"/>
      <x:c r="G135" s="19"/>
      <x:c r="H135" s="19"/>
      <x:c r="I135" s="27"/>
      <x:c r="J135" s="26"/>
      <x:c r="K135" s="26"/>
      <x:c r="L135" s="19"/>
      <x:c r="M135" s="19"/>
      <x:c r="N135" s="19"/>
      <x:c r="O135" s="27"/>
      <x:c r="P135" s="19"/>
      <x:c r="Q135" s="26"/>
      <x:c r="R135" s="19"/>
      <x:c r="S135" s="26"/>
      <x:c r="T135" s="19"/>
      <x:c r="U135" s="19"/>
    </x:row>
    <x:row r="136">
      <x:c r="A136" s="19"/>
      <x:c r="B136" s="19"/>
      <x:c r="C136" s="19"/>
      <x:c r="D136" s="19"/>
      <x:c r="E136" s="26"/>
      <x:c r="F136" s="19"/>
      <x:c r="G136" s="19"/>
      <x:c r="H136" s="19"/>
      <x:c r="I136" s="27"/>
      <x:c r="J136" s="26"/>
      <x:c r="K136" s="26"/>
      <x:c r="L136" s="19"/>
      <x:c r="M136" s="19"/>
      <x:c r="N136" s="19"/>
      <x:c r="O136" s="27"/>
      <x:c r="P136" s="19"/>
      <x:c r="Q136" s="26"/>
      <x:c r="R136" s="19"/>
      <x:c r="S136" s="26"/>
      <x:c r="T136" s="19"/>
      <x:c r="U136" s="19"/>
    </x:row>
    <x:row r="137">
      <x:c r="A137" s="19"/>
      <x:c r="B137" s="19"/>
      <x:c r="C137" s="19"/>
      <x:c r="D137" s="19"/>
      <x:c r="E137" s="26"/>
      <x:c r="F137" s="19"/>
      <x:c r="G137" s="19"/>
      <x:c r="H137" s="19"/>
      <x:c r="I137" s="27"/>
      <x:c r="J137" s="26"/>
      <x:c r="K137" s="26"/>
      <x:c r="L137" s="19"/>
      <x:c r="M137" s="19"/>
      <x:c r="N137" s="19"/>
      <x:c r="O137" s="27"/>
      <x:c r="P137" s="19"/>
      <x:c r="Q137" s="26"/>
      <x:c r="R137" s="19"/>
      <x:c r="S137" s="26"/>
      <x:c r="T137" s="19"/>
      <x:c r="U137" s="19"/>
    </x:row>
    <x:row r="138">
      <x:c r="A138" s="19"/>
      <x:c r="B138" s="19"/>
      <x:c r="C138" s="19"/>
      <x:c r="D138" s="19"/>
      <x:c r="E138" s="26"/>
      <x:c r="F138" s="19"/>
      <x:c r="G138" s="19"/>
      <x:c r="H138" s="19"/>
      <x:c r="I138" s="27"/>
      <x:c r="J138" s="26"/>
      <x:c r="K138" s="26"/>
      <x:c r="L138" s="19"/>
      <x:c r="M138" s="19"/>
      <x:c r="N138" s="19"/>
      <x:c r="O138" s="27"/>
      <x:c r="P138" s="19"/>
      <x:c r="Q138" s="26"/>
      <x:c r="R138" s="19"/>
      <x:c r="S138" s="26"/>
      <x:c r="T138" s="19"/>
      <x:c r="U138" s="19"/>
    </x:row>
    <x:row r="139">
      <x:c r="A139" s="19"/>
      <x:c r="B139" s="19"/>
      <x:c r="C139" s="19"/>
      <x:c r="D139" s="19"/>
      <x:c r="E139" s="26"/>
      <x:c r="F139" s="19"/>
      <x:c r="G139" s="19"/>
      <x:c r="H139" s="19"/>
      <x:c r="I139" s="27"/>
      <x:c r="J139" s="26"/>
      <x:c r="K139" s="26"/>
      <x:c r="L139" s="19"/>
      <x:c r="M139" s="19"/>
      <x:c r="N139" s="19"/>
      <x:c r="O139" s="27"/>
      <x:c r="P139" s="19"/>
      <x:c r="Q139" s="26"/>
      <x:c r="R139" s="19"/>
      <x:c r="S139" s="26"/>
      <x:c r="T139" s="19"/>
      <x:c r="U139" s="19"/>
    </x:row>
    <x:row r="140">
      <x:c r="A140" s="19"/>
      <x:c r="B140" s="19"/>
      <x:c r="C140" s="19"/>
      <x:c r="D140" s="19"/>
      <x:c r="E140" s="26"/>
      <x:c r="F140" s="19"/>
      <x:c r="G140" s="19"/>
      <x:c r="H140" s="19"/>
      <x:c r="I140" s="27"/>
      <x:c r="J140" s="26"/>
      <x:c r="K140" s="26"/>
      <x:c r="L140" s="19"/>
      <x:c r="M140" s="19"/>
      <x:c r="N140" s="19"/>
      <x:c r="O140" s="27"/>
      <x:c r="P140" s="19"/>
      <x:c r="Q140" s="26"/>
      <x:c r="R140" s="19"/>
      <x:c r="S140" s="26"/>
      <x:c r="T140" s="19"/>
      <x:c r="U140" s="19"/>
    </x:row>
    <x:row r="141">
      <x:c r="A141" s="19"/>
      <x:c r="B141" s="19"/>
      <x:c r="C141" s="19"/>
      <x:c r="D141" s="19"/>
      <x:c r="E141" s="26"/>
      <x:c r="F141" s="19"/>
      <x:c r="G141" s="19"/>
      <x:c r="H141" s="19"/>
      <x:c r="I141" s="27"/>
      <x:c r="J141" s="26"/>
      <x:c r="K141" s="26"/>
      <x:c r="L141" s="19"/>
      <x:c r="M141" s="19"/>
      <x:c r="N141" s="19"/>
      <x:c r="O141" s="27"/>
      <x:c r="P141" s="19"/>
      <x:c r="Q141" s="26"/>
      <x:c r="R141" s="19"/>
      <x:c r="S141" s="26"/>
      <x:c r="T141" s="19"/>
      <x:c r="U141" s="19"/>
    </x:row>
    <x:row r="142">
      <x:c r="A142" s="19"/>
      <x:c r="B142" s="19"/>
      <x:c r="C142" s="19"/>
      <x:c r="D142" s="19"/>
      <x:c r="E142" s="26"/>
      <x:c r="F142" s="19"/>
      <x:c r="G142" s="19"/>
      <x:c r="H142" s="19"/>
      <x:c r="I142" s="27"/>
      <x:c r="J142" s="26"/>
      <x:c r="K142" s="26"/>
      <x:c r="L142" s="19"/>
      <x:c r="M142" s="19"/>
      <x:c r="N142" s="19"/>
      <x:c r="O142" s="27"/>
      <x:c r="P142" s="19"/>
      <x:c r="Q142" s="26"/>
      <x:c r="R142" s="19"/>
      <x:c r="S142" s="26"/>
      <x:c r="T142" s="19"/>
      <x:c r="U142" s="19"/>
    </x:row>
    <x:row r="143">
      <x:c r="A143" s="19"/>
      <x:c r="B143" s="19"/>
      <x:c r="C143" s="19"/>
      <x:c r="D143" s="19"/>
      <x:c r="E143" s="26"/>
      <x:c r="F143" s="19"/>
      <x:c r="G143" s="19"/>
      <x:c r="H143" s="19"/>
      <x:c r="I143" s="27"/>
      <x:c r="J143" s="26"/>
      <x:c r="K143" s="26"/>
      <x:c r="L143" s="19"/>
      <x:c r="M143" s="19"/>
      <x:c r="N143" s="19"/>
      <x:c r="O143" s="27"/>
      <x:c r="P143" s="19"/>
      <x:c r="Q143" s="26"/>
      <x:c r="R143" s="19"/>
      <x:c r="S143" s="26"/>
      <x:c r="T143" s="19"/>
      <x:c r="U143" s="19"/>
    </x:row>
    <x:row r="144">
      <x:c r="A144" s="19"/>
      <x:c r="B144" s="19"/>
      <x:c r="C144" s="19"/>
      <x:c r="D144" s="19"/>
      <x:c r="E144" s="26"/>
      <x:c r="F144" s="19"/>
      <x:c r="G144" s="19"/>
      <x:c r="H144" s="19"/>
      <x:c r="I144" s="27"/>
      <x:c r="J144" s="26"/>
      <x:c r="K144" s="26"/>
      <x:c r="L144" s="19"/>
      <x:c r="M144" s="19"/>
      <x:c r="N144" s="19"/>
      <x:c r="O144" s="27"/>
      <x:c r="P144" s="19"/>
      <x:c r="Q144" s="26"/>
      <x:c r="R144" s="19"/>
      <x:c r="S144" s="26"/>
      <x:c r="T144" s="19"/>
      <x:c r="U144" s="19"/>
    </x:row>
    <x:row r="145">
      <x:c r="A145" s="19"/>
      <x:c r="B145" s="19"/>
      <x:c r="C145" s="19"/>
      <x:c r="D145" s="19"/>
      <x:c r="E145" s="26"/>
      <x:c r="F145" s="19"/>
      <x:c r="G145" s="19"/>
      <x:c r="H145" s="19"/>
      <x:c r="I145" s="27"/>
      <x:c r="J145" s="26"/>
      <x:c r="K145" s="26"/>
      <x:c r="L145" s="19"/>
      <x:c r="M145" s="19"/>
      <x:c r="N145" s="19"/>
      <x:c r="O145" s="27"/>
      <x:c r="P145" s="19"/>
      <x:c r="Q145" s="26"/>
      <x:c r="R145" s="19"/>
      <x:c r="S145" s="26"/>
      <x:c r="T145" s="19"/>
      <x:c r="U145" s="19"/>
    </x:row>
    <x:row r="146">
      <x:c r="A146" s="19"/>
      <x:c r="B146" s="19"/>
      <x:c r="C146" s="19"/>
      <x:c r="D146" s="19"/>
      <x:c r="E146" s="26"/>
      <x:c r="F146" s="19"/>
      <x:c r="G146" s="19"/>
      <x:c r="H146" s="19"/>
      <x:c r="I146" s="27"/>
      <x:c r="J146" s="26"/>
      <x:c r="K146" s="26"/>
      <x:c r="L146" s="19"/>
      <x:c r="M146" s="19"/>
      <x:c r="N146" s="19"/>
      <x:c r="O146" s="27"/>
      <x:c r="P146" s="19"/>
      <x:c r="Q146" s="26"/>
      <x:c r="R146" s="19"/>
      <x:c r="S146" s="26"/>
      <x:c r="T146" s="19"/>
      <x:c r="U146" s="19"/>
    </x:row>
    <x:row r="147">
      <x:c r="A147" s="19"/>
      <x:c r="B147" s="19"/>
      <x:c r="C147" s="19"/>
      <x:c r="D147" s="19"/>
      <x:c r="E147" s="26"/>
      <x:c r="F147" s="19"/>
      <x:c r="G147" s="19"/>
      <x:c r="H147" s="19"/>
      <x:c r="I147" s="27"/>
      <x:c r="J147" s="26"/>
      <x:c r="K147" s="26"/>
      <x:c r="L147" s="19"/>
      <x:c r="M147" s="19"/>
      <x:c r="N147" s="19"/>
      <x:c r="O147" s="27"/>
      <x:c r="P147" s="19"/>
      <x:c r="Q147" s="26"/>
      <x:c r="R147" s="19"/>
      <x:c r="S147" s="26"/>
      <x:c r="T147" s="19"/>
      <x:c r="U147" s="19"/>
    </x:row>
    <x:row r="148">
      <x:c r="A148" s="19"/>
      <x:c r="B148" s="19"/>
      <x:c r="C148" s="19"/>
      <x:c r="D148" s="19"/>
      <x:c r="E148" s="26"/>
      <x:c r="F148" s="19"/>
      <x:c r="G148" s="19"/>
      <x:c r="H148" s="19"/>
      <x:c r="I148" s="27"/>
      <x:c r="J148" s="26"/>
      <x:c r="K148" s="26"/>
      <x:c r="L148" s="19"/>
      <x:c r="M148" s="19"/>
      <x:c r="N148" s="19"/>
      <x:c r="O148" s="27"/>
      <x:c r="P148" s="19"/>
      <x:c r="Q148" s="26"/>
      <x:c r="R148" s="19"/>
      <x:c r="S148" s="26"/>
      <x:c r="T148" s="19"/>
      <x:c r="U148" s="19"/>
    </x:row>
    <x:row r="149">
      <x:c r="A149" s="19"/>
      <x:c r="B149" s="19"/>
      <x:c r="C149" s="19"/>
      <x:c r="D149" s="19"/>
      <x:c r="E149" s="26"/>
      <x:c r="F149" s="19"/>
      <x:c r="G149" s="19"/>
      <x:c r="H149" s="19"/>
      <x:c r="I149" s="27"/>
      <x:c r="J149" s="26"/>
      <x:c r="K149" s="26"/>
      <x:c r="L149" s="19"/>
      <x:c r="M149" s="19"/>
      <x:c r="N149" s="19"/>
      <x:c r="O149" s="27"/>
      <x:c r="P149" s="19"/>
      <x:c r="Q149" s="26"/>
      <x:c r="R149" s="19"/>
      <x:c r="S149" s="26"/>
      <x:c r="T149" s="19"/>
      <x:c r="U149" s="19"/>
    </x:row>
    <x:row r="150">
      <x:c r="A150" s="19"/>
      <x:c r="B150" s="19"/>
      <x:c r="C150" s="19"/>
      <x:c r="D150" s="19"/>
      <x:c r="E150" s="26"/>
      <x:c r="F150" s="19"/>
      <x:c r="G150" s="19"/>
      <x:c r="H150" s="19"/>
      <x:c r="I150" s="27"/>
      <x:c r="J150" s="26"/>
      <x:c r="K150" s="26"/>
      <x:c r="L150" s="19"/>
      <x:c r="M150" s="19"/>
      <x:c r="N150" s="19"/>
      <x:c r="O150" s="27"/>
      <x:c r="P150" s="19"/>
      <x:c r="Q150" s="26"/>
      <x:c r="R150" s="19"/>
      <x:c r="S150" s="26"/>
      <x:c r="T150" s="19"/>
      <x:c r="U150" s="19"/>
    </x:row>
    <x:row r="151">
      <x:c r="A151" s="19"/>
      <x:c r="B151" s="19"/>
      <x:c r="C151" s="19"/>
      <x:c r="D151" s="19"/>
      <x:c r="E151" s="26"/>
      <x:c r="F151" s="19"/>
      <x:c r="G151" s="19"/>
      <x:c r="H151" s="19"/>
      <x:c r="I151" s="27"/>
      <x:c r="J151" s="26"/>
      <x:c r="K151" s="26"/>
      <x:c r="L151" s="19"/>
      <x:c r="M151" s="19"/>
      <x:c r="N151" s="19"/>
      <x:c r="O151" s="27"/>
      <x:c r="P151" s="19"/>
      <x:c r="Q151" s="26"/>
      <x:c r="R151" s="19"/>
      <x:c r="S151" s="26"/>
      <x:c r="T151" s="19"/>
      <x:c r="U151" s="19"/>
    </x:row>
    <x:row r="152">
      <x:c r="A152" s="19"/>
      <x:c r="B152" s="19"/>
      <x:c r="C152" s="19"/>
      <x:c r="D152" s="19"/>
      <x:c r="E152" s="26"/>
      <x:c r="F152" s="19"/>
      <x:c r="G152" s="19"/>
      <x:c r="H152" s="19"/>
      <x:c r="I152" s="27"/>
      <x:c r="J152" s="26"/>
      <x:c r="K152" s="26"/>
      <x:c r="L152" s="19"/>
      <x:c r="M152" s="19"/>
      <x:c r="N152" s="19"/>
      <x:c r="O152" s="27"/>
      <x:c r="P152" s="19"/>
      <x:c r="Q152" s="26"/>
      <x:c r="R152" s="19"/>
      <x:c r="S152" s="26"/>
      <x:c r="T152" s="19"/>
      <x:c r="U152" s="19"/>
    </x:row>
    <x:row r="153">
      <x:c r="A153" s="19"/>
      <x:c r="B153" s="19"/>
      <x:c r="C153" s="19"/>
      <x:c r="D153" s="19"/>
      <x:c r="E153" s="26"/>
      <x:c r="F153" s="19"/>
      <x:c r="G153" s="19"/>
      <x:c r="H153" s="19"/>
      <x:c r="I153" s="27"/>
      <x:c r="J153" s="26"/>
      <x:c r="K153" s="26"/>
      <x:c r="L153" s="19"/>
      <x:c r="M153" s="19"/>
      <x:c r="N153" s="19"/>
      <x:c r="O153" s="27"/>
      <x:c r="P153" s="19"/>
      <x:c r="Q153" s="26"/>
      <x:c r="R153" s="19"/>
      <x:c r="S153" s="26"/>
      <x:c r="T153" s="19"/>
      <x:c r="U153" s="19"/>
    </x:row>
    <x:row r="154">
      <x:c r="A154" s="19"/>
      <x:c r="B154" s="19"/>
      <x:c r="C154" s="19"/>
      <x:c r="D154" s="19"/>
      <x:c r="E154" s="26"/>
      <x:c r="F154" s="19"/>
      <x:c r="G154" s="19"/>
      <x:c r="H154" s="19"/>
      <x:c r="I154" s="27"/>
      <x:c r="J154" s="26"/>
      <x:c r="K154" s="26"/>
      <x:c r="L154" s="19"/>
      <x:c r="M154" s="19"/>
      <x:c r="N154" s="19"/>
      <x:c r="O154" s="27"/>
      <x:c r="P154" s="19"/>
      <x:c r="Q154" s="26"/>
      <x:c r="R154" s="19"/>
      <x:c r="S154" s="26"/>
      <x:c r="T154" s="19"/>
      <x:c r="U154" s="19"/>
    </x:row>
    <x:row r="155">
      <x:c r="A155" s="19"/>
      <x:c r="B155" s="19"/>
      <x:c r="C155" s="19"/>
      <x:c r="D155" s="19"/>
      <x:c r="E155" s="26"/>
      <x:c r="F155" s="19"/>
      <x:c r="G155" s="19"/>
      <x:c r="H155" s="19"/>
      <x:c r="I155" s="27"/>
      <x:c r="J155" s="26"/>
      <x:c r="K155" s="26"/>
      <x:c r="L155" s="19"/>
      <x:c r="M155" s="19"/>
      <x:c r="N155" s="19"/>
      <x:c r="O155" s="27"/>
      <x:c r="P155" s="19"/>
      <x:c r="Q155" s="26"/>
      <x:c r="R155" s="19"/>
      <x:c r="S155" s="26"/>
      <x:c r="T155" s="19"/>
      <x:c r="U155" s="19"/>
    </x:row>
    <x:row r="156">
      <x:c r="A156" s="19"/>
      <x:c r="B156" s="19"/>
      <x:c r="C156" s="19"/>
      <x:c r="D156" s="19"/>
      <x:c r="E156" s="26"/>
      <x:c r="F156" s="19"/>
      <x:c r="G156" s="19"/>
      <x:c r="H156" s="19"/>
      <x:c r="I156" s="27"/>
      <x:c r="J156" s="26"/>
      <x:c r="K156" s="26"/>
      <x:c r="L156" s="19"/>
      <x:c r="M156" s="19"/>
      <x:c r="N156" s="19"/>
      <x:c r="O156" s="27"/>
      <x:c r="P156" s="19"/>
      <x:c r="Q156" s="26"/>
      <x:c r="R156" s="19"/>
      <x:c r="S156" s="26"/>
      <x:c r="T156" s="19"/>
      <x:c r="U156" s="19"/>
    </x:row>
    <x:row r="157">
      <x:c r="A157" s="19"/>
      <x:c r="B157" s="19"/>
      <x:c r="C157" s="19"/>
      <x:c r="D157" s="19"/>
      <x:c r="E157" s="26"/>
      <x:c r="F157" s="19"/>
      <x:c r="G157" s="19"/>
      <x:c r="H157" s="19"/>
      <x:c r="I157" s="27"/>
      <x:c r="J157" s="26"/>
      <x:c r="K157" s="26"/>
      <x:c r="L157" s="19"/>
      <x:c r="M157" s="19"/>
      <x:c r="N157" s="19"/>
      <x:c r="O157" s="27"/>
      <x:c r="P157" s="19"/>
      <x:c r="Q157" s="26"/>
      <x:c r="R157" s="19"/>
      <x:c r="S157" s="26"/>
      <x:c r="T157" s="19"/>
      <x:c r="U157" s="19"/>
    </x:row>
    <x:row r="158">
      <x:c r="A158" s="19"/>
      <x:c r="B158" s="19"/>
      <x:c r="C158" s="19"/>
      <x:c r="D158" s="19"/>
      <x:c r="E158" s="26"/>
      <x:c r="F158" s="19"/>
      <x:c r="G158" s="19"/>
      <x:c r="H158" s="19"/>
      <x:c r="I158" s="27"/>
      <x:c r="J158" s="26"/>
      <x:c r="K158" s="26"/>
      <x:c r="L158" s="19"/>
      <x:c r="M158" s="19"/>
      <x:c r="N158" s="19"/>
      <x:c r="O158" s="27"/>
      <x:c r="P158" s="19"/>
      <x:c r="Q158" s="26"/>
      <x:c r="R158" s="19"/>
      <x:c r="S158" s="26"/>
      <x:c r="T158" s="19"/>
      <x:c r="U158" s="19"/>
    </x:row>
    <x:row r="159">
      <x:c r="A159" s="19"/>
      <x:c r="B159" s="19"/>
      <x:c r="C159" s="19"/>
      <x:c r="D159" s="19"/>
      <x:c r="E159" s="26"/>
      <x:c r="F159" s="19"/>
      <x:c r="G159" s="19"/>
      <x:c r="H159" s="19"/>
      <x:c r="I159" s="27"/>
      <x:c r="J159" s="26"/>
      <x:c r="K159" s="26"/>
      <x:c r="L159" s="19"/>
      <x:c r="M159" s="19"/>
      <x:c r="N159" s="19"/>
      <x:c r="O159" s="27"/>
      <x:c r="P159" s="19"/>
      <x:c r="Q159" s="26"/>
      <x:c r="R159" s="19"/>
      <x:c r="S159" s="26"/>
      <x:c r="T159" s="19"/>
      <x:c r="U159" s="19"/>
    </x:row>
    <x:row r="160">
      <x:c r="A160" s="19"/>
      <x:c r="B160" s="19"/>
      <x:c r="C160" s="19"/>
      <x:c r="D160" s="19"/>
      <x:c r="E160" s="26"/>
      <x:c r="F160" s="19"/>
      <x:c r="G160" s="19"/>
      <x:c r="H160" s="19"/>
      <x:c r="I160" s="27"/>
      <x:c r="J160" s="26"/>
      <x:c r="K160" s="26"/>
      <x:c r="L160" s="19"/>
      <x:c r="M160" s="19"/>
      <x:c r="N160" s="19"/>
      <x:c r="O160" s="27"/>
      <x:c r="P160" s="19"/>
      <x:c r="Q160" s="26"/>
      <x:c r="R160" s="19"/>
      <x:c r="S160" s="26"/>
      <x:c r="T160" s="19"/>
      <x:c r="U160" s="19"/>
    </x:row>
    <x:row r="161">
      <x:c r="A161" s="19"/>
      <x:c r="B161" s="19"/>
      <x:c r="C161" s="19"/>
      <x:c r="D161" s="19"/>
      <x:c r="E161" s="26"/>
      <x:c r="F161" s="19"/>
      <x:c r="G161" s="19"/>
      <x:c r="H161" s="19"/>
      <x:c r="I161" s="27"/>
      <x:c r="J161" s="26"/>
      <x:c r="K161" s="26"/>
      <x:c r="L161" s="19"/>
      <x:c r="M161" s="19"/>
      <x:c r="N161" s="19"/>
      <x:c r="O161" s="27"/>
      <x:c r="P161" s="19"/>
      <x:c r="Q161" s="26"/>
      <x:c r="R161" s="19"/>
      <x:c r="S161" s="26"/>
      <x:c r="T161" s="19"/>
      <x:c r="U161" s="19"/>
    </x:row>
    <x:row r="162">
      <x:c r="A162" s="19"/>
      <x:c r="B162" s="19"/>
      <x:c r="C162" s="19"/>
      <x:c r="D162" s="19"/>
      <x:c r="E162" s="26"/>
      <x:c r="F162" s="19"/>
      <x:c r="G162" s="19"/>
      <x:c r="H162" s="19"/>
      <x:c r="I162" s="27"/>
      <x:c r="J162" s="26"/>
      <x:c r="K162" s="26"/>
      <x:c r="L162" s="19"/>
      <x:c r="M162" s="19"/>
      <x:c r="N162" s="19"/>
      <x:c r="O162" s="27"/>
      <x:c r="P162" s="19"/>
      <x:c r="Q162" s="26"/>
      <x:c r="R162" s="19"/>
      <x:c r="S162" s="26"/>
      <x:c r="T162" s="19"/>
      <x:c r="U162" s="19"/>
    </x:row>
    <x:row r="163">
      <x:c r="A163" s="19"/>
      <x:c r="B163" s="19"/>
      <x:c r="C163" s="19"/>
      <x:c r="D163" s="19"/>
      <x:c r="E163" s="26"/>
      <x:c r="F163" s="19"/>
      <x:c r="G163" s="19"/>
      <x:c r="H163" s="19"/>
      <x:c r="I163" s="27"/>
      <x:c r="J163" s="26"/>
      <x:c r="K163" s="26"/>
      <x:c r="L163" s="19"/>
      <x:c r="M163" s="19"/>
      <x:c r="N163" s="19"/>
      <x:c r="O163" s="27"/>
      <x:c r="P163" s="19"/>
      <x:c r="Q163" s="26"/>
      <x:c r="R163" s="19"/>
      <x:c r="S163" s="26"/>
      <x:c r="T163" s="19"/>
      <x:c r="U163" s="19"/>
    </x:row>
    <x:row r="164">
      <x:c r="A164" s="19"/>
      <x:c r="B164" s="19"/>
      <x:c r="C164" s="19"/>
      <x:c r="D164" s="19"/>
      <x:c r="E164" s="26"/>
      <x:c r="F164" s="19"/>
      <x:c r="G164" s="19"/>
      <x:c r="H164" s="19"/>
      <x:c r="I164" s="27"/>
      <x:c r="J164" s="26"/>
      <x:c r="K164" s="26"/>
      <x:c r="L164" s="19"/>
      <x:c r="M164" s="19"/>
      <x:c r="N164" s="19"/>
      <x:c r="O164" s="27"/>
      <x:c r="P164" s="19"/>
      <x:c r="Q164" s="26"/>
      <x:c r="R164" s="19"/>
      <x:c r="S164" s="26"/>
      <x:c r="T164" s="19"/>
      <x:c r="U164" s="19"/>
    </x:row>
    <x:row r="165">
      <x:c r="A165" s="19"/>
      <x:c r="B165" s="19"/>
      <x:c r="C165" s="19"/>
      <x:c r="D165" s="19"/>
      <x:c r="E165" s="26"/>
      <x:c r="F165" s="19"/>
      <x:c r="G165" s="19"/>
      <x:c r="H165" s="19"/>
      <x:c r="I165" s="27"/>
      <x:c r="J165" s="26"/>
      <x:c r="K165" s="26"/>
      <x:c r="L165" s="19"/>
      <x:c r="M165" s="19"/>
      <x:c r="N165" s="19"/>
      <x:c r="O165" s="27"/>
      <x:c r="P165" s="19"/>
      <x:c r="Q165" s="26"/>
      <x:c r="R165" s="19"/>
      <x:c r="S165" s="26"/>
      <x:c r="T165" s="19"/>
      <x:c r="U165" s="19"/>
    </x:row>
    <x:row r="166">
      <x:c r="A166" s="19"/>
      <x:c r="B166" s="19"/>
      <x:c r="C166" s="19"/>
      <x:c r="D166" s="19"/>
      <x:c r="E166" s="26"/>
      <x:c r="F166" s="19"/>
      <x:c r="G166" s="19"/>
      <x:c r="H166" s="19"/>
      <x:c r="I166" s="27"/>
      <x:c r="J166" s="26"/>
      <x:c r="K166" s="26"/>
      <x:c r="L166" s="19"/>
      <x:c r="M166" s="19"/>
      <x:c r="N166" s="19"/>
      <x:c r="O166" s="27"/>
      <x:c r="P166" s="19"/>
      <x:c r="Q166" s="26"/>
      <x:c r="R166" s="19"/>
      <x:c r="S166" s="26"/>
      <x:c r="T166" s="19"/>
      <x:c r="U166" s="19"/>
    </x:row>
    <x:row r="167">
      <x:c r="A167" s="19"/>
      <x:c r="B167" s="19"/>
      <x:c r="C167" s="19"/>
      <x:c r="D167" s="19"/>
      <x:c r="E167" s="26"/>
      <x:c r="F167" s="19"/>
      <x:c r="G167" s="19"/>
      <x:c r="H167" s="19"/>
      <x:c r="I167" s="27"/>
      <x:c r="J167" s="26"/>
      <x:c r="K167" s="26"/>
      <x:c r="L167" s="19"/>
      <x:c r="M167" s="19"/>
      <x:c r="N167" s="19"/>
      <x:c r="O167" s="27"/>
      <x:c r="P167" s="19"/>
      <x:c r="Q167" s="26"/>
      <x:c r="R167" s="19"/>
      <x:c r="S167" s="26"/>
      <x:c r="T167" s="19"/>
      <x:c r="U167" s="19"/>
    </x:row>
    <x:row r="168">
      <x:c r="A168" s="19"/>
      <x:c r="B168" s="19"/>
      <x:c r="C168" s="19"/>
      <x:c r="D168" s="19"/>
      <x:c r="E168" s="26"/>
      <x:c r="F168" s="19"/>
      <x:c r="G168" s="19"/>
      <x:c r="H168" s="19"/>
      <x:c r="I168" s="27"/>
      <x:c r="J168" s="26"/>
      <x:c r="K168" s="26"/>
      <x:c r="L168" s="19"/>
      <x:c r="M168" s="19"/>
      <x:c r="N168" s="19"/>
      <x:c r="O168" s="27"/>
      <x:c r="P168" s="19"/>
      <x:c r="Q168" s="26"/>
      <x:c r="R168" s="19"/>
      <x:c r="S168" s="26"/>
      <x:c r="T168" s="19"/>
      <x:c r="U168" s="19"/>
    </x:row>
    <x:row r="169">
      <x:c r="A169" s="19"/>
      <x:c r="B169" s="19"/>
      <x:c r="C169" s="19"/>
      <x:c r="D169" s="19"/>
      <x:c r="E169" s="26"/>
      <x:c r="F169" s="19"/>
      <x:c r="G169" s="19"/>
      <x:c r="H169" s="19"/>
      <x:c r="I169" s="27"/>
      <x:c r="J169" s="26"/>
      <x:c r="K169" s="26"/>
      <x:c r="L169" s="19"/>
      <x:c r="M169" s="19"/>
      <x:c r="N169" s="19"/>
      <x:c r="O169" s="27"/>
      <x:c r="P169" s="19"/>
      <x:c r="Q169" s="26"/>
      <x:c r="R169" s="19"/>
      <x:c r="S169" s="26"/>
      <x:c r="T169" s="19"/>
      <x:c r="U169" s="19"/>
    </x:row>
    <x:row r="170">
      <x:c r="A170" s="19"/>
      <x:c r="B170" s="19"/>
      <x:c r="C170" s="19"/>
      <x:c r="D170" s="19"/>
      <x:c r="E170" s="26"/>
      <x:c r="F170" s="19"/>
      <x:c r="G170" s="19"/>
      <x:c r="H170" s="19"/>
      <x:c r="I170" s="27"/>
      <x:c r="J170" s="26"/>
      <x:c r="K170" s="26"/>
      <x:c r="L170" s="19"/>
      <x:c r="M170" s="19"/>
      <x:c r="N170" s="19"/>
      <x:c r="O170" s="27"/>
      <x:c r="P170" s="19"/>
      <x:c r="Q170" s="26"/>
      <x:c r="R170" s="19"/>
      <x:c r="S170" s="26"/>
      <x:c r="T170" s="19"/>
      <x:c r="U170" s="19"/>
    </x:row>
    <x:row r="171">
      <x:c r="A171" s="19"/>
      <x:c r="B171" s="19"/>
      <x:c r="C171" s="19"/>
      <x:c r="D171" s="19"/>
      <x:c r="E171" s="26"/>
      <x:c r="F171" s="19"/>
      <x:c r="G171" s="19"/>
      <x:c r="H171" s="19"/>
      <x:c r="I171" s="27"/>
      <x:c r="J171" s="26"/>
      <x:c r="K171" s="26"/>
      <x:c r="L171" s="19"/>
      <x:c r="M171" s="19"/>
      <x:c r="N171" s="19"/>
      <x:c r="O171" s="27"/>
      <x:c r="P171" s="19"/>
      <x:c r="Q171" s="26"/>
      <x:c r="R171" s="19"/>
      <x:c r="S171" s="26"/>
      <x:c r="T171" s="19"/>
      <x:c r="U171" s="19"/>
    </x:row>
    <x:row r="172">
      <x:c r="A172" s="19"/>
      <x:c r="B172" s="19"/>
      <x:c r="C172" s="19"/>
      <x:c r="D172" s="19"/>
      <x:c r="E172" s="26"/>
      <x:c r="F172" s="19"/>
      <x:c r="G172" s="19"/>
      <x:c r="H172" s="19"/>
      <x:c r="I172" s="27"/>
      <x:c r="J172" s="26"/>
      <x:c r="K172" s="26"/>
      <x:c r="L172" s="19"/>
      <x:c r="M172" s="19"/>
      <x:c r="N172" s="19"/>
      <x:c r="O172" s="27"/>
      <x:c r="P172" s="19"/>
      <x:c r="Q172" s="26"/>
      <x:c r="R172" s="19"/>
      <x:c r="S172" s="26"/>
      <x:c r="T172" s="19"/>
      <x:c r="U172" s="19"/>
    </x:row>
    <x:row r="173">
      <x:c r="A173" s="19"/>
      <x:c r="B173" s="19"/>
      <x:c r="C173" s="19"/>
      <x:c r="D173" s="19"/>
      <x:c r="E173" s="26"/>
      <x:c r="F173" s="19"/>
      <x:c r="G173" s="19"/>
      <x:c r="H173" s="19"/>
      <x:c r="I173" s="27"/>
      <x:c r="J173" s="26"/>
      <x:c r="K173" s="26"/>
      <x:c r="L173" s="19"/>
      <x:c r="M173" s="19"/>
      <x:c r="N173" s="19"/>
      <x:c r="O173" s="27"/>
      <x:c r="P173" s="19"/>
      <x:c r="Q173" s="26"/>
      <x:c r="R173" s="19"/>
      <x:c r="S173" s="26"/>
      <x:c r="T173" s="19"/>
      <x:c r="U173" s="19"/>
    </x:row>
    <x:row r="174">
      <x:c r="A174" s="19"/>
      <x:c r="B174" s="19"/>
      <x:c r="C174" s="19"/>
      <x:c r="D174" s="19"/>
      <x:c r="E174" s="26"/>
      <x:c r="F174" s="19"/>
      <x:c r="G174" s="19"/>
      <x:c r="H174" s="19"/>
      <x:c r="I174" s="27"/>
      <x:c r="J174" s="26"/>
      <x:c r="K174" s="26"/>
      <x:c r="L174" s="19"/>
      <x:c r="M174" s="19"/>
      <x:c r="N174" s="19"/>
      <x:c r="O174" s="27"/>
      <x:c r="P174" s="19"/>
      <x:c r="Q174" s="26"/>
      <x:c r="R174" s="19"/>
      <x:c r="S174" s="26"/>
      <x:c r="T174" s="19"/>
      <x:c r="U174" s="19"/>
    </x:row>
    <x:row r="175">
      <x:c r="A175" s="19"/>
      <x:c r="B175" s="19"/>
      <x:c r="C175" s="19"/>
      <x:c r="D175" s="19"/>
      <x:c r="E175" s="26"/>
      <x:c r="F175" s="19"/>
      <x:c r="G175" s="19"/>
      <x:c r="H175" s="19"/>
      <x:c r="I175" s="27"/>
      <x:c r="J175" s="26"/>
      <x:c r="K175" s="26"/>
      <x:c r="L175" s="19"/>
      <x:c r="M175" s="19"/>
      <x:c r="N175" s="19"/>
      <x:c r="O175" s="27"/>
      <x:c r="P175" s="19"/>
      <x:c r="Q175" s="26"/>
      <x:c r="R175" s="19"/>
      <x:c r="S175" s="26"/>
      <x:c r="T175" s="19"/>
      <x:c r="U175" s="19"/>
    </x:row>
    <x:row r="176">
      <x:c r="A176" s="19"/>
      <x:c r="B176" s="19"/>
      <x:c r="C176" s="19"/>
      <x:c r="D176" s="19"/>
      <x:c r="E176" s="26"/>
      <x:c r="F176" s="19"/>
      <x:c r="G176" s="19"/>
      <x:c r="H176" s="19"/>
      <x:c r="I176" s="27"/>
      <x:c r="J176" s="26"/>
      <x:c r="K176" s="26"/>
      <x:c r="L176" s="19"/>
      <x:c r="M176" s="19"/>
      <x:c r="N176" s="19"/>
      <x:c r="O176" s="27"/>
      <x:c r="P176" s="19"/>
      <x:c r="Q176" s="26"/>
      <x:c r="R176" s="19"/>
      <x:c r="S176" s="26"/>
      <x:c r="T176" s="19"/>
      <x:c r="U176" s="19"/>
    </x:row>
    <x:row r="177">
      <x:c r="A177" s="19"/>
      <x:c r="B177" s="19"/>
      <x:c r="C177" s="19"/>
      <x:c r="D177" s="19"/>
      <x:c r="E177" s="26"/>
      <x:c r="F177" s="19"/>
      <x:c r="G177" s="19"/>
      <x:c r="H177" s="19"/>
      <x:c r="I177" s="27"/>
      <x:c r="J177" s="26"/>
      <x:c r="K177" s="26"/>
      <x:c r="L177" s="19"/>
      <x:c r="M177" s="19"/>
      <x:c r="N177" s="19"/>
      <x:c r="O177" s="27"/>
      <x:c r="P177" s="19"/>
      <x:c r="Q177" s="26"/>
      <x:c r="R177" s="19"/>
      <x:c r="S177" s="26"/>
      <x:c r="T177" s="19"/>
      <x:c r="U177" s="19"/>
    </x:row>
    <x:row r="178">
      <x:c r="A178" s="19"/>
      <x:c r="B178" s="19"/>
      <x:c r="C178" s="19"/>
      <x:c r="D178" s="19"/>
      <x:c r="E178" s="26"/>
      <x:c r="F178" s="19"/>
      <x:c r="G178" s="19"/>
      <x:c r="H178" s="19"/>
      <x:c r="I178" s="27"/>
      <x:c r="J178" s="26"/>
      <x:c r="K178" s="26"/>
      <x:c r="L178" s="19"/>
      <x:c r="M178" s="19"/>
      <x:c r="N178" s="19"/>
      <x:c r="O178" s="27"/>
      <x:c r="P178" s="19"/>
      <x:c r="Q178" s="26"/>
      <x:c r="R178" s="19"/>
      <x:c r="S178" s="26"/>
      <x:c r="T178" s="19"/>
      <x:c r="U178" s="19"/>
    </x:row>
    <x:row r="179">
      <x:c r="A179" s="19"/>
      <x:c r="B179" s="19"/>
      <x:c r="C179" s="19"/>
      <x:c r="D179" s="19"/>
      <x:c r="E179" s="26"/>
      <x:c r="F179" s="19"/>
      <x:c r="G179" s="19"/>
      <x:c r="H179" s="19"/>
      <x:c r="I179" s="27"/>
      <x:c r="J179" s="26"/>
      <x:c r="K179" s="26"/>
      <x:c r="L179" s="19"/>
      <x:c r="M179" s="19"/>
      <x:c r="N179" s="19"/>
      <x:c r="O179" s="27"/>
      <x:c r="P179" s="19"/>
      <x:c r="Q179" s="26"/>
      <x:c r="R179" s="19"/>
      <x:c r="S179" s="26"/>
      <x:c r="T179" s="19"/>
      <x:c r="U179" s="19"/>
    </x:row>
    <x:row r="180">
      <x:c r="A180" s="19"/>
      <x:c r="B180" s="19"/>
      <x:c r="C180" s="19"/>
      <x:c r="D180" s="19"/>
      <x:c r="E180" s="26"/>
      <x:c r="F180" s="19"/>
      <x:c r="G180" s="19"/>
      <x:c r="H180" s="19"/>
      <x:c r="I180" s="27"/>
      <x:c r="J180" s="26"/>
      <x:c r="K180" s="26"/>
      <x:c r="L180" s="19"/>
      <x:c r="M180" s="19"/>
      <x:c r="N180" s="19"/>
      <x:c r="O180" s="27"/>
      <x:c r="P180" s="19"/>
      <x:c r="Q180" s="26"/>
      <x:c r="R180" s="19"/>
      <x:c r="S180" s="26"/>
      <x:c r="T180" s="19"/>
      <x:c r="U180" s="19"/>
    </x:row>
    <x:row r="181">
      <x:c r="A181" s="19"/>
      <x:c r="B181" s="19"/>
      <x:c r="C181" s="19"/>
      <x:c r="D181" s="19"/>
      <x:c r="E181" s="26"/>
      <x:c r="F181" s="19"/>
      <x:c r="G181" s="19"/>
      <x:c r="H181" s="19"/>
      <x:c r="I181" s="27"/>
      <x:c r="J181" s="26"/>
      <x:c r="K181" s="26"/>
      <x:c r="L181" s="19"/>
      <x:c r="M181" s="19"/>
      <x:c r="N181" s="19"/>
      <x:c r="O181" s="27"/>
      <x:c r="P181" s="19"/>
      <x:c r="Q181" s="26"/>
      <x:c r="R181" s="19"/>
      <x:c r="S181" s="26"/>
      <x:c r="T181" s="19"/>
      <x:c r="U181" s="19"/>
    </x:row>
    <x:row r="182">
      <x:c r="A182" s="19"/>
      <x:c r="B182" s="19"/>
      <x:c r="C182" s="19"/>
      <x:c r="D182" s="19"/>
      <x:c r="E182" s="26"/>
      <x:c r="F182" s="19"/>
      <x:c r="G182" s="19"/>
      <x:c r="H182" s="19"/>
      <x:c r="I182" s="27"/>
      <x:c r="J182" s="26"/>
      <x:c r="K182" s="26"/>
      <x:c r="L182" s="19"/>
      <x:c r="M182" s="19"/>
      <x:c r="N182" s="19"/>
      <x:c r="O182" s="27"/>
      <x:c r="P182" s="19"/>
      <x:c r="Q182" s="26"/>
      <x:c r="R182" s="19"/>
      <x:c r="S182" s="26"/>
      <x:c r="T182" s="19"/>
      <x:c r="U182" s="19"/>
    </x:row>
    <x:row r="183">
      <x:c r="A183" s="19"/>
      <x:c r="B183" s="19"/>
      <x:c r="C183" s="19"/>
      <x:c r="D183" s="19"/>
      <x:c r="E183" s="26"/>
      <x:c r="F183" s="19"/>
      <x:c r="G183" s="19"/>
      <x:c r="H183" s="19"/>
      <x:c r="I183" s="27"/>
      <x:c r="J183" s="26"/>
      <x:c r="K183" s="26"/>
      <x:c r="L183" s="19"/>
      <x:c r="M183" s="19"/>
      <x:c r="N183" s="19"/>
      <x:c r="O183" s="27"/>
      <x:c r="P183" s="19"/>
      <x:c r="Q183" s="26"/>
      <x:c r="R183" s="19"/>
      <x:c r="S183" s="26"/>
      <x:c r="T183" s="19"/>
      <x:c r="U183" s="19"/>
    </x:row>
    <x:row r="184">
      <x:c r="A184" s="19"/>
      <x:c r="B184" s="19"/>
      <x:c r="C184" s="19"/>
      <x:c r="D184" s="19"/>
      <x:c r="E184" s="26"/>
      <x:c r="F184" s="19"/>
      <x:c r="G184" s="19"/>
      <x:c r="H184" s="19"/>
      <x:c r="I184" s="27"/>
      <x:c r="J184" s="26"/>
      <x:c r="K184" s="26"/>
      <x:c r="L184" s="19"/>
      <x:c r="M184" s="19"/>
      <x:c r="N184" s="19"/>
      <x:c r="O184" s="27"/>
      <x:c r="P184" s="19"/>
      <x:c r="Q184" s="26"/>
      <x:c r="R184" s="19"/>
      <x:c r="S184" s="26"/>
      <x:c r="T184" s="19"/>
      <x:c r="U184" s="19"/>
    </x:row>
    <x:row r="185">
      <x:c r="A185" s="19"/>
      <x:c r="B185" s="19"/>
      <x:c r="C185" s="19"/>
      <x:c r="D185" s="19"/>
      <x:c r="E185" s="26"/>
      <x:c r="F185" s="19"/>
      <x:c r="G185" s="19"/>
      <x:c r="H185" s="19"/>
      <x:c r="I185" s="27"/>
      <x:c r="J185" s="26"/>
      <x:c r="K185" s="26"/>
      <x:c r="L185" s="19"/>
      <x:c r="M185" s="19"/>
      <x:c r="N185" s="19"/>
      <x:c r="O185" s="27"/>
      <x:c r="P185" s="19"/>
      <x:c r="Q185" s="26"/>
      <x:c r="R185" s="19"/>
      <x:c r="S185" s="26"/>
      <x:c r="T185" s="19"/>
      <x:c r="U185" s="19"/>
    </x:row>
    <x:row r="186">
      <x:c r="A186" s="19"/>
      <x:c r="B186" s="19"/>
      <x:c r="C186" s="19"/>
      <x:c r="D186" s="19"/>
      <x:c r="E186" s="26"/>
      <x:c r="F186" s="19"/>
      <x:c r="G186" s="19"/>
      <x:c r="H186" s="19"/>
      <x:c r="I186" s="27"/>
      <x:c r="J186" s="26"/>
      <x:c r="K186" s="26"/>
      <x:c r="L186" s="19"/>
      <x:c r="M186" s="19"/>
      <x:c r="N186" s="19"/>
      <x:c r="O186" s="27"/>
      <x:c r="P186" s="19"/>
      <x:c r="Q186" s="26"/>
      <x:c r="R186" s="19"/>
      <x:c r="S186" s="26"/>
      <x:c r="T186" s="19"/>
      <x:c r="U186" s="19"/>
    </x:row>
    <x:row r="187">
      <x:c r="A187" s="19"/>
      <x:c r="B187" s="19"/>
      <x:c r="C187" s="19"/>
      <x:c r="D187" s="19"/>
      <x:c r="E187" s="26"/>
      <x:c r="F187" s="19"/>
      <x:c r="G187" s="19"/>
      <x:c r="H187" s="19"/>
      <x:c r="I187" s="27"/>
      <x:c r="J187" s="26"/>
      <x:c r="K187" s="26"/>
      <x:c r="L187" s="19"/>
      <x:c r="M187" s="19"/>
      <x:c r="N187" s="19"/>
      <x:c r="O187" s="27"/>
      <x:c r="P187" s="19"/>
      <x:c r="Q187" s="26"/>
      <x:c r="R187" s="19"/>
      <x:c r="S187" s="26"/>
      <x:c r="T187" s="19"/>
      <x:c r="U187" s="19"/>
    </x:row>
    <x:row r="188">
      <x:c r="A188" s="19"/>
      <x:c r="B188" s="19"/>
      <x:c r="C188" s="19"/>
      <x:c r="D188" s="19"/>
      <x:c r="E188" s="26"/>
      <x:c r="F188" s="19"/>
      <x:c r="G188" s="19"/>
      <x:c r="H188" s="19"/>
      <x:c r="I188" s="27"/>
      <x:c r="J188" s="26"/>
      <x:c r="K188" s="26"/>
      <x:c r="L188" s="19"/>
      <x:c r="M188" s="19"/>
      <x:c r="N188" s="19"/>
      <x:c r="O188" s="27"/>
      <x:c r="P188" s="19"/>
      <x:c r="Q188" s="26"/>
      <x:c r="R188" s="19"/>
      <x:c r="S188" s="26"/>
      <x:c r="T188" s="19"/>
      <x:c r="U188" s="19"/>
    </x:row>
    <x:row r="189">
      <x:c r="A189" s="19"/>
      <x:c r="B189" s="19"/>
      <x:c r="C189" s="19"/>
      <x:c r="D189" s="19"/>
      <x:c r="E189" s="26"/>
      <x:c r="F189" s="19"/>
      <x:c r="G189" s="19"/>
      <x:c r="H189" s="19"/>
      <x:c r="I189" s="27"/>
      <x:c r="J189" s="26"/>
      <x:c r="K189" s="26"/>
      <x:c r="L189" s="19"/>
      <x:c r="M189" s="19"/>
      <x:c r="N189" s="19"/>
      <x:c r="O189" s="27"/>
      <x:c r="P189" s="19"/>
      <x:c r="Q189" s="26"/>
      <x:c r="R189" s="19"/>
      <x:c r="S189" s="26"/>
      <x:c r="T189" s="19"/>
      <x:c r="U189" s="19"/>
    </x:row>
    <x:row r="190">
      <x:c r="A190" s="19"/>
      <x:c r="B190" s="19"/>
      <x:c r="C190" s="19"/>
      <x:c r="D190" s="19"/>
      <x:c r="E190" s="26"/>
      <x:c r="F190" s="19"/>
      <x:c r="G190" s="19"/>
      <x:c r="H190" s="19"/>
      <x:c r="I190" s="27"/>
      <x:c r="J190" s="26"/>
      <x:c r="K190" s="26"/>
      <x:c r="L190" s="19"/>
      <x:c r="M190" s="19"/>
      <x:c r="N190" s="19"/>
      <x:c r="O190" s="27"/>
      <x:c r="P190" s="19"/>
      <x:c r="Q190" s="26"/>
      <x:c r="R190" s="19"/>
      <x:c r="S190" s="26"/>
      <x:c r="T190" s="19"/>
      <x:c r="U190" s="19"/>
    </x:row>
    <x:row r="191">
      <x:c r="A191" s="19"/>
      <x:c r="B191" s="19"/>
      <x:c r="C191" s="19"/>
      <x:c r="D191" s="19"/>
      <x:c r="E191" s="26"/>
      <x:c r="F191" s="19"/>
      <x:c r="G191" s="19"/>
      <x:c r="H191" s="19"/>
      <x:c r="I191" s="27"/>
      <x:c r="J191" s="26"/>
      <x:c r="K191" s="26"/>
      <x:c r="L191" s="19"/>
      <x:c r="M191" s="19"/>
      <x:c r="N191" s="19"/>
      <x:c r="O191" s="27"/>
      <x:c r="P191" s="19"/>
      <x:c r="Q191" s="26"/>
      <x:c r="R191" s="19"/>
      <x:c r="S191" s="26"/>
      <x:c r="T191" s="19"/>
      <x:c r="U191" s="19"/>
    </x:row>
    <x:row r="192">
      <x:c r="A192" s="19"/>
      <x:c r="B192" s="19"/>
      <x:c r="C192" s="19"/>
      <x:c r="D192" s="19"/>
      <x:c r="E192" s="26"/>
      <x:c r="F192" s="19"/>
      <x:c r="G192" s="19"/>
      <x:c r="H192" s="19"/>
      <x:c r="I192" s="27"/>
      <x:c r="J192" s="26"/>
      <x:c r="K192" s="26"/>
      <x:c r="L192" s="19"/>
      <x:c r="M192" s="19"/>
      <x:c r="N192" s="19"/>
      <x:c r="O192" s="27"/>
      <x:c r="P192" s="19"/>
      <x:c r="Q192" s="26"/>
      <x:c r="R192" s="19"/>
      <x:c r="S192" s="26"/>
      <x:c r="T192" s="19"/>
      <x:c r="U192" s="19"/>
    </x:row>
    <x:row r="193">
      <x:c r="A193" s="19"/>
      <x:c r="B193" s="19"/>
      <x:c r="C193" s="19"/>
      <x:c r="D193" s="19"/>
      <x:c r="E193" s="26"/>
      <x:c r="F193" s="19"/>
      <x:c r="G193" s="19"/>
      <x:c r="H193" s="19"/>
      <x:c r="I193" s="27"/>
      <x:c r="J193" s="26"/>
      <x:c r="K193" s="26"/>
      <x:c r="L193" s="19"/>
      <x:c r="M193" s="19"/>
      <x:c r="N193" s="19"/>
      <x:c r="O193" s="27"/>
      <x:c r="P193" s="19"/>
      <x:c r="Q193" s="26"/>
      <x:c r="R193" s="19"/>
      <x:c r="S193" s="26"/>
      <x:c r="T193" s="19"/>
      <x:c r="U193" s="19"/>
    </x:row>
    <x:row r="194">
      <x:c r="A194" s="19"/>
      <x:c r="B194" s="19"/>
      <x:c r="C194" s="19"/>
      <x:c r="D194" s="19"/>
      <x:c r="E194" s="26"/>
      <x:c r="F194" s="19"/>
      <x:c r="G194" s="19"/>
      <x:c r="H194" s="19"/>
      <x:c r="I194" s="27"/>
      <x:c r="J194" s="26"/>
      <x:c r="K194" s="26"/>
      <x:c r="L194" s="19"/>
      <x:c r="M194" s="19"/>
      <x:c r="N194" s="19"/>
      <x:c r="O194" s="27"/>
      <x:c r="P194" s="19"/>
      <x:c r="Q194" s="26"/>
      <x:c r="R194" s="19"/>
      <x:c r="S194" s="26"/>
      <x:c r="T194" s="19"/>
      <x:c r="U194" s="19"/>
    </x:row>
    <x:row r="195">
      <x:c r="A195" s="19"/>
      <x:c r="B195" s="19"/>
      <x:c r="C195" s="19"/>
      <x:c r="D195" s="19"/>
      <x:c r="E195" s="26"/>
      <x:c r="F195" s="19"/>
      <x:c r="G195" s="19"/>
      <x:c r="H195" s="19"/>
      <x:c r="I195" s="27"/>
      <x:c r="J195" s="26"/>
      <x:c r="K195" s="26"/>
      <x:c r="L195" s="19"/>
      <x:c r="M195" s="19"/>
      <x:c r="N195" s="19"/>
      <x:c r="O195" s="27"/>
      <x:c r="P195" s="19"/>
      <x:c r="Q195" s="26"/>
      <x:c r="R195" s="19"/>
      <x:c r="S195" s="26"/>
      <x:c r="T195" s="19"/>
      <x:c r="U195" s="19"/>
    </x:row>
    <x:row r="196">
      <x:c r="A196" s="19"/>
      <x:c r="B196" s="19"/>
      <x:c r="C196" s="19"/>
      <x:c r="D196" s="19"/>
      <x:c r="E196" s="26"/>
      <x:c r="F196" s="19"/>
      <x:c r="G196" s="19"/>
      <x:c r="H196" s="19"/>
      <x:c r="I196" s="27"/>
      <x:c r="J196" s="26"/>
      <x:c r="K196" s="26"/>
      <x:c r="L196" s="19"/>
      <x:c r="M196" s="19"/>
      <x:c r="N196" s="19"/>
      <x:c r="O196" s="27"/>
      <x:c r="P196" s="19"/>
      <x:c r="Q196" s="26"/>
      <x:c r="R196" s="19"/>
      <x:c r="S196" s="26"/>
      <x:c r="T196" s="19"/>
      <x:c r="U196" s="19"/>
    </x:row>
    <x:row r="197">
      <x:c r="A197" s="19"/>
      <x:c r="B197" s="19"/>
      <x:c r="C197" s="19"/>
      <x:c r="D197" s="19"/>
      <x:c r="E197" s="26"/>
      <x:c r="F197" s="19"/>
      <x:c r="G197" s="19"/>
      <x:c r="H197" s="19"/>
      <x:c r="I197" s="27"/>
      <x:c r="J197" s="26"/>
      <x:c r="K197" s="26"/>
      <x:c r="L197" s="19"/>
      <x:c r="M197" s="19"/>
      <x:c r="N197" s="19"/>
      <x:c r="O197" s="27"/>
      <x:c r="P197" s="19"/>
      <x:c r="Q197" s="26"/>
      <x:c r="R197" s="19"/>
      <x:c r="S197" s="26"/>
      <x:c r="T197" s="19"/>
      <x:c r="U197" s="19"/>
    </x:row>
    <x:row r="198">
      <x:c r="A198" s="19"/>
      <x:c r="B198" s="19"/>
      <x:c r="C198" s="19"/>
      <x:c r="D198" s="19"/>
      <x:c r="E198" s="26"/>
      <x:c r="F198" s="19"/>
      <x:c r="G198" s="19"/>
      <x:c r="H198" s="19"/>
      <x:c r="I198" s="27"/>
      <x:c r="J198" s="26"/>
      <x:c r="K198" s="26"/>
      <x:c r="L198" s="19"/>
      <x:c r="M198" s="19"/>
      <x:c r="N198" s="19"/>
      <x:c r="O198" s="27"/>
      <x:c r="P198" s="19"/>
      <x:c r="Q198" s="26"/>
      <x:c r="R198" s="19"/>
      <x:c r="S198" s="26"/>
      <x:c r="T198" s="19"/>
      <x:c r="U198" s="19"/>
    </x:row>
    <x:row r="199">
      <x:c r="A199" s="19"/>
      <x:c r="B199" s="19"/>
      <x:c r="C199" s="19"/>
      <x:c r="D199" s="19"/>
      <x:c r="E199" s="26"/>
      <x:c r="F199" s="19"/>
      <x:c r="G199" s="19"/>
      <x:c r="H199" s="19"/>
      <x:c r="I199" s="27"/>
      <x:c r="J199" s="26"/>
      <x:c r="K199" s="26"/>
      <x:c r="L199" s="19"/>
      <x:c r="M199" s="19"/>
      <x:c r="N199" s="19"/>
      <x:c r="O199" s="27"/>
      <x:c r="P199" s="19"/>
      <x:c r="Q199" s="26"/>
      <x:c r="R199" s="19"/>
      <x:c r="S199" s="26"/>
      <x:c r="T199" s="19"/>
      <x:c r="U199" s="19"/>
    </x:row>
    <x:row r="200">
      <x:c r="A200" s="19"/>
      <x:c r="B200" s="19"/>
      <x:c r="C200" s="19"/>
      <x:c r="D200" s="19"/>
      <x:c r="E200" s="26"/>
      <x:c r="F200" s="19"/>
      <x:c r="G200" s="19"/>
      <x:c r="H200" s="19"/>
      <x:c r="I200" s="27"/>
      <x:c r="J200" s="26"/>
      <x:c r="K200" s="26"/>
      <x:c r="L200" s="19"/>
      <x:c r="M200" s="19"/>
      <x:c r="N200" s="19"/>
      <x:c r="O200" s="27"/>
      <x:c r="P200" s="19"/>
      <x:c r="Q200" s="26"/>
      <x:c r="R200" s="19"/>
      <x:c r="S200" s="26"/>
      <x:c r="T200" s="19"/>
      <x:c r="U200" s="19"/>
    </x:row>
    <x:row r="201">
      <x:c r="A201" s="19"/>
      <x:c r="B201" s="19"/>
      <x:c r="C201" s="19"/>
      <x:c r="D201" s="19"/>
      <x:c r="E201" s="26"/>
      <x:c r="F201" s="19"/>
      <x:c r="G201" s="19"/>
      <x:c r="H201" s="19"/>
      <x:c r="I201" s="27"/>
      <x:c r="J201" s="26"/>
      <x:c r="K201" s="26"/>
      <x:c r="L201" s="19"/>
      <x:c r="M201" s="19"/>
      <x:c r="N201" s="19"/>
      <x:c r="O201" s="27"/>
      <x:c r="P201" s="19"/>
      <x:c r="Q201" s="26"/>
      <x:c r="R201" s="19"/>
      <x:c r="S201" s="26"/>
      <x:c r="T201" s="19"/>
      <x:c r="U201" s="19"/>
    </x:row>
    <x:row r="202">
      <x:c r="A202" s="19"/>
      <x:c r="B202" s="19"/>
      <x:c r="C202" s="19"/>
      <x:c r="D202" s="19"/>
      <x:c r="E202" s="26"/>
      <x:c r="F202" s="19"/>
      <x:c r="G202" s="19"/>
      <x:c r="H202" s="19"/>
      <x:c r="I202" s="27"/>
      <x:c r="J202" s="26"/>
      <x:c r="K202" s="26"/>
      <x:c r="L202" s="19"/>
      <x:c r="M202" s="19"/>
      <x:c r="N202" s="19"/>
      <x:c r="O202" s="27"/>
      <x:c r="P202" s="19"/>
      <x:c r="Q202" s="26"/>
      <x:c r="R202" s="19"/>
      <x:c r="S202" s="26"/>
      <x:c r="T202" s="19"/>
      <x:c r="U202" s="19"/>
    </x:row>
    <x:row r="203">
      <x:c r="A203" s="19"/>
      <x:c r="B203" s="19"/>
      <x:c r="C203" s="19"/>
      <x:c r="D203" s="19"/>
      <x:c r="E203" s="26"/>
      <x:c r="F203" s="19"/>
      <x:c r="G203" s="19"/>
      <x:c r="H203" s="19"/>
      <x:c r="I203" s="27"/>
      <x:c r="J203" s="26"/>
      <x:c r="K203" s="26"/>
      <x:c r="L203" s="19"/>
      <x:c r="M203" s="19"/>
      <x:c r="N203" s="19"/>
      <x:c r="O203" s="27"/>
      <x:c r="P203" s="19"/>
      <x:c r="Q203" s="26"/>
      <x:c r="R203" s="19"/>
      <x:c r="S203" s="26"/>
      <x:c r="T203" s="19"/>
      <x:c r="U203" s="19"/>
    </x:row>
    <x:row r="204">
      <x:c r="A204" s="19"/>
      <x:c r="B204" s="19"/>
      <x:c r="C204" s="19"/>
      <x:c r="D204" s="19"/>
      <x:c r="E204" s="26"/>
      <x:c r="F204" s="19"/>
      <x:c r="G204" s="19"/>
      <x:c r="H204" s="19"/>
      <x:c r="I204" s="27"/>
      <x:c r="J204" s="26"/>
      <x:c r="K204" s="26"/>
      <x:c r="L204" s="19"/>
      <x:c r="M204" s="19"/>
      <x:c r="N204" s="19"/>
      <x:c r="O204" s="27"/>
      <x:c r="P204" s="19"/>
      <x:c r="Q204" s="26"/>
      <x:c r="R204" s="19"/>
      <x:c r="S204" s="26"/>
      <x:c r="T204" s="19"/>
      <x:c r="U204" s="19"/>
    </x:row>
    <x:row r="205">
      <x:c r="A205" s="19"/>
      <x:c r="B205" s="19"/>
      <x:c r="C205" s="19"/>
      <x:c r="D205" s="19"/>
      <x:c r="E205" s="26"/>
      <x:c r="F205" s="19"/>
      <x:c r="G205" s="19"/>
      <x:c r="H205" s="19"/>
      <x:c r="I205" s="27"/>
      <x:c r="J205" s="26"/>
      <x:c r="K205" s="26"/>
      <x:c r="L205" s="19"/>
      <x:c r="M205" s="19"/>
      <x:c r="N205" s="19"/>
      <x:c r="O205" s="27"/>
      <x:c r="P205" s="19"/>
      <x:c r="Q205" s="26"/>
      <x:c r="R205" s="19"/>
      <x:c r="S205" s="26"/>
      <x:c r="T205" s="19"/>
      <x:c r="U205" s="19"/>
    </x:row>
    <x:row r="206">
      <x:c r="A206" s="19"/>
      <x:c r="B206" s="19"/>
      <x:c r="C206" s="19"/>
      <x:c r="D206" s="19"/>
      <x:c r="E206" s="26"/>
      <x:c r="F206" s="19"/>
      <x:c r="G206" s="19"/>
      <x:c r="H206" s="19"/>
      <x:c r="I206" s="27"/>
      <x:c r="J206" s="26"/>
      <x:c r="K206" s="26"/>
      <x:c r="L206" s="19"/>
      <x:c r="M206" s="19"/>
      <x:c r="N206" s="19"/>
      <x:c r="O206" s="27"/>
      <x:c r="P206" s="19"/>
      <x:c r="Q206" s="26"/>
      <x:c r="R206" s="19"/>
      <x:c r="S206" s="26"/>
      <x:c r="T206" s="19"/>
      <x:c r="U206" s="19"/>
    </x:row>
    <x:row r="207">
      <x:c r="A207" s="19"/>
      <x:c r="B207" s="19"/>
      <x:c r="C207" s="19"/>
      <x:c r="D207" s="19"/>
      <x:c r="E207" s="26"/>
      <x:c r="F207" s="19"/>
      <x:c r="G207" s="19"/>
      <x:c r="H207" s="19"/>
      <x:c r="I207" s="27"/>
      <x:c r="J207" s="26"/>
      <x:c r="K207" s="26"/>
      <x:c r="L207" s="19"/>
      <x:c r="M207" s="19"/>
      <x:c r="N207" s="19"/>
      <x:c r="O207" s="27"/>
      <x:c r="P207" s="19"/>
      <x:c r="Q207" s="26"/>
      <x:c r="R207" s="19"/>
      <x:c r="S207" s="26"/>
      <x:c r="T207" s="19"/>
      <x:c r="U207" s="19"/>
    </x:row>
    <x:row r="208">
      <x:c r="A208" s="19"/>
      <x:c r="B208" s="19"/>
      <x:c r="C208" s="19"/>
      <x:c r="D208" s="19"/>
      <x:c r="E208" s="26"/>
      <x:c r="F208" s="19"/>
      <x:c r="G208" s="19"/>
      <x:c r="H208" s="19"/>
      <x:c r="I208" s="27"/>
      <x:c r="J208" s="26"/>
      <x:c r="K208" s="26"/>
      <x:c r="L208" s="19"/>
      <x:c r="M208" s="19"/>
      <x:c r="N208" s="19"/>
      <x:c r="O208" s="27"/>
      <x:c r="P208" s="19"/>
      <x:c r="Q208" s="26"/>
      <x:c r="R208" s="19"/>
      <x:c r="S208" s="26"/>
      <x:c r="T208" s="19"/>
      <x:c r="U208" s="19"/>
    </x:row>
    <x:row r="209">
      <x:c r="A209" s="19"/>
      <x:c r="B209" s="19"/>
      <x:c r="C209" s="19"/>
      <x:c r="D209" s="19"/>
      <x:c r="E209" s="26"/>
      <x:c r="F209" s="19"/>
      <x:c r="G209" s="19"/>
      <x:c r="H209" s="19"/>
      <x:c r="I209" s="27"/>
      <x:c r="J209" s="26"/>
      <x:c r="K209" s="26"/>
      <x:c r="L209" s="19"/>
      <x:c r="M209" s="19"/>
      <x:c r="N209" s="19"/>
      <x:c r="O209" s="27"/>
      <x:c r="P209" s="19"/>
      <x:c r="Q209" s="26"/>
      <x:c r="R209" s="19"/>
      <x:c r="S209" s="26"/>
      <x:c r="T209" s="19"/>
      <x:c r="U209" s="19"/>
    </x:row>
    <x:row r="210">
      <x:c r="A210" s="19"/>
      <x:c r="B210" s="19"/>
      <x:c r="C210" s="19"/>
      <x:c r="D210" s="19"/>
      <x:c r="E210" s="26"/>
      <x:c r="F210" s="19"/>
      <x:c r="G210" s="19"/>
      <x:c r="H210" s="19"/>
      <x:c r="I210" s="27"/>
      <x:c r="J210" s="26"/>
      <x:c r="K210" s="26"/>
      <x:c r="L210" s="19"/>
      <x:c r="M210" s="19"/>
      <x:c r="N210" s="19"/>
      <x:c r="O210" s="27"/>
      <x:c r="P210" s="19"/>
      <x:c r="Q210" s="26"/>
      <x:c r="R210" s="19"/>
      <x:c r="S210" s="26"/>
      <x:c r="T210" s="19"/>
      <x:c r="U210" s="19"/>
    </x:row>
    <x:row r="211">
      <x:c r="A211" s="19"/>
      <x:c r="B211" s="19"/>
      <x:c r="C211" s="19"/>
      <x:c r="D211" s="19"/>
      <x:c r="E211" s="26"/>
      <x:c r="F211" s="19"/>
      <x:c r="G211" s="19"/>
      <x:c r="H211" s="19"/>
      <x:c r="I211" s="27"/>
      <x:c r="J211" s="26"/>
      <x:c r="K211" s="26"/>
      <x:c r="L211" s="19"/>
      <x:c r="M211" s="19"/>
      <x:c r="N211" s="19"/>
      <x:c r="O211" s="27"/>
      <x:c r="P211" s="19"/>
      <x:c r="Q211" s="26"/>
      <x:c r="R211" s="19"/>
      <x:c r="S211" s="26"/>
      <x:c r="T211" s="19"/>
      <x:c r="U211" s="19"/>
    </x:row>
    <x:row r="212">
      <x:c r="A212" s="19"/>
      <x:c r="B212" s="19"/>
      <x:c r="C212" s="19"/>
      <x:c r="D212" s="19"/>
      <x:c r="E212" s="26"/>
      <x:c r="F212" s="19"/>
      <x:c r="G212" s="19"/>
      <x:c r="H212" s="19"/>
      <x:c r="I212" s="27"/>
      <x:c r="J212" s="26"/>
      <x:c r="K212" s="26"/>
      <x:c r="L212" s="19"/>
      <x:c r="M212" s="19"/>
      <x:c r="N212" s="19"/>
      <x:c r="O212" s="27"/>
      <x:c r="P212" s="19"/>
      <x:c r="Q212" s="26"/>
      <x:c r="R212" s="19"/>
      <x:c r="S212" s="26"/>
      <x:c r="T212" s="19"/>
      <x:c r="U212" s="19"/>
    </x:row>
    <x:row r="213">
      <x:c r="A213" s="19"/>
      <x:c r="B213" s="19"/>
      <x:c r="C213" s="19"/>
      <x:c r="D213" s="19"/>
      <x:c r="E213" s="26"/>
      <x:c r="F213" s="19"/>
      <x:c r="G213" s="19"/>
      <x:c r="H213" s="19"/>
      <x:c r="I213" s="27"/>
      <x:c r="J213" s="26"/>
      <x:c r="K213" s="26"/>
      <x:c r="L213" s="19"/>
      <x:c r="M213" s="19"/>
      <x:c r="N213" s="19"/>
      <x:c r="O213" s="27"/>
      <x:c r="P213" s="19"/>
      <x:c r="Q213" s="26"/>
      <x:c r="R213" s="19"/>
      <x:c r="S213" s="26"/>
      <x:c r="T213" s="19"/>
      <x:c r="U213" s="19"/>
    </x:row>
    <x:row r="214">
      <x:c r="A214" s="19"/>
      <x:c r="B214" s="19"/>
      <x:c r="C214" s="19"/>
      <x:c r="D214" s="19"/>
      <x:c r="E214" s="26"/>
      <x:c r="F214" s="19"/>
      <x:c r="G214" s="19"/>
      <x:c r="H214" s="19"/>
      <x:c r="I214" s="27"/>
      <x:c r="J214" s="26"/>
      <x:c r="K214" s="26"/>
      <x:c r="L214" s="19"/>
      <x:c r="M214" s="19"/>
      <x:c r="N214" s="19"/>
      <x:c r="O214" s="27"/>
      <x:c r="P214" s="19"/>
      <x:c r="Q214" s="26"/>
      <x:c r="R214" s="19"/>
      <x:c r="S214" s="26"/>
      <x:c r="T214" s="19"/>
      <x:c r="U214" s="19"/>
    </x:row>
    <x:row r="215">
      <x:c r="A215" s="19"/>
      <x:c r="B215" s="19"/>
      <x:c r="C215" s="19"/>
      <x:c r="D215" s="19"/>
      <x:c r="E215" s="26"/>
      <x:c r="F215" s="19"/>
      <x:c r="G215" s="19"/>
      <x:c r="H215" s="19"/>
      <x:c r="I215" s="27"/>
      <x:c r="J215" s="26"/>
      <x:c r="K215" s="26"/>
      <x:c r="L215" s="19"/>
      <x:c r="M215" s="19"/>
      <x:c r="N215" s="19"/>
      <x:c r="O215" s="27"/>
      <x:c r="P215" s="19"/>
      <x:c r="Q215" s="26"/>
      <x:c r="R215" s="19"/>
      <x:c r="S215" s="26"/>
      <x:c r="T215" s="19"/>
      <x:c r="U215" s="19"/>
    </x:row>
    <x:row r="216">
      <x:c r="A216" s="19"/>
      <x:c r="B216" s="19"/>
      <x:c r="C216" s="19"/>
      <x:c r="D216" s="19"/>
      <x:c r="E216" s="26"/>
      <x:c r="F216" s="19"/>
      <x:c r="G216" s="19"/>
      <x:c r="H216" s="19"/>
      <x:c r="I216" s="27"/>
      <x:c r="J216" s="26"/>
      <x:c r="K216" s="26"/>
      <x:c r="L216" s="19"/>
      <x:c r="M216" s="19"/>
      <x:c r="N216" s="19"/>
      <x:c r="O216" s="27"/>
      <x:c r="P216" s="19"/>
      <x:c r="Q216" s="26"/>
      <x:c r="R216" s="19"/>
      <x:c r="S216" s="26"/>
      <x:c r="T216" s="19"/>
      <x:c r="U216" s="19"/>
    </x:row>
    <x:row r="217">
      <x:c r="A217" s="19"/>
      <x:c r="B217" s="19"/>
      <x:c r="C217" s="19"/>
      <x:c r="D217" s="19"/>
      <x:c r="E217" s="26"/>
      <x:c r="F217" s="19"/>
      <x:c r="G217" s="19"/>
      <x:c r="H217" s="19"/>
      <x:c r="I217" s="27"/>
      <x:c r="J217" s="26"/>
      <x:c r="K217" s="26"/>
      <x:c r="L217" s="19"/>
      <x:c r="M217" s="19"/>
      <x:c r="N217" s="19"/>
      <x:c r="O217" s="27"/>
      <x:c r="P217" s="19"/>
      <x:c r="Q217" s="26"/>
      <x:c r="R217" s="19"/>
      <x:c r="S217" s="26"/>
      <x:c r="T217" s="19"/>
      <x:c r="U217" s="19"/>
    </x:row>
    <x:row r="218">
      <x:c r="A218" s="19"/>
      <x:c r="B218" s="19"/>
      <x:c r="C218" s="19"/>
      <x:c r="D218" s="19"/>
      <x:c r="E218" s="26"/>
      <x:c r="F218" s="19"/>
      <x:c r="G218" s="19"/>
      <x:c r="H218" s="19"/>
      <x:c r="I218" s="27"/>
      <x:c r="J218" s="26"/>
      <x:c r="K218" s="26"/>
      <x:c r="L218" s="19"/>
      <x:c r="M218" s="19"/>
      <x:c r="N218" s="19"/>
      <x:c r="O218" s="27"/>
      <x:c r="P218" s="19"/>
      <x:c r="Q218" s="26"/>
      <x:c r="R218" s="19"/>
      <x:c r="S218" s="26"/>
      <x:c r="T218" s="19"/>
      <x:c r="U218" s="19"/>
    </x:row>
    <x:row r="219">
      <x:c r="A219" s="19"/>
      <x:c r="B219" s="19"/>
      <x:c r="C219" s="19"/>
      <x:c r="D219" s="19"/>
      <x:c r="E219" s="26"/>
      <x:c r="F219" s="19"/>
      <x:c r="G219" s="19"/>
      <x:c r="H219" s="19"/>
      <x:c r="I219" s="27"/>
      <x:c r="J219" s="26"/>
      <x:c r="K219" s="26"/>
      <x:c r="L219" s="19"/>
      <x:c r="M219" s="19"/>
      <x:c r="N219" s="19"/>
      <x:c r="O219" s="27"/>
      <x:c r="P219" s="19"/>
      <x:c r="Q219" s="26"/>
      <x:c r="R219" s="19"/>
      <x:c r="S219" s="26"/>
      <x:c r="T219" s="19"/>
      <x:c r="U219" s="19"/>
    </x:row>
    <x:row r="220">
      <x:c r="A220" s="19"/>
      <x:c r="B220" s="19"/>
      <x:c r="C220" s="19"/>
      <x:c r="D220" s="19"/>
      <x:c r="E220" s="26"/>
      <x:c r="F220" s="19"/>
      <x:c r="G220" s="19"/>
      <x:c r="H220" s="19"/>
      <x:c r="I220" s="27"/>
      <x:c r="J220" s="26"/>
      <x:c r="K220" s="26"/>
      <x:c r="L220" s="19"/>
      <x:c r="M220" s="19"/>
      <x:c r="N220" s="19"/>
      <x:c r="O220" s="27"/>
      <x:c r="P220" s="19"/>
      <x:c r="Q220" s="26"/>
      <x:c r="R220" s="19"/>
      <x:c r="S220" s="26"/>
      <x:c r="T220" s="19"/>
      <x:c r="U220" s="19"/>
    </x:row>
    <x:row r="221">
      <x:c r="A221" s="19"/>
      <x:c r="B221" s="19"/>
      <x:c r="C221" s="19"/>
      <x:c r="D221" s="19"/>
      <x:c r="E221" s="26"/>
      <x:c r="F221" s="19"/>
      <x:c r="G221" s="19"/>
      <x:c r="H221" s="19"/>
      <x:c r="I221" s="27"/>
      <x:c r="J221" s="26"/>
      <x:c r="K221" s="26"/>
      <x:c r="L221" s="19"/>
      <x:c r="M221" s="19"/>
      <x:c r="N221" s="19"/>
      <x:c r="O221" s="27"/>
      <x:c r="P221" s="19"/>
      <x:c r="Q221" s="26"/>
      <x:c r="R221" s="19"/>
      <x:c r="S221" s="26"/>
      <x:c r="T221" s="19"/>
      <x:c r="U221" s="19"/>
    </x:row>
    <x:row r="222">
      <x:c r="A222" s="19"/>
      <x:c r="B222" s="19"/>
      <x:c r="C222" s="19"/>
      <x:c r="D222" s="19"/>
      <x:c r="E222" s="26"/>
      <x:c r="F222" s="19"/>
      <x:c r="G222" s="19"/>
      <x:c r="H222" s="19"/>
      <x:c r="I222" s="27"/>
      <x:c r="J222" s="26"/>
      <x:c r="K222" s="26"/>
      <x:c r="L222" s="19"/>
      <x:c r="M222" s="19"/>
      <x:c r="N222" s="19"/>
      <x:c r="O222" s="27"/>
      <x:c r="P222" s="19"/>
      <x:c r="Q222" s="26"/>
      <x:c r="R222" s="19"/>
      <x:c r="S222" s="26"/>
      <x:c r="T222" s="19"/>
      <x:c r="U222" s="19"/>
    </x:row>
    <x:row r="223">
      <x:c r="A223" s="19"/>
      <x:c r="B223" s="19"/>
      <x:c r="C223" s="19"/>
      <x:c r="D223" s="19"/>
      <x:c r="E223" s="26"/>
      <x:c r="F223" s="19"/>
      <x:c r="G223" s="19"/>
      <x:c r="H223" s="19"/>
      <x:c r="I223" s="27"/>
      <x:c r="J223" s="26"/>
      <x:c r="K223" s="26"/>
      <x:c r="L223" s="19"/>
      <x:c r="M223" s="19"/>
      <x:c r="N223" s="19"/>
      <x:c r="O223" s="27"/>
      <x:c r="P223" s="19"/>
      <x:c r="Q223" s="26"/>
      <x:c r="R223" s="19"/>
      <x:c r="S223" s="26"/>
      <x:c r="T223" s="19"/>
      <x:c r="U223" s="19"/>
    </x:row>
    <x:row r="224">
      <x:c r="A224" s="19"/>
      <x:c r="B224" s="19"/>
      <x:c r="C224" s="19"/>
      <x:c r="D224" s="19"/>
      <x:c r="E224" s="26"/>
      <x:c r="F224" s="19"/>
      <x:c r="G224" s="19"/>
      <x:c r="H224" s="19"/>
      <x:c r="I224" s="27"/>
      <x:c r="J224" s="26"/>
      <x:c r="K224" s="26"/>
      <x:c r="L224" s="19"/>
      <x:c r="M224" s="19"/>
      <x:c r="N224" s="19"/>
      <x:c r="O224" s="27"/>
      <x:c r="P224" s="19"/>
      <x:c r="Q224" s="26"/>
      <x:c r="R224" s="19"/>
      <x:c r="S224" s="26"/>
      <x:c r="T224" s="19"/>
      <x:c r="U224" s="19"/>
    </x:row>
    <x:row r="225">
      <x:c r="A225" s="19"/>
      <x:c r="B225" s="19"/>
      <x:c r="C225" s="19"/>
      <x:c r="D225" s="19"/>
      <x:c r="E225" s="26"/>
      <x:c r="F225" s="19"/>
      <x:c r="G225" s="19"/>
      <x:c r="H225" s="19"/>
      <x:c r="I225" s="27"/>
      <x:c r="J225" s="26"/>
      <x:c r="K225" s="26"/>
      <x:c r="L225" s="19"/>
      <x:c r="M225" s="19"/>
      <x:c r="N225" s="19"/>
      <x:c r="O225" s="27"/>
      <x:c r="P225" s="19"/>
      <x:c r="Q225" s="26"/>
      <x:c r="R225" s="19"/>
      <x:c r="S225" s="26"/>
      <x:c r="T225" s="19"/>
      <x:c r="U225" s="19"/>
    </x:row>
    <x:row r="226">
      <x:c r="A226" s="19"/>
      <x:c r="B226" s="19"/>
      <x:c r="C226" s="19"/>
      <x:c r="D226" s="19"/>
      <x:c r="E226" s="26"/>
      <x:c r="F226" s="19"/>
      <x:c r="G226" s="19"/>
      <x:c r="H226" s="19"/>
      <x:c r="I226" s="27"/>
      <x:c r="J226" s="26"/>
      <x:c r="K226" s="26"/>
      <x:c r="L226" s="19"/>
      <x:c r="M226" s="19"/>
      <x:c r="N226" s="19"/>
      <x:c r="O226" s="27"/>
      <x:c r="P226" s="19"/>
      <x:c r="Q226" s="26"/>
      <x:c r="R226" s="19"/>
      <x:c r="S226" s="26"/>
      <x:c r="T226" s="19"/>
      <x:c r="U226" s="19"/>
    </x:row>
    <x:row r="227">
      <x:c r="A227" s="19"/>
      <x:c r="B227" s="19"/>
      <x:c r="C227" s="19"/>
      <x:c r="D227" s="19"/>
      <x:c r="E227" s="26"/>
      <x:c r="F227" s="19"/>
      <x:c r="G227" s="19"/>
      <x:c r="H227" s="19"/>
      <x:c r="I227" s="27"/>
      <x:c r="J227" s="26"/>
      <x:c r="K227" s="26"/>
      <x:c r="L227" s="19"/>
      <x:c r="M227" s="19"/>
      <x:c r="N227" s="19"/>
      <x:c r="O227" s="27"/>
      <x:c r="P227" s="19"/>
      <x:c r="Q227" s="26"/>
      <x:c r="R227" s="19"/>
      <x:c r="S227" s="26"/>
      <x:c r="T227" s="19"/>
      <x:c r="U227" s="19"/>
    </x:row>
    <x:row r="228">
      <x:c r="A228" s="19"/>
      <x:c r="B228" s="19"/>
      <x:c r="C228" s="19"/>
      <x:c r="D228" s="19"/>
      <x:c r="E228" s="26"/>
      <x:c r="F228" s="19"/>
      <x:c r="G228" s="19"/>
      <x:c r="H228" s="19"/>
      <x:c r="I228" s="27"/>
      <x:c r="J228" s="26"/>
      <x:c r="K228" s="26"/>
      <x:c r="L228" s="19"/>
      <x:c r="M228" s="19"/>
      <x:c r="N228" s="19"/>
      <x:c r="O228" s="27"/>
      <x:c r="P228" s="19"/>
      <x:c r="Q228" s="26"/>
      <x:c r="R228" s="19"/>
      <x:c r="S228" s="26"/>
      <x:c r="T228" s="19"/>
      <x:c r="U228" s="19"/>
    </x:row>
    <x:row r="229">
      <x:c r="A229" s="19"/>
      <x:c r="B229" s="19"/>
      <x:c r="C229" s="19"/>
      <x:c r="D229" s="19"/>
      <x:c r="E229" s="26"/>
      <x:c r="F229" s="19"/>
      <x:c r="G229" s="19"/>
      <x:c r="H229" s="19"/>
      <x:c r="I229" s="27"/>
      <x:c r="J229" s="26"/>
      <x:c r="K229" s="26"/>
      <x:c r="L229" s="19"/>
      <x:c r="M229" s="19"/>
      <x:c r="N229" s="19"/>
      <x:c r="O229" s="27"/>
      <x:c r="P229" s="19"/>
      <x:c r="Q229" s="26"/>
      <x:c r="R229" s="19"/>
      <x:c r="S229" s="26"/>
      <x:c r="T229" s="19"/>
      <x:c r="U229" s="19"/>
    </x:row>
    <x:row r="230">
      <x:c r="A230" s="19"/>
      <x:c r="B230" s="19"/>
      <x:c r="C230" s="19"/>
      <x:c r="D230" s="19"/>
      <x:c r="E230" s="26"/>
      <x:c r="F230" s="19"/>
      <x:c r="G230" s="19"/>
      <x:c r="H230" s="19"/>
      <x:c r="I230" s="27"/>
      <x:c r="J230" s="26"/>
      <x:c r="K230" s="26"/>
      <x:c r="L230" s="19"/>
      <x:c r="M230" s="19"/>
      <x:c r="N230" s="19"/>
      <x:c r="O230" s="27"/>
      <x:c r="P230" s="19"/>
      <x:c r="Q230" s="26"/>
      <x:c r="R230" s="19"/>
      <x:c r="S230" s="26"/>
      <x:c r="T230" s="19"/>
      <x:c r="U230" s="19"/>
    </x:row>
    <x:row r="231">
      <x:c r="A231" s="19"/>
      <x:c r="B231" s="19"/>
      <x:c r="C231" s="19"/>
      <x:c r="D231" s="19"/>
      <x:c r="E231" s="26"/>
      <x:c r="F231" s="19"/>
      <x:c r="G231" s="19"/>
      <x:c r="H231" s="19"/>
      <x:c r="I231" s="27"/>
      <x:c r="J231" s="26"/>
      <x:c r="K231" s="26"/>
      <x:c r="L231" s="19"/>
      <x:c r="M231" s="19"/>
      <x:c r="N231" s="19"/>
      <x:c r="O231" s="27"/>
      <x:c r="P231" s="19"/>
      <x:c r="Q231" s="26"/>
      <x:c r="R231" s="19"/>
      <x:c r="S231" s="26"/>
      <x:c r="T231" s="19"/>
      <x:c r="U231" s="19"/>
    </x:row>
    <x:row r="232">
      <x:c r="A232" s="19"/>
      <x:c r="B232" s="19"/>
      <x:c r="C232" s="19"/>
      <x:c r="D232" s="19"/>
      <x:c r="E232" s="26"/>
      <x:c r="F232" s="19"/>
      <x:c r="G232" s="19"/>
      <x:c r="H232" s="19"/>
      <x:c r="I232" s="27"/>
      <x:c r="J232" s="26"/>
      <x:c r="K232" s="26"/>
      <x:c r="L232" s="19"/>
      <x:c r="M232" s="19"/>
      <x:c r="N232" s="19"/>
      <x:c r="O232" s="27"/>
      <x:c r="P232" s="19"/>
      <x:c r="Q232" s="26"/>
      <x:c r="R232" s="19"/>
      <x:c r="S232" s="26"/>
      <x:c r="T232" s="19"/>
      <x:c r="U232" s="19"/>
    </x:row>
    <x:row r="233">
      <x:c r="A233" s="19"/>
      <x:c r="B233" s="19"/>
      <x:c r="C233" s="19"/>
      <x:c r="D233" s="19"/>
      <x:c r="E233" s="26"/>
      <x:c r="F233" s="19"/>
      <x:c r="G233" s="19"/>
      <x:c r="H233" s="19"/>
      <x:c r="I233" s="27"/>
      <x:c r="J233" s="26"/>
      <x:c r="K233" s="26"/>
      <x:c r="L233" s="19"/>
      <x:c r="M233" s="19"/>
      <x:c r="N233" s="19"/>
      <x:c r="O233" s="27"/>
      <x:c r="P233" s="19"/>
      <x:c r="Q233" s="26"/>
      <x:c r="R233" s="19"/>
      <x:c r="S233" s="26"/>
      <x:c r="T233" s="19"/>
      <x:c r="U233" s="19"/>
    </x:row>
    <x:row r="234">
      <x:c r="A234" s="19"/>
      <x:c r="B234" s="19"/>
      <x:c r="C234" s="19"/>
      <x:c r="D234" s="19"/>
      <x:c r="E234" s="26"/>
      <x:c r="F234" s="19"/>
      <x:c r="G234" s="19"/>
      <x:c r="H234" s="19"/>
      <x:c r="I234" s="27"/>
      <x:c r="J234" s="26"/>
      <x:c r="K234" s="26"/>
      <x:c r="L234" s="19"/>
      <x:c r="M234" s="19"/>
      <x:c r="N234" s="19"/>
      <x:c r="O234" s="27"/>
      <x:c r="P234" s="19"/>
      <x:c r="Q234" s="26"/>
      <x:c r="R234" s="19"/>
      <x:c r="S234" s="26"/>
      <x:c r="T234" s="19"/>
      <x:c r="U234" s="19"/>
    </x:row>
    <x:row r="235">
      <x:c r="A235" s="19"/>
      <x:c r="B235" s="19"/>
      <x:c r="C235" s="19"/>
      <x:c r="D235" s="19"/>
      <x:c r="E235" s="26"/>
      <x:c r="F235" s="19"/>
      <x:c r="G235" s="19"/>
      <x:c r="H235" s="19"/>
      <x:c r="I235" s="27"/>
      <x:c r="J235" s="26"/>
      <x:c r="K235" s="26"/>
      <x:c r="L235" s="19"/>
      <x:c r="M235" s="19"/>
      <x:c r="N235" s="19"/>
      <x:c r="O235" s="27"/>
      <x:c r="P235" s="19"/>
      <x:c r="Q235" s="26"/>
      <x:c r="R235" s="19"/>
      <x:c r="S235" s="26"/>
      <x:c r="T235" s="19"/>
      <x:c r="U235" s="19"/>
    </x:row>
    <x:row r="236">
      <x:c r="A236" s="19"/>
      <x:c r="B236" s="19"/>
      <x:c r="C236" s="19"/>
      <x:c r="D236" s="19"/>
      <x:c r="E236" s="26"/>
      <x:c r="F236" s="19"/>
      <x:c r="G236" s="19"/>
      <x:c r="H236" s="19"/>
      <x:c r="I236" s="27"/>
      <x:c r="J236" s="26"/>
      <x:c r="K236" s="26"/>
      <x:c r="L236" s="19"/>
      <x:c r="M236" s="19"/>
      <x:c r="N236" s="19"/>
      <x:c r="O236" s="27"/>
      <x:c r="P236" s="19"/>
      <x:c r="Q236" s="26"/>
      <x:c r="R236" s="19"/>
      <x:c r="S236" s="26"/>
      <x:c r="T236" s="19"/>
      <x:c r="U236" s="19"/>
    </x:row>
    <x:row r="237">
      <x:c r="A237" s="19"/>
      <x:c r="B237" s="19"/>
      <x:c r="C237" s="19"/>
      <x:c r="D237" s="19"/>
      <x:c r="E237" s="26"/>
      <x:c r="F237" s="19"/>
      <x:c r="G237" s="19"/>
      <x:c r="H237" s="19"/>
      <x:c r="I237" s="27"/>
      <x:c r="J237" s="26"/>
      <x:c r="K237" s="26"/>
      <x:c r="L237" s="19"/>
      <x:c r="M237" s="19"/>
      <x:c r="N237" s="19"/>
      <x:c r="O237" s="27"/>
      <x:c r="P237" s="19"/>
      <x:c r="Q237" s="26"/>
      <x:c r="R237" s="19"/>
      <x:c r="S237" s="26"/>
      <x:c r="T237" s="19"/>
      <x:c r="U237" s="19"/>
    </x:row>
    <x:row r="238">
      <x:c r="A238" s="19"/>
      <x:c r="B238" s="19"/>
      <x:c r="C238" s="19"/>
      <x:c r="D238" s="19"/>
      <x:c r="E238" s="26"/>
      <x:c r="F238" s="19"/>
      <x:c r="G238" s="19"/>
      <x:c r="H238" s="19"/>
      <x:c r="I238" s="27"/>
      <x:c r="J238" s="26"/>
      <x:c r="K238" s="26"/>
      <x:c r="L238" s="19"/>
      <x:c r="M238" s="19"/>
      <x:c r="N238" s="19"/>
      <x:c r="O238" s="27"/>
      <x:c r="P238" s="19"/>
      <x:c r="Q238" s="26"/>
      <x:c r="R238" s="19"/>
      <x:c r="S238" s="26"/>
      <x:c r="T238" s="19"/>
      <x:c r="U238" s="19"/>
    </x:row>
    <x:row r="239">
      <x:c r="A239" s="19"/>
      <x:c r="B239" s="19"/>
      <x:c r="C239" s="19"/>
      <x:c r="D239" s="19"/>
      <x:c r="E239" s="26"/>
      <x:c r="F239" s="19"/>
      <x:c r="G239" s="19"/>
      <x:c r="H239" s="19"/>
      <x:c r="I239" s="27"/>
      <x:c r="J239" s="26"/>
      <x:c r="K239" s="26"/>
      <x:c r="L239" s="19"/>
      <x:c r="M239" s="19"/>
      <x:c r="N239" s="19"/>
      <x:c r="O239" s="27"/>
      <x:c r="P239" s="19"/>
      <x:c r="Q239" s="26"/>
      <x:c r="R239" s="19"/>
      <x:c r="S239" s="26"/>
      <x:c r="T239" s="19"/>
      <x:c r="U239" s="19"/>
    </x:row>
    <x:row r="240">
      <x:c r="A240" s="19"/>
      <x:c r="B240" s="19"/>
      <x:c r="C240" s="19"/>
      <x:c r="D240" s="19"/>
      <x:c r="E240" s="26"/>
      <x:c r="F240" s="19"/>
      <x:c r="G240" s="19"/>
      <x:c r="H240" s="19"/>
      <x:c r="I240" s="27"/>
      <x:c r="J240" s="26"/>
      <x:c r="K240" s="26"/>
      <x:c r="L240" s="19"/>
      <x:c r="M240" s="19"/>
      <x:c r="N240" s="19"/>
      <x:c r="O240" s="27"/>
      <x:c r="P240" s="19"/>
      <x:c r="Q240" s="26"/>
      <x:c r="R240" s="19"/>
      <x:c r="S240" s="26"/>
      <x:c r="T240" s="19"/>
      <x:c r="U240" s="19"/>
    </x:row>
    <x:row r="241">
      <x:c r="A241" s="19"/>
      <x:c r="B241" s="19"/>
      <x:c r="C241" s="19"/>
      <x:c r="D241" s="19"/>
      <x:c r="E241" s="26"/>
      <x:c r="F241" s="19"/>
      <x:c r="G241" s="19"/>
      <x:c r="H241" s="19"/>
      <x:c r="I241" s="27"/>
      <x:c r="J241" s="26"/>
      <x:c r="K241" s="26"/>
      <x:c r="L241" s="19"/>
      <x:c r="M241" s="19"/>
      <x:c r="N241" s="19"/>
      <x:c r="O241" s="27"/>
      <x:c r="P241" s="19"/>
      <x:c r="Q241" s="26"/>
      <x:c r="R241" s="19"/>
      <x:c r="S241" s="26"/>
      <x:c r="T241" s="19"/>
      <x:c r="U241" s="19"/>
    </x:row>
    <x:row r="242">
      <x:c r="A242" s="19"/>
      <x:c r="B242" s="19"/>
      <x:c r="C242" s="19"/>
      <x:c r="D242" s="19"/>
      <x:c r="E242" s="26"/>
      <x:c r="F242" s="19"/>
      <x:c r="G242" s="19"/>
      <x:c r="H242" s="19"/>
      <x:c r="I242" s="27"/>
      <x:c r="J242" s="26"/>
      <x:c r="K242" s="26"/>
      <x:c r="L242" s="19"/>
      <x:c r="M242" s="19"/>
      <x:c r="N242" s="19"/>
      <x:c r="O242" s="27"/>
      <x:c r="P242" s="19"/>
      <x:c r="Q242" s="26"/>
      <x:c r="R242" s="19"/>
      <x:c r="S242" s="26"/>
      <x:c r="T242" s="19"/>
      <x:c r="U242" s="19"/>
    </x:row>
    <x:row r="243">
      <x:c r="A243" s="19"/>
      <x:c r="B243" s="19"/>
      <x:c r="C243" s="19"/>
      <x:c r="D243" s="19"/>
      <x:c r="E243" s="26"/>
      <x:c r="F243" s="19"/>
      <x:c r="G243" s="19"/>
      <x:c r="H243" s="19"/>
      <x:c r="I243" s="27"/>
      <x:c r="J243" s="26"/>
      <x:c r="K243" s="26"/>
      <x:c r="L243" s="19"/>
      <x:c r="M243" s="19"/>
      <x:c r="N243" s="19"/>
      <x:c r="O243" s="27"/>
      <x:c r="P243" s="19"/>
      <x:c r="Q243" s="26"/>
      <x:c r="R243" s="19"/>
      <x:c r="S243" s="26"/>
      <x:c r="T243" s="19"/>
      <x:c r="U243" s="19"/>
    </x:row>
    <x:row r="244">
      <x:c r="A244" s="19"/>
      <x:c r="B244" s="19"/>
      <x:c r="C244" s="19"/>
      <x:c r="D244" s="19"/>
      <x:c r="E244" s="26"/>
      <x:c r="F244" s="19"/>
      <x:c r="G244" s="19"/>
      <x:c r="H244" s="19"/>
      <x:c r="I244" s="27"/>
      <x:c r="J244" s="26"/>
      <x:c r="K244" s="26"/>
      <x:c r="L244" s="19"/>
      <x:c r="M244" s="19"/>
      <x:c r="N244" s="19"/>
      <x:c r="O244" s="27"/>
      <x:c r="P244" s="19"/>
      <x:c r="Q244" s="26"/>
      <x:c r="R244" s="19"/>
      <x:c r="S244" s="26"/>
      <x:c r="T244" s="19"/>
      <x:c r="U244" s="19"/>
    </x:row>
    <x:row r="245">
      <x:c r="A245" s="19"/>
      <x:c r="B245" s="19"/>
      <x:c r="C245" s="19"/>
      <x:c r="D245" s="19"/>
      <x:c r="E245" s="26"/>
      <x:c r="F245" s="19"/>
      <x:c r="G245" s="19"/>
      <x:c r="H245" s="19"/>
      <x:c r="I245" s="27"/>
      <x:c r="J245" s="26"/>
      <x:c r="K245" s="26"/>
      <x:c r="L245" s="19"/>
      <x:c r="M245" s="19"/>
      <x:c r="N245" s="19"/>
      <x:c r="O245" s="27"/>
      <x:c r="P245" s="19"/>
      <x:c r="Q245" s="26"/>
      <x:c r="R245" s="19"/>
      <x:c r="S245" s="26"/>
      <x:c r="T245" s="19"/>
      <x:c r="U245" s="19"/>
    </x:row>
    <x:row r="246">
      <x:c r="A246" s="19"/>
      <x:c r="B246" s="19"/>
      <x:c r="C246" s="19"/>
      <x:c r="D246" s="19"/>
      <x:c r="E246" s="26"/>
      <x:c r="F246" s="19"/>
      <x:c r="G246" s="19"/>
      <x:c r="H246" s="19"/>
      <x:c r="I246" s="27"/>
      <x:c r="J246" s="26"/>
      <x:c r="K246" s="26"/>
      <x:c r="L246" s="19"/>
      <x:c r="M246" s="19"/>
      <x:c r="N246" s="19"/>
      <x:c r="O246" s="27"/>
      <x:c r="P246" s="19"/>
      <x:c r="Q246" s="26"/>
      <x:c r="R246" s="19"/>
      <x:c r="S246" s="26"/>
      <x:c r="T246" s="19"/>
      <x:c r="U246" s="19"/>
    </x:row>
    <x:row r="247">
      <x:c r="A247" s="19"/>
      <x:c r="B247" s="19"/>
      <x:c r="C247" s="19"/>
      <x:c r="D247" s="19"/>
      <x:c r="E247" s="26"/>
      <x:c r="F247" s="19"/>
      <x:c r="G247" s="19"/>
      <x:c r="H247" s="19"/>
      <x:c r="I247" s="27"/>
      <x:c r="J247" s="26"/>
      <x:c r="K247" s="26"/>
      <x:c r="L247" s="19"/>
      <x:c r="M247" s="19"/>
      <x:c r="N247" s="19"/>
      <x:c r="O247" s="27"/>
      <x:c r="P247" s="19"/>
      <x:c r="Q247" s="26"/>
      <x:c r="R247" s="19"/>
      <x:c r="S247" s="26"/>
      <x:c r="T247" s="19"/>
      <x:c r="U247" s="19"/>
    </x:row>
    <x:row r="248">
      <x:c r="A248" s="19"/>
      <x:c r="B248" s="19"/>
      <x:c r="C248" s="19"/>
      <x:c r="D248" s="19"/>
      <x:c r="E248" s="26"/>
      <x:c r="F248" s="19"/>
      <x:c r="G248" s="19"/>
      <x:c r="H248" s="19"/>
      <x:c r="I248" s="27"/>
      <x:c r="J248" s="26"/>
      <x:c r="K248" s="26"/>
      <x:c r="L248" s="19"/>
      <x:c r="M248" s="19"/>
      <x:c r="N248" s="19"/>
      <x:c r="O248" s="27"/>
      <x:c r="P248" s="19"/>
      <x:c r="Q248" s="26"/>
      <x:c r="R248" s="19"/>
      <x:c r="S248" s="26"/>
      <x:c r="T248" s="19"/>
      <x:c r="U248" s="19"/>
    </x:row>
    <x:row r="249">
      <x:c r="A249" s="19"/>
      <x:c r="B249" s="19"/>
      <x:c r="C249" s="19"/>
      <x:c r="D249" s="19"/>
      <x:c r="E249" s="26"/>
      <x:c r="F249" s="19"/>
      <x:c r="G249" s="19"/>
      <x:c r="H249" s="19"/>
      <x:c r="I249" s="27"/>
      <x:c r="J249" s="26"/>
      <x:c r="K249" s="26"/>
      <x:c r="L249" s="19"/>
      <x:c r="M249" s="19"/>
      <x:c r="N249" s="19"/>
      <x:c r="O249" s="27"/>
      <x:c r="P249" s="19"/>
      <x:c r="Q249" s="26"/>
      <x:c r="R249" s="19"/>
      <x:c r="S249" s="26"/>
      <x:c r="T249" s="19"/>
      <x:c r="U249" s="19"/>
    </x:row>
    <x:row r="250">
      <x:c r="A250" s="19"/>
      <x:c r="B250" s="19"/>
      <x:c r="C250" s="19"/>
      <x:c r="D250" s="19"/>
      <x:c r="E250" s="26"/>
      <x:c r="F250" s="19"/>
      <x:c r="G250" s="19"/>
      <x:c r="H250" s="19"/>
      <x:c r="I250" s="27"/>
      <x:c r="J250" s="26"/>
      <x:c r="K250" s="26"/>
      <x:c r="L250" s="19"/>
      <x:c r="M250" s="19"/>
      <x:c r="N250" s="19"/>
      <x:c r="O250" s="27"/>
      <x:c r="P250" s="19"/>
      <x:c r="Q250" s="26"/>
      <x:c r="R250" s="19"/>
      <x:c r="S250" s="26"/>
      <x:c r="T250" s="19"/>
      <x:c r="U250" s="19"/>
    </x:row>
    <x:row r="251">
      <x:c r="A251" s="19"/>
      <x:c r="B251" s="19"/>
      <x:c r="C251" s="19"/>
      <x:c r="D251" s="19"/>
      <x:c r="E251" s="26"/>
      <x:c r="F251" s="19"/>
      <x:c r="G251" s="19"/>
      <x:c r="H251" s="19"/>
      <x:c r="I251" s="27"/>
      <x:c r="J251" s="26"/>
      <x:c r="K251" s="26"/>
      <x:c r="L251" s="19"/>
      <x:c r="M251" s="19"/>
      <x:c r="N251" s="19"/>
      <x:c r="O251" s="27"/>
      <x:c r="P251" s="19"/>
      <x:c r="Q251" s="26"/>
      <x:c r="R251" s="19"/>
      <x:c r="S251" s="26"/>
      <x:c r="T251" s="19"/>
      <x:c r="U251" s="19"/>
    </x:row>
    <x:row r="252">
      <x:c r="A252" s="19"/>
      <x:c r="B252" s="19"/>
      <x:c r="C252" s="19"/>
      <x:c r="D252" s="19"/>
      <x:c r="E252" s="26"/>
      <x:c r="F252" s="19"/>
      <x:c r="G252" s="19"/>
      <x:c r="H252" s="19"/>
      <x:c r="I252" s="27"/>
      <x:c r="J252" s="26"/>
      <x:c r="K252" s="26"/>
      <x:c r="L252" s="19"/>
      <x:c r="M252" s="19"/>
      <x:c r="N252" s="19"/>
      <x:c r="O252" s="27"/>
      <x:c r="P252" s="19"/>
      <x:c r="Q252" s="26"/>
      <x:c r="R252" s="19"/>
      <x:c r="S252" s="26"/>
      <x:c r="T252" s="19"/>
      <x:c r="U252" s="19"/>
    </x:row>
    <x:row r="253">
      <x:c r="A253" s="19"/>
      <x:c r="B253" s="19"/>
      <x:c r="C253" s="19"/>
      <x:c r="D253" s="19"/>
      <x:c r="E253" s="26"/>
      <x:c r="F253" s="19"/>
      <x:c r="G253" s="19"/>
      <x:c r="H253" s="19"/>
      <x:c r="I253" s="27"/>
      <x:c r="J253" s="26"/>
      <x:c r="K253" s="26"/>
      <x:c r="L253" s="19"/>
      <x:c r="M253" s="19"/>
      <x:c r="N253" s="19"/>
      <x:c r="O253" s="27"/>
      <x:c r="P253" s="19"/>
      <x:c r="Q253" s="26"/>
      <x:c r="R253" s="19"/>
      <x:c r="S253" s="26"/>
      <x:c r="T253" s="19"/>
      <x:c r="U253" s="19"/>
    </x:row>
    <x:row r="254">
      <x:c r="A254" s="19"/>
      <x:c r="B254" s="19"/>
      <x:c r="C254" s="19"/>
      <x:c r="D254" s="19"/>
      <x:c r="E254" s="26"/>
      <x:c r="F254" s="19"/>
      <x:c r="G254" s="19"/>
      <x:c r="H254" s="19"/>
      <x:c r="I254" s="27"/>
      <x:c r="J254" s="26"/>
      <x:c r="K254" s="26"/>
      <x:c r="L254" s="19"/>
      <x:c r="M254" s="19"/>
      <x:c r="N254" s="19"/>
      <x:c r="O254" s="27"/>
      <x:c r="P254" s="19"/>
      <x:c r="Q254" s="26"/>
      <x:c r="R254" s="19"/>
      <x:c r="S254" s="26"/>
      <x:c r="T254" s="19"/>
      <x:c r="U254" s="19"/>
    </x:row>
    <x:row r="255">
      <x:c r="A255" s="19"/>
      <x:c r="B255" s="19"/>
      <x:c r="C255" s="19"/>
      <x:c r="D255" s="19"/>
      <x:c r="E255" s="26"/>
      <x:c r="F255" s="19"/>
      <x:c r="G255" s="19"/>
      <x:c r="H255" s="19"/>
      <x:c r="I255" s="27"/>
      <x:c r="J255" s="26"/>
      <x:c r="K255" s="26"/>
      <x:c r="L255" s="19"/>
      <x:c r="M255" s="19"/>
      <x:c r="N255" s="19"/>
      <x:c r="O255" s="27"/>
      <x:c r="P255" s="19"/>
      <x:c r="Q255" s="26"/>
      <x:c r="R255" s="19"/>
      <x:c r="S255" s="26"/>
      <x:c r="T255" s="19"/>
      <x:c r="U255" s="19"/>
    </x:row>
    <x:row r="256">
      <x:c r="A256" s="19"/>
      <x:c r="B256" s="19"/>
      <x:c r="C256" s="19"/>
      <x:c r="D256" s="19"/>
      <x:c r="E256" s="26"/>
      <x:c r="F256" s="19"/>
      <x:c r="G256" s="19"/>
      <x:c r="H256" s="19"/>
      <x:c r="I256" s="27"/>
      <x:c r="J256" s="26"/>
      <x:c r="K256" s="26"/>
      <x:c r="L256" s="19"/>
      <x:c r="M256" s="19"/>
      <x:c r="N256" s="19"/>
      <x:c r="O256" s="27"/>
      <x:c r="P256" s="19"/>
      <x:c r="Q256" s="26"/>
      <x:c r="R256" s="19"/>
      <x:c r="S256" s="26"/>
      <x:c r="T256" s="19"/>
      <x:c r="U256" s="19"/>
    </x:row>
    <x:row r="257">
      <x:c r="A257" s="19"/>
      <x:c r="B257" s="19"/>
      <x:c r="C257" s="19"/>
      <x:c r="D257" s="19"/>
      <x:c r="E257" s="26"/>
      <x:c r="F257" s="19"/>
      <x:c r="G257" s="19"/>
      <x:c r="H257" s="19"/>
      <x:c r="I257" s="27"/>
      <x:c r="J257" s="26"/>
      <x:c r="K257" s="26"/>
      <x:c r="L257" s="19"/>
      <x:c r="M257" s="19"/>
      <x:c r="N257" s="19"/>
      <x:c r="O257" s="27"/>
      <x:c r="P257" s="19"/>
      <x:c r="Q257" s="26"/>
      <x:c r="R257" s="19"/>
      <x:c r="S257" s="26"/>
      <x:c r="T257" s="19"/>
      <x:c r="U257" s="19"/>
    </x:row>
    <x:row r="258">
      <x:c r="A258" s="19"/>
      <x:c r="B258" s="19"/>
      <x:c r="C258" s="19"/>
      <x:c r="D258" s="19"/>
      <x:c r="E258" s="26"/>
      <x:c r="F258" s="19"/>
      <x:c r="G258" s="19"/>
      <x:c r="H258" s="19"/>
      <x:c r="I258" s="27"/>
      <x:c r="J258" s="26"/>
      <x:c r="K258" s="26"/>
      <x:c r="L258" s="19"/>
      <x:c r="M258" s="19"/>
      <x:c r="N258" s="19"/>
      <x:c r="O258" s="27"/>
      <x:c r="P258" s="19"/>
      <x:c r="Q258" s="26"/>
      <x:c r="R258" s="19"/>
      <x:c r="S258" s="26"/>
      <x:c r="T258" s="19"/>
      <x:c r="U258" s="19"/>
    </x:row>
    <x:row r="259">
      <x:c r="A259" s="19"/>
      <x:c r="B259" s="19"/>
      <x:c r="C259" s="19"/>
      <x:c r="D259" s="19"/>
      <x:c r="E259" s="26"/>
      <x:c r="F259" s="19"/>
      <x:c r="G259" s="19"/>
      <x:c r="H259" s="19"/>
      <x:c r="I259" s="27"/>
      <x:c r="J259" s="26"/>
      <x:c r="K259" s="26"/>
      <x:c r="L259" s="19"/>
      <x:c r="M259" s="19"/>
      <x:c r="N259" s="19"/>
      <x:c r="O259" s="27"/>
      <x:c r="P259" s="19"/>
      <x:c r="Q259" s="26"/>
      <x:c r="R259" s="19"/>
      <x:c r="S259" s="26"/>
      <x:c r="T259" s="19"/>
      <x:c r="U259" s="19"/>
    </x:row>
    <x:row r="260">
      <x:c r="A260" s="19"/>
      <x:c r="B260" s="19"/>
      <x:c r="C260" s="19"/>
      <x:c r="D260" s="19"/>
      <x:c r="E260" s="26"/>
      <x:c r="F260" s="19"/>
      <x:c r="G260" s="19"/>
      <x:c r="H260" s="19"/>
      <x:c r="I260" s="27"/>
      <x:c r="J260" s="26"/>
      <x:c r="K260" s="26"/>
      <x:c r="L260" s="19"/>
      <x:c r="M260" s="19"/>
      <x:c r="N260" s="19"/>
      <x:c r="O260" s="27"/>
      <x:c r="P260" s="19"/>
      <x:c r="Q260" s="26"/>
      <x:c r="R260" s="19"/>
      <x:c r="S260" s="26"/>
      <x:c r="T260" s="19"/>
      <x:c r="U260" s="19"/>
    </x:row>
    <x:row r="261">
      <x:c r="A261" s="19"/>
      <x:c r="B261" s="19"/>
      <x:c r="C261" s="19"/>
      <x:c r="D261" s="19"/>
      <x:c r="E261" s="26"/>
      <x:c r="F261" s="19"/>
      <x:c r="G261" s="19"/>
      <x:c r="H261" s="19"/>
      <x:c r="I261" s="27"/>
      <x:c r="J261" s="26"/>
      <x:c r="K261" s="26"/>
      <x:c r="L261" s="19"/>
      <x:c r="M261" s="19"/>
      <x:c r="N261" s="19"/>
      <x:c r="O261" s="27"/>
      <x:c r="P261" s="19"/>
      <x:c r="Q261" s="26"/>
      <x:c r="R261" s="19"/>
      <x:c r="S261" s="26"/>
      <x:c r="T261" s="19"/>
      <x:c r="U261" s="19"/>
    </x:row>
    <x:row r="262">
      <x:c r="A262" s="19"/>
      <x:c r="B262" s="19"/>
      <x:c r="C262" s="19"/>
      <x:c r="D262" s="19"/>
      <x:c r="E262" s="26"/>
      <x:c r="F262" s="19"/>
      <x:c r="G262" s="19"/>
      <x:c r="H262" s="19"/>
      <x:c r="I262" s="27"/>
      <x:c r="J262" s="26"/>
      <x:c r="K262" s="26"/>
      <x:c r="L262" s="19"/>
      <x:c r="M262" s="19"/>
      <x:c r="N262" s="19"/>
      <x:c r="O262" s="27"/>
      <x:c r="P262" s="19"/>
      <x:c r="Q262" s="26"/>
      <x:c r="R262" s="19"/>
      <x:c r="S262" s="26"/>
      <x:c r="T262" s="19"/>
      <x:c r="U262" s="19"/>
    </x:row>
    <x:row r="263">
      <x:c r="A263" s="19"/>
      <x:c r="B263" s="19"/>
      <x:c r="C263" s="19"/>
      <x:c r="D263" s="19"/>
      <x:c r="E263" s="26"/>
      <x:c r="F263" s="19"/>
      <x:c r="G263" s="19"/>
      <x:c r="H263" s="19"/>
      <x:c r="I263" s="27"/>
      <x:c r="J263" s="26"/>
      <x:c r="K263" s="26"/>
      <x:c r="L263" s="19"/>
      <x:c r="M263" s="19"/>
      <x:c r="N263" s="19"/>
      <x:c r="O263" s="27"/>
      <x:c r="P263" s="19"/>
      <x:c r="Q263" s="26"/>
      <x:c r="R263" s="19"/>
      <x:c r="S263" s="26"/>
      <x:c r="T263" s="19"/>
      <x:c r="U263" s="19"/>
    </x:row>
    <x:row r="264">
      <x:c r="A264" s="19"/>
      <x:c r="B264" s="19"/>
      <x:c r="C264" s="19"/>
      <x:c r="D264" s="19"/>
      <x:c r="E264" s="26"/>
      <x:c r="F264" s="19"/>
      <x:c r="G264" s="19"/>
      <x:c r="H264" s="19"/>
      <x:c r="I264" s="27"/>
      <x:c r="J264" s="26"/>
      <x:c r="K264" s="26"/>
      <x:c r="L264" s="19"/>
      <x:c r="M264" s="19"/>
      <x:c r="N264" s="19"/>
      <x:c r="O264" s="27"/>
      <x:c r="P264" s="19"/>
      <x:c r="Q264" s="26"/>
      <x:c r="R264" s="19"/>
      <x:c r="S264" s="26"/>
      <x:c r="T264" s="19"/>
      <x:c r="U264" s="19"/>
    </x:row>
    <x:row r="265">
      <x:c r="A265" s="19"/>
      <x:c r="B265" s="19"/>
      <x:c r="C265" s="19"/>
      <x:c r="D265" s="19"/>
      <x:c r="E265" s="26"/>
      <x:c r="F265" s="19"/>
      <x:c r="G265" s="19"/>
      <x:c r="H265" s="19"/>
      <x:c r="I265" s="27"/>
      <x:c r="J265" s="26"/>
      <x:c r="K265" s="26"/>
      <x:c r="L265" s="19"/>
      <x:c r="M265" s="19"/>
      <x:c r="N265" s="19"/>
      <x:c r="O265" s="27"/>
      <x:c r="P265" s="19"/>
      <x:c r="Q265" s="26"/>
      <x:c r="R265" s="19"/>
      <x:c r="S265" s="26"/>
      <x:c r="T265" s="19"/>
      <x:c r="U265" s="19"/>
    </x:row>
    <x:row r="266">
      <x:c r="A266" s="19"/>
      <x:c r="B266" s="19"/>
      <x:c r="C266" s="19"/>
      <x:c r="D266" s="19"/>
      <x:c r="E266" s="26"/>
      <x:c r="F266" s="19"/>
      <x:c r="G266" s="19"/>
      <x:c r="H266" s="19"/>
      <x:c r="I266" s="27"/>
      <x:c r="J266" s="26"/>
      <x:c r="K266" s="26"/>
      <x:c r="L266" s="19"/>
      <x:c r="M266" s="19"/>
      <x:c r="N266" s="19"/>
      <x:c r="O266" s="27"/>
      <x:c r="P266" s="19"/>
      <x:c r="Q266" s="26"/>
      <x:c r="R266" s="19"/>
      <x:c r="S266" s="26"/>
      <x:c r="T266" s="19"/>
      <x:c r="U266" s="19"/>
    </x:row>
    <x:row r="267">
      <x:c r="A267" s="19"/>
      <x:c r="B267" s="19"/>
      <x:c r="C267" s="19"/>
      <x:c r="D267" s="19"/>
      <x:c r="E267" s="26"/>
      <x:c r="F267" s="19"/>
      <x:c r="G267" s="19"/>
      <x:c r="H267" s="19"/>
      <x:c r="I267" s="27"/>
      <x:c r="J267" s="26"/>
      <x:c r="K267" s="26"/>
      <x:c r="L267" s="19"/>
      <x:c r="M267" s="19"/>
      <x:c r="N267" s="19"/>
      <x:c r="O267" s="27"/>
      <x:c r="P267" s="19"/>
      <x:c r="Q267" s="26"/>
      <x:c r="R267" s="19"/>
      <x:c r="S267" s="26"/>
      <x:c r="T267" s="19"/>
      <x:c r="U267" s="19"/>
    </x:row>
    <x:row r="268">
      <x:c r="A268" s="19"/>
      <x:c r="B268" s="19"/>
      <x:c r="C268" s="19"/>
      <x:c r="D268" s="19"/>
      <x:c r="E268" s="26"/>
      <x:c r="F268" s="19"/>
      <x:c r="G268" s="19"/>
      <x:c r="H268" s="19"/>
      <x:c r="I268" s="27"/>
      <x:c r="J268" s="26"/>
      <x:c r="K268" s="26"/>
      <x:c r="L268" s="19"/>
      <x:c r="M268" s="19"/>
      <x:c r="N268" s="19"/>
      <x:c r="O268" s="27"/>
      <x:c r="P268" s="19"/>
      <x:c r="Q268" s="26"/>
      <x:c r="R268" s="19"/>
      <x:c r="S268" s="26"/>
      <x:c r="T268" s="19"/>
      <x:c r="U268" s="19"/>
    </x:row>
    <x:row r="269">
      <x:c r="A269" s="19"/>
      <x:c r="B269" s="19"/>
      <x:c r="C269" s="19"/>
      <x:c r="D269" s="19"/>
      <x:c r="E269" s="26"/>
      <x:c r="F269" s="19"/>
      <x:c r="G269" s="19"/>
      <x:c r="H269" s="19"/>
      <x:c r="I269" s="27"/>
      <x:c r="J269" s="26"/>
      <x:c r="K269" s="26"/>
      <x:c r="L269" s="19"/>
      <x:c r="M269" s="19"/>
      <x:c r="N269" s="19"/>
      <x:c r="O269" s="27"/>
      <x:c r="P269" s="19"/>
      <x:c r="Q269" s="26"/>
      <x:c r="R269" s="19"/>
      <x:c r="S269" s="26"/>
      <x:c r="T269" s="19"/>
      <x:c r="U269" s="19"/>
    </x:row>
    <x:row r="270">
      <x:c r="A270" s="19"/>
      <x:c r="B270" s="19"/>
      <x:c r="C270" s="19"/>
      <x:c r="D270" s="19"/>
      <x:c r="E270" s="26"/>
      <x:c r="F270" s="19"/>
      <x:c r="G270" s="19"/>
      <x:c r="H270" s="19"/>
      <x:c r="I270" s="27"/>
      <x:c r="J270" s="26"/>
      <x:c r="K270" s="26"/>
      <x:c r="L270" s="19"/>
      <x:c r="M270" s="19"/>
      <x:c r="N270" s="19"/>
      <x:c r="O270" s="27"/>
      <x:c r="P270" s="19"/>
      <x:c r="Q270" s="26"/>
      <x:c r="R270" s="19"/>
      <x:c r="S270" s="26"/>
      <x:c r="T270" s="19"/>
      <x:c r="U270" s="19"/>
    </x:row>
    <x:row r="271">
      <x:c r="A271" s="19"/>
      <x:c r="B271" s="19"/>
      <x:c r="C271" s="19"/>
      <x:c r="D271" s="19"/>
      <x:c r="E271" s="26"/>
      <x:c r="F271" s="19"/>
      <x:c r="G271" s="19"/>
      <x:c r="H271" s="19"/>
      <x:c r="I271" s="27"/>
      <x:c r="J271" s="26"/>
      <x:c r="K271" s="26"/>
      <x:c r="L271" s="19"/>
      <x:c r="M271" s="19"/>
      <x:c r="N271" s="19"/>
      <x:c r="O271" s="27"/>
      <x:c r="P271" s="19"/>
      <x:c r="Q271" s="26"/>
      <x:c r="R271" s="19"/>
      <x:c r="S271" s="26"/>
      <x:c r="T271" s="19"/>
      <x:c r="U271" s="19"/>
    </x:row>
    <x:row r="272">
      <x:c r="A272" s="19"/>
      <x:c r="B272" s="19"/>
      <x:c r="C272" s="19"/>
      <x:c r="D272" s="19"/>
      <x:c r="E272" s="26"/>
      <x:c r="F272" s="19"/>
      <x:c r="G272" s="19"/>
      <x:c r="H272" s="19"/>
      <x:c r="I272" s="27"/>
      <x:c r="J272" s="26"/>
      <x:c r="K272" s="26"/>
      <x:c r="L272" s="19"/>
      <x:c r="M272" s="19"/>
      <x:c r="N272" s="19"/>
      <x:c r="O272" s="27"/>
      <x:c r="P272" s="19"/>
      <x:c r="Q272" s="26"/>
      <x:c r="R272" s="19"/>
      <x:c r="S272" s="26"/>
      <x:c r="T272" s="19"/>
      <x:c r="U272" s="19"/>
    </x:row>
    <x:row r="273">
      <x:c r="A273" s="19"/>
      <x:c r="B273" s="19"/>
      <x:c r="C273" s="19"/>
      <x:c r="D273" s="19"/>
      <x:c r="E273" s="26"/>
      <x:c r="F273" s="19"/>
      <x:c r="G273" s="19"/>
      <x:c r="H273" s="19"/>
      <x:c r="I273" s="27"/>
      <x:c r="J273" s="26"/>
      <x:c r="K273" s="26"/>
      <x:c r="L273" s="19"/>
      <x:c r="M273" s="19"/>
      <x:c r="N273" s="19"/>
      <x:c r="O273" s="27"/>
      <x:c r="P273" s="19"/>
      <x:c r="Q273" s="26"/>
      <x:c r="R273" s="19"/>
      <x:c r="S273" s="26"/>
      <x:c r="T273" s="19"/>
      <x:c r="U273" s="19"/>
    </x:row>
    <x:row r="274">
      <x:c r="A274" s="19"/>
      <x:c r="B274" s="19"/>
      <x:c r="C274" s="19"/>
      <x:c r="D274" s="19"/>
      <x:c r="E274" s="26"/>
      <x:c r="F274" s="19"/>
      <x:c r="G274" s="19"/>
      <x:c r="H274" s="19"/>
      <x:c r="I274" s="27"/>
      <x:c r="J274" s="26"/>
      <x:c r="K274" s="26"/>
      <x:c r="L274" s="19"/>
      <x:c r="M274" s="19"/>
      <x:c r="N274" s="19"/>
      <x:c r="O274" s="27"/>
      <x:c r="P274" s="19"/>
      <x:c r="Q274" s="26"/>
      <x:c r="R274" s="19"/>
      <x:c r="S274" s="26"/>
      <x:c r="T274" s="19"/>
      <x:c r="U274" s="19"/>
    </x:row>
    <x:row r="275">
      <x:c r="A275" s="19"/>
      <x:c r="B275" s="19"/>
      <x:c r="C275" s="19"/>
      <x:c r="D275" s="19"/>
      <x:c r="E275" s="26"/>
      <x:c r="F275" s="19"/>
      <x:c r="G275" s="19"/>
      <x:c r="H275" s="19"/>
      <x:c r="I275" s="27"/>
      <x:c r="J275" s="26"/>
      <x:c r="K275" s="26"/>
      <x:c r="L275" s="19"/>
      <x:c r="M275" s="19"/>
      <x:c r="N275" s="19"/>
      <x:c r="O275" s="27"/>
      <x:c r="P275" s="19"/>
      <x:c r="Q275" s="26"/>
      <x:c r="R275" s="19"/>
      <x:c r="S275" s="26"/>
      <x:c r="T275" s="19"/>
      <x:c r="U275" s="19"/>
    </x:row>
    <x:row r="276">
      <x:c r="A276" s="19"/>
      <x:c r="B276" s="19"/>
      <x:c r="C276" s="19"/>
      <x:c r="D276" s="19"/>
      <x:c r="E276" s="26"/>
      <x:c r="F276" s="19"/>
      <x:c r="G276" s="19"/>
      <x:c r="H276" s="19"/>
      <x:c r="I276" s="27"/>
      <x:c r="J276" s="26"/>
      <x:c r="K276" s="26"/>
      <x:c r="L276" s="19"/>
      <x:c r="M276" s="19"/>
      <x:c r="N276" s="19"/>
      <x:c r="O276" s="27"/>
      <x:c r="P276" s="19"/>
      <x:c r="Q276" s="26"/>
      <x:c r="R276" s="19"/>
      <x:c r="S276" s="26"/>
      <x:c r="T276" s="19"/>
      <x:c r="U276" s="19"/>
    </x:row>
    <x:row r="277">
      <x:c r="A277" s="19"/>
      <x:c r="B277" s="19"/>
      <x:c r="C277" s="19"/>
      <x:c r="D277" s="19"/>
      <x:c r="E277" s="26"/>
      <x:c r="F277" s="19"/>
      <x:c r="G277" s="19"/>
      <x:c r="H277" s="19"/>
      <x:c r="I277" s="27"/>
      <x:c r="J277" s="26"/>
      <x:c r="K277" s="26"/>
      <x:c r="L277" s="19"/>
      <x:c r="M277" s="19"/>
      <x:c r="N277" s="19"/>
      <x:c r="O277" s="27"/>
      <x:c r="P277" s="19"/>
      <x:c r="Q277" s="26"/>
      <x:c r="R277" s="19"/>
      <x:c r="S277" s="26"/>
      <x:c r="T277" s="19"/>
      <x:c r="U277" s="19"/>
    </x:row>
    <x:row r="278">
      <x:c r="A278" s="19"/>
      <x:c r="B278" s="19"/>
      <x:c r="C278" s="19"/>
      <x:c r="D278" s="19"/>
      <x:c r="E278" s="26"/>
      <x:c r="F278" s="19"/>
      <x:c r="G278" s="19"/>
      <x:c r="H278" s="19"/>
      <x:c r="I278" s="27"/>
      <x:c r="J278" s="26"/>
      <x:c r="K278" s="26"/>
      <x:c r="L278" s="19"/>
      <x:c r="M278" s="19"/>
      <x:c r="N278" s="19"/>
      <x:c r="O278" s="27"/>
      <x:c r="P278" s="19"/>
      <x:c r="Q278" s="26"/>
      <x:c r="R278" s="19"/>
      <x:c r="S278" s="26"/>
      <x:c r="T278" s="19"/>
      <x:c r="U278" s="19"/>
    </x:row>
    <x:row r="279">
      <x:c r="A279" s="19"/>
      <x:c r="B279" s="19"/>
      <x:c r="C279" s="19"/>
      <x:c r="D279" s="19"/>
      <x:c r="E279" s="26"/>
      <x:c r="F279" s="19"/>
      <x:c r="G279" s="19"/>
      <x:c r="H279" s="19"/>
      <x:c r="I279" s="27"/>
      <x:c r="J279" s="26"/>
      <x:c r="K279" s="26"/>
      <x:c r="L279" s="19"/>
      <x:c r="M279" s="19"/>
      <x:c r="N279" s="19"/>
      <x:c r="O279" s="27"/>
      <x:c r="P279" s="19"/>
      <x:c r="Q279" s="26"/>
      <x:c r="R279" s="19"/>
      <x:c r="S279" s="26"/>
      <x:c r="T279" s="19"/>
      <x:c r="U279" s="19"/>
    </x:row>
    <x:row r="280">
      <x:c r="A280" s="19"/>
      <x:c r="B280" s="19"/>
      <x:c r="C280" s="19"/>
      <x:c r="D280" s="19"/>
      <x:c r="E280" s="26"/>
      <x:c r="F280" s="19"/>
      <x:c r="G280" s="19"/>
      <x:c r="H280" s="19"/>
      <x:c r="I280" s="27"/>
      <x:c r="J280" s="26"/>
      <x:c r="K280" s="26"/>
      <x:c r="L280" s="19"/>
      <x:c r="M280" s="19"/>
      <x:c r="N280" s="19"/>
      <x:c r="O280" s="27"/>
      <x:c r="P280" s="19"/>
      <x:c r="Q280" s="26"/>
      <x:c r="R280" s="19"/>
      <x:c r="S280" s="26"/>
      <x:c r="T280" s="19"/>
      <x:c r="U280" s="19"/>
    </x:row>
    <x:row r="281">
      <x:c r="A281" s="19"/>
      <x:c r="B281" s="19"/>
      <x:c r="C281" s="19"/>
      <x:c r="D281" s="19"/>
      <x:c r="E281" s="26"/>
      <x:c r="F281" s="19"/>
      <x:c r="G281" s="19"/>
      <x:c r="H281" s="19"/>
      <x:c r="I281" s="27"/>
      <x:c r="J281" s="26"/>
      <x:c r="K281" s="26"/>
      <x:c r="L281" s="19"/>
      <x:c r="M281" s="19"/>
      <x:c r="N281" s="19"/>
      <x:c r="O281" s="27"/>
      <x:c r="P281" s="19"/>
      <x:c r="Q281" s="26"/>
      <x:c r="R281" s="19"/>
      <x:c r="S281" s="26"/>
      <x:c r="T281" s="19"/>
      <x:c r="U281" s="19"/>
    </x:row>
    <x:row r="282">
      <x:c r="A282" s="19"/>
      <x:c r="B282" s="19"/>
      <x:c r="C282" s="19"/>
      <x:c r="D282" s="19"/>
      <x:c r="E282" s="26"/>
      <x:c r="F282" s="19"/>
      <x:c r="G282" s="19"/>
      <x:c r="H282" s="19"/>
      <x:c r="I282" s="27"/>
      <x:c r="J282" s="26"/>
      <x:c r="K282" s="26"/>
      <x:c r="L282" s="19"/>
      <x:c r="M282" s="19"/>
      <x:c r="N282" s="19"/>
      <x:c r="O282" s="27"/>
      <x:c r="P282" s="19"/>
      <x:c r="Q282" s="26"/>
      <x:c r="R282" s="19"/>
      <x:c r="S282" s="26"/>
      <x:c r="T282" s="19"/>
      <x:c r="U282" s="19"/>
    </x:row>
    <x:row r="283">
      <x:c r="A283" s="19"/>
      <x:c r="B283" s="19"/>
      <x:c r="C283" s="19"/>
      <x:c r="D283" s="19"/>
      <x:c r="E283" s="26"/>
      <x:c r="F283" s="19"/>
      <x:c r="G283" s="19"/>
      <x:c r="H283" s="19"/>
      <x:c r="I283" s="27"/>
      <x:c r="J283" s="26"/>
      <x:c r="K283" s="26"/>
      <x:c r="L283" s="19"/>
      <x:c r="M283" s="19"/>
      <x:c r="N283" s="19"/>
      <x:c r="O283" s="27"/>
      <x:c r="P283" s="19"/>
      <x:c r="Q283" s="26"/>
      <x:c r="R283" s="19"/>
      <x:c r="S283" s="26"/>
      <x:c r="T283" s="19"/>
      <x:c r="U283" s="19"/>
    </x:row>
    <x:row r="284">
      <x:c r="A284" s="19"/>
      <x:c r="B284" s="19"/>
      <x:c r="C284" s="19"/>
      <x:c r="D284" s="19"/>
      <x:c r="E284" s="26"/>
      <x:c r="F284" s="19"/>
      <x:c r="G284" s="19"/>
      <x:c r="H284" s="19"/>
      <x:c r="I284" s="27"/>
      <x:c r="J284" s="26"/>
      <x:c r="K284" s="26"/>
      <x:c r="L284" s="19"/>
      <x:c r="M284" s="19"/>
      <x:c r="N284" s="19"/>
      <x:c r="O284" s="27"/>
      <x:c r="P284" s="19"/>
      <x:c r="Q284" s="26"/>
      <x:c r="R284" s="19"/>
      <x:c r="S284" s="26"/>
      <x:c r="T284" s="19"/>
      <x:c r="U284" s="19"/>
    </x:row>
    <x:row r="285">
      <x:c r="A285" s="19"/>
      <x:c r="B285" s="19"/>
      <x:c r="C285" s="19"/>
      <x:c r="D285" s="19"/>
      <x:c r="E285" s="26"/>
      <x:c r="F285" s="19"/>
      <x:c r="G285" s="19"/>
      <x:c r="H285" s="19"/>
      <x:c r="I285" s="27"/>
      <x:c r="J285" s="26"/>
      <x:c r="K285" s="26"/>
      <x:c r="L285" s="19"/>
      <x:c r="M285" s="19"/>
      <x:c r="N285" s="19"/>
      <x:c r="O285" s="27"/>
      <x:c r="P285" s="19"/>
      <x:c r="Q285" s="26"/>
      <x:c r="R285" s="19"/>
      <x:c r="S285" s="26"/>
      <x:c r="T285" s="19"/>
      <x:c r="U285" s="19"/>
    </x:row>
    <x:row r="286">
      <x:c r="A286" s="19"/>
      <x:c r="B286" s="19"/>
      <x:c r="C286" s="19"/>
      <x:c r="D286" s="19"/>
      <x:c r="E286" s="26"/>
      <x:c r="F286" s="19"/>
      <x:c r="G286" s="19"/>
      <x:c r="H286" s="19"/>
      <x:c r="I286" s="27"/>
      <x:c r="J286" s="26"/>
      <x:c r="K286" s="26"/>
      <x:c r="L286" s="19"/>
      <x:c r="M286" s="19"/>
      <x:c r="N286" s="19"/>
      <x:c r="O286" s="27"/>
      <x:c r="P286" s="19"/>
      <x:c r="Q286" s="26"/>
      <x:c r="R286" s="19"/>
      <x:c r="S286" s="26"/>
      <x:c r="T286" s="19"/>
      <x:c r="U286" s="19"/>
    </x:row>
    <x:row r="287">
      <x:c r="A287" s="19"/>
      <x:c r="B287" s="19"/>
      <x:c r="C287" s="19"/>
      <x:c r="D287" s="19"/>
      <x:c r="E287" s="26"/>
      <x:c r="F287" s="19"/>
      <x:c r="G287" s="19"/>
      <x:c r="H287" s="19"/>
      <x:c r="I287" s="27"/>
      <x:c r="J287" s="26"/>
      <x:c r="K287" s="26"/>
      <x:c r="L287" s="19"/>
      <x:c r="M287" s="19"/>
      <x:c r="N287" s="19"/>
      <x:c r="O287" s="27"/>
      <x:c r="P287" s="19"/>
      <x:c r="Q287" s="26"/>
      <x:c r="R287" s="19"/>
      <x:c r="S287" s="26"/>
      <x:c r="T287" s="19"/>
      <x:c r="U287" s="19"/>
    </x:row>
    <x:row r="288">
      <x:c r="A288" s="19"/>
      <x:c r="B288" s="19"/>
      <x:c r="C288" s="19"/>
      <x:c r="D288" s="19"/>
      <x:c r="E288" s="26"/>
      <x:c r="F288" s="19"/>
      <x:c r="G288" s="19"/>
      <x:c r="H288" s="19"/>
      <x:c r="I288" s="27"/>
      <x:c r="J288" s="26"/>
      <x:c r="K288" s="26"/>
      <x:c r="L288" s="19"/>
      <x:c r="M288" s="19"/>
      <x:c r="N288" s="19"/>
      <x:c r="O288" s="27"/>
      <x:c r="P288" s="19"/>
      <x:c r="Q288" s="26"/>
      <x:c r="R288" s="19"/>
      <x:c r="S288" s="26"/>
      <x:c r="T288" s="19"/>
      <x:c r="U288" s="19"/>
    </x:row>
    <x:row r="289">
      <x:c r="A289" s="19"/>
      <x:c r="B289" s="19"/>
      <x:c r="C289" s="19"/>
      <x:c r="D289" s="19"/>
      <x:c r="E289" s="26"/>
      <x:c r="F289" s="19"/>
      <x:c r="G289" s="19"/>
      <x:c r="H289" s="19"/>
      <x:c r="I289" s="27"/>
      <x:c r="J289" s="26"/>
      <x:c r="K289" s="26"/>
      <x:c r="L289" s="19"/>
      <x:c r="M289" s="19"/>
      <x:c r="N289" s="19"/>
      <x:c r="O289" s="27"/>
      <x:c r="P289" s="19"/>
      <x:c r="Q289" s="26"/>
      <x:c r="R289" s="19"/>
      <x:c r="S289" s="26"/>
      <x:c r="T289" s="19"/>
      <x:c r="U289" s="19"/>
    </x:row>
    <x:row r="290">
      <x:c r="A290" s="19"/>
      <x:c r="B290" s="19"/>
      <x:c r="C290" s="19"/>
      <x:c r="D290" s="19"/>
      <x:c r="E290" s="26"/>
      <x:c r="F290" s="19"/>
      <x:c r="G290" s="19"/>
      <x:c r="H290" s="19"/>
      <x:c r="I290" s="27"/>
      <x:c r="J290" s="26"/>
      <x:c r="K290" s="26"/>
      <x:c r="L290" s="19"/>
      <x:c r="M290" s="19"/>
      <x:c r="N290" s="19"/>
      <x:c r="O290" s="27"/>
      <x:c r="P290" s="19"/>
      <x:c r="Q290" s="26"/>
      <x:c r="R290" s="19"/>
      <x:c r="S290" s="26"/>
      <x:c r="T290" s="19"/>
      <x:c r="U290" s="19"/>
    </x:row>
    <x:row r="291">
      <x:c r="A291" s="19"/>
      <x:c r="B291" s="19"/>
      <x:c r="C291" s="19"/>
      <x:c r="D291" s="19"/>
      <x:c r="E291" s="26"/>
      <x:c r="F291" s="19"/>
      <x:c r="G291" s="19"/>
      <x:c r="H291" s="19"/>
      <x:c r="I291" s="27"/>
      <x:c r="J291" s="26"/>
      <x:c r="K291" s="26"/>
      <x:c r="L291" s="19"/>
      <x:c r="M291" s="19"/>
      <x:c r="N291" s="19"/>
      <x:c r="O291" s="27"/>
      <x:c r="P291" s="19"/>
      <x:c r="Q291" s="26"/>
      <x:c r="R291" s="19"/>
      <x:c r="S291" s="26"/>
      <x:c r="T291" s="19"/>
      <x:c r="U291" s="19"/>
    </x:row>
    <x:row r="292">
      <x:c r="A292" s="19"/>
      <x:c r="B292" s="19"/>
      <x:c r="C292" s="19"/>
      <x:c r="D292" s="19"/>
      <x:c r="E292" s="26"/>
      <x:c r="F292" s="19"/>
      <x:c r="G292" s="19"/>
      <x:c r="H292" s="19"/>
      <x:c r="I292" s="27"/>
      <x:c r="J292" s="26"/>
      <x:c r="K292" s="26"/>
      <x:c r="L292" s="19"/>
      <x:c r="M292" s="19"/>
      <x:c r="N292" s="19"/>
      <x:c r="O292" s="27"/>
      <x:c r="P292" s="19"/>
      <x:c r="Q292" s="26"/>
      <x:c r="R292" s="19"/>
      <x:c r="S292" s="26"/>
      <x:c r="T292" s="19"/>
      <x:c r="U292" s="19"/>
    </x:row>
    <x:row r="293">
      <x:c r="A293" s="19"/>
      <x:c r="B293" s="19"/>
      <x:c r="C293" s="19"/>
      <x:c r="D293" s="19"/>
      <x:c r="E293" s="26"/>
      <x:c r="F293" s="19"/>
      <x:c r="G293" s="19"/>
      <x:c r="H293" s="19"/>
      <x:c r="I293" s="27"/>
      <x:c r="J293" s="26"/>
      <x:c r="K293" s="26"/>
      <x:c r="L293" s="19"/>
      <x:c r="M293" s="19"/>
      <x:c r="N293" s="19"/>
      <x:c r="O293" s="27"/>
      <x:c r="P293" s="19"/>
      <x:c r="Q293" s="26"/>
      <x:c r="R293" s="19"/>
      <x:c r="S293" s="26"/>
      <x:c r="T293" s="19"/>
      <x:c r="U293" s="19"/>
    </x:row>
    <x:row r="294">
      <x:c r="A294" s="19"/>
      <x:c r="B294" s="19"/>
      <x:c r="C294" s="19"/>
      <x:c r="D294" s="19"/>
      <x:c r="E294" s="26"/>
      <x:c r="F294" s="19"/>
      <x:c r="G294" s="19"/>
      <x:c r="H294" s="19"/>
      <x:c r="I294" s="27"/>
      <x:c r="J294" s="26"/>
      <x:c r="K294" s="26"/>
      <x:c r="L294" s="19"/>
      <x:c r="M294" s="19"/>
      <x:c r="N294" s="19"/>
      <x:c r="O294" s="27"/>
      <x:c r="P294" s="19"/>
      <x:c r="Q294" s="26"/>
      <x:c r="R294" s="19"/>
      <x:c r="S294" s="26"/>
      <x:c r="T294" s="19"/>
      <x:c r="U294" s="19"/>
    </x:row>
    <x:row r="295">
      <x:c r="A295" s="19"/>
      <x:c r="B295" s="19"/>
      <x:c r="C295" s="19"/>
      <x:c r="D295" s="19"/>
      <x:c r="E295" s="26"/>
      <x:c r="F295" s="19"/>
      <x:c r="G295" s="19"/>
      <x:c r="H295" s="19"/>
      <x:c r="I295" s="27"/>
      <x:c r="J295" s="26"/>
      <x:c r="K295" s="26"/>
      <x:c r="L295" s="19"/>
      <x:c r="M295" s="19"/>
      <x:c r="N295" s="19"/>
      <x:c r="O295" s="27"/>
      <x:c r="P295" s="19"/>
      <x:c r="Q295" s="26"/>
      <x:c r="R295" s="19"/>
      <x:c r="S295" s="26"/>
      <x:c r="T295" s="19"/>
      <x:c r="U295" s="19"/>
    </x:row>
    <x:row r="296">
      <x:c r="A296" s="19"/>
      <x:c r="B296" s="19"/>
      <x:c r="C296" s="19"/>
      <x:c r="D296" s="19"/>
      <x:c r="E296" s="26"/>
      <x:c r="F296" s="19"/>
      <x:c r="G296" s="19"/>
      <x:c r="H296" s="19"/>
      <x:c r="I296" s="27"/>
      <x:c r="J296" s="26"/>
      <x:c r="K296" s="26"/>
      <x:c r="L296" s="19"/>
      <x:c r="M296" s="19"/>
      <x:c r="N296" s="19"/>
      <x:c r="O296" s="27"/>
      <x:c r="P296" s="19"/>
      <x:c r="Q296" s="26"/>
      <x:c r="R296" s="19"/>
      <x:c r="S296" s="26"/>
      <x:c r="T296" s="19"/>
      <x:c r="U296" s="19"/>
    </x:row>
    <x:row r="297">
      <x:c r="A297" s="19"/>
      <x:c r="B297" s="19"/>
      <x:c r="C297" s="19"/>
      <x:c r="D297" s="19"/>
      <x:c r="E297" s="26"/>
      <x:c r="F297" s="19"/>
      <x:c r="G297" s="19"/>
      <x:c r="H297" s="19"/>
      <x:c r="I297" s="27"/>
      <x:c r="J297" s="26"/>
      <x:c r="K297" s="26"/>
      <x:c r="L297" s="19"/>
      <x:c r="M297" s="19"/>
      <x:c r="N297" s="19"/>
      <x:c r="O297" s="27"/>
      <x:c r="P297" s="19"/>
      <x:c r="Q297" s="26"/>
      <x:c r="R297" s="19"/>
      <x:c r="S297" s="26"/>
      <x:c r="T297" s="19"/>
      <x:c r="U297" s="19"/>
    </x:row>
    <x:row r="298">
      <x:c r="A298" s="19"/>
      <x:c r="B298" s="19"/>
      <x:c r="C298" s="19"/>
      <x:c r="D298" s="19"/>
      <x:c r="E298" s="26"/>
      <x:c r="F298" s="19"/>
      <x:c r="G298" s="19"/>
      <x:c r="H298" s="19"/>
      <x:c r="I298" s="27"/>
      <x:c r="J298" s="26"/>
      <x:c r="K298" s="26"/>
      <x:c r="L298" s="19"/>
      <x:c r="M298" s="19"/>
      <x:c r="N298" s="19"/>
      <x:c r="O298" s="27"/>
      <x:c r="P298" s="19"/>
      <x:c r="Q298" s="26"/>
      <x:c r="R298" s="19"/>
      <x:c r="S298" s="26"/>
      <x:c r="T298" s="19"/>
      <x:c r="U298" s="19"/>
    </x:row>
    <x:row r="299">
      <x:c r="A299" s="19"/>
      <x:c r="B299" s="19"/>
      <x:c r="C299" s="19"/>
      <x:c r="D299" s="19"/>
      <x:c r="E299" s="26"/>
      <x:c r="F299" s="19"/>
      <x:c r="G299" s="19"/>
      <x:c r="H299" s="19"/>
      <x:c r="I299" s="27"/>
      <x:c r="J299" s="26"/>
      <x:c r="K299" s="26"/>
      <x:c r="L299" s="19"/>
      <x:c r="M299" s="19"/>
      <x:c r="N299" s="19"/>
      <x:c r="O299" s="27"/>
      <x:c r="P299" s="19"/>
      <x:c r="Q299" s="26"/>
      <x:c r="R299" s="19"/>
      <x:c r="S299" s="26"/>
      <x:c r="T299" s="19"/>
      <x:c r="U299" s="19"/>
    </x:row>
    <x:row r="300">
      <x:c r="A300" s="19"/>
      <x:c r="B300" s="19"/>
      <x:c r="C300" s="19"/>
      <x:c r="D300" s="19"/>
      <x:c r="E300" s="26"/>
      <x:c r="F300" s="19"/>
      <x:c r="G300" s="19"/>
      <x:c r="H300" s="19"/>
      <x:c r="I300" s="27"/>
      <x:c r="J300" s="26"/>
      <x:c r="K300" s="26"/>
      <x:c r="L300" s="19"/>
      <x:c r="M300" s="19"/>
      <x:c r="N300" s="19"/>
      <x:c r="O300" s="27"/>
      <x:c r="P300" s="19"/>
      <x:c r="Q300" s="26"/>
      <x:c r="R300" s="19"/>
      <x:c r="S300" s="26"/>
      <x:c r="T300" s="19"/>
      <x:c r="U300" s="19"/>
    </x:row>
    <x:row r="301">
      <x:c r="A301" s="19"/>
      <x:c r="B301" s="19"/>
      <x:c r="C301" s="19"/>
      <x:c r="D301" s="19"/>
      <x:c r="E301" s="26"/>
      <x:c r="F301" s="19"/>
      <x:c r="G301" s="19"/>
      <x:c r="H301" s="19"/>
      <x:c r="I301" s="27"/>
      <x:c r="J301" s="26"/>
      <x:c r="K301" s="26"/>
      <x:c r="L301" s="19"/>
      <x:c r="M301" s="19"/>
      <x:c r="N301" s="19"/>
      <x:c r="O301" s="27"/>
      <x:c r="P301" s="19"/>
      <x:c r="Q301" s="26"/>
      <x:c r="R301" s="19"/>
      <x:c r="S301" s="26"/>
      <x:c r="T301" s="19"/>
      <x:c r="U301" s="19"/>
    </x:row>
    <x:row r="302">
      <x:c r="A302" s="19"/>
      <x:c r="B302" s="19"/>
      <x:c r="C302" s="19"/>
      <x:c r="D302" s="19"/>
      <x:c r="E302" s="26"/>
      <x:c r="F302" s="19"/>
      <x:c r="G302" s="19"/>
      <x:c r="H302" s="19"/>
      <x:c r="I302" s="27"/>
      <x:c r="J302" s="26"/>
      <x:c r="K302" s="26"/>
      <x:c r="L302" s="19"/>
      <x:c r="M302" s="19"/>
      <x:c r="N302" s="19"/>
      <x:c r="O302" s="27"/>
      <x:c r="P302" s="19"/>
      <x:c r="Q302" s="26"/>
      <x:c r="R302" s="19"/>
      <x:c r="S302" s="26"/>
      <x:c r="T302" s="19"/>
      <x:c r="U302" s="19"/>
    </x:row>
    <x:row r="303">
      <x:c r="A303" s="19"/>
      <x:c r="B303" s="19"/>
      <x:c r="C303" s="19"/>
      <x:c r="D303" s="19"/>
      <x:c r="E303" s="26"/>
      <x:c r="F303" s="19"/>
      <x:c r="G303" s="19"/>
      <x:c r="H303" s="19"/>
      <x:c r="I303" s="27"/>
      <x:c r="J303" s="26"/>
      <x:c r="K303" s="26"/>
      <x:c r="L303" s="19"/>
      <x:c r="M303" s="19"/>
      <x:c r="N303" s="19"/>
      <x:c r="O303" s="27"/>
      <x:c r="P303" s="19"/>
      <x:c r="Q303" s="26"/>
      <x:c r="R303" s="19"/>
      <x:c r="S303" s="26"/>
      <x:c r="T303" s="19"/>
      <x:c r="U303" s="19"/>
    </x:row>
    <x:row r="304">
      <x:c r="A304" s="19"/>
      <x:c r="B304" s="19"/>
      <x:c r="C304" s="19"/>
      <x:c r="D304" s="19"/>
      <x:c r="E304" s="26"/>
      <x:c r="F304" s="19"/>
      <x:c r="G304" s="19"/>
      <x:c r="H304" s="19"/>
      <x:c r="I304" s="27"/>
      <x:c r="J304" s="26"/>
      <x:c r="K304" s="26"/>
      <x:c r="L304" s="19"/>
      <x:c r="M304" s="19"/>
      <x:c r="N304" s="19"/>
      <x:c r="O304" s="27"/>
      <x:c r="P304" s="19"/>
      <x:c r="Q304" s="26"/>
      <x:c r="R304" s="19"/>
      <x:c r="S304" s="26"/>
      <x:c r="T304" s="19"/>
      <x:c r="U304" s="19"/>
    </x:row>
    <x:row r="305">
      <x:c r="A305" s="19"/>
      <x:c r="B305" s="19"/>
      <x:c r="C305" s="19"/>
      <x:c r="D305" s="19"/>
      <x:c r="E305" s="26"/>
      <x:c r="F305" s="19"/>
      <x:c r="G305" s="19"/>
      <x:c r="H305" s="19"/>
      <x:c r="I305" s="27"/>
      <x:c r="J305" s="26"/>
      <x:c r="K305" s="26"/>
      <x:c r="L305" s="19"/>
      <x:c r="M305" s="19"/>
      <x:c r="N305" s="19"/>
      <x:c r="O305" s="27"/>
      <x:c r="P305" s="19"/>
      <x:c r="Q305" s="26"/>
      <x:c r="R305" s="19"/>
      <x:c r="S305" s="26"/>
      <x:c r="T305" s="19"/>
      <x:c r="U305" s="19"/>
    </x:row>
    <x:row r="306">
      <x:c r="A306" s="19"/>
      <x:c r="B306" s="19"/>
      <x:c r="C306" s="19"/>
      <x:c r="D306" s="19"/>
      <x:c r="E306" s="26"/>
      <x:c r="F306" s="19"/>
      <x:c r="G306" s="19"/>
      <x:c r="H306" s="19"/>
      <x:c r="I306" s="27"/>
      <x:c r="J306" s="26"/>
      <x:c r="K306" s="26"/>
      <x:c r="L306" s="19"/>
      <x:c r="M306" s="19"/>
      <x:c r="N306" s="19"/>
      <x:c r="O306" s="27"/>
      <x:c r="P306" s="19"/>
      <x:c r="Q306" s="26"/>
      <x:c r="R306" s="19"/>
      <x:c r="S306" s="26"/>
      <x:c r="T306" s="19"/>
      <x:c r="U306" s="19"/>
    </x:row>
    <x:row r="307">
      <x:c r="A307" s="19"/>
      <x:c r="B307" s="19"/>
      <x:c r="C307" s="19"/>
      <x:c r="D307" s="19"/>
      <x:c r="E307" s="26"/>
      <x:c r="F307" s="19"/>
      <x:c r="G307" s="19"/>
      <x:c r="H307" s="19"/>
      <x:c r="I307" s="27"/>
      <x:c r="J307" s="26"/>
      <x:c r="K307" s="26"/>
      <x:c r="L307" s="19"/>
      <x:c r="M307" s="19"/>
      <x:c r="N307" s="19"/>
      <x:c r="O307" s="27"/>
      <x:c r="P307" s="19"/>
      <x:c r="Q307" s="26"/>
      <x:c r="R307" s="19"/>
      <x:c r="S307" s="26"/>
      <x:c r="T307" s="19"/>
      <x:c r="U307" s="19"/>
    </x:row>
    <x:row r="308">
      <x:c r="A308" s="19"/>
      <x:c r="B308" s="19"/>
      <x:c r="C308" s="19"/>
      <x:c r="D308" s="19"/>
      <x:c r="E308" s="26"/>
      <x:c r="F308" s="19"/>
      <x:c r="G308" s="19"/>
      <x:c r="H308" s="19"/>
      <x:c r="I308" s="27"/>
      <x:c r="J308" s="26"/>
      <x:c r="K308" s="26"/>
      <x:c r="L308" s="19"/>
      <x:c r="M308" s="19"/>
      <x:c r="N308" s="19"/>
      <x:c r="O308" s="27"/>
      <x:c r="P308" s="19"/>
      <x:c r="Q308" s="26"/>
      <x:c r="R308" s="19"/>
      <x:c r="S308" s="26"/>
      <x:c r="T308" s="19"/>
      <x:c r="U308" s="19"/>
    </x:row>
    <x:row r="309">
      <x:c r="A309" s="19"/>
      <x:c r="B309" s="19"/>
      <x:c r="C309" s="19"/>
      <x:c r="D309" s="19"/>
      <x:c r="E309" s="26"/>
      <x:c r="F309" s="19"/>
      <x:c r="G309" s="19"/>
      <x:c r="H309" s="19"/>
      <x:c r="I309" s="27"/>
      <x:c r="J309" s="26"/>
      <x:c r="K309" s="26"/>
      <x:c r="L309" s="19"/>
      <x:c r="M309" s="19"/>
      <x:c r="N309" s="19"/>
      <x:c r="O309" s="27"/>
      <x:c r="P309" s="19"/>
      <x:c r="Q309" s="26"/>
      <x:c r="R309" s="19"/>
      <x:c r="S309" s="26"/>
      <x:c r="T309" s="19"/>
      <x:c r="U309" s="19"/>
    </x:row>
    <x:row r="310">
      <x:c r="A310" s="19"/>
      <x:c r="B310" s="19"/>
      <x:c r="C310" s="19"/>
      <x:c r="D310" s="19"/>
      <x:c r="E310" s="26"/>
      <x:c r="F310" s="19"/>
      <x:c r="G310" s="19"/>
      <x:c r="H310" s="19"/>
      <x:c r="I310" s="27"/>
      <x:c r="J310" s="26"/>
      <x:c r="K310" s="26"/>
      <x:c r="L310" s="19"/>
      <x:c r="M310" s="19"/>
      <x:c r="N310" s="19"/>
      <x:c r="O310" s="27"/>
      <x:c r="P310" s="19"/>
      <x:c r="Q310" s="26"/>
      <x:c r="R310" s="19"/>
      <x:c r="S310" s="26"/>
      <x:c r="T310" s="19"/>
      <x:c r="U310" s="19"/>
    </x:row>
    <x:row r="311">
      <x:c r="A311" s="19"/>
      <x:c r="B311" s="19"/>
      <x:c r="C311" s="19"/>
      <x:c r="D311" s="19"/>
      <x:c r="E311" s="26"/>
      <x:c r="F311" s="19"/>
      <x:c r="G311" s="19"/>
      <x:c r="H311" s="19"/>
      <x:c r="I311" s="27"/>
      <x:c r="J311" s="26"/>
      <x:c r="K311" s="26"/>
      <x:c r="L311" s="19"/>
      <x:c r="M311" s="19"/>
      <x:c r="N311" s="19"/>
      <x:c r="O311" s="27"/>
      <x:c r="P311" s="19"/>
      <x:c r="Q311" s="26"/>
      <x:c r="R311" s="19"/>
      <x:c r="S311" s="26"/>
      <x:c r="T311" s="19"/>
      <x:c r="U311" s="19"/>
    </x:row>
    <x:row r="312">
      <x:c r="A312" s="19"/>
      <x:c r="B312" s="19"/>
      <x:c r="C312" s="19"/>
      <x:c r="D312" s="19"/>
      <x:c r="E312" s="26"/>
      <x:c r="F312" s="19"/>
      <x:c r="G312" s="19"/>
      <x:c r="H312" s="19"/>
      <x:c r="I312" s="27"/>
      <x:c r="J312" s="26"/>
      <x:c r="K312" s="26"/>
      <x:c r="L312" s="19"/>
      <x:c r="M312" s="19"/>
      <x:c r="N312" s="19"/>
      <x:c r="O312" s="27"/>
      <x:c r="P312" s="19"/>
      <x:c r="Q312" s="26"/>
      <x:c r="R312" s="19"/>
      <x:c r="S312" s="26"/>
      <x:c r="T312" s="19"/>
      <x:c r="U312" s="19"/>
    </x:row>
    <x:row r="313">
      <x:c r="A313" s="19"/>
      <x:c r="B313" s="19"/>
      <x:c r="C313" s="19"/>
      <x:c r="D313" s="19"/>
      <x:c r="E313" s="26"/>
      <x:c r="F313" s="19"/>
      <x:c r="G313" s="19"/>
      <x:c r="H313" s="19"/>
      <x:c r="I313" s="27"/>
      <x:c r="J313" s="26"/>
      <x:c r="K313" s="26"/>
      <x:c r="L313" s="19"/>
      <x:c r="M313" s="19"/>
      <x:c r="N313" s="19"/>
      <x:c r="O313" s="27"/>
      <x:c r="P313" s="19"/>
      <x:c r="Q313" s="26"/>
      <x:c r="R313" s="19"/>
      <x:c r="S313" s="26"/>
      <x:c r="T313" s="19"/>
      <x:c r="U313" s="19"/>
    </x:row>
    <x:row r="314">
      <x:c r="A314" s="19"/>
      <x:c r="B314" s="19"/>
      <x:c r="C314" s="19"/>
      <x:c r="D314" s="19"/>
      <x:c r="E314" s="26"/>
      <x:c r="F314" s="19"/>
      <x:c r="G314" s="19"/>
      <x:c r="H314" s="19"/>
      <x:c r="I314" s="27"/>
      <x:c r="J314" s="26"/>
      <x:c r="K314" s="26"/>
      <x:c r="L314" s="19"/>
      <x:c r="M314" s="19"/>
      <x:c r="N314" s="19"/>
      <x:c r="O314" s="27"/>
      <x:c r="P314" s="19"/>
      <x:c r="Q314" s="26"/>
      <x:c r="R314" s="19"/>
      <x:c r="S314" s="26"/>
      <x:c r="T314" s="19"/>
      <x:c r="U314" s="19"/>
    </x:row>
    <x:row r="315">
      <x:c r="A315" s="19"/>
      <x:c r="B315" s="19"/>
      <x:c r="C315" s="19"/>
      <x:c r="D315" s="19"/>
      <x:c r="E315" s="26"/>
      <x:c r="F315" s="19"/>
      <x:c r="G315" s="19"/>
      <x:c r="H315" s="19"/>
      <x:c r="I315" s="27"/>
      <x:c r="J315" s="26"/>
      <x:c r="K315" s="26"/>
      <x:c r="L315" s="19"/>
      <x:c r="M315" s="19"/>
      <x:c r="N315" s="19"/>
      <x:c r="O315" s="27"/>
      <x:c r="P315" s="19"/>
      <x:c r="Q315" s="26"/>
      <x:c r="R315" s="19"/>
      <x:c r="S315" s="26"/>
      <x:c r="T315" s="19"/>
      <x:c r="U315" s="19"/>
    </x:row>
    <x:row r="316">
      <x:c r="A316" s="19"/>
      <x:c r="B316" s="19"/>
      <x:c r="C316" s="19"/>
      <x:c r="D316" s="19"/>
      <x:c r="E316" s="26"/>
      <x:c r="F316" s="19"/>
      <x:c r="G316" s="19"/>
      <x:c r="H316" s="19"/>
      <x:c r="I316" s="27"/>
      <x:c r="J316" s="26"/>
      <x:c r="K316" s="26"/>
      <x:c r="L316" s="19"/>
      <x:c r="M316" s="19"/>
      <x:c r="N316" s="19"/>
      <x:c r="O316" s="27"/>
      <x:c r="P316" s="19"/>
      <x:c r="Q316" s="26"/>
      <x:c r="R316" s="19"/>
      <x:c r="S316" s="26"/>
      <x:c r="T316" s="19"/>
      <x:c r="U316" s="19"/>
    </x:row>
    <x:row r="317">
      <x:c r="A317" s="19"/>
      <x:c r="B317" s="19"/>
      <x:c r="C317" s="19"/>
      <x:c r="D317" s="19"/>
      <x:c r="E317" s="26"/>
      <x:c r="F317" s="19"/>
      <x:c r="G317" s="19"/>
      <x:c r="H317" s="19"/>
      <x:c r="I317" s="27"/>
      <x:c r="J317" s="26"/>
      <x:c r="K317" s="26"/>
      <x:c r="L317" s="19"/>
      <x:c r="M317" s="19"/>
      <x:c r="N317" s="19"/>
      <x:c r="O317" s="27"/>
      <x:c r="P317" s="19"/>
      <x:c r="Q317" s="26"/>
      <x:c r="R317" s="19"/>
      <x:c r="S317" s="26"/>
      <x:c r="T317" s="19"/>
      <x:c r="U317" s="19"/>
    </x:row>
    <x:row r="318">
      <x:c r="A318" s="19"/>
      <x:c r="B318" s="19"/>
      <x:c r="C318" s="19"/>
      <x:c r="D318" s="19"/>
      <x:c r="E318" s="26"/>
      <x:c r="F318" s="19"/>
      <x:c r="G318" s="19"/>
      <x:c r="H318" s="19"/>
      <x:c r="I318" s="27"/>
      <x:c r="J318" s="26"/>
      <x:c r="K318" s="26"/>
      <x:c r="L318" s="19"/>
      <x:c r="M318" s="19"/>
      <x:c r="N318" s="19"/>
      <x:c r="O318" s="27"/>
      <x:c r="P318" s="19"/>
      <x:c r="Q318" s="26"/>
      <x:c r="R318" s="19"/>
      <x:c r="S318" s="26"/>
      <x:c r="T318" s="19"/>
      <x:c r="U318" s="19"/>
    </x:row>
    <x:row r="319">
      <x:c r="A319" s="19"/>
      <x:c r="B319" s="19"/>
      <x:c r="C319" s="19"/>
      <x:c r="D319" s="19"/>
      <x:c r="E319" s="26"/>
      <x:c r="F319" s="19"/>
      <x:c r="G319" s="19"/>
      <x:c r="H319" s="19"/>
      <x:c r="I319" s="27"/>
      <x:c r="J319" s="26"/>
      <x:c r="K319" s="26"/>
      <x:c r="L319" s="19"/>
      <x:c r="M319" s="19"/>
      <x:c r="N319" s="19"/>
      <x:c r="O319" s="27"/>
      <x:c r="P319" s="19"/>
      <x:c r="Q319" s="26"/>
      <x:c r="R319" s="19"/>
      <x:c r="S319" s="26"/>
      <x:c r="T319" s="19"/>
      <x:c r="U319" s="19"/>
    </x:row>
    <x:row r="320">
      <x:c r="A320" s="19"/>
      <x:c r="B320" s="19"/>
      <x:c r="C320" s="19"/>
      <x:c r="D320" s="19"/>
      <x:c r="E320" s="26"/>
      <x:c r="F320" s="19"/>
      <x:c r="G320" s="19"/>
      <x:c r="H320" s="19"/>
      <x:c r="I320" s="27"/>
      <x:c r="J320" s="26"/>
      <x:c r="K320" s="26"/>
      <x:c r="L320" s="19"/>
      <x:c r="M320" s="19"/>
      <x:c r="N320" s="19"/>
      <x:c r="O320" s="27"/>
      <x:c r="P320" s="19"/>
      <x:c r="Q320" s="26"/>
      <x:c r="R320" s="19"/>
      <x:c r="S320" s="26"/>
      <x:c r="T320" s="19"/>
      <x:c r="U320" s="19"/>
    </x:row>
    <x:row r="321">
      <x:c r="A321" s="19"/>
      <x:c r="B321" s="19"/>
      <x:c r="C321" s="19"/>
      <x:c r="D321" s="19"/>
      <x:c r="E321" s="26"/>
      <x:c r="F321" s="19"/>
      <x:c r="G321" s="19"/>
      <x:c r="H321" s="19"/>
      <x:c r="I321" s="27"/>
      <x:c r="J321" s="26"/>
      <x:c r="K321" s="26"/>
      <x:c r="L321" s="19"/>
      <x:c r="M321" s="19"/>
      <x:c r="N321" s="19"/>
      <x:c r="O321" s="27"/>
      <x:c r="P321" s="19"/>
      <x:c r="Q321" s="26"/>
      <x:c r="R321" s="19"/>
      <x:c r="S321" s="26"/>
      <x:c r="T321" s="19"/>
      <x:c r="U321" s="19"/>
    </x:row>
    <x:row r="322">
      <x:c r="A322" s="19"/>
      <x:c r="B322" s="19"/>
      <x:c r="C322" s="19"/>
      <x:c r="D322" s="19"/>
      <x:c r="E322" s="26"/>
      <x:c r="F322" s="19"/>
      <x:c r="G322" s="19"/>
      <x:c r="H322" s="19"/>
      <x:c r="I322" s="27"/>
      <x:c r="J322" s="26"/>
      <x:c r="K322" s="26"/>
      <x:c r="L322" s="19"/>
      <x:c r="M322" s="19"/>
      <x:c r="N322" s="19"/>
      <x:c r="O322" s="27"/>
      <x:c r="P322" s="19"/>
      <x:c r="Q322" s="26"/>
      <x:c r="R322" s="19"/>
      <x:c r="S322" s="26"/>
      <x:c r="T322" s="19"/>
      <x:c r="U322" s="19"/>
    </x:row>
    <x:row r="323">
      <x:c r="A323" s="19"/>
      <x:c r="B323" s="19"/>
      <x:c r="C323" s="19"/>
      <x:c r="D323" s="19"/>
      <x:c r="E323" s="26"/>
      <x:c r="F323" s="19"/>
      <x:c r="G323" s="19"/>
      <x:c r="H323" s="19"/>
      <x:c r="I323" s="27"/>
      <x:c r="J323" s="26"/>
      <x:c r="K323" s="26"/>
      <x:c r="L323" s="19"/>
      <x:c r="M323" s="19"/>
      <x:c r="N323" s="19"/>
      <x:c r="O323" s="27"/>
      <x:c r="P323" s="19"/>
      <x:c r="Q323" s="26"/>
      <x:c r="R323" s="19"/>
      <x:c r="S323" s="26"/>
      <x:c r="T323" s="19"/>
      <x:c r="U323" s="19"/>
    </x:row>
    <x:row r="324">
      <x:c r="A324" s="19"/>
      <x:c r="B324" s="19"/>
      <x:c r="C324" s="19"/>
      <x:c r="D324" s="19"/>
      <x:c r="E324" s="26"/>
      <x:c r="F324" s="19"/>
      <x:c r="G324" s="19"/>
      <x:c r="H324" s="19"/>
      <x:c r="I324" s="27"/>
      <x:c r="J324" s="26"/>
      <x:c r="K324" s="26"/>
      <x:c r="L324" s="19"/>
      <x:c r="M324" s="19"/>
      <x:c r="N324" s="19"/>
      <x:c r="O324" s="27"/>
      <x:c r="P324" s="19"/>
      <x:c r="Q324" s="26"/>
      <x:c r="R324" s="19"/>
      <x:c r="S324" s="26"/>
      <x:c r="T324" s="19"/>
      <x:c r="U324" s="19"/>
    </x:row>
    <x:row r="325">
      <x:c r="A325" s="19"/>
      <x:c r="B325" s="19"/>
      <x:c r="C325" s="19"/>
      <x:c r="D325" s="19"/>
      <x:c r="E325" s="26"/>
      <x:c r="F325" s="19"/>
      <x:c r="G325" s="19"/>
      <x:c r="H325" s="19"/>
      <x:c r="I325" s="27"/>
      <x:c r="J325" s="26"/>
      <x:c r="K325" s="26"/>
      <x:c r="L325" s="19"/>
      <x:c r="M325" s="19"/>
      <x:c r="N325" s="19"/>
      <x:c r="O325" s="27"/>
      <x:c r="P325" s="19"/>
      <x:c r="Q325" s="26"/>
      <x:c r="R325" s="19"/>
      <x:c r="S325" s="26"/>
      <x:c r="T325" s="19"/>
      <x:c r="U325" s="19"/>
    </x:row>
    <x:row r="326">
      <x:c r="A326" s="19"/>
      <x:c r="B326" s="19"/>
      <x:c r="C326" s="19"/>
      <x:c r="D326" s="19"/>
      <x:c r="E326" s="26"/>
      <x:c r="F326" s="19"/>
      <x:c r="G326" s="19"/>
      <x:c r="H326" s="19"/>
      <x:c r="I326" s="27"/>
      <x:c r="J326" s="26"/>
      <x:c r="K326" s="26"/>
      <x:c r="L326" s="19"/>
      <x:c r="M326" s="19"/>
      <x:c r="N326" s="19"/>
      <x:c r="O326" s="27"/>
      <x:c r="P326" s="19"/>
      <x:c r="Q326" s="26"/>
      <x:c r="R326" s="19"/>
      <x:c r="S326" s="26"/>
      <x:c r="T326" s="19"/>
      <x:c r="U326" s="19"/>
    </x:row>
    <x:row r="327">
      <x:c r="A327" s="19"/>
      <x:c r="B327" s="19"/>
      <x:c r="C327" s="19"/>
      <x:c r="D327" s="19"/>
      <x:c r="E327" s="26"/>
      <x:c r="F327" s="19"/>
      <x:c r="G327" s="19"/>
      <x:c r="H327" s="19"/>
      <x:c r="I327" s="27"/>
      <x:c r="J327" s="26"/>
      <x:c r="K327" s="26"/>
      <x:c r="L327" s="19"/>
      <x:c r="M327" s="19"/>
      <x:c r="N327" s="19"/>
      <x:c r="O327" s="27"/>
      <x:c r="P327" s="19"/>
      <x:c r="Q327" s="26"/>
      <x:c r="R327" s="19"/>
      <x:c r="S327" s="26"/>
      <x:c r="T327" s="19"/>
      <x:c r="U327" s="19"/>
    </x:row>
    <x:row r="328">
      <x:c r="A328" s="19"/>
      <x:c r="B328" s="19"/>
      <x:c r="C328" s="19"/>
      <x:c r="D328" s="19"/>
      <x:c r="E328" s="26"/>
      <x:c r="F328" s="19"/>
      <x:c r="G328" s="19"/>
      <x:c r="H328" s="19"/>
      <x:c r="I328" s="27"/>
      <x:c r="J328" s="26"/>
      <x:c r="K328" s="26"/>
      <x:c r="L328" s="19"/>
      <x:c r="M328" s="19"/>
      <x:c r="N328" s="19"/>
      <x:c r="O328" s="27"/>
      <x:c r="P328" s="19"/>
      <x:c r="Q328" s="26"/>
      <x:c r="R328" s="19"/>
      <x:c r="S328" s="26"/>
      <x:c r="T328" s="19"/>
      <x:c r="U328" s="19"/>
    </x:row>
    <x:row r="329">
      <x:c r="A329" s="19"/>
      <x:c r="B329" s="19"/>
      <x:c r="C329" s="19"/>
      <x:c r="D329" s="19"/>
      <x:c r="E329" s="26"/>
      <x:c r="F329" s="19"/>
      <x:c r="G329" s="19"/>
      <x:c r="H329" s="19"/>
      <x:c r="I329" s="27"/>
      <x:c r="J329" s="26"/>
      <x:c r="K329" s="26"/>
      <x:c r="L329" s="19"/>
      <x:c r="M329" s="19"/>
      <x:c r="N329" s="19"/>
      <x:c r="O329" s="27"/>
      <x:c r="P329" s="19"/>
      <x:c r="Q329" s="26"/>
      <x:c r="R329" s="19"/>
      <x:c r="S329" s="26"/>
      <x:c r="T329" s="19"/>
      <x:c r="U329" s="19"/>
    </x:row>
    <x:row r="330">
      <x:c r="A330" s="19"/>
      <x:c r="B330" s="19"/>
      <x:c r="C330" s="19"/>
      <x:c r="D330" s="19"/>
      <x:c r="E330" s="26"/>
      <x:c r="F330" s="19"/>
      <x:c r="G330" s="19"/>
      <x:c r="H330" s="19"/>
      <x:c r="I330" s="27"/>
      <x:c r="J330" s="26"/>
      <x:c r="K330" s="26"/>
      <x:c r="L330" s="19"/>
      <x:c r="M330" s="19"/>
      <x:c r="N330" s="19"/>
      <x:c r="O330" s="27"/>
      <x:c r="P330" s="19"/>
      <x:c r="Q330" s="26"/>
      <x:c r="R330" s="19"/>
      <x:c r="S330" s="26"/>
      <x:c r="T330" s="19"/>
      <x:c r="U330" s="19"/>
    </x:row>
    <x:row r="331">
      <x:c r="A331" s="19"/>
      <x:c r="B331" s="19"/>
      <x:c r="C331" s="19"/>
      <x:c r="D331" s="19"/>
      <x:c r="E331" s="26"/>
      <x:c r="F331" s="19"/>
      <x:c r="G331" s="19"/>
      <x:c r="H331" s="19"/>
      <x:c r="I331" s="27"/>
      <x:c r="J331" s="26"/>
      <x:c r="K331" s="26"/>
      <x:c r="L331" s="19"/>
      <x:c r="M331" s="19"/>
      <x:c r="N331" s="19"/>
      <x:c r="O331" s="27"/>
      <x:c r="P331" s="19"/>
      <x:c r="Q331" s="26"/>
      <x:c r="R331" s="19"/>
      <x:c r="S331" s="26"/>
      <x:c r="T331" s="19"/>
      <x:c r="U331" s="19"/>
    </x:row>
    <x:row r="332">
      <x:c r="A332" s="19"/>
      <x:c r="B332" s="19"/>
      <x:c r="C332" s="19"/>
      <x:c r="D332" s="19"/>
      <x:c r="E332" s="26"/>
      <x:c r="F332" s="19"/>
      <x:c r="G332" s="19"/>
      <x:c r="H332" s="19"/>
      <x:c r="I332" s="27"/>
      <x:c r="J332" s="26"/>
      <x:c r="K332" s="26"/>
      <x:c r="L332" s="19"/>
      <x:c r="M332" s="19"/>
      <x:c r="N332" s="19"/>
      <x:c r="O332" s="27"/>
      <x:c r="P332" s="19"/>
      <x:c r="Q332" s="26"/>
      <x:c r="R332" s="19"/>
      <x:c r="S332" s="26"/>
      <x:c r="T332" s="19"/>
      <x:c r="U332" s="19"/>
    </x:row>
    <x:row r="333">
      <x:c r="A333" s="19"/>
      <x:c r="B333" s="19"/>
      <x:c r="C333" s="19"/>
      <x:c r="D333" s="19"/>
      <x:c r="E333" s="26"/>
      <x:c r="F333" s="19"/>
      <x:c r="G333" s="19"/>
      <x:c r="H333" s="19"/>
      <x:c r="I333" s="27"/>
      <x:c r="J333" s="26"/>
      <x:c r="K333" s="26"/>
      <x:c r="L333" s="19"/>
      <x:c r="M333" s="19"/>
      <x:c r="N333" s="19"/>
      <x:c r="O333" s="27"/>
      <x:c r="P333" s="19"/>
      <x:c r="Q333" s="26"/>
      <x:c r="R333" s="19"/>
      <x:c r="S333" s="26"/>
      <x:c r="T333" s="19"/>
      <x:c r="U333" s="19"/>
    </x:row>
    <x:row r="334">
      <x:c r="A334" s="19"/>
      <x:c r="B334" s="19"/>
      <x:c r="C334" s="19"/>
      <x:c r="D334" s="19"/>
      <x:c r="E334" s="26"/>
      <x:c r="F334" s="19"/>
      <x:c r="G334" s="19"/>
      <x:c r="H334" s="19"/>
      <x:c r="I334" s="27"/>
      <x:c r="J334" s="26"/>
      <x:c r="K334" s="26"/>
      <x:c r="L334" s="19"/>
      <x:c r="M334" s="19"/>
      <x:c r="N334" s="19"/>
      <x:c r="O334" s="27"/>
      <x:c r="P334" s="19"/>
      <x:c r="Q334" s="26"/>
      <x:c r="R334" s="19"/>
      <x:c r="S334" s="26"/>
      <x:c r="T334" s="19"/>
      <x:c r="U334" s="19"/>
    </x:row>
    <x:row r="335">
      <x:c r="A335" s="19"/>
      <x:c r="B335" s="19"/>
      <x:c r="C335" s="19"/>
      <x:c r="D335" s="19"/>
      <x:c r="E335" s="26"/>
      <x:c r="F335" s="19"/>
      <x:c r="G335" s="19"/>
      <x:c r="H335" s="19"/>
      <x:c r="I335" s="27"/>
      <x:c r="J335" s="26"/>
      <x:c r="K335" s="26"/>
      <x:c r="L335" s="19"/>
      <x:c r="M335" s="19"/>
      <x:c r="N335" s="19"/>
      <x:c r="O335" s="27"/>
      <x:c r="P335" s="19"/>
      <x:c r="Q335" s="26"/>
      <x:c r="R335" s="19"/>
      <x:c r="S335" s="26"/>
      <x:c r="T335" s="19"/>
      <x:c r="U335" s="19"/>
    </x:row>
    <x:row r="336">
      <x:c r="A336" s="19"/>
      <x:c r="B336" s="19"/>
      <x:c r="C336" s="19"/>
      <x:c r="D336" s="19"/>
      <x:c r="E336" s="26"/>
      <x:c r="F336" s="19"/>
      <x:c r="G336" s="19"/>
      <x:c r="H336" s="19"/>
      <x:c r="I336" s="27"/>
      <x:c r="J336" s="26"/>
      <x:c r="K336" s="26"/>
      <x:c r="L336" s="19"/>
      <x:c r="M336" s="19"/>
      <x:c r="N336" s="19"/>
      <x:c r="O336" s="27"/>
      <x:c r="P336" s="19"/>
      <x:c r="Q336" s="26"/>
      <x:c r="R336" s="19"/>
      <x:c r="S336" s="26"/>
      <x:c r="T336" s="19"/>
      <x:c r="U336" s="19"/>
    </x:row>
    <x:row r="337">
      <x:c r="A337" s="19"/>
      <x:c r="B337" s="19"/>
      <x:c r="C337" s="19"/>
      <x:c r="D337" s="19"/>
      <x:c r="E337" s="26"/>
      <x:c r="F337" s="19"/>
      <x:c r="G337" s="19"/>
      <x:c r="H337" s="19"/>
      <x:c r="I337" s="27"/>
      <x:c r="J337" s="26"/>
      <x:c r="K337" s="26"/>
      <x:c r="L337" s="19"/>
      <x:c r="M337" s="19"/>
      <x:c r="N337" s="19"/>
      <x:c r="O337" s="27"/>
      <x:c r="P337" s="19"/>
      <x:c r="Q337" s="26"/>
      <x:c r="R337" s="19"/>
      <x:c r="S337" s="26"/>
      <x:c r="T337" s="19"/>
      <x:c r="U337" s="19"/>
    </x:row>
    <x:row r="338">
      <x:c r="A338" s="19"/>
      <x:c r="B338" s="19"/>
      <x:c r="C338" s="19"/>
      <x:c r="D338" s="19"/>
      <x:c r="E338" s="26"/>
      <x:c r="F338" s="19"/>
      <x:c r="G338" s="19"/>
      <x:c r="H338" s="19"/>
      <x:c r="I338" s="27"/>
      <x:c r="J338" s="26"/>
      <x:c r="K338" s="26"/>
      <x:c r="L338" s="19"/>
      <x:c r="M338" s="19"/>
      <x:c r="N338" s="19"/>
      <x:c r="O338" s="27"/>
      <x:c r="P338" s="19"/>
      <x:c r="Q338" s="26"/>
      <x:c r="R338" s="19"/>
      <x:c r="S338" s="26"/>
      <x:c r="T338" s="19"/>
      <x:c r="U338" s="19"/>
    </x:row>
    <x:row r="339">
      <x:c r="A339" s="19"/>
      <x:c r="B339" s="19"/>
      <x:c r="C339" s="19"/>
      <x:c r="D339" s="19"/>
      <x:c r="E339" s="26"/>
      <x:c r="F339" s="19"/>
      <x:c r="G339" s="19"/>
      <x:c r="H339" s="19"/>
      <x:c r="I339" s="27"/>
      <x:c r="J339" s="26"/>
      <x:c r="K339" s="26"/>
      <x:c r="L339" s="19"/>
      <x:c r="M339" s="19"/>
      <x:c r="N339" s="19"/>
      <x:c r="O339" s="27"/>
      <x:c r="P339" s="19"/>
      <x:c r="Q339" s="26"/>
      <x:c r="R339" s="19"/>
      <x:c r="S339" s="26"/>
      <x:c r="T339" s="19"/>
      <x:c r="U339" s="19"/>
    </x:row>
    <x:row r="340">
      <x:c r="A340" s="19"/>
      <x:c r="B340" s="19"/>
      <x:c r="C340" s="19"/>
      <x:c r="D340" s="19"/>
      <x:c r="E340" s="26"/>
      <x:c r="F340" s="19"/>
      <x:c r="G340" s="19"/>
      <x:c r="H340" s="19"/>
      <x:c r="I340" s="27"/>
      <x:c r="J340" s="26"/>
      <x:c r="K340" s="26"/>
      <x:c r="L340" s="19"/>
      <x:c r="M340" s="19"/>
      <x:c r="N340" s="19"/>
      <x:c r="O340" s="27"/>
      <x:c r="P340" s="19"/>
      <x:c r="Q340" s="26"/>
      <x:c r="R340" s="19"/>
      <x:c r="S340" s="26"/>
      <x:c r="T340" s="19"/>
      <x:c r="U340" s="19"/>
    </x:row>
    <x:row r="341">
      <x:c r="A341" s="19"/>
      <x:c r="B341" s="19"/>
      <x:c r="C341" s="19"/>
      <x:c r="D341" s="19"/>
      <x:c r="E341" s="26"/>
      <x:c r="F341" s="19"/>
      <x:c r="G341" s="19"/>
      <x:c r="H341" s="19"/>
      <x:c r="I341" s="27"/>
      <x:c r="J341" s="26"/>
      <x:c r="K341" s="26"/>
      <x:c r="L341" s="19"/>
      <x:c r="M341" s="19"/>
      <x:c r="N341" s="19"/>
      <x:c r="O341" s="27"/>
      <x:c r="P341" s="19"/>
      <x:c r="Q341" s="26"/>
      <x:c r="R341" s="19"/>
      <x:c r="S341" s="26"/>
      <x:c r="T341" s="19"/>
      <x:c r="U341" s="19"/>
    </x:row>
    <x:row r="342">
      <x:c r="A342" s="19"/>
      <x:c r="B342" s="19"/>
      <x:c r="C342" s="19"/>
      <x:c r="D342" s="19"/>
      <x:c r="E342" s="26"/>
      <x:c r="F342" s="19"/>
      <x:c r="G342" s="19"/>
      <x:c r="H342" s="19"/>
      <x:c r="I342" s="27"/>
      <x:c r="J342" s="26"/>
      <x:c r="K342" s="26"/>
      <x:c r="L342" s="19"/>
      <x:c r="M342" s="19"/>
      <x:c r="N342" s="19"/>
      <x:c r="O342" s="27"/>
      <x:c r="P342" s="19"/>
      <x:c r="Q342" s="26"/>
      <x:c r="R342" s="19"/>
      <x:c r="S342" s="26"/>
      <x:c r="T342" s="19"/>
      <x:c r="U342" s="19"/>
    </x:row>
    <x:row r="343">
      <x:c r="A343" s="19"/>
      <x:c r="B343" s="19"/>
      <x:c r="C343" s="19"/>
      <x:c r="D343" s="19"/>
      <x:c r="E343" s="26"/>
      <x:c r="F343" s="19"/>
      <x:c r="G343" s="19"/>
      <x:c r="H343" s="19"/>
      <x:c r="I343" s="27"/>
      <x:c r="J343" s="26"/>
      <x:c r="K343" s="26"/>
      <x:c r="L343" s="19"/>
      <x:c r="M343" s="19"/>
      <x:c r="N343" s="19"/>
      <x:c r="O343" s="27"/>
      <x:c r="P343" s="19"/>
      <x:c r="Q343" s="26"/>
      <x:c r="R343" s="19"/>
      <x:c r="S343" s="26"/>
      <x:c r="T343" s="19"/>
      <x:c r="U343" s="19"/>
    </x:row>
    <x:row r="344">
      <x:c r="A344" s="19"/>
      <x:c r="B344" s="19"/>
      <x:c r="C344" s="19"/>
      <x:c r="D344" s="19"/>
      <x:c r="E344" s="26"/>
      <x:c r="F344" s="19"/>
      <x:c r="G344" s="19"/>
      <x:c r="H344" s="19"/>
      <x:c r="I344" s="27"/>
      <x:c r="J344" s="26"/>
      <x:c r="K344" s="26"/>
      <x:c r="L344" s="19"/>
      <x:c r="M344" s="19"/>
      <x:c r="N344" s="19"/>
      <x:c r="O344" s="27"/>
      <x:c r="P344" s="19"/>
      <x:c r="Q344" s="26"/>
      <x:c r="R344" s="19"/>
      <x:c r="S344" s="26"/>
      <x:c r="T344" s="19"/>
      <x:c r="U344" s="19"/>
    </x:row>
    <x:row r="345">
      <x:c r="A345" s="19"/>
      <x:c r="B345" s="19"/>
      <x:c r="C345" s="19"/>
      <x:c r="D345" s="19"/>
      <x:c r="E345" s="26"/>
      <x:c r="F345" s="19"/>
      <x:c r="G345" s="19"/>
      <x:c r="H345" s="19"/>
      <x:c r="I345" s="27"/>
      <x:c r="J345" s="26"/>
      <x:c r="K345" s="26"/>
      <x:c r="L345" s="19"/>
      <x:c r="M345" s="19"/>
      <x:c r="N345" s="19"/>
      <x:c r="O345" s="27"/>
      <x:c r="P345" s="19"/>
      <x:c r="Q345" s="26"/>
      <x:c r="R345" s="19"/>
      <x:c r="S345" s="26"/>
      <x:c r="T345" s="19"/>
      <x:c r="U345" s="19"/>
    </x:row>
    <x:row r="346">
      <x:c r="A346" s="19"/>
      <x:c r="B346" s="19"/>
      <x:c r="C346" s="19"/>
      <x:c r="D346" s="19"/>
      <x:c r="E346" s="26"/>
      <x:c r="F346" s="19"/>
      <x:c r="G346" s="19"/>
      <x:c r="H346" s="19"/>
      <x:c r="I346" s="27"/>
      <x:c r="J346" s="26"/>
      <x:c r="K346" s="26"/>
      <x:c r="L346" s="19"/>
      <x:c r="M346" s="19"/>
      <x:c r="N346" s="19"/>
      <x:c r="O346" s="27"/>
      <x:c r="P346" s="19"/>
      <x:c r="Q346" s="26"/>
      <x:c r="R346" s="19"/>
      <x:c r="S346" s="26"/>
      <x:c r="T346" s="19"/>
      <x:c r="U346" s="19"/>
    </x:row>
    <x:row r="347">
      <x:c r="A347" s="19"/>
      <x:c r="B347" s="19"/>
      <x:c r="C347" s="19"/>
      <x:c r="D347" s="19"/>
      <x:c r="E347" s="26"/>
      <x:c r="F347" s="19"/>
      <x:c r="G347" s="19"/>
      <x:c r="H347" s="19"/>
      <x:c r="I347" s="27"/>
      <x:c r="J347" s="26"/>
      <x:c r="K347" s="26"/>
      <x:c r="L347" s="19"/>
      <x:c r="M347" s="19"/>
      <x:c r="N347" s="19"/>
      <x:c r="O347" s="27"/>
      <x:c r="P347" s="19"/>
      <x:c r="Q347" s="26"/>
      <x:c r="R347" s="19"/>
      <x:c r="S347" s="26"/>
      <x:c r="T347" s="19"/>
      <x:c r="U347" s="19"/>
    </x:row>
    <x:row r="348">
      <x:c r="A348" s="19"/>
      <x:c r="B348" s="19"/>
      <x:c r="C348" s="19"/>
      <x:c r="D348" s="19"/>
      <x:c r="E348" s="26"/>
      <x:c r="F348" s="19"/>
      <x:c r="G348" s="19"/>
      <x:c r="H348" s="19"/>
      <x:c r="I348" s="27"/>
      <x:c r="J348" s="26"/>
      <x:c r="K348" s="26"/>
      <x:c r="L348" s="19"/>
      <x:c r="M348" s="19"/>
      <x:c r="N348" s="19"/>
      <x:c r="O348" s="27"/>
      <x:c r="P348" s="19"/>
      <x:c r="Q348" s="26"/>
      <x:c r="R348" s="19"/>
      <x:c r="S348" s="26"/>
      <x:c r="T348" s="19"/>
      <x:c r="U348" s="19"/>
    </x:row>
    <x:row r="349">
      <x:c r="A349" s="19"/>
      <x:c r="B349" s="19"/>
      <x:c r="C349" s="19"/>
      <x:c r="D349" s="19"/>
      <x:c r="E349" s="26"/>
      <x:c r="F349" s="19"/>
      <x:c r="G349" s="19"/>
      <x:c r="H349" s="19"/>
      <x:c r="I349" s="27"/>
      <x:c r="J349" s="26"/>
      <x:c r="K349" s="26"/>
      <x:c r="L349" s="19"/>
      <x:c r="M349" s="19"/>
      <x:c r="N349" s="19"/>
      <x:c r="O349" s="27"/>
      <x:c r="P349" s="19"/>
      <x:c r="Q349" s="26"/>
      <x:c r="R349" s="19"/>
      <x:c r="S349" s="26"/>
      <x:c r="T349" s="19"/>
      <x:c r="U349" s="19"/>
    </x:row>
    <x:row r="350">
      <x:c r="A350" s="19"/>
      <x:c r="B350" s="19"/>
      <x:c r="C350" s="19"/>
      <x:c r="D350" s="19"/>
      <x:c r="E350" s="26"/>
      <x:c r="F350" s="19"/>
      <x:c r="G350" s="19"/>
      <x:c r="H350" s="19"/>
      <x:c r="I350" s="27"/>
      <x:c r="J350" s="26"/>
      <x:c r="K350" s="26"/>
      <x:c r="L350" s="19"/>
      <x:c r="M350" s="19"/>
      <x:c r="N350" s="19"/>
      <x:c r="O350" s="27"/>
      <x:c r="P350" s="19"/>
      <x:c r="Q350" s="26"/>
      <x:c r="R350" s="19"/>
      <x:c r="S350" s="26"/>
      <x:c r="T350" s="19"/>
      <x:c r="U350" s="19"/>
    </x:row>
    <x:row r="351">
      <x:c r="A351" s="19"/>
      <x:c r="B351" s="19"/>
      <x:c r="C351" s="19"/>
      <x:c r="D351" s="19"/>
      <x:c r="E351" s="26"/>
      <x:c r="F351" s="19"/>
      <x:c r="G351" s="19"/>
      <x:c r="H351" s="19"/>
      <x:c r="I351" s="27"/>
      <x:c r="J351" s="26"/>
      <x:c r="K351" s="26"/>
      <x:c r="L351" s="19"/>
      <x:c r="M351" s="19"/>
      <x:c r="N351" s="19"/>
      <x:c r="O351" s="27"/>
      <x:c r="P351" s="19"/>
      <x:c r="Q351" s="26"/>
      <x:c r="R351" s="19"/>
      <x:c r="S351" s="26"/>
      <x:c r="T351" s="19"/>
      <x:c r="U351" s="19"/>
    </x:row>
    <x:row r="352">
      <x:c r="A352" s="19"/>
      <x:c r="B352" s="19"/>
      <x:c r="C352" s="19"/>
      <x:c r="D352" s="19"/>
      <x:c r="E352" s="26"/>
      <x:c r="F352" s="19"/>
      <x:c r="G352" s="19"/>
      <x:c r="H352" s="19"/>
      <x:c r="I352" s="27"/>
      <x:c r="J352" s="26"/>
      <x:c r="K352" s="26"/>
      <x:c r="L352" s="19"/>
      <x:c r="M352" s="19"/>
      <x:c r="N352" s="19"/>
      <x:c r="O352" s="27"/>
      <x:c r="P352" s="19"/>
      <x:c r="Q352" s="26"/>
      <x:c r="R352" s="19"/>
      <x:c r="S352" s="26"/>
      <x:c r="T352" s="19"/>
      <x:c r="U352" s="19"/>
    </x:row>
    <x:row r="353">
      <x:c r="A353" s="19"/>
      <x:c r="B353" s="19"/>
      <x:c r="C353" s="19"/>
      <x:c r="D353" s="19"/>
      <x:c r="E353" s="26"/>
      <x:c r="F353" s="19"/>
      <x:c r="G353" s="19"/>
      <x:c r="H353" s="19"/>
      <x:c r="I353" s="27"/>
      <x:c r="J353" s="26"/>
      <x:c r="K353" s="26"/>
      <x:c r="L353" s="19"/>
      <x:c r="M353" s="19"/>
      <x:c r="N353" s="19"/>
      <x:c r="O353" s="27"/>
      <x:c r="P353" s="19"/>
      <x:c r="Q353" s="26"/>
      <x:c r="R353" s="19"/>
      <x:c r="S353" s="26"/>
      <x:c r="T353" s="19"/>
      <x:c r="U353" s="19"/>
    </x:row>
    <x:row r="354">
      <x:c r="A354" s="19"/>
      <x:c r="B354" s="19"/>
      <x:c r="C354" s="19"/>
      <x:c r="D354" s="19"/>
      <x:c r="E354" s="26"/>
      <x:c r="F354" s="19"/>
      <x:c r="G354" s="19"/>
      <x:c r="H354" s="19"/>
      <x:c r="I354" s="27"/>
      <x:c r="J354" s="26"/>
      <x:c r="K354" s="26"/>
      <x:c r="L354" s="19"/>
      <x:c r="M354" s="19"/>
      <x:c r="N354" s="19"/>
      <x:c r="O354" s="27"/>
      <x:c r="P354" s="19"/>
      <x:c r="Q354" s="26"/>
      <x:c r="R354" s="19"/>
      <x:c r="S354" s="26"/>
      <x:c r="T354" s="19"/>
      <x:c r="U354" s="19"/>
    </x:row>
    <x:row r="355">
      <x:c r="A355" s="19"/>
      <x:c r="B355" s="19"/>
      <x:c r="C355" s="19"/>
      <x:c r="D355" s="19"/>
      <x:c r="E355" s="26"/>
      <x:c r="F355" s="19"/>
      <x:c r="G355" s="19"/>
      <x:c r="H355" s="19"/>
      <x:c r="I355" s="27"/>
      <x:c r="J355" s="26"/>
      <x:c r="K355" s="26"/>
      <x:c r="L355" s="19"/>
      <x:c r="M355" s="19"/>
      <x:c r="N355" s="19"/>
      <x:c r="O355" s="27"/>
      <x:c r="P355" s="19"/>
      <x:c r="Q355" s="26"/>
      <x:c r="R355" s="19"/>
      <x:c r="S355" s="26"/>
      <x:c r="T355" s="19"/>
      <x:c r="U355" s="19"/>
    </x:row>
    <x:row r="356">
      <x:c r="A356" s="19"/>
      <x:c r="B356" s="19"/>
      <x:c r="C356" s="19"/>
      <x:c r="D356" s="19"/>
      <x:c r="E356" s="26"/>
      <x:c r="F356" s="19"/>
      <x:c r="G356" s="19"/>
      <x:c r="H356" s="19"/>
      <x:c r="I356" s="27"/>
      <x:c r="J356" s="26"/>
      <x:c r="K356" s="26"/>
      <x:c r="L356" s="19"/>
      <x:c r="M356" s="19"/>
      <x:c r="N356" s="19"/>
      <x:c r="O356" s="27"/>
      <x:c r="P356" s="19"/>
      <x:c r="Q356" s="26"/>
      <x:c r="R356" s="19"/>
      <x:c r="S356" s="26"/>
      <x:c r="T356" s="19"/>
      <x:c r="U356" s="19"/>
    </x:row>
    <x:row r="357">
      <x:c r="A357" s="19"/>
      <x:c r="B357" s="19"/>
      <x:c r="C357" s="19"/>
      <x:c r="D357" s="19"/>
      <x:c r="E357" s="26"/>
      <x:c r="F357" s="19"/>
      <x:c r="G357" s="19"/>
      <x:c r="H357" s="19"/>
      <x:c r="I357" s="27"/>
      <x:c r="J357" s="26"/>
      <x:c r="K357" s="26"/>
      <x:c r="L357" s="19"/>
      <x:c r="M357" s="19"/>
      <x:c r="N357" s="19"/>
      <x:c r="O357" s="27"/>
      <x:c r="P357" s="19"/>
      <x:c r="Q357" s="26"/>
      <x:c r="R357" s="19"/>
      <x:c r="S357" s="26"/>
      <x:c r="T357" s="19"/>
      <x:c r="U357" s="19"/>
    </x:row>
    <x:row r="358">
      <x:c r="A358" s="19"/>
      <x:c r="B358" s="19"/>
      <x:c r="C358" s="19"/>
      <x:c r="D358" s="19"/>
      <x:c r="E358" s="26"/>
      <x:c r="F358" s="19"/>
      <x:c r="G358" s="19"/>
      <x:c r="H358" s="19"/>
      <x:c r="I358" s="27"/>
      <x:c r="J358" s="26"/>
      <x:c r="K358" s="26"/>
      <x:c r="L358" s="19"/>
      <x:c r="M358" s="19"/>
      <x:c r="N358" s="19"/>
      <x:c r="O358" s="27"/>
      <x:c r="P358" s="19"/>
      <x:c r="Q358" s="26"/>
      <x:c r="R358" s="19"/>
      <x:c r="S358" s="26"/>
      <x:c r="T358" s="19"/>
      <x:c r="U358" s="19"/>
    </x:row>
    <x:row r="359">
      <x:c r="A359" s="19"/>
      <x:c r="B359" s="19"/>
      <x:c r="C359" s="19"/>
      <x:c r="D359" s="19"/>
      <x:c r="E359" s="26"/>
      <x:c r="F359" s="19"/>
      <x:c r="G359" s="19"/>
      <x:c r="H359" s="19"/>
      <x:c r="I359" s="27"/>
      <x:c r="J359" s="26"/>
      <x:c r="K359" s="26"/>
      <x:c r="L359" s="19"/>
      <x:c r="M359" s="19"/>
      <x:c r="N359" s="19"/>
      <x:c r="O359" s="27"/>
      <x:c r="P359" s="19"/>
      <x:c r="Q359" s="26"/>
      <x:c r="R359" s="19"/>
      <x:c r="S359" s="26"/>
      <x:c r="T359" s="19"/>
      <x:c r="U359" s="19"/>
    </x:row>
    <x:row r="360">
      <x:c r="A360" s="19"/>
      <x:c r="B360" s="19"/>
      <x:c r="C360" s="19"/>
      <x:c r="D360" s="19"/>
      <x:c r="E360" s="26"/>
      <x:c r="F360" s="19"/>
      <x:c r="G360" s="19"/>
      <x:c r="H360" s="19"/>
      <x:c r="I360" s="27"/>
      <x:c r="J360" s="26"/>
      <x:c r="K360" s="26"/>
      <x:c r="L360" s="19"/>
      <x:c r="M360" s="19"/>
      <x:c r="N360" s="19"/>
      <x:c r="O360" s="27"/>
      <x:c r="P360" s="19"/>
      <x:c r="Q360" s="26"/>
      <x:c r="R360" s="19"/>
      <x:c r="S360" s="26"/>
      <x:c r="T360" s="19"/>
      <x:c r="U360" s="19"/>
    </x:row>
    <x:row r="361">
      <x:c r="A361" s="19"/>
      <x:c r="B361" s="19"/>
      <x:c r="C361" s="19"/>
      <x:c r="D361" s="19"/>
      <x:c r="E361" s="26"/>
      <x:c r="F361" s="19"/>
      <x:c r="G361" s="19"/>
      <x:c r="H361" s="19"/>
      <x:c r="I361" s="27"/>
      <x:c r="J361" s="26"/>
      <x:c r="K361" s="26"/>
      <x:c r="L361" s="19"/>
      <x:c r="M361" s="19"/>
      <x:c r="N361" s="19"/>
      <x:c r="O361" s="27"/>
      <x:c r="P361" s="19"/>
      <x:c r="Q361" s="26"/>
      <x:c r="R361" s="19"/>
      <x:c r="S361" s="26"/>
      <x:c r="T361" s="19"/>
      <x:c r="U361" s="19"/>
    </x:row>
    <x:row r="362">
      <x:c r="A362" s="19"/>
      <x:c r="B362" s="19"/>
      <x:c r="C362" s="19"/>
      <x:c r="D362" s="19"/>
      <x:c r="E362" s="26"/>
      <x:c r="F362" s="19"/>
      <x:c r="G362" s="19"/>
      <x:c r="H362" s="19"/>
      <x:c r="I362" s="27"/>
      <x:c r="J362" s="26"/>
      <x:c r="K362" s="26"/>
      <x:c r="L362" s="19"/>
      <x:c r="M362" s="19"/>
      <x:c r="N362" s="19"/>
      <x:c r="O362" s="27"/>
      <x:c r="P362" s="19"/>
      <x:c r="Q362" s="26"/>
      <x:c r="R362" s="19"/>
      <x:c r="S362" s="26"/>
      <x:c r="T362" s="19"/>
      <x:c r="U362" s="19"/>
    </x:row>
    <x:row r="363">
      <x:c r="A363" s="19"/>
      <x:c r="B363" s="19"/>
      <x:c r="C363" s="19"/>
      <x:c r="D363" s="19"/>
      <x:c r="E363" s="26"/>
      <x:c r="F363" s="19"/>
      <x:c r="G363" s="19"/>
      <x:c r="H363" s="19"/>
      <x:c r="I363" s="27"/>
      <x:c r="J363" s="26"/>
      <x:c r="K363" s="26"/>
      <x:c r="L363" s="19"/>
      <x:c r="M363" s="19"/>
      <x:c r="N363" s="19"/>
      <x:c r="O363" s="27"/>
      <x:c r="P363" s="19"/>
      <x:c r="Q363" s="26"/>
      <x:c r="R363" s="19"/>
      <x:c r="S363" s="26"/>
      <x:c r="T363" s="19"/>
      <x:c r="U363" s="19"/>
    </x:row>
    <x:row r="364">
      <x:c r="A364" s="19"/>
      <x:c r="B364" s="19"/>
      <x:c r="C364" s="19"/>
      <x:c r="D364" s="19"/>
      <x:c r="E364" s="26"/>
      <x:c r="F364" s="19"/>
      <x:c r="G364" s="19"/>
      <x:c r="H364" s="19"/>
      <x:c r="I364" s="27"/>
      <x:c r="J364" s="26"/>
      <x:c r="K364" s="26"/>
      <x:c r="L364" s="19"/>
      <x:c r="M364" s="19"/>
      <x:c r="N364" s="19"/>
      <x:c r="O364" s="27"/>
      <x:c r="P364" s="19"/>
      <x:c r="Q364" s="26"/>
      <x:c r="R364" s="19"/>
      <x:c r="S364" s="26"/>
      <x:c r="T364" s="19"/>
      <x:c r="U364" s="19"/>
    </x:row>
    <x:row r="365">
      <x:c r="A365" s="19"/>
      <x:c r="B365" s="19"/>
      <x:c r="C365" s="19"/>
      <x:c r="D365" s="19"/>
      <x:c r="E365" s="26"/>
      <x:c r="F365" s="19"/>
      <x:c r="G365" s="19"/>
      <x:c r="H365" s="19"/>
      <x:c r="I365" s="27"/>
      <x:c r="J365" s="26"/>
      <x:c r="K365" s="26"/>
      <x:c r="L365" s="19"/>
      <x:c r="M365" s="19"/>
      <x:c r="N365" s="19"/>
      <x:c r="O365" s="27"/>
      <x:c r="P365" s="19"/>
      <x:c r="Q365" s="26"/>
      <x:c r="R365" s="19"/>
      <x:c r="S365" s="26"/>
      <x:c r="T365" s="19"/>
      <x:c r="U365" s="19"/>
    </x:row>
    <x:row r="366">
      <x:c r="A366" s="19"/>
      <x:c r="B366" s="19"/>
      <x:c r="C366" s="19"/>
      <x:c r="D366" s="19"/>
      <x:c r="E366" s="26"/>
      <x:c r="F366" s="19"/>
      <x:c r="G366" s="19"/>
      <x:c r="H366" s="19"/>
      <x:c r="I366" s="27"/>
      <x:c r="J366" s="26"/>
      <x:c r="K366" s="26"/>
      <x:c r="L366" s="19"/>
      <x:c r="M366" s="19"/>
      <x:c r="N366" s="19"/>
      <x:c r="O366" s="27"/>
      <x:c r="P366" s="19"/>
      <x:c r="Q366" s="26"/>
      <x:c r="R366" s="19"/>
      <x:c r="S366" s="26"/>
      <x:c r="T366" s="19"/>
      <x:c r="U366" s="19"/>
    </x:row>
    <x:row r="367">
      <x:c r="A367" s="19"/>
      <x:c r="B367" s="19"/>
      <x:c r="C367" s="19"/>
      <x:c r="D367" s="19"/>
      <x:c r="E367" s="26"/>
      <x:c r="F367" s="19"/>
      <x:c r="G367" s="19"/>
      <x:c r="H367" s="19"/>
      <x:c r="I367" s="27"/>
      <x:c r="J367" s="26"/>
      <x:c r="K367" s="26"/>
      <x:c r="L367" s="19"/>
      <x:c r="M367" s="19"/>
      <x:c r="N367" s="19"/>
      <x:c r="O367" s="27"/>
      <x:c r="P367" s="19"/>
      <x:c r="Q367" s="26"/>
      <x:c r="R367" s="19"/>
      <x:c r="S367" s="26"/>
      <x:c r="T367" s="19"/>
      <x:c r="U367" s="19"/>
    </x:row>
    <x:row r="368">
      <x:c r="A368" s="19"/>
      <x:c r="B368" s="19"/>
      <x:c r="C368" s="19"/>
      <x:c r="D368" s="19"/>
      <x:c r="E368" s="26"/>
      <x:c r="F368" s="19"/>
      <x:c r="G368" s="19"/>
      <x:c r="H368" s="19"/>
      <x:c r="I368" s="27"/>
      <x:c r="J368" s="26"/>
      <x:c r="K368" s="26"/>
      <x:c r="L368" s="19"/>
      <x:c r="M368" s="19"/>
      <x:c r="N368" s="19"/>
      <x:c r="O368" s="27"/>
      <x:c r="P368" s="19"/>
      <x:c r="Q368" s="26"/>
      <x:c r="R368" s="19"/>
      <x:c r="S368" s="26"/>
      <x:c r="T368" s="19"/>
      <x:c r="U368" s="19"/>
    </x:row>
    <x:row r="369">
      <x:c r="A369" s="19"/>
      <x:c r="B369" s="19"/>
      <x:c r="C369" s="19"/>
      <x:c r="D369" s="19"/>
      <x:c r="E369" s="26"/>
      <x:c r="F369" s="19"/>
      <x:c r="G369" s="19"/>
      <x:c r="H369" s="19"/>
      <x:c r="I369" s="27"/>
      <x:c r="J369" s="26"/>
      <x:c r="K369" s="26"/>
      <x:c r="L369" s="19"/>
      <x:c r="M369" s="19"/>
      <x:c r="N369" s="19"/>
      <x:c r="O369" s="27"/>
      <x:c r="P369" s="19"/>
      <x:c r="Q369" s="26"/>
      <x:c r="R369" s="19"/>
      <x:c r="S369" s="26"/>
      <x:c r="T369" s="19"/>
      <x:c r="U369" s="19"/>
    </x:row>
    <x:row r="370">
      <x:c r="A370" s="19"/>
      <x:c r="B370" s="19"/>
      <x:c r="C370" s="19"/>
      <x:c r="D370" s="19"/>
      <x:c r="E370" s="26"/>
      <x:c r="F370" s="19"/>
      <x:c r="G370" s="19"/>
      <x:c r="H370" s="19"/>
      <x:c r="I370" s="27"/>
      <x:c r="J370" s="26"/>
      <x:c r="K370" s="26"/>
      <x:c r="L370" s="19"/>
      <x:c r="M370" s="19"/>
      <x:c r="N370" s="19"/>
      <x:c r="O370" s="27"/>
      <x:c r="P370" s="19"/>
      <x:c r="Q370" s="26"/>
      <x:c r="R370" s="19"/>
      <x:c r="S370" s="26"/>
      <x:c r="T370" s="19"/>
      <x:c r="U370" s="19"/>
    </x:row>
    <x:row r="371">
      <x:c r="A371" s="19"/>
      <x:c r="B371" s="19"/>
      <x:c r="C371" s="19"/>
      <x:c r="D371" s="19"/>
      <x:c r="E371" s="26"/>
      <x:c r="F371" s="19"/>
      <x:c r="G371" s="19"/>
      <x:c r="H371" s="19"/>
      <x:c r="I371" s="27"/>
      <x:c r="J371" s="26"/>
      <x:c r="K371" s="26"/>
      <x:c r="L371" s="19"/>
      <x:c r="M371" s="19"/>
      <x:c r="N371" s="19"/>
      <x:c r="O371" s="27"/>
      <x:c r="P371" s="19"/>
      <x:c r="Q371" s="26"/>
      <x:c r="R371" s="19"/>
      <x:c r="S371" s="26"/>
      <x:c r="T371" s="19"/>
      <x:c r="U371" s="19"/>
    </x:row>
    <x:row r="372">
      <x:c r="A372" s="19"/>
      <x:c r="B372" s="19"/>
      <x:c r="C372" s="19"/>
      <x:c r="D372" s="19"/>
      <x:c r="E372" s="26"/>
      <x:c r="F372" s="19"/>
      <x:c r="G372" s="19"/>
      <x:c r="H372" s="19"/>
      <x:c r="I372" s="27"/>
      <x:c r="J372" s="26"/>
      <x:c r="K372" s="26"/>
      <x:c r="L372" s="19"/>
      <x:c r="M372" s="19"/>
      <x:c r="N372" s="19"/>
      <x:c r="O372" s="27"/>
      <x:c r="P372" s="19"/>
      <x:c r="Q372" s="26"/>
      <x:c r="R372" s="19"/>
      <x:c r="S372" s="26"/>
      <x:c r="T372" s="19"/>
      <x:c r="U372" s="19"/>
    </x:row>
    <x:row r="373">
      <x:c r="A373" s="19"/>
      <x:c r="B373" s="19"/>
      <x:c r="C373" s="19"/>
      <x:c r="D373" s="19"/>
      <x:c r="E373" s="26"/>
      <x:c r="F373" s="19"/>
      <x:c r="G373" s="19"/>
      <x:c r="H373" s="19"/>
      <x:c r="I373" s="27"/>
      <x:c r="J373" s="26"/>
      <x:c r="K373" s="26"/>
      <x:c r="L373" s="19"/>
      <x:c r="M373" s="19"/>
      <x:c r="N373" s="19"/>
      <x:c r="O373" s="27"/>
      <x:c r="P373" s="19"/>
      <x:c r="Q373" s="26"/>
      <x:c r="R373" s="19"/>
      <x:c r="S373" s="26"/>
      <x:c r="T373" s="19"/>
      <x:c r="U373" s="19"/>
    </x:row>
    <x:row r="374">
      <x:c r="A374" s="19"/>
      <x:c r="B374" s="19"/>
      <x:c r="C374" s="19"/>
      <x:c r="D374" s="19"/>
      <x:c r="E374" s="26"/>
      <x:c r="F374" s="19"/>
      <x:c r="G374" s="19"/>
      <x:c r="H374" s="19"/>
      <x:c r="I374" s="27"/>
      <x:c r="J374" s="26"/>
      <x:c r="K374" s="26"/>
      <x:c r="L374" s="19"/>
      <x:c r="M374" s="19"/>
      <x:c r="N374" s="19"/>
      <x:c r="O374" s="27"/>
      <x:c r="P374" s="19"/>
      <x:c r="Q374" s="26"/>
      <x:c r="R374" s="19"/>
      <x:c r="S374" s="26"/>
      <x:c r="T374" s="19"/>
      <x:c r="U374" s="19"/>
    </x:row>
    <x:row r="375">
      <x:c r="A375" s="19"/>
      <x:c r="B375" s="19"/>
      <x:c r="C375" s="19"/>
      <x:c r="D375" s="19"/>
      <x:c r="E375" s="26"/>
      <x:c r="F375" s="19"/>
      <x:c r="G375" s="19"/>
      <x:c r="H375" s="19"/>
      <x:c r="I375" s="27"/>
      <x:c r="J375" s="26"/>
      <x:c r="K375" s="26"/>
      <x:c r="L375" s="19"/>
      <x:c r="M375" s="19"/>
      <x:c r="N375" s="19"/>
      <x:c r="O375" s="27"/>
      <x:c r="P375" s="19"/>
      <x:c r="Q375" s="26"/>
      <x:c r="R375" s="19"/>
      <x:c r="S375" s="26"/>
      <x:c r="T375" s="19"/>
      <x:c r="U375" s="19"/>
    </x:row>
    <x:row r="376">
      <x:c r="A376" s="19"/>
      <x:c r="B376" s="19"/>
      <x:c r="C376" s="19"/>
      <x:c r="D376" s="19"/>
      <x:c r="E376" s="26"/>
      <x:c r="F376" s="19"/>
      <x:c r="G376" s="19"/>
      <x:c r="H376" s="19"/>
      <x:c r="I376" s="27"/>
      <x:c r="J376" s="26"/>
      <x:c r="K376" s="26"/>
      <x:c r="L376" s="19"/>
      <x:c r="M376" s="19"/>
      <x:c r="N376" s="19"/>
      <x:c r="O376" s="27"/>
      <x:c r="P376" s="19"/>
      <x:c r="Q376" s="26"/>
      <x:c r="R376" s="19"/>
      <x:c r="S376" s="26"/>
      <x:c r="T376" s="19"/>
      <x:c r="U376" s="19"/>
    </x:row>
    <x:row r="377">
      <x:c r="A377" s="19"/>
      <x:c r="B377" s="19"/>
      <x:c r="C377" s="19"/>
      <x:c r="D377" s="19"/>
      <x:c r="E377" s="26"/>
      <x:c r="F377" s="19"/>
      <x:c r="G377" s="19"/>
      <x:c r="H377" s="19"/>
      <x:c r="I377" s="27"/>
      <x:c r="J377" s="26"/>
      <x:c r="K377" s="26"/>
      <x:c r="L377" s="19"/>
      <x:c r="M377" s="19"/>
      <x:c r="N377" s="19"/>
      <x:c r="O377" s="27"/>
      <x:c r="P377" s="19"/>
      <x:c r="Q377" s="26"/>
      <x:c r="R377" s="19"/>
      <x:c r="S377" s="26"/>
      <x:c r="T377" s="19"/>
      <x:c r="U377" s="19"/>
    </x:row>
    <x:row r="378">
      <x:c r="A378" s="19"/>
      <x:c r="B378" s="19"/>
      <x:c r="C378" s="19"/>
      <x:c r="D378" s="19"/>
      <x:c r="E378" s="26"/>
      <x:c r="F378" s="19"/>
      <x:c r="G378" s="19"/>
      <x:c r="H378" s="19"/>
      <x:c r="I378" s="27"/>
      <x:c r="J378" s="26"/>
      <x:c r="K378" s="26"/>
      <x:c r="L378" s="19"/>
      <x:c r="M378" s="19"/>
      <x:c r="N378" s="19"/>
      <x:c r="O378" s="27"/>
      <x:c r="P378" s="19"/>
      <x:c r="Q378" s="26"/>
      <x:c r="R378" s="19"/>
      <x:c r="S378" s="26"/>
      <x:c r="T378" s="19"/>
      <x:c r="U378" s="19"/>
    </x:row>
    <x:row r="379">
      <x:c r="A379" s="19"/>
      <x:c r="B379" s="19"/>
      <x:c r="C379" s="19"/>
      <x:c r="D379" s="19"/>
      <x:c r="E379" s="26"/>
      <x:c r="F379" s="19"/>
      <x:c r="G379" s="19"/>
      <x:c r="H379" s="19"/>
      <x:c r="I379" s="27"/>
      <x:c r="J379" s="26"/>
      <x:c r="K379" s="26"/>
      <x:c r="L379" s="19"/>
      <x:c r="M379" s="19"/>
      <x:c r="N379" s="19"/>
      <x:c r="O379" s="27"/>
      <x:c r="P379" s="19"/>
      <x:c r="Q379" s="26"/>
      <x:c r="R379" s="19"/>
      <x:c r="S379" s="26"/>
      <x:c r="T379" s="19"/>
      <x:c r="U379" s="19"/>
    </x:row>
    <x:row r="380">
      <x:c r="A380" s="19"/>
      <x:c r="B380" s="19"/>
      <x:c r="C380" s="19"/>
      <x:c r="D380" s="19"/>
      <x:c r="E380" s="26"/>
      <x:c r="F380" s="19"/>
      <x:c r="G380" s="19"/>
      <x:c r="H380" s="19"/>
      <x:c r="I380" s="27"/>
      <x:c r="J380" s="26"/>
      <x:c r="K380" s="26"/>
      <x:c r="L380" s="19"/>
      <x:c r="M380" s="19"/>
      <x:c r="N380" s="19"/>
      <x:c r="O380" s="27"/>
      <x:c r="P380" s="19"/>
      <x:c r="Q380" s="26"/>
      <x:c r="R380" s="19"/>
      <x:c r="S380" s="26"/>
      <x:c r="T380" s="19"/>
      <x:c r="U380" s="19"/>
    </x:row>
    <x:row r="381">
      <x:c r="A381" s="19"/>
      <x:c r="B381" s="19"/>
      <x:c r="C381" s="19"/>
      <x:c r="D381" s="19"/>
      <x:c r="E381" s="26"/>
      <x:c r="F381" s="19"/>
      <x:c r="G381" s="19"/>
      <x:c r="H381" s="19"/>
      <x:c r="I381" s="27"/>
      <x:c r="J381" s="26"/>
      <x:c r="K381" s="26"/>
      <x:c r="L381" s="19"/>
      <x:c r="M381" s="19"/>
      <x:c r="N381" s="19"/>
      <x:c r="O381" s="27"/>
      <x:c r="P381" s="19"/>
      <x:c r="Q381" s="26"/>
      <x:c r="R381" s="19"/>
      <x:c r="S381" s="26"/>
      <x:c r="T381" s="19"/>
      <x:c r="U381" s="19"/>
    </x:row>
    <x:row r="382">
      <x:c r="A382" s="19"/>
      <x:c r="B382" s="19"/>
      <x:c r="C382" s="19"/>
      <x:c r="D382" s="19"/>
      <x:c r="E382" s="26"/>
      <x:c r="F382" s="19"/>
      <x:c r="G382" s="19"/>
      <x:c r="H382" s="19"/>
      <x:c r="I382" s="27"/>
      <x:c r="J382" s="26"/>
      <x:c r="K382" s="26"/>
      <x:c r="L382" s="19"/>
      <x:c r="M382" s="19"/>
      <x:c r="N382" s="19"/>
      <x:c r="O382" s="27"/>
      <x:c r="P382" s="19"/>
      <x:c r="Q382" s="26"/>
      <x:c r="R382" s="19"/>
      <x:c r="S382" s="26"/>
      <x:c r="T382" s="19"/>
      <x:c r="U382" s="19"/>
    </x:row>
    <x:row r="383">
      <x:c r="A383" s="19"/>
      <x:c r="B383" s="19"/>
      <x:c r="C383" s="19"/>
      <x:c r="D383" s="19"/>
      <x:c r="E383" s="26"/>
      <x:c r="F383" s="19"/>
      <x:c r="G383" s="19"/>
      <x:c r="H383" s="19"/>
      <x:c r="I383" s="27"/>
      <x:c r="J383" s="26"/>
      <x:c r="K383" s="26"/>
      <x:c r="L383" s="19"/>
      <x:c r="M383" s="19"/>
      <x:c r="N383" s="19"/>
      <x:c r="O383" s="27"/>
      <x:c r="P383" s="19"/>
      <x:c r="Q383" s="26"/>
      <x:c r="R383" s="19"/>
      <x:c r="S383" s="26"/>
      <x:c r="T383" s="19"/>
      <x:c r="U383" s="19"/>
    </x:row>
    <x:row r="384">
      <x:c r="A384" s="19"/>
      <x:c r="B384" s="19"/>
      <x:c r="C384" s="19"/>
      <x:c r="D384" s="19"/>
      <x:c r="E384" s="26"/>
      <x:c r="F384" s="19"/>
      <x:c r="G384" s="19"/>
      <x:c r="H384" s="19"/>
      <x:c r="I384" s="27"/>
      <x:c r="J384" s="26"/>
      <x:c r="K384" s="26"/>
      <x:c r="L384" s="19"/>
      <x:c r="M384" s="19"/>
      <x:c r="N384" s="19"/>
      <x:c r="O384" s="27"/>
      <x:c r="P384" s="19"/>
      <x:c r="Q384" s="26"/>
      <x:c r="R384" s="19"/>
      <x:c r="S384" s="26"/>
      <x:c r="T384" s="19"/>
      <x:c r="U384" s="19"/>
    </x:row>
    <x:row r="385">
      <x:c r="A385" s="19"/>
      <x:c r="B385" s="19"/>
      <x:c r="C385" s="19"/>
      <x:c r="D385" s="19"/>
      <x:c r="E385" s="26"/>
      <x:c r="F385" s="19"/>
      <x:c r="G385" s="19"/>
      <x:c r="H385" s="19"/>
      <x:c r="I385" s="27"/>
      <x:c r="J385" s="26"/>
      <x:c r="K385" s="26"/>
      <x:c r="L385" s="19"/>
      <x:c r="M385" s="19"/>
      <x:c r="N385" s="19"/>
      <x:c r="O385" s="27"/>
      <x:c r="P385" s="19"/>
      <x:c r="Q385" s="26"/>
      <x:c r="R385" s="19"/>
      <x:c r="S385" s="26"/>
      <x:c r="T385" s="19"/>
      <x:c r="U385" s="19"/>
    </x:row>
    <x:row r="386">
      <x:c r="A386" s="19"/>
      <x:c r="B386" s="19"/>
      <x:c r="C386" s="19"/>
      <x:c r="D386" s="19"/>
      <x:c r="E386" s="26"/>
      <x:c r="F386" s="19"/>
      <x:c r="G386" s="19"/>
      <x:c r="H386" s="19"/>
      <x:c r="I386" s="27"/>
      <x:c r="J386" s="26"/>
      <x:c r="K386" s="26"/>
      <x:c r="L386" s="19"/>
      <x:c r="M386" s="19"/>
      <x:c r="N386" s="19"/>
      <x:c r="O386" s="27"/>
      <x:c r="P386" s="19"/>
      <x:c r="Q386" s="26"/>
      <x:c r="R386" s="19"/>
      <x:c r="S386" s="26"/>
      <x:c r="T386" s="19"/>
      <x:c r="U386" s="19"/>
    </x:row>
    <x:row r="387">
      <x:c r="A387" s="19"/>
      <x:c r="B387" s="19"/>
      <x:c r="C387" s="19"/>
      <x:c r="D387" s="19"/>
      <x:c r="E387" s="26"/>
      <x:c r="F387" s="19"/>
      <x:c r="G387" s="19"/>
      <x:c r="H387" s="19"/>
      <x:c r="I387" s="27"/>
      <x:c r="J387" s="26"/>
      <x:c r="K387" s="26"/>
      <x:c r="L387" s="19"/>
      <x:c r="M387" s="19"/>
      <x:c r="N387" s="19"/>
      <x:c r="O387" s="27"/>
      <x:c r="P387" s="19"/>
      <x:c r="Q387" s="26"/>
      <x:c r="R387" s="19"/>
      <x:c r="S387" s="26"/>
      <x:c r="T387" s="19"/>
      <x:c r="U387" s="19"/>
    </x:row>
    <x:row r="388">
      <x:c r="A388" s="19"/>
      <x:c r="B388" s="19"/>
      <x:c r="C388" s="19"/>
      <x:c r="D388" s="19"/>
      <x:c r="E388" s="26"/>
      <x:c r="F388" s="19"/>
      <x:c r="G388" s="19"/>
      <x:c r="H388" s="19"/>
      <x:c r="I388" s="27"/>
      <x:c r="J388" s="26"/>
      <x:c r="K388" s="26"/>
      <x:c r="L388" s="19"/>
      <x:c r="M388" s="19"/>
      <x:c r="N388" s="19"/>
      <x:c r="O388" s="27"/>
      <x:c r="P388" s="19"/>
      <x:c r="Q388" s="26"/>
      <x:c r="R388" s="19"/>
      <x:c r="S388" s="26"/>
      <x:c r="T388" s="19"/>
      <x:c r="U388" s="19"/>
    </x:row>
    <x:row r="389">
      <x:c r="A389" s="19"/>
      <x:c r="B389" s="19"/>
      <x:c r="C389" s="19"/>
      <x:c r="D389" s="19"/>
      <x:c r="E389" s="26"/>
      <x:c r="F389" s="19"/>
      <x:c r="G389" s="19"/>
      <x:c r="H389" s="19"/>
      <x:c r="I389" s="27"/>
      <x:c r="J389" s="26"/>
      <x:c r="K389" s="26"/>
      <x:c r="L389" s="19"/>
      <x:c r="M389" s="19"/>
      <x:c r="N389" s="19"/>
      <x:c r="O389" s="27"/>
      <x:c r="P389" s="19"/>
      <x:c r="Q389" s="26"/>
      <x:c r="R389" s="19"/>
      <x:c r="S389" s="26"/>
      <x:c r="T389" s="19"/>
      <x:c r="U389" s="19"/>
    </x:row>
    <x:row r="390">
      <x:c r="A390" s="19"/>
      <x:c r="B390" s="19"/>
      <x:c r="C390" s="19"/>
      <x:c r="D390" s="19"/>
      <x:c r="E390" s="26"/>
      <x:c r="F390" s="19"/>
      <x:c r="G390" s="19"/>
      <x:c r="H390" s="19"/>
      <x:c r="I390" s="27"/>
      <x:c r="J390" s="26"/>
      <x:c r="K390" s="26"/>
      <x:c r="L390" s="19"/>
      <x:c r="M390" s="19"/>
      <x:c r="N390" s="19"/>
      <x:c r="O390" s="27"/>
      <x:c r="P390" s="19"/>
      <x:c r="Q390" s="26"/>
      <x:c r="R390" s="19"/>
      <x:c r="S390" s="26"/>
      <x:c r="T390" s="19"/>
      <x:c r="U390" s="19"/>
    </x:row>
    <x:row r="391">
      <x:c r="A391" s="19"/>
      <x:c r="B391" s="19"/>
      <x:c r="C391" s="19"/>
      <x:c r="D391" s="19"/>
      <x:c r="E391" s="26"/>
      <x:c r="F391" s="19"/>
      <x:c r="G391" s="19"/>
      <x:c r="H391" s="19"/>
      <x:c r="I391" s="27"/>
      <x:c r="J391" s="26"/>
      <x:c r="K391" s="26"/>
      <x:c r="L391" s="19"/>
      <x:c r="M391" s="19"/>
      <x:c r="N391" s="19"/>
      <x:c r="O391" s="27"/>
      <x:c r="P391" s="19"/>
      <x:c r="Q391" s="26"/>
      <x:c r="R391" s="19"/>
      <x:c r="S391" s="26"/>
      <x:c r="T391" s="19"/>
      <x:c r="U391" s="19"/>
    </x:row>
    <x:row r="392">
      <x:c r="A392" s="19"/>
      <x:c r="B392" s="19"/>
      <x:c r="C392" s="19"/>
      <x:c r="D392" s="19"/>
      <x:c r="E392" s="26"/>
      <x:c r="F392" s="19"/>
      <x:c r="G392" s="19"/>
      <x:c r="H392" s="19"/>
      <x:c r="I392" s="27"/>
      <x:c r="J392" s="26"/>
      <x:c r="K392" s="26"/>
      <x:c r="L392" s="19"/>
      <x:c r="M392" s="19"/>
      <x:c r="N392" s="19"/>
      <x:c r="O392" s="27"/>
      <x:c r="P392" s="19"/>
      <x:c r="Q392" s="26"/>
      <x:c r="R392" s="19"/>
      <x:c r="S392" s="26"/>
      <x:c r="T392" s="19"/>
      <x:c r="U392" s="19"/>
    </x:row>
    <x:row r="393">
      <x:c r="A393" s="19"/>
      <x:c r="B393" s="19"/>
      <x:c r="C393" s="19"/>
      <x:c r="D393" s="19"/>
      <x:c r="E393" s="26"/>
      <x:c r="F393" s="19"/>
      <x:c r="G393" s="19"/>
      <x:c r="H393" s="19"/>
      <x:c r="I393" s="27"/>
      <x:c r="J393" s="26"/>
      <x:c r="K393" s="26"/>
      <x:c r="L393" s="19"/>
      <x:c r="M393" s="19"/>
      <x:c r="N393" s="19"/>
      <x:c r="O393" s="27"/>
      <x:c r="P393" s="19"/>
      <x:c r="Q393" s="26"/>
      <x:c r="R393" s="19"/>
      <x:c r="S393" s="26"/>
      <x:c r="T393" s="19"/>
      <x:c r="U393" s="19"/>
    </x:row>
    <x:row r="394">
      <x:c r="A394" s="19"/>
      <x:c r="B394" s="19"/>
      <x:c r="C394" s="19"/>
      <x:c r="D394" s="19"/>
      <x:c r="E394" s="26"/>
      <x:c r="F394" s="19"/>
      <x:c r="G394" s="19"/>
      <x:c r="H394" s="19"/>
      <x:c r="I394" s="27"/>
      <x:c r="J394" s="26"/>
      <x:c r="K394" s="26"/>
      <x:c r="L394" s="19"/>
      <x:c r="M394" s="19"/>
      <x:c r="N394" s="19"/>
      <x:c r="O394" s="27"/>
      <x:c r="P394" s="19"/>
      <x:c r="Q394" s="26"/>
      <x:c r="R394" s="19"/>
      <x:c r="S394" s="26"/>
      <x:c r="T394" s="19"/>
      <x:c r="U394" s="19"/>
    </x:row>
    <x:row r="395">
      <x:c r="A395" s="19"/>
      <x:c r="B395" s="19"/>
      <x:c r="C395" s="19"/>
      <x:c r="D395" s="19"/>
      <x:c r="E395" s="26"/>
      <x:c r="F395" s="19"/>
      <x:c r="G395" s="19"/>
      <x:c r="H395" s="19"/>
      <x:c r="I395" s="27"/>
      <x:c r="J395" s="26"/>
      <x:c r="K395" s="26"/>
      <x:c r="L395" s="19"/>
      <x:c r="M395" s="19"/>
      <x:c r="N395" s="19"/>
      <x:c r="O395" s="27"/>
      <x:c r="P395" s="19"/>
      <x:c r="Q395" s="26"/>
      <x:c r="R395" s="19"/>
      <x:c r="S395" s="26"/>
      <x:c r="T395" s="19"/>
      <x:c r="U395" s="19"/>
    </x:row>
    <x:row r="396">
      <x:c r="A396" s="19"/>
      <x:c r="B396" s="19"/>
      <x:c r="C396" s="19"/>
      <x:c r="D396" s="19"/>
      <x:c r="E396" s="26"/>
      <x:c r="F396" s="19"/>
      <x:c r="G396" s="19"/>
      <x:c r="H396" s="19"/>
      <x:c r="I396" s="27"/>
      <x:c r="J396" s="26"/>
      <x:c r="K396" s="26"/>
      <x:c r="L396" s="19"/>
      <x:c r="M396" s="19"/>
      <x:c r="N396" s="19"/>
      <x:c r="O396" s="27"/>
      <x:c r="P396" s="19"/>
      <x:c r="Q396" s="26"/>
      <x:c r="R396" s="19"/>
      <x:c r="S396" s="26"/>
      <x:c r="T396" s="19"/>
      <x:c r="U396" s="19"/>
    </x:row>
    <x:row r="397">
      <x:c r="A397" s="19"/>
      <x:c r="B397" s="19"/>
      <x:c r="C397" s="19"/>
      <x:c r="D397" s="19"/>
      <x:c r="E397" s="26"/>
      <x:c r="F397" s="19"/>
      <x:c r="G397" s="19"/>
      <x:c r="H397" s="19"/>
      <x:c r="I397" s="27"/>
      <x:c r="J397" s="26"/>
      <x:c r="K397" s="26"/>
      <x:c r="L397" s="19"/>
      <x:c r="M397" s="19"/>
      <x:c r="N397" s="19"/>
      <x:c r="O397" s="27"/>
      <x:c r="P397" s="19"/>
      <x:c r="Q397" s="26"/>
      <x:c r="R397" s="19"/>
      <x:c r="S397" s="26"/>
      <x:c r="T397" s="19"/>
      <x:c r="U397" s="19"/>
    </x:row>
    <x:row r="398">
      <x:c r="A398" s="19"/>
      <x:c r="B398" s="19"/>
      <x:c r="C398" s="19"/>
      <x:c r="D398" s="19"/>
      <x:c r="E398" s="26"/>
      <x:c r="F398" s="19"/>
      <x:c r="G398" s="19"/>
      <x:c r="H398" s="19"/>
      <x:c r="I398" s="27"/>
      <x:c r="J398" s="26"/>
      <x:c r="K398" s="26"/>
      <x:c r="L398" s="19"/>
      <x:c r="M398" s="19"/>
      <x:c r="N398" s="19"/>
      <x:c r="O398" s="27"/>
      <x:c r="P398" s="19"/>
      <x:c r="Q398" s="26"/>
      <x:c r="R398" s="19"/>
      <x:c r="S398" s="26"/>
      <x:c r="T398" s="19"/>
      <x:c r="U398" s="19"/>
    </x:row>
    <x:row r="399">
      <x:c r="A399" s="19"/>
      <x:c r="B399" s="19"/>
      <x:c r="C399" s="19"/>
      <x:c r="D399" s="19"/>
      <x:c r="E399" s="26"/>
      <x:c r="F399" s="19"/>
      <x:c r="G399" s="19"/>
      <x:c r="H399" s="19"/>
      <x:c r="I399" s="27"/>
      <x:c r="J399" s="26"/>
      <x:c r="K399" s="26"/>
      <x:c r="L399" s="19"/>
      <x:c r="M399" s="19"/>
      <x:c r="N399" s="19"/>
      <x:c r="O399" s="27"/>
      <x:c r="P399" s="19"/>
      <x:c r="Q399" s="26"/>
      <x:c r="R399" s="19"/>
      <x:c r="S399" s="26"/>
      <x:c r="T399" s="19"/>
      <x:c r="U399" s="19"/>
    </x:row>
    <x:row r="400">
      <x:c r="A400" s="19"/>
      <x:c r="B400" s="19"/>
      <x:c r="C400" s="19"/>
      <x:c r="D400" s="19"/>
      <x:c r="E400" s="26"/>
      <x:c r="F400" s="19"/>
      <x:c r="G400" s="19"/>
      <x:c r="H400" s="19"/>
      <x:c r="I400" s="27"/>
      <x:c r="J400" s="26"/>
      <x:c r="K400" s="26"/>
      <x:c r="L400" s="19"/>
      <x:c r="M400" s="19"/>
      <x:c r="N400" s="19"/>
      <x:c r="O400" s="27"/>
      <x:c r="P400" s="19"/>
      <x:c r="Q400" s="26"/>
      <x:c r="R400" s="19"/>
      <x:c r="S400" s="26"/>
      <x:c r="T400" s="19"/>
      <x:c r="U400" s="19"/>
    </x:row>
    <x:row r="401">
      <x:c r="A401" s="19"/>
      <x:c r="B401" s="19"/>
      <x:c r="C401" s="19"/>
      <x:c r="D401" s="19"/>
      <x:c r="E401" s="26"/>
      <x:c r="F401" s="19"/>
      <x:c r="G401" s="19"/>
      <x:c r="H401" s="19"/>
      <x:c r="I401" s="27"/>
      <x:c r="J401" s="26"/>
      <x:c r="K401" s="26"/>
      <x:c r="L401" s="19"/>
      <x:c r="M401" s="19"/>
      <x:c r="N401" s="19"/>
      <x:c r="O401" s="27"/>
      <x:c r="P401" s="19"/>
      <x:c r="Q401" s="26"/>
      <x:c r="R401" s="19"/>
      <x:c r="S401" s="26"/>
      <x:c r="T401" s="19"/>
      <x:c r="U401" s="19"/>
    </x:row>
    <x:row r="402">
      <x:c r="A402" s="19"/>
      <x:c r="B402" s="19"/>
      <x:c r="C402" s="19"/>
      <x:c r="D402" s="19"/>
      <x:c r="E402" s="26"/>
      <x:c r="F402" s="19"/>
      <x:c r="G402" s="19"/>
      <x:c r="H402" s="19"/>
      <x:c r="I402" s="27"/>
      <x:c r="J402" s="26"/>
      <x:c r="K402" s="26"/>
      <x:c r="L402" s="19"/>
      <x:c r="M402" s="19"/>
      <x:c r="N402" s="19"/>
      <x:c r="O402" s="27"/>
      <x:c r="P402" s="19"/>
      <x:c r="Q402" s="26"/>
      <x:c r="R402" s="19"/>
      <x:c r="S402" s="26"/>
      <x:c r="T402" s="19"/>
      <x:c r="U402" s="19"/>
    </x:row>
    <x:row r="403">
      <x:c r="A403" s="19"/>
      <x:c r="B403" s="19"/>
      <x:c r="C403" s="19"/>
      <x:c r="D403" s="19"/>
      <x:c r="E403" s="26"/>
      <x:c r="F403" s="19"/>
      <x:c r="G403" s="19"/>
      <x:c r="H403" s="19"/>
      <x:c r="I403" s="27"/>
      <x:c r="J403" s="26"/>
      <x:c r="K403" s="26"/>
      <x:c r="L403" s="19"/>
      <x:c r="M403" s="19"/>
      <x:c r="N403" s="19"/>
      <x:c r="O403" s="27"/>
      <x:c r="P403" s="19"/>
      <x:c r="Q403" s="26"/>
      <x:c r="R403" s="19"/>
      <x:c r="S403" s="26"/>
      <x:c r="T403" s="19"/>
      <x:c r="U403" s="19"/>
    </x:row>
    <x:row r="404">
      <x:c r="A404" s="19"/>
      <x:c r="B404" s="19"/>
      <x:c r="C404" s="19"/>
      <x:c r="D404" s="19"/>
      <x:c r="E404" s="26"/>
      <x:c r="F404" s="19"/>
      <x:c r="G404" s="19"/>
      <x:c r="H404" s="19"/>
      <x:c r="I404" s="27"/>
      <x:c r="J404" s="26"/>
      <x:c r="K404" s="26"/>
      <x:c r="L404" s="19"/>
      <x:c r="M404" s="19"/>
      <x:c r="N404" s="19"/>
      <x:c r="O404" s="27"/>
      <x:c r="P404" s="19"/>
      <x:c r="Q404" s="26"/>
      <x:c r="R404" s="19"/>
      <x:c r="S404" s="26"/>
      <x:c r="T404" s="19"/>
      <x:c r="U404" s="19"/>
    </x:row>
    <x:row r="405">
      <x:c r="A405" s="19"/>
      <x:c r="B405" s="19"/>
      <x:c r="C405" s="19"/>
      <x:c r="D405" s="19"/>
      <x:c r="E405" s="26"/>
      <x:c r="F405" s="19"/>
      <x:c r="G405" s="19"/>
      <x:c r="H405" s="19"/>
      <x:c r="I405" s="27"/>
      <x:c r="J405" s="26"/>
      <x:c r="K405" s="26"/>
      <x:c r="L405" s="19"/>
      <x:c r="M405" s="19"/>
      <x:c r="N405" s="19"/>
      <x:c r="O405" s="27"/>
      <x:c r="P405" s="19"/>
      <x:c r="Q405" s="26"/>
      <x:c r="R405" s="19"/>
      <x:c r="S405" s="26"/>
      <x:c r="T405" s="19"/>
      <x:c r="U405" s="19"/>
    </x:row>
    <x:row r="406">
      <x:c r="A406" s="19"/>
      <x:c r="B406" s="19"/>
      <x:c r="C406" s="19"/>
      <x:c r="D406" s="19"/>
      <x:c r="E406" s="26"/>
      <x:c r="F406" s="19"/>
      <x:c r="G406" s="19"/>
      <x:c r="H406" s="19"/>
      <x:c r="I406" s="27"/>
      <x:c r="J406" s="26"/>
      <x:c r="K406" s="26"/>
      <x:c r="L406" s="19"/>
      <x:c r="M406" s="19"/>
      <x:c r="N406" s="19"/>
      <x:c r="O406" s="27"/>
      <x:c r="P406" s="19"/>
      <x:c r="Q406" s="26"/>
      <x:c r="R406" s="19"/>
      <x:c r="S406" s="26"/>
      <x:c r="T406" s="19"/>
      <x:c r="U406" s="19"/>
    </x:row>
    <x:row r="407">
      <x:c r="A407" s="19"/>
      <x:c r="B407" s="19"/>
      <x:c r="C407" s="19"/>
      <x:c r="D407" s="19"/>
      <x:c r="E407" s="26"/>
      <x:c r="F407" s="19"/>
      <x:c r="G407" s="19"/>
      <x:c r="H407" s="19"/>
      <x:c r="I407" s="27"/>
      <x:c r="J407" s="26"/>
      <x:c r="K407" s="26"/>
      <x:c r="L407" s="19"/>
      <x:c r="M407" s="19"/>
      <x:c r="N407" s="19"/>
      <x:c r="O407" s="27"/>
      <x:c r="P407" s="19"/>
      <x:c r="Q407" s="26"/>
      <x:c r="R407" s="19"/>
      <x:c r="S407" s="26"/>
      <x:c r="T407" s="19"/>
      <x:c r="U407" s="19"/>
    </x:row>
    <x:row r="408">
      <x:c r="A408" s="19"/>
      <x:c r="B408" s="19"/>
      <x:c r="C408" s="19"/>
      <x:c r="D408" s="19"/>
      <x:c r="E408" s="26"/>
      <x:c r="F408" s="19"/>
      <x:c r="G408" s="19"/>
      <x:c r="H408" s="19"/>
      <x:c r="I408" s="27"/>
      <x:c r="J408" s="26"/>
      <x:c r="K408" s="26"/>
      <x:c r="L408" s="19"/>
      <x:c r="M408" s="19"/>
      <x:c r="N408" s="19"/>
      <x:c r="O408" s="27"/>
      <x:c r="P408" s="19"/>
      <x:c r="Q408" s="26"/>
      <x:c r="R408" s="19"/>
      <x:c r="S408" s="26"/>
      <x:c r="T408" s="19"/>
      <x:c r="U408" s="19"/>
    </x:row>
    <x:row r="409">
      <x:c r="A409" s="19"/>
      <x:c r="B409" s="19"/>
      <x:c r="C409" s="19"/>
      <x:c r="D409" s="19"/>
      <x:c r="E409" s="26"/>
      <x:c r="F409" s="19"/>
      <x:c r="G409" s="19"/>
      <x:c r="H409" s="19"/>
      <x:c r="I409" s="27"/>
      <x:c r="J409" s="26"/>
      <x:c r="K409" s="26"/>
      <x:c r="L409" s="19"/>
      <x:c r="M409" s="19"/>
      <x:c r="N409" s="19"/>
      <x:c r="O409" s="27"/>
      <x:c r="P409" s="19"/>
      <x:c r="Q409" s="26"/>
      <x:c r="R409" s="19"/>
      <x:c r="S409" s="26"/>
      <x:c r="T409" s="19"/>
      <x:c r="U409" s="19"/>
    </x:row>
    <x:row r="410">
      <x:c r="A410" s="19"/>
      <x:c r="B410" s="19"/>
      <x:c r="C410" s="19"/>
      <x:c r="D410" s="19"/>
      <x:c r="E410" s="26"/>
      <x:c r="F410" s="19"/>
      <x:c r="G410" s="19"/>
      <x:c r="H410" s="19"/>
      <x:c r="I410" s="27"/>
      <x:c r="J410" s="26"/>
      <x:c r="K410" s="26"/>
      <x:c r="L410" s="19"/>
      <x:c r="M410" s="19"/>
      <x:c r="N410" s="19"/>
      <x:c r="O410" s="27"/>
      <x:c r="P410" s="19"/>
      <x:c r="Q410" s="26"/>
      <x:c r="R410" s="19"/>
      <x:c r="S410" s="26"/>
      <x:c r="T410" s="19"/>
      <x:c r="U410" s="19"/>
    </x:row>
    <x:row r="411">
      <x:c r="A411" s="19"/>
      <x:c r="B411" s="19"/>
      <x:c r="C411" s="19"/>
      <x:c r="D411" s="19"/>
      <x:c r="E411" s="26"/>
      <x:c r="F411" s="19"/>
      <x:c r="G411" s="19"/>
      <x:c r="H411" s="19"/>
      <x:c r="I411" s="27"/>
      <x:c r="J411" s="26"/>
      <x:c r="K411" s="26"/>
      <x:c r="L411" s="19"/>
      <x:c r="M411" s="19"/>
      <x:c r="N411" s="19"/>
      <x:c r="O411" s="27"/>
      <x:c r="P411" s="19"/>
      <x:c r="Q411" s="26"/>
      <x:c r="R411" s="19"/>
      <x:c r="S411" s="26"/>
      <x:c r="T411" s="19"/>
      <x:c r="U411" s="19"/>
    </x:row>
    <x:row r="412">
      <x:c r="A412" s="19"/>
      <x:c r="B412" s="19"/>
      <x:c r="C412" s="19"/>
      <x:c r="D412" s="19"/>
      <x:c r="E412" s="26"/>
      <x:c r="F412" s="19"/>
      <x:c r="G412" s="19"/>
      <x:c r="H412" s="19"/>
      <x:c r="I412" s="27"/>
      <x:c r="J412" s="26"/>
      <x:c r="K412" s="26"/>
      <x:c r="L412" s="19"/>
      <x:c r="M412" s="19"/>
      <x:c r="N412" s="19"/>
      <x:c r="O412" s="27"/>
      <x:c r="P412" s="19"/>
      <x:c r="Q412" s="26"/>
      <x:c r="R412" s="19"/>
      <x:c r="S412" s="26"/>
      <x:c r="T412" s="19"/>
      <x:c r="U412" s="19"/>
    </x:row>
    <x:row r="413">
      <x:c r="A413" s="19"/>
      <x:c r="B413" s="19"/>
      <x:c r="C413" s="19"/>
      <x:c r="D413" s="19"/>
      <x:c r="E413" s="26"/>
      <x:c r="F413" s="19"/>
      <x:c r="G413" s="19"/>
      <x:c r="H413" s="19"/>
      <x:c r="I413" s="27"/>
      <x:c r="J413" s="26"/>
      <x:c r="K413" s="26"/>
      <x:c r="L413" s="19"/>
      <x:c r="M413" s="19"/>
      <x:c r="N413" s="19"/>
      <x:c r="O413" s="27"/>
      <x:c r="P413" s="19"/>
      <x:c r="Q413" s="26"/>
      <x:c r="R413" s="19"/>
      <x:c r="S413" s="26"/>
      <x:c r="T413" s="19"/>
      <x:c r="U413" s="19"/>
    </x:row>
    <x:row r="414">
      <x:c r="A414" s="19"/>
      <x:c r="B414" s="19"/>
      <x:c r="C414" s="19"/>
      <x:c r="D414" s="19"/>
      <x:c r="E414" s="26"/>
      <x:c r="F414" s="19"/>
      <x:c r="G414" s="19"/>
      <x:c r="H414" s="19"/>
      <x:c r="I414" s="27"/>
      <x:c r="J414" s="26"/>
      <x:c r="K414" s="26"/>
      <x:c r="L414" s="19"/>
      <x:c r="M414" s="19"/>
      <x:c r="N414" s="19"/>
      <x:c r="O414" s="27"/>
      <x:c r="P414" s="19"/>
      <x:c r="Q414" s="26"/>
      <x:c r="R414" s="19"/>
      <x:c r="S414" s="26"/>
      <x:c r="T414" s="19"/>
      <x:c r="U414" s="19"/>
    </x:row>
    <x:row r="415">
      <x:c r="A415" s="19"/>
      <x:c r="B415" s="19"/>
      <x:c r="C415" s="19"/>
      <x:c r="D415" s="19"/>
      <x:c r="E415" s="26"/>
      <x:c r="F415" s="19"/>
      <x:c r="G415" s="19"/>
      <x:c r="H415" s="19"/>
      <x:c r="I415" s="27"/>
      <x:c r="J415" s="26"/>
      <x:c r="K415" s="26"/>
      <x:c r="L415" s="19"/>
      <x:c r="M415" s="19"/>
      <x:c r="N415" s="19"/>
      <x:c r="O415" s="27"/>
      <x:c r="P415" s="19"/>
      <x:c r="Q415" s="26"/>
      <x:c r="R415" s="19"/>
      <x:c r="S415" s="26"/>
      <x:c r="T415" s="19"/>
      <x:c r="U415" s="19"/>
    </x:row>
    <x:row r="416">
      <x:c r="A416" s="19"/>
      <x:c r="B416" s="19"/>
      <x:c r="C416" s="19"/>
      <x:c r="D416" s="19"/>
      <x:c r="E416" s="26"/>
      <x:c r="F416" s="19"/>
      <x:c r="G416" s="19"/>
      <x:c r="H416" s="19"/>
      <x:c r="I416" s="27"/>
      <x:c r="J416" s="26"/>
      <x:c r="K416" s="26"/>
      <x:c r="L416" s="19"/>
      <x:c r="M416" s="19"/>
      <x:c r="N416" s="19"/>
      <x:c r="O416" s="27"/>
      <x:c r="P416" s="19"/>
      <x:c r="Q416" s="26"/>
      <x:c r="R416" s="19"/>
      <x:c r="S416" s="26"/>
      <x:c r="T416" s="19"/>
      <x:c r="U416" s="19"/>
    </x:row>
    <x:row r="417">
      <x:c r="A417" s="19"/>
      <x:c r="B417" s="19"/>
      <x:c r="C417" s="19"/>
      <x:c r="D417" s="19"/>
      <x:c r="E417" s="26"/>
      <x:c r="F417" s="19"/>
      <x:c r="G417" s="19"/>
      <x:c r="H417" s="19"/>
      <x:c r="I417" s="27"/>
      <x:c r="J417" s="26"/>
      <x:c r="K417" s="26"/>
      <x:c r="L417" s="19"/>
      <x:c r="M417" s="19"/>
      <x:c r="N417" s="19"/>
      <x:c r="O417" s="27"/>
      <x:c r="P417" s="19"/>
      <x:c r="Q417" s="26"/>
      <x:c r="R417" s="19"/>
      <x:c r="S417" s="26"/>
      <x:c r="T417" s="19"/>
      <x:c r="U417" s="19"/>
    </x:row>
    <x:row r="418">
      <x:c r="A418" s="19"/>
      <x:c r="B418" s="19"/>
      <x:c r="C418" s="19"/>
      <x:c r="D418" s="19"/>
      <x:c r="E418" s="26"/>
      <x:c r="F418" s="19"/>
      <x:c r="G418" s="19"/>
      <x:c r="H418" s="19"/>
      <x:c r="I418" s="27"/>
      <x:c r="J418" s="26"/>
      <x:c r="K418" s="26"/>
      <x:c r="L418" s="19"/>
      <x:c r="M418" s="19"/>
      <x:c r="N418" s="19"/>
      <x:c r="O418" s="27"/>
      <x:c r="P418" s="19"/>
      <x:c r="Q418" s="26"/>
      <x:c r="R418" s="19"/>
      <x:c r="S418" s="26"/>
      <x:c r="T418" s="19"/>
      <x:c r="U418" s="19"/>
    </x:row>
    <x:row r="419">
      <x:c r="A419" s="19"/>
      <x:c r="B419" s="19"/>
      <x:c r="C419" s="19"/>
      <x:c r="D419" s="19"/>
      <x:c r="E419" s="26"/>
      <x:c r="F419" s="19"/>
      <x:c r="G419" s="19"/>
      <x:c r="H419" s="19"/>
      <x:c r="I419" s="27"/>
      <x:c r="J419" s="26"/>
      <x:c r="K419" s="26"/>
      <x:c r="L419" s="19"/>
      <x:c r="M419" s="19"/>
      <x:c r="N419" s="19"/>
      <x:c r="O419" s="27"/>
      <x:c r="P419" s="19"/>
      <x:c r="Q419" s="26"/>
      <x:c r="R419" s="19"/>
      <x:c r="S419" s="26"/>
      <x:c r="T419" s="19"/>
      <x:c r="U419" s="19"/>
    </x:row>
    <x:row r="420">
      <x:c r="A420" s="19"/>
      <x:c r="B420" s="19"/>
      <x:c r="C420" s="19"/>
      <x:c r="D420" s="19"/>
      <x:c r="E420" s="26"/>
      <x:c r="F420" s="19"/>
      <x:c r="G420" s="19"/>
      <x:c r="H420" s="19"/>
      <x:c r="I420" s="27"/>
      <x:c r="J420" s="26"/>
      <x:c r="K420" s="26"/>
      <x:c r="L420" s="19"/>
      <x:c r="M420" s="19"/>
      <x:c r="N420" s="19"/>
      <x:c r="O420" s="27"/>
      <x:c r="P420" s="19"/>
      <x:c r="Q420" s="26"/>
      <x:c r="R420" s="19"/>
      <x:c r="S420" s="26"/>
      <x:c r="T420" s="19"/>
      <x:c r="U420" s="19"/>
    </x:row>
    <x:row r="421">
      <x:c r="A421" s="19"/>
      <x:c r="B421" s="19"/>
      <x:c r="C421" s="19"/>
      <x:c r="D421" s="19"/>
      <x:c r="E421" s="26"/>
      <x:c r="F421" s="19"/>
      <x:c r="G421" s="19"/>
      <x:c r="H421" s="19"/>
      <x:c r="I421" s="27"/>
      <x:c r="J421" s="26"/>
      <x:c r="K421" s="26"/>
      <x:c r="L421" s="19"/>
      <x:c r="M421" s="19"/>
      <x:c r="N421" s="19"/>
      <x:c r="O421" s="27"/>
      <x:c r="P421" s="19"/>
      <x:c r="Q421" s="26"/>
      <x:c r="R421" s="19"/>
      <x:c r="S421" s="26"/>
      <x:c r="T421" s="19"/>
      <x:c r="U421" s="19"/>
    </x:row>
    <x:row r="422">
      <x:c r="A422" s="19"/>
      <x:c r="B422" s="19"/>
      <x:c r="C422" s="19"/>
      <x:c r="D422" s="19"/>
      <x:c r="E422" s="26"/>
      <x:c r="F422" s="19"/>
      <x:c r="G422" s="19"/>
      <x:c r="H422" s="19"/>
      <x:c r="I422" s="27"/>
      <x:c r="J422" s="26"/>
      <x:c r="K422" s="26"/>
      <x:c r="L422" s="19"/>
      <x:c r="M422" s="19"/>
      <x:c r="N422" s="19"/>
      <x:c r="O422" s="27"/>
      <x:c r="P422" s="19"/>
      <x:c r="Q422" s="26"/>
      <x:c r="R422" s="19"/>
      <x:c r="S422" s="26"/>
      <x:c r="T422" s="19"/>
      <x:c r="U422" s="19"/>
    </x:row>
    <x:row r="423">
      <x:c r="A423" s="19"/>
      <x:c r="B423" s="19"/>
      <x:c r="C423" s="19"/>
      <x:c r="D423" s="19"/>
      <x:c r="E423" s="26"/>
      <x:c r="F423" s="19"/>
      <x:c r="G423" s="19"/>
      <x:c r="H423" s="19"/>
      <x:c r="I423" s="27"/>
      <x:c r="J423" s="26"/>
      <x:c r="K423" s="26"/>
      <x:c r="L423" s="19"/>
      <x:c r="M423" s="19"/>
      <x:c r="N423" s="19"/>
      <x:c r="O423" s="27"/>
      <x:c r="P423" s="19"/>
      <x:c r="Q423" s="26"/>
      <x:c r="R423" s="19"/>
      <x:c r="S423" s="26"/>
      <x:c r="T423" s="19"/>
      <x:c r="U423" s="19"/>
    </x:row>
    <x:row r="424">
      <x:c r="A424" s="19"/>
      <x:c r="B424" s="19"/>
      <x:c r="C424" s="19"/>
      <x:c r="D424" s="19"/>
      <x:c r="E424" s="26"/>
      <x:c r="F424" s="19"/>
      <x:c r="G424" s="19"/>
      <x:c r="H424" s="19"/>
      <x:c r="I424" s="27"/>
      <x:c r="J424" s="26"/>
      <x:c r="K424" s="26"/>
      <x:c r="L424" s="19"/>
      <x:c r="M424" s="19"/>
      <x:c r="N424" s="19"/>
      <x:c r="O424" s="27"/>
      <x:c r="P424" s="19"/>
      <x:c r="Q424" s="26"/>
      <x:c r="R424" s="19"/>
      <x:c r="S424" s="26"/>
      <x:c r="T424" s="19"/>
      <x:c r="U424" s="19"/>
    </x:row>
    <x:row r="425">
      <x:c r="A425" s="19"/>
      <x:c r="B425" s="19"/>
      <x:c r="C425" s="19"/>
      <x:c r="D425" s="19"/>
      <x:c r="E425" s="26"/>
      <x:c r="F425" s="19"/>
      <x:c r="G425" s="19"/>
      <x:c r="H425" s="19"/>
      <x:c r="I425" s="27"/>
      <x:c r="J425" s="26"/>
      <x:c r="K425" s="26"/>
      <x:c r="L425" s="19"/>
      <x:c r="M425" s="19"/>
      <x:c r="N425" s="19"/>
      <x:c r="O425" s="27"/>
      <x:c r="P425" s="19"/>
      <x:c r="Q425" s="26"/>
      <x:c r="R425" s="19"/>
      <x:c r="S425" s="26"/>
      <x:c r="T425" s="19"/>
      <x:c r="U425" s="19"/>
    </x:row>
    <x:row r="426">
      <x:c r="A426" s="19"/>
      <x:c r="B426" s="19"/>
      <x:c r="C426" s="19"/>
      <x:c r="D426" s="19"/>
      <x:c r="E426" s="26"/>
      <x:c r="F426" s="19"/>
      <x:c r="G426" s="19"/>
      <x:c r="H426" s="19"/>
      <x:c r="I426" s="27"/>
      <x:c r="J426" s="26"/>
      <x:c r="K426" s="26"/>
      <x:c r="L426" s="19"/>
      <x:c r="M426" s="19"/>
      <x:c r="N426" s="19"/>
      <x:c r="O426" s="27"/>
      <x:c r="P426" s="19"/>
      <x:c r="Q426" s="26"/>
      <x:c r="R426" s="19"/>
      <x:c r="S426" s="26"/>
      <x:c r="T426" s="19"/>
      <x:c r="U426" s="19"/>
    </x:row>
    <x:row r="427">
      <x:c r="A427" s="19"/>
      <x:c r="B427" s="19"/>
      <x:c r="C427" s="19"/>
      <x:c r="D427" s="19"/>
      <x:c r="E427" s="26"/>
      <x:c r="F427" s="19"/>
      <x:c r="G427" s="19"/>
      <x:c r="H427" s="19"/>
      <x:c r="I427" s="27"/>
      <x:c r="J427" s="26"/>
      <x:c r="K427" s="26"/>
      <x:c r="L427" s="19"/>
      <x:c r="M427" s="19"/>
      <x:c r="N427" s="19"/>
      <x:c r="O427" s="27"/>
      <x:c r="P427" s="19"/>
      <x:c r="Q427" s="26"/>
      <x:c r="R427" s="19"/>
      <x:c r="S427" s="26"/>
      <x:c r="T427" s="19"/>
      <x:c r="U427" s="19"/>
    </x:row>
    <x:row r="428">
      <x:c r="A428" s="19"/>
      <x:c r="B428" s="19"/>
      <x:c r="C428" s="19"/>
      <x:c r="D428" s="19"/>
      <x:c r="E428" s="26"/>
      <x:c r="F428" s="19"/>
      <x:c r="G428" s="19"/>
      <x:c r="H428" s="19"/>
      <x:c r="I428" s="27"/>
      <x:c r="J428" s="26"/>
      <x:c r="K428" s="26"/>
      <x:c r="L428" s="19"/>
      <x:c r="M428" s="19"/>
      <x:c r="N428" s="19"/>
      <x:c r="O428" s="27"/>
      <x:c r="P428" s="19"/>
      <x:c r="Q428" s="26"/>
      <x:c r="R428" s="19"/>
      <x:c r="S428" s="26"/>
      <x:c r="T428" s="19"/>
      <x:c r="U428" s="19"/>
    </x:row>
    <x:row r="429">
      <x:c r="A429" s="19"/>
      <x:c r="B429" s="19"/>
      <x:c r="C429" s="19"/>
      <x:c r="D429" s="19"/>
      <x:c r="E429" s="26"/>
      <x:c r="F429" s="19"/>
      <x:c r="G429" s="19"/>
      <x:c r="H429" s="19"/>
      <x:c r="I429" s="27"/>
      <x:c r="J429" s="26"/>
      <x:c r="K429" s="26"/>
      <x:c r="L429" s="19"/>
      <x:c r="M429" s="19"/>
      <x:c r="N429" s="19"/>
      <x:c r="O429" s="27"/>
      <x:c r="P429" s="19"/>
      <x:c r="Q429" s="26"/>
      <x:c r="R429" s="19"/>
      <x:c r="S429" s="26"/>
      <x:c r="T429" s="19"/>
      <x:c r="U429" s="19"/>
    </x:row>
    <x:row r="430">
      <x:c r="A430" s="19"/>
      <x:c r="B430" s="19"/>
      <x:c r="C430" s="19"/>
      <x:c r="D430" s="19"/>
      <x:c r="E430" s="26"/>
      <x:c r="F430" s="19"/>
      <x:c r="G430" s="19"/>
      <x:c r="H430" s="19"/>
      <x:c r="I430" s="27"/>
      <x:c r="J430" s="26"/>
      <x:c r="K430" s="26"/>
      <x:c r="L430" s="19"/>
      <x:c r="M430" s="19"/>
      <x:c r="N430" s="19"/>
      <x:c r="O430" s="27"/>
      <x:c r="P430" s="19"/>
      <x:c r="Q430" s="26"/>
      <x:c r="R430" s="19"/>
      <x:c r="S430" s="26"/>
      <x:c r="T430" s="19"/>
      <x:c r="U430" s="19"/>
    </x:row>
    <x:row r="431">
      <x:c r="A431" s="19"/>
      <x:c r="B431" s="19"/>
      <x:c r="C431" s="19"/>
      <x:c r="D431" s="19"/>
      <x:c r="E431" s="26"/>
      <x:c r="F431" s="19"/>
      <x:c r="G431" s="19"/>
      <x:c r="H431" s="19"/>
      <x:c r="I431" s="27"/>
      <x:c r="J431" s="26"/>
      <x:c r="K431" s="26"/>
      <x:c r="L431" s="19"/>
      <x:c r="M431" s="19"/>
      <x:c r="N431" s="19"/>
      <x:c r="O431" s="27"/>
      <x:c r="P431" s="19"/>
      <x:c r="Q431" s="26"/>
      <x:c r="R431" s="19"/>
      <x:c r="S431" s="26"/>
      <x:c r="T431" s="19"/>
      <x:c r="U431" s="19"/>
    </x:row>
    <x:row r="432">
      <x:c r="A432" s="19"/>
      <x:c r="B432" s="19"/>
      <x:c r="C432" s="19"/>
      <x:c r="D432" s="19"/>
      <x:c r="E432" s="26"/>
      <x:c r="F432" s="19"/>
      <x:c r="G432" s="19"/>
      <x:c r="H432" s="19"/>
      <x:c r="I432" s="27"/>
      <x:c r="J432" s="26"/>
      <x:c r="K432" s="26"/>
      <x:c r="L432" s="19"/>
      <x:c r="M432" s="19"/>
      <x:c r="N432" s="19"/>
      <x:c r="O432" s="27"/>
      <x:c r="P432" s="19"/>
      <x:c r="Q432" s="26"/>
      <x:c r="R432" s="19"/>
      <x:c r="S432" s="26"/>
      <x:c r="T432" s="19"/>
      <x:c r="U432" s="19"/>
    </x:row>
    <x:row r="433">
      <x:c r="A433" s="19"/>
      <x:c r="B433" s="19"/>
      <x:c r="C433" s="19"/>
      <x:c r="D433" s="19"/>
      <x:c r="E433" s="26"/>
      <x:c r="F433" s="19"/>
      <x:c r="G433" s="19"/>
      <x:c r="H433" s="19"/>
      <x:c r="I433" s="27"/>
      <x:c r="J433" s="26"/>
      <x:c r="K433" s="26"/>
      <x:c r="L433" s="19"/>
      <x:c r="M433" s="19"/>
      <x:c r="N433" s="19"/>
      <x:c r="O433" s="27"/>
      <x:c r="P433" s="19"/>
      <x:c r="Q433" s="26"/>
      <x:c r="R433" s="19"/>
      <x:c r="S433" s="26"/>
      <x:c r="T433" s="19"/>
      <x:c r="U433" s="19"/>
    </x:row>
    <x:row r="434">
      <x:c r="A434" s="19"/>
      <x:c r="B434" s="19"/>
      <x:c r="C434" s="19"/>
      <x:c r="D434" s="19"/>
      <x:c r="E434" s="26"/>
      <x:c r="F434" s="19"/>
      <x:c r="G434" s="19"/>
      <x:c r="H434" s="19"/>
      <x:c r="I434" s="27"/>
      <x:c r="J434" s="26"/>
      <x:c r="K434" s="26"/>
      <x:c r="L434" s="19"/>
      <x:c r="M434" s="19"/>
      <x:c r="N434" s="19"/>
      <x:c r="O434" s="27"/>
      <x:c r="P434" s="19"/>
      <x:c r="Q434" s="26"/>
      <x:c r="R434" s="19"/>
      <x:c r="S434" s="26"/>
      <x:c r="T434" s="19"/>
      <x:c r="U434" s="19"/>
    </x:row>
    <x:row r="435">
      <x:c r="A435" s="19"/>
      <x:c r="B435" s="19"/>
      <x:c r="C435" s="19"/>
      <x:c r="D435" s="19"/>
      <x:c r="E435" s="26"/>
      <x:c r="F435" s="19"/>
      <x:c r="G435" s="19"/>
      <x:c r="H435" s="19"/>
      <x:c r="I435" s="27"/>
      <x:c r="J435" s="26"/>
      <x:c r="K435" s="26"/>
      <x:c r="L435" s="19"/>
      <x:c r="M435" s="19"/>
      <x:c r="N435" s="19"/>
      <x:c r="O435" s="27"/>
      <x:c r="P435" s="19"/>
      <x:c r="Q435" s="26"/>
      <x:c r="R435" s="19"/>
      <x:c r="S435" s="26"/>
      <x:c r="T435" s="19"/>
      <x:c r="U435" s="19"/>
    </x:row>
    <x:row r="436">
      <x:c r="A436" s="19"/>
      <x:c r="B436" s="19"/>
      <x:c r="C436" s="19"/>
      <x:c r="D436" s="19"/>
      <x:c r="E436" s="26"/>
      <x:c r="F436" s="19"/>
      <x:c r="G436" s="19"/>
      <x:c r="H436" s="19"/>
      <x:c r="I436" s="27"/>
      <x:c r="J436" s="26"/>
      <x:c r="K436" s="26"/>
      <x:c r="L436" s="19"/>
      <x:c r="M436" s="19"/>
      <x:c r="N436" s="19"/>
      <x:c r="O436" s="27"/>
      <x:c r="P436" s="19"/>
      <x:c r="Q436" s="26"/>
      <x:c r="R436" s="19"/>
      <x:c r="S436" s="26"/>
      <x:c r="T436" s="19"/>
      <x:c r="U436" s="19"/>
    </x:row>
    <x:row r="437">
      <x:c r="A437" s="19"/>
      <x:c r="B437" s="19"/>
      <x:c r="C437" s="19"/>
      <x:c r="D437" s="19"/>
      <x:c r="E437" s="26"/>
      <x:c r="F437" s="19"/>
      <x:c r="G437" s="19"/>
      <x:c r="H437" s="19"/>
      <x:c r="I437" s="27"/>
      <x:c r="J437" s="26"/>
      <x:c r="K437" s="26"/>
      <x:c r="L437" s="19"/>
      <x:c r="M437" s="19"/>
      <x:c r="N437" s="19"/>
      <x:c r="O437" s="27"/>
      <x:c r="P437" s="19"/>
      <x:c r="Q437" s="26"/>
      <x:c r="R437" s="19"/>
      <x:c r="S437" s="26"/>
      <x:c r="T437" s="19"/>
      <x:c r="U437" s="19"/>
    </x:row>
    <x:row r="438">
      <x:c r="A438" s="19"/>
      <x:c r="B438" s="19"/>
      <x:c r="C438" s="19"/>
      <x:c r="D438" s="19"/>
      <x:c r="E438" s="26"/>
      <x:c r="F438" s="19"/>
      <x:c r="G438" s="19"/>
      <x:c r="H438" s="19"/>
      <x:c r="I438" s="27"/>
      <x:c r="J438" s="26"/>
      <x:c r="K438" s="26"/>
      <x:c r="L438" s="19"/>
      <x:c r="M438" s="19"/>
      <x:c r="N438" s="19"/>
      <x:c r="O438" s="27"/>
      <x:c r="P438" s="19"/>
      <x:c r="Q438" s="26"/>
      <x:c r="R438" s="19"/>
      <x:c r="S438" s="26"/>
      <x:c r="T438" s="19"/>
      <x:c r="U438" s="19"/>
    </x:row>
    <x:row r="439">
      <x:c r="A439" s="19"/>
      <x:c r="B439" s="19"/>
      <x:c r="C439" s="19"/>
      <x:c r="D439" s="19"/>
      <x:c r="E439" s="26"/>
      <x:c r="F439" s="19"/>
      <x:c r="G439" s="19"/>
      <x:c r="H439" s="19"/>
      <x:c r="I439" s="27"/>
      <x:c r="J439" s="26"/>
      <x:c r="K439" s="26"/>
      <x:c r="L439" s="19"/>
      <x:c r="M439" s="19"/>
      <x:c r="N439" s="19"/>
      <x:c r="O439" s="27"/>
      <x:c r="P439" s="19"/>
      <x:c r="Q439" s="26"/>
      <x:c r="R439" s="19"/>
      <x:c r="S439" s="26"/>
      <x:c r="T439" s="19"/>
      <x:c r="U439" s="19"/>
    </x:row>
    <x:row r="440">
      <x:c r="A440" s="19"/>
      <x:c r="B440" s="19"/>
      <x:c r="C440" s="19"/>
      <x:c r="D440" s="19"/>
      <x:c r="E440" s="26"/>
      <x:c r="F440" s="19"/>
      <x:c r="G440" s="19"/>
      <x:c r="H440" s="19"/>
      <x:c r="I440" s="27"/>
      <x:c r="J440" s="26"/>
      <x:c r="K440" s="26"/>
      <x:c r="L440" s="19"/>
      <x:c r="M440" s="19"/>
      <x:c r="N440" s="19"/>
      <x:c r="O440" s="27"/>
      <x:c r="P440" s="19"/>
      <x:c r="Q440" s="26"/>
      <x:c r="R440" s="19"/>
      <x:c r="S440" s="26"/>
      <x:c r="T440" s="19"/>
      <x:c r="U440" s="19"/>
    </x:row>
    <x:row r="441">
      <x:c r="A441" s="19"/>
      <x:c r="B441" s="19"/>
      <x:c r="C441" s="19"/>
      <x:c r="D441" s="19"/>
      <x:c r="E441" s="26"/>
      <x:c r="F441" s="19"/>
      <x:c r="G441" s="19"/>
      <x:c r="H441" s="19"/>
      <x:c r="I441" s="27"/>
      <x:c r="J441" s="26"/>
      <x:c r="K441" s="26"/>
      <x:c r="L441" s="19"/>
      <x:c r="M441" s="19"/>
      <x:c r="N441" s="19"/>
      <x:c r="O441" s="27"/>
      <x:c r="P441" s="19"/>
      <x:c r="Q441" s="26"/>
      <x:c r="R441" s="19"/>
      <x:c r="S441" s="26"/>
      <x:c r="T441" s="19"/>
      <x:c r="U441" s="19"/>
    </x:row>
    <x:row r="442">
      <x:c r="A442" s="19"/>
      <x:c r="B442" s="19"/>
      <x:c r="C442" s="19"/>
      <x:c r="D442" s="19"/>
      <x:c r="E442" s="26"/>
      <x:c r="F442" s="19"/>
      <x:c r="G442" s="19"/>
      <x:c r="H442" s="19"/>
      <x:c r="I442" s="27"/>
      <x:c r="J442" s="26"/>
      <x:c r="K442" s="26"/>
      <x:c r="L442" s="19"/>
      <x:c r="M442" s="19"/>
      <x:c r="N442" s="19"/>
      <x:c r="O442" s="27"/>
      <x:c r="P442" s="19"/>
      <x:c r="Q442" s="26"/>
      <x:c r="R442" s="19"/>
      <x:c r="S442" s="26"/>
      <x:c r="T442" s="19"/>
      <x:c r="U442" s="19"/>
    </x:row>
    <x:row r="443">
      <x:c r="A443" s="19"/>
      <x:c r="B443" s="19"/>
      <x:c r="C443" s="19"/>
      <x:c r="D443" s="19"/>
      <x:c r="E443" s="26"/>
      <x:c r="F443" s="19"/>
      <x:c r="G443" s="19"/>
      <x:c r="H443" s="19"/>
      <x:c r="I443" s="27"/>
      <x:c r="J443" s="26"/>
      <x:c r="K443" s="26"/>
      <x:c r="L443" s="19"/>
      <x:c r="M443" s="19"/>
      <x:c r="N443" s="19"/>
      <x:c r="O443" s="27"/>
      <x:c r="P443" s="19"/>
      <x:c r="Q443" s="26"/>
      <x:c r="R443" s="19"/>
      <x:c r="S443" s="26"/>
      <x:c r="T443" s="19"/>
      <x:c r="U443" s="19"/>
    </x:row>
    <x:row r="444">
      <x:c r="A444" s="19"/>
      <x:c r="B444" s="19"/>
      <x:c r="C444" s="19"/>
      <x:c r="D444" s="19"/>
      <x:c r="E444" s="26"/>
      <x:c r="F444" s="19"/>
      <x:c r="G444" s="19"/>
      <x:c r="H444" s="19"/>
      <x:c r="I444" s="27"/>
      <x:c r="J444" s="26"/>
      <x:c r="K444" s="26"/>
      <x:c r="L444" s="19"/>
      <x:c r="M444" s="19"/>
      <x:c r="N444" s="19"/>
      <x:c r="O444" s="27"/>
      <x:c r="P444" s="19"/>
      <x:c r="Q444" s="26"/>
      <x:c r="R444" s="19"/>
      <x:c r="S444" s="26"/>
      <x:c r="T444" s="19"/>
      <x:c r="U444" s="19"/>
    </x:row>
    <x:row r="445">
      <x:c r="A445" s="19"/>
      <x:c r="B445" s="19"/>
      <x:c r="C445" s="19"/>
      <x:c r="D445" s="19"/>
      <x:c r="E445" s="26"/>
      <x:c r="F445" s="19"/>
      <x:c r="G445" s="19"/>
      <x:c r="H445" s="19"/>
      <x:c r="I445" s="27"/>
      <x:c r="J445" s="26"/>
      <x:c r="K445" s="26"/>
      <x:c r="L445" s="19"/>
      <x:c r="M445" s="19"/>
      <x:c r="N445" s="19"/>
      <x:c r="O445" s="27"/>
      <x:c r="P445" s="19"/>
      <x:c r="Q445" s="26"/>
      <x:c r="R445" s="19"/>
      <x:c r="S445" s="26"/>
      <x:c r="T445" s="19"/>
      <x:c r="U445" s="19"/>
    </x:row>
    <x:row r="446">
      <x:c r="A446" s="19"/>
      <x:c r="B446" s="19"/>
      <x:c r="C446" s="19"/>
      <x:c r="D446" s="19"/>
      <x:c r="E446" s="26"/>
      <x:c r="F446" s="19"/>
      <x:c r="G446" s="19"/>
      <x:c r="H446" s="19"/>
      <x:c r="I446" s="27"/>
      <x:c r="J446" s="26"/>
      <x:c r="K446" s="26"/>
      <x:c r="L446" s="19"/>
      <x:c r="M446" s="19"/>
      <x:c r="N446" s="19"/>
      <x:c r="O446" s="27"/>
      <x:c r="P446" s="19"/>
      <x:c r="Q446" s="26"/>
      <x:c r="R446" s="19"/>
      <x:c r="S446" s="26"/>
      <x:c r="T446" s="19"/>
      <x:c r="U446" s="19"/>
    </x:row>
    <x:row r="447">
      <x:c r="A447" s="19"/>
      <x:c r="B447" s="19"/>
      <x:c r="C447" s="19"/>
      <x:c r="D447" s="19"/>
      <x:c r="E447" s="26"/>
      <x:c r="F447" s="19"/>
      <x:c r="G447" s="19"/>
      <x:c r="H447" s="19"/>
      <x:c r="I447" s="27"/>
      <x:c r="J447" s="26"/>
      <x:c r="K447" s="26"/>
      <x:c r="L447" s="19"/>
      <x:c r="M447" s="19"/>
      <x:c r="N447" s="19"/>
      <x:c r="O447" s="27"/>
      <x:c r="P447" s="19"/>
      <x:c r="Q447" s="26"/>
      <x:c r="R447" s="19"/>
      <x:c r="S447" s="26"/>
      <x:c r="T447" s="19"/>
      <x:c r="U447" s="19"/>
    </x:row>
    <x:row r="448">
      <x:c r="A448" s="19"/>
      <x:c r="B448" s="19"/>
      <x:c r="C448" s="19"/>
      <x:c r="D448" s="19"/>
      <x:c r="E448" s="26"/>
      <x:c r="F448" s="19"/>
      <x:c r="G448" s="19"/>
      <x:c r="H448" s="19"/>
      <x:c r="I448" s="27"/>
      <x:c r="J448" s="26"/>
      <x:c r="K448" s="26"/>
      <x:c r="L448" s="19"/>
      <x:c r="M448" s="19"/>
      <x:c r="N448" s="19"/>
      <x:c r="O448" s="27"/>
      <x:c r="P448" s="19"/>
      <x:c r="Q448" s="26"/>
      <x:c r="R448" s="19"/>
      <x:c r="S448" s="26"/>
      <x:c r="T448" s="19"/>
      <x:c r="U448" s="19"/>
    </x:row>
    <x:row r="449">
      <x:c r="A449" s="19"/>
      <x:c r="B449" s="19"/>
      <x:c r="C449" s="19"/>
      <x:c r="D449" s="19"/>
      <x:c r="E449" s="26"/>
      <x:c r="F449" s="19"/>
      <x:c r="G449" s="19"/>
      <x:c r="H449" s="19"/>
      <x:c r="I449" s="27"/>
      <x:c r="J449" s="26"/>
      <x:c r="K449" s="26"/>
      <x:c r="L449" s="19"/>
      <x:c r="M449" s="19"/>
      <x:c r="N449" s="19"/>
      <x:c r="O449" s="27"/>
      <x:c r="P449" s="19"/>
      <x:c r="Q449" s="26"/>
      <x:c r="R449" s="19"/>
      <x:c r="S449" s="26"/>
      <x:c r="T449" s="19"/>
      <x:c r="U449" s="19"/>
    </x:row>
    <x:row r="450">
      <x:c r="A450" s="19"/>
      <x:c r="B450" s="19"/>
      <x:c r="C450" s="19"/>
      <x:c r="D450" s="19"/>
      <x:c r="E450" s="26"/>
      <x:c r="F450" s="19"/>
      <x:c r="G450" s="19"/>
      <x:c r="H450" s="19"/>
      <x:c r="I450" s="27"/>
      <x:c r="J450" s="26"/>
      <x:c r="K450" s="26"/>
      <x:c r="L450" s="19"/>
      <x:c r="M450" s="19"/>
      <x:c r="N450" s="19"/>
      <x:c r="O450" s="27"/>
      <x:c r="P450" s="19"/>
      <x:c r="Q450" s="26"/>
      <x:c r="R450" s="19"/>
      <x:c r="S450" s="26"/>
      <x:c r="T450" s="19"/>
      <x:c r="U450" s="19"/>
    </x:row>
    <x:row r="451">
      <x:c r="A451" s="19"/>
      <x:c r="B451" s="19"/>
      <x:c r="C451" s="19"/>
      <x:c r="D451" s="19"/>
      <x:c r="E451" s="26"/>
      <x:c r="F451" s="19"/>
      <x:c r="G451" s="19"/>
      <x:c r="H451" s="19"/>
      <x:c r="I451" s="27"/>
      <x:c r="J451" s="26"/>
      <x:c r="K451" s="26"/>
      <x:c r="L451" s="19"/>
      <x:c r="M451" s="19"/>
      <x:c r="N451" s="19"/>
      <x:c r="O451" s="27"/>
      <x:c r="P451" s="19"/>
      <x:c r="Q451" s="26"/>
      <x:c r="R451" s="19"/>
      <x:c r="S451" s="26"/>
      <x:c r="T451" s="19"/>
      <x:c r="U451" s="19"/>
    </x:row>
    <x:row r="452">
      <x:c r="A452" s="19"/>
      <x:c r="B452" s="19"/>
      <x:c r="C452" s="19"/>
      <x:c r="D452" s="19"/>
      <x:c r="E452" s="26"/>
      <x:c r="F452" s="19"/>
      <x:c r="G452" s="19"/>
      <x:c r="H452" s="19"/>
      <x:c r="I452" s="27"/>
      <x:c r="J452" s="26"/>
      <x:c r="K452" s="26"/>
      <x:c r="L452" s="19"/>
      <x:c r="M452" s="19"/>
      <x:c r="N452" s="19"/>
      <x:c r="O452" s="27"/>
      <x:c r="P452" s="19"/>
      <x:c r="Q452" s="26"/>
      <x:c r="R452" s="19"/>
      <x:c r="S452" s="26"/>
      <x:c r="T452" s="19"/>
      <x:c r="U452" s="19"/>
    </x:row>
    <x:row r="453">
      <x:c r="A453" s="19"/>
      <x:c r="B453" s="19"/>
      <x:c r="C453" s="19"/>
      <x:c r="D453" s="19"/>
      <x:c r="E453" s="26"/>
      <x:c r="F453" s="19"/>
      <x:c r="G453" s="19"/>
      <x:c r="H453" s="19"/>
      <x:c r="I453" s="27"/>
      <x:c r="J453" s="26"/>
      <x:c r="K453" s="26"/>
      <x:c r="L453" s="19"/>
      <x:c r="M453" s="19"/>
      <x:c r="N453" s="19"/>
      <x:c r="O453" s="27"/>
      <x:c r="P453" s="19"/>
      <x:c r="Q453" s="26"/>
      <x:c r="R453" s="19"/>
      <x:c r="S453" s="26"/>
      <x:c r="T453" s="19"/>
      <x:c r="U453" s="19"/>
    </x:row>
    <x:row r="454">
      <x:c r="A454" s="19"/>
      <x:c r="B454" s="19"/>
      <x:c r="C454" s="19"/>
      <x:c r="D454" s="19"/>
      <x:c r="E454" s="26"/>
      <x:c r="F454" s="19"/>
      <x:c r="G454" s="19"/>
      <x:c r="H454" s="19"/>
      <x:c r="I454" s="27"/>
      <x:c r="J454" s="26"/>
      <x:c r="K454" s="26"/>
      <x:c r="L454" s="19"/>
      <x:c r="M454" s="19"/>
      <x:c r="N454" s="19"/>
      <x:c r="O454" s="27"/>
      <x:c r="P454" s="19"/>
      <x:c r="Q454" s="26"/>
      <x:c r="R454" s="19"/>
      <x:c r="S454" s="26"/>
      <x:c r="T454" s="19"/>
      <x:c r="U454" s="19"/>
    </x:row>
    <x:row r="455">
      <x:c r="A455" s="19"/>
      <x:c r="B455" s="19"/>
      <x:c r="C455" s="19"/>
      <x:c r="D455" s="19"/>
      <x:c r="E455" s="26"/>
      <x:c r="F455" s="19"/>
      <x:c r="G455" s="19"/>
      <x:c r="H455" s="19"/>
      <x:c r="I455" s="27"/>
      <x:c r="J455" s="26"/>
      <x:c r="K455" s="26"/>
      <x:c r="L455" s="19"/>
      <x:c r="M455" s="19"/>
      <x:c r="N455" s="19"/>
      <x:c r="O455" s="27"/>
      <x:c r="P455" s="19"/>
      <x:c r="Q455" s="26"/>
      <x:c r="R455" s="19"/>
      <x:c r="S455" s="26"/>
      <x:c r="T455" s="19"/>
      <x:c r="U455" s="19"/>
    </x:row>
    <x:row r="456">
      <x:c r="A456" s="19"/>
      <x:c r="B456" s="19"/>
      <x:c r="C456" s="19"/>
      <x:c r="D456" s="19"/>
      <x:c r="E456" s="26"/>
      <x:c r="F456" s="19"/>
      <x:c r="G456" s="19"/>
      <x:c r="H456" s="19"/>
      <x:c r="I456" s="27"/>
      <x:c r="J456" s="26"/>
      <x:c r="K456" s="26"/>
      <x:c r="L456" s="19"/>
      <x:c r="M456" s="19"/>
      <x:c r="N456" s="19"/>
      <x:c r="O456" s="27"/>
      <x:c r="P456" s="19"/>
      <x:c r="Q456" s="26"/>
      <x:c r="R456" s="19"/>
      <x:c r="S456" s="26"/>
      <x:c r="T456" s="19"/>
      <x:c r="U456" s="19"/>
    </x:row>
    <x:row r="457">
      <x:c r="A457" s="19"/>
      <x:c r="B457" s="19"/>
      <x:c r="C457" s="19"/>
      <x:c r="D457" s="19"/>
      <x:c r="E457" s="26"/>
      <x:c r="F457" s="19"/>
      <x:c r="G457" s="19"/>
      <x:c r="H457" s="19"/>
      <x:c r="I457" s="27"/>
      <x:c r="J457" s="26"/>
      <x:c r="K457" s="26"/>
      <x:c r="L457" s="19"/>
      <x:c r="M457" s="19"/>
      <x:c r="N457" s="19"/>
      <x:c r="O457" s="27"/>
      <x:c r="P457" s="19"/>
      <x:c r="Q457" s="26"/>
      <x:c r="R457" s="19"/>
      <x:c r="S457" s="26"/>
      <x:c r="T457" s="19"/>
      <x:c r="U457" s="19"/>
    </x:row>
    <x:row r="458">
      <x:c r="A458" s="19"/>
      <x:c r="B458" s="19"/>
      <x:c r="C458" s="19"/>
      <x:c r="D458" s="19"/>
      <x:c r="E458" s="26"/>
      <x:c r="F458" s="19"/>
      <x:c r="G458" s="19"/>
      <x:c r="H458" s="19"/>
      <x:c r="I458" s="27"/>
      <x:c r="J458" s="26"/>
      <x:c r="K458" s="26"/>
      <x:c r="L458" s="19"/>
      <x:c r="M458" s="19"/>
      <x:c r="N458" s="19"/>
      <x:c r="O458" s="27"/>
      <x:c r="P458" s="19"/>
      <x:c r="Q458" s="26"/>
      <x:c r="R458" s="19"/>
      <x:c r="S458" s="26"/>
      <x:c r="T458" s="19"/>
      <x:c r="U458" s="19"/>
    </x:row>
    <x:row r="459">
      <x:c r="A459" s="19"/>
      <x:c r="B459" s="19"/>
      <x:c r="C459" s="19"/>
      <x:c r="D459" s="19"/>
      <x:c r="E459" s="26"/>
      <x:c r="F459" s="19"/>
      <x:c r="G459" s="19"/>
      <x:c r="H459" s="19"/>
      <x:c r="I459" s="27"/>
      <x:c r="J459" s="26"/>
      <x:c r="K459" s="26"/>
      <x:c r="L459" s="19"/>
      <x:c r="M459" s="19"/>
      <x:c r="N459" s="19"/>
      <x:c r="O459" s="27"/>
      <x:c r="P459" s="19"/>
      <x:c r="Q459" s="26"/>
      <x:c r="R459" s="19"/>
      <x:c r="S459" s="26"/>
      <x:c r="T459" s="19"/>
      <x:c r="U459" s="19"/>
    </x:row>
    <x:row r="460">
      <x:c r="A460" s="19"/>
      <x:c r="B460" s="19"/>
      <x:c r="C460" s="19"/>
      <x:c r="D460" s="19"/>
      <x:c r="E460" s="26"/>
      <x:c r="F460" s="19"/>
      <x:c r="G460" s="19"/>
      <x:c r="H460" s="19"/>
      <x:c r="I460" s="27"/>
      <x:c r="J460" s="26"/>
      <x:c r="K460" s="26"/>
      <x:c r="L460" s="19"/>
      <x:c r="M460" s="19"/>
      <x:c r="N460" s="19"/>
      <x:c r="O460" s="27"/>
      <x:c r="P460" s="19"/>
      <x:c r="Q460" s="26"/>
      <x:c r="R460" s="19"/>
      <x:c r="S460" s="26"/>
      <x:c r="T460" s="19"/>
      <x:c r="U460" s="19"/>
    </x:row>
    <x:row r="461">
      <x:c r="A461" s="19"/>
      <x:c r="B461" s="19"/>
      <x:c r="C461" s="19"/>
      <x:c r="D461" s="19"/>
      <x:c r="E461" s="26"/>
      <x:c r="F461" s="19"/>
      <x:c r="G461" s="19"/>
      <x:c r="H461" s="19"/>
      <x:c r="I461" s="27"/>
      <x:c r="J461" s="26"/>
      <x:c r="K461" s="26"/>
      <x:c r="L461" s="19"/>
      <x:c r="M461" s="19"/>
      <x:c r="N461" s="19"/>
      <x:c r="O461" s="27"/>
      <x:c r="P461" s="19"/>
      <x:c r="Q461" s="26"/>
      <x:c r="R461" s="19"/>
      <x:c r="S461" s="26"/>
      <x:c r="T461" s="19"/>
      <x:c r="U461" s="19"/>
    </x:row>
    <x:row r="462">
      <x:c r="A462" s="19"/>
      <x:c r="B462" s="19"/>
      <x:c r="C462" s="19"/>
      <x:c r="D462" s="19"/>
      <x:c r="E462" s="26"/>
      <x:c r="F462" s="19"/>
      <x:c r="G462" s="19"/>
      <x:c r="H462" s="19"/>
      <x:c r="I462" s="27"/>
      <x:c r="J462" s="26"/>
      <x:c r="K462" s="26"/>
      <x:c r="L462" s="19"/>
      <x:c r="M462" s="19"/>
      <x:c r="N462" s="19"/>
      <x:c r="O462" s="27"/>
      <x:c r="P462" s="19"/>
      <x:c r="Q462" s="26"/>
      <x:c r="R462" s="19"/>
      <x:c r="S462" s="26"/>
      <x:c r="T462" s="19"/>
      <x:c r="U462" s="19"/>
    </x:row>
    <x:row r="463">
      <x:c r="A463" s="19"/>
      <x:c r="B463" s="19"/>
      <x:c r="C463" s="19"/>
      <x:c r="D463" s="19"/>
      <x:c r="E463" s="26"/>
      <x:c r="F463" s="19"/>
      <x:c r="G463" s="19"/>
      <x:c r="H463" s="19"/>
      <x:c r="I463" s="27"/>
      <x:c r="J463" s="26"/>
      <x:c r="K463" s="26"/>
      <x:c r="L463" s="19"/>
      <x:c r="M463" s="19"/>
      <x:c r="N463" s="19"/>
      <x:c r="O463" s="27"/>
      <x:c r="P463" s="19"/>
      <x:c r="Q463" s="26"/>
      <x:c r="R463" s="19"/>
      <x:c r="S463" s="26"/>
      <x:c r="T463" s="19"/>
      <x:c r="U463" s="19"/>
    </x:row>
    <x:row r="464">
      <x:c r="A464" s="19"/>
      <x:c r="B464" s="19"/>
      <x:c r="C464" s="19"/>
      <x:c r="D464" s="19"/>
      <x:c r="E464" s="26"/>
      <x:c r="F464" s="19"/>
      <x:c r="G464" s="19"/>
      <x:c r="H464" s="19"/>
      <x:c r="I464" s="27"/>
      <x:c r="J464" s="26"/>
      <x:c r="K464" s="26"/>
      <x:c r="L464" s="19"/>
      <x:c r="M464" s="19"/>
      <x:c r="N464" s="19"/>
      <x:c r="O464" s="27"/>
      <x:c r="P464" s="19"/>
      <x:c r="Q464" s="26"/>
      <x:c r="R464" s="19"/>
      <x:c r="S464" s="26"/>
      <x:c r="T464" s="19"/>
      <x:c r="U464" s="19"/>
    </x:row>
    <x:row r="465">
      <x:c r="A465" s="19"/>
      <x:c r="B465" s="19"/>
      <x:c r="C465" s="19"/>
      <x:c r="D465" s="19"/>
      <x:c r="E465" s="26"/>
      <x:c r="F465" s="19"/>
      <x:c r="G465" s="19"/>
      <x:c r="H465" s="19"/>
      <x:c r="I465" s="27"/>
      <x:c r="J465" s="26"/>
      <x:c r="K465" s="26"/>
      <x:c r="L465" s="19"/>
      <x:c r="M465" s="19"/>
      <x:c r="N465" s="19"/>
      <x:c r="O465" s="27"/>
      <x:c r="P465" s="19"/>
      <x:c r="Q465" s="26"/>
      <x:c r="R465" s="19"/>
      <x:c r="S465" s="26"/>
      <x:c r="T465" s="19"/>
      <x:c r="U465" s="19"/>
    </x:row>
    <x:row r="466">
      <x:c r="A466" s="19"/>
      <x:c r="B466" s="19"/>
      <x:c r="C466" s="19"/>
      <x:c r="D466" s="19"/>
      <x:c r="E466" s="26"/>
      <x:c r="F466" s="19"/>
      <x:c r="G466" s="19"/>
      <x:c r="H466" s="19"/>
      <x:c r="I466" s="27"/>
      <x:c r="J466" s="26"/>
      <x:c r="K466" s="26"/>
      <x:c r="L466" s="19"/>
      <x:c r="M466" s="19"/>
      <x:c r="N466" s="19"/>
      <x:c r="O466" s="27"/>
      <x:c r="P466" s="19"/>
      <x:c r="Q466" s="26"/>
      <x:c r="R466" s="19"/>
      <x:c r="S466" s="26"/>
      <x:c r="T466" s="19"/>
      <x:c r="U466" s="19"/>
    </x:row>
    <x:row r="467">
      <x:c r="A467" s="19"/>
      <x:c r="B467" s="19"/>
      <x:c r="C467" s="19"/>
      <x:c r="D467" s="19"/>
      <x:c r="E467" s="26"/>
      <x:c r="F467" s="19"/>
      <x:c r="G467" s="19"/>
      <x:c r="H467" s="19"/>
      <x:c r="I467" s="27"/>
      <x:c r="J467" s="26"/>
      <x:c r="K467" s="26"/>
      <x:c r="L467" s="19"/>
      <x:c r="M467" s="19"/>
      <x:c r="N467" s="19"/>
      <x:c r="O467" s="27"/>
      <x:c r="P467" s="19"/>
      <x:c r="Q467" s="26"/>
      <x:c r="R467" s="19"/>
      <x:c r="S467" s="26"/>
      <x:c r="T467" s="19"/>
      <x:c r="U467" s="19"/>
    </x:row>
    <x:row r="468">
      <x:c r="A468" s="19"/>
      <x:c r="B468" s="19"/>
      <x:c r="C468" s="19"/>
      <x:c r="D468" s="19"/>
      <x:c r="E468" s="26"/>
      <x:c r="F468" s="19"/>
      <x:c r="G468" s="19"/>
      <x:c r="H468" s="19"/>
      <x:c r="I468" s="27"/>
      <x:c r="J468" s="26"/>
      <x:c r="K468" s="26"/>
      <x:c r="L468" s="19"/>
      <x:c r="M468" s="19"/>
      <x:c r="N468" s="19"/>
      <x:c r="O468" s="27"/>
      <x:c r="P468" s="19"/>
      <x:c r="Q468" s="26"/>
      <x:c r="R468" s="19"/>
      <x:c r="S468" s="26"/>
      <x:c r="T468" s="19"/>
      <x:c r="U468" s="19"/>
    </x:row>
    <x:row r="469">
      <x:c r="A469" s="19"/>
      <x:c r="B469" s="19"/>
      <x:c r="C469" s="19"/>
      <x:c r="D469" s="19"/>
      <x:c r="E469" s="26"/>
      <x:c r="F469" s="19"/>
      <x:c r="G469" s="19"/>
      <x:c r="H469" s="19"/>
      <x:c r="I469" s="27"/>
      <x:c r="J469" s="26"/>
      <x:c r="K469" s="26"/>
      <x:c r="L469" s="19"/>
      <x:c r="M469" s="19"/>
      <x:c r="N469" s="19"/>
      <x:c r="O469" s="27"/>
      <x:c r="P469" s="19"/>
      <x:c r="Q469" s="26"/>
      <x:c r="R469" s="19"/>
      <x:c r="S469" s="26"/>
      <x:c r="T469" s="19"/>
      <x:c r="U469" s="19"/>
    </x:row>
    <x:row r="470">
      <x:c r="A470" s="19"/>
      <x:c r="B470" s="19"/>
      <x:c r="C470" s="19"/>
      <x:c r="D470" s="19"/>
      <x:c r="E470" s="26"/>
      <x:c r="F470" s="19"/>
      <x:c r="G470" s="19"/>
      <x:c r="H470" s="19"/>
      <x:c r="I470" s="27"/>
      <x:c r="J470" s="26"/>
      <x:c r="K470" s="26"/>
      <x:c r="L470" s="19"/>
      <x:c r="M470" s="19"/>
      <x:c r="N470" s="19"/>
      <x:c r="O470" s="27"/>
      <x:c r="P470" s="19"/>
      <x:c r="Q470" s="26"/>
      <x:c r="R470" s="19"/>
      <x:c r="S470" s="26"/>
      <x:c r="T470" s="19"/>
      <x:c r="U470" s="19"/>
    </x:row>
    <x:row r="471">
      <x:c r="A471" s="19"/>
      <x:c r="B471" s="19"/>
      <x:c r="C471" s="19"/>
      <x:c r="D471" s="19"/>
      <x:c r="E471" s="26"/>
      <x:c r="F471" s="19"/>
      <x:c r="G471" s="19"/>
      <x:c r="H471" s="19"/>
      <x:c r="I471" s="27"/>
      <x:c r="J471" s="26"/>
      <x:c r="K471" s="26"/>
      <x:c r="L471" s="19"/>
      <x:c r="M471" s="19"/>
      <x:c r="N471" s="19"/>
      <x:c r="O471" s="27"/>
      <x:c r="P471" s="19"/>
      <x:c r="Q471" s="26"/>
      <x:c r="R471" s="19"/>
      <x:c r="S471" s="26"/>
      <x:c r="T471" s="19"/>
      <x:c r="U471" s="19"/>
    </x:row>
    <x:row r="472">
      <x:c r="A472" s="19"/>
      <x:c r="B472" s="19"/>
      <x:c r="C472" s="19"/>
      <x:c r="D472" s="19"/>
      <x:c r="E472" s="26"/>
      <x:c r="F472" s="19"/>
      <x:c r="G472" s="19"/>
      <x:c r="H472" s="19"/>
      <x:c r="I472" s="27"/>
      <x:c r="J472" s="26"/>
      <x:c r="K472" s="26"/>
      <x:c r="L472" s="19"/>
      <x:c r="M472" s="19"/>
      <x:c r="N472" s="19"/>
      <x:c r="O472" s="27"/>
      <x:c r="P472" s="19"/>
      <x:c r="Q472" s="26"/>
      <x:c r="R472" s="19"/>
      <x:c r="S472" s="26"/>
      <x:c r="T472" s="19"/>
      <x:c r="U472" s="19"/>
    </x:row>
    <x:row r="473">
      <x:c r="A473" s="19"/>
      <x:c r="B473" s="19"/>
      <x:c r="C473" s="19"/>
      <x:c r="D473" s="19"/>
      <x:c r="E473" s="26"/>
      <x:c r="F473" s="19"/>
      <x:c r="G473" s="19"/>
      <x:c r="H473" s="19"/>
      <x:c r="I473" s="27"/>
      <x:c r="J473" s="26"/>
      <x:c r="K473" s="26"/>
      <x:c r="L473" s="19"/>
      <x:c r="M473" s="19"/>
      <x:c r="N473" s="19"/>
      <x:c r="O473" s="27"/>
      <x:c r="P473" s="19"/>
      <x:c r="Q473" s="26"/>
      <x:c r="R473" s="19"/>
      <x:c r="S473" s="26"/>
      <x:c r="T473" s="19"/>
      <x:c r="U473" s="19"/>
    </x:row>
    <x:row r="474">
      <x:c r="A474" s="19"/>
      <x:c r="B474" s="19"/>
      <x:c r="C474" s="19"/>
      <x:c r="D474" s="19"/>
      <x:c r="E474" s="26"/>
      <x:c r="F474" s="19"/>
      <x:c r="G474" s="19"/>
      <x:c r="H474" s="19"/>
      <x:c r="I474" s="27"/>
      <x:c r="J474" s="26"/>
      <x:c r="K474" s="26"/>
      <x:c r="L474" s="19"/>
      <x:c r="M474" s="19"/>
      <x:c r="N474" s="19"/>
      <x:c r="O474" s="27"/>
      <x:c r="P474" s="19"/>
      <x:c r="Q474" s="26"/>
      <x:c r="R474" s="19"/>
      <x:c r="S474" s="26"/>
      <x:c r="T474" s="19"/>
      <x:c r="U474" s="19"/>
    </x:row>
    <x:row r="475">
      <x:c r="A475" s="19"/>
      <x:c r="B475" s="19"/>
      <x:c r="C475" s="19"/>
      <x:c r="D475" s="19"/>
      <x:c r="E475" s="26"/>
      <x:c r="F475" s="19"/>
      <x:c r="G475" s="19"/>
      <x:c r="H475" s="19"/>
      <x:c r="I475" s="27"/>
      <x:c r="J475" s="26"/>
      <x:c r="K475" s="26"/>
      <x:c r="L475" s="19"/>
      <x:c r="M475" s="19"/>
      <x:c r="N475" s="19"/>
      <x:c r="O475" s="27"/>
      <x:c r="P475" s="19"/>
      <x:c r="Q475" s="26"/>
      <x:c r="R475" s="19"/>
      <x:c r="S475" s="26"/>
      <x:c r="T475" s="19"/>
      <x:c r="U475" s="19"/>
    </x:row>
    <x:row r="476">
      <x:c r="A476" s="19"/>
      <x:c r="B476" s="19"/>
      <x:c r="C476" s="19"/>
      <x:c r="D476" s="19"/>
      <x:c r="E476" s="26"/>
      <x:c r="F476" s="19"/>
      <x:c r="G476" s="19"/>
      <x:c r="H476" s="19"/>
      <x:c r="I476" s="27"/>
      <x:c r="J476" s="26"/>
      <x:c r="K476" s="26"/>
      <x:c r="L476" s="19"/>
      <x:c r="M476" s="19"/>
      <x:c r="N476" s="19"/>
      <x:c r="O476" s="27"/>
      <x:c r="P476" s="19"/>
      <x:c r="Q476" s="26"/>
      <x:c r="R476" s="19"/>
      <x:c r="S476" s="26"/>
      <x:c r="T476" s="19"/>
      <x:c r="U476" s="19"/>
    </x:row>
    <x:row r="477">
      <x:c r="A477" s="19"/>
      <x:c r="B477" s="19"/>
      <x:c r="C477" s="19"/>
      <x:c r="D477" s="19"/>
      <x:c r="E477" s="26"/>
      <x:c r="F477" s="19"/>
      <x:c r="G477" s="19"/>
      <x:c r="H477" s="19"/>
      <x:c r="I477" s="27"/>
      <x:c r="J477" s="26"/>
      <x:c r="K477" s="26"/>
      <x:c r="L477" s="19"/>
      <x:c r="M477" s="19"/>
      <x:c r="N477" s="19"/>
      <x:c r="O477" s="27"/>
      <x:c r="P477" s="19"/>
      <x:c r="Q477" s="26"/>
      <x:c r="R477" s="19"/>
      <x:c r="S477" s="26"/>
      <x:c r="T477" s="19"/>
      <x:c r="U477" s="19"/>
    </x:row>
    <x:row r="478">
      <x:c r="A478" s="19"/>
      <x:c r="B478" s="19"/>
      <x:c r="C478" s="19"/>
      <x:c r="D478" s="19"/>
      <x:c r="E478" s="26"/>
      <x:c r="F478" s="19"/>
      <x:c r="G478" s="19"/>
      <x:c r="H478" s="19"/>
      <x:c r="I478" s="27"/>
      <x:c r="J478" s="26"/>
      <x:c r="K478" s="26"/>
      <x:c r="L478" s="19"/>
      <x:c r="M478" s="19"/>
      <x:c r="N478" s="19"/>
      <x:c r="O478" s="27"/>
      <x:c r="P478" s="19"/>
      <x:c r="Q478" s="26"/>
      <x:c r="R478" s="19"/>
      <x:c r="S478" s="26"/>
      <x:c r="T478" s="19"/>
      <x:c r="U478" s="19"/>
    </x:row>
    <x:row r="479">
      <x:c r="A479" s="19"/>
      <x:c r="B479" s="19"/>
      <x:c r="C479" s="19"/>
      <x:c r="D479" s="19"/>
      <x:c r="E479" s="26"/>
      <x:c r="F479" s="19"/>
      <x:c r="G479" s="19"/>
      <x:c r="H479" s="19"/>
      <x:c r="I479" s="27"/>
      <x:c r="J479" s="26"/>
      <x:c r="K479" s="26"/>
      <x:c r="L479" s="19"/>
      <x:c r="M479" s="19"/>
      <x:c r="N479" s="19"/>
      <x:c r="O479" s="27"/>
      <x:c r="P479" s="19"/>
      <x:c r="Q479" s="26"/>
      <x:c r="R479" s="19"/>
      <x:c r="S479" s="26"/>
      <x:c r="T479" s="19"/>
      <x:c r="U479" s="19"/>
    </x:row>
    <x:row r="480">
      <x:c r="A480" s="19"/>
      <x:c r="B480" s="19"/>
      <x:c r="C480" s="19"/>
      <x:c r="D480" s="19"/>
      <x:c r="E480" s="26"/>
      <x:c r="F480" s="19"/>
      <x:c r="G480" s="19"/>
      <x:c r="H480" s="19"/>
      <x:c r="I480" s="27"/>
      <x:c r="J480" s="26"/>
      <x:c r="K480" s="26"/>
      <x:c r="L480" s="19"/>
      <x:c r="M480" s="19"/>
      <x:c r="N480" s="19"/>
      <x:c r="O480" s="27"/>
      <x:c r="P480" s="19"/>
      <x:c r="Q480" s="26"/>
      <x:c r="R480" s="19"/>
      <x:c r="S480" s="26"/>
      <x:c r="T480" s="19"/>
      <x:c r="U480" s="19"/>
    </x:row>
    <x:row r="481">
      <x:c r="A481" s="19"/>
      <x:c r="B481" s="19"/>
      <x:c r="C481" s="19"/>
      <x:c r="D481" s="19"/>
      <x:c r="E481" s="26"/>
      <x:c r="F481" s="19"/>
      <x:c r="G481" s="19"/>
      <x:c r="H481" s="19"/>
      <x:c r="I481" s="27"/>
      <x:c r="J481" s="26"/>
      <x:c r="K481" s="26"/>
      <x:c r="L481" s="19"/>
      <x:c r="M481" s="19"/>
      <x:c r="N481" s="19"/>
      <x:c r="O481" s="27"/>
      <x:c r="P481" s="19"/>
      <x:c r="Q481" s="26"/>
      <x:c r="R481" s="19"/>
      <x:c r="S481" s="26"/>
      <x:c r="T481" s="19"/>
      <x:c r="U481" s="19"/>
    </x:row>
    <x:row r="482">
      <x:c r="A482" s="19"/>
      <x:c r="B482" s="19"/>
      <x:c r="C482" s="19"/>
      <x:c r="D482" s="19"/>
      <x:c r="E482" s="26"/>
      <x:c r="F482" s="19"/>
      <x:c r="G482" s="19"/>
      <x:c r="H482" s="19"/>
      <x:c r="I482" s="27"/>
      <x:c r="J482" s="26"/>
      <x:c r="K482" s="26"/>
      <x:c r="L482" s="19"/>
      <x:c r="M482" s="19"/>
      <x:c r="N482" s="19"/>
      <x:c r="O482" s="27"/>
      <x:c r="P482" s="19"/>
      <x:c r="Q482" s="26"/>
      <x:c r="R482" s="19"/>
      <x:c r="S482" s="26"/>
      <x:c r="T482" s="19"/>
      <x:c r="U482" s="19"/>
    </x:row>
    <x:row r="483">
      <x:c r="A483" s="19"/>
      <x:c r="B483" s="19"/>
      <x:c r="C483" s="19"/>
      <x:c r="D483" s="19"/>
      <x:c r="E483" s="26"/>
      <x:c r="F483" s="19"/>
      <x:c r="G483" s="19"/>
      <x:c r="H483" s="19"/>
      <x:c r="I483" s="27"/>
      <x:c r="J483" s="26"/>
      <x:c r="K483" s="26"/>
      <x:c r="L483" s="19"/>
      <x:c r="M483" s="19"/>
      <x:c r="N483" s="19"/>
      <x:c r="O483" s="27"/>
      <x:c r="P483" s="19"/>
      <x:c r="Q483" s="26"/>
      <x:c r="R483" s="19"/>
      <x:c r="S483" s="26"/>
      <x:c r="T483" s="19"/>
      <x:c r="U483" s="19"/>
    </x:row>
    <x:row r="484">
      <x:c r="A484" s="19"/>
      <x:c r="B484" s="19"/>
      <x:c r="C484" s="19"/>
      <x:c r="D484" s="19"/>
      <x:c r="E484" s="26"/>
      <x:c r="F484" s="19"/>
      <x:c r="G484" s="19"/>
      <x:c r="H484" s="19"/>
      <x:c r="I484" s="27"/>
      <x:c r="J484" s="26"/>
      <x:c r="K484" s="26"/>
      <x:c r="L484" s="19"/>
      <x:c r="M484" s="19"/>
      <x:c r="N484" s="19"/>
      <x:c r="O484" s="27"/>
      <x:c r="P484" s="19"/>
      <x:c r="Q484" s="26"/>
      <x:c r="R484" s="19"/>
      <x:c r="S484" s="26"/>
      <x:c r="T484" s="19"/>
      <x:c r="U484" s="19"/>
    </x:row>
    <x:row r="485">
      <x:c r="A485" s="19"/>
      <x:c r="B485" s="19"/>
      <x:c r="C485" s="19"/>
      <x:c r="D485" s="19"/>
      <x:c r="E485" s="26"/>
      <x:c r="F485" s="19"/>
      <x:c r="G485" s="19"/>
      <x:c r="H485" s="19"/>
      <x:c r="I485" s="27"/>
      <x:c r="J485" s="26"/>
      <x:c r="K485" s="26"/>
      <x:c r="L485" s="19"/>
      <x:c r="M485" s="19"/>
      <x:c r="N485" s="19"/>
      <x:c r="O485" s="27"/>
      <x:c r="P485" s="19"/>
      <x:c r="Q485" s="26"/>
      <x:c r="R485" s="19"/>
      <x:c r="S485" s="26"/>
      <x:c r="T485" s="19"/>
      <x:c r="U485" s="19"/>
    </x:row>
    <x:row r="486">
      <x:c r="A486" s="19"/>
      <x:c r="B486" s="19"/>
      <x:c r="C486" s="19"/>
      <x:c r="D486" s="19"/>
      <x:c r="E486" s="26"/>
      <x:c r="F486" s="19"/>
      <x:c r="G486" s="19"/>
      <x:c r="H486" s="19"/>
      <x:c r="I486" s="27"/>
      <x:c r="J486" s="26"/>
      <x:c r="K486" s="26"/>
      <x:c r="L486" s="19"/>
      <x:c r="M486" s="19"/>
      <x:c r="N486" s="19"/>
      <x:c r="O486" s="27"/>
      <x:c r="P486" s="19"/>
      <x:c r="Q486" s="26"/>
      <x:c r="R486" s="19"/>
      <x:c r="S486" s="26"/>
      <x:c r="T486" s="19"/>
      <x:c r="U486" s="19"/>
    </x:row>
    <x:row r="487">
      <x:c r="A487" s="19"/>
      <x:c r="B487" s="19"/>
      <x:c r="C487" s="19"/>
      <x:c r="D487" s="19"/>
      <x:c r="E487" s="26"/>
      <x:c r="F487" s="19"/>
      <x:c r="G487" s="19"/>
      <x:c r="H487" s="19"/>
      <x:c r="I487" s="27"/>
      <x:c r="J487" s="26"/>
      <x:c r="K487" s="26"/>
      <x:c r="L487" s="19"/>
      <x:c r="M487" s="19"/>
      <x:c r="N487" s="19"/>
      <x:c r="O487" s="27"/>
      <x:c r="P487" s="19"/>
      <x:c r="Q487" s="26"/>
      <x:c r="R487" s="19"/>
      <x:c r="S487" s="26"/>
      <x:c r="T487" s="19"/>
      <x:c r="U487" s="19"/>
    </x:row>
    <x:row r="488">
      <x:c r="A488" s="19"/>
      <x:c r="B488" s="19"/>
      <x:c r="C488" s="19"/>
      <x:c r="D488" s="19"/>
      <x:c r="E488" s="26"/>
      <x:c r="F488" s="19"/>
      <x:c r="G488" s="19"/>
      <x:c r="H488" s="19"/>
      <x:c r="I488" s="27"/>
      <x:c r="J488" s="26"/>
      <x:c r="K488" s="26"/>
      <x:c r="L488" s="19"/>
      <x:c r="M488" s="19"/>
      <x:c r="N488" s="19"/>
      <x:c r="O488" s="27"/>
      <x:c r="P488" s="19"/>
      <x:c r="Q488" s="26"/>
      <x:c r="R488" s="19"/>
      <x:c r="S488" s="26"/>
      <x:c r="T488" s="19"/>
      <x:c r="U488" s="19"/>
    </x:row>
    <x:row r="489">
      <x:c r="A489" s="19"/>
      <x:c r="B489" s="19"/>
      <x:c r="C489" s="19"/>
      <x:c r="D489" s="19"/>
      <x:c r="E489" s="26"/>
      <x:c r="F489" s="19"/>
      <x:c r="G489" s="19"/>
      <x:c r="H489" s="19"/>
      <x:c r="I489" s="27"/>
      <x:c r="J489" s="26"/>
      <x:c r="K489" s="26"/>
      <x:c r="L489" s="19"/>
      <x:c r="M489" s="19"/>
      <x:c r="N489" s="19"/>
      <x:c r="O489" s="27"/>
      <x:c r="P489" s="19"/>
      <x:c r="Q489" s="26"/>
      <x:c r="R489" s="19"/>
      <x:c r="S489" s="26"/>
      <x:c r="T489" s="19"/>
      <x:c r="U489" s="19"/>
    </x:row>
    <x:row r="490">
      <x:c r="A490" s="19"/>
      <x:c r="B490" s="19"/>
      <x:c r="C490" s="19"/>
      <x:c r="D490" s="19"/>
      <x:c r="E490" s="26"/>
      <x:c r="F490" s="19"/>
      <x:c r="G490" s="19"/>
      <x:c r="H490" s="19"/>
      <x:c r="I490" s="27"/>
      <x:c r="J490" s="26"/>
      <x:c r="K490" s="26"/>
      <x:c r="L490" s="19"/>
      <x:c r="M490" s="19"/>
      <x:c r="N490" s="19"/>
      <x:c r="O490" s="27"/>
      <x:c r="P490" s="19"/>
      <x:c r="Q490" s="26"/>
      <x:c r="R490" s="19"/>
      <x:c r="S490" s="26"/>
      <x:c r="T490" s="19"/>
      <x:c r="U490" s="19"/>
    </x:row>
    <x:row r="491">
      <x:c r="A491" s="19"/>
      <x:c r="B491" s="19"/>
      <x:c r="C491" s="19"/>
      <x:c r="D491" s="19"/>
      <x:c r="E491" s="26"/>
      <x:c r="F491" s="19"/>
      <x:c r="G491" s="19"/>
      <x:c r="H491" s="19"/>
      <x:c r="I491" s="27"/>
      <x:c r="J491" s="26"/>
      <x:c r="K491" s="26"/>
      <x:c r="L491" s="19"/>
      <x:c r="M491" s="19"/>
      <x:c r="N491" s="19"/>
      <x:c r="O491" s="27"/>
      <x:c r="P491" s="19"/>
      <x:c r="Q491" s="26"/>
      <x:c r="R491" s="19"/>
      <x:c r="S491" s="26"/>
      <x:c r="T491" s="19"/>
      <x:c r="U491" s="19"/>
    </x:row>
    <x:row r="492">
      <x:c r="A492" s="19"/>
      <x:c r="B492" s="19"/>
      <x:c r="C492" s="19"/>
      <x:c r="D492" s="19"/>
      <x:c r="E492" s="26"/>
      <x:c r="F492" s="19"/>
      <x:c r="G492" s="19"/>
      <x:c r="H492" s="19"/>
      <x:c r="I492" s="27"/>
      <x:c r="J492" s="26"/>
      <x:c r="K492" s="26"/>
      <x:c r="L492" s="19"/>
      <x:c r="M492" s="19"/>
      <x:c r="N492" s="19"/>
      <x:c r="O492" s="27"/>
      <x:c r="P492" s="19"/>
      <x:c r="Q492" s="26"/>
      <x:c r="R492" s="19"/>
      <x:c r="S492" s="26"/>
      <x:c r="T492" s="19"/>
      <x:c r="U492" s="19"/>
    </x:row>
    <x:row r="493">
      <x:c r="A493" s="19"/>
      <x:c r="B493" s="19"/>
      <x:c r="C493" s="19"/>
      <x:c r="D493" s="19"/>
      <x:c r="E493" s="26"/>
      <x:c r="F493" s="19"/>
      <x:c r="G493" s="19"/>
      <x:c r="H493" s="19"/>
      <x:c r="I493" s="27"/>
      <x:c r="J493" s="26"/>
      <x:c r="K493" s="26"/>
      <x:c r="L493" s="19"/>
      <x:c r="M493" s="19"/>
      <x:c r="N493" s="19"/>
      <x:c r="O493" s="27"/>
      <x:c r="P493" s="19"/>
      <x:c r="Q493" s="26"/>
      <x:c r="R493" s="19"/>
      <x:c r="S493" s="26"/>
      <x:c r="T493" s="19"/>
      <x:c r="U493" s="19"/>
    </x:row>
    <x:row r="494">
      <x:c r="A494" s="19"/>
      <x:c r="B494" s="19"/>
      <x:c r="C494" s="19"/>
      <x:c r="D494" s="19"/>
      <x:c r="E494" s="26"/>
      <x:c r="F494" s="19"/>
      <x:c r="G494" s="19"/>
      <x:c r="H494" s="19"/>
      <x:c r="I494" s="27"/>
      <x:c r="J494" s="26"/>
      <x:c r="K494" s="26"/>
      <x:c r="L494" s="19"/>
      <x:c r="M494" s="19"/>
      <x:c r="N494" s="19"/>
      <x:c r="O494" s="27"/>
      <x:c r="P494" s="19"/>
      <x:c r="Q494" s="26"/>
      <x:c r="R494" s="19"/>
      <x:c r="S494" s="26"/>
      <x:c r="T494" s="19"/>
      <x:c r="U494" s="19"/>
    </x:row>
    <x:row r="495">
      <x:c r="A495" s="19"/>
      <x:c r="B495" s="19"/>
      <x:c r="C495" s="19"/>
      <x:c r="D495" s="19"/>
      <x:c r="E495" s="26"/>
      <x:c r="F495" s="19"/>
      <x:c r="G495" s="19"/>
      <x:c r="H495" s="19"/>
      <x:c r="I495" s="27"/>
      <x:c r="J495" s="26"/>
      <x:c r="K495" s="26"/>
      <x:c r="L495" s="19"/>
      <x:c r="M495" s="19"/>
      <x:c r="N495" s="19"/>
      <x:c r="O495" s="27"/>
      <x:c r="P495" s="19"/>
      <x:c r="Q495" s="26"/>
      <x:c r="R495" s="19"/>
      <x:c r="S495" s="26"/>
      <x:c r="T495" s="19"/>
      <x:c r="U495" s="19"/>
    </x:row>
    <x:row r="496">
      <x:c r="A496" s="19"/>
      <x:c r="B496" s="19"/>
      <x:c r="C496" s="19"/>
      <x:c r="D496" s="19"/>
      <x:c r="E496" s="26"/>
      <x:c r="F496" s="19"/>
      <x:c r="G496" s="19"/>
      <x:c r="H496" s="19"/>
      <x:c r="I496" s="27"/>
      <x:c r="J496" s="26"/>
      <x:c r="K496" s="26"/>
      <x:c r="L496" s="19"/>
      <x:c r="M496" s="19"/>
      <x:c r="N496" s="19"/>
      <x:c r="O496" s="27"/>
      <x:c r="P496" s="19"/>
      <x:c r="Q496" s="26"/>
      <x:c r="R496" s="19"/>
      <x:c r="S496" s="26"/>
      <x:c r="T496" s="19"/>
      <x:c r="U496" s="19"/>
    </x:row>
    <x:row r="497">
      <x:c r="A497" s="19"/>
      <x:c r="B497" s="19"/>
      <x:c r="C497" s="19"/>
      <x:c r="D497" s="19"/>
      <x:c r="E497" s="26"/>
      <x:c r="F497" s="19"/>
      <x:c r="G497" s="19"/>
      <x:c r="H497" s="19"/>
      <x:c r="I497" s="27"/>
      <x:c r="J497" s="26"/>
      <x:c r="K497" s="26"/>
      <x:c r="L497" s="19"/>
      <x:c r="M497" s="19"/>
      <x:c r="N497" s="19"/>
      <x:c r="O497" s="27"/>
      <x:c r="P497" s="19"/>
      <x:c r="Q497" s="26"/>
      <x:c r="R497" s="19"/>
      <x:c r="S497" s="26"/>
      <x:c r="T497" s="19"/>
      <x:c r="U497" s="19"/>
    </x:row>
    <x:row r="498">
      <x:c r="A498" s="19"/>
      <x:c r="B498" s="19"/>
      <x:c r="C498" s="19"/>
      <x:c r="D498" s="19"/>
      <x:c r="E498" s="26"/>
      <x:c r="F498" s="19"/>
      <x:c r="G498" s="19"/>
      <x:c r="H498" s="19"/>
      <x:c r="I498" s="27"/>
      <x:c r="J498" s="26"/>
      <x:c r="K498" s="26"/>
      <x:c r="L498" s="19"/>
      <x:c r="M498" s="19"/>
      <x:c r="N498" s="19"/>
      <x:c r="O498" s="27"/>
      <x:c r="P498" s="19"/>
      <x:c r="Q498" s="26"/>
      <x:c r="R498" s="19"/>
      <x:c r="S498" s="26"/>
      <x:c r="T498" s="19"/>
      <x:c r="U498" s="19"/>
    </x:row>
    <x:row r="499">
      <x:c r="A499" s="19"/>
      <x:c r="B499" s="19"/>
      <x:c r="C499" s="19"/>
      <x:c r="D499" s="19"/>
      <x:c r="E499" s="26"/>
      <x:c r="F499" s="19"/>
      <x:c r="G499" s="19"/>
      <x:c r="H499" s="19"/>
      <x:c r="I499" s="27"/>
      <x:c r="J499" s="26"/>
      <x:c r="K499" s="26"/>
      <x:c r="L499" s="19"/>
      <x:c r="M499" s="19"/>
      <x:c r="N499" s="19"/>
      <x:c r="O499" s="27"/>
      <x:c r="P499" s="19"/>
      <x:c r="Q499" s="26"/>
      <x:c r="R499" s="19"/>
      <x:c r="S499" s="26"/>
      <x:c r="T499" s="19"/>
      <x:c r="U499" s="19"/>
    </x:row>
    <x:row r="500">
      <x:c r="A500" s="19"/>
      <x:c r="B500" s="19"/>
      <x:c r="C500" s="19"/>
      <x:c r="D500" s="19"/>
      <x:c r="E500" s="26"/>
      <x:c r="F500" s="19"/>
      <x:c r="G500" s="19"/>
      <x:c r="H500" s="19"/>
      <x:c r="I500" s="27"/>
      <x:c r="J500" s="26"/>
      <x:c r="K500" s="26"/>
      <x:c r="L500" s="19"/>
      <x:c r="M500" s="19"/>
      <x:c r="N500" s="19"/>
      <x:c r="O500" s="27"/>
      <x:c r="P500" s="19"/>
      <x:c r="Q500" s="26"/>
      <x:c r="R500" s="19"/>
      <x:c r="S500" s="26"/>
      <x:c r="T500" s="19"/>
      <x:c r="U500" s="19"/>
    </x:row>
  </x:sheetData>
  <x:conditionalFormatting sqref="B2:B500">
    <x:cfRule type="expression" dxfId="39" priority="1">
      <x:formula>AND($A2&lt;&gt;"",B2="")</x:formula>
    </x:cfRule>
  </x:conditionalFormatting>
  <x:conditionalFormatting sqref="D2:D500">
    <x:cfRule type="expression" dxfId="40" priority="2">
      <x:formula>AND($A2&lt;&gt;"",D2="")</x:formula>
    </x:cfRule>
  </x:conditionalFormatting>
  <x:conditionalFormatting sqref="E2:E500">
    <x:cfRule type="expression" dxfId="41" priority="3">
      <x:formula>AND($A2&lt;&gt;"",E2="")</x:formula>
    </x:cfRule>
    <x:cfRule type="expression" dxfId="53" priority="15">
      <x:formula>AND($A2&lt;&gt;"",$H2="open",$E2&lt;NOW())</x:formula>
    </x:cfRule>
  </x:conditionalFormatting>
  <x:conditionalFormatting sqref="F2:F500">
    <x:cfRule type="expression" dxfId="42" priority="4">
      <x:formula>AND($A2&lt;&gt;"",F2="")</x:formula>
    </x:cfRule>
  </x:conditionalFormatting>
  <x:conditionalFormatting sqref="G2:G500">
    <x:cfRule type="expression" dxfId="43" priority="5">
      <x:formula>AND($A2&lt;&gt;"",G2="")</x:formula>
    </x:cfRule>
  </x:conditionalFormatting>
  <x:conditionalFormatting sqref="H2:H500">
    <x:cfRule type="expression" dxfId="44" priority="6">
      <x:formula>AND($A2&lt;&gt;"",H2="")</x:formula>
    </x:cfRule>
    <x:cfRule type="containsText" dxfId="51" priority="13" operator="containsText" text="done"/>
    <x:cfRule type="containsText" dxfId="52" priority="14" operator="containsText" text="cancelled"/>
  </x:conditionalFormatting>
  <x:conditionalFormatting sqref="P2:P500">
    <x:cfRule type="expression" dxfId="45" priority="7">
      <x:formula>AND($A2&lt;&gt;"",P2="")</x:formula>
    </x:cfRule>
  </x:conditionalFormatting>
  <x:conditionalFormatting sqref="Q2:Q500">
    <x:cfRule type="expression" dxfId="46" priority="8">
      <x:formula>AND($A2&lt;&gt;"",Q2="")</x:formula>
    </x:cfRule>
  </x:conditionalFormatting>
  <x:conditionalFormatting sqref="R2:R500">
    <x:cfRule type="expression" dxfId="47" priority="9">
      <x:formula>AND($A2&lt;&gt;"",R2="")</x:formula>
    </x:cfRule>
  </x:conditionalFormatting>
  <x:conditionalFormatting sqref="S2:S500">
    <x:cfRule type="expression" dxfId="48" priority="10">
      <x:formula>AND($A2&lt;&gt;"",S2="")</x:formula>
    </x:cfRule>
  </x:conditionalFormatting>
  <x:conditionalFormatting sqref="T2:T500">
    <x:cfRule type="expression" dxfId="49" priority="11">
      <x:formula>AND($A2&lt;&gt;"",T2="")</x:formula>
    </x:cfRule>
  </x:conditionalFormatting>
  <x:conditionalFormatting sqref="U2:U500">
    <x:cfRule type="expression" dxfId="50" priority="12">
      <x:formula>AND($A2&lt;&gt;"",U2="")</x:formula>
    </x:cfRule>
  </x:conditionalFormatting>
  <x:dataValidations count="3">
    <x:dataValidation type="list" sqref="F2:F500">
      <x:formula1>"call,telegram,whatsapp,instagram,email,meeting"</x:formula1>
    </x:dataValidation>
    <x:dataValidation type="list" sqref="H2:H500">
      <x:formula1>"open,done,snoozed,cancelled"</x:formula1>
    </x:dataValidation>
    <x:dataValidation type="list" sqref="U2:U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89be42a8b84d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9" hidden="0" customWidth="1"/>
    <x:col min="8" max="8" width="32" hidden="0" customWidth="1"/>
    <x:col min="9" max="9" width="16" hidden="0" customWidth="1"/>
    <x:col min="10" max="10" width="28" hidden="0" customWidth="1"/>
    <x:col min="11" max="11" width="22" hidden="0" customWidth="1"/>
    <x:col min="12" max="12" width="32" hidden="0" customWidth="1"/>
    <x:col min="13" max="13" width="19" hidden="0" customWidth="1"/>
    <x:col min="14" max="14" width="18" hidden="0" customWidth="1"/>
    <x:col min="15" max="15" width="12" hidden="0" customWidth="1"/>
  </x:cols>
  <x:sheetData>
    <x:row r="1" ht="46" customHeight="1">
      <x:c r="A1" s="12" t="str">
        <x:v>شناسه تعامل *
(interaction_id)</x:v>
      </x:c>
      <x:c r="B1" s="13" t="str">
        <x:v>مشتری *
(customer_id)</x:v>
      </x:c>
      <x:c r="C1" s="13" t="str">
        <x:v>فرصت
(opportunity_id)</x:v>
      </x:c>
      <x:c r="D1" s="13" t="str">
        <x:v>فروشنده
(user_id)</x:v>
      </x:c>
      <x:c r="E1" s="13" t="str">
        <x:v>نوع تعامل *
(interaction_type)</x:v>
      </x:c>
      <x:c r="F1" s="13" t="str">
        <x:v>جهت *
(direction)</x:v>
      </x:c>
      <x:c r="G1" s="13" t="str">
        <x:v>زمان *
(occurred_at)</x:v>
      </x:c>
      <x:c r="H1" s="13" t="str">
        <x:v>خلاصه *
(summary)</x:v>
      </x:c>
      <x:c r="I1" s="13" t="str">
        <x:v>نتیجه
(result_code)</x:v>
      </x:c>
      <x:c r="J1" s="13" t="str">
        <x:v>اقدام بعدی
(next_action)</x:v>
      </x:c>
      <x:c r="K1" s="13" t="str">
        <x:v>شناسه پیام بیرونی
(external_message_id)</x:v>
      </x:c>
      <x:c r="L1" s="13" t="str">
        <x:v>فایل
(attachment_url)</x:v>
      </x:c>
      <x:c r="M1" s="13" t="str">
        <x:v>زمان ایجاد *
(created_at)</x:v>
      </x:c>
      <x:c r="N1" s="13" t="str">
        <x:v>ایجادکننده *
(created_by)</x:v>
      </x:c>
      <x:c r="O1" s="14" t="str">
        <x:v>حذف نرم *
(is_deleted)</x:v>
      </x:c>
    </x:row>
    <x:row r="2">
      <x:c r="A2" s="28" t="str">
        <x:v>int_001</x:v>
      </x:c>
      <x:c r="B2" s="29" t="str">
        <x:v>cus_001</x:v>
      </x:c>
      <x:c r="C2" s="29" t="str">
        <x:v>opp_001</x:v>
      </x:c>
      <x:c r="D2" s="29" t="str">
        <x:v>usr_sara</x:v>
      </x:c>
      <x:c r="E2" s="29" t="str">
        <x:v>phone_call</x:v>
      </x:c>
      <x:c r="F2" s="29" t="str">
        <x:v>inbound</x:v>
      </x:c>
      <x:c r="G2" s="33" t="n">
        <x:v>46212.25</x:v>
      </x:c>
      <x:c r="H2" s="29" t="str">
        <x:v>استعلام قیمت ثبت شد</x:v>
      </x:c>
      <x:c r="I2" s="29" t="str">
        <x:v>answered</x:v>
      </x:c>
      <x:c r="J2" s="29" t="str">
        <x:v>ارسال پیش‌فاکتور</x:v>
      </x:c>
      <x:c r="K2" s="29"/>
      <x:c r="L2" s="29"/>
      <x:c r="M2" s="33" t="n">
        <x:v>46212.25347222222</x:v>
      </x:c>
      <x:c r="N2" s="29" t="str">
        <x:v>usr_sara</x:v>
      </x:c>
      <x:c r="O2" s="55" t="b">
        <x:v>0</x:v>
      </x:c>
    </x:row>
    <x:row r="3">
      <x:c r="A3" s="37" t="str">
        <x:v>int_002</x:v>
      </x:c>
      <x:c r="B3" s="38" t="str">
        <x:v>cus_002</x:v>
      </x:c>
      <x:c r="C3" s="38" t="str">
        <x:v>opp_002</x:v>
      </x:c>
      <x:c r="D3" s="38" t="str">
        <x:v>usr_ali</x:v>
      </x:c>
      <x:c r="E3" s="38" t="str">
        <x:v>instagram</x:v>
      </x:c>
      <x:c r="F3" s="38" t="str">
        <x:v>inbound</x:v>
      </x:c>
      <x:c r="G3" s="42" t="n">
        <x:v>46213.5</x:v>
      </x:c>
      <x:c r="H3" s="38" t="str">
        <x:v>درخواست قیمت محصول B</x:v>
      </x:c>
      <x:c r="I3" s="38" t="str">
        <x:v>answered</x:v>
      </x:c>
      <x:c r="J3" s="38" t="str">
        <x:v>نیازسنجی</x:v>
      </x:c>
      <x:c r="K3" s="38" t="str">
        <x:v>ig_991</x:v>
      </x:c>
      <x:c r="L3" s="38"/>
      <x:c r="M3" s="42" t="n">
        <x:v>46213.50069444445</x:v>
      </x:c>
      <x:c r="N3" s="38" t="str">
        <x:v>usr_ali</x:v>
      </x:c>
      <x:c r="O3" s="56" t="b">
        <x:v>0</x:v>
      </x:c>
    </x:row>
    <x:row r="4">
      <x:c r="A4" s="37" t="str">
        <x:v>int_003</x:v>
      </x:c>
      <x:c r="B4" s="38" t="str">
        <x:v>cus_003</x:v>
      </x:c>
      <x:c r="C4" s="38" t="str">
        <x:v>opp_003</x:v>
      </x:c>
      <x:c r="D4" s="38" t="str">
        <x:v>usr_sara</x:v>
      </x:c>
      <x:c r="E4" s="38" t="str">
        <x:v>phone_call</x:v>
      </x:c>
      <x:c r="F4" s="38" t="str">
        <x:v>outbound</x:v>
      </x:c>
      <x:c r="G4" s="42" t="n">
        <x:v>46214.3125</x:v>
      </x:c>
      <x:c r="H4" s="38" t="str">
        <x:v>مذاکره درباره پرداخت</x:v>
      </x:c>
      <x:c r="I4" s="38" t="str">
        <x:v>followup_needed</x:v>
      </x:c>
      <x:c r="J4" s="38" t="str">
        <x:v>تماس فردا</x:v>
      </x:c>
      <x:c r="K4" s="38"/>
      <x:c r="L4" s="38"/>
      <x:c r="M4" s="42" t="n">
        <x:v>46214.319444444445</x:v>
      </x:c>
      <x:c r="N4" s="38" t="str">
        <x:v>usr_sara</x:v>
      </x:c>
      <x:c r="O4" s="56" t="b">
        <x:v>0</x:v>
      </x:c>
    </x:row>
    <x:row r="5">
      <x:c r="A5" s="37" t="str">
        <x:v>int_004</x:v>
      </x:c>
      <x:c r="B5" s="38" t="str">
        <x:v>cus_004</x:v>
      </x:c>
      <x:c r="C5" s="38" t="str">
        <x:v>opp_004</x:v>
      </x:c>
      <x:c r="D5" s="38" t="str">
        <x:v>usr_ali</x:v>
      </x:c>
      <x:c r="E5" s="38" t="str">
        <x:v>purchase</x:v>
      </x:c>
      <x:c r="F5" s="38" t="str">
        <x:v>inbound</x:v>
      </x:c>
      <x:c r="G5" s="42" t="n">
        <x:v>46194.520833333336</x:v>
      </x:c>
      <x:c r="H5" s="38" t="str">
        <x:v>سفارش قطعی شد</x:v>
      </x:c>
      <x:c r="I5" s="38" t="str">
        <x:v>won</x:v>
      </x:c>
      <x:c r="J5" s="38" t="str">
        <x:v>ارسال</x:v>
      </x:c>
      <x:c r="K5" s="38"/>
      <x:c r="L5" s="38"/>
      <x:c r="M5" s="42" t="n">
        <x:v>46194.524305555555</x:v>
      </x:c>
      <x:c r="N5" s="38" t="str">
        <x:v>usr_ali</x:v>
      </x:c>
      <x:c r="O5" s="56" t="b">
        <x:v>0</x:v>
      </x:c>
    </x:row>
    <x:row r="6">
      <x:c r="A6" s="46" t="str">
        <x:v>int_005</x:v>
      </x:c>
      <x:c r="B6" s="47" t="str">
        <x:v>cus_005</x:v>
      </x:c>
      <x:c r="C6" s="47" t="str">
        <x:v>opp_005</x:v>
      </x:c>
      <x:c r="D6" s="47" t="str">
        <x:v>usr_sara</x:v>
      </x:c>
      <x:c r="E6" s="47" t="str">
        <x:v>telegram</x:v>
      </x:c>
      <x:c r="F6" s="47" t="str">
        <x:v>outbound</x:v>
      </x:c>
      <x:c r="G6" s="51" t="n">
        <x:v>46202.354166666664</x:v>
      </x:c>
      <x:c r="H6" s="47" t="str">
        <x:v>پیگیری چهارم بدون پاسخ</x:v>
      </x:c>
      <x:c r="I6" s="47" t="str">
        <x:v>no_answer</x:v>
      </x:c>
      <x:c r="J6" s="47" t="str">
        <x:v>بستن و بازفعال‌سازی</x:v>
      </x:c>
      <x:c r="K6" s="47" t="str">
        <x:v>tg_out_8810</x:v>
      </x:c>
      <x:c r="L6" s="47"/>
      <x:c r="M6" s="51" t="n">
        <x:v>46202.35486111111</x:v>
      </x:c>
      <x:c r="N6" s="47" t="str">
        <x:v>usr_sara</x:v>
      </x:c>
      <x:c r="O6" s="57" t="b">
        <x:v>0</x:v>
      </x:c>
    </x:row>
    <x:row r="7">
      <x:c r="A7" s="19"/>
      <x:c r="B7" s="19"/>
      <x:c r="C7" s="19"/>
      <x:c r="D7" s="19"/>
      <x:c r="E7" s="19"/>
      <x:c r="F7" s="19"/>
      <x:c r="G7" s="26"/>
      <x:c r="H7" s="19"/>
      <x:c r="I7" s="19"/>
      <x:c r="J7" s="19"/>
      <x:c r="K7" s="19"/>
      <x:c r="L7" s="19"/>
      <x:c r="M7" s="26"/>
      <x:c r="N7" s="19"/>
      <x:c r="O7" s="19"/>
    </x:row>
    <x:row r="8">
      <x:c r="A8" s="19"/>
      <x:c r="B8" s="19"/>
      <x:c r="C8" s="19"/>
      <x:c r="D8" s="19"/>
      <x:c r="E8" s="19"/>
      <x:c r="F8" s="19"/>
      <x:c r="G8" s="26"/>
      <x:c r="H8" s="19"/>
      <x:c r="I8" s="19"/>
      <x:c r="J8" s="19"/>
      <x:c r="K8" s="19"/>
      <x:c r="L8" s="19"/>
      <x:c r="M8" s="26"/>
      <x:c r="N8" s="19"/>
      <x:c r="O8" s="19"/>
    </x:row>
    <x:row r="9">
      <x:c r="A9" s="19"/>
      <x:c r="B9" s="19"/>
      <x:c r="C9" s="19"/>
      <x:c r="D9" s="19"/>
      <x:c r="E9" s="19"/>
      <x:c r="F9" s="19"/>
      <x:c r="G9" s="26"/>
      <x:c r="H9" s="19"/>
      <x:c r="I9" s="19"/>
      <x:c r="J9" s="19"/>
      <x:c r="K9" s="19"/>
      <x:c r="L9" s="19"/>
      <x:c r="M9" s="26"/>
      <x:c r="N9" s="19"/>
      <x:c r="O9" s="19"/>
    </x:row>
    <x:row r="10">
      <x:c r="A10" s="19"/>
      <x:c r="B10" s="19"/>
      <x:c r="C10" s="19"/>
      <x:c r="D10" s="19"/>
      <x:c r="E10" s="19"/>
      <x:c r="F10" s="19"/>
      <x:c r="G10" s="26"/>
      <x:c r="H10" s="19"/>
      <x:c r="I10" s="19"/>
      <x:c r="J10" s="19"/>
      <x:c r="K10" s="19"/>
      <x:c r="L10" s="19"/>
      <x:c r="M10" s="26"/>
      <x:c r="N10" s="19"/>
      <x:c r="O10" s="19"/>
    </x:row>
    <x:row r="11">
      <x:c r="A11" s="19"/>
      <x:c r="B11" s="19"/>
      <x:c r="C11" s="19"/>
      <x:c r="D11" s="19"/>
      <x:c r="E11" s="19"/>
      <x:c r="F11" s="19"/>
      <x:c r="G11" s="26"/>
      <x:c r="H11" s="19"/>
      <x:c r="I11" s="19"/>
      <x:c r="J11" s="19"/>
      <x:c r="K11" s="19"/>
      <x:c r="L11" s="19"/>
      <x:c r="M11" s="26"/>
      <x:c r="N11" s="19"/>
      <x:c r="O11" s="19"/>
    </x:row>
    <x:row r="12">
      <x:c r="A12" s="19"/>
      <x:c r="B12" s="19"/>
      <x:c r="C12" s="19"/>
      <x:c r="D12" s="19"/>
      <x:c r="E12" s="19"/>
      <x:c r="F12" s="19"/>
      <x:c r="G12" s="26"/>
      <x:c r="H12" s="19"/>
      <x:c r="I12" s="19"/>
      <x:c r="J12" s="19"/>
      <x:c r="K12" s="19"/>
      <x:c r="L12" s="19"/>
      <x:c r="M12" s="26"/>
      <x:c r="N12" s="19"/>
      <x:c r="O12" s="19"/>
    </x:row>
    <x:row r="13">
      <x:c r="A13" s="19"/>
      <x:c r="B13" s="19"/>
      <x:c r="C13" s="19"/>
      <x:c r="D13" s="19"/>
      <x:c r="E13" s="19"/>
      <x:c r="F13" s="19"/>
      <x:c r="G13" s="26"/>
      <x:c r="H13" s="19"/>
      <x:c r="I13" s="19"/>
      <x:c r="J13" s="19"/>
      <x:c r="K13" s="19"/>
      <x:c r="L13" s="19"/>
      <x:c r="M13" s="26"/>
      <x:c r="N13" s="19"/>
      <x:c r="O13" s="19"/>
    </x:row>
    <x:row r="14">
      <x:c r="A14" s="19"/>
      <x:c r="B14" s="19"/>
      <x:c r="C14" s="19"/>
      <x:c r="D14" s="19"/>
      <x:c r="E14" s="19"/>
      <x:c r="F14" s="19"/>
      <x:c r="G14" s="26"/>
      <x:c r="H14" s="19"/>
      <x:c r="I14" s="19"/>
      <x:c r="J14" s="19"/>
      <x:c r="K14" s="19"/>
      <x:c r="L14" s="19"/>
      <x:c r="M14" s="26"/>
      <x:c r="N14" s="19"/>
      <x:c r="O14" s="19"/>
    </x:row>
    <x:row r="15">
      <x:c r="A15" s="19"/>
      <x:c r="B15" s="19"/>
      <x:c r="C15" s="19"/>
      <x:c r="D15" s="19"/>
      <x:c r="E15" s="19"/>
      <x:c r="F15" s="19"/>
      <x:c r="G15" s="26"/>
      <x:c r="H15" s="19"/>
      <x:c r="I15" s="19"/>
      <x:c r="J15" s="19"/>
      <x:c r="K15" s="19"/>
      <x:c r="L15" s="19"/>
      <x:c r="M15" s="26"/>
      <x:c r="N15" s="19"/>
      <x:c r="O15" s="19"/>
    </x:row>
    <x:row r="16">
      <x:c r="A16" s="19"/>
      <x:c r="B16" s="19"/>
      <x:c r="C16" s="19"/>
      <x:c r="D16" s="19"/>
      <x:c r="E16" s="19"/>
      <x:c r="F16" s="19"/>
      <x:c r="G16" s="26"/>
      <x:c r="H16" s="19"/>
      <x:c r="I16" s="19"/>
      <x:c r="J16" s="19"/>
      <x:c r="K16" s="19"/>
      <x:c r="L16" s="19"/>
      <x:c r="M16" s="26"/>
      <x:c r="N16" s="19"/>
      <x:c r="O16" s="19"/>
    </x:row>
    <x:row r="17">
      <x:c r="A17" s="19"/>
      <x:c r="B17" s="19"/>
      <x:c r="C17" s="19"/>
      <x:c r="D17" s="19"/>
      <x:c r="E17" s="19"/>
      <x:c r="F17" s="19"/>
      <x:c r="G17" s="26"/>
      <x:c r="H17" s="19"/>
      <x:c r="I17" s="19"/>
      <x:c r="J17" s="19"/>
      <x:c r="K17" s="19"/>
      <x:c r="L17" s="19"/>
      <x:c r="M17" s="26"/>
      <x:c r="N17" s="19"/>
      <x:c r="O17" s="19"/>
    </x:row>
    <x:row r="18">
      <x:c r="A18" s="19"/>
      <x:c r="B18" s="19"/>
      <x:c r="C18" s="19"/>
      <x:c r="D18" s="19"/>
      <x:c r="E18" s="19"/>
      <x:c r="F18" s="19"/>
      <x:c r="G18" s="26"/>
      <x:c r="H18" s="19"/>
      <x:c r="I18" s="19"/>
      <x:c r="J18" s="19"/>
      <x:c r="K18" s="19"/>
      <x:c r="L18" s="19"/>
      <x:c r="M18" s="26"/>
      <x:c r="N18" s="19"/>
      <x:c r="O18" s="19"/>
    </x:row>
    <x:row r="19">
      <x:c r="A19" s="19"/>
      <x:c r="B19" s="19"/>
      <x:c r="C19" s="19"/>
      <x:c r="D19" s="19"/>
      <x:c r="E19" s="19"/>
      <x:c r="F19" s="19"/>
      <x:c r="G19" s="26"/>
      <x:c r="H19" s="19"/>
      <x:c r="I19" s="19"/>
      <x:c r="J19" s="19"/>
      <x:c r="K19" s="19"/>
      <x:c r="L19" s="19"/>
      <x:c r="M19" s="26"/>
      <x:c r="N19" s="19"/>
      <x:c r="O19" s="19"/>
    </x:row>
    <x:row r="20">
      <x:c r="A20" s="19"/>
      <x:c r="B20" s="19"/>
      <x:c r="C20" s="19"/>
      <x:c r="D20" s="19"/>
      <x:c r="E20" s="19"/>
      <x:c r="F20" s="19"/>
      <x:c r="G20" s="26"/>
      <x:c r="H20" s="19"/>
      <x:c r="I20" s="19"/>
      <x:c r="J20" s="19"/>
      <x:c r="K20" s="19"/>
      <x:c r="L20" s="19"/>
      <x:c r="M20" s="26"/>
      <x:c r="N20" s="19"/>
      <x:c r="O20" s="19"/>
    </x:row>
    <x:row r="21">
      <x:c r="A21" s="19"/>
      <x:c r="B21" s="19"/>
      <x:c r="C21" s="19"/>
      <x:c r="D21" s="19"/>
      <x:c r="E21" s="19"/>
      <x:c r="F21" s="19"/>
      <x:c r="G21" s="26"/>
      <x:c r="H21" s="19"/>
      <x:c r="I21" s="19"/>
      <x:c r="J21" s="19"/>
      <x:c r="K21" s="19"/>
      <x:c r="L21" s="19"/>
      <x:c r="M21" s="26"/>
      <x:c r="N21" s="19"/>
      <x:c r="O21" s="19"/>
    </x:row>
    <x:row r="22">
      <x:c r="A22" s="19"/>
      <x:c r="B22" s="19"/>
      <x:c r="C22" s="19"/>
      <x:c r="D22" s="19"/>
      <x:c r="E22" s="19"/>
      <x:c r="F22" s="19"/>
      <x:c r="G22" s="26"/>
      <x:c r="H22" s="19"/>
      <x:c r="I22" s="19"/>
      <x:c r="J22" s="19"/>
      <x:c r="K22" s="19"/>
      <x:c r="L22" s="19"/>
      <x:c r="M22" s="26"/>
      <x:c r="N22" s="19"/>
      <x:c r="O22" s="19"/>
    </x:row>
    <x:row r="23">
      <x:c r="A23" s="19"/>
      <x:c r="B23" s="19"/>
      <x:c r="C23" s="19"/>
      <x:c r="D23" s="19"/>
      <x:c r="E23" s="19"/>
      <x:c r="F23" s="19"/>
      <x:c r="G23" s="26"/>
      <x:c r="H23" s="19"/>
      <x:c r="I23" s="19"/>
      <x:c r="J23" s="19"/>
      <x:c r="K23" s="19"/>
      <x:c r="L23" s="19"/>
      <x:c r="M23" s="26"/>
      <x:c r="N23" s="19"/>
      <x:c r="O23" s="19"/>
    </x:row>
    <x:row r="24">
      <x:c r="A24" s="19"/>
      <x:c r="B24" s="19"/>
      <x:c r="C24" s="19"/>
      <x:c r="D24" s="19"/>
      <x:c r="E24" s="19"/>
      <x:c r="F24" s="19"/>
      <x:c r="G24" s="26"/>
      <x:c r="H24" s="19"/>
      <x:c r="I24" s="19"/>
      <x:c r="J24" s="19"/>
      <x:c r="K24" s="19"/>
      <x:c r="L24" s="19"/>
      <x:c r="M24" s="26"/>
      <x:c r="N24" s="19"/>
      <x:c r="O24" s="19"/>
    </x:row>
    <x:row r="25">
      <x:c r="A25" s="19"/>
      <x:c r="B25" s="19"/>
      <x:c r="C25" s="19"/>
      <x:c r="D25" s="19"/>
      <x:c r="E25" s="19"/>
      <x:c r="F25" s="19"/>
      <x:c r="G25" s="26"/>
      <x:c r="H25" s="19"/>
      <x:c r="I25" s="19"/>
      <x:c r="J25" s="19"/>
      <x:c r="K25" s="19"/>
      <x:c r="L25" s="19"/>
      <x:c r="M25" s="26"/>
      <x:c r="N25" s="19"/>
      <x:c r="O25" s="19"/>
    </x:row>
    <x:row r="26">
      <x:c r="A26" s="19"/>
      <x:c r="B26" s="19"/>
      <x:c r="C26" s="19"/>
      <x:c r="D26" s="19"/>
      <x:c r="E26" s="19"/>
      <x:c r="F26" s="19"/>
      <x:c r="G26" s="26"/>
      <x:c r="H26" s="19"/>
      <x:c r="I26" s="19"/>
      <x:c r="J26" s="19"/>
      <x:c r="K26" s="19"/>
      <x:c r="L26" s="19"/>
      <x:c r="M26" s="26"/>
      <x:c r="N26" s="19"/>
      <x:c r="O26" s="19"/>
    </x:row>
    <x:row r="27">
      <x:c r="A27" s="19"/>
      <x:c r="B27" s="19"/>
      <x:c r="C27" s="19"/>
      <x:c r="D27" s="19"/>
      <x:c r="E27" s="19"/>
      <x:c r="F27" s="19"/>
      <x:c r="G27" s="26"/>
      <x:c r="H27" s="19"/>
      <x:c r="I27" s="19"/>
      <x:c r="J27" s="19"/>
      <x:c r="K27" s="19"/>
      <x:c r="L27" s="19"/>
      <x:c r="M27" s="26"/>
      <x:c r="N27" s="19"/>
      <x:c r="O27" s="19"/>
    </x:row>
    <x:row r="28">
      <x:c r="A28" s="19"/>
      <x:c r="B28" s="19"/>
      <x:c r="C28" s="19"/>
      <x:c r="D28" s="19"/>
      <x:c r="E28" s="19"/>
      <x:c r="F28" s="19"/>
      <x:c r="G28" s="26"/>
      <x:c r="H28" s="19"/>
      <x:c r="I28" s="19"/>
      <x:c r="J28" s="19"/>
      <x:c r="K28" s="19"/>
      <x:c r="L28" s="19"/>
      <x:c r="M28" s="26"/>
      <x:c r="N28" s="19"/>
      <x:c r="O28" s="19"/>
    </x:row>
    <x:row r="29">
      <x:c r="A29" s="19"/>
      <x:c r="B29" s="19"/>
      <x:c r="C29" s="19"/>
      <x:c r="D29" s="19"/>
      <x:c r="E29" s="19"/>
      <x:c r="F29" s="19"/>
      <x:c r="G29" s="26"/>
      <x:c r="H29" s="19"/>
      <x:c r="I29" s="19"/>
      <x:c r="J29" s="19"/>
      <x:c r="K29" s="19"/>
      <x:c r="L29" s="19"/>
      <x:c r="M29" s="26"/>
      <x:c r="N29" s="19"/>
      <x:c r="O29" s="19"/>
    </x:row>
    <x:row r="30">
      <x:c r="A30" s="19"/>
      <x:c r="B30" s="19"/>
      <x:c r="C30" s="19"/>
      <x:c r="D30" s="19"/>
      <x:c r="E30" s="19"/>
      <x:c r="F30" s="19"/>
      <x:c r="G30" s="26"/>
      <x:c r="H30" s="19"/>
      <x:c r="I30" s="19"/>
      <x:c r="J30" s="19"/>
      <x:c r="K30" s="19"/>
      <x:c r="L30" s="19"/>
      <x:c r="M30" s="26"/>
      <x:c r="N30" s="19"/>
      <x:c r="O30" s="19"/>
    </x:row>
    <x:row r="31">
      <x:c r="A31" s="19"/>
      <x:c r="B31" s="19"/>
      <x:c r="C31" s="19"/>
      <x:c r="D31" s="19"/>
      <x:c r="E31" s="19"/>
      <x:c r="F31" s="19"/>
      <x:c r="G31" s="26"/>
      <x:c r="H31" s="19"/>
      <x:c r="I31" s="19"/>
      <x:c r="J31" s="19"/>
      <x:c r="K31" s="19"/>
      <x:c r="L31" s="19"/>
      <x:c r="M31" s="26"/>
      <x:c r="N31" s="19"/>
      <x:c r="O31" s="19"/>
    </x:row>
    <x:row r="32">
      <x:c r="A32" s="19"/>
      <x:c r="B32" s="19"/>
      <x:c r="C32" s="19"/>
      <x:c r="D32" s="19"/>
      <x:c r="E32" s="19"/>
      <x:c r="F32" s="19"/>
      <x:c r="G32" s="26"/>
      <x:c r="H32" s="19"/>
      <x:c r="I32" s="19"/>
      <x:c r="J32" s="19"/>
      <x:c r="K32" s="19"/>
      <x:c r="L32" s="19"/>
      <x:c r="M32" s="26"/>
      <x:c r="N32" s="19"/>
      <x:c r="O32" s="19"/>
    </x:row>
    <x:row r="33">
      <x:c r="A33" s="19"/>
      <x:c r="B33" s="19"/>
      <x:c r="C33" s="19"/>
      <x:c r="D33" s="19"/>
      <x:c r="E33" s="19"/>
      <x:c r="F33" s="19"/>
      <x:c r="G33" s="26"/>
      <x:c r="H33" s="19"/>
      <x:c r="I33" s="19"/>
      <x:c r="J33" s="19"/>
      <x:c r="K33" s="19"/>
      <x:c r="L33" s="19"/>
      <x:c r="M33" s="26"/>
      <x:c r="N33" s="19"/>
      <x:c r="O33" s="19"/>
    </x:row>
    <x:row r="34">
      <x:c r="A34" s="19"/>
      <x:c r="B34" s="19"/>
      <x:c r="C34" s="19"/>
      <x:c r="D34" s="19"/>
      <x:c r="E34" s="19"/>
      <x:c r="F34" s="19"/>
      <x:c r="G34" s="26"/>
      <x:c r="H34" s="19"/>
      <x:c r="I34" s="19"/>
      <x:c r="J34" s="19"/>
      <x:c r="K34" s="19"/>
      <x:c r="L34" s="19"/>
      <x:c r="M34" s="26"/>
      <x:c r="N34" s="19"/>
      <x:c r="O34" s="19"/>
    </x:row>
    <x:row r="35">
      <x:c r="A35" s="19"/>
      <x:c r="B35" s="19"/>
      <x:c r="C35" s="19"/>
      <x:c r="D35" s="19"/>
      <x:c r="E35" s="19"/>
      <x:c r="F35" s="19"/>
      <x:c r="G35" s="26"/>
      <x:c r="H35" s="19"/>
      <x:c r="I35" s="19"/>
      <x:c r="J35" s="19"/>
      <x:c r="K35" s="19"/>
      <x:c r="L35" s="19"/>
      <x:c r="M35" s="26"/>
      <x:c r="N35" s="19"/>
      <x:c r="O35" s="19"/>
    </x:row>
    <x:row r="36">
      <x:c r="A36" s="19"/>
      <x:c r="B36" s="19"/>
      <x:c r="C36" s="19"/>
      <x:c r="D36" s="19"/>
      <x:c r="E36" s="19"/>
      <x:c r="F36" s="19"/>
      <x:c r="G36" s="26"/>
      <x:c r="H36" s="19"/>
      <x:c r="I36" s="19"/>
      <x:c r="J36" s="19"/>
      <x:c r="K36" s="19"/>
      <x:c r="L36" s="19"/>
      <x:c r="M36" s="26"/>
      <x:c r="N36" s="19"/>
      <x:c r="O36" s="19"/>
    </x:row>
    <x:row r="37">
      <x:c r="A37" s="19"/>
      <x:c r="B37" s="19"/>
      <x:c r="C37" s="19"/>
      <x:c r="D37" s="19"/>
      <x:c r="E37" s="19"/>
      <x:c r="F37" s="19"/>
      <x:c r="G37" s="26"/>
      <x:c r="H37" s="19"/>
      <x:c r="I37" s="19"/>
      <x:c r="J37" s="19"/>
      <x:c r="K37" s="19"/>
      <x:c r="L37" s="19"/>
      <x:c r="M37" s="26"/>
      <x:c r="N37" s="19"/>
      <x:c r="O37" s="19"/>
    </x:row>
    <x:row r="38">
      <x:c r="A38" s="19"/>
      <x:c r="B38" s="19"/>
      <x:c r="C38" s="19"/>
      <x:c r="D38" s="19"/>
      <x:c r="E38" s="19"/>
      <x:c r="F38" s="19"/>
      <x:c r="G38" s="26"/>
      <x:c r="H38" s="19"/>
      <x:c r="I38" s="19"/>
      <x:c r="J38" s="19"/>
      <x:c r="K38" s="19"/>
      <x:c r="L38" s="19"/>
      <x:c r="M38" s="26"/>
      <x:c r="N38" s="19"/>
      <x:c r="O38" s="19"/>
    </x:row>
    <x:row r="39">
      <x:c r="A39" s="19"/>
      <x:c r="B39" s="19"/>
      <x:c r="C39" s="19"/>
      <x:c r="D39" s="19"/>
      <x:c r="E39" s="19"/>
      <x:c r="F39" s="19"/>
      <x:c r="G39" s="26"/>
      <x:c r="H39" s="19"/>
      <x:c r="I39" s="19"/>
      <x:c r="J39" s="19"/>
      <x:c r="K39" s="19"/>
      <x:c r="L39" s="19"/>
      <x:c r="M39" s="26"/>
      <x:c r="N39" s="19"/>
      <x:c r="O39" s="19"/>
    </x:row>
    <x:row r="40">
      <x:c r="A40" s="19"/>
      <x:c r="B40" s="19"/>
      <x:c r="C40" s="19"/>
      <x:c r="D40" s="19"/>
      <x:c r="E40" s="19"/>
      <x:c r="F40" s="19"/>
      <x:c r="G40" s="26"/>
      <x:c r="H40" s="19"/>
      <x:c r="I40" s="19"/>
      <x:c r="J40" s="19"/>
      <x:c r="K40" s="19"/>
      <x:c r="L40" s="19"/>
      <x:c r="M40" s="26"/>
      <x:c r="N40" s="19"/>
      <x:c r="O40" s="19"/>
    </x:row>
    <x:row r="41">
      <x:c r="A41" s="19"/>
      <x:c r="B41" s="19"/>
      <x:c r="C41" s="19"/>
      <x:c r="D41" s="19"/>
      <x:c r="E41" s="19"/>
      <x:c r="F41" s="19"/>
      <x:c r="G41" s="26"/>
      <x:c r="H41" s="19"/>
      <x:c r="I41" s="19"/>
      <x:c r="J41" s="19"/>
      <x:c r="K41" s="19"/>
      <x:c r="L41" s="19"/>
      <x:c r="M41" s="26"/>
      <x:c r="N41" s="19"/>
      <x:c r="O41" s="19"/>
    </x:row>
    <x:row r="42">
      <x:c r="A42" s="19"/>
      <x:c r="B42" s="19"/>
      <x:c r="C42" s="19"/>
      <x:c r="D42" s="19"/>
      <x:c r="E42" s="19"/>
      <x:c r="F42" s="19"/>
      <x:c r="G42" s="26"/>
      <x:c r="H42" s="19"/>
      <x:c r="I42" s="19"/>
      <x:c r="J42" s="19"/>
      <x:c r="K42" s="19"/>
      <x:c r="L42" s="19"/>
      <x:c r="M42" s="26"/>
      <x:c r="N42" s="19"/>
      <x:c r="O42" s="19"/>
    </x:row>
    <x:row r="43">
      <x:c r="A43" s="19"/>
      <x:c r="B43" s="19"/>
      <x:c r="C43" s="19"/>
      <x:c r="D43" s="19"/>
      <x:c r="E43" s="19"/>
      <x:c r="F43" s="19"/>
      <x:c r="G43" s="26"/>
      <x:c r="H43" s="19"/>
      <x:c r="I43" s="19"/>
      <x:c r="J43" s="19"/>
      <x:c r="K43" s="19"/>
      <x:c r="L43" s="19"/>
      <x:c r="M43" s="26"/>
      <x:c r="N43" s="19"/>
      <x:c r="O43" s="19"/>
    </x:row>
    <x:row r="44">
      <x:c r="A44" s="19"/>
      <x:c r="B44" s="19"/>
      <x:c r="C44" s="19"/>
      <x:c r="D44" s="19"/>
      <x:c r="E44" s="19"/>
      <x:c r="F44" s="19"/>
      <x:c r="G44" s="26"/>
      <x:c r="H44" s="19"/>
      <x:c r="I44" s="19"/>
      <x:c r="J44" s="19"/>
      <x:c r="K44" s="19"/>
      <x:c r="L44" s="19"/>
      <x:c r="M44" s="26"/>
      <x:c r="N44" s="19"/>
      <x:c r="O44" s="19"/>
    </x:row>
    <x:row r="45">
      <x:c r="A45" s="19"/>
      <x:c r="B45" s="19"/>
      <x:c r="C45" s="19"/>
      <x:c r="D45" s="19"/>
      <x:c r="E45" s="19"/>
      <x:c r="F45" s="19"/>
      <x:c r="G45" s="26"/>
      <x:c r="H45" s="19"/>
      <x:c r="I45" s="19"/>
      <x:c r="J45" s="19"/>
      <x:c r="K45" s="19"/>
      <x:c r="L45" s="19"/>
      <x:c r="M45" s="26"/>
      <x:c r="N45" s="19"/>
      <x:c r="O45" s="19"/>
    </x:row>
    <x:row r="46">
      <x:c r="A46" s="19"/>
      <x:c r="B46" s="19"/>
      <x:c r="C46" s="19"/>
      <x:c r="D46" s="19"/>
      <x:c r="E46" s="19"/>
      <x:c r="F46" s="19"/>
      <x:c r="G46" s="26"/>
      <x:c r="H46" s="19"/>
      <x:c r="I46" s="19"/>
      <x:c r="J46" s="19"/>
      <x:c r="K46" s="19"/>
      <x:c r="L46" s="19"/>
      <x:c r="M46" s="26"/>
      <x:c r="N46" s="19"/>
      <x:c r="O46" s="19"/>
    </x:row>
    <x:row r="47">
      <x:c r="A47" s="19"/>
      <x:c r="B47" s="19"/>
      <x:c r="C47" s="19"/>
      <x:c r="D47" s="19"/>
      <x:c r="E47" s="19"/>
      <x:c r="F47" s="19"/>
      <x:c r="G47" s="26"/>
      <x:c r="H47" s="19"/>
      <x:c r="I47" s="19"/>
      <x:c r="J47" s="19"/>
      <x:c r="K47" s="19"/>
      <x:c r="L47" s="19"/>
      <x:c r="M47" s="26"/>
      <x:c r="N47" s="19"/>
      <x:c r="O47" s="19"/>
    </x:row>
    <x:row r="48">
      <x:c r="A48" s="19"/>
      <x:c r="B48" s="19"/>
      <x:c r="C48" s="19"/>
      <x:c r="D48" s="19"/>
      <x:c r="E48" s="19"/>
      <x:c r="F48" s="19"/>
      <x:c r="G48" s="26"/>
      <x:c r="H48" s="19"/>
      <x:c r="I48" s="19"/>
      <x:c r="J48" s="19"/>
      <x:c r="K48" s="19"/>
      <x:c r="L48" s="19"/>
      <x:c r="M48" s="26"/>
      <x:c r="N48" s="19"/>
      <x:c r="O48" s="19"/>
    </x:row>
    <x:row r="49">
      <x:c r="A49" s="19"/>
      <x:c r="B49" s="19"/>
      <x:c r="C49" s="19"/>
      <x:c r="D49" s="19"/>
      <x:c r="E49" s="19"/>
      <x:c r="F49" s="19"/>
      <x:c r="G49" s="26"/>
      <x:c r="H49" s="19"/>
      <x:c r="I49" s="19"/>
      <x:c r="J49" s="19"/>
      <x:c r="K49" s="19"/>
      <x:c r="L49" s="19"/>
      <x:c r="M49" s="26"/>
      <x:c r="N49" s="19"/>
      <x:c r="O49" s="19"/>
    </x:row>
    <x:row r="50">
      <x:c r="A50" s="19"/>
      <x:c r="B50" s="19"/>
      <x:c r="C50" s="19"/>
      <x:c r="D50" s="19"/>
      <x:c r="E50" s="19"/>
      <x:c r="F50" s="19"/>
      <x:c r="G50" s="26"/>
      <x:c r="H50" s="19"/>
      <x:c r="I50" s="19"/>
      <x:c r="J50" s="19"/>
      <x:c r="K50" s="19"/>
      <x:c r="L50" s="19"/>
      <x:c r="M50" s="26"/>
      <x:c r="N50" s="19"/>
      <x:c r="O50" s="19"/>
    </x:row>
    <x:row r="51">
      <x:c r="A51" s="19"/>
      <x:c r="B51" s="19"/>
      <x:c r="C51" s="19"/>
      <x:c r="D51" s="19"/>
      <x:c r="E51" s="19"/>
      <x:c r="F51" s="19"/>
      <x:c r="G51" s="26"/>
      <x:c r="H51" s="19"/>
      <x:c r="I51" s="19"/>
      <x:c r="J51" s="19"/>
      <x:c r="K51" s="19"/>
      <x:c r="L51" s="19"/>
      <x:c r="M51" s="26"/>
      <x:c r="N51" s="19"/>
      <x:c r="O51" s="19"/>
    </x:row>
    <x:row r="52">
      <x:c r="A52" s="19"/>
      <x:c r="B52" s="19"/>
      <x:c r="C52" s="19"/>
      <x:c r="D52" s="19"/>
      <x:c r="E52" s="19"/>
      <x:c r="F52" s="19"/>
      <x:c r="G52" s="26"/>
      <x:c r="H52" s="19"/>
      <x:c r="I52" s="19"/>
      <x:c r="J52" s="19"/>
      <x:c r="K52" s="19"/>
      <x:c r="L52" s="19"/>
      <x:c r="M52" s="26"/>
      <x:c r="N52" s="19"/>
      <x:c r="O52" s="19"/>
    </x:row>
    <x:row r="53">
      <x:c r="A53" s="19"/>
      <x:c r="B53" s="19"/>
      <x:c r="C53" s="19"/>
      <x:c r="D53" s="19"/>
      <x:c r="E53" s="19"/>
      <x:c r="F53" s="19"/>
      <x:c r="G53" s="26"/>
      <x:c r="H53" s="19"/>
      <x:c r="I53" s="19"/>
      <x:c r="J53" s="19"/>
      <x:c r="K53" s="19"/>
      <x:c r="L53" s="19"/>
      <x:c r="M53" s="26"/>
      <x:c r="N53" s="19"/>
      <x:c r="O53" s="19"/>
    </x:row>
    <x:row r="54">
      <x:c r="A54" s="19"/>
      <x:c r="B54" s="19"/>
      <x:c r="C54" s="19"/>
      <x:c r="D54" s="19"/>
      <x:c r="E54" s="19"/>
      <x:c r="F54" s="19"/>
      <x:c r="G54" s="26"/>
      <x:c r="H54" s="19"/>
      <x:c r="I54" s="19"/>
      <x:c r="J54" s="19"/>
      <x:c r="K54" s="19"/>
      <x:c r="L54" s="19"/>
      <x:c r="M54" s="26"/>
      <x:c r="N54" s="19"/>
      <x:c r="O54" s="19"/>
    </x:row>
    <x:row r="55">
      <x:c r="A55" s="19"/>
      <x:c r="B55" s="19"/>
      <x:c r="C55" s="19"/>
      <x:c r="D55" s="19"/>
      <x:c r="E55" s="19"/>
      <x:c r="F55" s="19"/>
      <x:c r="G55" s="26"/>
      <x:c r="H55" s="19"/>
      <x:c r="I55" s="19"/>
      <x:c r="J55" s="19"/>
      <x:c r="K55" s="19"/>
      <x:c r="L55" s="19"/>
      <x:c r="M55" s="26"/>
      <x:c r="N55" s="19"/>
      <x:c r="O55" s="19"/>
    </x:row>
    <x:row r="56">
      <x:c r="A56" s="19"/>
      <x:c r="B56" s="19"/>
      <x:c r="C56" s="19"/>
      <x:c r="D56" s="19"/>
      <x:c r="E56" s="19"/>
      <x:c r="F56" s="19"/>
      <x:c r="G56" s="26"/>
      <x:c r="H56" s="19"/>
      <x:c r="I56" s="19"/>
      <x:c r="J56" s="19"/>
      <x:c r="K56" s="19"/>
      <x:c r="L56" s="19"/>
      <x:c r="M56" s="26"/>
      <x:c r="N56" s="19"/>
      <x:c r="O56" s="19"/>
    </x:row>
    <x:row r="57">
      <x:c r="A57" s="19"/>
      <x:c r="B57" s="19"/>
      <x:c r="C57" s="19"/>
      <x:c r="D57" s="19"/>
      <x:c r="E57" s="19"/>
      <x:c r="F57" s="19"/>
      <x:c r="G57" s="26"/>
      <x:c r="H57" s="19"/>
      <x:c r="I57" s="19"/>
      <x:c r="J57" s="19"/>
      <x:c r="K57" s="19"/>
      <x:c r="L57" s="19"/>
      <x:c r="M57" s="26"/>
      <x:c r="N57" s="19"/>
      <x:c r="O57" s="19"/>
    </x:row>
    <x:row r="58">
      <x:c r="A58" s="19"/>
      <x:c r="B58" s="19"/>
      <x:c r="C58" s="19"/>
      <x:c r="D58" s="19"/>
      <x:c r="E58" s="19"/>
      <x:c r="F58" s="19"/>
      <x:c r="G58" s="26"/>
      <x:c r="H58" s="19"/>
      <x:c r="I58" s="19"/>
      <x:c r="J58" s="19"/>
      <x:c r="K58" s="19"/>
      <x:c r="L58" s="19"/>
      <x:c r="M58" s="26"/>
      <x:c r="N58" s="19"/>
      <x:c r="O58" s="19"/>
    </x:row>
    <x:row r="59">
      <x:c r="A59" s="19"/>
      <x:c r="B59" s="19"/>
      <x:c r="C59" s="19"/>
      <x:c r="D59" s="19"/>
      <x:c r="E59" s="19"/>
      <x:c r="F59" s="19"/>
      <x:c r="G59" s="26"/>
      <x:c r="H59" s="19"/>
      <x:c r="I59" s="19"/>
      <x:c r="J59" s="19"/>
      <x:c r="K59" s="19"/>
      <x:c r="L59" s="19"/>
      <x:c r="M59" s="26"/>
      <x:c r="N59" s="19"/>
      <x:c r="O59" s="19"/>
    </x:row>
    <x:row r="60">
      <x:c r="A60" s="19"/>
      <x:c r="B60" s="19"/>
      <x:c r="C60" s="19"/>
      <x:c r="D60" s="19"/>
      <x:c r="E60" s="19"/>
      <x:c r="F60" s="19"/>
      <x:c r="G60" s="26"/>
      <x:c r="H60" s="19"/>
      <x:c r="I60" s="19"/>
      <x:c r="J60" s="19"/>
      <x:c r="K60" s="19"/>
      <x:c r="L60" s="19"/>
      <x:c r="M60" s="26"/>
      <x:c r="N60" s="19"/>
      <x:c r="O60" s="19"/>
    </x:row>
    <x:row r="61">
      <x:c r="A61" s="19"/>
      <x:c r="B61" s="19"/>
      <x:c r="C61" s="19"/>
      <x:c r="D61" s="19"/>
      <x:c r="E61" s="19"/>
      <x:c r="F61" s="19"/>
      <x:c r="G61" s="26"/>
      <x:c r="H61" s="19"/>
      <x:c r="I61" s="19"/>
      <x:c r="J61" s="19"/>
      <x:c r="K61" s="19"/>
      <x:c r="L61" s="19"/>
      <x:c r="M61" s="26"/>
      <x:c r="N61" s="19"/>
      <x:c r="O61" s="19"/>
    </x:row>
    <x:row r="62">
      <x:c r="A62" s="19"/>
      <x:c r="B62" s="19"/>
      <x:c r="C62" s="19"/>
      <x:c r="D62" s="19"/>
      <x:c r="E62" s="19"/>
      <x:c r="F62" s="19"/>
      <x:c r="G62" s="26"/>
      <x:c r="H62" s="19"/>
      <x:c r="I62" s="19"/>
      <x:c r="J62" s="19"/>
      <x:c r="K62" s="19"/>
      <x:c r="L62" s="19"/>
      <x:c r="M62" s="26"/>
      <x:c r="N62" s="19"/>
      <x:c r="O62" s="19"/>
    </x:row>
    <x:row r="63">
      <x:c r="A63" s="19"/>
      <x:c r="B63" s="19"/>
      <x:c r="C63" s="19"/>
      <x:c r="D63" s="19"/>
      <x:c r="E63" s="19"/>
      <x:c r="F63" s="19"/>
      <x:c r="G63" s="26"/>
      <x:c r="H63" s="19"/>
      <x:c r="I63" s="19"/>
      <x:c r="J63" s="19"/>
      <x:c r="K63" s="19"/>
      <x:c r="L63" s="19"/>
      <x:c r="M63" s="26"/>
      <x:c r="N63" s="19"/>
      <x:c r="O63" s="19"/>
    </x:row>
    <x:row r="64">
      <x:c r="A64" s="19"/>
      <x:c r="B64" s="19"/>
      <x:c r="C64" s="19"/>
      <x:c r="D64" s="19"/>
      <x:c r="E64" s="19"/>
      <x:c r="F64" s="19"/>
      <x:c r="G64" s="26"/>
      <x:c r="H64" s="19"/>
      <x:c r="I64" s="19"/>
      <x:c r="J64" s="19"/>
      <x:c r="K64" s="19"/>
      <x:c r="L64" s="19"/>
      <x:c r="M64" s="26"/>
      <x:c r="N64" s="19"/>
      <x:c r="O64" s="19"/>
    </x:row>
    <x:row r="65">
      <x:c r="A65" s="19"/>
      <x:c r="B65" s="19"/>
      <x:c r="C65" s="19"/>
      <x:c r="D65" s="19"/>
      <x:c r="E65" s="19"/>
      <x:c r="F65" s="19"/>
      <x:c r="G65" s="26"/>
      <x:c r="H65" s="19"/>
      <x:c r="I65" s="19"/>
      <x:c r="J65" s="19"/>
      <x:c r="K65" s="19"/>
      <x:c r="L65" s="19"/>
      <x:c r="M65" s="26"/>
      <x:c r="N65" s="19"/>
      <x:c r="O65" s="19"/>
    </x:row>
    <x:row r="66">
      <x:c r="A66" s="19"/>
      <x:c r="B66" s="19"/>
      <x:c r="C66" s="19"/>
      <x:c r="D66" s="19"/>
      <x:c r="E66" s="19"/>
      <x:c r="F66" s="19"/>
      <x:c r="G66" s="26"/>
      <x:c r="H66" s="19"/>
      <x:c r="I66" s="19"/>
      <x:c r="J66" s="19"/>
      <x:c r="K66" s="19"/>
      <x:c r="L66" s="19"/>
      <x:c r="M66" s="26"/>
      <x:c r="N66" s="19"/>
      <x:c r="O66" s="19"/>
    </x:row>
    <x:row r="67">
      <x:c r="A67" s="19"/>
      <x:c r="B67" s="19"/>
      <x:c r="C67" s="19"/>
      <x:c r="D67" s="19"/>
      <x:c r="E67" s="19"/>
      <x:c r="F67" s="19"/>
      <x:c r="G67" s="26"/>
      <x:c r="H67" s="19"/>
      <x:c r="I67" s="19"/>
      <x:c r="J67" s="19"/>
      <x:c r="K67" s="19"/>
      <x:c r="L67" s="19"/>
      <x:c r="M67" s="26"/>
      <x:c r="N67" s="19"/>
      <x:c r="O67" s="19"/>
    </x:row>
    <x:row r="68">
      <x:c r="A68" s="19"/>
      <x:c r="B68" s="19"/>
      <x:c r="C68" s="19"/>
      <x:c r="D68" s="19"/>
      <x:c r="E68" s="19"/>
      <x:c r="F68" s="19"/>
      <x:c r="G68" s="26"/>
      <x:c r="H68" s="19"/>
      <x:c r="I68" s="19"/>
      <x:c r="J68" s="19"/>
      <x:c r="K68" s="19"/>
      <x:c r="L68" s="19"/>
      <x:c r="M68" s="26"/>
      <x:c r="N68" s="19"/>
      <x:c r="O68" s="19"/>
    </x:row>
    <x:row r="69">
      <x:c r="A69" s="19"/>
      <x:c r="B69" s="19"/>
      <x:c r="C69" s="19"/>
      <x:c r="D69" s="19"/>
      <x:c r="E69" s="19"/>
      <x:c r="F69" s="19"/>
      <x:c r="G69" s="26"/>
      <x:c r="H69" s="19"/>
      <x:c r="I69" s="19"/>
      <x:c r="J69" s="19"/>
      <x:c r="K69" s="19"/>
      <x:c r="L69" s="19"/>
      <x:c r="M69" s="26"/>
      <x:c r="N69" s="19"/>
      <x:c r="O69" s="19"/>
    </x:row>
    <x:row r="70">
      <x:c r="A70" s="19"/>
      <x:c r="B70" s="19"/>
      <x:c r="C70" s="19"/>
      <x:c r="D70" s="19"/>
      <x:c r="E70" s="19"/>
      <x:c r="F70" s="19"/>
      <x:c r="G70" s="26"/>
      <x:c r="H70" s="19"/>
      <x:c r="I70" s="19"/>
      <x:c r="J70" s="19"/>
      <x:c r="K70" s="19"/>
      <x:c r="L70" s="19"/>
      <x:c r="M70" s="26"/>
      <x:c r="N70" s="19"/>
      <x:c r="O70" s="19"/>
    </x:row>
    <x:row r="71">
      <x:c r="A71" s="19"/>
      <x:c r="B71" s="19"/>
      <x:c r="C71" s="19"/>
      <x:c r="D71" s="19"/>
      <x:c r="E71" s="19"/>
      <x:c r="F71" s="19"/>
      <x:c r="G71" s="26"/>
      <x:c r="H71" s="19"/>
      <x:c r="I71" s="19"/>
      <x:c r="J71" s="19"/>
      <x:c r="K71" s="19"/>
      <x:c r="L71" s="19"/>
      <x:c r="M71" s="26"/>
      <x:c r="N71" s="19"/>
      <x:c r="O71" s="19"/>
    </x:row>
    <x:row r="72">
      <x:c r="A72" s="19"/>
      <x:c r="B72" s="19"/>
      <x:c r="C72" s="19"/>
      <x:c r="D72" s="19"/>
      <x:c r="E72" s="19"/>
      <x:c r="F72" s="19"/>
      <x:c r="G72" s="26"/>
      <x:c r="H72" s="19"/>
      <x:c r="I72" s="19"/>
      <x:c r="J72" s="19"/>
      <x:c r="K72" s="19"/>
      <x:c r="L72" s="19"/>
      <x:c r="M72" s="26"/>
      <x:c r="N72" s="19"/>
      <x:c r="O72" s="19"/>
    </x:row>
    <x:row r="73">
      <x:c r="A73" s="19"/>
      <x:c r="B73" s="19"/>
      <x:c r="C73" s="19"/>
      <x:c r="D73" s="19"/>
      <x:c r="E73" s="19"/>
      <x:c r="F73" s="19"/>
      <x:c r="G73" s="26"/>
      <x:c r="H73" s="19"/>
      <x:c r="I73" s="19"/>
      <x:c r="J73" s="19"/>
      <x:c r="K73" s="19"/>
      <x:c r="L73" s="19"/>
      <x:c r="M73" s="26"/>
      <x:c r="N73" s="19"/>
      <x:c r="O73" s="19"/>
    </x:row>
    <x:row r="74">
      <x:c r="A74" s="19"/>
      <x:c r="B74" s="19"/>
      <x:c r="C74" s="19"/>
      <x:c r="D74" s="19"/>
      <x:c r="E74" s="19"/>
      <x:c r="F74" s="19"/>
      <x:c r="G74" s="26"/>
      <x:c r="H74" s="19"/>
      <x:c r="I74" s="19"/>
      <x:c r="J74" s="19"/>
      <x:c r="K74" s="19"/>
      <x:c r="L74" s="19"/>
      <x:c r="M74" s="26"/>
      <x:c r="N74" s="19"/>
      <x:c r="O74" s="19"/>
    </x:row>
    <x:row r="75">
      <x:c r="A75" s="19"/>
      <x:c r="B75" s="19"/>
      <x:c r="C75" s="19"/>
      <x:c r="D75" s="19"/>
      <x:c r="E75" s="19"/>
      <x:c r="F75" s="19"/>
      <x:c r="G75" s="26"/>
      <x:c r="H75" s="19"/>
      <x:c r="I75" s="19"/>
      <x:c r="J75" s="19"/>
      <x:c r="K75" s="19"/>
      <x:c r="L75" s="19"/>
      <x:c r="M75" s="26"/>
      <x:c r="N75" s="19"/>
      <x:c r="O75" s="19"/>
    </x:row>
    <x:row r="76">
      <x:c r="A76" s="19"/>
      <x:c r="B76" s="19"/>
      <x:c r="C76" s="19"/>
      <x:c r="D76" s="19"/>
      <x:c r="E76" s="19"/>
      <x:c r="F76" s="19"/>
      <x:c r="G76" s="26"/>
      <x:c r="H76" s="19"/>
      <x:c r="I76" s="19"/>
      <x:c r="J76" s="19"/>
      <x:c r="K76" s="19"/>
      <x:c r="L76" s="19"/>
      <x:c r="M76" s="26"/>
      <x:c r="N76" s="19"/>
      <x:c r="O76" s="19"/>
    </x:row>
    <x:row r="77">
      <x:c r="A77" s="19"/>
      <x:c r="B77" s="19"/>
      <x:c r="C77" s="19"/>
      <x:c r="D77" s="19"/>
      <x:c r="E77" s="19"/>
      <x:c r="F77" s="19"/>
      <x:c r="G77" s="26"/>
      <x:c r="H77" s="19"/>
      <x:c r="I77" s="19"/>
      <x:c r="J77" s="19"/>
      <x:c r="K77" s="19"/>
      <x:c r="L77" s="19"/>
      <x:c r="M77" s="26"/>
      <x:c r="N77" s="19"/>
      <x:c r="O77" s="19"/>
    </x:row>
    <x:row r="78">
      <x:c r="A78" s="19"/>
      <x:c r="B78" s="19"/>
      <x:c r="C78" s="19"/>
      <x:c r="D78" s="19"/>
      <x:c r="E78" s="19"/>
      <x:c r="F78" s="19"/>
      <x:c r="G78" s="26"/>
      <x:c r="H78" s="19"/>
      <x:c r="I78" s="19"/>
      <x:c r="J78" s="19"/>
      <x:c r="K78" s="19"/>
      <x:c r="L78" s="19"/>
      <x:c r="M78" s="26"/>
      <x:c r="N78" s="19"/>
      <x:c r="O78" s="19"/>
    </x:row>
    <x:row r="79">
      <x:c r="A79" s="19"/>
      <x:c r="B79" s="19"/>
      <x:c r="C79" s="19"/>
      <x:c r="D79" s="19"/>
      <x:c r="E79" s="19"/>
      <x:c r="F79" s="19"/>
      <x:c r="G79" s="26"/>
      <x:c r="H79" s="19"/>
      <x:c r="I79" s="19"/>
      <x:c r="J79" s="19"/>
      <x:c r="K79" s="19"/>
      <x:c r="L79" s="19"/>
      <x:c r="M79" s="26"/>
      <x:c r="N79" s="19"/>
      <x:c r="O79" s="19"/>
    </x:row>
    <x:row r="80">
      <x:c r="A80" s="19"/>
      <x:c r="B80" s="19"/>
      <x:c r="C80" s="19"/>
      <x:c r="D80" s="19"/>
      <x:c r="E80" s="19"/>
      <x:c r="F80" s="19"/>
      <x:c r="G80" s="26"/>
      <x:c r="H80" s="19"/>
      <x:c r="I80" s="19"/>
      <x:c r="J80" s="19"/>
      <x:c r="K80" s="19"/>
      <x:c r="L80" s="19"/>
      <x:c r="M80" s="26"/>
      <x:c r="N80" s="19"/>
      <x:c r="O80" s="19"/>
    </x:row>
    <x:row r="81">
      <x:c r="A81" s="19"/>
      <x:c r="B81" s="19"/>
      <x:c r="C81" s="19"/>
      <x:c r="D81" s="19"/>
      <x:c r="E81" s="19"/>
      <x:c r="F81" s="19"/>
      <x:c r="G81" s="26"/>
      <x:c r="H81" s="19"/>
      <x:c r="I81" s="19"/>
      <x:c r="J81" s="19"/>
      <x:c r="K81" s="19"/>
      <x:c r="L81" s="19"/>
      <x:c r="M81" s="26"/>
      <x:c r="N81" s="19"/>
      <x:c r="O81" s="19"/>
    </x:row>
    <x:row r="82">
      <x:c r="A82" s="19"/>
      <x:c r="B82" s="19"/>
      <x:c r="C82" s="19"/>
      <x:c r="D82" s="19"/>
      <x:c r="E82" s="19"/>
      <x:c r="F82" s="19"/>
      <x:c r="G82" s="26"/>
      <x:c r="H82" s="19"/>
      <x:c r="I82" s="19"/>
      <x:c r="J82" s="19"/>
      <x:c r="K82" s="19"/>
      <x:c r="L82" s="19"/>
      <x:c r="M82" s="26"/>
      <x:c r="N82" s="19"/>
      <x:c r="O82" s="19"/>
    </x:row>
    <x:row r="83">
      <x:c r="A83" s="19"/>
      <x:c r="B83" s="19"/>
      <x:c r="C83" s="19"/>
      <x:c r="D83" s="19"/>
      <x:c r="E83" s="19"/>
      <x:c r="F83" s="19"/>
      <x:c r="G83" s="26"/>
      <x:c r="H83" s="19"/>
      <x:c r="I83" s="19"/>
      <x:c r="J83" s="19"/>
      <x:c r="K83" s="19"/>
      <x:c r="L83" s="19"/>
      <x:c r="M83" s="26"/>
      <x:c r="N83" s="19"/>
      <x:c r="O83" s="19"/>
    </x:row>
    <x:row r="84">
      <x:c r="A84" s="19"/>
      <x:c r="B84" s="19"/>
      <x:c r="C84" s="19"/>
      <x:c r="D84" s="19"/>
      <x:c r="E84" s="19"/>
      <x:c r="F84" s="19"/>
      <x:c r="G84" s="26"/>
      <x:c r="H84" s="19"/>
      <x:c r="I84" s="19"/>
      <x:c r="J84" s="19"/>
      <x:c r="K84" s="19"/>
      <x:c r="L84" s="19"/>
      <x:c r="M84" s="26"/>
      <x:c r="N84" s="19"/>
      <x:c r="O84" s="19"/>
    </x:row>
    <x:row r="85">
      <x:c r="A85" s="19"/>
      <x:c r="B85" s="19"/>
      <x:c r="C85" s="19"/>
      <x:c r="D85" s="19"/>
      <x:c r="E85" s="19"/>
      <x:c r="F85" s="19"/>
      <x:c r="G85" s="26"/>
      <x:c r="H85" s="19"/>
      <x:c r="I85" s="19"/>
      <x:c r="J85" s="19"/>
      <x:c r="K85" s="19"/>
      <x:c r="L85" s="19"/>
      <x:c r="M85" s="26"/>
      <x:c r="N85" s="19"/>
      <x:c r="O85" s="19"/>
    </x:row>
    <x:row r="86">
      <x:c r="A86" s="19"/>
      <x:c r="B86" s="19"/>
      <x:c r="C86" s="19"/>
      <x:c r="D86" s="19"/>
      <x:c r="E86" s="19"/>
      <x:c r="F86" s="19"/>
      <x:c r="G86" s="26"/>
      <x:c r="H86" s="19"/>
      <x:c r="I86" s="19"/>
      <x:c r="J86" s="19"/>
      <x:c r="K86" s="19"/>
      <x:c r="L86" s="19"/>
      <x:c r="M86" s="26"/>
      <x:c r="N86" s="19"/>
      <x:c r="O86" s="19"/>
    </x:row>
    <x:row r="87">
      <x:c r="A87" s="19"/>
      <x:c r="B87" s="19"/>
      <x:c r="C87" s="19"/>
      <x:c r="D87" s="19"/>
      <x:c r="E87" s="19"/>
      <x:c r="F87" s="19"/>
      <x:c r="G87" s="26"/>
      <x:c r="H87" s="19"/>
      <x:c r="I87" s="19"/>
      <x:c r="J87" s="19"/>
      <x:c r="K87" s="19"/>
      <x:c r="L87" s="19"/>
      <x:c r="M87" s="26"/>
      <x:c r="N87" s="19"/>
      <x:c r="O87" s="19"/>
    </x:row>
    <x:row r="88">
      <x:c r="A88" s="19"/>
      <x:c r="B88" s="19"/>
      <x:c r="C88" s="19"/>
      <x:c r="D88" s="19"/>
      <x:c r="E88" s="19"/>
      <x:c r="F88" s="19"/>
      <x:c r="G88" s="26"/>
      <x:c r="H88" s="19"/>
      <x:c r="I88" s="19"/>
      <x:c r="J88" s="19"/>
      <x:c r="K88" s="19"/>
      <x:c r="L88" s="19"/>
      <x:c r="M88" s="26"/>
      <x:c r="N88" s="19"/>
      <x:c r="O88" s="19"/>
    </x:row>
    <x:row r="89">
      <x:c r="A89" s="19"/>
      <x:c r="B89" s="19"/>
      <x:c r="C89" s="19"/>
      <x:c r="D89" s="19"/>
      <x:c r="E89" s="19"/>
      <x:c r="F89" s="19"/>
      <x:c r="G89" s="26"/>
      <x:c r="H89" s="19"/>
      <x:c r="I89" s="19"/>
      <x:c r="J89" s="19"/>
      <x:c r="K89" s="19"/>
      <x:c r="L89" s="19"/>
      <x:c r="M89" s="26"/>
      <x:c r="N89" s="19"/>
      <x:c r="O89" s="19"/>
    </x:row>
    <x:row r="90">
      <x:c r="A90" s="19"/>
      <x:c r="B90" s="19"/>
      <x:c r="C90" s="19"/>
      <x:c r="D90" s="19"/>
      <x:c r="E90" s="19"/>
      <x:c r="F90" s="19"/>
      <x:c r="G90" s="26"/>
      <x:c r="H90" s="19"/>
      <x:c r="I90" s="19"/>
      <x:c r="J90" s="19"/>
      <x:c r="K90" s="19"/>
      <x:c r="L90" s="19"/>
      <x:c r="M90" s="26"/>
      <x:c r="N90" s="19"/>
      <x:c r="O90" s="19"/>
    </x:row>
    <x:row r="91">
      <x:c r="A91" s="19"/>
      <x:c r="B91" s="19"/>
      <x:c r="C91" s="19"/>
      <x:c r="D91" s="19"/>
      <x:c r="E91" s="19"/>
      <x:c r="F91" s="19"/>
      <x:c r="G91" s="26"/>
      <x:c r="H91" s="19"/>
      <x:c r="I91" s="19"/>
      <x:c r="J91" s="19"/>
      <x:c r="K91" s="19"/>
      <x:c r="L91" s="19"/>
      <x:c r="M91" s="26"/>
      <x:c r="N91" s="19"/>
      <x:c r="O91" s="19"/>
    </x:row>
    <x:row r="92">
      <x:c r="A92" s="19"/>
      <x:c r="B92" s="19"/>
      <x:c r="C92" s="19"/>
      <x:c r="D92" s="19"/>
      <x:c r="E92" s="19"/>
      <x:c r="F92" s="19"/>
      <x:c r="G92" s="26"/>
      <x:c r="H92" s="19"/>
      <x:c r="I92" s="19"/>
      <x:c r="J92" s="19"/>
      <x:c r="K92" s="19"/>
      <x:c r="L92" s="19"/>
      <x:c r="M92" s="26"/>
      <x:c r="N92" s="19"/>
      <x:c r="O92" s="19"/>
    </x:row>
    <x:row r="93">
      <x:c r="A93" s="19"/>
      <x:c r="B93" s="19"/>
      <x:c r="C93" s="19"/>
      <x:c r="D93" s="19"/>
      <x:c r="E93" s="19"/>
      <x:c r="F93" s="19"/>
      <x:c r="G93" s="26"/>
      <x:c r="H93" s="19"/>
      <x:c r="I93" s="19"/>
      <x:c r="J93" s="19"/>
      <x:c r="K93" s="19"/>
      <x:c r="L93" s="19"/>
      <x:c r="M93" s="26"/>
      <x:c r="N93" s="19"/>
      <x:c r="O93" s="19"/>
    </x:row>
    <x:row r="94">
      <x:c r="A94" s="19"/>
      <x:c r="B94" s="19"/>
      <x:c r="C94" s="19"/>
      <x:c r="D94" s="19"/>
      <x:c r="E94" s="19"/>
      <x:c r="F94" s="19"/>
      <x:c r="G94" s="26"/>
      <x:c r="H94" s="19"/>
      <x:c r="I94" s="19"/>
      <x:c r="J94" s="19"/>
      <x:c r="K94" s="19"/>
      <x:c r="L94" s="19"/>
      <x:c r="M94" s="26"/>
      <x:c r="N94" s="19"/>
      <x:c r="O94" s="19"/>
    </x:row>
    <x:row r="95">
      <x:c r="A95" s="19"/>
      <x:c r="B95" s="19"/>
      <x:c r="C95" s="19"/>
      <x:c r="D95" s="19"/>
      <x:c r="E95" s="19"/>
      <x:c r="F95" s="19"/>
      <x:c r="G95" s="26"/>
      <x:c r="H95" s="19"/>
      <x:c r="I95" s="19"/>
      <x:c r="J95" s="19"/>
      <x:c r="K95" s="19"/>
      <x:c r="L95" s="19"/>
      <x:c r="M95" s="26"/>
      <x:c r="N95" s="19"/>
      <x:c r="O95" s="19"/>
    </x:row>
    <x:row r="96">
      <x:c r="A96" s="19"/>
      <x:c r="B96" s="19"/>
      <x:c r="C96" s="19"/>
      <x:c r="D96" s="19"/>
      <x:c r="E96" s="19"/>
      <x:c r="F96" s="19"/>
      <x:c r="G96" s="26"/>
      <x:c r="H96" s="19"/>
      <x:c r="I96" s="19"/>
      <x:c r="J96" s="19"/>
      <x:c r="K96" s="19"/>
      <x:c r="L96" s="19"/>
      <x:c r="M96" s="26"/>
      <x:c r="N96" s="19"/>
      <x:c r="O96" s="19"/>
    </x:row>
    <x:row r="97">
      <x:c r="A97" s="19"/>
      <x:c r="B97" s="19"/>
      <x:c r="C97" s="19"/>
      <x:c r="D97" s="19"/>
      <x:c r="E97" s="19"/>
      <x:c r="F97" s="19"/>
      <x:c r="G97" s="26"/>
      <x:c r="H97" s="19"/>
      <x:c r="I97" s="19"/>
      <x:c r="J97" s="19"/>
      <x:c r="K97" s="19"/>
      <x:c r="L97" s="19"/>
      <x:c r="M97" s="26"/>
      <x:c r="N97" s="19"/>
      <x:c r="O97" s="19"/>
    </x:row>
    <x:row r="98">
      <x:c r="A98" s="19"/>
      <x:c r="B98" s="19"/>
      <x:c r="C98" s="19"/>
      <x:c r="D98" s="19"/>
      <x:c r="E98" s="19"/>
      <x:c r="F98" s="19"/>
      <x:c r="G98" s="26"/>
      <x:c r="H98" s="19"/>
      <x:c r="I98" s="19"/>
      <x:c r="J98" s="19"/>
      <x:c r="K98" s="19"/>
      <x:c r="L98" s="19"/>
      <x:c r="M98" s="26"/>
      <x:c r="N98" s="19"/>
      <x:c r="O98" s="19"/>
    </x:row>
    <x:row r="99">
      <x:c r="A99" s="19"/>
      <x:c r="B99" s="19"/>
      <x:c r="C99" s="19"/>
      <x:c r="D99" s="19"/>
      <x:c r="E99" s="19"/>
      <x:c r="F99" s="19"/>
      <x:c r="G99" s="26"/>
      <x:c r="H99" s="19"/>
      <x:c r="I99" s="19"/>
      <x:c r="J99" s="19"/>
      <x:c r="K99" s="19"/>
      <x:c r="L99" s="19"/>
      <x:c r="M99" s="26"/>
      <x:c r="N99" s="19"/>
      <x:c r="O99" s="19"/>
    </x:row>
    <x:row r="100">
      <x:c r="A100" s="19"/>
      <x:c r="B100" s="19"/>
      <x:c r="C100" s="19"/>
      <x:c r="D100" s="19"/>
      <x:c r="E100" s="19"/>
      <x:c r="F100" s="19"/>
      <x:c r="G100" s="26"/>
      <x:c r="H100" s="19"/>
      <x:c r="I100" s="19"/>
      <x:c r="J100" s="19"/>
      <x:c r="K100" s="19"/>
      <x:c r="L100" s="19"/>
      <x:c r="M100" s="26"/>
      <x:c r="N100" s="19"/>
      <x:c r="O100" s="19"/>
    </x:row>
    <x:row r="101">
      <x:c r="A101" s="19"/>
      <x:c r="B101" s="19"/>
      <x:c r="C101" s="19"/>
      <x:c r="D101" s="19"/>
      <x:c r="E101" s="19"/>
      <x:c r="F101" s="19"/>
      <x:c r="G101" s="26"/>
      <x:c r="H101" s="19"/>
      <x:c r="I101" s="19"/>
      <x:c r="J101" s="19"/>
      <x:c r="K101" s="19"/>
      <x:c r="L101" s="19"/>
      <x:c r="M101" s="26"/>
      <x:c r="N101" s="19"/>
      <x:c r="O101" s="19"/>
    </x:row>
    <x:row r="102">
      <x:c r="A102" s="19"/>
      <x:c r="B102" s="19"/>
      <x:c r="C102" s="19"/>
      <x:c r="D102" s="19"/>
      <x:c r="E102" s="19"/>
      <x:c r="F102" s="19"/>
      <x:c r="G102" s="26"/>
      <x:c r="H102" s="19"/>
      <x:c r="I102" s="19"/>
      <x:c r="J102" s="19"/>
      <x:c r="K102" s="19"/>
      <x:c r="L102" s="19"/>
      <x:c r="M102" s="26"/>
      <x:c r="N102" s="19"/>
      <x:c r="O102" s="19"/>
    </x:row>
    <x:row r="103">
      <x:c r="A103" s="19"/>
      <x:c r="B103" s="19"/>
      <x:c r="C103" s="19"/>
      <x:c r="D103" s="19"/>
      <x:c r="E103" s="19"/>
      <x:c r="F103" s="19"/>
      <x:c r="G103" s="26"/>
      <x:c r="H103" s="19"/>
      <x:c r="I103" s="19"/>
      <x:c r="J103" s="19"/>
      <x:c r="K103" s="19"/>
      <x:c r="L103" s="19"/>
      <x:c r="M103" s="26"/>
      <x:c r="N103" s="19"/>
      <x:c r="O103" s="19"/>
    </x:row>
    <x:row r="104">
      <x:c r="A104" s="19"/>
      <x:c r="B104" s="19"/>
      <x:c r="C104" s="19"/>
      <x:c r="D104" s="19"/>
      <x:c r="E104" s="19"/>
      <x:c r="F104" s="19"/>
      <x:c r="G104" s="26"/>
      <x:c r="H104" s="19"/>
      <x:c r="I104" s="19"/>
      <x:c r="J104" s="19"/>
      <x:c r="K104" s="19"/>
      <x:c r="L104" s="19"/>
      <x:c r="M104" s="26"/>
      <x:c r="N104" s="19"/>
      <x:c r="O104" s="19"/>
    </x:row>
    <x:row r="105">
      <x:c r="A105" s="19"/>
      <x:c r="B105" s="19"/>
      <x:c r="C105" s="19"/>
      <x:c r="D105" s="19"/>
      <x:c r="E105" s="19"/>
      <x:c r="F105" s="19"/>
      <x:c r="G105" s="26"/>
      <x:c r="H105" s="19"/>
      <x:c r="I105" s="19"/>
      <x:c r="J105" s="19"/>
      <x:c r="K105" s="19"/>
      <x:c r="L105" s="19"/>
      <x:c r="M105" s="26"/>
      <x:c r="N105" s="19"/>
      <x:c r="O105" s="19"/>
    </x:row>
    <x:row r="106">
      <x:c r="A106" s="19"/>
      <x:c r="B106" s="19"/>
      <x:c r="C106" s="19"/>
      <x:c r="D106" s="19"/>
      <x:c r="E106" s="19"/>
      <x:c r="F106" s="19"/>
      <x:c r="G106" s="26"/>
      <x:c r="H106" s="19"/>
      <x:c r="I106" s="19"/>
      <x:c r="J106" s="19"/>
      <x:c r="K106" s="19"/>
      <x:c r="L106" s="19"/>
      <x:c r="M106" s="26"/>
      <x:c r="N106" s="19"/>
      <x:c r="O106" s="19"/>
    </x:row>
    <x:row r="107">
      <x:c r="A107" s="19"/>
      <x:c r="B107" s="19"/>
      <x:c r="C107" s="19"/>
      <x:c r="D107" s="19"/>
      <x:c r="E107" s="19"/>
      <x:c r="F107" s="19"/>
      <x:c r="G107" s="26"/>
      <x:c r="H107" s="19"/>
      <x:c r="I107" s="19"/>
      <x:c r="J107" s="19"/>
      <x:c r="K107" s="19"/>
      <x:c r="L107" s="19"/>
      <x:c r="M107" s="26"/>
      <x:c r="N107" s="19"/>
      <x:c r="O107" s="19"/>
    </x:row>
    <x:row r="108">
      <x:c r="A108" s="19"/>
      <x:c r="B108" s="19"/>
      <x:c r="C108" s="19"/>
      <x:c r="D108" s="19"/>
      <x:c r="E108" s="19"/>
      <x:c r="F108" s="19"/>
      <x:c r="G108" s="26"/>
      <x:c r="H108" s="19"/>
      <x:c r="I108" s="19"/>
      <x:c r="J108" s="19"/>
      <x:c r="K108" s="19"/>
      <x:c r="L108" s="19"/>
      <x:c r="M108" s="26"/>
      <x:c r="N108" s="19"/>
      <x:c r="O108" s="19"/>
    </x:row>
    <x:row r="109">
      <x:c r="A109" s="19"/>
      <x:c r="B109" s="19"/>
      <x:c r="C109" s="19"/>
      <x:c r="D109" s="19"/>
      <x:c r="E109" s="19"/>
      <x:c r="F109" s="19"/>
      <x:c r="G109" s="26"/>
      <x:c r="H109" s="19"/>
      <x:c r="I109" s="19"/>
      <x:c r="J109" s="19"/>
      <x:c r="K109" s="19"/>
      <x:c r="L109" s="19"/>
      <x:c r="M109" s="26"/>
      <x:c r="N109" s="19"/>
      <x:c r="O109" s="19"/>
    </x:row>
    <x:row r="110">
      <x:c r="A110" s="19"/>
      <x:c r="B110" s="19"/>
      <x:c r="C110" s="19"/>
      <x:c r="D110" s="19"/>
      <x:c r="E110" s="19"/>
      <x:c r="F110" s="19"/>
      <x:c r="G110" s="26"/>
      <x:c r="H110" s="19"/>
      <x:c r="I110" s="19"/>
      <x:c r="J110" s="19"/>
      <x:c r="K110" s="19"/>
      <x:c r="L110" s="19"/>
      <x:c r="M110" s="26"/>
      <x:c r="N110" s="19"/>
      <x:c r="O110" s="19"/>
    </x:row>
    <x:row r="111">
      <x:c r="A111" s="19"/>
      <x:c r="B111" s="19"/>
      <x:c r="C111" s="19"/>
      <x:c r="D111" s="19"/>
      <x:c r="E111" s="19"/>
      <x:c r="F111" s="19"/>
      <x:c r="G111" s="26"/>
      <x:c r="H111" s="19"/>
      <x:c r="I111" s="19"/>
      <x:c r="J111" s="19"/>
      <x:c r="K111" s="19"/>
      <x:c r="L111" s="19"/>
      <x:c r="M111" s="26"/>
      <x:c r="N111" s="19"/>
      <x:c r="O111" s="19"/>
    </x:row>
    <x:row r="112">
      <x:c r="A112" s="19"/>
      <x:c r="B112" s="19"/>
      <x:c r="C112" s="19"/>
      <x:c r="D112" s="19"/>
      <x:c r="E112" s="19"/>
      <x:c r="F112" s="19"/>
      <x:c r="G112" s="26"/>
      <x:c r="H112" s="19"/>
      <x:c r="I112" s="19"/>
      <x:c r="J112" s="19"/>
      <x:c r="K112" s="19"/>
      <x:c r="L112" s="19"/>
      <x:c r="M112" s="26"/>
      <x:c r="N112" s="19"/>
      <x:c r="O112" s="19"/>
    </x:row>
    <x:row r="113">
      <x:c r="A113" s="19"/>
      <x:c r="B113" s="19"/>
      <x:c r="C113" s="19"/>
      <x:c r="D113" s="19"/>
      <x:c r="E113" s="19"/>
      <x:c r="F113" s="19"/>
      <x:c r="G113" s="26"/>
      <x:c r="H113" s="19"/>
      <x:c r="I113" s="19"/>
      <x:c r="J113" s="19"/>
      <x:c r="K113" s="19"/>
      <x:c r="L113" s="19"/>
      <x:c r="M113" s="26"/>
      <x:c r="N113" s="19"/>
      <x:c r="O113" s="19"/>
    </x:row>
    <x:row r="114">
      <x:c r="A114" s="19"/>
      <x:c r="B114" s="19"/>
      <x:c r="C114" s="19"/>
      <x:c r="D114" s="19"/>
      <x:c r="E114" s="19"/>
      <x:c r="F114" s="19"/>
      <x:c r="G114" s="26"/>
      <x:c r="H114" s="19"/>
      <x:c r="I114" s="19"/>
      <x:c r="J114" s="19"/>
      <x:c r="K114" s="19"/>
      <x:c r="L114" s="19"/>
      <x:c r="M114" s="26"/>
      <x:c r="N114" s="19"/>
      <x:c r="O114" s="19"/>
    </x:row>
    <x:row r="115">
      <x:c r="A115" s="19"/>
      <x:c r="B115" s="19"/>
      <x:c r="C115" s="19"/>
      <x:c r="D115" s="19"/>
      <x:c r="E115" s="19"/>
      <x:c r="F115" s="19"/>
      <x:c r="G115" s="26"/>
      <x:c r="H115" s="19"/>
      <x:c r="I115" s="19"/>
      <x:c r="J115" s="19"/>
      <x:c r="K115" s="19"/>
      <x:c r="L115" s="19"/>
      <x:c r="M115" s="26"/>
      <x:c r="N115" s="19"/>
      <x:c r="O115" s="19"/>
    </x:row>
    <x:row r="116">
      <x:c r="A116" s="19"/>
      <x:c r="B116" s="19"/>
      <x:c r="C116" s="19"/>
      <x:c r="D116" s="19"/>
      <x:c r="E116" s="19"/>
      <x:c r="F116" s="19"/>
      <x:c r="G116" s="26"/>
      <x:c r="H116" s="19"/>
      <x:c r="I116" s="19"/>
      <x:c r="J116" s="19"/>
      <x:c r="K116" s="19"/>
      <x:c r="L116" s="19"/>
      <x:c r="M116" s="26"/>
      <x:c r="N116" s="19"/>
      <x:c r="O116" s="19"/>
    </x:row>
    <x:row r="117">
      <x:c r="A117" s="19"/>
      <x:c r="B117" s="19"/>
      <x:c r="C117" s="19"/>
      <x:c r="D117" s="19"/>
      <x:c r="E117" s="19"/>
      <x:c r="F117" s="19"/>
      <x:c r="G117" s="26"/>
      <x:c r="H117" s="19"/>
      <x:c r="I117" s="19"/>
      <x:c r="J117" s="19"/>
      <x:c r="K117" s="19"/>
      <x:c r="L117" s="19"/>
      <x:c r="M117" s="26"/>
      <x:c r="N117" s="19"/>
      <x:c r="O117" s="19"/>
    </x:row>
    <x:row r="118">
      <x:c r="A118" s="19"/>
      <x:c r="B118" s="19"/>
      <x:c r="C118" s="19"/>
      <x:c r="D118" s="19"/>
      <x:c r="E118" s="19"/>
      <x:c r="F118" s="19"/>
      <x:c r="G118" s="26"/>
      <x:c r="H118" s="19"/>
      <x:c r="I118" s="19"/>
      <x:c r="J118" s="19"/>
      <x:c r="K118" s="19"/>
      <x:c r="L118" s="19"/>
      <x:c r="M118" s="26"/>
      <x:c r="N118" s="19"/>
      <x:c r="O118" s="19"/>
    </x:row>
    <x:row r="119">
      <x:c r="A119" s="19"/>
      <x:c r="B119" s="19"/>
      <x:c r="C119" s="19"/>
      <x:c r="D119" s="19"/>
      <x:c r="E119" s="19"/>
      <x:c r="F119" s="19"/>
      <x:c r="G119" s="26"/>
      <x:c r="H119" s="19"/>
      <x:c r="I119" s="19"/>
      <x:c r="J119" s="19"/>
      <x:c r="K119" s="19"/>
      <x:c r="L119" s="19"/>
      <x:c r="M119" s="26"/>
      <x:c r="N119" s="19"/>
      <x:c r="O119" s="19"/>
    </x:row>
    <x:row r="120">
      <x:c r="A120" s="19"/>
      <x:c r="B120" s="19"/>
      <x:c r="C120" s="19"/>
      <x:c r="D120" s="19"/>
      <x:c r="E120" s="19"/>
      <x:c r="F120" s="19"/>
      <x:c r="G120" s="26"/>
      <x:c r="H120" s="19"/>
      <x:c r="I120" s="19"/>
      <x:c r="J120" s="19"/>
      <x:c r="K120" s="19"/>
      <x:c r="L120" s="19"/>
      <x:c r="M120" s="26"/>
      <x:c r="N120" s="19"/>
      <x:c r="O120" s="19"/>
    </x:row>
    <x:row r="121">
      <x:c r="A121" s="19"/>
      <x:c r="B121" s="19"/>
      <x:c r="C121" s="19"/>
      <x:c r="D121" s="19"/>
      <x:c r="E121" s="19"/>
      <x:c r="F121" s="19"/>
      <x:c r="G121" s="26"/>
      <x:c r="H121" s="19"/>
      <x:c r="I121" s="19"/>
      <x:c r="J121" s="19"/>
      <x:c r="K121" s="19"/>
      <x:c r="L121" s="19"/>
      <x:c r="M121" s="26"/>
      <x:c r="N121" s="19"/>
      <x:c r="O121" s="19"/>
    </x:row>
    <x:row r="122">
      <x:c r="A122" s="19"/>
      <x:c r="B122" s="19"/>
      <x:c r="C122" s="19"/>
      <x:c r="D122" s="19"/>
      <x:c r="E122" s="19"/>
      <x:c r="F122" s="19"/>
      <x:c r="G122" s="26"/>
      <x:c r="H122" s="19"/>
      <x:c r="I122" s="19"/>
      <x:c r="J122" s="19"/>
      <x:c r="K122" s="19"/>
      <x:c r="L122" s="19"/>
      <x:c r="M122" s="26"/>
      <x:c r="N122" s="19"/>
      <x:c r="O122" s="19"/>
    </x:row>
    <x:row r="123">
      <x:c r="A123" s="19"/>
      <x:c r="B123" s="19"/>
      <x:c r="C123" s="19"/>
      <x:c r="D123" s="19"/>
      <x:c r="E123" s="19"/>
      <x:c r="F123" s="19"/>
      <x:c r="G123" s="26"/>
      <x:c r="H123" s="19"/>
      <x:c r="I123" s="19"/>
      <x:c r="J123" s="19"/>
      <x:c r="K123" s="19"/>
      <x:c r="L123" s="19"/>
      <x:c r="M123" s="26"/>
      <x:c r="N123" s="19"/>
      <x:c r="O123" s="19"/>
    </x:row>
    <x:row r="124">
      <x:c r="A124" s="19"/>
      <x:c r="B124" s="19"/>
      <x:c r="C124" s="19"/>
      <x:c r="D124" s="19"/>
      <x:c r="E124" s="19"/>
      <x:c r="F124" s="19"/>
      <x:c r="G124" s="26"/>
      <x:c r="H124" s="19"/>
      <x:c r="I124" s="19"/>
      <x:c r="J124" s="19"/>
      <x:c r="K124" s="19"/>
      <x:c r="L124" s="19"/>
      <x:c r="M124" s="26"/>
      <x:c r="N124" s="19"/>
      <x:c r="O124" s="19"/>
    </x:row>
    <x:row r="125">
      <x:c r="A125" s="19"/>
      <x:c r="B125" s="19"/>
      <x:c r="C125" s="19"/>
      <x:c r="D125" s="19"/>
      <x:c r="E125" s="19"/>
      <x:c r="F125" s="19"/>
      <x:c r="G125" s="26"/>
      <x:c r="H125" s="19"/>
      <x:c r="I125" s="19"/>
      <x:c r="J125" s="19"/>
      <x:c r="K125" s="19"/>
      <x:c r="L125" s="19"/>
      <x:c r="M125" s="26"/>
      <x:c r="N125" s="19"/>
      <x:c r="O125" s="19"/>
    </x:row>
    <x:row r="126">
      <x:c r="A126" s="19"/>
      <x:c r="B126" s="19"/>
      <x:c r="C126" s="19"/>
      <x:c r="D126" s="19"/>
      <x:c r="E126" s="19"/>
      <x:c r="F126" s="19"/>
      <x:c r="G126" s="26"/>
      <x:c r="H126" s="19"/>
      <x:c r="I126" s="19"/>
      <x:c r="J126" s="19"/>
      <x:c r="K126" s="19"/>
      <x:c r="L126" s="19"/>
      <x:c r="M126" s="26"/>
      <x:c r="N126" s="19"/>
      <x:c r="O126" s="19"/>
    </x:row>
    <x:row r="127">
      <x:c r="A127" s="19"/>
      <x:c r="B127" s="19"/>
      <x:c r="C127" s="19"/>
      <x:c r="D127" s="19"/>
      <x:c r="E127" s="19"/>
      <x:c r="F127" s="19"/>
      <x:c r="G127" s="26"/>
      <x:c r="H127" s="19"/>
      <x:c r="I127" s="19"/>
      <x:c r="J127" s="19"/>
      <x:c r="K127" s="19"/>
      <x:c r="L127" s="19"/>
      <x:c r="M127" s="26"/>
      <x:c r="N127" s="19"/>
      <x:c r="O127" s="19"/>
    </x:row>
    <x:row r="128">
      <x:c r="A128" s="19"/>
      <x:c r="B128" s="19"/>
      <x:c r="C128" s="19"/>
      <x:c r="D128" s="19"/>
      <x:c r="E128" s="19"/>
      <x:c r="F128" s="19"/>
      <x:c r="G128" s="26"/>
      <x:c r="H128" s="19"/>
      <x:c r="I128" s="19"/>
      <x:c r="J128" s="19"/>
      <x:c r="K128" s="19"/>
      <x:c r="L128" s="19"/>
      <x:c r="M128" s="26"/>
      <x:c r="N128" s="19"/>
      <x:c r="O128" s="19"/>
    </x:row>
    <x:row r="129">
      <x:c r="A129" s="19"/>
      <x:c r="B129" s="19"/>
      <x:c r="C129" s="19"/>
      <x:c r="D129" s="19"/>
      <x:c r="E129" s="19"/>
      <x:c r="F129" s="19"/>
      <x:c r="G129" s="26"/>
      <x:c r="H129" s="19"/>
      <x:c r="I129" s="19"/>
      <x:c r="J129" s="19"/>
      <x:c r="K129" s="19"/>
      <x:c r="L129" s="19"/>
      <x:c r="M129" s="26"/>
      <x:c r="N129" s="19"/>
      <x:c r="O129" s="19"/>
    </x:row>
    <x:row r="130">
      <x:c r="A130" s="19"/>
      <x:c r="B130" s="19"/>
      <x:c r="C130" s="19"/>
      <x:c r="D130" s="19"/>
      <x:c r="E130" s="19"/>
      <x:c r="F130" s="19"/>
      <x:c r="G130" s="26"/>
      <x:c r="H130" s="19"/>
      <x:c r="I130" s="19"/>
      <x:c r="J130" s="19"/>
      <x:c r="K130" s="19"/>
      <x:c r="L130" s="19"/>
      <x:c r="M130" s="26"/>
      <x:c r="N130" s="19"/>
      <x:c r="O130" s="19"/>
    </x:row>
    <x:row r="131">
      <x:c r="A131" s="19"/>
      <x:c r="B131" s="19"/>
      <x:c r="C131" s="19"/>
      <x:c r="D131" s="19"/>
      <x:c r="E131" s="19"/>
      <x:c r="F131" s="19"/>
      <x:c r="G131" s="26"/>
      <x:c r="H131" s="19"/>
      <x:c r="I131" s="19"/>
      <x:c r="J131" s="19"/>
      <x:c r="K131" s="19"/>
      <x:c r="L131" s="19"/>
      <x:c r="M131" s="26"/>
      <x:c r="N131" s="19"/>
      <x:c r="O131" s="19"/>
    </x:row>
    <x:row r="132">
      <x:c r="A132" s="19"/>
      <x:c r="B132" s="19"/>
      <x:c r="C132" s="19"/>
      <x:c r="D132" s="19"/>
      <x:c r="E132" s="19"/>
      <x:c r="F132" s="19"/>
      <x:c r="G132" s="26"/>
      <x:c r="H132" s="19"/>
      <x:c r="I132" s="19"/>
      <x:c r="J132" s="19"/>
      <x:c r="K132" s="19"/>
      <x:c r="L132" s="19"/>
      <x:c r="M132" s="26"/>
      <x:c r="N132" s="19"/>
      <x:c r="O132" s="19"/>
    </x:row>
    <x:row r="133">
      <x:c r="A133" s="19"/>
      <x:c r="B133" s="19"/>
      <x:c r="C133" s="19"/>
      <x:c r="D133" s="19"/>
      <x:c r="E133" s="19"/>
      <x:c r="F133" s="19"/>
      <x:c r="G133" s="26"/>
      <x:c r="H133" s="19"/>
      <x:c r="I133" s="19"/>
      <x:c r="J133" s="19"/>
      <x:c r="K133" s="19"/>
      <x:c r="L133" s="19"/>
      <x:c r="M133" s="26"/>
      <x:c r="N133" s="19"/>
      <x:c r="O133" s="19"/>
    </x:row>
    <x:row r="134">
      <x:c r="A134" s="19"/>
      <x:c r="B134" s="19"/>
      <x:c r="C134" s="19"/>
      <x:c r="D134" s="19"/>
      <x:c r="E134" s="19"/>
      <x:c r="F134" s="19"/>
      <x:c r="G134" s="26"/>
      <x:c r="H134" s="19"/>
      <x:c r="I134" s="19"/>
      <x:c r="J134" s="19"/>
      <x:c r="K134" s="19"/>
      <x:c r="L134" s="19"/>
      <x:c r="M134" s="26"/>
      <x:c r="N134" s="19"/>
      <x:c r="O134" s="19"/>
    </x:row>
    <x:row r="135">
      <x:c r="A135" s="19"/>
      <x:c r="B135" s="19"/>
      <x:c r="C135" s="19"/>
      <x:c r="D135" s="19"/>
      <x:c r="E135" s="19"/>
      <x:c r="F135" s="19"/>
      <x:c r="G135" s="26"/>
      <x:c r="H135" s="19"/>
      <x:c r="I135" s="19"/>
      <x:c r="J135" s="19"/>
      <x:c r="K135" s="19"/>
      <x:c r="L135" s="19"/>
      <x:c r="M135" s="26"/>
      <x:c r="N135" s="19"/>
      <x:c r="O135" s="19"/>
    </x:row>
    <x:row r="136">
      <x:c r="A136" s="19"/>
      <x:c r="B136" s="19"/>
      <x:c r="C136" s="19"/>
      <x:c r="D136" s="19"/>
      <x:c r="E136" s="19"/>
      <x:c r="F136" s="19"/>
      <x:c r="G136" s="26"/>
      <x:c r="H136" s="19"/>
      <x:c r="I136" s="19"/>
      <x:c r="J136" s="19"/>
      <x:c r="K136" s="19"/>
      <x:c r="L136" s="19"/>
      <x:c r="M136" s="26"/>
      <x:c r="N136" s="19"/>
      <x:c r="O136" s="19"/>
    </x:row>
    <x:row r="137">
      <x:c r="A137" s="19"/>
      <x:c r="B137" s="19"/>
      <x:c r="C137" s="19"/>
      <x:c r="D137" s="19"/>
      <x:c r="E137" s="19"/>
      <x:c r="F137" s="19"/>
      <x:c r="G137" s="26"/>
      <x:c r="H137" s="19"/>
      <x:c r="I137" s="19"/>
      <x:c r="J137" s="19"/>
      <x:c r="K137" s="19"/>
      <x:c r="L137" s="19"/>
      <x:c r="M137" s="26"/>
      <x:c r="N137" s="19"/>
      <x:c r="O137" s="19"/>
    </x:row>
    <x:row r="138">
      <x:c r="A138" s="19"/>
      <x:c r="B138" s="19"/>
      <x:c r="C138" s="19"/>
      <x:c r="D138" s="19"/>
      <x:c r="E138" s="19"/>
      <x:c r="F138" s="19"/>
      <x:c r="G138" s="26"/>
      <x:c r="H138" s="19"/>
      <x:c r="I138" s="19"/>
      <x:c r="J138" s="19"/>
      <x:c r="K138" s="19"/>
      <x:c r="L138" s="19"/>
      <x:c r="M138" s="26"/>
      <x:c r="N138" s="19"/>
      <x:c r="O138" s="19"/>
    </x:row>
    <x:row r="139">
      <x:c r="A139" s="19"/>
      <x:c r="B139" s="19"/>
      <x:c r="C139" s="19"/>
      <x:c r="D139" s="19"/>
      <x:c r="E139" s="19"/>
      <x:c r="F139" s="19"/>
      <x:c r="G139" s="26"/>
      <x:c r="H139" s="19"/>
      <x:c r="I139" s="19"/>
      <x:c r="J139" s="19"/>
      <x:c r="K139" s="19"/>
      <x:c r="L139" s="19"/>
      <x:c r="M139" s="26"/>
      <x:c r="N139" s="19"/>
      <x:c r="O139" s="19"/>
    </x:row>
    <x:row r="140">
      <x:c r="A140" s="19"/>
      <x:c r="B140" s="19"/>
      <x:c r="C140" s="19"/>
      <x:c r="D140" s="19"/>
      <x:c r="E140" s="19"/>
      <x:c r="F140" s="19"/>
      <x:c r="G140" s="26"/>
      <x:c r="H140" s="19"/>
      <x:c r="I140" s="19"/>
      <x:c r="J140" s="19"/>
      <x:c r="K140" s="19"/>
      <x:c r="L140" s="19"/>
      <x:c r="M140" s="26"/>
      <x:c r="N140" s="19"/>
      <x:c r="O140" s="19"/>
    </x:row>
    <x:row r="141">
      <x:c r="A141" s="19"/>
      <x:c r="B141" s="19"/>
      <x:c r="C141" s="19"/>
      <x:c r="D141" s="19"/>
      <x:c r="E141" s="19"/>
      <x:c r="F141" s="19"/>
      <x:c r="G141" s="26"/>
      <x:c r="H141" s="19"/>
      <x:c r="I141" s="19"/>
      <x:c r="J141" s="19"/>
      <x:c r="K141" s="19"/>
      <x:c r="L141" s="19"/>
      <x:c r="M141" s="26"/>
      <x:c r="N141" s="19"/>
      <x:c r="O141" s="19"/>
    </x:row>
    <x:row r="142">
      <x:c r="A142" s="19"/>
      <x:c r="B142" s="19"/>
      <x:c r="C142" s="19"/>
      <x:c r="D142" s="19"/>
      <x:c r="E142" s="19"/>
      <x:c r="F142" s="19"/>
      <x:c r="G142" s="26"/>
      <x:c r="H142" s="19"/>
      <x:c r="I142" s="19"/>
      <x:c r="J142" s="19"/>
      <x:c r="K142" s="19"/>
      <x:c r="L142" s="19"/>
      <x:c r="M142" s="26"/>
      <x:c r="N142" s="19"/>
      <x:c r="O142" s="19"/>
    </x:row>
    <x:row r="143">
      <x:c r="A143" s="19"/>
      <x:c r="B143" s="19"/>
      <x:c r="C143" s="19"/>
      <x:c r="D143" s="19"/>
      <x:c r="E143" s="19"/>
      <x:c r="F143" s="19"/>
      <x:c r="G143" s="26"/>
      <x:c r="H143" s="19"/>
      <x:c r="I143" s="19"/>
      <x:c r="J143" s="19"/>
      <x:c r="K143" s="19"/>
      <x:c r="L143" s="19"/>
      <x:c r="M143" s="26"/>
      <x:c r="N143" s="19"/>
      <x:c r="O143" s="19"/>
    </x:row>
    <x:row r="144">
      <x:c r="A144" s="19"/>
      <x:c r="B144" s="19"/>
      <x:c r="C144" s="19"/>
      <x:c r="D144" s="19"/>
      <x:c r="E144" s="19"/>
      <x:c r="F144" s="19"/>
      <x:c r="G144" s="26"/>
      <x:c r="H144" s="19"/>
      <x:c r="I144" s="19"/>
      <x:c r="J144" s="19"/>
      <x:c r="K144" s="19"/>
      <x:c r="L144" s="19"/>
      <x:c r="M144" s="26"/>
      <x:c r="N144" s="19"/>
      <x:c r="O144" s="19"/>
    </x:row>
    <x:row r="145">
      <x:c r="A145" s="19"/>
      <x:c r="B145" s="19"/>
      <x:c r="C145" s="19"/>
      <x:c r="D145" s="19"/>
      <x:c r="E145" s="19"/>
      <x:c r="F145" s="19"/>
      <x:c r="G145" s="26"/>
      <x:c r="H145" s="19"/>
      <x:c r="I145" s="19"/>
      <x:c r="J145" s="19"/>
      <x:c r="K145" s="19"/>
      <x:c r="L145" s="19"/>
      <x:c r="M145" s="26"/>
      <x:c r="N145" s="19"/>
      <x:c r="O145" s="19"/>
    </x:row>
    <x:row r="146">
      <x:c r="A146" s="19"/>
      <x:c r="B146" s="19"/>
      <x:c r="C146" s="19"/>
      <x:c r="D146" s="19"/>
      <x:c r="E146" s="19"/>
      <x:c r="F146" s="19"/>
      <x:c r="G146" s="26"/>
      <x:c r="H146" s="19"/>
      <x:c r="I146" s="19"/>
      <x:c r="J146" s="19"/>
      <x:c r="K146" s="19"/>
      <x:c r="L146" s="19"/>
      <x:c r="M146" s="26"/>
      <x:c r="N146" s="19"/>
      <x:c r="O146" s="19"/>
    </x:row>
    <x:row r="147">
      <x:c r="A147" s="19"/>
      <x:c r="B147" s="19"/>
      <x:c r="C147" s="19"/>
      <x:c r="D147" s="19"/>
      <x:c r="E147" s="19"/>
      <x:c r="F147" s="19"/>
      <x:c r="G147" s="26"/>
      <x:c r="H147" s="19"/>
      <x:c r="I147" s="19"/>
      <x:c r="J147" s="19"/>
      <x:c r="K147" s="19"/>
      <x:c r="L147" s="19"/>
      <x:c r="M147" s="26"/>
      <x:c r="N147" s="19"/>
      <x:c r="O147" s="19"/>
    </x:row>
    <x:row r="148">
      <x:c r="A148" s="19"/>
      <x:c r="B148" s="19"/>
      <x:c r="C148" s="19"/>
      <x:c r="D148" s="19"/>
      <x:c r="E148" s="19"/>
      <x:c r="F148" s="19"/>
      <x:c r="G148" s="26"/>
      <x:c r="H148" s="19"/>
      <x:c r="I148" s="19"/>
      <x:c r="J148" s="19"/>
      <x:c r="K148" s="19"/>
      <x:c r="L148" s="19"/>
      <x:c r="M148" s="26"/>
      <x:c r="N148" s="19"/>
      <x:c r="O148" s="19"/>
    </x:row>
    <x:row r="149">
      <x:c r="A149" s="19"/>
      <x:c r="B149" s="19"/>
      <x:c r="C149" s="19"/>
      <x:c r="D149" s="19"/>
      <x:c r="E149" s="19"/>
      <x:c r="F149" s="19"/>
      <x:c r="G149" s="26"/>
      <x:c r="H149" s="19"/>
      <x:c r="I149" s="19"/>
      <x:c r="J149" s="19"/>
      <x:c r="K149" s="19"/>
      <x:c r="L149" s="19"/>
      <x:c r="M149" s="26"/>
      <x:c r="N149" s="19"/>
      <x:c r="O149" s="19"/>
    </x:row>
    <x:row r="150">
      <x:c r="A150" s="19"/>
      <x:c r="B150" s="19"/>
      <x:c r="C150" s="19"/>
      <x:c r="D150" s="19"/>
      <x:c r="E150" s="19"/>
      <x:c r="F150" s="19"/>
      <x:c r="G150" s="26"/>
      <x:c r="H150" s="19"/>
      <x:c r="I150" s="19"/>
      <x:c r="J150" s="19"/>
      <x:c r="K150" s="19"/>
      <x:c r="L150" s="19"/>
      <x:c r="M150" s="26"/>
      <x:c r="N150" s="19"/>
      <x:c r="O150" s="19"/>
    </x:row>
    <x:row r="151">
      <x:c r="A151" s="19"/>
      <x:c r="B151" s="19"/>
      <x:c r="C151" s="19"/>
      <x:c r="D151" s="19"/>
      <x:c r="E151" s="19"/>
      <x:c r="F151" s="19"/>
      <x:c r="G151" s="26"/>
      <x:c r="H151" s="19"/>
      <x:c r="I151" s="19"/>
      <x:c r="J151" s="19"/>
      <x:c r="K151" s="19"/>
      <x:c r="L151" s="19"/>
      <x:c r="M151" s="26"/>
      <x:c r="N151" s="19"/>
      <x:c r="O151" s="19"/>
    </x:row>
    <x:row r="152">
      <x:c r="A152" s="19"/>
      <x:c r="B152" s="19"/>
      <x:c r="C152" s="19"/>
      <x:c r="D152" s="19"/>
      <x:c r="E152" s="19"/>
      <x:c r="F152" s="19"/>
      <x:c r="G152" s="26"/>
      <x:c r="H152" s="19"/>
      <x:c r="I152" s="19"/>
      <x:c r="J152" s="19"/>
      <x:c r="K152" s="19"/>
      <x:c r="L152" s="19"/>
      <x:c r="M152" s="26"/>
      <x:c r="N152" s="19"/>
      <x:c r="O152" s="19"/>
    </x:row>
    <x:row r="153">
      <x:c r="A153" s="19"/>
      <x:c r="B153" s="19"/>
      <x:c r="C153" s="19"/>
      <x:c r="D153" s="19"/>
      <x:c r="E153" s="19"/>
      <x:c r="F153" s="19"/>
      <x:c r="G153" s="26"/>
      <x:c r="H153" s="19"/>
      <x:c r="I153" s="19"/>
      <x:c r="J153" s="19"/>
      <x:c r="K153" s="19"/>
      <x:c r="L153" s="19"/>
      <x:c r="M153" s="26"/>
      <x:c r="N153" s="19"/>
      <x:c r="O153" s="19"/>
    </x:row>
    <x:row r="154">
      <x:c r="A154" s="19"/>
      <x:c r="B154" s="19"/>
      <x:c r="C154" s="19"/>
      <x:c r="D154" s="19"/>
      <x:c r="E154" s="19"/>
      <x:c r="F154" s="19"/>
      <x:c r="G154" s="26"/>
      <x:c r="H154" s="19"/>
      <x:c r="I154" s="19"/>
      <x:c r="J154" s="19"/>
      <x:c r="K154" s="19"/>
      <x:c r="L154" s="19"/>
      <x:c r="M154" s="26"/>
      <x:c r="N154" s="19"/>
      <x:c r="O154" s="19"/>
    </x:row>
    <x:row r="155">
      <x:c r="A155" s="19"/>
      <x:c r="B155" s="19"/>
      <x:c r="C155" s="19"/>
      <x:c r="D155" s="19"/>
      <x:c r="E155" s="19"/>
      <x:c r="F155" s="19"/>
      <x:c r="G155" s="26"/>
      <x:c r="H155" s="19"/>
      <x:c r="I155" s="19"/>
      <x:c r="J155" s="19"/>
      <x:c r="K155" s="19"/>
      <x:c r="L155" s="19"/>
      <x:c r="M155" s="26"/>
      <x:c r="N155" s="19"/>
      <x:c r="O155" s="19"/>
    </x:row>
    <x:row r="156">
      <x:c r="A156" s="19"/>
      <x:c r="B156" s="19"/>
      <x:c r="C156" s="19"/>
      <x:c r="D156" s="19"/>
      <x:c r="E156" s="19"/>
      <x:c r="F156" s="19"/>
      <x:c r="G156" s="26"/>
      <x:c r="H156" s="19"/>
      <x:c r="I156" s="19"/>
      <x:c r="J156" s="19"/>
      <x:c r="K156" s="19"/>
      <x:c r="L156" s="19"/>
      <x:c r="M156" s="26"/>
      <x:c r="N156" s="19"/>
      <x:c r="O156" s="19"/>
    </x:row>
    <x:row r="157">
      <x:c r="A157" s="19"/>
      <x:c r="B157" s="19"/>
      <x:c r="C157" s="19"/>
      <x:c r="D157" s="19"/>
      <x:c r="E157" s="19"/>
      <x:c r="F157" s="19"/>
      <x:c r="G157" s="26"/>
      <x:c r="H157" s="19"/>
      <x:c r="I157" s="19"/>
      <x:c r="J157" s="19"/>
      <x:c r="K157" s="19"/>
      <x:c r="L157" s="19"/>
      <x:c r="M157" s="26"/>
      <x:c r="N157" s="19"/>
      <x:c r="O157" s="19"/>
    </x:row>
    <x:row r="158">
      <x:c r="A158" s="19"/>
      <x:c r="B158" s="19"/>
      <x:c r="C158" s="19"/>
      <x:c r="D158" s="19"/>
      <x:c r="E158" s="19"/>
      <x:c r="F158" s="19"/>
      <x:c r="G158" s="26"/>
      <x:c r="H158" s="19"/>
      <x:c r="I158" s="19"/>
      <x:c r="J158" s="19"/>
      <x:c r="K158" s="19"/>
      <x:c r="L158" s="19"/>
      <x:c r="M158" s="26"/>
      <x:c r="N158" s="19"/>
      <x:c r="O158" s="19"/>
    </x:row>
    <x:row r="159">
      <x:c r="A159" s="19"/>
      <x:c r="B159" s="19"/>
      <x:c r="C159" s="19"/>
      <x:c r="D159" s="19"/>
      <x:c r="E159" s="19"/>
      <x:c r="F159" s="19"/>
      <x:c r="G159" s="26"/>
      <x:c r="H159" s="19"/>
      <x:c r="I159" s="19"/>
      <x:c r="J159" s="19"/>
      <x:c r="K159" s="19"/>
      <x:c r="L159" s="19"/>
      <x:c r="M159" s="26"/>
      <x:c r="N159" s="19"/>
      <x:c r="O159" s="19"/>
    </x:row>
    <x:row r="160">
      <x:c r="A160" s="19"/>
      <x:c r="B160" s="19"/>
      <x:c r="C160" s="19"/>
      <x:c r="D160" s="19"/>
      <x:c r="E160" s="19"/>
      <x:c r="F160" s="19"/>
      <x:c r="G160" s="26"/>
      <x:c r="H160" s="19"/>
      <x:c r="I160" s="19"/>
      <x:c r="J160" s="19"/>
      <x:c r="K160" s="19"/>
      <x:c r="L160" s="19"/>
      <x:c r="M160" s="26"/>
      <x:c r="N160" s="19"/>
      <x:c r="O160" s="19"/>
    </x:row>
    <x:row r="161">
      <x:c r="A161" s="19"/>
      <x:c r="B161" s="19"/>
      <x:c r="C161" s="19"/>
      <x:c r="D161" s="19"/>
      <x:c r="E161" s="19"/>
      <x:c r="F161" s="19"/>
      <x:c r="G161" s="26"/>
      <x:c r="H161" s="19"/>
      <x:c r="I161" s="19"/>
      <x:c r="J161" s="19"/>
      <x:c r="K161" s="19"/>
      <x:c r="L161" s="19"/>
      <x:c r="M161" s="26"/>
      <x:c r="N161" s="19"/>
      <x:c r="O161" s="19"/>
    </x:row>
    <x:row r="162">
      <x:c r="A162" s="19"/>
      <x:c r="B162" s="19"/>
      <x:c r="C162" s="19"/>
      <x:c r="D162" s="19"/>
      <x:c r="E162" s="19"/>
      <x:c r="F162" s="19"/>
      <x:c r="G162" s="26"/>
      <x:c r="H162" s="19"/>
      <x:c r="I162" s="19"/>
      <x:c r="J162" s="19"/>
      <x:c r="K162" s="19"/>
      <x:c r="L162" s="19"/>
      <x:c r="M162" s="26"/>
      <x:c r="N162" s="19"/>
      <x:c r="O162" s="19"/>
    </x:row>
    <x:row r="163">
      <x:c r="A163" s="19"/>
      <x:c r="B163" s="19"/>
      <x:c r="C163" s="19"/>
      <x:c r="D163" s="19"/>
      <x:c r="E163" s="19"/>
      <x:c r="F163" s="19"/>
      <x:c r="G163" s="26"/>
      <x:c r="H163" s="19"/>
      <x:c r="I163" s="19"/>
      <x:c r="J163" s="19"/>
      <x:c r="K163" s="19"/>
      <x:c r="L163" s="19"/>
      <x:c r="M163" s="26"/>
      <x:c r="N163" s="19"/>
      <x:c r="O163" s="19"/>
    </x:row>
    <x:row r="164">
      <x:c r="A164" s="19"/>
      <x:c r="B164" s="19"/>
      <x:c r="C164" s="19"/>
      <x:c r="D164" s="19"/>
      <x:c r="E164" s="19"/>
      <x:c r="F164" s="19"/>
      <x:c r="G164" s="26"/>
      <x:c r="H164" s="19"/>
      <x:c r="I164" s="19"/>
      <x:c r="J164" s="19"/>
      <x:c r="K164" s="19"/>
      <x:c r="L164" s="19"/>
      <x:c r="M164" s="26"/>
      <x:c r="N164" s="19"/>
      <x:c r="O164" s="19"/>
    </x:row>
    <x:row r="165">
      <x:c r="A165" s="19"/>
      <x:c r="B165" s="19"/>
      <x:c r="C165" s="19"/>
      <x:c r="D165" s="19"/>
      <x:c r="E165" s="19"/>
      <x:c r="F165" s="19"/>
      <x:c r="G165" s="26"/>
      <x:c r="H165" s="19"/>
      <x:c r="I165" s="19"/>
      <x:c r="J165" s="19"/>
      <x:c r="K165" s="19"/>
      <x:c r="L165" s="19"/>
      <x:c r="M165" s="26"/>
      <x:c r="N165" s="19"/>
      <x:c r="O165" s="19"/>
    </x:row>
    <x:row r="166">
      <x:c r="A166" s="19"/>
      <x:c r="B166" s="19"/>
      <x:c r="C166" s="19"/>
      <x:c r="D166" s="19"/>
      <x:c r="E166" s="19"/>
      <x:c r="F166" s="19"/>
      <x:c r="G166" s="26"/>
      <x:c r="H166" s="19"/>
      <x:c r="I166" s="19"/>
      <x:c r="J166" s="19"/>
      <x:c r="K166" s="19"/>
      <x:c r="L166" s="19"/>
      <x:c r="M166" s="26"/>
      <x:c r="N166" s="19"/>
      <x:c r="O166" s="19"/>
    </x:row>
    <x:row r="167">
      <x:c r="A167" s="19"/>
      <x:c r="B167" s="19"/>
      <x:c r="C167" s="19"/>
      <x:c r="D167" s="19"/>
      <x:c r="E167" s="19"/>
      <x:c r="F167" s="19"/>
      <x:c r="G167" s="26"/>
      <x:c r="H167" s="19"/>
      <x:c r="I167" s="19"/>
      <x:c r="J167" s="19"/>
      <x:c r="K167" s="19"/>
      <x:c r="L167" s="19"/>
      <x:c r="M167" s="26"/>
      <x:c r="N167" s="19"/>
      <x:c r="O167" s="19"/>
    </x:row>
    <x:row r="168">
      <x:c r="A168" s="19"/>
      <x:c r="B168" s="19"/>
      <x:c r="C168" s="19"/>
      <x:c r="D168" s="19"/>
      <x:c r="E168" s="19"/>
      <x:c r="F168" s="19"/>
      <x:c r="G168" s="26"/>
      <x:c r="H168" s="19"/>
      <x:c r="I168" s="19"/>
      <x:c r="J168" s="19"/>
      <x:c r="K168" s="19"/>
      <x:c r="L168" s="19"/>
      <x:c r="M168" s="26"/>
      <x:c r="N168" s="19"/>
      <x:c r="O168" s="19"/>
    </x:row>
    <x:row r="169">
      <x:c r="A169" s="19"/>
      <x:c r="B169" s="19"/>
      <x:c r="C169" s="19"/>
      <x:c r="D169" s="19"/>
      <x:c r="E169" s="19"/>
      <x:c r="F169" s="19"/>
      <x:c r="G169" s="26"/>
      <x:c r="H169" s="19"/>
      <x:c r="I169" s="19"/>
      <x:c r="J169" s="19"/>
      <x:c r="K169" s="19"/>
      <x:c r="L169" s="19"/>
      <x:c r="M169" s="26"/>
      <x:c r="N169" s="19"/>
      <x:c r="O169" s="19"/>
    </x:row>
    <x:row r="170">
      <x:c r="A170" s="19"/>
      <x:c r="B170" s="19"/>
      <x:c r="C170" s="19"/>
      <x:c r="D170" s="19"/>
      <x:c r="E170" s="19"/>
      <x:c r="F170" s="19"/>
      <x:c r="G170" s="26"/>
      <x:c r="H170" s="19"/>
      <x:c r="I170" s="19"/>
      <x:c r="J170" s="19"/>
      <x:c r="K170" s="19"/>
      <x:c r="L170" s="19"/>
      <x:c r="M170" s="26"/>
      <x:c r="N170" s="19"/>
      <x:c r="O170" s="19"/>
    </x:row>
    <x:row r="171">
      <x:c r="A171" s="19"/>
      <x:c r="B171" s="19"/>
      <x:c r="C171" s="19"/>
      <x:c r="D171" s="19"/>
      <x:c r="E171" s="19"/>
      <x:c r="F171" s="19"/>
      <x:c r="G171" s="26"/>
      <x:c r="H171" s="19"/>
      <x:c r="I171" s="19"/>
      <x:c r="J171" s="19"/>
      <x:c r="K171" s="19"/>
      <x:c r="L171" s="19"/>
      <x:c r="M171" s="26"/>
      <x:c r="N171" s="19"/>
      <x:c r="O171" s="19"/>
    </x:row>
    <x:row r="172">
      <x:c r="A172" s="19"/>
      <x:c r="B172" s="19"/>
      <x:c r="C172" s="19"/>
      <x:c r="D172" s="19"/>
      <x:c r="E172" s="19"/>
      <x:c r="F172" s="19"/>
      <x:c r="G172" s="26"/>
      <x:c r="H172" s="19"/>
      <x:c r="I172" s="19"/>
      <x:c r="J172" s="19"/>
      <x:c r="K172" s="19"/>
      <x:c r="L172" s="19"/>
      <x:c r="M172" s="26"/>
      <x:c r="N172" s="19"/>
      <x:c r="O172" s="19"/>
    </x:row>
    <x:row r="173">
      <x:c r="A173" s="19"/>
      <x:c r="B173" s="19"/>
      <x:c r="C173" s="19"/>
      <x:c r="D173" s="19"/>
      <x:c r="E173" s="19"/>
      <x:c r="F173" s="19"/>
      <x:c r="G173" s="26"/>
      <x:c r="H173" s="19"/>
      <x:c r="I173" s="19"/>
      <x:c r="J173" s="19"/>
      <x:c r="K173" s="19"/>
      <x:c r="L173" s="19"/>
      <x:c r="M173" s="26"/>
      <x:c r="N173" s="19"/>
      <x:c r="O173" s="19"/>
    </x:row>
    <x:row r="174">
      <x:c r="A174" s="19"/>
      <x:c r="B174" s="19"/>
      <x:c r="C174" s="19"/>
      <x:c r="D174" s="19"/>
      <x:c r="E174" s="19"/>
      <x:c r="F174" s="19"/>
      <x:c r="G174" s="26"/>
      <x:c r="H174" s="19"/>
      <x:c r="I174" s="19"/>
      <x:c r="J174" s="19"/>
      <x:c r="K174" s="19"/>
      <x:c r="L174" s="19"/>
      <x:c r="M174" s="26"/>
      <x:c r="N174" s="19"/>
      <x:c r="O174" s="19"/>
    </x:row>
    <x:row r="175">
      <x:c r="A175" s="19"/>
      <x:c r="B175" s="19"/>
      <x:c r="C175" s="19"/>
      <x:c r="D175" s="19"/>
      <x:c r="E175" s="19"/>
      <x:c r="F175" s="19"/>
      <x:c r="G175" s="26"/>
      <x:c r="H175" s="19"/>
      <x:c r="I175" s="19"/>
      <x:c r="J175" s="19"/>
      <x:c r="K175" s="19"/>
      <x:c r="L175" s="19"/>
      <x:c r="M175" s="26"/>
      <x:c r="N175" s="19"/>
      <x:c r="O175" s="19"/>
    </x:row>
    <x:row r="176">
      <x:c r="A176" s="19"/>
      <x:c r="B176" s="19"/>
      <x:c r="C176" s="19"/>
      <x:c r="D176" s="19"/>
      <x:c r="E176" s="19"/>
      <x:c r="F176" s="19"/>
      <x:c r="G176" s="26"/>
      <x:c r="H176" s="19"/>
      <x:c r="I176" s="19"/>
      <x:c r="J176" s="19"/>
      <x:c r="K176" s="19"/>
      <x:c r="L176" s="19"/>
      <x:c r="M176" s="26"/>
      <x:c r="N176" s="19"/>
      <x:c r="O176" s="19"/>
    </x:row>
    <x:row r="177">
      <x:c r="A177" s="19"/>
      <x:c r="B177" s="19"/>
      <x:c r="C177" s="19"/>
      <x:c r="D177" s="19"/>
      <x:c r="E177" s="19"/>
      <x:c r="F177" s="19"/>
      <x:c r="G177" s="26"/>
      <x:c r="H177" s="19"/>
      <x:c r="I177" s="19"/>
      <x:c r="J177" s="19"/>
      <x:c r="K177" s="19"/>
      <x:c r="L177" s="19"/>
      <x:c r="M177" s="26"/>
      <x:c r="N177" s="19"/>
      <x:c r="O177" s="19"/>
    </x:row>
    <x:row r="178">
      <x:c r="A178" s="19"/>
      <x:c r="B178" s="19"/>
      <x:c r="C178" s="19"/>
      <x:c r="D178" s="19"/>
      <x:c r="E178" s="19"/>
      <x:c r="F178" s="19"/>
      <x:c r="G178" s="26"/>
      <x:c r="H178" s="19"/>
      <x:c r="I178" s="19"/>
      <x:c r="J178" s="19"/>
      <x:c r="K178" s="19"/>
      <x:c r="L178" s="19"/>
      <x:c r="M178" s="26"/>
      <x:c r="N178" s="19"/>
      <x:c r="O178" s="19"/>
    </x:row>
    <x:row r="179">
      <x:c r="A179" s="19"/>
      <x:c r="B179" s="19"/>
      <x:c r="C179" s="19"/>
      <x:c r="D179" s="19"/>
      <x:c r="E179" s="19"/>
      <x:c r="F179" s="19"/>
      <x:c r="G179" s="26"/>
      <x:c r="H179" s="19"/>
      <x:c r="I179" s="19"/>
      <x:c r="J179" s="19"/>
      <x:c r="K179" s="19"/>
      <x:c r="L179" s="19"/>
      <x:c r="M179" s="26"/>
      <x:c r="N179" s="19"/>
      <x:c r="O179" s="19"/>
    </x:row>
    <x:row r="180">
      <x:c r="A180" s="19"/>
      <x:c r="B180" s="19"/>
      <x:c r="C180" s="19"/>
      <x:c r="D180" s="19"/>
      <x:c r="E180" s="19"/>
      <x:c r="F180" s="19"/>
      <x:c r="G180" s="26"/>
      <x:c r="H180" s="19"/>
      <x:c r="I180" s="19"/>
      <x:c r="J180" s="19"/>
      <x:c r="K180" s="19"/>
      <x:c r="L180" s="19"/>
      <x:c r="M180" s="26"/>
      <x:c r="N180" s="19"/>
      <x:c r="O180" s="19"/>
    </x:row>
    <x:row r="181">
      <x:c r="A181" s="19"/>
      <x:c r="B181" s="19"/>
      <x:c r="C181" s="19"/>
      <x:c r="D181" s="19"/>
      <x:c r="E181" s="19"/>
      <x:c r="F181" s="19"/>
      <x:c r="G181" s="26"/>
      <x:c r="H181" s="19"/>
      <x:c r="I181" s="19"/>
      <x:c r="J181" s="19"/>
      <x:c r="K181" s="19"/>
      <x:c r="L181" s="19"/>
      <x:c r="M181" s="26"/>
      <x:c r="N181" s="19"/>
      <x:c r="O181" s="19"/>
    </x:row>
    <x:row r="182">
      <x:c r="A182" s="19"/>
      <x:c r="B182" s="19"/>
      <x:c r="C182" s="19"/>
      <x:c r="D182" s="19"/>
      <x:c r="E182" s="19"/>
      <x:c r="F182" s="19"/>
      <x:c r="G182" s="26"/>
      <x:c r="H182" s="19"/>
      <x:c r="I182" s="19"/>
      <x:c r="J182" s="19"/>
      <x:c r="K182" s="19"/>
      <x:c r="L182" s="19"/>
      <x:c r="M182" s="26"/>
      <x:c r="N182" s="19"/>
      <x:c r="O182" s="19"/>
    </x:row>
    <x:row r="183">
      <x:c r="A183" s="19"/>
      <x:c r="B183" s="19"/>
      <x:c r="C183" s="19"/>
      <x:c r="D183" s="19"/>
      <x:c r="E183" s="19"/>
      <x:c r="F183" s="19"/>
      <x:c r="G183" s="26"/>
      <x:c r="H183" s="19"/>
      <x:c r="I183" s="19"/>
      <x:c r="J183" s="19"/>
      <x:c r="K183" s="19"/>
      <x:c r="L183" s="19"/>
      <x:c r="M183" s="26"/>
      <x:c r="N183" s="19"/>
      <x:c r="O183" s="19"/>
    </x:row>
    <x:row r="184">
      <x:c r="A184" s="19"/>
      <x:c r="B184" s="19"/>
      <x:c r="C184" s="19"/>
      <x:c r="D184" s="19"/>
      <x:c r="E184" s="19"/>
      <x:c r="F184" s="19"/>
      <x:c r="G184" s="26"/>
      <x:c r="H184" s="19"/>
      <x:c r="I184" s="19"/>
      <x:c r="J184" s="19"/>
      <x:c r="K184" s="19"/>
      <x:c r="L184" s="19"/>
      <x:c r="M184" s="26"/>
      <x:c r="N184" s="19"/>
      <x:c r="O184" s="19"/>
    </x:row>
    <x:row r="185">
      <x:c r="A185" s="19"/>
      <x:c r="B185" s="19"/>
      <x:c r="C185" s="19"/>
      <x:c r="D185" s="19"/>
      <x:c r="E185" s="19"/>
      <x:c r="F185" s="19"/>
      <x:c r="G185" s="26"/>
      <x:c r="H185" s="19"/>
      <x:c r="I185" s="19"/>
      <x:c r="J185" s="19"/>
      <x:c r="K185" s="19"/>
      <x:c r="L185" s="19"/>
      <x:c r="M185" s="26"/>
      <x:c r="N185" s="19"/>
      <x:c r="O185" s="19"/>
    </x:row>
    <x:row r="186">
      <x:c r="A186" s="19"/>
      <x:c r="B186" s="19"/>
      <x:c r="C186" s="19"/>
      <x:c r="D186" s="19"/>
      <x:c r="E186" s="19"/>
      <x:c r="F186" s="19"/>
      <x:c r="G186" s="26"/>
      <x:c r="H186" s="19"/>
      <x:c r="I186" s="19"/>
      <x:c r="J186" s="19"/>
      <x:c r="K186" s="19"/>
      <x:c r="L186" s="19"/>
      <x:c r="M186" s="26"/>
      <x:c r="N186" s="19"/>
      <x:c r="O186" s="19"/>
    </x:row>
    <x:row r="187">
      <x:c r="A187" s="19"/>
      <x:c r="B187" s="19"/>
      <x:c r="C187" s="19"/>
      <x:c r="D187" s="19"/>
      <x:c r="E187" s="19"/>
      <x:c r="F187" s="19"/>
      <x:c r="G187" s="26"/>
      <x:c r="H187" s="19"/>
      <x:c r="I187" s="19"/>
      <x:c r="J187" s="19"/>
      <x:c r="K187" s="19"/>
      <x:c r="L187" s="19"/>
      <x:c r="M187" s="26"/>
      <x:c r="N187" s="19"/>
      <x:c r="O187" s="19"/>
    </x:row>
    <x:row r="188">
      <x:c r="A188" s="19"/>
      <x:c r="B188" s="19"/>
      <x:c r="C188" s="19"/>
      <x:c r="D188" s="19"/>
      <x:c r="E188" s="19"/>
      <x:c r="F188" s="19"/>
      <x:c r="G188" s="26"/>
      <x:c r="H188" s="19"/>
      <x:c r="I188" s="19"/>
      <x:c r="J188" s="19"/>
      <x:c r="K188" s="19"/>
      <x:c r="L188" s="19"/>
      <x:c r="M188" s="26"/>
      <x:c r="N188" s="19"/>
      <x:c r="O188" s="19"/>
    </x:row>
    <x:row r="189">
      <x:c r="A189" s="19"/>
      <x:c r="B189" s="19"/>
      <x:c r="C189" s="19"/>
      <x:c r="D189" s="19"/>
      <x:c r="E189" s="19"/>
      <x:c r="F189" s="19"/>
      <x:c r="G189" s="26"/>
      <x:c r="H189" s="19"/>
      <x:c r="I189" s="19"/>
      <x:c r="J189" s="19"/>
      <x:c r="K189" s="19"/>
      <x:c r="L189" s="19"/>
      <x:c r="M189" s="26"/>
      <x:c r="N189" s="19"/>
      <x:c r="O189" s="19"/>
    </x:row>
    <x:row r="190">
      <x:c r="A190" s="19"/>
      <x:c r="B190" s="19"/>
      <x:c r="C190" s="19"/>
      <x:c r="D190" s="19"/>
      <x:c r="E190" s="19"/>
      <x:c r="F190" s="19"/>
      <x:c r="G190" s="26"/>
      <x:c r="H190" s="19"/>
      <x:c r="I190" s="19"/>
      <x:c r="J190" s="19"/>
      <x:c r="K190" s="19"/>
      <x:c r="L190" s="19"/>
      <x:c r="M190" s="26"/>
      <x:c r="N190" s="19"/>
      <x:c r="O190" s="19"/>
    </x:row>
    <x:row r="191">
      <x:c r="A191" s="19"/>
      <x:c r="B191" s="19"/>
      <x:c r="C191" s="19"/>
      <x:c r="D191" s="19"/>
      <x:c r="E191" s="19"/>
      <x:c r="F191" s="19"/>
      <x:c r="G191" s="26"/>
      <x:c r="H191" s="19"/>
      <x:c r="I191" s="19"/>
      <x:c r="J191" s="19"/>
      <x:c r="K191" s="19"/>
      <x:c r="L191" s="19"/>
      <x:c r="M191" s="26"/>
      <x:c r="N191" s="19"/>
      <x:c r="O191" s="19"/>
    </x:row>
    <x:row r="192">
      <x:c r="A192" s="19"/>
      <x:c r="B192" s="19"/>
      <x:c r="C192" s="19"/>
      <x:c r="D192" s="19"/>
      <x:c r="E192" s="19"/>
      <x:c r="F192" s="19"/>
      <x:c r="G192" s="26"/>
      <x:c r="H192" s="19"/>
      <x:c r="I192" s="19"/>
      <x:c r="J192" s="19"/>
      <x:c r="K192" s="19"/>
      <x:c r="L192" s="19"/>
      <x:c r="M192" s="26"/>
      <x:c r="N192" s="19"/>
      <x:c r="O192" s="19"/>
    </x:row>
    <x:row r="193">
      <x:c r="A193" s="19"/>
      <x:c r="B193" s="19"/>
      <x:c r="C193" s="19"/>
      <x:c r="D193" s="19"/>
      <x:c r="E193" s="19"/>
      <x:c r="F193" s="19"/>
      <x:c r="G193" s="26"/>
      <x:c r="H193" s="19"/>
      <x:c r="I193" s="19"/>
      <x:c r="J193" s="19"/>
      <x:c r="K193" s="19"/>
      <x:c r="L193" s="19"/>
      <x:c r="M193" s="26"/>
      <x:c r="N193" s="19"/>
      <x:c r="O193" s="19"/>
    </x:row>
    <x:row r="194">
      <x:c r="A194" s="19"/>
      <x:c r="B194" s="19"/>
      <x:c r="C194" s="19"/>
      <x:c r="D194" s="19"/>
      <x:c r="E194" s="19"/>
      <x:c r="F194" s="19"/>
      <x:c r="G194" s="26"/>
      <x:c r="H194" s="19"/>
      <x:c r="I194" s="19"/>
      <x:c r="J194" s="19"/>
      <x:c r="K194" s="19"/>
      <x:c r="L194" s="19"/>
      <x:c r="M194" s="26"/>
      <x:c r="N194" s="19"/>
      <x:c r="O194" s="19"/>
    </x:row>
    <x:row r="195">
      <x:c r="A195" s="19"/>
      <x:c r="B195" s="19"/>
      <x:c r="C195" s="19"/>
      <x:c r="D195" s="19"/>
      <x:c r="E195" s="19"/>
      <x:c r="F195" s="19"/>
      <x:c r="G195" s="26"/>
      <x:c r="H195" s="19"/>
      <x:c r="I195" s="19"/>
      <x:c r="J195" s="19"/>
      <x:c r="K195" s="19"/>
      <x:c r="L195" s="19"/>
      <x:c r="M195" s="26"/>
      <x:c r="N195" s="19"/>
      <x:c r="O195" s="19"/>
    </x:row>
    <x:row r="196">
      <x:c r="A196" s="19"/>
      <x:c r="B196" s="19"/>
      <x:c r="C196" s="19"/>
      <x:c r="D196" s="19"/>
      <x:c r="E196" s="19"/>
      <x:c r="F196" s="19"/>
      <x:c r="G196" s="26"/>
      <x:c r="H196" s="19"/>
      <x:c r="I196" s="19"/>
      <x:c r="J196" s="19"/>
      <x:c r="K196" s="19"/>
      <x:c r="L196" s="19"/>
      <x:c r="M196" s="26"/>
      <x:c r="N196" s="19"/>
      <x:c r="O196" s="19"/>
    </x:row>
    <x:row r="197">
      <x:c r="A197" s="19"/>
      <x:c r="B197" s="19"/>
      <x:c r="C197" s="19"/>
      <x:c r="D197" s="19"/>
      <x:c r="E197" s="19"/>
      <x:c r="F197" s="19"/>
      <x:c r="G197" s="26"/>
      <x:c r="H197" s="19"/>
      <x:c r="I197" s="19"/>
      <x:c r="J197" s="19"/>
      <x:c r="K197" s="19"/>
      <x:c r="L197" s="19"/>
      <x:c r="M197" s="26"/>
      <x:c r="N197" s="19"/>
      <x:c r="O197" s="19"/>
    </x:row>
    <x:row r="198">
      <x:c r="A198" s="19"/>
      <x:c r="B198" s="19"/>
      <x:c r="C198" s="19"/>
      <x:c r="D198" s="19"/>
      <x:c r="E198" s="19"/>
      <x:c r="F198" s="19"/>
      <x:c r="G198" s="26"/>
      <x:c r="H198" s="19"/>
      <x:c r="I198" s="19"/>
      <x:c r="J198" s="19"/>
      <x:c r="K198" s="19"/>
      <x:c r="L198" s="19"/>
      <x:c r="M198" s="26"/>
      <x:c r="N198" s="19"/>
      <x:c r="O198" s="19"/>
    </x:row>
    <x:row r="199">
      <x:c r="A199" s="19"/>
      <x:c r="B199" s="19"/>
      <x:c r="C199" s="19"/>
      <x:c r="D199" s="19"/>
      <x:c r="E199" s="19"/>
      <x:c r="F199" s="19"/>
      <x:c r="G199" s="26"/>
      <x:c r="H199" s="19"/>
      <x:c r="I199" s="19"/>
      <x:c r="J199" s="19"/>
      <x:c r="K199" s="19"/>
      <x:c r="L199" s="19"/>
      <x:c r="M199" s="26"/>
      <x:c r="N199" s="19"/>
      <x:c r="O199" s="19"/>
    </x:row>
    <x:row r="200">
      <x:c r="A200" s="19"/>
      <x:c r="B200" s="19"/>
      <x:c r="C200" s="19"/>
      <x:c r="D200" s="19"/>
      <x:c r="E200" s="19"/>
      <x:c r="F200" s="19"/>
      <x:c r="G200" s="26"/>
      <x:c r="H200" s="19"/>
      <x:c r="I200" s="19"/>
      <x:c r="J200" s="19"/>
      <x:c r="K200" s="19"/>
      <x:c r="L200" s="19"/>
      <x:c r="M200" s="26"/>
      <x:c r="N200" s="19"/>
      <x:c r="O200" s="19"/>
    </x:row>
    <x:row r="201">
      <x:c r="A201" s="19"/>
      <x:c r="B201" s="19"/>
      <x:c r="C201" s="19"/>
      <x:c r="D201" s="19"/>
      <x:c r="E201" s="19"/>
      <x:c r="F201" s="19"/>
      <x:c r="G201" s="26"/>
      <x:c r="H201" s="19"/>
      <x:c r="I201" s="19"/>
      <x:c r="J201" s="19"/>
      <x:c r="K201" s="19"/>
      <x:c r="L201" s="19"/>
      <x:c r="M201" s="26"/>
      <x:c r="N201" s="19"/>
      <x:c r="O201" s="19"/>
    </x:row>
    <x:row r="202">
      <x:c r="A202" s="19"/>
      <x:c r="B202" s="19"/>
      <x:c r="C202" s="19"/>
      <x:c r="D202" s="19"/>
      <x:c r="E202" s="19"/>
      <x:c r="F202" s="19"/>
      <x:c r="G202" s="26"/>
      <x:c r="H202" s="19"/>
      <x:c r="I202" s="19"/>
      <x:c r="J202" s="19"/>
      <x:c r="K202" s="19"/>
      <x:c r="L202" s="19"/>
      <x:c r="M202" s="26"/>
      <x:c r="N202" s="19"/>
      <x:c r="O202" s="19"/>
    </x:row>
    <x:row r="203">
      <x:c r="A203" s="19"/>
      <x:c r="B203" s="19"/>
      <x:c r="C203" s="19"/>
      <x:c r="D203" s="19"/>
      <x:c r="E203" s="19"/>
      <x:c r="F203" s="19"/>
      <x:c r="G203" s="26"/>
      <x:c r="H203" s="19"/>
      <x:c r="I203" s="19"/>
      <x:c r="J203" s="19"/>
      <x:c r="K203" s="19"/>
      <x:c r="L203" s="19"/>
      <x:c r="M203" s="26"/>
      <x:c r="N203" s="19"/>
      <x:c r="O203" s="19"/>
    </x:row>
    <x:row r="204">
      <x:c r="A204" s="19"/>
      <x:c r="B204" s="19"/>
      <x:c r="C204" s="19"/>
      <x:c r="D204" s="19"/>
      <x:c r="E204" s="19"/>
      <x:c r="F204" s="19"/>
      <x:c r="G204" s="26"/>
      <x:c r="H204" s="19"/>
      <x:c r="I204" s="19"/>
      <x:c r="J204" s="19"/>
      <x:c r="K204" s="19"/>
      <x:c r="L204" s="19"/>
      <x:c r="M204" s="26"/>
      <x:c r="N204" s="19"/>
      <x:c r="O204" s="19"/>
    </x:row>
    <x:row r="205">
      <x:c r="A205" s="19"/>
      <x:c r="B205" s="19"/>
      <x:c r="C205" s="19"/>
      <x:c r="D205" s="19"/>
      <x:c r="E205" s="19"/>
      <x:c r="F205" s="19"/>
      <x:c r="G205" s="26"/>
      <x:c r="H205" s="19"/>
      <x:c r="I205" s="19"/>
      <x:c r="J205" s="19"/>
      <x:c r="K205" s="19"/>
      <x:c r="L205" s="19"/>
      <x:c r="M205" s="26"/>
      <x:c r="N205" s="19"/>
      <x:c r="O205" s="19"/>
    </x:row>
    <x:row r="206">
      <x:c r="A206" s="19"/>
      <x:c r="B206" s="19"/>
      <x:c r="C206" s="19"/>
      <x:c r="D206" s="19"/>
      <x:c r="E206" s="19"/>
      <x:c r="F206" s="19"/>
      <x:c r="G206" s="26"/>
      <x:c r="H206" s="19"/>
      <x:c r="I206" s="19"/>
      <x:c r="J206" s="19"/>
      <x:c r="K206" s="19"/>
      <x:c r="L206" s="19"/>
      <x:c r="M206" s="26"/>
      <x:c r="N206" s="19"/>
      <x:c r="O206" s="19"/>
    </x:row>
    <x:row r="207">
      <x:c r="A207" s="19"/>
      <x:c r="B207" s="19"/>
      <x:c r="C207" s="19"/>
      <x:c r="D207" s="19"/>
      <x:c r="E207" s="19"/>
      <x:c r="F207" s="19"/>
      <x:c r="G207" s="26"/>
      <x:c r="H207" s="19"/>
      <x:c r="I207" s="19"/>
      <x:c r="J207" s="19"/>
      <x:c r="K207" s="19"/>
      <x:c r="L207" s="19"/>
      <x:c r="M207" s="26"/>
      <x:c r="N207" s="19"/>
      <x:c r="O207" s="19"/>
    </x:row>
    <x:row r="208">
      <x:c r="A208" s="19"/>
      <x:c r="B208" s="19"/>
      <x:c r="C208" s="19"/>
      <x:c r="D208" s="19"/>
      <x:c r="E208" s="19"/>
      <x:c r="F208" s="19"/>
      <x:c r="G208" s="26"/>
      <x:c r="H208" s="19"/>
      <x:c r="I208" s="19"/>
      <x:c r="J208" s="19"/>
      <x:c r="K208" s="19"/>
      <x:c r="L208" s="19"/>
      <x:c r="M208" s="26"/>
      <x:c r="N208" s="19"/>
      <x:c r="O208" s="19"/>
    </x:row>
    <x:row r="209">
      <x:c r="A209" s="19"/>
      <x:c r="B209" s="19"/>
      <x:c r="C209" s="19"/>
      <x:c r="D209" s="19"/>
      <x:c r="E209" s="19"/>
      <x:c r="F209" s="19"/>
      <x:c r="G209" s="26"/>
      <x:c r="H209" s="19"/>
      <x:c r="I209" s="19"/>
      <x:c r="J209" s="19"/>
      <x:c r="K209" s="19"/>
      <x:c r="L209" s="19"/>
      <x:c r="M209" s="26"/>
      <x:c r="N209" s="19"/>
      <x:c r="O209" s="19"/>
    </x:row>
    <x:row r="210">
      <x:c r="A210" s="19"/>
      <x:c r="B210" s="19"/>
      <x:c r="C210" s="19"/>
      <x:c r="D210" s="19"/>
      <x:c r="E210" s="19"/>
      <x:c r="F210" s="19"/>
      <x:c r="G210" s="26"/>
      <x:c r="H210" s="19"/>
      <x:c r="I210" s="19"/>
      <x:c r="J210" s="19"/>
      <x:c r="K210" s="19"/>
      <x:c r="L210" s="19"/>
      <x:c r="M210" s="26"/>
      <x:c r="N210" s="19"/>
      <x:c r="O210" s="19"/>
    </x:row>
    <x:row r="211">
      <x:c r="A211" s="19"/>
      <x:c r="B211" s="19"/>
      <x:c r="C211" s="19"/>
      <x:c r="D211" s="19"/>
      <x:c r="E211" s="19"/>
      <x:c r="F211" s="19"/>
      <x:c r="G211" s="26"/>
      <x:c r="H211" s="19"/>
      <x:c r="I211" s="19"/>
      <x:c r="J211" s="19"/>
      <x:c r="K211" s="19"/>
      <x:c r="L211" s="19"/>
      <x:c r="M211" s="26"/>
      <x:c r="N211" s="19"/>
      <x:c r="O211" s="19"/>
    </x:row>
    <x:row r="212">
      <x:c r="A212" s="19"/>
      <x:c r="B212" s="19"/>
      <x:c r="C212" s="19"/>
      <x:c r="D212" s="19"/>
      <x:c r="E212" s="19"/>
      <x:c r="F212" s="19"/>
      <x:c r="G212" s="26"/>
      <x:c r="H212" s="19"/>
      <x:c r="I212" s="19"/>
      <x:c r="J212" s="19"/>
      <x:c r="K212" s="19"/>
      <x:c r="L212" s="19"/>
      <x:c r="M212" s="26"/>
      <x:c r="N212" s="19"/>
      <x:c r="O212" s="19"/>
    </x:row>
    <x:row r="213">
      <x:c r="A213" s="19"/>
      <x:c r="B213" s="19"/>
      <x:c r="C213" s="19"/>
      <x:c r="D213" s="19"/>
      <x:c r="E213" s="19"/>
      <x:c r="F213" s="19"/>
      <x:c r="G213" s="26"/>
      <x:c r="H213" s="19"/>
      <x:c r="I213" s="19"/>
      <x:c r="J213" s="19"/>
      <x:c r="K213" s="19"/>
      <x:c r="L213" s="19"/>
      <x:c r="M213" s="26"/>
      <x:c r="N213" s="19"/>
      <x:c r="O213" s="19"/>
    </x:row>
    <x:row r="214">
      <x:c r="A214" s="19"/>
      <x:c r="B214" s="19"/>
      <x:c r="C214" s="19"/>
      <x:c r="D214" s="19"/>
      <x:c r="E214" s="19"/>
      <x:c r="F214" s="19"/>
      <x:c r="G214" s="26"/>
      <x:c r="H214" s="19"/>
      <x:c r="I214" s="19"/>
      <x:c r="J214" s="19"/>
      <x:c r="K214" s="19"/>
      <x:c r="L214" s="19"/>
      <x:c r="M214" s="26"/>
      <x:c r="N214" s="19"/>
      <x:c r="O214" s="19"/>
    </x:row>
    <x:row r="215">
      <x:c r="A215" s="19"/>
      <x:c r="B215" s="19"/>
      <x:c r="C215" s="19"/>
      <x:c r="D215" s="19"/>
      <x:c r="E215" s="19"/>
      <x:c r="F215" s="19"/>
      <x:c r="G215" s="26"/>
      <x:c r="H215" s="19"/>
      <x:c r="I215" s="19"/>
      <x:c r="J215" s="19"/>
      <x:c r="K215" s="19"/>
      <x:c r="L215" s="19"/>
      <x:c r="M215" s="26"/>
      <x:c r="N215" s="19"/>
      <x:c r="O215" s="19"/>
    </x:row>
    <x:row r="216">
      <x:c r="A216" s="19"/>
      <x:c r="B216" s="19"/>
      <x:c r="C216" s="19"/>
      <x:c r="D216" s="19"/>
      <x:c r="E216" s="19"/>
      <x:c r="F216" s="19"/>
      <x:c r="G216" s="26"/>
      <x:c r="H216" s="19"/>
      <x:c r="I216" s="19"/>
      <x:c r="J216" s="19"/>
      <x:c r="K216" s="19"/>
      <x:c r="L216" s="19"/>
      <x:c r="M216" s="26"/>
      <x:c r="N216" s="19"/>
      <x:c r="O216" s="19"/>
    </x:row>
    <x:row r="217">
      <x:c r="A217" s="19"/>
      <x:c r="B217" s="19"/>
      <x:c r="C217" s="19"/>
      <x:c r="D217" s="19"/>
      <x:c r="E217" s="19"/>
      <x:c r="F217" s="19"/>
      <x:c r="G217" s="26"/>
      <x:c r="H217" s="19"/>
      <x:c r="I217" s="19"/>
      <x:c r="J217" s="19"/>
      <x:c r="K217" s="19"/>
      <x:c r="L217" s="19"/>
      <x:c r="M217" s="26"/>
      <x:c r="N217" s="19"/>
      <x:c r="O217" s="19"/>
    </x:row>
    <x:row r="218">
      <x:c r="A218" s="19"/>
      <x:c r="B218" s="19"/>
      <x:c r="C218" s="19"/>
      <x:c r="D218" s="19"/>
      <x:c r="E218" s="19"/>
      <x:c r="F218" s="19"/>
      <x:c r="G218" s="26"/>
      <x:c r="H218" s="19"/>
      <x:c r="I218" s="19"/>
      <x:c r="J218" s="19"/>
      <x:c r="K218" s="19"/>
      <x:c r="L218" s="19"/>
      <x:c r="M218" s="26"/>
      <x:c r="N218" s="19"/>
      <x:c r="O218" s="19"/>
    </x:row>
    <x:row r="219">
      <x:c r="A219" s="19"/>
      <x:c r="B219" s="19"/>
      <x:c r="C219" s="19"/>
      <x:c r="D219" s="19"/>
      <x:c r="E219" s="19"/>
      <x:c r="F219" s="19"/>
      <x:c r="G219" s="26"/>
      <x:c r="H219" s="19"/>
      <x:c r="I219" s="19"/>
      <x:c r="J219" s="19"/>
      <x:c r="K219" s="19"/>
      <x:c r="L219" s="19"/>
      <x:c r="M219" s="26"/>
      <x:c r="N219" s="19"/>
      <x:c r="O219" s="19"/>
    </x:row>
    <x:row r="220">
      <x:c r="A220" s="19"/>
      <x:c r="B220" s="19"/>
      <x:c r="C220" s="19"/>
      <x:c r="D220" s="19"/>
      <x:c r="E220" s="19"/>
      <x:c r="F220" s="19"/>
      <x:c r="G220" s="26"/>
      <x:c r="H220" s="19"/>
      <x:c r="I220" s="19"/>
      <x:c r="J220" s="19"/>
      <x:c r="K220" s="19"/>
      <x:c r="L220" s="19"/>
      <x:c r="M220" s="26"/>
      <x:c r="N220" s="19"/>
      <x:c r="O220" s="19"/>
    </x:row>
    <x:row r="221">
      <x:c r="A221" s="19"/>
      <x:c r="B221" s="19"/>
      <x:c r="C221" s="19"/>
      <x:c r="D221" s="19"/>
      <x:c r="E221" s="19"/>
      <x:c r="F221" s="19"/>
      <x:c r="G221" s="26"/>
      <x:c r="H221" s="19"/>
      <x:c r="I221" s="19"/>
      <x:c r="J221" s="19"/>
      <x:c r="K221" s="19"/>
      <x:c r="L221" s="19"/>
      <x:c r="M221" s="26"/>
      <x:c r="N221" s="19"/>
      <x:c r="O221" s="19"/>
    </x:row>
    <x:row r="222">
      <x:c r="A222" s="19"/>
      <x:c r="B222" s="19"/>
      <x:c r="C222" s="19"/>
      <x:c r="D222" s="19"/>
      <x:c r="E222" s="19"/>
      <x:c r="F222" s="19"/>
      <x:c r="G222" s="26"/>
      <x:c r="H222" s="19"/>
      <x:c r="I222" s="19"/>
      <x:c r="J222" s="19"/>
      <x:c r="K222" s="19"/>
      <x:c r="L222" s="19"/>
      <x:c r="M222" s="26"/>
      <x:c r="N222" s="19"/>
      <x:c r="O222" s="19"/>
    </x:row>
    <x:row r="223">
      <x:c r="A223" s="19"/>
      <x:c r="B223" s="19"/>
      <x:c r="C223" s="19"/>
      <x:c r="D223" s="19"/>
      <x:c r="E223" s="19"/>
      <x:c r="F223" s="19"/>
      <x:c r="G223" s="26"/>
      <x:c r="H223" s="19"/>
      <x:c r="I223" s="19"/>
      <x:c r="J223" s="19"/>
      <x:c r="K223" s="19"/>
      <x:c r="L223" s="19"/>
      <x:c r="M223" s="26"/>
      <x:c r="N223" s="19"/>
      <x:c r="O223" s="19"/>
    </x:row>
    <x:row r="224">
      <x:c r="A224" s="19"/>
      <x:c r="B224" s="19"/>
      <x:c r="C224" s="19"/>
      <x:c r="D224" s="19"/>
      <x:c r="E224" s="19"/>
      <x:c r="F224" s="19"/>
      <x:c r="G224" s="26"/>
      <x:c r="H224" s="19"/>
      <x:c r="I224" s="19"/>
      <x:c r="J224" s="19"/>
      <x:c r="K224" s="19"/>
      <x:c r="L224" s="19"/>
      <x:c r="M224" s="26"/>
      <x:c r="N224" s="19"/>
      <x:c r="O224" s="19"/>
    </x:row>
    <x:row r="225">
      <x:c r="A225" s="19"/>
      <x:c r="B225" s="19"/>
      <x:c r="C225" s="19"/>
      <x:c r="D225" s="19"/>
      <x:c r="E225" s="19"/>
      <x:c r="F225" s="19"/>
      <x:c r="G225" s="26"/>
      <x:c r="H225" s="19"/>
      <x:c r="I225" s="19"/>
      <x:c r="J225" s="19"/>
      <x:c r="K225" s="19"/>
      <x:c r="L225" s="19"/>
      <x:c r="M225" s="26"/>
      <x:c r="N225" s="19"/>
      <x:c r="O225" s="19"/>
    </x:row>
    <x:row r="226">
      <x:c r="A226" s="19"/>
      <x:c r="B226" s="19"/>
      <x:c r="C226" s="19"/>
      <x:c r="D226" s="19"/>
      <x:c r="E226" s="19"/>
      <x:c r="F226" s="19"/>
      <x:c r="G226" s="26"/>
      <x:c r="H226" s="19"/>
      <x:c r="I226" s="19"/>
      <x:c r="J226" s="19"/>
      <x:c r="K226" s="19"/>
      <x:c r="L226" s="19"/>
      <x:c r="M226" s="26"/>
      <x:c r="N226" s="19"/>
      <x:c r="O226" s="19"/>
    </x:row>
    <x:row r="227">
      <x:c r="A227" s="19"/>
      <x:c r="B227" s="19"/>
      <x:c r="C227" s="19"/>
      <x:c r="D227" s="19"/>
      <x:c r="E227" s="19"/>
      <x:c r="F227" s="19"/>
      <x:c r="G227" s="26"/>
      <x:c r="H227" s="19"/>
      <x:c r="I227" s="19"/>
      <x:c r="J227" s="19"/>
      <x:c r="K227" s="19"/>
      <x:c r="L227" s="19"/>
      <x:c r="M227" s="26"/>
      <x:c r="N227" s="19"/>
      <x:c r="O227" s="19"/>
    </x:row>
    <x:row r="228">
      <x:c r="A228" s="19"/>
      <x:c r="B228" s="19"/>
      <x:c r="C228" s="19"/>
      <x:c r="D228" s="19"/>
      <x:c r="E228" s="19"/>
      <x:c r="F228" s="19"/>
      <x:c r="G228" s="26"/>
      <x:c r="H228" s="19"/>
      <x:c r="I228" s="19"/>
      <x:c r="J228" s="19"/>
      <x:c r="K228" s="19"/>
      <x:c r="L228" s="19"/>
      <x:c r="M228" s="26"/>
      <x:c r="N228" s="19"/>
      <x:c r="O228" s="19"/>
    </x:row>
    <x:row r="229">
      <x:c r="A229" s="19"/>
      <x:c r="B229" s="19"/>
      <x:c r="C229" s="19"/>
      <x:c r="D229" s="19"/>
      <x:c r="E229" s="19"/>
      <x:c r="F229" s="19"/>
      <x:c r="G229" s="26"/>
      <x:c r="H229" s="19"/>
      <x:c r="I229" s="19"/>
      <x:c r="J229" s="19"/>
      <x:c r="K229" s="19"/>
      <x:c r="L229" s="19"/>
      <x:c r="M229" s="26"/>
      <x:c r="N229" s="19"/>
      <x:c r="O229" s="19"/>
    </x:row>
    <x:row r="230">
      <x:c r="A230" s="19"/>
      <x:c r="B230" s="19"/>
      <x:c r="C230" s="19"/>
      <x:c r="D230" s="19"/>
      <x:c r="E230" s="19"/>
      <x:c r="F230" s="19"/>
      <x:c r="G230" s="26"/>
      <x:c r="H230" s="19"/>
      <x:c r="I230" s="19"/>
      <x:c r="J230" s="19"/>
      <x:c r="K230" s="19"/>
      <x:c r="L230" s="19"/>
      <x:c r="M230" s="26"/>
      <x:c r="N230" s="19"/>
      <x:c r="O230" s="19"/>
    </x:row>
    <x:row r="231">
      <x:c r="A231" s="19"/>
      <x:c r="B231" s="19"/>
      <x:c r="C231" s="19"/>
      <x:c r="D231" s="19"/>
      <x:c r="E231" s="19"/>
      <x:c r="F231" s="19"/>
      <x:c r="G231" s="26"/>
      <x:c r="H231" s="19"/>
      <x:c r="I231" s="19"/>
      <x:c r="J231" s="19"/>
      <x:c r="K231" s="19"/>
      <x:c r="L231" s="19"/>
      <x:c r="M231" s="26"/>
      <x:c r="N231" s="19"/>
      <x:c r="O231" s="19"/>
    </x:row>
    <x:row r="232">
      <x:c r="A232" s="19"/>
      <x:c r="B232" s="19"/>
      <x:c r="C232" s="19"/>
      <x:c r="D232" s="19"/>
      <x:c r="E232" s="19"/>
      <x:c r="F232" s="19"/>
      <x:c r="G232" s="26"/>
      <x:c r="H232" s="19"/>
      <x:c r="I232" s="19"/>
      <x:c r="J232" s="19"/>
      <x:c r="K232" s="19"/>
      <x:c r="L232" s="19"/>
      <x:c r="M232" s="26"/>
      <x:c r="N232" s="19"/>
      <x:c r="O232" s="19"/>
    </x:row>
    <x:row r="233">
      <x:c r="A233" s="19"/>
      <x:c r="B233" s="19"/>
      <x:c r="C233" s="19"/>
      <x:c r="D233" s="19"/>
      <x:c r="E233" s="19"/>
      <x:c r="F233" s="19"/>
      <x:c r="G233" s="26"/>
      <x:c r="H233" s="19"/>
      <x:c r="I233" s="19"/>
      <x:c r="J233" s="19"/>
      <x:c r="K233" s="19"/>
      <x:c r="L233" s="19"/>
      <x:c r="M233" s="26"/>
      <x:c r="N233" s="19"/>
      <x:c r="O233" s="19"/>
    </x:row>
    <x:row r="234">
      <x:c r="A234" s="19"/>
      <x:c r="B234" s="19"/>
      <x:c r="C234" s="19"/>
      <x:c r="D234" s="19"/>
      <x:c r="E234" s="19"/>
      <x:c r="F234" s="19"/>
      <x:c r="G234" s="26"/>
      <x:c r="H234" s="19"/>
      <x:c r="I234" s="19"/>
      <x:c r="J234" s="19"/>
      <x:c r="K234" s="19"/>
      <x:c r="L234" s="19"/>
      <x:c r="M234" s="26"/>
      <x:c r="N234" s="19"/>
      <x:c r="O234" s="19"/>
    </x:row>
    <x:row r="235">
      <x:c r="A235" s="19"/>
      <x:c r="B235" s="19"/>
      <x:c r="C235" s="19"/>
      <x:c r="D235" s="19"/>
      <x:c r="E235" s="19"/>
      <x:c r="F235" s="19"/>
      <x:c r="G235" s="26"/>
      <x:c r="H235" s="19"/>
      <x:c r="I235" s="19"/>
      <x:c r="J235" s="19"/>
      <x:c r="K235" s="19"/>
      <x:c r="L235" s="19"/>
      <x:c r="M235" s="26"/>
      <x:c r="N235" s="19"/>
      <x:c r="O235" s="19"/>
    </x:row>
    <x:row r="236">
      <x:c r="A236" s="19"/>
      <x:c r="B236" s="19"/>
      <x:c r="C236" s="19"/>
      <x:c r="D236" s="19"/>
      <x:c r="E236" s="19"/>
      <x:c r="F236" s="19"/>
      <x:c r="G236" s="26"/>
      <x:c r="H236" s="19"/>
      <x:c r="I236" s="19"/>
      <x:c r="J236" s="19"/>
      <x:c r="K236" s="19"/>
      <x:c r="L236" s="19"/>
      <x:c r="M236" s="26"/>
      <x:c r="N236" s="19"/>
      <x:c r="O236" s="19"/>
    </x:row>
    <x:row r="237">
      <x:c r="A237" s="19"/>
      <x:c r="B237" s="19"/>
      <x:c r="C237" s="19"/>
      <x:c r="D237" s="19"/>
      <x:c r="E237" s="19"/>
      <x:c r="F237" s="19"/>
      <x:c r="G237" s="26"/>
      <x:c r="H237" s="19"/>
      <x:c r="I237" s="19"/>
      <x:c r="J237" s="19"/>
      <x:c r="K237" s="19"/>
      <x:c r="L237" s="19"/>
      <x:c r="M237" s="26"/>
      <x:c r="N237" s="19"/>
      <x:c r="O237" s="19"/>
    </x:row>
    <x:row r="238">
      <x:c r="A238" s="19"/>
      <x:c r="B238" s="19"/>
      <x:c r="C238" s="19"/>
      <x:c r="D238" s="19"/>
      <x:c r="E238" s="19"/>
      <x:c r="F238" s="19"/>
      <x:c r="G238" s="26"/>
      <x:c r="H238" s="19"/>
      <x:c r="I238" s="19"/>
      <x:c r="J238" s="19"/>
      <x:c r="K238" s="19"/>
      <x:c r="L238" s="19"/>
      <x:c r="M238" s="26"/>
      <x:c r="N238" s="19"/>
      <x:c r="O238" s="19"/>
    </x:row>
    <x:row r="239">
      <x:c r="A239" s="19"/>
      <x:c r="B239" s="19"/>
      <x:c r="C239" s="19"/>
      <x:c r="D239" s="19"/>
      <x:c r="E239" s="19"/>
      <x:c r="F239" s="19"/>
      <x:c r="G239" s="26"/>
      <x:c r="H239" s="19"/>
      <x:c r="I239" s="19"/>
      <x:c r="J239" s="19"/>
      <x:c r="K239" s="19"/>
      <x:c r="L239" s="19"/>
      <x:c r="M239" s="26"/>
      <x:c r="N239" s="19"/>
      <x:c r="O239" s="19"/>
    </x:row>
    <x:row r="240">
      <x:c r="A240" s="19"/>
      <x:c r="B240" s="19"/>
      <x:c r="C240" s="19"/>
      <x:c r="D240" s="19"/>
      <x:c r="E240" s="19"/>
      <x:c r="F240" s="19"/>
      <x:c r="G240" s="26"/>
      <x:c r="H240" s="19"/>
      <x:c r="I240" s="19"/>
      <x:c r="J240" s="19"/>
      <x:c r="K240" s="19"/>
      <x:c r="L240" s="19"/>
      <x:c r="M240" s="26"/>
      <x:c r="N240" s="19"/>
      <x:c r="O240" s="19"/>
    </x:row>
    <x:row r="241">
      <x:c r="A241" s="19"/>
      <x:c r="B241" s="19"/>
      <x:c r="C241" s="19"/>
      <x:c r="D241" s="19"/>
      <x:c r="E241" s="19"/>
      <x:c r="F241" s="19"/>
      <x:c r="G241" s="26"/>
      <x:c r="H241" s="19"/>
      <x:c r="I241" s="19"/>
      <x:c r="J241" s="19"/>
      <x:c r="K241" s="19"/>
      <x:c r="L241" s="19"/>
      <x:c r="M241" s="26"/>
      <x:c r="N241" s="19"/>
      <x:c r="O241" s="19"/>
    </x:row>
    <x:row r="242">
      <x:c r="A242" s="19"/>
      <x:c r="B242" s="19"/>
      <x:c r="C242" s="19"/>
      <x:c r="D242" s="19"/>
      <x:c r="E242" s="19"/>
      <x:c r="F242" s="19"/>
      <x:c r="G242" s="26"/>
      <x:c r="H242" s="19"/>
      <x:c r="I242" s="19"/>
      <x:c r="J242" s="19"/>
      <x:c r="K242" s="19"/>
      <x:c r="L242" s="19"/>
      <x:c r="M242" s="26"/>
      <x:c r="N242" s="19"/>
      <x:c r="O242" s="19"/>
    </x:row>
    <x:row r="243">
      <x:c r="A243" s="19"/>
      <x:c r="B243" s="19"/>
      <x:c r="C243" s="19"/>
      <x:c r="D243" s="19"/>
      <x:c r="E243" s="19"/>
      <x:c r="F243" s="19"/>
      <x:c r="G243" s="26"/>
      <x:c r="H243" s="19"/>
      <x:c r="I243" s="19"/>
      <x:c r="J243" s="19"/>
      <x:c r="K243" s="19"/>
      <x:c r="L243" s="19"/>
      <x:c r="M243" s="26"/>
      <x:c r="N243" s="19"/>
      <x:c r="O243" s="19"/>
    </x:row>
    <x:row r="244">
      <x:c r="A244" s="19"/>
      <x:c r="B244" s="19"/>
      <x:c r="C244" s="19"/>
      <x:c r="D244" s="19"/>
      <x:c r="E244" s="19"/>
      <x:c r="F244" s="19"/>
      <x:c r="G244" s="26"/>
      <x:c r="H244" s="19"/>
      <x:c r="I244" s="19"/>
      <x:c r="J244" s="19"/>
      <x:c r="K244" s="19"/>
      <x:c r="L244" s="19"/>
      <x:c r="M244" s="26"/>
      <x:c r="N244" s="19"/>
      <x:c r="O244" s="19"/>
    </x:row>
    <x:row r="245">
      <x:c r="A245" s="19"/>
      <x:c r="B245" s="19"/>
      <x:c r="C245" s="19"/>
      <x:c r="D245" s="19"/>
      <x:c r="E245" s="19"/>
      <x:c r="F245" s="19"/>
      <x:c r="G245" s="26"/>
      <x:c r="H245" s="19"/>
      <x:c r="I245" s="19"/>
      <x:c r="J245" s="19"/>
      <x:c r="K245" s="19"/>
      <x:c r="L245" s="19"/>
      <x:c r="M245" s="26"/>
      <x:c r="N245" s="19"/>
      <x:c r="O245" s="19"/>
    </x:row>
    <x:row r="246">
      <x:c r="A246" s="19"/>
      <x:c r="B246" s="19"/>
      <x:c r="C246" s="19"/>
      <x:c r="D246" s="19"/>
      <x:c r="E246" s="19"/>
      <x:c r="F246" s="19"/>
      <x:c r="G246" s="26"/>
      <x:c r="H246" s="19"/>
      <x:c r="I246" s="19"/>
      <x:c r="J246" s="19"/>
      <x:c r="K246" s="19"/>
      <x:c r="L246" s="19"/>
      <x:c r="M246" s="26"/>
      <x:c r="N246" s="19"/>
      <x:c r="O246" s="19"/>
    </x:row>
    <x:row r="247">
      <x:c r="A247" s="19"/>
      <x:c r="B247" s="19"/>
      <x:c r="C247" s="19"/>
      <x:c r="D247" s="19"/>
      <x:c r="E247" s="19"/>
      <x:c r="F247" s="19"/>
      <x:c r="G247" s="26"/>
      <x:c r="H247" s="19"/>
      <x:c r="I247" s="19"/>
      <x:c r="J247" s="19"/>
      <x:c r="K247" s="19"/>
      <x:c r="L247" s="19"/>
      <x:c r="M247" s="26"/>
      <x:c r="N247" s="19"/>
      <x:c r="O247" s="19"/>
    </x:row>
    <x:row r="248">
      <x:c r="A248" s="19"/>
      <x:c r="B248" s="19"/>
      <x:c r="C248" s="19"/>
      <x:c r="D248" s="19"/>
      <x:c r="E248" s="19"/>
      <x:c r="F248" s="19"/>
      <x:c r="G248" s="26"/>
      <x:c r="H248" s="19"/>
      <x:c r="I248" s="19"/>
      <x:c r="J248" s="19"/>
      <x:c r="K248" s="19"/>
      <x:c r="L248" s="19"/>
      <x:c r="M248" s="26"/>
      <x:c r="N248" s="19"/>
      <x:c r="O248" s="19"/>
    </x:row>
    <x:row r="249">
      <x:c r="A249" s="19"/>
      <x:c r="B249" s="19"/>
      <x:c r="C249" s="19"/>
      <x:c r="D249" s="19"/>
      <x:c r="E249" s="19"/>
      <x:c r="F249" s="19"/>
      <x:c r="G249" s="26"/>
      <x:c r="H249" s="19"/>
      <x:c r="I249" s="19"/>
      <x:c r="J249" s="19"/>
      <x:c r="K249" s="19"/>
      <x:c r="L249" s="19"/>
      <x:c r="M249" s="26"/>
      <x:c r="N249" s="19"/>
      <x:c r="O249" s="19"/>
    </x:row>
    <x:row r="250">
      <x:c r="A250" s="19"/>
      <x:c r="B250" s="19"/>
      <x:c r="C250" s="19"/>
      <x:c r="D250" s="19"/>
      <x:c r="E250" s="19"/>
      <x:c r="F250" s="19"/>
      <x:c r="G250" s="26"/>
      <x:c r="H250" s="19"/>
      <x:c r="I250" s="19"/>
      <x:c r="J250" s="19"/>
      <x:c r="K250" s="19"/>
      <x:c r="L250" s="19"/>
      <x:c r="M250" s="26"/>
      <x:c r="N250" s="19"/>
      <x:c r="O250" s="19"/>
    </x:row>
    <x:row r="251">
      <x:c r="A251" s="19"/>
      <x:c r="B251" s="19"/>
      <x:c r="C251" s="19"/>
      <x:c r="D251" s="19"/>
      <x:c r="E251" s="19"/>
      <x:c r="F251" s="19"/>
      <x:c r="G251" s="26"/>
      <x:c r="H251" s="19"/>
      <x:c r="I251" s="19"/>
      <x:c r="J251" s="19"/>
      <x:c r="K251" s="19"/>
      <x:c r="L251" s="19"/>
      <x:c r="M251" s="26"/>
      <x:c r="N251" s="19"/>
      <x:c r="O251" s="19"/>
    </x:row>
    <x:row r="252">
      <x:c r="A252" s="19"/>
      <x:c r="B252" s="19"/>
      <x:c r="C252" s="19"/>
      <x:c r="D252" s="19"/>
      <x:c r="E252" s="19"/>
      <x:c r="F252" s="19"/>
      <x:c r="G252" s="26"/>
      <x:c r="H252" s="19"/>
      <x:c r="I252" s="19"/>
      <x:c r="J252" s="19"/>
      <x:c r="K252" s="19"/>
      <x:c r="L252" s="19"/>
      <x:c r="M252" s="26"/>
      <x:c r="N252" s="19"/>
      <x:c r="O252" s="19"/>
    </x:row>
    <x:row r="253">
      <x:c r="A253" s="19"/>
      <x:c r="B253" s="19"/>
      <x:c r="C253" s="19"/>
      <x:c r="D253" s="19"/>
      <x:c r="E253" s="19"/>
      <x:c r="F253" s="19"/>
      <x:c r="G253" s="26"/>
      <x:c r="H253" s="19"/>
      <x:c r="I253" s="19"/>
      <x:c r="J253" s="19"/>
      <x:c r="K253" s="19"/>
      <x:c r="L253" s="19"/>
      <x:c r="M253" s="26"/>
      <x:c r="N253" s="19"/>
      <x:c r="O253" s="19"/>
    </x:row>
    <x:row r="254">
      <x:c r="A254" s="19"/>
      <x:c r="B254" s="19"/>
      <x:c r="C254" s="19"/>
      <x:c r="D254" s="19"/>
      <x:c r="E254" s="19"/>
      <x:c r="F254" s="19"/>
      <x:c r="G254" s="26"/>
      <x:c r="H254" s="19"/>
      <x:c r="I254" s="19"/>
      <x:c r="J254" s="19"/>
      <x:c r="K254" s="19"/>
      <x:c r="L254" s="19"/>
      <x:c r="M254" s="26"/>
      <x:c r="N254" s="19"/>
      <x:c r="O254" s="19"/>
    </x:row>
    <x:row r="255">
      <x:c r="A255" s="19"/>
      <x:c r="B255" s="19"/>
      <x:c r="C255" s="19"/>
      <x:c r="D255" s="19"/>
      <x:c r="E255" s="19"/>
      <x:c r="F255" s="19"/>
      <x:c r="G255" s="26"/>
      <x:c r="H255" s="19"/>
      <x:c r="I255" s="19"/>
      <x:c r="J255" s="19"/>
      <x:c r="K255" s="19"/>
      <x:c r="L255" s="19"/>
      <x:c r="M255" s="26"/>
      <x:c r="N255" s="19"/>
      <x:c r="O255" s="19"/>
    </x:row>
    <x:row r="256">
      <x:c r="A256" s="19"/>
      <x:c r="B256" s="19"/>
      <x:c r="C256" s="19"/>
      <x:c r="D256" s="19"/>
      <x:c r="E256" s="19"/>
      <x:c r="F256" s="19"/>
      <x:c r="G256" s="26"/>
      <x:c r="H256" s="19"/>
      <x:c r="I256" s="19"/>
      <x:c r="J256" s="19"/>
      <x:c r="K256" s="19"/>
      <x:c r="L256" s="19"/>
      <x:c r="M256" s="26"/>
      <x:c r="N256" s="19"/>
      <x:c r="O256" s="19"/>
    </x:row>
    <x:row r="257">
      <x:c r="A257" s="19"/>
      <x:c r="B257" s="19"/>
      <x:c r="C257" s="19"/>
      <x:c r="D257" s="19"/>
      <x:c r="E257" s="19"/>
      <x:c r="F257" s="19"/>
      <x:c r="G257" s="26"/>
      <x:c r="H257" s="19"/>
      <x:c r="I257" s="19"/>
      <x:c r="J257" s="19"/>
      <x:c r="K257" s="19"/>
      <x:c r="L257" s="19"/>
      <x:c r="M257" s="26"/>
      <x:c r="N257" s="19"/>
      <x:c r="O257" s="19"/>
    </x:row>
    <x:row r="258">
      <x:c r="A258" s="19"/>
      <x:c r="B258" s="19"/>
      <x:c r="C258" s="19"/>
      <x:c r="D258" s="19"/>
      <x:c r="E258" s="19"/>
      <x:c r="F258" s="19"/>
      <x:c r="G258" s="26"/>
      <x:c r="H258" s="19"/>
      <x:c r="I258" s="19"/>
      <x:c r="J258" s="19"/>
      <x:c r="K258" s="19"/>
      <x:c r="L258" s="19"/>
      <x:c r="M258" s="26"/>
      <x:c r="N258" s="19"/>
      <x:c r="O258" s="19"/>
    </x:row>
    <x:row r="259">
      <x:c r="A259" s="19"/>
      <x:c r="B259" s="19"/>
      <x:c r="C259" s="19"/>
      <x:c r="D259" s="19"/>
      <x:c r="E259" s="19"/>
      <x:c r="F259" s="19"/>
      <x:c r="G259" s="26"/>
      <x:c r="H259" s="19"/>
      <x:c r="I259" s="19"/>
      <x:c r="J259" s="19"/>
      <x:c r="K259" s="19"/>
      <x:c r="L259" s="19"/>
      <x:c r="M259" s="26"/>
      <x:c r="N259" s="19"/>
      <x:c r="O259" s="19"/>
    </x:row>
    <x:row r="260">
      <x:c r="A260" s="19"/>
      <x:c r="B260" s="19"/>
      <x:c r="C260" s="19"/>
      <x:c r="D260" s="19"/>
      <x:c r="E260" s="19"/>
      <x:c r="F260" s="19"/>
      <x:c r="G260" s="26"/>
      <x:c r="H260" s="19"/>
      <x:c r="I260" s="19"/>
      <x:c r="J260" s="19"/>
      <x:c r="K260" s="19"/>
      <x:c r="L260" s="19"/>
      <x:c r="M260" s="26"/>
      <x:c r="N260" s="19"/>
      <x:c r="O260" s="19"/>
    </x:row>
    <x:row r="261">
      <x:c r="A261" s="19"/>
      <x:c r="B261" s="19"/>
      <x:c r="C261" s="19"/>
      <x:c r="D261" s="19"/>
      <x:c r="E261" s="19"/>
      <x:c r="F261" s="19"/>
      <x:c r="G261" s="26"/>
      <x:c r="H261" s="19"/>
      <x:c r="I261" s="19"/>
      <x:c r="J261" s="19"/>
      <x:c r="K261" s="19"/>
      <x:c r="L261" s="19"/>
      <x:c r="M261" s="26"/>
      <x:c r="N261" s="19"/>
      <x:c r="O261" s="19"/>
    </x:row>
    <x:row r="262">
      <x:c r="A262" s="19"/>
      <x:c r="B262" s="19"/>
      <x:c r="C262" s="19"/>
      <x:c r="D262" s="19"/>
      <x:c r="E262" s="19"/>
      <x:c r="F262" s="19"/>
      <x:c r="G262" s="26"/>
      <x:c r="H262" s="19"/>
      <x:c r="I262" s="19"/>
      <x:c r="J262" s="19"/>
      <x:c r="K262" s="19"/>
      <x:c r="L262" s="19"/>
      <x:c r="M262" s="26"/>
      <x:c r="N262" s="19"/>
      <x:c r="O262" s="19"/>
    </x:row>
    <x:row r="263">
      <x:c r="A263" s="19"/>
      <x:c r="B263" s="19"/>
      <x:c r="C263" s="19"/>
      <x:c r="D263" s="19"/>
      <x:c r="E263" s="19"/>
      <x:c r="F263" s="19"/>
      <x:c r="G263" s="26"/>
      <x:c r="H263" s="19"/>
      <x:c r="I263" s="19"/>
      <x:c r="J263" s="19"/>
      <x:c r="K263" s="19"/>
      <x:c r="L263" s="19"/>
      <x:c r="M263" s="26"/>
      <x:c r="N263" s="19"/>
      <x:c r="O263" s="19"/>
    </x:row>
    <x:row r="264">
      <x:c r="A264" s="19"/>
      <x:c r="B264" s="19"/>
      <x:c r="C264" s="19"/>
      <x:c r="D264" s="19"/>
      <x:c r="E264" s="19"/>
      <x:c r="F264" s="19"/>
      <x:c r="G264" s="26"/>
      <x:c r="H264" s="19"/>
      <x:c r="I264" s="19"/>
      <x:c r="J264" s="19"/>
      <x:c r="K264" s="19"/>
      <x:c r="L264" s="19"/>
      <x:c r="M264" s="26"/>
      <x:c r="N264" s="19"/>
      <x:c r="O264" s="19"/>
    </x:row>
    <x:row r="265">
      <x:c r="A265" s="19"/>
      <x:c r="B265" s="19"/>
      <x:c r="C265" s="19"/>
      <x:c r="D265" s="19"/>
      <x:c r="E265" s="19"/>
      <x:c r="F265" s="19"/>
      <x:c r="G265" s="26"/>
      <x:c r="H265" s="19"/>
      <x:c r="I265" s="19"/>
      <x:c r="J265" s="19"/>
      <x:c r="K265" s="19"/>
      <x:c r="L265" s="19"/>
      <x:c r="M265" s="26"/>
      <x:c r="N265" s="19"/>
      <x:c r="O265" s="19"/>
    </x:row>
    <x:row r="266">
      <x:c r="A266" s="19"/>
      <x:c r="B266" s="19"/>
      <x:c r="C266" s="19"/>
      <x:c r="D266" s="19"/>
      <x:c r="E266" s="19"/>
      <x:c r="F266" s="19"/>
      <x:c r="G266" s="26"/>
      <x:c r="H266" s="19"/>
      <x:c r="I266" s="19"/>
      <x:c r="J266" s="19"/>
      <x:c r="K266" s="19"/>
      <x:c r="L266" s="19"/>
      <x:c r="M266" s="26"/>
      <x:c r="N266" s="19"/>
      <x:c r="O266" s="19"/>
    </x:row>
    <x:row r="267">
      <x:c r="A267" s="19"/>
      <x:c r="B267" s="19"/>
      <x:c r="C267" s="19"/>
      <x:c r="D267" s="19"/>
      <x:c r="E267" s="19"/>
      <x:c r="F267" s="19"/>
      <x:c r="G267" s="26"/>
      <x:c r="H267" s="19"/>
      <x:c r="I267" s="19"/>
      <x:c r="J267" s="19"/>
      <x:c r="K267" s="19"/>
      <x:c r="L267" s="19"/>
      <x:c r="M267" s="26"/>
      <x:c r="N267" s="19"/>
      <x:c r="O267" s="19"/>
    </x:row>
    <x:row r="268">
      <x:c r="A268" s="19"/>
      <x:c r="B268" s="19"/>
      <x:c r="C268" s="19"/>
      <x:c r="D268" s="19"/>
      <x:c r="E268" s="19"/>
      <x:c r="F268" s="19"/>
      <x:c r="G268" s="26"/>
      <x:c r="H268" s="19"/>
      <x:c r="I268" s="19"/>
      <x:c r="J268" s="19"/>
      <x:c r="K268" s="19"/>
      <x:c r="L268" s="19"/>
      <x:c r="M268" s="26"/>
      <x:c r="N268" s="19"/>
      <x:c r="O268" s="19"/>
    </x:row>
    <x:row r="269">
      <x:c r="A269" s="19"/>
      <x:c r="B269" s="19"/>
      <x:c r="C269" s="19"/>
      <x:c r="D269" s="19"/>
      <x:c r="E269" s="19"/>
      <x:c r="F269" s="19"/>
      <x:c r="G269" s="26"/>
      <x:c r="H269" s="19"/>
      <x:c r="I269" s="19"/>
      <x:c r="J269" s="19"/>
      <x:c r="K269" s="19"/>
      <x:c r="L269" s="19"/>
      <x:c r="M269" s="26"/>
      <x:c r="N269" s="19"/>
      <x:c r="O269" s="19"/>
    </x:row>
    <x:row r="270">
      <x:c r="A270" s="19"/>
      <x:c r="B270" s="19"/>
      <x:c r="C270" s="19"/>
      <x:c r="D270" s="19"/>
      <x:c r="E270" s="19"/>
      <x:c r="F270" s="19"/>
      <x:c r="G270" s="26"/>
      <x:c r="H270" s="19"/>
      <x:c r="I270" s="19"/>
      <x:c r="J270" s="19"/>
      <x:c r="K270" s="19"/>
      <x:c r="L270" s="19"/>
      <x:c r="M270" s="26"/>
      <x:c r="N270" s="19"/>
      <x:c r="O270" s="19"/>
    </x:row>
    <x:row r="271">
      <x:c r="A271" s="19"/>
      <x:c r="B271" s="19"/>
      <x:c r="C271" s="19"/>
      <x:c r="D271" s="19"/>
      <x:c r="E271" s="19"/>
      <x:c r="F271" s="19"/>
      <x:c r="G271" s="26"/>
      <x:c r="H271" s="19"/>
      <x:c r="I271" s="19"/>
      <x:c r="J271" s="19"/>
      <x:c r="K271" s="19"/>
      <x:c r="L271" s="19"/>
      <x:c r="M271" s="26"/>
      <x:c r="N271" s="19"/>
      <x:c r="O271" s="19"/>
    </x:row>
    <x:row r="272">
      <x:c r="A272" s="19"/>
      <x:c r="B272" s="19"/>
      <x:c r="C272" s="19"/>
      <x:c r="D272" s="19"/>
      <x:c r="E272" s="19"/>
      <x:c r="F272" s="19"/>
      <x:c r="G272" s="26"/>
      <x:c r="H272" s="19"/>
      <x:c r="I272" s="19"/>
      <x:c r="J272" s="19"/>
      <x:c r="K272" s="19"/>
      <x:c r="L272" s="19"/>
      <x:c r="M272" s="26"/>
      <x:c r="N272" s="19"/>
      <x:c r="O272" s="19"/>
    </x:row>
    <x:row r="273">
      <x:c r="A273" s="19"/>
      <x:c r="B273" s="19"/>
      <x:c r="C273" s="19"/>
      <x:c r="D273" s="19"/>
      <x:c r="E273" s="19"/>
      <x:c r="F273" s="19"/>
      <x:c r="G273" s="26"/>
      <x:c r="H273" s="19"/>
      <x:c r="I273" s="19"/>
      <x:c r="J273" s="19"/>
      <x:c r="K273" s="19"/>
      <x:c r="L273" s="19"/>
      <x:c r="M273" s="26"/>
      <x:c r="N273" s="19"/>
      <x:c r="O273" s="19"/>
    </x:row>
    <x:row r="274">
      <x:c r="A274" s="19"/>
      <x:c r="B274" s="19"/>
      <x:c r="C274" s="19"/>
      <x:c r="D274" s="19"/>
      <x:c r="E274" s="19"/>
      <x:c r="F274" s="19"/>
      <x:c r="G274" s="26"/>
      <x:c r="H274" s="19"/>
      <x:c r="I274" s="19"/>
      <x:c r="J274" s="19"/>
      <x:c r="K274" s="19"/>
      <x:c r="L274" s="19"/>
      <x:c r="M274" s="26"/>
      <x:c r="N274" s="19"/>
      <x:c r="O274" s="19"/>
    </x:row>
    <x:row r="275">
      <x:c r="A275" s="19"/>
      <x:c r="B275" s="19"/>
      <x:c r="C275" s="19"/>
      <x:c r="D275" s="19"/>
      <x:c r="E275" s="19"/>
      <x:c r="F275" s="19"/>
      <x:c r="G275" s="26"/>
      <x:c r="H275" s="19"/>
      <x:c r="I275" s="19"/>
      <x:c r="J275" s="19"/>
      <x:c r="K275" s="19"/>
      <x:c r="L275" s="19"/>
      <x:c r="M275" s="26"/>
      <x:c r="N275" s="19"/>
      <x:c r="O275" s="19"/>
    </x:row>
    <x:row r="276">
      <x:c r="A276" s="19"/>
      <x:c r="B276" s="19"/>
      <x:c r="C276" s="19"/>
      <x:c r="D276" s="19"/>
      <x:c r="E276" s="19"/>
      <x:c r="F276" s="19"/>
      <x:c r="G276" s="26"/>
      <x:c r="H276" s="19"/>
      <x:c r="I276" s="19"/>
      <x:c r="J276" s="19"/>
      <x:c r="K276" s="19"/>
      <x:c r="L276" s="19"/>
      <x:c r="M276" s="26"/>
      <x:c r="N276" s="19"/>
      <x:c r="O276" s="19"/>
    </x:row>
    <x:row r="277">
      <x:c r="A277" s="19"/>
      <x:c r="B277" s="19"/>
      <x:c r="C277" s="19"/>
      <x:c r="D277" s="19"/>
      <x:c r="E277" s="19"/>
      <x:c r="F277" s="19"/>
      <x:c r="G277" s="26"/>
      <x:c r="H277" s="19"/>
      <x:c r="I277" s="19"/>
      <x:c r="J277" s="19"/>
      <x:c r="K277" s="19"/>
      <x:c r="L277" s="19"/>
      <x:c r="M277" s="26"/>
      <x:c r="N277" s="19"/>
      <x:c r="O277" s="19"/>
    </x:row>
    <x:row r="278">
      <x:c r="A278" s="19"/>
      <x:c r="B278" s="19"/>
      <x:c r="C278" s="19"/>
      <x:c r="D278" s="19"/>
      <x:c r="E278" s="19"/>
      <x:c r="F278" s="19"/>
      <x:c r="G278" s="26"/>
      <x:c r="H278" s="19"/>
      <x:c r="I278" s="19"/>
      <x:c r="J278" s="19"/>
      <x:c r="K278" s="19"/>
      <x:c r="L278" s="19"/>
      <x:c r="M278" s="26"/>
      <x:c r="N278" s="19"/>
      <x:c r="O278" s="19"/>
    </x:row>
    <x:row r="279">
      <x:c r="A279" s="19"/>
      <x:c r="B279" s="19"/>
      <x:c r="C279" s="19"/>
      <x:c r="D279" s="19"/>
      <x:c r="E279" s="19"/>
      <x:c r="F279" s="19"/>
      <x:c r="G279" s="26"/>
      <x:c r="H279" s="19"/>
      <x:c r="I279" s="19"/>
      <x:c r="J279" s="19"/>
      <x:c r="K279" s="19"/>
      <x:c r="L279" s="19"/>
      <x:c r="M279" s="26"/>
      <x:c r="N279" s="19"/>
      <x:c r="O279" s="19"/>
    </x:row>
    <x:row r="280">
      <x:c r="A280" s="19"/>
      <x:c r="B280" s="19"/>
      <x:c r="C280" s="19"/>
      <x:c r="D280" s="19"/>
      <x:c r="E280" s="19"/>
      <x:c r="F280" s="19"/>
      <x:c r="G280" s="26"/>
      <x:c r="H280" s="19"/>
      <x:c r="I280" s="19"/>
      <x:c r="J280" s="19"/>
      <x:c r="K280" s="19"/>
      <x:c r="L280" s="19"/>
      <x:c r="M280" s="26"/>
      <x:c r="N280" s="19"/>
      <x:c r="O280" s="19"/>
    </x:row>
    <x:row r="281">
      <x:c r="A281" s="19"/>
      <x:c r="B281" s="19"/>
      <x:c r="C281" s="19"/>
      <x:c r="D281" s="19"/>
      <x:c r="E281" s="19"/>
      <x:c r="F281" s="19"/>
      <x:c r="G281" s="26"/>
      <x:c r="H281" s="19"/>
      <x:c r="I281" s="19"/>
      <x:c r="J281" s="19"/>
      <x:c r="K281" s="19"/>
      <x:c r="L281" s="19"/>
      <x:c r="M281" s="26"/>
      <x:c r="N281" s="19"/>
      <x:c r="O281" s="19"/>
    </x:row>
    <x:row r="282">
      <x:c r="A282" s="19"/>
      <x:c r="B282" s="19"/>
      <x:c r="C282" s="19"/>
      <x:c r="D282" s="19"/>
      <x:c r="E282" s="19"/>
      <x:c r="F282" s="19"/>
      <x:c r="G282" s="26"/>
      <x:c r="H282" s="19"/>
      <x:c r="I282" s="19"/>
      <x:c r="J282" s="19"/>
      <x:c r="K282" s="19"/>
      <x:c r="L282" s="19"/>
      <x:c r="M282" s="26"/>
      <x:c r="N282" s="19"/>
      <x:c r="O282" s="19"/>
    </x:row>
    <x:row r="283">
      <x:c r="A283" s="19"/>
      <x:c r="B283" s="19"/>
      <x:c r="C283" s="19"/>
      <x:c r="D283" s="19"/>
      <x:c r="E283" s="19"/>
      <x:c r="F283" s="19"/>
      <x:c r="G283" s="26"/>
      <x:c r="H283" s="19"/>
      <x:c r="I283" s="19"/>
      <x:c r="J283" s="19"/>
      <x:c r="K283" s="19"/>
      <x:c r="L283" s="19"/>
      <x:c r="M283" s="26"/>
      <x:c r="N283" s="19"/>
      <x:c r="O283" s="19"/>
    </x:row>
    <x:row r="284">
      <x:c r="A284" s="19"/>
      <x:c r="B284" s="19"/>
      <x:c r="C284" s="19"/>
      <x:c r="D284" s="19"/>
      <x:c r="E284" s="19"/>
      <x:c r="F284" s="19"/>
      <x:c r="G284" s="26"/>
      <x:c r="H284" s="19"/>
      <x:c r="I284" s="19"/>
      <x:c r="J284" s="19"/>
      <x:c r="K284" s="19"/>
      <x:c r="L284" s="19"/>
      <x:c r="M284" s="26"/>
      <x:c r="N284" s="19"/>
      <x:c r="O284" s="19"/>
    </x:row>
    <x:row r="285">
      <x:c r="A285" s="19"/>
      <x:c r="B285" s="19"/>
      <x:c r="C285" s="19"/>
      <x:c r="D285" s="19"/>
      <x:c r="E285" s="19"/>
      <x:c r="F285" s="19"/>
      <x:c r="G285" s="26"/>
      <x:c r="H285" s="19"/>
      <x:c r="I285" s="19"/>
      <x:c r="J285" s="19"/>
      <x:c r="K285" s="19"/>
      <x:c r="L285" s="19"/>
      <x:c r="M285" s="26"/>
      <x:c r="N285" s="19"/>
      <x:c r="O285" s="19"/>
    </x:row>
    <x:row r="286">
      <x:c r="A286" s="19"/>
      <x:c r="B286" s="19"/>
      <x:c r="C286" s="19"/>
      <x:c r="D286" s="19"/>
      <x:c r="E286" s="19"/>
      <x:c r="F286" s="19"/>
      <x:c r="G286" s="26"/>
      <x:c r="H286" s="19"/>
      <x:c r="I286" s="19"/>
      <x:c r="J286" s="19"/>
      <x:c r="K286" s="19"/>
      <x:c r="L286" s="19"/>
      <x:c r="M286" s="26"/>
      <x:c r="N286" s="19"/>
      <x:c r="O286" s="19"/>
    </x:row>
    <x:row r="287">
      <x:c r="A287" s="19"/>
      <x:c r="B287" s="19"/>
      <x:c r="C287" s="19"/>
      <x:c r="D287" s="19"/>
      <x:c r="E287" s="19"/>
      <x:c r="F287" s="19"/>
      <x:c r="G287" s="26"/>
      <x:c r="H287" s="19"/>
      <x:c r="I287" s="19"/>
      <x:c r="J287" s="19"/>
      <x:c r="K287" s="19"/>
      <x:c r="L287" s="19"/>
      <x:c r="M287" s="26"/>
      <x:c r="N287" s="19"/>
      <x:c r="O287" s="19"/>
    </x:row>
    <x:row r="288">
      <x:c r="A288" s="19"/>
      <x:c r="B288" s="19"/>
      <x:c r="C288" s="19"/>
      <x:c r="D288" s="19"/>
      <x:c r="E288" s="19"/>
      <x:c r="F288" s="19"/>
      <x:c r="G288" s="26"/>
      <x:c r="H288" s="19"/>
      <x:c r="I288" s="19"/>
      <x:c r="J288" s="19"/>
      <x:c r="K288" s="19"/>
      <x:c r="L288" s="19"/>
      <x:c r="M288" s="26"/>
      <x:c r="N288" s="19"/>
      <x:c r="O288" s="19"/>
    </x:row>
    <x:row r="289">
      <x:c r="A289" s="19"/>
      <x:c r="B289" s="19"/>
      <x:c r="C289" s="19"/>
      <x:c r="D289" s="19"/>
      <x:c r="E289" s="19"/>
      <x:c r="F289" s="19"/>
      <x:c r="G289" s="26"/>
      <x:c r="H289" s="19"/>
      <x:c r="I289" s="19"/>
      <x:c r="J289" s="19"/>
      <x:c r="K289" s="19"/>
      <x:c r="L289" s="19"/>
      <x:c r="M289" s="26"/>
      <x:c r="N289" s="19"/>
      <x:c r="O289" s="19"/>
    </x:row>
    <x:row r="290">
      <x:c r="A290" s="19"/>
      <x:c r="B290" s="19"/>
      <x:c r="C290" s="19"/>
      <x:c r="D290" s="19"/>
      <x:c r="E290" s="19"/>
      <x:c r="F290" s="19"/>
      <x:c r="G290" s="26"/>
      <x:c r="H290" s="19"/>
      <x:c r="I290" s="19"/>
      <x:c r="J290" s="19"/>
      <x:c r="K290" s="19"/>
      <x:c r="L290" s="19"/>
      <x:c r="M290" s="26"/>
      <x:c r="N290" s="19"/>
      <x:c r="O290" s="19"/>
    </x:row>
    <x:row r="291">
      <x:c r="A291" s="19"/>
      <x:c r="B291" s="19"/>
      <x:c r="C291" s="19"/>
      <x:c r="D291" s="19"/>
      <x:c r="E291" s="19"/>
      <x:c r="F291" s="19"/>
      <x:c r="G291" s="26"/>
      <x:c r="H291" s="19"/>
      <x:c r="I291" s="19"/>
      <x:c r="J291" s="19"/>
      <x:c r="K291" s="19"/>
      <x:c r="L291" s="19"/>
      <x:c r="M291" s="26"/>
      <x:c r="N291" s="19"/>
      <x:c r="O291" s="19"/>
    </x:row>
    <x:row r="292">
      <x:c r="A292" s="19"/>
      <x:c r="B292" s="19"/>
      <x:c r="C292" s="19"/>
      <x:c r="D292" s="19"/>
      <x:c r="E292" s="19"/>
      <x:c r="F292" s="19"/>
      <x:c r="G292" s="26"/>
      <x:c r="H292" s="19"/>
      <x:c r="I292" s="19"/>
      <x:c r="J292" s="19"/>
      <x:c r="K292" s="19"/>
      <x:c r="L292" s="19"/>
      <x:c r="M292" s="26"/>
      <x:c r="N292" s="19"/>
      <x:c r="O292" s="19"/>
    </x:row>
    <x:row r="293">
      <x:c r="A293" s="19"/>
      <x:c r="B293" s="19"/>
      <x:c r="C293" s="19"/>
      <x:c r="D293" s="19"/>
      <x:c r="E293" s="19"/>
      <x:c r="F293" s="19"/>
      <x:c r="G293" s="26"/>
      <x:c r="H293" s="19"/>
      <x:c r="I293" s="19"/>
      <x:c r="J293" s="19"/>
      <x:c r="K293" s="19"/>
      <x:c r="L293" s="19"/>
      <x:c r="M293" s="26"/>
      <x:c r="N293" s="19"/>
      <x:c r="O293" s="19"/>
    </x:row>
    <x:row r="294">
      <x:c r="A294" s="19"/>
      <x:c r="B294" s="19"/>
      <x:c r="C294" s="19"/>
      <x:c r="D294" s="19"/>
      <x:c r="E294" s="19"/>
      <x:c r="F294" s="19"/>
      <x:c r="G294" s="26"/>
      <x:c r="H294" s="19"/>
      <x:c r="I294" s="19"/>
      <x:c r="J294" s="19"/>
      <x:c r="K294" s="19"/>
      <x:c r="L294" s="19"/>
      <x:c r="M294" s="26"/>
      <x:c r="N294" s="19"/>
      <x:c r="O294" s="19"/>
    </x:row>
    <x:row r="295">
      <x:c r="A295" s="19"/>
      <x:c r="B295" s="19"/>
      <x:c r="C295" s="19"/>
      <x:c r="D295" s="19"/>
      <x:c r="E295" s="19"/>
      <x:c r="F295" s="19"/>
      <x:c r="G295" s="26"/>
      <x:c r="H295" s="19"/>
      <x:c r="I295" s="19"/>
      <x:c r="J295" s="19"/>
      <x:c r="K295" s="19"/>
      <x:c r="L295" s="19"/>
      <x:c r="M295" s="26"/>
      <x:c r="N295" s="19"/>
      <x:c r="O295" s="19"/>
    </x:row>
    <x:row r="296">
      <x:c r="A296" s="19"/>
      <x:c r="B296" s="19"/>
      <x:c r="C296" s="19"/>
      <x:c r="D296" s="19"/>
      <x:c r="E296" s="19"/>
      <x:c r="F296" s="19"/>
      <x:c r="G296" s="26"/>
      <x:c r="H296" s="19"/>
      <x:c r="I296" s="19"/>
      <x:c r="J296" s="19"/>
      <x:c r="K296" s="19"/>
      <x:c r="L296" s="19"/>
      <x:c r="M296" s="26"/>
      <x:c r="N296" s="19"/>
      <x:c r="O296" s="19"/>
    </x:row>
    <x:row r="297">
      <x:c r="A297" s="19"/>
      <x:c r="B297" s="19"/>
      <x:c r="C297" s="19"/>
      <x:c r="D297" s="19"/>
      <x:c r="E297" s="19"/>
      <x:c r="F297" s="19"/>
      <x:c r="G297" s="26"/>
      <x:c r="H297" s="19"/>
      <x:c r="I297" s="19"/>
      <x:c r="J297" s="19"/>
      <x:c r="K297" s="19"/>
      <x:c r="L297" s="19"/>
      <x:c r="M297" s="26"/>
      <x:c r="N297" s="19"/>
      <x:c r="O297" s="19"/>
    </x:row>
    <x:row r="298">
      <x:c r="A298" s="19"/>
      <x:c r="B298" s="19"/>
      <x:c r="C298" s="19"/>
      <x:c r="D298" s="19"/>
      <x:c r="E298" s="19"/>
      <x:c r="F298" s="19"/>
      <x:c r="G298" s="26"/>
      <x:c r="H298" s="19"/>
      <x:c r="I298" s="19"/>
      <x:c r="J298" s="19"/>
      <x:c r="K298" s="19"/>
      <x:c r="L298" s="19"/>
      <x:c r="M298" s="26"/>
      <x:c r="N298" s="19"/>
      <x:c r="O298" s="19"/>
    </x:row>
    <x:row r="299">
      <x:c r="A299" s="19"/>
      <x:c r="B299" s="19"/>
      <x:c r="C299" s="19"/>
      <x:c r="D299" s="19"/>
      <x:c r="E299" s="19"/>
      <x:c r="F299" s="19"/>
      <x:c r="G299" s="26"/>
      <x:c r="H299" s="19"/>
      <x:c r="I299" s="19"/>
      <x:c r="J299" s="19"/>
      <x:c r="K299" s="19"/>
      <x:c r="L299" s="19"/>
      <x:c r="M299" s="26"/>
      <x:c r="N299" s="19"/>
      <x:c r="O299" s="19"/>
    </x:row>
    <x:row r="300">
      <x:c r="A300" s="19"/>
      <x:c r="B300" s="19"/>
      <x:c r="C300" s="19"/>
      <x:c r="D300" s="19"/>
      <x:c r="E300" s="19"/>
      <x:c r="F300" s="19"/>
      <x:c r="G300" s="26"/>
      <x:c r="H300" s="19"/>
      <x:c r="I300" s="19"/>
      <x:c r="J300" s="19"/>
      <x:c r="K300" s="19"/>
      <x:c r="L300" s="19"/>
      <x:c r="M300" s="26"/>
      <x:c r="N300" s="19"/>
      <x:c r="O300" s="19"/>
    </x:row>
    <x:row r="301">
      <x:c r="A301" s="19"/>
      <x:c r="B301" s="19"/>
      <x:c r="C301" s="19"/>
      <x:c r="D301" s="19"/>
      <x:c r="E301" s="19"/>
      <x:c r="F301" s="19"/>
      <x:c r="G301" s="26"/>
      <x:c r="H301" s="19"/>
      <x:c r="I301" s="19"/>
      <x:c r="J301" s="19"/>
      <x:c r="K301" s="19"/>
      <x:c r="L301" s="19"/>
      <x:c r="M301" s="26"/>
      <x:c r="N301" s="19"/>
      <x:c r="O301" s="19"/>
    </x:row>
    <x:row r="302">
      <x:c r="A302" s="19"/>
      <x:c r="B302" s="19"/>
      <x:c r="C302" s="19"/>
      <x:c r="D302" s="19"/>
      <x:c r="E302" s="19"/>
      <x:c r="F302" s="19"/>
      <x:c r="G302" s="26"/>
      <x:c r="H302" s="19"/>
      <x:c r="I302" s="19"/>
      <x:c r="J302" s="19"/>
      <x:c r="K302" s="19"/>
      <x:c r="L302" s="19"/>
      <x:c r="M302" s="26"/>
      <x:c r="N302" s="19"/>
      <x:c r="O302" s="19"/>
    </x:row>
    <x:row r="303">
      <x:c r="A303" s="19"/>
      <x:c r="B303" s="19"/>
      <x:c r="C303" s="19"/>
      <x:c r="D303" s="19"/>
      <x:c r="E303" s="19"/>
      <x:c r="F303" s="19"/>
      <x:c r="G303" s="26"/>
      <x:c r="H303" s="19"/>
      <x:c r="I303" s="19"/>
      <x:c r="J303" s="19"/>
      <x:c r="K303" s="19"/>
      <x:c r="L303" s="19"/>
      <x:c r="M303" s="26"/>
      <x:c r="N303" s="19"/>
      <x:c r="O303" s="19"/>
    </x:row>
    <x:row r="304">
      <x:c r="A304" s="19"/>
      <x:c r="B304" s="19"/>
      <x:c r="C304" s="19"/>
      <x:c r="D304" s="19"/>
      <x:c r="E304" s="19"/>
      <x:c r="F304" s="19"/>
      <x:c r="G304" s="26"/>
      <x:c r="H304" s="19"/>
      <x:c r="I304" s="19"/>
      <x:c r="J304" s="19"/>
      <x:c r="K304" s="19"/>
      <x:c r="L304" s="19"/>
      <x:c r="M304" s="26"/>
      <x:c r="N304" s="19"/>
      <x:c r="O304" s="19"/>
    </x:row>
    <x:row r="305">
      <x:c r="A305" s="19"/>
      <x:c r="B305" s="19"/>
      <x:c r="C305" s="19"/>
      <x:c r="D305" s="19"/>
      <x:c r="E305" s="19"/>
      <x:c r="F305" s="19"/>
      <x:c r="G305" s="26"/>
      <x:c r="H305" s="19"/>
      <x:c r="I305" s="19"/>
      <x:c r="J305" s="19"/>
      <x:c r="K305" s="19"/>
      <x:c r="L305" s="19"/>
      <x:c r="M305" s="26"/>
      <x:c r="N305" s="19"/>
      <x:c r="O305" s="19"/>
    </x:row>
    <x:row r="306">
      <x:c r="A306" s="19"/>
      <x:c r="B306" s="19"/>
      <x:c r="C306" s="19"/>
      <x:c r="D306" s="19"/>
      <x:c r="E306" s="19"/>
      <x:c r="F306" s="19"/>
      <x:c r="G306" s="26"/>
      <x:c r="H306" s="19"/>
      <x:c r="I306" s="19"/>
      <x:c r="J306" s="19"/>
      <x:c r="K306" s="19"/>
      <x:c r="L306" s="19"/>
      <x:c r="M306" s="26"/>
      <x:c r="N306" s="19"/>
      <x:c r="O306" s="19"/>
    </x:row>
    <x:row r="307">
      <x:c r="A307" s="19"/>
      <x:c r="B307" s="19"/>
      <x:c r="C307" s="19"/>
      <x:c r="D307" s="19"/>
      <x:c r="E307" s="19"/>
      <x:c r="F307" s="19"/>
      <x:c r="G307" s="26"/>
      <x:c r="H307" s="19"/>
      <x:c r="I307" s="19"/>
      <x:c r="J307" s="19"/>
      <x:c r="K307" s="19"/>
      <x:c r="L307" s="19"/>
      <x:c r="M307" s="26"/>
      <x:c r="N307" s="19"/>
      <x:c r="O307" s="19"/>
    </x:row>
    <x:row r="308">
      <x:c r="A308" s="19"/>
      <x:c r="B308" s="19"/>
      <x:c r="C308" s="19"/>
      <x:c r="D308" s="19"/>
      <x:c r="E308" s="19"/>
      <x:c r="F308" s="19"/>
      <x:c r="G308" s="26"/>
      <x:c r="H308" s="19"/>
      <x:c r="I308" s="19"/>
      <x:c r="J308" s="19"/>
      <x:c r="K308" s="19"/>
      <x:c r="L308" s="19"/>
      <x:c r="M308" s="26"/>
      <x:c r="N308" s="19"/>
      <x:c r="O308" s="19"/>
    </x:row>
    <x:row r="309">
      <x:c r="A309" s="19"/>
      <x:c r="B309" s="19"/>
      <x:c r="C309" s="19"/>
      <x:c r="D309" s="19"/>
      <x:c r="E309" s="19"/>
      <x:c r="F309" s="19"/>
      <x:c r="G309" s="26"/>
      <x:c r="H309" s="19"/>
      <x:c r="I309" s="19"/>
      <x:c r="J309" s="19"/>
      <x:c r="K309" s="19"/>
      <x:c r="L309" s="19"/>
      <x:c r="M309" s="26"/>
      <x:c r="N309" s="19"/>
      <x:c r="O309" s="19"/>
    </x:row>
    <x:row r="310">
      <x:c r="A310" s="19"/>
      <x:c r="B310" s="19"/>
      <x:c r="C310" s="19"/>
      <x:c r="D310" s="19"/>
      <x:c r="E310" s="19"/>
      <x:c r="F310" s="19"/>
      <x:c r="G310" s="26"/>
      <x:c r="H310" s="19"/>
      <x:c r="I310" s="19"/>
      <x:c r="J310" s="19"/>
      <x:c r="K310" s="19"/>
      <x:c r="L310" s="19"/>
      <x:c r="M310" s="26"/>
      <x:c r="N310" s="19"/>
      <x:c r="O310" s="19"/>
    </x:row>
    <x:row r="311">
      <x:c r="A311" s="19"/>
      <x:c r="B311" s="19"/>
      <x:c r="C311" s="19"/>
      <x:c r="D311" s="19"/>
      <x:c r="E311" s="19"/>
      <x:c r="F311" s="19"/>
      <x:c r="G311" s="26"/>
      <x:c r="H311" s="19"/>
      <x:c r="I311" s="19"/>
      <x:c r="J311" s="19"/>
      <x:c r="K311" s="19"/>
      <x:c r="L311" s="19"/>
      <x:c r="M311" s="26"/>
      <x:c r="N311" s="19"/>
      <x:c r="O311" s="19"/>
    </x:row>
    <x:row r="312">
      <x:c r="A312" s="19"/>
      <x:c r="B312" s="19"/>
      <x:c r="C312" s="19"/>
      <x:c r="D312" s="19"/>
      <x:c r="E312" s="19"/>
      <x:c r="F312" s="19"/>
      <x:c r="G312" s="26"/>
      <x:c r="H312" s="19"/>
      <x:c r="I312" s="19"/>
      <x:c r="J312" s="19"/>
      <x:c r="K312" s="19"/>
      <x:c r="L312" s="19"/>
      <x:c r="M312" s="26"/>
      <x:c r="N312" s="19"/>
      <x:c r="O312" s="19"/>
    </x:row>
    <x:row r="313">
      <x:c r="A313" s="19"/>
      <x:c r="B313" s="19"/>
      <x:c r="C313" s="19"/>
      <x:c r="D313" s="19"/>
      <x:c r="E313" s="19"/>
      <x:c r="F313" s="19"/>
      <x:c r="G313" s="26"/>
      <x:c r="H313" s="19"/>
      <x:c r="I313" s="19"/>
      <x:c r="J313" s="19"/>
      <x:c r="K313" s="19"/>
      <x:c r="L313" s="19"/>
      <x:c r="M313" s="26"/>
      <x:c r="N313" s="19"/>
      <x:c r="O313" s="19"/>
    </x:row>
    <x:row r="314">
      <x:c r="A314" s="19"/>
      <x:c r="B314" s="19"/>
      <x:c r="C314" s="19"/>
      <x:c r="D314" s="19"/>
      <x:c r="E314" s="19"/>
      <x:c r="F314" s="19"/>
      <x:c r="G314" s="26"/>
      <x:c r="H314" s="19"/>
      <x:c r="I314" s="19"/>
      <x:c r="J314" s="19"/>
      <x:c r="K314" s="19"/>
      <x:c r="L314" s="19"/>
      <x:c r="M314" s="26"/>
      <x:c r="N314" s="19"/>
      <x:c r="O314" s="19"/>
    </x:row>
    <x:row r="315">
      <x:c r="A315" s="19"/>
      <x:c r="B315" s="19"/>
      <x:c r="C315" s="19"/>
      <x:c r="D315" s="19"/>
      <x:c r="E315" s="19"/>
      <x:c r="F315" s="19"/>
      <x:c r="G315" s="26"/>
      <x:c r="H315" s="19"/>
      <x:c r="I315" s="19"/>
      <x:c r="J315" s="19"/>
      <x:c r="K315" s="19"/>
      <x:c r="L315" s="19"/>
      <x:c r="M315" s="26"/>
      <x:c r="N315" s="19"/>
      <x:c r="O315" s="19"/>
    </x:row>
    <x:row r="316">
      <x:c r="A316" s="19"/>
      <x:c r="B316" s="19"/>
      <x:c r="C316" s="19"/>
      <x:c r="D316" s="19"/>
      <x:c r="E316" s="19"/>
      <x:c r="F316" s="19"/>
      <x:c r="G316" s="26"/>
      <x:c r="H316" s="19"/>
      <x:c r="I316" s="19"/>
      <x:c r="J316" s="19"/>
      <x:c r="K316" s="19"/>
      <x:c r="L316" s="19"/>
      <x:c r="M316" s="26"/>
      <x:c r="N316" s="19"/>
      <x:c r="O316" s="19"/>
    </x:row>
    <x:row r="317">
      <x:c r="A317" s="19"/>
      <x:c r="B317" s="19"/>
      <x:c r="C317" s="19"/>
      <x:c r="D317" s="19"/>
      <x:c r="E317" s="19"/>
      <x:c r="F317" s="19"/>
      <x:c r="G317" s="26"/>
      <x:c r="H317" s="19"/>
      <x:c r="I317" s="19"/>
      <x:c r="J317" s="19"/>
      <x:c r="K317" s="19"/>
      <x:c r="L317" s="19"/>
      <x:c r="M317" s="26"/>
      <x:c r="N317" s="19"/>
      <x:c r="O317" s="19"/>
    </x:row>
    <x:row r="318">
      <x:c r="A318" s="19"/>
      <x:c r="B318" s="19"/>
      <x:c r="C318" s="19"/>
      <x:c r="D318" s="19"/>
      <x:c r="E318" s="19"/>
      <x:c r="F318" s="19"/>
      <x:c r="G318" s="26"/>
      <x:c r="H318" s="19"/>
      <x:c r="I318" s="19"/>
      <x:c r="J318" s="19"/>
      <x:c r="K318" s="19"/>
      <x:c r="L318" s="19"/>
      <x:c r="M318" s="26"/>
      <x:c r="N318" s="19"/>
      <x:c r="O318" s="19"/>
    </x:row>
    <x:row r="319">
      <x:c r="A319" s="19"/>
      <x:c r="B319" s="19"/>
      <x:c r="C319" s="19"/>
      <x:c r="D319" s="19"/>
      <x:c r="E319" s="19"/>
      <x:c r="F319" s="19"/>
      <x:c r="G319" s="26"/>
      <x:c r="H319" s="19"/>
      <x:c r="I319" s="19"/>
      <x:c r="J319" s="19"/>
      <x:c r="K319" s="19"/>
      <x:c r="L319" s="19"/>
      <x:c r="M319" s="26"/>
      <x:c r="N319" s="19"/>
      <x:c r="O319" s="19"/>
    </x:row>
    <x:row r="320">
      <x:c r="A320" s="19"/>
      <x:c r="B320" s="19"/>
      <x:c r="C320" s="19"/>
      <x:c r="D320" s="19"/>
      <x:c r="E320" s="19"/>
      <x:c r="F320" s="19"/>
      <x:c r="G320" s="26"/>
      <x:c r="H320" s="19"/>
      <x:c r="I320" s="19"/>
      <x:c r="J320" s="19"/>
      <x:c r="K320" s="19"/>
      <x:c r="L320" s="19"/>
      <x:c r="M320" s="26"/>
      <x:c r="N320" s="19"/>
      <x:c r="O320" s="19"/>
    </x:row>
    <x:row r="321">
      <x:c r="A321" s="19"/>
      <x:c r="B321" s="19"/>
      <x:c r="C321" s="19"/>
      <x:c r="D321" s="19"/>
      <x:c r="E321" s="19"/>
      <x:c r="F321" s="19"/>
      <x:c r="G321" s="26"/>
      <x:c r="H321" s="19"/>
      <x:c r="I321" s="19"/>
      <x:c r="J321" s="19"/>
      <x:c r="K321" s="19"/>
      <x:c r="L321" s="19"/>
      <x:c r="M321" s="26"/>
      <x:c r="N321" s="19"/>
      <x:c r="O321" s="19"/>
    </x:row>
    <x:row r="322">
      <x:c r="A322" s="19"/>
      <x:c r="B322" s="19"/>
      <x:c r="C322" s="19"/>
      <x:c r="D322" s="19"/>
      <x:c r="E322" s="19"/>
      <x:c r="F322" s="19"/>
      <x:c r="G322" s="26"/>
      <x:c r="H322" s="19"/>
      <x:c r="I322" s="19"/>
      <x:c r="J322" s="19"/>
      <x:c r="K322" s="19"/>
      <x:c r="L322" s="19"/>
      <x:c r="M322" s="26"/>
      <x:c r="N322" s="19"/>
      <x:c r="O322" s="19"/>
    </x:row>
    <x:row r="323">
      <x:c r="A323" s="19"/>
      <x:c r="B323" s="19"/>
      <x:c r="C323" s="19"/>
      <x:c r="D323" s="19"/>
      <x:c r="E323" s="19"/>
      <x:c r="F323" s="19"/>
      <x:c r="G323" s="26"/>
      <x:c r="H323" s="19"/>
      <x:c r="I323" s="19"/>
      <x:c r="J323" s="19"/>
      <x:c r="K323" s="19"/>
      <x:c r="L323" s="19"/>
      <x:c r="M323" s="26"/>
      <x:c r="N323" s="19"/>
      <x:c r="O323" s="19"/>
    </x:row>
    <x:row r="324">
      <x:c r="A324" s="19"/>
      <x:c r="B324" s="19"/>
      <x:c r="C324" s="19"/>
      <x:c r="D324" s="19"/>
      <x:c r="E324" s="19"/>
      <x:c r="F324" s="19"/>
      <x:c r="G324" s="26"/>
      <x:c r="H324" s="19"/>
      <x:c r="I324" s="19"/>
      <x:c r="J324" s="19"/>
      <x:c r="K324" s="19"/>
      <x:c r="L324" s="19"/>
      <x:c r="M324" s="26"/>
      <x:c r="N324" s="19"/>
      <x:c r="O324" s="19"/>
    </x:row>
    <x:row r="325">
      <x:c r="A325" s="19"/>
      <x:c r="B325" s="19"/>
      <x:c r="C325" s="19"/>
      <x:c r="D325" s="19"/>
      <x:c r="E325" s="19"/>
      <x:c r="F325" s="19"/>
      <x:c r="G325" s="26"/>
      <x:c r="H325" s="19"/>
      <x:c r="I325" s="19"/>
      <x:c r="J325" s="19"/>
      <x:c r="K325" s="19"/>
      <x:c r="L325" s="19"/>
      <x:c r="M325" s="26"/>
      <x:c r="N325" s="19"/>
      <x:c r="O325" s="19"/>
    </x:row>
    <x:row r="326">
      <x:c r="A326" s="19"/>
      <x:c r="B326" s="19"/>
      <x:c r="C326" s="19"/>
      <x:c r="D326" s="19"/>
      <x:c r="E326" s="19"/>
      <x:c r="F326" s="19"/>
      <x:c r="G326" s="26"/>
      <x:c r="H326" s="19"/>
      <x:c r="I326" s="19"/>
      <x:c r="J326" s="19"/>
      <x:c r="K326" s="19"/>
      <x:c r="L326" s="19"/>
      <x:c r="M326" s="26"/>
      <x:c r="N326" s="19"/>
      <x:c r="O326" s="19"/>
    </x:row>
    <x:row r="327">
      <x:c r="A327" s="19"/>
      <x:c r="B327" s="19"/>
      <x:c r="C327" s="19"/>
      <x:c r="D327" s="19"/>
      <x:c r="E327" s="19"/>
      <x:c r="F327" s="19"/>
      <x:c r="G327" s="26"/>
      <x:c r="H327" s="19"/>
      <x:c r="I327" s="19"/>
      <x:c r="J327" s="19"/>
      <x:c r="K327" s="19"/>
      <x:c r="L327" s="19"/>
      <x:c r="M327" s="26"/>
      <x:c r="N327" s="19"/>
      <x:c r="O327" s="19"/>
    </x:row>
    <x:row r="328">
      <x:c r="A328" s="19"/>
      <x:c r="B328" s="19"/>
      <x:c r="C328" s="19"/>
      <x:c r="D328" s="19"/>
      <x:c r="E328" s="19"/>
      <x:c r="F328" s="19"/>
      <x:c r="G328" s="26"/>
      <x:c r="H328" s="19"/>
      <x:c r="I328" s="19"/>
      <x:c r="J328" s="19"/>
      <x:c r="K328" s="19"/>
      <x:c r="L328" s="19"/>
      <x:c r="M328" s="26"/>
      <x:c r="N328" s="19"/>
      <x:c r="O328" s="19"/>
    </x:row>
    <x:row r="329">
      <x:c r="A329" s="19"/>
      <x:c r="B329" s="19"/>
      <x:c r="C329" s="19"/>
      <x:c r="D329" s="19"/>
      <x:c r="E329" s="19"/>
      <x:c r="F329" s="19"/>
      <x:c r="G329" s="26"/>
      <x:c r="H329" s="19"/>
      <x:c r="I329" s="19"/>
      <x:c r="J329" s="19"/>
      <x:c r="K329" s="19"/>
      <x:c r="L329" s="19"/>
      <x:c r="M329" s="26"/>
      <x:c r="N329" s="19"/>
      <x:c r="O329" s="19"/>
    </x:row>
    <x:row r="330">
      <x:c r="A330" s="19"/>
      <x:c r="B330" s="19"/>
      <x:c r="C330" s="19"/>
      <x:c r="D330" s="19"/>
      <x:c r="E330" s="19"/>
      <x:c r="F330" s="19"/>
      <x:c r="G330" s="26"/>
      <x:c r="H330" s="19"/>
      <x:c r="I330" s="19"/>
      <x:c r="J330" s="19"/>
      <x:c r="K330" s="19"/>
      <x:c r="L330" s="19"/>
      <x:c r="M330" s="26"/>
      <x:c r="N330" s="19"/>
      <x:c r="O330" s="19"/>
    </x:row>
    <x:row r="331">
      <x:c r="A331" s="19"/>
      <x:c r="B331" s="19"/>
      <x:c r="C331" s="19"/>
      <x:c r="D331" s="19"/>
      <x:c r="E331" s="19"/>
      <x:c r="F331" s="19"/>
      <x:c r="G331" s="26"/>
      <x:c r="H331" s="19"/>
      <x:c r="I331" s="19"/>
      <x:c r="J331" s="19"/>
      <x:c r="K331" s="19"/>
      <x:c r="L331" s="19"/>
      <x:c r="M331" s="26"/>
      <x:c r="N331" s="19"/>
      <x:c r="O331" s="19"/>
    </x:row>
    <x:row r="332">
      <x:c r="A332" s="19"/>
      <x:c r="B332" s="19"/>
      <x:c r="C332" s="19"/>
      <x:c r="D332" s="19"/>
      <x:c r="E332" s="19"/>
      <x:c r="F332" s="19"/>
      <x:c r="G332" s="26"/>
      <x:c r="H332" s="19"/>
      <x:c r="I332" s="19"/>
      <x:c r="J332" s="19"/>
      <x:c r="K332" s="19"/>
      <x:c r="L332" s="19"/>
      <x:c r="M332" s="26"/>
      <x:c r="N332" s="19"/>
      <x:c r="O332" s="19"/>
    </x:row>
    <x:row r="333">
      <x:c r="A333" s="19"/>
      <x:c r="B333" s="19"/>
      <x:c r="C333" s="19"/>
      <x:c r="D333" s="19"/>
      <x:c r="E333" s="19"/>
      <x:c r="F333" s="19"/>
      <x:c r="G333" s="26"/>
      <x:c r="H333" s="19"/>
      <x:c r="I333" s="19"/>
      <x:c r="J333" s="19"/>
      <x:c r="K333" s="19"/>
      <x:c r="L333" s="19"/>
      <x:c r="M333" s="26"/>
      <x:c r="N333" s="19"/>
      <x:c r="O333" s="19"/>
    </x:row>
    <x:row r="334">
      <x:c r="A334" s="19"/>
      <x:c r="B334" s="19"/>
      <x:c r="C334" s="19"/>
      <x:c r="D334" s="19"/>
      <x:c r="E334" s="19"/>
      <x:c r="F334" s="19"/>
      <x:c r="G334" s="26"/>
      <x:c r="H334" s="19"/>
      <x:c r="I334" s="19"/>
      <x:c r="J334" s="19"/>
      <x:c r="K334" s="19"/>
      <x:c r="L334" s="19"/>
      <x:c r="M334" s="26"/>
      <x:c r="N334" s="19"/>
      <x:c r="O334" s="19"/>
    </x:row>
    <x:row r="335">
      <x:c r="A335" s="19"/>
      <x:c r="B335" s="19"/>
      <x:c r="C335" s="19"/>
      <x:c r="D335" s="19"/>
      <x:c r="E335" s="19"/>
      <x:c r="F335" s="19"/>
      <x:c r="G335" s="26"/>
      <x:c r="H335" s="19"/>
      <x:c r="I335" s="19"/>
      <x:c r="J335" s="19"/>
      <x:c r="K335" s="19"/>
      <x:c r="L335" s="19"/>
      <x:c r="M335" s="26"/>
      <x:c r="N335" s="19"/>
      <x:c r="O335" s="19"/>
    </x:row>
    <x:row r="336">
      <x:c r="A336" s="19"/>
      <x:c r="B336" s="19"/>
      <x:c r="C336" s="19"/>
      <x:c r="D336" s="19"/>
      <x:c r="E336" s="19"/>
      <x:c r="F336" s="19"/>
      <x:c r="G336" s="26"/>
      <x:c r="H336" s="19"/>
      <x:c r="I336" s="19"/>
      <x:c r="J336" s="19"/>
      <x:c r="K336" s="19"/>
      <x:c r="L336" s="19"/>
      <x:c r="M336" s="26"/>
      <x:c r="N336" s="19"/>
      <x:c r="O336" s="19"/>
    </x:row>
    <x:row r="337">
      <x:c r="A337" s="19"/>
      <x:c r="B337" s="19"/>
      <x:c r="C337" s="19"/>
      <x:c r="D337" s="19"/>
      <x:c r="E337" s="19"/>
      <x:c r="F337" s="19"/>
      <x:c r="G337" s="26"/>
      <x:c r="H337" s="19"/>
      <x:c r="I337" s="19"/>
      <x:c r="J337" s="19"/>
      <x:c r="K337" s="19"/>
      <x:c r="L337" s="19"/>
      <x:c r="M337" s="26"/>
      <x:c r="N337" s="19"/>
      <x:c r="O337" s="19"/>
    </x:row>
    <x:row r="338">
      <x:c r="A338" s="19"/>
      <x:c r="B338" s="19"/>
      <x:c r="C338" s="19"/>
      <x:c r="D338" s="19"/>
      <x:c r="E338" s="19"/>
      <x:c r="F338" s="19"/>
      <x:c r="G338" s="26"/>
      <x:c r="H338" s="19"/>
      <x:c r="I338" s="19"/>
      <x:c r="J338" s="19"/>
      <x:c r="K338" s="19"/>
      <x:c r="L338" s="19"/>
      <x:c r="M338" s="26"/>
      <x:c r="N338" s="19"/>
      <x:c r="O338" s="19"/>
    </x:row>
    <x:row r="339">
      <x:c r="A339" s="19"/>
      <x:c r="B339" s="19"/>
      <x:c r="C339" s="19"/>
      <x:c r="D339" s="19"/>
      <x:c r="E339" s="19"/>
      <x:c r="F339" s="19"/>
      <x:c r="G339" s="26"/>
      <x:c r="H339" s="19"/>
      <x:c r="I339" s="19"/>
      <x:c r="J339" s="19"/>
      <x:c r="K339" s="19"/>
      <x:c r="L339" s="19"/>
      <x:c r="M339" s="26"/>
      <x:c r="N339" s="19"/>
      <x:c r="O339" s="19"/>
    </x:row>
    <x:row r="340">
      <x:c r="A340" s="19"/>
      <x:c r="B340" s="19"/>
      <x:c r="C340" s="19"/>
      <x:c r="D340" s="19"/>
      <x:c r="E340" s="19"/>
      <x:c r="F340" s="19"/>
      <x:c r="G340" s="26"/>
      <x:c r="H340" s="19"/>
      <x:c r="I340" s="19"/>
      <x:c r="J340" s="19"/>
      <x:c r="K340" s="19"/>
      <x:c r="L340" s="19"/>
      <x:c r="M340" s="26"/>
      <x:c r="N340" s="19"/>
      <x:c r="O340" s="19"/>
    </x:row>
    <x:row r="341">
      <x:c r="A341" s="19"/>
      <x:c r="B341" s="19"/>
      <x:c r="C341" s="19"/>
      <x:c r="D341" s="19"/>
      <x:c r="E341" s="19"/>
      <x:c r="F341" s="19"/>
      <x:c r="G341" s="26"/>
      <x:c r="H341" s="19"/>
      <x:c r="I341" s="19"/>
      <x:c r="J341" s="19"/>
      <x:c r="K341" s="19"/>
      <x:c r="L341" s="19"/>
      <x:c r="M341" s="26"/>
      <x:c r="N341" s="19"/>
      <x:c r="O341" s="19"/>
    </x:row>
    <x:row r="342">
      <x:c r="A342" s="19"/>
      <x:c r="B342" s="19"/>
      <x:c r="C342" s="19"/>
      <x:c r="D342" s="19"/>
      <x:c r="E342" s="19"/>
      <x:c r="F342" s="19"/>
      <x:c r="G342" s="26"/>
      <x:c r="H342" s="19"/>
      <x:c r="I342" s="19"/>
      <x:c r="J342" s="19"/>
      <x:c r="K342" s="19"/>
      <x:c r="L342" s="19"/>
      <x:c r="M342" s="26"/>
      <x:c r="N342" s="19"/>
      <x:c r="O342" s="19"/>
    </x:row>
    <x:row r="343">
      <x:c r="A343" s="19"/>
      <x:c r="B343" s="19"/>
      <x:c r="C343" s="19"/>
      <x:c r="D343" s="19"/>
      <x:c r="E343" s="19"/>
      <x:c r="F343" s="19"/>
      <x:c r="G343" s="26"/>
      <x:c r="H343" s="19"/>
      <x:c r="I343" s="19"/>
      <x:c r="J343" s="19"/>
      <x:c r="K343" s="19"/>
      <x:c r="L343" s="19"/>
      <x:c r="M343" s="26"/>
      <x:c r="N343" s="19"/>
      <x:c r="O343" s="19"/>
    </x:row>
    <x:row r="344">
      <x:c r="A344" s="19"/>
      <x:c r="B344" s="19"/>
      <x:c r="C344" s="19"/>
      <x:c r="D344" s="19"/>
      <x:c r="E344" s="19"/>
      <x:c r="F344" s="19"/>
      <x:c r="G344" s="26"/>
      <x:c r="H344" s="19"/>
      <x:c r="I344" s="19"/>
      <x:c r="J344" s="19"/>
      <x:c r="K344" s="19"/>
      <x:c r="L344" s="19"/>
      <x:c r="M344" s="26"/>
      <x:c r="N344" s="19"/>
      <x:c r="O344" s="19"/>
    </x:row>
    <x:row r="345">
      <x:c r="A345" s="19"/>
      <x:c r="B345" s="19"/>
      <x:c r="C345" s="19"/>
      <x:c r="D345" s="19"/>
      <x:c r="E345" s="19"/>
      <x:c r="F345" s="19"/>
      <x:c r="G345" s="26"/>
      <x:c r="H345" s="19"/>
      <x:c r="I345" s="19"/>
      <x:c r="J345" s="19"/>
      <x:c r="K345" s="19"/>
      <x:c r="L345" s="19"/>
      <x:c r="M345" s="26"/>
      <x:c r="N345" s="19"/>
      <x:c r="O345" s="19"/>
    </x:row>
    <x:row r="346">
      <x:c r="A346" s="19"/>
      <x:c r="B346" s="19"/>
      <x:c r="C346" s="19"/>
      <x:c r="D346" s="19"/>
      <x:c r="E346" s="19"/>
      <x:c r="F346" s="19"/>
      <x:c r="G346" s="26"/>
      <x:c r="H346" s="19"/>
      <x:c r="I346" s="19"/>
      <x:c r="J346" s="19"/>
      <x:c r="K346" s="19"/>
      <x:c r="L346" s="19"/>
      <x:c r="M346" s="26"/>
      <x:c r="N346" s="19"/>
      <x:c r="O346" s="19"/>
    </x:row>
    <x:row r="347">
      <x:c r="A347" s="19"/>
      <x:c r="B347" s="19"/>
      <x:c r="C347" s="19"/>
      <x:c r="D347" s="19"/>
      <x:c r="E347" s="19"/>
      <x:c r="F347" s="19"/>
      <x:c r="G347" s="26"/>
      <x:c r="H347" s="19"/>
      <x:c r="I347" s="19"/>
      <x:c r="J347" s="19"/>
      <x:c r="K347" s="19"/>
      <x:c r="L347" s="19"/>
      <x:c r="M347" s="26"/>
      <x:c r="N347" s="19"/>
      <x:c r="O347" s="19"/>
    </x:row>
    <x:row r="348">
      <x:c r="A348" s="19"/>
      <x:c r="B348" s="19"/>
      <x:c r="C348" s="19"/>
      <x:c r="D348" s="19"/>
      <x:c r="E348" s="19"/>
      <x:c r="F348" s="19"/>
      <x:c r="G348" s="26"/>
      <x:c r="H348" s="19"/>
      <x:c r="I348" s="19"/>
      <x:c r="J348" s="19"/>
      <x:c r="K348" s="19"/>
      <x:c r="L348" s="19"/>
      <x:c r="M348" s="26"/>
      <x:c r="N348" s="19"/>
      <x:c r="O348" s="19"/>
    </x:row>
    <x:row r="349">
      <x:c r="A349" s="19"/>
      <x:c r="B349" s="19"/>
      <x:c r="C349" s="19"/>
      <x:c r="D349" s="19"/>
      <x:c r="E349" s="19"/>
      <x:c r="F349" s="19"/>
      <x:c r="G349" s="26"/>
      <x:c r="H349" s="19"/>
      <x:c r="I349" s="19"/>
      <x:c r="J349" s="19"/>
      <x:c r="K349" s="19"/>
      <x:c r="L349" s="19"/>
      <x:c r="M349" s="26"/>
      <x:c r="N349" s="19"/>
      <x:c r="O349" s="19"/>
    </x:row>
    <x:row r="350">
      <x:c r="A350" s="19"/>
      <x:c r="B350" s="19"/>
      <x:c r="C350" s="19"/>
      <x:c r="D350" s="19"/>
      <x:c r="E350" s="19"/>
      <x:c r="F350" s="19"/>
      <x:c r="G350" s="26"/>
      <x:c r="H350" s="19"/>
      <x:c r="I350" s="19"/>
      <x:c r="J350" s="19"/>
      <x:c r="K350" s="19"/>
      <x:c r="L350" s="19"/>
      <x:c r="M350" s="26"/>
      <x:c r="N350" s="19"/>
      <x:c r="O350" s="19"/>
    </x:row>
    <x:row r="351">
      <x:c r="A351" s="19"/>
      <x:c r="B351" s="19"/>
      <x:c r="C351" s="19"/>
      <x:c r="D351" s="19"/>
      <x:c r="E351" s="19"/>
      <x:c r="F351" s="19"/>
      <x:c r="G351" s="26"/>
      <x:c r="H351" s="19"/>
      <x:c r="I351" s="19"/>
      <x:c r="J351" s="19"/>
      <x:c r="K351" s="19"/>
      <x:c r="L351" s="19"/>
      <x:c r="M351" s="26"/>
      <x:c r="N351" s="19"/>
      <x:c r="O351" s="19"/>
    </x:row>
    <x:row r="352">
      <x:c r="A352" s="19"/>
      <x:c r="B352" s="19"/>
      <x:c r="C352" s="19"/>
      <x:c r="D352" s="19"/>
      <x:c r="E352" s="19"/>
      <x:c r="F352" s="19"/>
      <x:c r="G352" s="26"/>
      <x:c r="H352" s="19"/>
      <x:c r="I352" s="19"/>
      <x:c r="J352" s="19"/>
      <x:c r="K352" s="19"/>
      <x:c r="L352" s="19"/>
      <x:c r="M352" s="26"/>
      <x:c r="N352" s="19"/>
      <x:c r="O352" s="19"/>
    </x:row>
    <x:row r="353">
      <x:c r="A353" s="19"/>
      <x:c r="B353" s="19"/>
      <x:c r="C353" s="19"/>
      <x:c r="D353" s="19"/>
      <x:c r="E353" s="19"/>
      <x:c r="F353" s="19"/>
      <x:c r="G353" s="26"/>
      <x:c r="H353" s="19"/>
      <x:c r="I353" s="19"/>
      <x:c r="J353" s="19"/>
      <x:c r="K353" s="19"/>
      <x:c r="L353" s="19"/>
      <x:c r="M353" s="26"/>
      <x:c r="N353" s="19"/>
      <x:c r="O353" s="19"/>
    </x:row>
    <x:row r="354">
      <x:c r="A354" s="19"/>
      <x:c r="B354" s="19"/>
      <x:c r="C354" s="19"/>
      <x:c r="D354" s="19"/>
      <x:c r="E354" s="19"/>
      <x:c r="F354" s="19"/>
      <x:c r="G354" s="26"/>
      <x:c r="H354" s="19"/>
      <x:c r="I354" s="19"/>
      <x:c r="J354" s="19"/>
      <x:c r="K354" s="19"/>
      <x:c r="L354" s="19"/>
      <x:c r="M354" s="26"/>
      <x:c r="N354" s="19"/>
      <x:c r="O354" s="19"/>
    </x:row>
    <x:row r="355">
      <x:c r="A355" s="19"/>
      <x:c r="B355" s="19"/>
      <x:c r="C355" s="19"/>
      <x:c r="D355" s="19"/>
      <x:c r="E355" s="19"/>
      <x:c r="F355" s="19"/>
      <x:c r="G355" s="26"/>
      <x:c r="H355" s="19"/>
      <x:c r="I355" s="19"/>
      <x:c r="J355" s="19"/>
      <x:c r="K355" s="19"/>
      <x:c r="L355" s="19"/>
      <x:c r="M355" s="26"/>
      <x:c r="N355" s="19"/>
      <x:c r="O355" s="19"/>
    </x:row>
    <x:row r="356">
      <x:c r="A356" s="19"/>
      <x:c r="B356" s="19"/>
      <x:c r="C356" s="19"/>
      <x:c r="D356" s="19"/>
      <x:c r="E356" s="19"/>
      <x:c r="F356" s="19"/>
      <x:c r="G356" s="26"/>
      <x:c r="H356" s="19"/>
      <x:c r="I356" s="19"/>
      <x:c r="J356" s="19"/>
      <x:c r="K356" s="19"/>
      <x:c r="L356" s="19"/>
      <x:c r="M356" s="26"/>
      <x:c r="N356" s="19"/>
      <x:c r="O356" s="19"/>
    </x:row>
    <x:row r="357">
      <x:c r="A357" s="19"/>
      <x:c r="B357" s="19"/>
      <x:c r="C357" s="19"/>
      <x:c r="D357" s="19"/>
      <x:c r="E357" s="19"/>
      <x:c r="F357" s="19"/>
      <x:c r="G357" s="26"/>
      <x:c r="H357" s="19"/>
      <x:c r="I357" s="19"/>
      <x:c r="J357" s="19"/>
      <x:c r="K357" s="19"/>
      <x:c r="L357" s="19"/>
      <x:c r="M357" s="26"/>
      <x:c r="N357" s="19"/>
      <x:c r="O357" s="19"/>
    </x:row>
    <x:row r="358">
      <x:c r="A358" s="19"/>
      <x:c r="B358" s="19"/>
      <x:c r="C358" s="19"/>
      <x:c r="D358" s="19"/>
      <x:c r="E358" s="19"/>
      <x:c r="F358" s="19"/>
      <x:c r="G358" s="26"/>
      <x:c r="H358" s="19"/>
      <x:c r="I358" s="19"/>
      <x:c r="J358" s="19"/>
      <x:c r="K358" s="19"/>
      <x:c r="L358" s="19"/>
      <x:c r="M358" s="26"/>
      <x:c r="N358" s="19"/>
      <x:c r="O358" s="19"/>
    </x:row>
    <x:row r="359">
      <x:c r="A359" s="19"/>
      <x:c r="B359" s="19"/>
      <x:c r="C359" s="19"/>
      <x:c r="D359" s="19"/>
      <x:c r="E359" s="19"/>
      <x:c r="F359" s="19"/>
      <x:c r="G359" s="26"/>
      <x:c r="H359" s="19"/>
      <x:c r="I359" s="19"/>
      <x:c r="J359" s="19"/>
      <x:c r="K359" s="19"/>
      <x:c r="L359" s="19"/>
      <x:c r="M359" s="26"/>
      <x:c r="N359" s="19"/>
      <x:c r="O359" s="19"/>
    </x:row>
    <x:row r="360">
      <x:c r="A360" s="19"/>
      <x:c r="B360" s="19"/>
      <x:c r="C360" s="19"/>
      <x:c r="D360" s="19"/>
      <x:c r="E360" s="19"/>
      <x:c r="F360" s="19"/>
      <x:c r="G360" s="26"/>
      <x:c r="H360" s="19"/>
      <x:c r="I360" s="19"/>
      <x:c r="J360" s="19"/>
      <x:c r="K360" s="19"/>
      <x:c r="L360" s="19"/>
      <x:c r="M360" s="26"/>
      <x:c r="N360" s="19"/>
      <x:c r="O360" s="19"/>
    </x:row>
    <x:row r="361">
      <x:c r="A361" s="19"/>
      <x:c r="B361" s="19"/>
      <x:c r="C361" s="19"/>
      <x:c r="D361" s="19"/>
      <x:c r="E361" s="19"/>
      <x:c r="F361" s="19"/>
      <x:c r="G361" s="26"/>
      <x:c r="H361" s="19"/>
      <x:c r="I361" s="19"/>
      <x:c r="J361" s="19"/>
      <x:c r="K361" s="19"/>
      <x:c r="L361" s="19"/>
      <x:c r="M361" s="26"/>
      <x:c r="N361" s="19"/>
      <x:c r="O361" s="19"/>
    </x:row>
    <x:row r="362">
      <x:c r="A362" s="19"/>
      <x:c r="B362" s="19"/>
      <x:c r="C362" s="19"/>
      <x:c r="D362" s="19"/>
      <x:c r="E362" s="19"/>
      <x:c r="F362" s="19"/>
      <x:c r="G362" s="26"/>
      <x:c r="H362" s="19"/>
      <x:c r="I362" s="19"/>
      <x:c r="J362" s="19"/>
      <x:c r="K362" s="19"/>
      <x:c r="L362" s="19"/>
      <x:c r="M362" s="26"/>
      <x:c r="N362" s="19"/>
      <x:c r="O362" s="19"/>
    </x:row>
    <x:row r="363">
      <x:c r="A363" s="19"/>
      <x:c r="B363" s="19"/>
      <x:c r="C363" s="19"/>
      <x:c r="D363" s="19"/>
      <x:c r="E363" s="19"/>
      <x:c r="F363" s="19"/>
      <x:c r="G363" s="26"/>
      <x:c r="H363" s="19"/>
      <x:c r="I363" s="19"/>
      <x:c r="J363" s="19"/>
      <x:c r="K363" s="19"/>
      <x:c r="L363" s="19"/>
      <x:c r="M363" s="26"/>
      <x:c r="N363" s="19"/>
      <x:c r="O363" s="19"/>
    </x:row>
    <x:row r="364">
      <x:c r="A364" s="19"/>
      <x:c r="B364" s="19"/>
      <x:c r="C364" s="19"/>
      <x:c r="D364" s="19"/>
      <x:c r="E364" s="19"/>
      <x:c r="F364" s="19"/>
      <x:c r="G364" s="26"/>
      <x:c r="H364" s="19"/>
      <x:c r="I364" s="19"/>
      <x:c r="J364" s="19"/>
      <x:c r="K364" s="19"/>
      <x:c r="L364" s="19"/>
      <x:c r="M364" s="26"/>
      <x:c r="N364" s="19"/>
      <x:c r="O364" s="19"/>
    </x:row>
    <x:row r="365">
      <x:c r="A365" s="19"/>
      <x:c r="B365" s="19"/>
      <x:c r="C365" s="19"/>
      <x:c r="D365" s="19"/>
      <x:c r="E365" s="19"/>
      <x:c r="F365" s="19"/>
      <x:c r="G365" s="26"/>
      <x:c r="H365" s="19"/>
      <x:c r="I365" s="19"/>
      <x:c r="J365" s="19"/>
      <x:c r="K365" s="19"/>
      <x:c r="L365" s="19"/>
      <x:c r="M365" s="26"/>
      <x:c r="N365" s="19"/>
      <x:c r="O365" s="19"/>
    </x:row>
    <x:row r="366">
      <x:c r="A366" s="19"/>
      <x:c r="B366" s="19"/>
      <x:c r="C366" s="19"/>
      <x:c r="D366" s="19"/>
      <x:c r="E366" s="19"/>
      <x:c r="F366" s="19"/>
      <x:c r="G366" s="26"/>
      <x:c r="H366" s="19"/>
      <x:c r="I366" s="19"/>
      <x:c r="J366" s="19"/>
      <x:c r="K366" s="19"/>
      <x:c r="L366" s="19"/>
      <x:c r="M366" s="26"/>
      <x:c r="N366" s="19"/>
      <x:c r="O366" s="19"/>
    </x:row>
    <x:row r="367">
      <x:c r="A367" s="19"/>
      <x:c r="B367" s="19"/>
      <x:c r="C367" s="19"/>
      <x:c r="D367" s="19"/>
      <x:c r="E367" s="19"/>
      <x:c r="F367" s="19"/>
      <x:c r="G367" s="26"/>
      <x:c r="H367" s="19"/>
      <x:c r="I367" s="19"/>
      <x:c r="J367" s="19"/>
      <x:c r="K367" s="19"/>
      <x:c r="L367" s="19"/>
      <x:c r="M367" s="26"/>
      <x:c r="N367" s="19"/>
      <x:c r="O367" s="19"/>
    </x:row>
    <x:row r="368">
      <x:c r="A368" s="19"/>
      <x:c r="B368" s="19"/>
      <x:c r="C368" s="19"/>
      <x:c r="D368" s="19"/>
      <x:c r="E368" s="19"/>
      <x:c r="F368" s="19"/>
      <x:c r="G368" s="26"/>
      <x:c r="H368" s="19"/>
      <x:c r="I368" s="19"/>
      <x:c r="J368" s="19"/>
      <x:c r="K368" s="19"/>
      <x:c r="L368" s="19"/>
      <x:c r="M368" s="26"/>
      <x:c r="N368" s="19"/>
      <x:c r="O368" s="19"/>
    </x:row>
    <x:row r="369">
      <x:c r="A369" s="19"/>
      <x:c r="B369" s="19"/>
      <x:c r="C369" s="19"/>
      <x:c r="D369" s="19"/>
      <x:c r="E369" s="19"/>
      <x:c r="F369" s="19"/>
      <x:c r="G369" s="26"/>
      <x:c r="H369" s="19"/>
      <x:c r="I369" s="19"/>
      <x:c r="J369" s="19"/>
      <x:c r="K369" s="19"/>
      <x:c r="L369" s="19"/>
      <x:c r="M369" s="26"/>
      <x:c r="N369" s="19"/>
      <x:c r="O369" s="19"/>
    </x:row>
    <x:row r="370">
      <x:c r="A370" s="19"/>
      <x:c r="B370" s="19"/>
      <x:c r="C370" s="19"/>
      <x:c r="D370" s="19"/>
      <x:c r="E370" s="19"/>
      <x:c r="F370" s="19"/>
      <x:c r="G370" s="26"/>
      <x:c r="H370" s="19"/>
      <x:c r="I370" s="19"/>
      <x:c r="J370" s="19"/>
      <x:c r="K370" s="19"/>
      <x:c r="L370" s="19"/>
      <x:c r="M370" s="26"/>
      <x:c r="N370" s="19"/>
      <x:c r="O370" s="19"/>
    </x:row>
    <x:row r="371">
      <x:c r="A371" s="19"/>
      <x:c r="B371" s="19"/>
      <x:c r="C371" s="19"/>
      <x:c r="D371" s="19"/>
      <x:c r="E371" s="19"/>
      <x:c r="F371" s="19"/>
      <x:c r="G371" s="26"/>
      <x:c r="H371" s="19"/>
      <x:c r="I371" s="19"/>
      <x:c r="J371" s="19"/>
      <x:c r="K371" s="19"/>
      <x:c r="L371" s="19"/>
      <x:c r="M371" s="26"/>
      <x:c r="N371" s="19"/>
      <x:c r="O371" s="19"/>
    </x:row>
    <x:row r="372">
      <x:c r="A372" s="19"/>
      <x:c r="B372" s="19"/>
      <x:c r="C372" s="19"/>
      <x:c r="D372" s="19"/>
      <x:c r="E372" s="19"/>
      <x:c r="F372" s="19"/>
      <x:c r="G372" s="26"/>
      <x:c r="H372" s="19"/>
      <x:c r="I372" s="19"/>
      <x:c r="J372" s="19"/>
      <x:c r="K372" s="19"/>
      <x:c r="L372" s="19"/>
      <x:c r="M372" s="26"/>
      <x:c r="N372" s="19"/>
      <x:c r="O372" s="19"/>
    </x:row>
    <x:row r="373">
      <x:c r="A373" s="19"/>
      <x:c r="B373" s="19"/>
      <x:c r="C373" s="19"/>
      <x:c r="D373" s="19"/>
      <x:c r="E373" s="19"/>
      <x:c r="F373" s="19"/>
      <x:c r="G373" s="26"/>
      <x:c r="H373" s="19"/>
      <x:c r="I373" s="19"/>
      <x:c r="J373" s="19"/>
      <x:c r="K373" s="19"/>
      <x:c r="L373" s="19"/>
      <x:c r="M373" s="26"/>
      <x:c r="N373" s="19"/>
      <x:c r="O373" s="19"/>
    </x:row>
    <x:row r="374">
      <x:c r="A374" s="19"/>
      <x:c r="B374" s="19"/>
      <x:c r="C374" s="19"/>
      <x:c r="D374" s="19"/>
      <x:c r="E374" s="19"/>
      <x:c r="F374" s="19"/>
      <x:c r="G374" s="26"/>
      <x:c r="H374" s="19"/>
      <x:c r="I374" s="19"/>
      <x:c r="J374" s="19"/>
      <x:c r="K374" s="19"/>
      <x:c r="L374" s="19"/>
      <x:c r="M374" s="26"/>
      <x:c r="N374" s="19"/>
      <x:c r="O374" s="19"/>
    </x:row>
    <x:row r="375">
      <x:c r="A375" s="19"/>
      <x:c r="B375" s="19"/>
      <x:c r="C375" s="19"/>
      <x:c r="D375" s="19"/>
      <x:c r="E375" s="19"/>
      <x:c r="F375" s="19"/>
      <x:c r="G375" s="26"/>
      <x:c r="H375" s="19"/>
      <x:c r="I375" s="19"/>
      <x:c r="J375" s="19"/>
      <x:c r="K375" s="19"/>
      <x:c r="L375" s="19"/>
      <x:c r="M375" s="26"/>
      <x:c r="N375" s="19"/>
      <x:c r="O375" s="19"/>
    </x:row>
    <x:row r="376">
      <x:c r="A376" s="19"/>
      <x:c r="B376" s="19"/>
      <x:c r="C376" s="19"/>
      <x:c r="D376" s="19"/>
      <x:c r="E376" s="19"/>
      <x:c r="F376" s="19"/>
      <x:c r="G376" s="26"/>
      <x:c r="H376" s="19"/>
      <x:c r="I376" s="19"/>
      <x:c r="J376" s="19"/>
      <x:c r="K376" s="19"/>
      <x:c r="L376" s="19"/>
      <x:c r="M376" s="26"/>
      <x:c r="N376" s="19"/>
      <x:c r="O376" s="19"/>
    </x:row>
    <x:row r="377">
      <x:c r="A377" s="19"/>
      <x:c r="B377" s="19"/>
      <x:c r="C377" s="19"/>
      <x:c r="D377" s="19"/>
      <x:c r="E377" s="19"/>
      <x:c r="F377" s="19"/>
      <x:c r="G377" s="26"/>
      <x:c r="H377" s="19"/>
      <x:c r="I377" s="19"/>
      <x:c r="J377" s="19"/>
      <x:c r="K377" s="19"/>
      <x:c r="L377" s="19"/>
      <x:c r="M377" s="26"/>
      <x:c r="N377" s="19"/>
      <x:c r="O377" s="19"/>
    </x:row>
    <x:row r="378">
      <x:c r="A378" s="19"/>
      <x:c r="B378" s="19"/>
      <x:c r="C378" s="19"/>
      <x:c r="D378" s="19"/>
      <x:c r="E378" s="19"/>
      <x:c r="F378" s="19"/>
      <x:c r="G378" s="26"/>
      <x:c r="H378" s="19"/>
      <x:c r="I378" s="19"/>
      <x:c r="J378" s="19"/>
      <x:c r="K378" s="19"/>
      <x:c r="L378" s="19"/>
      <x:c r="M378" s="26"/>
      <x:c r="N378" s="19"/>
      <x:c r="O378" s="19"/>
    </x:row>
    <x:row r="379">
      <x:c r="A379" s="19"/>
      <x:c r="B379" s="19"/>
      <x:c r="C379" s="19"/>
      <x:c r="D379" s="19"/>
      <x:c r="E379" s="19"/>
      <x:c r="F379" s="19"/>
      <x:c r="G379" s="26"/>
      <x:c r="H379" s="19"/>
      <x:c r="I379" s="19"/>
      <x:c r="J379" s="19"/>
      <x:c r="K379" s="19"/>
      <x:c r="L379" s="19"/>
      <x:c r="M379" s="26"/>
      <x:c r="N379" s="19"/>
      <x:c r="O379" s="19"/>
    </x:row>
    <x:row r="380">
      <x:c r="A380" s="19"/>
      <x:c r="B380" s="19"/>
      <x:c r="C380" s="19"/>
      <x:c r="D380" s="19"/>
      <x:c r="E380" s="19"/>
      <x:c r="F380" s="19"/>
      <x:c r="G380" s="26"/>
      <x:c r="H380" s="19"/>
      <x:c r="I380" s="19"/>
      <x:c r="J380" s="19"/>
      <x:c r="K380" s="19"/>
      <x:c r="L380" s="19"/>
      <x:c r="M380" s="26"/>
      <x:c r="N380" s="19"/>
      <x:c r="O380" s="19"/>
    </x:row>
    <x:row r="381">
      <x:c r="A381" s="19"/>
      <x:c r="B381" s="19"/>
      <x:c r="C381" s="19"/>
      <x:c r="D381" s="19"/>
      <x:c r="E381" s="19"/>
      <x:c r="F381" s="19"/>
      <x:c r="G381" s="26"/>
      <x:c r="H381" s="19"/>
      <x:c r="I381" s="19"/>
      <x:c r="J381" s="19"/>
      <x:c r="K381" s="19"/>
      <x:c r="L381" s="19"/>
      <x:c r="M381" s="26"/>
      <x:c r="N381" s="19"/>
      <x:c r="O381" s="19"/>
    </x:row>
    <x:row r="382">
      <x:c r="A382" s="19"/>
      <x:c r="B382" s="19"/>
      <x:c r="C382" s="19"/>
      <x:c r="D382" s="19"/>
      <x:c r="E382" s="19"/>
      <x:c r="F382" s="19"/>
      <x:c r="G382" s="26"/>
      <x:c r="H382" s="19"/>
      <x:c r="I382" s="19"/>
      <x:c r="J382" s="19"/>
      <x:c r="K382" s="19"/>
      <x:c r="L382" s="19"/>
      <x:c r="M382" s="26"/>
      <x:c r="N382" s="19"/>
      <x:c r="O382" s="19"/>
    </x:row>
    <x:row r="383">
      <x:c r="A383" s="19"/>
      <x:c r="B383" s="19"/>
      <x:c r="C383" s="19"/>
      <x:c r="D383" s="19"/>
      <x:c r="E383" s="19"/>
      <x:c r="F383" s="19"/>
      <x:c r="G383" s="26"/>
      <x:c r="H383" s="19"/>
      <x:c r="I383" s="19"/>
      <x:c r="J383" s="19"/>
      <x:c r="K383" s="19"/>
      <x:c r="L383" s="19"/>
      <x:c r="M383" s="26"/>
      <x:c r="N383" s="19"/>
      <x:c r="O383" s="19"/>
    </x:row>
    <x:row r="384">
      <x:c r="A384" s="19"/>
      <x:c r="B384" s="19"/>
      <x:c r="C384" s="19"/>
      <x:c r="D384" s="19"/>
      <x:c r="E384" s="19"/>
      <x:c r="F384" s="19"/>
      <x:c r="G384" s="26"/>
      <x:c r="H384" s="19"/>
      <x:c r="I384" s="19"/>
      <x:c r="J384" s="19"/>
      <x:c r="K384" s="19"/>
      <x:c r="L384" s="19"/>
      <x:c r="M384" s="26"/>
      <x:c r="N384" s="19"/>
      <x:c r="O384" s="19"/>
    </x:row>
    <x:row r="385">
      <x:c r="A385" s="19"/>
      <x:c r="B385" s="19"/>
      <x:c r="C385" s="19"/>
      <x:c r="D385" s="19"/>
      <x:c r="E385" s="19"/>
      <x:c r="F385" s="19"/>
      <x:c r="G385" s="26"/>
      <x:c r="H385" s="19"/>
      <x:c r="I385" s="19"/>
      <x:c r="J385" s="19"/>
      <x:c r="K385" s="19"/>
      <x:c r="L385" s="19"/>
      <x:c r="M385" s="26"/>
      <x:c r="N385" s="19"/>
      <x:c r="O385" s="19"/>
    </x:row>
    <x:row r="386">
      <x:c r="A386" s="19"/>
      <x:c r="B386" s="19"/>
      <x:c r="C386" s="19"/>
      <x:c r="D386" s="19"/>
      <x:c r="E386" s="19"/>
      <x:c r="F386" s="19"/>
      <x:c r="G386" s="26"/>
      <x:c r="H386" s="19"/>
      <x:c r="I386" s="19"/>
      <x:c r="J386" s="19"/>
      <x:c r="K386" s="19"/>
      <x:c r="L386" s="19"/>
      <x:c r="M386" s="26"/>
      <x:c r="N386" s="19"/>
      <x:c r="O386" s="19"/>
    </x:row>
    <x:row r="387">
      <x:c r="A387" s="19"/>
      <x:c r="B387" s="19"/>
      <x:c r="C387" s="19"/>
      <x:c r="D387" s="19"/>
      <x:c r="E387" s="19"/>
      <x:c r="F387" s="19"/>
      <x:c r="G387" s="26"/>
      <x:c r="H387" s="19"/>
      <x:c r="I387" s="19"/>
      <x:c r="J387" s="19"/>
      <x:c r="K387" s="19"/>
      <x:c r="L387" s="19"/>
      <x:c r="M387" s="26"/>
      <x:c r="N387" s="19"/>
      <x:c r="O387" s="19"/>
    </x:row>
    <x:row r="388">
      <x:c r="A388" s="19"/>
      <x:c r="B388" s="19"/>
      <x:c r="C388" s="19"/>
      <x:c r="D388" s="19"/>
      <x:c r="E388" s="19"/>
      <x:c r="F388" s="19"/>
      <x:c r="G388" s="26"/>
      <x:c r="H388" s="19"/>
      <x:c r="I388" s="19"/>
      <x:c r="J388" s="19"/>
      <x:c r="K388" s="19"/>
      <x:c r="L388" s="19"/>
      <x:c r="M388" s="26"/>
      <x:c r="N388" s="19"/>
      <x:c r="O388" s="19"/>
    </x:row>
    <x:row r="389">
      <x:c r="A389" s="19"/>
      <x:c r="B389" s="19"/>
      <x:c r="C389" s="19"/>
      <x:c r="D389" s="19"/>
      <x:c r="E389" s="19"/>
      <x:c r="F389" s="19"/>
      <x:c r="G389" s="26"/>
      <x:c r="H389" s="19"/>
      <x:c r="I389" s="19"/>
      <x:c r="J389" s="19"/>
      <x:c r="K389" s="19"/>
      <x:c r="L389" s="19"/>
      <x:c r="M389" s="26"/>
      <x:c r="N389" s="19"/>
      <x:c r="O389" s="19"/>
    </x:row>
    <x:row r="390">
      <x:c r="A390" s="19"/>
      <x:c r="B390" s="19"/>
      <x:c r="C390" s="19"/>
      <x:c r="D390" s="19"/>
      <x:c r="E390" s="19"/>
      <x:c r="F390" s="19"/>
      <x:c r="G390" s="26"/>
      <x:c r="H390" s="19"/>
      <x:c r="I390" s="19"/>
      <x:c r="J390" s="19"/>
      <x:c r="K390" s="19"/>
      <x:c r="L390" s="19"/>
      <x:c r="M390" s="26"/>
      <x:c r="N390" s="19"/>
      <x:c r="O390" s="19"/>
    </x:row>
    <x:row r="391">
      <x:c r="A391" s="19"/>
      <x:c r="B391" s="19"/>
      <x:c r="C391" s="19"/>
      <x:c r="D391" s="19"/>
      <x:c r="E391" s="19"/>
      <x:c r="F391" s="19"/>
      <x:c r="G391" s="26"/>
      <x:c r="H391" s="19"/>
      <x:c r="I391" s="19"/>
      <x:c r="J391" s="19"/>
      <x:c r="K391" s="19"/>
      <x:c r="L391" s="19"/>
      <x:c r="M391" s="26"/>
      <x:c r="N391" s="19"/>
      <x:c r="O391" s="19"/>
    </x:row>
    <x:row r="392">
      <x:c r="A392" s="19"/>
      <x:c r="B392" s="19"/>
      <x:c r="C392" s="19"/>
      <x:c r="D392" s="19"/>
      <x:c r="E392" s="19"/>
      <x:c r="F392" s="19"/>
      <x:c r="G392" s="26"/>
      <x:c r="H392" s="19"/>
      <x:c r="I392" s="19"/>
      <x:c r="J392" s="19"/>
      <x:c r="K392" s="19"/>
      <x:c r="L392" s="19"/>
      <x:c r="M392" s="26"/>
      <x:c r="N392" s="19"/>
      <x:c r="O392" s="19"/>
    </x:row>
    <x:row r="393">
      <x:c r="A393" s="19"/>
      <x:c r="B393" s="19"/>
      <x:c r="C393" s="19"/>
      <x:c r="D393" s="19"/>
      <x:c r="E393" s="19"/>
      <x:c r="F393" s="19"/>
      <x:c r="G393" s="26"/>
      <x:c r="H393" s="19"/>
      <x:c r="I393" s="19"/>
      <x:c r="J393" s="19"/>
      <x:c r="K393" s="19"/>
      <x:c r="L393" s="19"/>
      <x:c r="M393" s="26"/>
      <x:c r="N393" s="19"/>
      <x:c r="O393" s="19"/>
    </x:row>
    <x:row r="394">
      <x:c r="A394" s="19"/>
      <x:c r="B394" s="19"/>
      <x:c r="C394" s="19"/>
      <x:c r="D394" s="19"/>
      <x:c r="E394" s="19"/>
      <x:c r="F394" s="19"/>
      <x:c r="G394" s="26"/>
      <x:c r="H394" s="19"/>
      <x:c r="I394" s="19"/>
      <x:c r="J394" s="19"/>
      <x:c r="K394" s="19"/>
      <x:c r="L394" s="19"/>
      <x:c r="M394" s="26"/>
      <x:c r="N394" s="19"/>
      <x:c r="O394" s="19"/>
    </x:row>
    <x:row r="395">
      <x:c r="A395" s="19"/>
      <x:c r="B395" s="19"/>
      <x:c r="C395" s="19"/>
      <x:c r="D395" s="19"/>
      <x:c r="E395" s="19"/>
      <x:c r="F395" s="19"/>
      <x:c r="G395" s="26"/>
      <x:c r="H395" s="19"/>
      <x:c r="I395" s="19"/>
      <x:c r="J395" s="19"/>
      <x:c r="K395" s="19"/>
      <x:c r="L395" s="19"/>
      <x:c r="M395" s="26"/>
      <x:c r="N395" s="19"/>
      <x:c r="O395" s="19"/>
    </x:row>
    <x:row r="396">
      <x:c r="A396" s="19"/>
      <x:c r="B396" s="19"/>
      <x:c r="C396" s="19"/>
      <x:c r="D396" s="19"/>
      <x:c r="E396" s="19"/>
      <x:c r="F396" s="19"/>
      <x:c r="G396" s="26"/>
      <x:c r="H396" s="19"/>
      <x:c r="I396" s="19"/>
      <x:c r="J396" s="19"/>
      <x:c r="K396" s="19"/>
      <x:c r="L396" s="19"/>
      <x:c r="M396" s="26"/>
      <x:c r="N396" s="19"/>
      <x:c r="O396" s="19"/>
    </x:row>
    <x:row r="397">
      <x:c r="A397" s="19"/>
      <x:c r="B397" s="19"/>
      <x:c r="C397" s="19"/>
      <x:c r="D397" s="19"/>
      <x:c r="E397" s="19"/>
      <x:c r="F397" s="19"/>
      <x:c r="G397" s="26"/>
      <x:c r="H397" s="19"/>
      <x:c r="I397" s="19"/>
      <x:c r="J397" s="19"/>
      <x:c r="K397" s="19"/>
      <x:c r="L397" s="19"/>
      <x:c r="M397" s="26"/>
      <x:c r="N397" s="19"/>
      <x:c r="O397" s="19"/>
    </x:row>
    <x:row r="398">
      <x:c r="A398" s="19"/>
      <x:c r="B398" s="19"/>
      <x:c r="C398" s="19"/>
      <x:c r="D398" s="19"/>
      <x:c r="E398" s="19"/>
      <x:c r="F398" s="19"/>
      <x:c r="G398" s="26"/>
      <x:c r="H398" s="19"/>
      <x:c r="I398" s="19"/>
      <x:c r="J398" s="19"/>
      <x:c r="K398" s="19"/>
      <x:c r="L398" s="19"/>
      <x:c r="M398" s="26"/>
      <x:c r="N398" s="19"/>
      <x:c r="O398" s="19"/>
    </x:row>
    <x:row r="399">
      <x:c r="A399" s="19"/>
      <x:c r="B399" s="19"/>
      <x:c r="C399" s="19"/>
      <x:c r="D399" s="19"/>
      <x:c r="E399" s="19"/>
      <x:c r="F399" s="19"/>
      <x:c r="G399" s="26"/>
      <x:c r="H399" s="19"/>
      <x:c r="I399" s="19"/>
      <x:c r="J399" s="19"/>
      <x:c r="K399" s="19"/>
      <x:c r="L399" s="19"/>
      <x:c r="M399" s="26"/>
      <x:c r="N399" s="19"/>
      <x:c r="O399" s="19"/>
    </x:row>
    <x:row r="400">
      <x:c r="A400" s="19"/>
      <x:c r="B400" s="19"/>
      <x:c r="C400" s="19"/>
      <x:c r="D400" s="19"/>
      <x:c r="E400" s="19"/>
      <x:c r="F400" s="19"/>
      <x:c r="G400" s="26"/>
      <x:c r="H400" s="19"/>
      <x:c r="I400" s="19"/>
      <x:c r="J400" s="19"/>
      <x:c r="K400" s="19"/>
      <x:c r="L400" s="19"/>
      <x:c r="M400" s="26"/>
      <x:c r="N400" s="19"/>
      <x:c r="O400" s="19"/>
    </x:row>
    <x:row r="401">
      <x:c r="A401" s="19"/>
      <x:c r="B401" s="19"/>
      <x:c r="C401" s="19"/>
      <x:c r="D401" s="19"/>
      <x:c r="E401" s="19"/>
      <x:c r="F401" s="19"/>
      <x:c r="G401" s="26"/>
      <x:c r="H401" s="19"/>
      <x:c r="I401" s="19"/>
      <x:c r="J401" s="19"/>
      <x:c r="K401" s="19"/>
      <x:c r="L401" s="19"/>
      <x:c r="M401" s="26"/>
      <x:c r="N401" s="19"/>
      <x:c r="O401" s="19"/>
    </x:row>
    <x:row r="402">
      <x:c r="A402" s="19"/>
      <x:c r="B402" s="19"/>
      <x:c r="C402" s="19"/>
      <x:c r="D402" s="19"/>
      <x:c r="E402" s="19"/>
      <x:c r="F402" s="19"/>
      <x:c r="G402" s="26"/>
      <x:c r="H402" s="19"/>
      <x:c r="I402" s="19"/>
      <x:c r="J402" s="19"/>
      <x:c r="K402" s="19"/>
      <x:c r="L402" s="19"/>
      <x:c r="M402" s="26"/>
      <x:c r="N402" s="19"/>
      <x:c r="O402" s="19"/>
    </x:row>
    <x:row r="403">
      <x:c r="A403" s="19"/>
      <x:c r="B403" s="19"/>
      <x:c r="C403" s="19"/>
      <x:c r="D403" s="19"/>
      <x:c r="E403" s="19"/>
      <x:c r="F403" s="19"/>
      <x:c r="G403" s="26"/>
      <x:c r="H403" s="19"/>
      <x:c r="I403" s="19"/>
      <x:c r="J403" s="19"/>
      <x:c r="K403" s="19"/>
      <x:c r="L403" s="19"/>
      <x:c r="M403" s="26"/>
      <x:c r="N403" s="19"/>
      <x:c r="O403" s="19"/>
    </x:row>
    <x:row r="404">
      <x:c r="A404" s="19"/>
      <x:c r="B404" s="19"/>
      <x:c r="C404" s="19"/>
      <x:c r="D404" s="19"/>
      <x:c r="E404" s="19"/>
      <x:c r="F404" s="19"/>
      <x:c r="G404" s="26"/>
      <x:c r="H404" s="19"/>
      <x:c r="I404" s="19"/>
      <x:c r="J404" s="19"/>
      <x:c r="K404" s="19"/>
      <x:c r="L404" s="19"/>
      <x:c r="M404" s="26"/>
      <x:c r="N404" s="19"/>
      <x:c r="O404" s="19"/>
    </x:row>
    <x:row r="405">
      <x:c r="A405" s="19"/>
      <x:c r="B405" s="19"/>
      <x:c r="C405" s="19"/>
      <x:c r="D405" s="19"/>
      <x:c r="E405" s="19"/>
      <x:c r="F405" s="19"/>
      <x:c r="G405" s="26"/>
      <x:c r="H405" s="19"/>
      <x:c r="I405" s="19"/>
      <x:c r="J405" s="19"/>
      <x:c r="K405" s="19"/>
      <x:c r="L405" s="19"/>
      <x:c r="M405" s="26"/>
      <x:c r="N405" s="19"/>
      <x:c r="O405" s="19"/>
    </x:row>
    <x:row r="406">
      <x:c r="A406" s="19"/>
      <x:c r="B406" s="19"/>
      <x:c r="C406" s="19"/>
      <x:c r="D406" s="19"/>
      <x:c r="E406" s="19"/>
      <x:c r="F406" s="19"/>
      <x:c r="G406" s="26"/>
      <x:c r="H406" s="19"/>
      <x:c r="I406" s="19"/>
      <x:c r="J406" s="19"/>
      <x:c r="K406" s="19"/>
      <x:c r="L406" s="19"/>
      <x:c r="M406" s="26"/>
      <x:c r="N406" s="19"/>
      <x:c r="O406" s="19"/>
    </x:row>
    <x:row r="407">
      <x:c r="A407" s="19"/>
      <x:c r="B407" s="19"/>
      <x:c r="C407" s="19"/>
      <x:c r="D407" s="19"/>
      <x:c r="E407" s="19"/>
      <x:c r="F407" s="19"/>
      <x:c r="G407" s="26"/>
      <x:c r="H407" s="19"/>
      <x:c r="I407" s="19"/>
      <x:c r="J407" s="19"/>
      <x:c r="K407" s="19"/>
      <x:c r="L407" s="19"/>
      <x:c r="M407" s="26"/>
      <x:c r="N407" s="19"/>
      <x:c r="O407" s="19"/>
    </x:row>
    <x:row r="408">
      <x:c r="A408" s="19"/>
      <x:c r="B408" s="19"/>
      <x:c r="C408" s="19"/>
      <x:c r="D408" s="19"/>
      <x:c r="E408" s="19"/>
      <x:c r="F408" s="19"/>
      <x:c r="G408" s="26"/>
      <x:c r="H408" s="19"/>
      <x:c r="I408" s="19"/>
      <x:c r="J408" s="19"/>
      <x:c r="K408" s="19"/>
      <x:c r="L408" s="19"/>
      <x:c r="M408" s="26"/>
      <x:c r="N408" s="19"/>
      <x:c r="O408" s="19"/>
    </x:row>
    <x:row r="409">
      <x:c r="A409" s="19"/>
      <x:c r="B409" s="19"/>
      <x:c r="C409" s="19"/>
      <x:c r="D409" s="19"/>
      <x:c r="E409" s="19"/>
      <x:c r="F409" s="19"/>
      <x:c r="G409" s="26"/>
      <x:c r="H409" s="19"/>
      <x:c r="I409" s="19"/>
      <x:c r="J409" s="19"/>
      <x:c r="K409" s="19"/>
      <x:c r="L409" s="19"/>
      <x:c r="M409" s="26"/>
      <x:c r="N409" s="19"/>
      <x:c r="O409" s="19"/>
    </x:row>
    <x:row r="410">
      <x:c r="A410" s="19"/>
      <x:c r="B410" s="19"/>
      <x:c r="C410" s="19"/>
      <x:c r="D410" s="19"/>
      <x:c r="E410" s="19"/>
      <x:c r="F410" s="19"/>
      <x:c r="G410" s="26"/>
      <x:c r="H410" s="19"/>
      <x:c r="I410" s="19"/>
      <x:c r="J410" s="19"/>
      <x:c r="K410" s="19"/>
      <x:c r="L410" s="19"/>
      <x:c r="M410" s="26"/>
      <x:c r="N410" s="19"/>
      <x:c r="O410" s="19"/>
    </x:row>
    <x:row r="411">
      <x:c r="A411" s="19"/>
      <x:c r="B411" s="19"/>
      <x:c r="C411" s="19"/>
      <x:c r="D411" s="19"/>
      <x:c r="E411" s="19"/>
      <x:c r="F411" s="19"/>
      <x:c r="G411" s="26"/>
      <x:c r="H411" s="19"/>
      <x:c r="I411" s="19"/>
      <x:c r="J411" s="19"/>
      <x:c r="K411" s="19"/>
      <x:c r="L411" s="19"/>
      <x:c r="M411" s="26"/>
      <x:c r="N411" s="19"/>
      <x:c r="O411" s="19"/>
    </x:row>
    <x:row r="412">
      <x:c r="A412" s="19"/>
      <x:c r="B412" s="19"/>
      <x:c r="C412" s="19"/>
      <x:c r="D412" s="19"/>
      <x:c r="E412" s="19"/>
      <x:c r="F412" s="19"/>
      <x:c r="G412" s="26"/>
      <x:c r="H412" s="19"/>
      <x:c r="I412" s="19"/>
      <x:c r="J412" s="19"/>
      <x:c r="K412" s="19"/>
      <x:c r="L412" s="19"/>
      <x:c r="M412" s="26"/>
      <x:c r="N412" s="19"/>
      <x:c r="O412" s="19"/>
    </x:row>
    <x:row r="413">
      <x:c r="A413" s="19"/>
      <x:c r="B413" s="19"/>
      <x:c r="C413" s="19"/>
      <x:c r="D413" s="19"/>
      <x:c r="E413" s="19"/>
      <x:c r="F413" s="19"/>
      <x:c r="G413" s="26"/>
      <x:c r="H413" s="19"/>
      <x:c r="I413" s="19"/>
      <x:c r="J413" s="19"/>
      <x:c r="K413" s="19"/>
      <x:c r="L413" s="19"/>
      <x:c r="M413" s="26"/>
      <x:c r="N413" s="19"/>
      <x:c r="O413" s="19"/>
    </x:row>
    <x:row r="414">
      <x:c r="A414" s="19"/>
      <x:c r="B414" s="19"/>
      <x:c r="C414" s="19"/>
      <x:c r="D414" s="19"/>
      <x:c r="E414" s="19"/>
      <x:c r="F414" s="19"/>
      <x:c r="G414" s="26"/>
      <x:c r="H414" s="19"/>
      <x:c r="I414" s="19"/>
      <x:c r="J414" s="19"/>
      <x:c r="K414" s="19"/>
      <x:c r="L414" s="19"/>
      <x:c r="M414" s="26"/>
      <x:c r="N414" s="19"/>
      <x:c r="O414" s="19"/>
    </x:row>
    <x:row r="415">
      <x:c r="A415" s="19"/>
      <x:c r="B415" s="19"/>
      <x:c r="C415" s="19"/>
      <x:c r="D415" s="19"/>
      <x:c r="E415" s="19"/>
      <x:c r="F415" s="19"/>
      <x:c r="G415" s="26"/>
      <x:c r="H415" s="19"/>
      <x:c r="I415" s="19"/>
      <x:c r="J415" s="19"/>
      <x:c r="K415" s="19"/>
      <x:c r="L415" s="19"/>
      <x:c r="M415" s="26"/>
      <x:c r="N415" s="19"/>
      <x:c r="O415" s="19"/>
    </x:row>
    <x:row r="416">
      <x:c r="A416" s="19"/>
      <x:c r="B416" s="19"/>
      <x:c r="C416" s="19"/>
      <x:c r="D416" s="19"/>
      <x:c r="E416" s="19"/>
      <x:c r="F416" s="19"/>
      <x:c r="G416" s="26"/>
      <x:c r="H416" s="19"/>
      <x:c r="I416" s="19"/>
      <x:c r="J416" s="19"/>
      <x:c r="K416" s="19"/>
      <x:c r="L416" s="19"/>
      <x:c r="M416" s="26"/>
      <x:c r="N416" s="19"/>
      <x:c r="O416" s="19"/>
    </x:row>
    <x:row r="417">
      <x:c r="A417" s="19"/>
      <x:c r="B417" s="19"/>
      <x:c r="C417" s="19"/>
      <x:c r="D417" s="19"/>
      <x:c r="E417" s="19"/>
      <x:c r="F417" s="19"/>
      <x:c r="G417" s="26"/>
      <x:c r="H417" s="19"/>
      <x:c r="I417" s="19"/>
      <x:c r="J417" s="19"/>
      <x:c r="K417" s="19"/>
      <x:c r="L417" s="19"/>
      <x:c r="M417" s="26"/>
      <x:c r="N417" s="19"/>
      <x:c r="O417" s="19"/>
    </x:row>
    <x:row r="418">
      <x:c r="A418" s="19"/>
      <x:c r="B418" s="19"/>
      <x:c r="C418" s="19"/>
      <x:c r="D418" s="19"/>
      <x:c r="E418" s="19"/>
      <x:c r="F418" s="19"/>
      <x:c r="G418" s="26"/>
      <x:c r="H418" s="19"/>
      <x:c r="I418" s="19"/>
      <x:c r="J418" s="19"/>
      <x:c r="K418" s="19"/>
      <x:c r="L418" s="19"/>
      <x:c r="M418" s="26"/>
      <x:c r="N418" s="19"/>
      <x:c r="O418" s="19"/>
    </x:row>
    <x:row r="419">
      <x:c r="A419" s="19"/>
      <x:c r="B419" s="19"/>
      <x:c r="C419" s="19"/>
      <x:c r="D419" s="19"/>
      <x:c r="E419" s="19"/>
      <x:c r="F419" s="19"/>
      <x:c r="G419" s="26"/>
      <x:c r="H419" s="19"/>
      <x:c r="I419" s="19"/>
      <x:c r="J419" s="19"/>
      <x:c r="K419" s="19"/>
      <x:c r="L419" s="19"/>
      <x:c r="M419" s="26"/>
      <x:c r="N419" s="19"/>
      <x:c r="O419" s="19"/>
    </x:row>
    <x:row r="420">
      <x:c r="A420" s="19"/>
      <x:c r="B420" s="19"/>
      <x:c r="C420" s="19"/>
      <x:c r="D420" s="19"/>
      <x:c r="E420" s="19"/>
      <x:c r="F420" s="19"/>
      <x:c r="G420" s="26"/>
      <x:c r="H420" s="19"/>
      <x:c r="I420" s="19"/>
      <x:c r="J420" s="19"/>
      <x:c r="K420" s="19"/>
      <x:c r="L420" s="19"/>
      <x:c r="M420" s="26"/>
      <x:c r="N420" s="19"/>
      <x:c r="O420" s="19"/>
    </x:row>
    <x:row r="421">
      <x:c r="A421" s="19"/>
      <x:c r="B421" s="19"/>
      <x:c r="C421" s="19"/>
      <x:c r="D421" s="19"/>
      <x:c r="E421" s="19"/>
      <x:c r="F421" s="19"/>
      <x:c r="G421" s="26"/>
      <x:c r="H421" s="19"/>
      <x:c r="I421" s="19"/>
      <x:c r="J421" s="19"/>
      <x:c r="K421" s="19"/>
      <x:c r="L421" s="19"/>
      <x:c r="M421" s="26"/>
      <x:c r="N421" s="19"/>
      <x:c r="O421" s="19"/>
    </x:row>
    <x:row r="422">
      <x:c r="A422" s="19"/>
      <x:c r="B422" s="19"/>
      <x:c r="C422" s="19"/>
      <x:c r="D422" s="19"/>
      <x:c r="E422" s="19"/>
      <x:c r="F422" s="19"/>
      <x:c r="G422" s="26"/>
      <x:c r="H422" s="19"/>
      <x:c r="I422" s="19"/>
      <x:c r="J422" s="19"/>
      <x:c r="K422" s="19"/>
      <x:c r="L422" s="19"/>
      <x:c r="M422" s="26"/>
      <x:c r="N422" s="19"/>
      <x:c r="O422" s="19"/>
    </x:row>
    <x:row r="423">
      <x:c r="A423" s="19"/>
      <x:c r="B423" s="19"/>
      <x:c r="C423" s="19"/>
      <x:c r="D423" s="19"/>
      <x:c r="E423" s="19"/>
      <x:c r="F423" s="19"/>
      <x:c r="G423" s="26"/>
      <x:c r="H423" s="19"/>
      <x:c r="I423" s="19"/>
      <x:c r="J423" s="19"/>
      <x:c r="K423" s="19"/>
      <x:c r="L423" s="19"/>
      <x:c r="M423" s="26"/>
      <x:c r="N423" s="19"/>
      <x:c r="O423" s="19"/>
    </x:row>
    <x:row r="424">
      <x:c r="A424" s="19"/>
      <x:c r="B424" s="19"/>
      <x:c r="C424" s="19"/>
      <x:c r="D424" s="19"/>
      <x:c r="E424" s="19"/>
      <x:c r="F424" s="19"/>
      <x:c r="G424" s="26"/>
      <x:c r="H424" s="19"/>
      <x:c r="I424" s="19"/>
      <x:c r="J424" s="19"/>
      <x:c r="K424" s="19"/>
      <x:c r="L424" s="19"/>
      <x:c r="M424" s="26"/>
      <x:c r="N424" s="19"/>
      <x:c r="O424" s="19"/>
    </x:row>
    <x:row r="425">
      <x:c r="A425" s="19"/>
      <x:c r="B425" s="19"/>
      <x:c r="C425" s="19"/>
      <x:c r="D425" s="19"/>
      <x:c r="E425" s="19"/>
      <x:c r="F425" s="19"/>
      <x:c r="G425" s="26"/>
      <x:c r="H425" s="19"/>
      <x:c r="I425" s="19"/>
      <x:c r="J425" s="19"/>
      <x:c r="K425" s="19"/>
      <x:c r="L425" s="19"/>
      <x:c r="M425" s="26"/>
      <x:c r="N425" s="19"/>
      <x:c r="O425" s="19"/>
    </x:row>
    <x:row r="426">
      <x:c r="A426" s="19"/>
      <x:c r="B426" s="19"/>
      <x:c r="C426" s="19"/>
      <x:c r="D426" s="19"/>
      <x:c r="E426" s="19"/>
      <x:c r="F426" s="19"/>
      <x:c r="G426" s="26"/>
      <x:c r="H426" s="19"/>
      <x:c r="I426" s="19"/>
      <x:c r="J426" s="19"/>
      <x:c r="K426" s="19"/>
      <x:c r="L426" s="19"/>
      <x:c r="M426" s="26"/>
      <x:c r="N426" s="19"/>
      <x:c r="O426" s="19"/>
    </x:row>
    <x:row r="427">
      <x:c r="A427" s="19"/>
      <x:c r="B427" s="19"/>
      <x:c r="C427" s="19"/>
      <x:c r="D427" s="19"/>
      <x:c r="E427" s="19"/>
      <x:c r="F427" s="19"/>
      <x:c r="G427" s="26"/>
      <x:c r="H427" s="19"/>
      <x:c r="I427" s="19"/>
      <x:c r="J427" s="19"/>
      <x:c r="K427" s="19"/>
      <x:c r="L427" s="19"/>
      <x:c r="M427" s="26"/>
      <x:c r="N427" s="19"/>
      <x:c r="O427" s="19"/>
    </x:row>
    <x:row r="428">
      <x:c r="A428" s="19"/>
      <x:c r="B428" s="19"/>
      <x:c r="C428" s="19"/>
      <x:c r="D428" s="19"/>
      <x:c r="E428" s="19"/>
      <x:c r="F428" s="19"/>
      <x:c r="G428" s="26"/>
      <x:c r="H428" s="19"/>
      <x:c r="I428" s="19"/>
      <x:c r="J428" s="19"/>
      <x:c r="K428" s="19"/>
      <x:c r="L428" s="19"/>
      <x:c r="M428" s="26"/>
      <x:c r="N428" s="19"/>
      <x:c r="O428" s="19"/>
    </x:row>
    <x:row r="429">
      <x:c r="A429" s="19"/>
      <x:c r="B429" s="19"/>
      <x:c r="C429" s="19"/>
      <x:c r="D429" s="19"/>
      <x:c r="E429" s="19"/>
      <x:c r="F429" s="19"/>
      <x:c r="G429" s="26"/>
      <x:c r="H429" s="19"/>
      <x:c r="I429" s="19"/>
      <x:c r="J429" s="19"/>
      <x:c r="K429" s="19"/>
      <x:c r="L429" s="19"/>
      <x:c r="M429" s="26"/>
      <x:c r="N429" s="19"/>
      <x:c r="O429" s="19"/>
    </x:row>
    <x:row r="430">
      <x:c r="A430" s="19"/>
      <x:c r="B430" s="19"/>
      <x:c r="C430" s="19"/>
      <x:c r="D430" s="19"/>
      <x:c r="E430" s="19"/>
      <x:c r="F430" s="19"/>
      <x:c r="G430" s="26"/>
      <x:c r="H430" s="19"/>
      <x:c r="I430" s="19"/>
      <x:c r="J430" s="19"/>
      <x:c r="K430" s="19"/>
      <x:c r="L430" s="19"/>
      <x:c r="M430" s="26"/>
      <x:c r="N430" s="19"/>
      <x:c r="O430" s="19"/>
    </x:row>
    <x:row r="431">
      <x:c r="A431" s="19"/>
      <x:c r="B431" s="19"/>
      <x:c r="C431" s="19"/>
      <x:c r="D431" s="19"/>
      <x:c r="E431" s="19"/>
      <x:c r="F431" s="19"/>
      <x:c r="G431" s="26"/>
      <x:c r="H431" s="19"/>
      <x:c r="I431" s="19"/>
      <x:c r="J431" s="19"/>
      <x:c r="K431" s="19"/>
      <x:c r="L431" s="19"/>
      <x:c r="M431" s="26"/>
      <x:c r="N431" s="19"/>
      <x:c r="O431" s="19"/>
    </x:row>
    <x:row r="432">
      <x:c r="A432" s="19"/>
      <x:c r="B432" s="19"/>
      <x:c r="C432" s="19"/>
      <x:c r="D432" s="19"/>
      <x:c r="E432" s="19"/>
      <x:c r="F432" s="19"/>
      <x:c r="G432" s="26"/>
      <x:c r="H432" s="19"/>
      <x:c r="I432" s="19"/>
      <x:c r="J432" s="19"/>
      <x:c r="K432" s="19"/>
      <x:c r="L432" s="19"/>
      <x:c r="M432" s="26"/>
      <x:c r="N432" s="19"/>
      <x:c r="O432" s="19"/>
    </x:row>
    <x:row r="433">
      <x:c r="A433" s="19"/>
      <x:c r="B433" s="19"/>
      <x:c r="C433" s="19"/>
      <x:c r="D433" s="19"/>
      <x:c r="E433" s="19"/>
      <x:c r="F433" s="19"/>
      <x:c r="G433" s="26"/>
      <x:c r="H433" s="19"/>
      <x:c r="I433" s="19"/>
      <x:c r="J433" s="19"/>
      <x:c r="K433" s="19"/>
      <x:c r="L433" s="19"/>
      <x:c r="M433" s="26"/>
      <x:c r="N433" s="19"/>
      <x:c r="O433" s="19"/>
    </x:row>
    <x:row r="434">
      <x:c r="A434" s="19"/>
      <x:c r="B434" s="19"/>
      <x:c r="C434" s="19"/>
      <x:c r="D434" s="19"/>
      <x:c r="E434" s="19"/>
      <x:c r="F434" s="19"/>
      <x:c r="G434" s="26"/>
      <x:c r="H434" s="19"/>
      <x:c r="I434" s="19"/>
      <x:c r="J434" s="19"/>
      <x:c r="K434" s="19"/>
      <x:c r="L434" s="19"/>
      <x:c r="M434" s="26"/>
      <x:c r="N434" s="19"/>
      <x:c r="O434" s="19"/>
    </x:row>
    <x:row r="435">
      <x:c r="A435" s="19"/>
      <x:c r="B435" s="19"/>
      <x:c r="C435" s="19"/>
      <x:c r="D435" s="19"/>
      <x:c r="E435" s="19"/>
      <x:c r="F435" s="19"/>
      <x:c r="G435" s="26"/>
      <x:c r="H435" s="19"/>
      <x:c r="I435" s="19"/>
      <x:c r="J435" s="19"/>
      <x:c r="K435" s="19"/>
      <x:c r="L435" s="19"/>
      <x:c r="M435" s="26"/>
      <x:c r="N435" s="19"/>
      <x:c r="O435" s="19"/>
    </x:row>
    <x:row r="436">
      <x:c r="A436" s="19"/>
      <x:c r="B436" s="19"/>
      <x:c r="C436" s="19"/>
      <x:c r="D436" s="19"/>
      <x:c r="E436" s="19"/>
      <x:c r="F436" s="19"/>
      <x:c r="G436" s="26"/>
      <x:c r="H436" s="19"/>
      <x:c r="I436" s="19"/>
      <x:c r="J436" s="19"/>
      <x:c r="K436" s="19"/>
      <x:c r="L436" s="19"/>
      <x:c r="M436" s="26"/>
      <x:c r="N436" s="19"/>
      <x:c r="O436" s="19"/>
    </x:row>
    <x:row r="437">
      <x:c r="A437" s="19"/>
      <x:c r="B437" s="19"/>
      <x:c r="C437" s="19"/>
      <x:c r="D437" s="19"/>
      <x:c r="E437" s="19"/>
      <x:c r="F437" s="19"/>
      <x:c r="G437" s="26"/>
      <x:c r="H437" s="19"/>
      <x:c r="I437" s="19"/>
      <x:c r="J437" s="19"/>
      <x:c r="K437" s="19"/>
      <x:c r="L437" s="19"/>
      <x:c r="M437" s="26"/>
      <x:c r="N437" s="19"/>
      <x:c r="O437" s="19"/>
    </x:row>
    <x:row r="438">
      <x:c r="A438" s="19"/>
      <x:c r="B438" s="19"/>
      <x:c r="C438" s="19"/>
      <x:c r="D438" s="19"/>
      <x:c r="E438" s="19"/>
      <x:c r="F438" s="19"/>
      <x:c r="G438" s="26"/>
      <x:c r="H438" s="19"/>
      <x:c r="I438" s="19"/>
      <x:c r="J438" s="19"/>
      <x:c r="K438" s="19"/>
      <x:c r="L438" s="19"/>
      <x:c r="M438" s="26"/>
      <x:c r="N438" s="19"/>
      <x:c r="O438" s="19"/>
    </x:row>
    <x:row r="439">
      <x:c r="A439" s="19"/>
      <x:c r="B439" s="19"/>
      <x:c r="C439" s="19"/>
      <x:c r="D439" s="19"/>
      <x:c r="E439" s="19"/>
      <x:c r="F439" s="19"/>
      <x:c r="G439" s="26"/>
      <x:c r="H439" s="19"/>
      <x:c r="I439" s="19"/>
      <x:c r="J439" s="19"/>
      <x:c r="K439" s="19"/>
      <x:c r="L439" s="19"/>
      <x:c r="M439" s="26"/>
      <x:c r="N439" s="19"/>
      <x:c r="O439" s="19"/>
    </x:row>
    <x:row r="440">
      <x:c r="A440" s="19"/>
      <x:c r="B440" s="19"/>
      <x:c r="C440" s="19"/>
      <x:c r="D440" s="19"/>
      <x:c r="E440" s="19"/>
      <x:c r="F440" s="19"/>
      <x:c r="G440" s="26"/>
      <x:c r="H440" s="19"/>
      <x:c r="I440" s="19"/>
      <x:c r="J440" s="19"/>
      <x:c r="K440" s="19"/>
      <x:c r="L440" s="19"/>
      <x:c r="M440" s="26"/>
      <x:c r="N440" s="19"/>
      <x:c r="O440" s="19"/>
    </x:row>
    <x:row r="441">
      <x:c r="A441" s="19"/>
      <x:c r="B441" s="19"/>
      <x:c r="C441" s="19"/>
      <x:c r="D441" s="19"/>
      <x:c r="E441" s="19"/>
      <x:c r="F441" s="19"/>
      <x:c r="G441" s="26"/>
      <x:c r="H441" s="19"/>
      <x:c r="I441" s="19"/>
      <x:c r="J441" s="19"/>
      <x:c r="K441" s="19"/>
      <x:c r="L441" s="19"/>
      <x:c r="M441" s="26"/>
      <x:c r="N441" s="19"/>
      <x:c r="O441" s="19"/>
    </x:row>
    <x:row r="442">
      <x:c r="A442" s="19"/>
      <x:c r="B442" s="19"/>
      <x:c r="C442" s="19"/>
      <x:c r="D442" s="19"/>
      <x:c r="E442" s="19"/>
      <x:c r="F442" s="19"/>
      <x:c r="G442" s="26"/>
      <x:c r="H442" s="19"/>
      <x:c r="I442" s="19"/>
      <x:c r="J442" s="19"/>
      <x:c r="K442" s="19"/>
      <x:c r="L442" s="19"/>
      <x:c r="M442" s="26"/>
      <x:c r="N442" s="19"/>
      <x:c r="O442" s="19"/>
    </x:row>
    <x:row r="443">
      <x:c r="A443" s="19"/>
      <x:c r="B443" s="19"/>
      <x:c r="C443" s="19"/>
      <x:c r="D443" s="19"/>
      <x:c r="E443" s="19"/>
      <x:c r="F443" s="19"/>
      <x:c r="G443" s="26"/>
      <x:c r="H443" s="19"/>
      <x:c r="I443" s="19"/>
      <x:c r="J443" s="19"/>
      <x:c r="K443" s="19"/>
      <x:c r="L443" s="19"/>
      <x:c r="M443" s="26"/>
      <x:c r="N443" s="19"/>
      <x:c r="O443" s="19"/>
    </x:row>
    <x:row r="444">
      <x:c r="A444" s="19"/>
      <x:c r="B444" s="19"/>
      <x:c r="C444" s="19"/>
      <x:c r="D444" s="19"/>
      <x:c r="E444" s="19"/>
      <x:c r="F444" s="19"/>
      <x:c r="G444" s="26"/>
      <x:c r="H444" s="19"/>
      <x:c r="I444" s="19"/>
      <x:c r="J444" s="19"/>
      <x:c r="K444" s="19"/>
      <x:c r="L444" s="19"/>
      <x:c r="M444" s="26"/>
      <x:c r="N444" s="19"/>
      <x:c r="O444" s="19"/>
    </x:row>
    <x:row r="445">
      <x:c r="A445" s="19"/>
      <x:c r="B445" s="19"/>
      <x:c r="C445" s="19"/>
      <x:c r="D445" s="19"/>
      <x:c r="E445" s="19"/>
      <x:c r="F445" s="19"/>
      <x:c r="G445" s="26"/>
      <x:c r="H445" s="19"/>
      <x:c r="I445" s="19"/>
      <x:c r="J445" s="19"/>
      <x:c r="K445" s="19"/>
      <x:c r="L445" s="19"/>
      <x:c r="M445" s="26"/>
      <x:c r="N445" s="19"/>
      <x:c r="O445" s="19"/>
    </x:row>
    <x:row r="446">
      <x:c r="A446" s="19"/>
      <x:c r="B446" s="19"/>
      <x:c r="C446" s="19"/>
      <x:c r="D446" s="19"/>
      <x:c r="E446" s="19"/>
      <x:c r="F446" s="19"/>
      <x:c r="G446" s="26"/>
      <x:c r="H446" s="19"/>
      <x:c r="I446" s="19"/>
      <x:c r="J446" s="19"/>
      <x:c r="K446" s="19"/>
      <x:c r="L446" s="19"/>
      <x:c r="M446" s="26"/>
      <x:c r="N446" s="19"/>
      <x:c r="O446" s="19"/>
    </x:row>
    <x:row r="447">
      <x:c r="A447" s="19"/>
      <x:c r="B447" s="19"/>
      <x:c r="C447" s="19"/>
      <x:c r="D447" s="19"/>
      <x:c r="E447" s="19"/>
      <x:c r="F447" s="19"/>
      <x:c r="G447" s="26"/>
      <x:c r="H447" s="19"/>
      <x:c r="I447" s="19"/>
      <x:c r="J447" s="19"/>
      <x:c r="K447" s="19"/>
      <x:c r="L447" s="19"/>
      <x:c r="M447" s="26"/>
      <x:c r="N447" s="19"/>
      <x:c r="O447" s="19"/>
    </x:row>
    <x:row r="448">
      <x:c r="A448" s="19"/>
      <x:c r="B448" s="19"/>
      <x:c r="C448" s="19"/>
      <x:c r="D448" s="19"/>
      <x:c r="E448" s="19"/>
      <x:c r="F448" s="19"/>
      <x:c r="G448" s="26"/>
      <x:c r="H448" s="19"/>
      <x:c r="I448" s="19"/>
      <x:c r="J448" s="19"/>
      <x:c r="K448" s="19"/>
      <x:c r="L448" s="19"/>
      <x:c r="M448" s="26"/>
      <x:c r="N448" s="19"/>
      <x:c r="O448" s="19"/>
    </x:row>
    <x:row r="449">
      <x:c r="A449" s="19"/>
      <x:c r="B449" s="19"/>
      <x:c r="C449" s="19"/>
      <x:c r="D449" s="19"/>
      <x:c r="E449" s="19"/>
      <x:c r="F449" s="19"/>
      <x:c r="G449" s="26"/>
      <x:c r="H449" s="19"/>
      <x:c r="I449" s="19"/>
      <x:c r="J449" s="19"/>
      <x:c r="K449" s="19"/>
      <x:c r="L449" s="19"/>
      <x:c r="M449" s="26"/>
      <x:c r="N449" s="19"/>
      <x:c r="O449" s="19"/>
    </x:row>
    <x:row r="450">
      <x:c r="A450" s="19"/>
      <x:c r="B450" s="19"/>
      <x:c r="C450" s="19"/>
      <x:c r="D450" s="19"/>
      <x:c r="E450" s="19"/>
      <x:c r="F450" s="19"/>
      <x:c r="G450" s="26"/>
      <x:c r="H450" s="19"/>
      <x:c r="I450" s="19"/>
      <x:c r="J450" s="19"/>
      <x:c r="K450" s="19"/>
      <x:c r="L450" s="19"/>
      <x:c r="M450" s="26"/>
      <x:c r="N450" s="19"/>
      <x:c r="O450" s="19"/>
    </x:row>
    <x:row r="451">
      <x:c r="A451" s="19"/>
      <x:c r="B451" s="19"/>
      <x:c r="C451" s="19"/>
      <x:c r="D451" s="19"/>
      <x:c r="E451" s="19"/>
      <x:c r="F451" s="19"/>
      <x:c r="G451" s="26"/>
      <x:c r="H451" s="19"/>
      <x:c r="I451" s="19"/>
      <x:c r="J451" s="19"/>
      <x:c r="K451" s="19"/>
      <x:c r="L451" s="19"/>
      <x:c r="M451" s="26"/>
      <x:c r="N451" s="19"/>
      <x:c r="O451" s="19"/>
    </x:row>
    <x:row r="452">
      <x:c r="A452" s="19"/>
      <x:c r="B452" s="19"/>
      <x:c r="C452" s="19"/>
      <x:c r="D452" s="19"/>
      <x:c r="E452" s="19"/>
      <x:c r="F452" s="19"/>
      <x:c r="G452" s="26"/>
      <x:c r="H452" s="19"/>
      <x:c r="I452" s="19"/>
      <x:c r="J452" s="19"/>
      <x:c r="K452" s="19"/>
      <x:c r="L452" s="19"/>
      <x:c r="M452" s="26"/>
      <x:c r="N452" s="19"/>
      <x:c r="O452" s="19"/>
    </x:row>
    <x:row r="453">
      <x:c r="A453" s="19"/>
      <x:c r="B453" s="19"/>
      <x:c r="C453" s="19"/>
      <x:c r="D453" s="19"/>
      <x:c r="E453" s="19"/>
      <x:c r="F453" s="19"/>
      <x:c r="G453" s="26"/>
      <x:c r="H453" s="19"/>
      <x:c r="I453" s="19"/>
      <x:c r="J453" s="19"/>
      <x:c r="K453" s="19"/>
      <x:c r="L453" s="19"/>
      <x:c r="M453" s="26"/>
      <x:c r="N453" s="19"/>
      <x:c r="O453" s="19"/>
    </x:row>
    <x:row r="454">
      <x:c r="A454" s="19"/>
      <x:c r="B454" s="19"/>
      <x:c r="C454" s="19"/>
      <x:c r="D454" s="19"/>
      <x:c r="E454" s="19"/>
      <x:c r="F454" s="19"/>
      <x:c r="G454" s="26"/>
      <x:c r="H454" s="19"/>
      <x:c r="I454" s="19"/>
      <x:c r="J454" s="19"/>
      <x:c r="K454" s="19"/>
      <x:c r="L454" s="19"/>
      <x:c r="M454" s="26"/>
      <x:c r="N454" s="19"/>
      <x:c r="O454" s="19"/>
    </x:row>
    <x:row r="455">
      <x:c r="A455" s="19"/>
      <x:c r="B455" s="19"/>
      <x:c r="C455" s="19"/>
      <x:c r="D455" s="19"/>
      <x:c r="E455" s="19"/>
      <x:c r="F455" s="19"/>
      <x:c r="G455" s="26"/>
      <x:c r="H455" s="19"/>
      <x:c r="I455" s="19"/>
      <x:c r="J455" s="19"/>
      <x:c r="K455" s="19"/>
      <x:c r="L455" s="19"/>
      <x:c r="M455" s="26"/>
      <x:c r="N455" s="19"/>
      <x:c r="O455" s="19"/>
    </x:row>
    <x:row r="456">
      <x:c r="A456" s="19"/>
      <x:c r="B456" s="19"/>
      <x:c r="C456" s="19"/>
      <x:c r="D456" s="19"/>
      <x:c r="E456" s="19"/>
      <x:c r="F456" s="19"/>
      <x:c r="G456" s="26"/>
      <x:c r="H456" s="19"/>
      <x:c r="I456" s="19"/>
      <x:c r="J456" s="19"/>
      <x:c r="K456" s="19"/>
      <x:c r="L456" s="19"/>
      <x:c r="M456" s="26"/>
      <x:c r="N456" s="19"/>
      <x:c r="O456" s="19"/>
    </x:row>
    <x:row r="457">
      <x:c r="A457" s="19"/>
      <x:c r="B457" s="19"/>
      <x:c r="C457" s="19"/>
      <x:c r="D457" s="19"/>
      <x:c r="E457" s="19"/>
      <x:c r="F457" s="19"/>
      <x:c r="G457" s="26"/>
      <x:c r="H457" s="19"/>
      <x:c r="I457" s="19"/>
      <x:c r="J457" s="19"/>
      <x:c r="K457" s="19"/>
      <x:c r="L457" s="19"/>
      <x:c r="M457" s="26"/>
      <x:c r="N457" s="19"/>
      <x:c r="O457" s="19"/>
    </x:row>
    <x:row r="458">
      <x:c r="A458" s="19"/>
      <x:c r="B458" s="19"/>
      <x:c r="C458" s="19"/>
      <x:c r="D458" s="19"/>
      <x:c r="E458" s="19"/>
      <x:c r="F458" s="19"/>
      <x:c r="G458" s="26"/>
      <x:c r="H458" s="19"/>
      <x:c r="I458" s="19"/>
      <x:c r="J458" s="19"/>
      <x:c r="K458" s="19"/>
      <x:c r="L458" s="19"/>
      <x:c r="M458" s="26"/>
      <x:c r="N458" s="19"/>
      <x:c r="O458" s="19"/>
    </x:row>
    <x:row r="459">
      <x:c r="A459" s="19"/>
      <x:c r="B459" s="19"/>
      <x:c r="C459" s="19"/>
      <x:c r="D459" s="19"/>
      <x:c r="E459" s="19"/>
      <x:c r="F459" s="19"/>
      <x:c r="G459" s="26"/>
      <x:c r="H459" s="19"/>
      <x:c r="I459" s="19"/>
      <x:c r="J459" s="19"/>
      <x:c r="K459" s="19"/>
      <x:c r="L459" s="19"/>
      <x:c r="M459" s="26"/>
      <x:c r="N459" s="19"/>
      <x:c r="O459" s="19"/>
    </x:row>
    <x:row r="460">
      <x:c r="A460" s="19"/>
      <x:c r="B460" s="19"/>
      <x:c r="C460" s="19"/>
      <x:c r="D460" s="19"/>
      <x:c r="E460" s="19"/>
      <x:c r="F460" s="19"/>
      <x:c r="G460" s="26"/>
      <x:c r="H460" s="19"/>
      <x:c r="I460" s="19"/>
      <x:c r="J460" s="19"/>
      <x:c r="K460" s="19"/>
      <x:c r="L460" s="19"/>
      <x:c r="M460" s="26"/>
      <x:c r="N460" s="19"/>
      <x:c r="O460" s="19"/>
    </x:row>
    <x:row r="461">
      <x:c r="A461" s="19"/>
      <x:c r="B461" s="19"/>
      <x:c r="C461" s="19"/>
      <x:c r="D461" s="19"/>
      <x:c r="E461" s="19"/>
      <x:c r="F461" s="19"/>
      <x:c r="G461" s="26"/>
      <x:c r="H461" s="19"/>
      <x:c r="I461" s="19"/>
      <x:c r="J461" s="19"/>
      <x:c r="K461" s="19"/>
      <x:c r="L461" s="19"/>
      <x:c r="M461" s="26"/>
      <x:c r="N461" s="19"/>
      <x:c r="O461" s="19"/>
    </x:row>
    <x:row r="462">
      <x:c r="A462" s="19"/>
      <x:c r="B462" s="19"/>
      <x:c r="C462" s="19"/>
      <x:c r="D462" s="19"/>
      <x:c r="E462" s="19"/>
      <x:c r="F462" s="19"/>
      <x:c r="G462" s="26"/>
      <x:c r="H462" s="19"/>
      <x:c r="I462" s="19"/>
      <x:c r="J462" s="19"/>
      <x:c r="K462" s="19"/>
      <x:c r="L462" s="19"/>
      <x:c r="M462" s="26"/>
      <x:c r="N462" s="19"/>
      <x:c r="O462" s="19"/>
    </x:row>
    <x:row r="463">
      <x:c r="A463" s="19"/>
      <x:c r="B463" s="19"/>
      <x:c r="C463" s="19"/>
      <x:c r="D463" s="19"/>
      <x:c r="E463" s="19"/>
      <x:c r="F463" s="19"/>
      <x:c r="G463" s="26"/>
      <x:c r="H463" s="19"/>
      <x:c r="I463" s="19"/>
      <x:c r="J463" s="19"/>
      <x:c r="K463" s="19"/>
      <x:c r="L463" s="19"/>
      <x:c r="M463" s="26"/>
      <x:c r="N463" s="19"/>
      <x:c r="O463" s="19"/>
    </x:row>
    <x:row r="464">
      <x:c r="A464" s="19"/>
      <x:c r="B464" s="19"/>
      <x:c r="C464" s="19"/>
      <x:c r="D464" s="19"/>
      <x:c r="E464" s="19"/>
      <x:c r="F464" s="19"/>
      <x:c r="G464" s="26"/>
      <x:c r="H464" s="19"/>
      <x:c r="I464" s="19"/>
      <x:c r="J464" s="19"/>
      <x:c r="K464" s="19"/>
      <x:c r="L464" s="19"/>
      <x:c r="M464" s="26"/>
      <x:c r="N464" s="19"/>
      <x:c r="O464" s="19"/>
    </x:row>
    <x:row r="465">
      <x:c r="A465" s="19"/>
      <x:c r="B465" s="19"/>
      <x:c r="C465" s="19"/>
      <x:c r="D465" s="19"/>
      <x:c r="E465" s="19"/>
      <x:c r="F465" s="19"/>
      <x:c r="G465" s="26"/>
      <x:c r="H465" s="19"/>
      <x:c r="I465" s="19"/>
      <x:c r="J465" s="19"/>
      <x:c r="K465" s="19"/>
      <x:c r="L465" s="19"/>
      <x:c r="M465" s="26"/>
      <x:c r="N465" s="19"/>
      <x:c r="O465" s="19"/>
    </x:row>
    <x:row r="466">
      <x:c r="A466" s="19"/>
      <x:c r="B466" s="19"/>
      <x:c r="C466" s="19"/>
      <x:c r="D466" s="19"/>
      <x:c r="E466" s="19"/>
      <x:c r="F466" s="19"/>
      <x:c r="G466" s="26"/>
      <x:c r="H466" s="19"/>
      <x:c r="I466" s="19"/>
      <x:c r="J466" s="19"/>
      <x:c r="K466" s="19"/>
      <x:c r="L466" s="19"/>
      <x:c r="M466" s="26"/>
      <x:c r="N466" s="19"/>
      <x:c r="O466" s="19"/>
    </x:row>
    <x:row r="467">
      <x:c r="A467" s="19"/>
      <x:c r="B467" s="19"/>
      <x:c r="C467" s="19"/>
      <x:c r="D467" s="19"/>
      <x:c r="E467" s="19"/>
      <x:c r="F467" s="19"/>
      <x:c r="G467" s="26"/>
      <x:c r="H467" s="19"/>
      <x:c r="I467" s="19"/>
      <x:c r="J467" s="19"/>
      <x:c r="K467" s="19"/>
      <x:c r="L467" s="19"/>
      <x:c r="M467" s="26"/>
      <x:c r="N467" s="19"/>
      <x:c r="O467" s="19"/>
    </x:row>
    <x:row r="468">
      <x:c r="A468" s="19"/>
      <x:c r="B468" s="19"/>
      <x:c r="C468" s="19"/>
      <x:c r="D468" s="19"/>
      <x:c r="E468" s="19"/>
      <x:c r="F468" s="19"/>
      <x:c r="G468" s="26"/>
      <x:c r="H468" s="19"/>
      <x:c r="I468" s="19"/>
      <x:c r="J468" s="19"/>
      <x:c r="K468" s="19"/>
      <x:c r="L468" s="19"/>
      <x:c r="M468" s="26"/>
      <x:c r="N468" s="19"/>
      <x:c r="O468" s="19"/>
    </x:row>
    <x:row r="469">
      <x:c r="A469" s="19"/>
      <x:c r="B469" s="19"/>
      <x:c r="C469" s="19"/>
      <x:c r="D469" s="19"/>
      <x:c r="E469" s="19"/>
      <x:c r="F469" s="19"/>
      <x:c r="G469" s="26"/>
      <x:c r="H469" s="19"/>
      <x:c r="I469" s="19"/>
      <x:c r="J469" s="19"/>
      <x:c r="K469" s="19"/>
      <x:c r="L469" s="19"/>
      <x:c r="M469" s="26"/>
      <x:c r="N469" s="19"/>
      <x:c r="O469" s="19"/>
    </x:row>
    <x:row r="470">
      <x:c r="A470" s="19"/>
      <x:c r="B470" s="19"/>
      <x:c r="C470" s="19"/>
      <x:c r="D470" s="19"/>
      <x:c r="E470" s="19"/>
      <x:c r="F470" s="19"/>
      <x:c r="G470" s="26"/>
      <x:c r="H470" s="19"/>
      <x:c r="I470" s="19"/>
      <x:c r="J470" s="19"/>
      <x:c r="K470" s="19"/>
      <x:c r="L470" s="19"/>
      <x:c r="M470" s="26"/>
      <x:c r="N470" s="19"/>
      <x:c r="O470" s="19"/>
    </x:row>
    <x:row r="471">
      <x:c r="A471" s="19"/>
      <x:c r="B471" s="19"/>
      <x:c r="C471" s="19"/>
      <x:c r="D471" s="19"/>
      <x:c r="E471" s="19"/>
      <x:c r="F471" s="19"/>
      <x:c r="G471" s="26"/>
      <x:c r="H471" s="19"/>
      <x:c r="I471" s="19"/>
      <x:c r="J471" s="19"/>
      <x:c r="K471" s="19"/>
      <x:c r="L471" s="19"/>
      <x:c r="M471" s="26"/>
      <x:c r="N471" s="19"/>
      <x:c r="O471" s="19"/>
    </x:row>
    <x:row r="472">
      <x:c r="A472" s="19"/>
      <x:c r="B472" s="19"/>
      <x:c r="C472" s="19"/>
      <x:c r="D472" s="19"/>
      <x:c r="E472" s="19"/>
      <x:c r="F472" s="19"/>
      <x:c r="G472" s="26"/>
      <x:c r="H472" s="19"/>
      <x:c r="I472" s="19"/>
      <x:c r="J472" s="19"/>
      <x:c r="K472" s="19"/>
      <x:c r="L472" s="19"/>
      <x:c r="M472" s="26"/>
      <x:c r="N472" s="19"/>
      <x:c r="O472" s="19"/>
    </x:row>
    <x:row r="473">
      <x:c r="A473" s="19"/>
      <x:c r="B473" s="19"/>
      <x:c r="C473" s="19"/>
      <x:c r="D473" s="19"/>
      <x:c r="E473" s="19"/>
      <x:c r="F473" s="19"/>
      <x:c r="G473" s="26"/>
      <x:c r="H473" s="19"/>
      <x:c r="I473" s="19"/>
      <x:c r="J473" s="19"/>
      <x:c r="K473" s="19"/>
      <x:c r="L473" s="19"/>
      <x:c r="M473" s="26"/>
      <x:c r="N473" s="19"/>
      <x:c r="O473" s="19"/>
    </x:row>
    <x:row r="474">
      <x:c r="A474" s="19"/>
      <x:c r="B474" s="19"/>
      <x:c r="C474" s="19"/>
      <x:c r="D474" s="19"/>
      <x:c r="E474" s="19"/>
      <x:c r="F474" s="19"/>
      <x:c r="G474" s="26"/>
      <x:c r="H474" s="19"/>
      <x:c r="I474" s="19"/>
      <x:c r="J474" s="19"/>
      <x:c r="K474" s="19"/>
      <x:c r="L474" s="19"/>
      <x:c r="M474" s="26"/>
      <x:c r="N474" s="19"/>
      <x:c r="O474" s="19"/>
    </x:row>
    <x:row r="475">
      <x:c r="A475" s="19"/>
      <x:c r="B475" s="19"/>
      <x:c r="C475" s="19"/>
      <x:c r="D475" s="19"/>
      <x:c r="E475" s="19"/>
      <x:c r="F475" s="19"/>
      <x:c r="G475" s="26"/>
      <x:c r="H475" s="19"/>
      <x:c r="I475" s="19"/>
      <x:c r="J475" s="19"/>
      <x:c r="K475" s="19"/>
      <x:c r="L475" s="19"/>
      <x:c r="M475" s="26"/>
      <x:c r="N475" s="19"/>
      <x:c r="O475" s="19"/>
    </x:row>
    <x:row r="476">
      <x:c r="A476" s="19"/>
      <x:c r="B476" s="19"/>
      <x:c r="C476" s="19"/>
      <x:c r="D476" s="19"/>
      <x:c r="E476" s="19"/>
      <x:c r="F476" s="19"/>
      <x:c r="G476" s="26"/>
      <x:c r="H476" s="19"/>
      <x:c r="I476" s="19"/>
      <x:c r="J476" s="19"/>
      <x:c r="K476" s="19"/>
      <x:c r="L476" s="19"/>
      <x:c r="M476" s="26"/>
      <x:c r="N476" s="19"/>
      <x:c r="O476" s="19"/>
    </x:row>
    <x:row r="477">
      <x:c r="A477" s="19"/>
      <x:c r="B477" s="19"/>
      <x:c r="C477" s="19"/>
      <x:c r="D477" s="19"/>
      <x:c r="E477" s="19"/>
      <x:c r="F477" s="19"/>
      <x:c r="G477" s="26"/>
      <x:c r="H477" s="19"/>
      <x:c r="I477" s="19"/>
      <x:c r="J477" s="19"/>
      <x:c r="K477" s="19"/>
      <x:c r="L477" s="19"/>
      <x:c r="M477" s="26"/>
      <x:c r="N477" s="19"/>
      <x:c r="O477" s="19"/>
    </x:row>
    <x:row r="478">
      <x:c r="A478" s="19"/>
      <x:c r="B478" s="19"/>
      <x:c r="C478" s="19"/>
      <x:c r="D478" s="19"/>
      <x:c r="E478" s="19"/>
      <x:c r="F478" s="19"/>
      <x:c r="G478" s="26"/>
      <x:c r="H478" s="19"/>
      <x:c r="I478" s="19"/>
      <x:c r="J478" s="19"/>
      <x:c r="K478" s="19"/>
      <x:c r="L478" s="19"/>
      <x:c r="M478" s="26"/>
      <x:c r="N478" s="19"/>
      <x:c r="O478" s="19"/>
    </x:row>
    <x:row r="479">
      <x:c r="A479" s="19"/>
      <x:c r="B479" s="19"/>
      <x:c r="C479" s="19"/>
      <x:c r="D479" s="19"/>
      <x:c r="E479" s="19"/>
      <x:c r="F479" s="19"/>
      <x:c r="G479" s="26"/>
      <x:c r="H479" s="19"/>
      <x:c r="I479" s="19"/>
      <x:c r="J479" s="19"/>
      <x:c r="K479" s="19"/>
      <x:c r="L479" s="19"/>
      <x:c r="M479" s="26"/>
      <x:c r="N479" s="19"/>
      <x:c r="O479" s="19"/>
    </x:row>
    <x:row r="480">
      <x:c r="A480" s="19"/>
      <x:c r="B480" s="19"/>
      <x:c r="C480" s="19"/>
      <x:c r="D480" s="19"/>
      <x:c r="E480" s="19"/>
      <x:c r="F480" s="19"/>
      <x:c r="G480" s="26"/>
      <x:c r="H480" s="19"/>
      <x:c r="I480" s="19"/>
      <x:c r="J480" s="19"/>
      <x:c r="K480" s="19"/>
      <x:c r="L480" s="19"/>
      <x:c r="M480" s="26"/>
      <x:c r="N480" s="19"/>
      <x:c r="O480" s="19"/>
    </x:row>
    <x:row r="481">
      <x:c r="A481" s="19"/>
      <x:c r="B481" s="19"/>
      <x:c r="C481" s="19"/>
      <x:c r="D481" s="19"/>
      <x:c r="E481" s="19"/>
      <x:c r="F481" s="19"/>
      <x:c r="G481" s="26"/>
      <x:c r="H481" s="19"/>
      <x:c r="I481" s="19"/>
      <x:c r="J481" s="19"/>
      <x:c r="K481" s="19"/>
      <x:c r="L481" s="19"/>
      <x:c r="M481" s="26"/>
      <x:c r="N481" s="19"/>
      <x:c r="O481" s="19"/>
    </x:row>
    <x:row r="482">
      <x:c r="A482" s="19"/>
      <x:c r="B482" s="19"/>
      <x:c r="C482" s="19"/>
      <x:c r="D482" s="19"/>
      <x:c r="E482" s="19"/>
      <x:c r="F482" s="19"/>
      <x:c r="G482" s="26"/>
      <x:c r="H482" s="19"/>
      <x:c r="I482" s="19"/>
      <x:c r="J482" s="19"/>
      <x:c r="K482" s="19"/>
      <x:c r="L482" s="19"/>
      <x:c r="M482" s="26"/>
      <x:c r="N482" s="19"/>
      <x:c r="O482" s="19"/>
    </x:row>
    <x:row r="483">
      <x:c r="A483" s="19"/>
      <x:c r="B483" s="19"/>
      <x:c r="C483" s="19"/>
      <x:c r="D483" s="19"/>
      <x:c r="E483" s="19"/>
      <x:c r="F483" s="19"/>
      <x:c r="G483" s="26"/>
      <x:c r="H483" s="19"/>
      <x:c r="I483" s="19"/>
      <x:c r="J483" s="19"/>
      <x:c r="K483" s="19"/>
      <x:c r="L483" s="19"/>
      <x:c r="M483" s="26"/>
      <x:c r="N483" s="19"/>
      <x:c r="O483" s="19"/>
    </x:row>
    <x:row r="484">
      <x:c r="A484" s="19"/>
      <x:c r="B484" s="19"/>
      <x:c r="C484" s="19"/>
      <x:c r="D484" s="19"/>
      <x:c r="E484" s="19"/>
      <x:c r="F484" s="19"/>
      <x:c r="G484" s="26"/>
      <x:c r="H484" s="19"/>
      <x:c r="I484" s="19"/>
      <x:c r="J484" s="19"/>
      <x:c r="K484" s="19"/>
      <x:c r="L484" s="19"/>
      <x:c r="M484" s="26"/>
      <x:c r="N484" s="19"/>
      <x:c r="O484" s="19"/>
    </x:row>
    <x:row r="485">
      <x:c r="A485" s="19"/>
      <x:c r="B485" s="19"/>
      <x:c r="C485" s="19"/>
      <x:c r="D485" s="19"/>
      <x:c r="E485" s="19"/>
      <x:c r="F485" s="19"/>
      <x:c r="G485" s="26"/>
      <x:c r="H485" s="19"/>
      <x:c r="I485" s="19"/>
      <x:c r="J485" s="19"/>
      <x:c r="K485" s="19"/>
      <x:c r="L485" s="19"/>
      <x:c r="M485" s="26"/>
      <x:c r="N485" s="19"/>
      <x:c r="O485" s="19"/>
    </x:row>
    <x:row r="486">
      <x:c r="A486" s="19"/>
      <x:c r="B486" s="19"/>
      <x:c r="C486" s="19"/>
      <x:c r="D486" s="19"/>
      <x:c r="E486" s="19"/>
      <x:c r="F486" s="19"/>
      <x:c r="G486" s="26"/>
      <x:c r="H486" s="19"/>
      <x:c r="I486" s="19"/>
      <x:c r="J486" s="19"/>
      <x:c r="K486" s="19"/>
      <x:c r="L486" s="19"/>
      <x:c r="M486" s="26"/>
      <x:c r="N486" s="19"/>
      <x:c r="O486" s="19"/>
    </x:row>
    <x:row r="487">
      <x:c r="A487" s="19"/>
      <x:c r="B487" s="19"/>
      <x:c r="C487" s="19"/>
      <x:c r="D487" s="19"/>
      <x:c r="E487" s="19"/>
      <x:c r="F487" s="19"/>
      <x:c r="G487" s="26"/>
      <x:c r="H487" s="19"/>
      <x:c r="I487" s="19"/>
      <x:c r="J487" s="19"/>
      <x:c r="K487" s="19"/>
      <x:c r="L487" s="19"/>
      <x:c r="M487" s="26"/>
      <x:c r="N487" s="19"/>
      <x:c r="O487" s="19"/>
    </x:row>
    <x:row r="488">
      <x:c r="A488" s="19"/>
      <x:c r="B488" s="19"/>
      <x:c r="C488" s="19"/>
      <x:c r="D488" s="19"/>
      <x:c r="E488" s="19"/>
      <x:c r="F488" s="19"/>
      <x:c r="G488" s="26"/>
      <x:c r="H488" s="19"/>
      <x:c r="I488" s="19"/>
      <x:c r="J488" s="19"/>
      <x:c r="K488" s="19"/>
      <x:c r="L488" s="19"/>
      <x:c r="M488" s="26"/>
      <x:c r="N488" s="19"/>
      <x:c r="O488" s="19"/>
    </x:row>
    <x:row r="489">
      <x:c r="A489" s="19"/>
      <x:c r="B489" s="19"/>
      <x:c r="C489" s="19"/>
      <x:c r="D489" s="19"/>
      <x:c r="E489" s="19"/>
      <x:c r="F489" s="19"/>
      <x:c r="G489" s="26"/>
      <x:c r="H489" s="19"/>
      <x:c r="I489" s="19"/>
      <x:c r="J489" s="19"/>
      <x:c r="K489" s="19"/>
      <x:c r="L489" s="19"/>
      <x:c r="M489" s="26"/>
      <x:c r="N489" s="19"/>
      <x:c r="O489" s="19"/>
    </x:row>
    <x:row r="490">
      <x:c r="A490" s="19"/>
      <x:c r="B490" s="19"/>
      <x:c r="C490" s="19"/>
      <x:c r="D490" s="19"/>
      <x:c r="E490" s="19"/>
      <x:c r="F490" s="19"/>
      <x:c r="G490" s="26"/>
      <x:c r="H490" s="19"/>
      <x:c r="I490" s="19"/>
      <x:c r="J490" s="19"/>
      <x:c r="K490" s="19"/>
      <x:c r="L490" s="19"/>
      <x:c r="M490" s="26"/>
      <x:c r="N490" s="19"/>
      <x:c r="O490" s="19"/>
    </x:row>
    <x:row r="491">
      <x:c r="A491" s="19"/>
      <x:c r="B491" s="19"/>
      <x:c r="C491" s="19"/>
      <x:c r="D491" s="19"/>
      <x:c r="E491" s="19"/>
      <x:c r="F491" s="19"/>
      <x:c r="G491" s="26"/>
      <x:c r="H491" s="19"/>
      <x:c r="I491" s="19"/>
      <x:c r="J491" s="19"/>
      <x:c r="K491" s="19"/>
      <x:c r="L491" s="19"/>
      <x:c r="M491" s="26"/>
      <x:c r="N491" s="19"/>
      <x:c r="O491" s="19"/>
    </x:row>
    <x:row r="492">
      <x:c r="A492" s="19"/>
      <x:c r="B492" s="19"/>
      <x:c r="C492" s="19"/>
      <x:c r="D492" s="19"/>
      <x:c r="E492" s="19"/>
      <x:c r="F492" s="19"/>
      <x:c r="G492" s="26"/>
      <x:c r="H492" s="19"/>
      <x:c r="I492" s="19"/>
      <x:c r="J492" s="19"/>
      <x:c r="K492" s="19"/>
      <x:c r="L492" s="19"/>
      <x:c r="M492" s="26"/>
      <x:c r="N492" s="19"/>
      <x:c r="O492" s="19"/>
    </x:row>
    <x:row r="493">
      <x:c r="A493" s="19"/>
      <x:c r="B493" s="19"/>
      <x:c r="C493" s="19"/>
      <x:c r="D493" s="19"/>
      <x:c r="E493" s="19"/>
      <x:c r="F493" s="19"/>
      <x:c r="G493" s="26"/>
      <x:c r="H493" s="19"/>
      <x:c r="I493" s="19"/>
      <x:c r="J493" s="19"/>
      <x:c r="K493" s="19"/>
      <x:c r="L493" s="19"/>
      <x:c r="M493" s="26"/>
      <x:c r="N493" s="19"/>
      <x:c r="O493" s="19"/>
    </x:row>
    <x:row r="494">
      <x:c r="A494" s="19"/>
      <x:c r="B494" s="19"/>
      <x:c r="C494" s="19"/>
      <x:c r="D494" s="19"/>
      <x:c r="E494" s="19"/>
      <x:c r="F494" s="19"/>
      <x:c r="G494" s="26"/>
      <x:c r="H494" s="19"/>
      <x:c r="I494" s="19"/>
      <x:c r="J494" s="19"/>
      <x:c r="K494" s="19"/>
      <x:c r="L494" s="19"/>
      <x:c r="M494" s="26"/>
      <x:c r="N494" s="19"/>
      <x:c r="O494" s="19"/>
    </x:row>
    <x:row r="495">
      <x:c r="A495" s="19"/>
      <x:c r="B495" s="19"/>
      <x:c r="C495" s="19"/>
      <x:c r="D495" s="19"/>
      <x:c r="E495" s="19"/>
      <x:c r="F495" s="19"/>
      <x:c r="G495" s="26"/>
      <x:c r="H495" s="19"/>
      <x:c r="I495" s="19"/>
      <x:c r="J495" s="19"/>
      <x:c r="K495" s="19"/>
      <x:c r="L495" s="19"/>
      <x:c r="M495" s="26"/>
      <x:c r="N495" s="19"/>
      <x:c r="O495" s="19"/>
    </x:row>
    <x:row r="496">
      <x:c r="A496" s="19"/>
      <x:c r="B496" s="19"/>
      <x:c r="C496" s="19"/>
      <x:c r="D496" s="19"/>
      <x:c r="E496" s="19"/>
      <x:c r="F496" s="19"/>
      <x:c r="G496" s="26"/>
      <x:c r="H496" s="19"/>
      <x:c r="I496" s="19"/>
      <x:c r="J496" s="19"/>
      <x:c r="K496" s="19"/>
      <x:c r="L496" s="19"/>
      <x:c r="M496" s="26"/>
      <x:c r="N496" s="19"/>
      <x:c r="O496" s="19"/>
    </x:row>
    <x:row r="497">
      <x:c r="A497" s="19"/>
      <x:c r="B497" s="19"/>
      <x:c r="C497" s="19"/>
      <x:c r="D497" s="19"/>
      <x:c r="E497" s="19"/>
      <x:c r="F497" s="19"/>
      <x:c r="G497" s="26"/>
      <x:c r="H497" s="19"/>
      <x:c r="I497" s="19"/>
      <x:c r="J497" s="19"/>
      <x:c r="K497" s="19"/>
      <x:c r="L497" s="19"/>
      <x:c r="M497" s="26"/>
      <x:c r="N497" s="19"/>
      <x:c r="O497" s="19"/>
    </x:row>
    <x:row r="498">
      <x:c r="A498" s="19"/>
      <x:c r="B498" s="19"/>
      <x:c r="C498" s="19"/>
      <x:c r="D498" s="19"/>
      <x:c r="E498" s="19"/>
      <x:c r="F498" s="19"/>
      <x:c r="G498" s="26"/>
      <x:c r="H498" s="19"/>
      <x:c r="I498" s="19"/>
      <x:c r="J498" s="19"/>
      <x:c r="K498" s="19"/>
      <x:c r="L498" s="19"/>
      <x:c r="M498" s="26"/>
      <x:c r="N498" s="19"/>
      <x:c r="O498" s="19"/>
    </x:row>
    <x:row r="499">
      <x:c r="A499" s="19"/>
      <x:c r="B499" s="19"/>
      <x:c r="C499" s="19"/>
      <x:c r="D499" s="19"/>
      <x:c r="E499" s="19"/>
      <x:c r="F499" s="19"/>
      <x:c r="G499" s="26"/>
      <x:c r="H499" s="19"/>
      <x:c r="I499" s="19"/>
      <x:c r="J499" s="19"/>
      <x:c r="K499" s="19"/>
      <x:c r="L499" s="19"/>
      <x:c r="M499" s="26"/>
      <x:c r="N499" s="19"/>
      <x:c r="O499" s="19"/>
    </x:row>
    <x:row r="500">
      <x:c r="A500" s="19"/>
      <x:c r="B500" s="19"/>
      <x:c r="C500" s="19"/>
      <x:c r="D500" s="19"/>
      <x:c r="E500" s="19"/>
      <x:c r="F500" s="19"/>
      <x:c r="G500" s="26"/>
      <x:c r="H500" s="19"/>
      <x:c r="I500" s="19"/>
      <x:c r="J500" s="19"/>
      <x:c r="K500" s="19"/>
      <x:c r="L500" s="19"/>
      <x:c r="M500" s="26"/>
      <x:c r="N500" s="19"/>
      <x:c r="O500" s="19"/>
    </x:row>
  </x:sheetData>
  <x:conditionalFormatting sqref="B2:B500">
    <x:cfRule type="expression" dxfId="54" priority="1">
      <x:formula>AND($A2&lt;&gt;"",B2="")</x:formula>
    </x:cfRule>
  </x:conditionalFormatting>
  <x:conditionalFormatting sqref="E2:E500">
    <x:cfRule type="expression" dxfId="55" priority="2">
      <x:formula>AND($A2&lt;&gt;"",E2="")</x:formula>
    </x:cfRule>
  </x:conditionalFormatting>
  <x:conditionalFormatting sqref="F2:F500">
    <x:cfRule type="expression" dxfId="56" priority="3">
      <x:formula>AND($A2&lt;&gt;"",F2="")</x:formula>
    </x:cfRule>
  </x:conditionalFormatting>
  <x:conditionalFormatting sqref="G2:G500">
    <x:cfRule type="expression" dxfId="57" priority="4">
      <x:formula>AND($A2&lt;&gt;"",G2="")</x:formula>
    </x:cfRule>
  </x:conditionalFormatting>
  <x:conditionalFormatting sqref="H2:H500">
    <x:cfRule type="expression" dxfId="58" priority="5">
      <x:formula>AND($A2&lt;&gt;"",H2="")</x:formula>
    </x:cfRule>
  </x:conditionalFormatting>
  <x:conditionalFormatting sqref="M2:M500">
    <x:cfRule type="expression" dxfId="59" priority="6">
      <x:formula>AND($A2&lt;&gt;"",M2="")</x:formula>
    </x:cfRule>
  </x:conditionalFormatting>
  <x:conditionalFormatting sqref="N2:N500">
    <x:cfRule type="expression" dxfId="60" priority="7">
      <x:formula>AND($A2&lt;&gt;"",N2="")</x:formula>
    </x:cfRule>
  </x:conditionalFormatting>
  <x:conditionalFormatting sqref="O2:O500">
    <x:cfRule type="expression" dxfId="61" priority="8">
      <x:formula>AND($A2&lt;&gt;"",O2="")</x:formula>
    </x:cfRule>
  </x:conditionalFormatting>
  <x:dataValidations count="3">
    <x:dataValidation type="list" sqref="E2:E500">
      <x:formula1>"phone_call,telegram,whatsapp,instagram,meeting,quotation,purchase,complaint,support,note"</x:formula1>
    </x:dataValidation>
    <x:dataValidation type="list" sqref="F2:F500">
      <x:formula1>"inbound,outbound,internal"</x:formula1>
    </x:dataValidation>
    <x:dataValidation type="list" sqref="O2:O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0d9edb2b9a44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18" hidden="0" customWidth="1"/>
    <x:col min="9" max="9" width="17" hidden="0" customWidth="1"/>
    <x:col min="10" max="10" width="16" hidden="0" customWidth="1"/>
    <x:col min="11" max="11" width="19" hidden="0" customWidth="1"/>
    <x:col min="12" max="12" width="17" hidden="0" customWidth="1"/>
    <x:col min="13" max="13" width="18" hidden="0" customWidth="1"/>
    <x:col min="14" max="14" width="19" hidden="0" customWidth="1"/>
    <x:col min="15" max="15" width="19" hidden="0" customWidth="1"/>
    <x:col min="16" max="16" width="28" hidden="0" customWidth="1"/>
    <x:col min="17" max="17" width="19" hidden="0" customWidth="1"/>
    <x:col min="18" max="18" width="18" hidden="0" customWidth="1"/>
    <x:col min="19" max="19" width="19" hidden="0" customWidth="1"/>
    <x:col min="20" max="20" width="18" hidden="0" customWidth="1"/>
    <x:col min="21" max="21" width="12" hidden="0" customWidth="1"/>
  </x:cols>
  <x:sheetData>
    <x:row r="1" ht="46" customHeight="1">
      <x:c r="A1" s="12" t="str">
        <x:v>شناسه سفارش *
(order_id)</x:v>
      </x:c>
      <x:c r="B1" s="13" t="str">
        <x:v>شماره سفارش *
(order_number)</x:v>
      </x:c>
      <x:c r="C1" s="13" t="str">
        <x:v>مشتری *
(customer_id)</x:v>
      </x:c>
      <x:c r="D1" s="13" t="str">
        <x:v>فرصت
(opportunity_id)</x:v>
      </x:c>
      <x:c r="E1" s="13" t="str">
        <x:v>پیش‌فاکتور
(quotation_id)</x:v>
      </x:c>
      <x:c r="F1" s="13" t="str">
        <x:v>فروشنده *
(seller_user_id)</x:v>
      </x:c>
      <x:c r="G1" s="13" t="str">
        <x:v>تاریخ سفارش *
(order_at)</x:v>
      </x:c>
      <x:c r="H1" s="13" t="str">
        <x:v>جمع اقلام (ریال)
(subtotal)</x:v>
      </x:c>
      <x:c r="I1" s="13" t="str">
        <x:v>تخفیف (ریال) *
(discount_amount)</x:v>
      </x:c>
      <x:c r="J1" s="13" t="str">
        <x:v>حمل (ریال) *
(shipping_amount)</x:v>
      </x:c>
      <x:c r="K1" s="13" t="str">
        <x:v>مبلغ نهایی (ریال)
(final_amount)</x:v>
      </x:c>
      <x:c r="L1" s="13" t="str">
        <x:v>وضعیت پرداخت *
(payment_status)</x:v>
      </x:c>
      <x:c r="M1" s="13" t="str">
        <x:v>وضعیت سفارش *
(order_status)</x:v>
      </x:c>
      <x:c r="N1" s="13" t="str">
        <x:v>موعد تحویل
(delivery_due_at)</x:v>
      </x:c>
      <x:c r="O1" s="13" t="str">
        <x:v>تحویل واقعی
(delivered_at)</x:v>
      </x:c>
      <x:c r="P1" s="13" t="str">
        <x:v>توضیحات
(notes)</x:v>
      </x:c>
      <x:c r="Q1" s="13" t="str">
        <x:v>زمان ایجاد *
(created_at)</x:v>
      </x:c>
      <x:c r="R1" s="13" t="str">
        <x:v>ایجادکننده *
(created_by)</x:v>
      </x:c>
      <x:c r="S1" s="13" t="str">
        <x:v>آخرین تغییر *
(updated_at)</x:v>
      </x:c>
      <x:c r="T1" s="13" t="str">
        <x:v>تغییردهنده *
(updated_by)</x:v>
      </x:c>
      <x:c r="U1" s="14" t="str">
        <x:v>حذف نرم *
(is_deleted)</x:v>
      </x:c>
    </x:row>
    <x:row r="2">
      <x:c r="A2" s="28" t="str">
        <x:v>ord_001</x:v>
      </x:c>
      <x:c r="B2" s="29" t="str">
        <x:v>1405-00001</x:v>
      </x:c>
      <x:c r="C2" s="29" t="str">
        <x:v>cus_004</x:v>
      </x:c>
      <x:c r="D2" s="29" t="str">
        <x:v>opp_004</x:v>
      </x:c>
      <x:c r="E2" s="29" t="str">
        <x:v>quo_003</x:v>
      </x:c>
      <x:c r="F2" s="29" t="str">
        <x:v>usr_ali</x:v>
      </x:c>
      <x:c r="G2" s="33" t="n">
        <x:v>46194.520833333336</x:v>
      </x:c>
      <x:c r="H2" s="93" t="n">
        <x:f>IF($A2="","",SUMIFS('OrderItems'!$I$2:$I$500,'OrderItems'!$B$2:$B$500,$A2))</x:f>
        <x:v>120000000</x:v>
      </x:c>
      <x:c r="I2" s="32" t="n">
        <x:v>0</x:v>
      </x:c>
      <x:c r="J2" s="32" t="n">
        <x:v>0</x:v>
      </x:c>
      <x:c r="K2" s="93" t="n">
        <x:f>IF($A2="","",$H2-$I2+$J2)</x:f>
        <x:v>120000000</x:v>
      </x:c>
      <x:c r="L2" s="113" t="str">
        <x:f>IF($A2="","",IF(SUMIFS('Payments'!$C$2:$C$500,'Payments'!$B$2:$B$500,$A2,'Payments'!$G$2:$G$500,"confirmed")&lt;=0,"unpaid",IF(SUMIFS('Payments'!$C$2:$C$500,'Payments'!$B$2:$B$500,$A2,'Payments'!$G$2:$G$500,"confirmed")&gt;=$K2,"paid","partial")))</x:f>
        <x:v>paid</x:v>
      </x:c>
      <x:c r="M2" s="29" t="str">
        <x:v>delivered</x:v>
      </x:c>
      <x:c r="N2" s="33" t="n">
        <x:v>46196.354166666664</x:v>
      </x:c>
      <x:c r="O2" s="33" t="n">
        <x:v>46196.333333333336</x:v>
      </x:c>
      <x:c r="P2" s="29" t="str">
        <x:v>تحویل کامل</x:v>
      </x:c>
      <x:c r="Q2" s="33" t="n">
        <x:v>46194.520833333336</x:v>
      </x:c>
      <x:c r="R2" s="29" t="str">
        <x:v>usr_ali</x:v>
      </x:c>
      <x:c r="S2" s="33" t="n">
        <x:v>46215.229166666664</x:v>
      </x:c>
      <x:c r="T2" s="29" t="str">
        <x:v>usr_ali</x:v>
      </x:c>
      <x:c r="U2" s="55" t="b">
        <x:v>0</x:v>
      </x:c>
    </x:row>
    <x:row r="3">
      <x:c r="A3" s="37" t="str">
        <x:v>ord_002</x:v>
      </x:c>
      <x:c r="B3" s="38" t="str">
        <x:v>1405-00002</x:v>
      </x:c>
      <x:c r="C3" s="38" t="str">
        <x:v>cus_003</x:v>
      </x:c>
      <x:c r="D3" s="38" t="str">
        <x:v>opp_003</x:v>
      </x:c>
      <x:c r="E3" s="38" t="str">
        <x:v>quo_002</x:v>
      </x:c>
      <x:c r="F3" s="38" t="str">
        <x:v>usr_sara</x:v>
      </x:c>
      <x:c r="G3" s="42" t="n">
        <x:v>46211.270833333336</x:v>
      </x:c>
      <x:c r="H3" s="94" t="n">
        <x:f>IF($A3="","",SUMIFS('OrderItems'!$I$2:$I$500,'OrderItems'!$B$2:$B$500,$A3))</x:f>
        <x:v>900000000</x:v>
      </x:c>
      <x:c r="I3" s="41" t="n">
        <x:v>20000000</x:v>
      </x:c>
      <x:c r="J3" s="41" t="n">
        <x:v>5000000</x:v>
      </x:c>
      <x:c r="K3" s="94" t="n">
        <x:f>IF($A3="","",$H3-$I3+$J3)</x:f>
        <x:v>885000000</x:v>
      </x:c>
      <x:c r="L3" s="114" t="str">
        <x:f>IF($A3="","",IF(SUMIFS('Payments'!$C$2:$C$500,'Payments'!$B$2:$B$500,$A3,'Payments'!$G$2:$G$500,"confirmed")&lt;=0,"unpaid",IF(SUMIFS('Payments'!$C$2:$C$500,'Payments'!$B$2:$B$500,$A3,'Payments'!$G$2:$G$500,"confirmed")&gt;=$K3,"paid","partial")))</x:f>
        <x:v>partial</x:v>
      </x:c>
      <x:c r="M3" s="38" t="str">
        <x:v>confirmed</x:v>
      </x:c>
      <x:c r="N3" s="42" t="n">
        <x:v>46218.354166666664</x:v>
      </x:c>
      <x:c r="O3" s="42"/>
      <x:c r="P3" s="38" t="str">
        <x:v>پرداخت مرحله‌ای</x:v>
      </x:c>
      <x:c r="Q3" s="42" t="n">
        <x:v>46211.270833333336</x:v>
      </x:c>
      <x:c r="R3" s="38" t="str">
        <x:v>usr_sara</x:v>
      </x:c>
      <x:c r="S3" s="42" t="n">
        <x:v>46215.229166666664</x:v>
      </x:c>
      <x:c r="T3" s="38" t="str">
        <x:v>usr_sara</x:v>
      </x:c>
      <x:c r="U3" s="56" t="b">
        <x:v>0</x:v>
      </x:c>
    </x:row>
    <x:row r="4">
      <x:c r="A4" s="46" t="str">
        <x:v>ord_003</x:v>
      </x:c>
      <x:c r="B4" s="47" t="str">
        <x:v>1405-00003</x:v>
      </x:c>
      <x:c r="C4" s="47" t="str">
        <x:v>cus_003</x:v>
      </x:c>
      <x:c r="D4" s="47" t="str"/>
      <x:c r="E4" s="47" t="str"/>
      <x:c r="F4" s="47" t="str">
        <x:v>usr_sara</x:v>
      </x:c>
      <x:c r="G4" s="51" t="n">
        <x:v>46157.270833333336</x:v>
      </x:c>
      <x:c r="H4" s="95" t="n">
        <x:f>IF($A4="","",SUMIFS('OrderItems'!$I$2:$I$500,'OrderItems'!$B$2:$B$500,$A4))</x:f>
        <x:v>200000000</x:v>
      </x:c>
      <x:c r="I4" s="50" t="n">
        <x:v>0</x:v>
      </x:c>
      <x:c r="J4" s="50" t="n">
        <x:v>0</x:v>
      </x:c>
      <x:c r="K4" s="95" t="n">
        <x:f>IF($A4="","",$H4-$I4+$J4)</x:f>
        <x:v>200000000</x:v>
      </x:c>
      <x:c r="L4" s="115" t="str">
        <x:f>IF($A4="","",IF(SUMIFS('Payments'!$C$2:$C$500,'Payments'!$B$2:$B$500,$A4,'Payments'!$G$2:$G$500,"confirmed")&lt;=0,"unpaid",IF(SUMIFS('Payments'!$C$2:$C$500,'Payments'!$B$2:$B$500,$A4,'Payments'!$G$2:$G$500,"confirmed")&gt;=$K4,"paid","partial")))</x:f>
        <x:v>paid</x:v>
      </x:c>
      <x:c r="M4" s="47" t="str">
        <x:v>delivered</x:v>
      </x:c>
      <x:c r="N4" s="51" t="n">
        <x:v>46160.354166666664</x:v>
      </x:c>
      <x:c r="O4" s="51" t="n">
        <x:v>46160.3125</x:v>
      </x:c>
      <x:c r="P4" s="47" t="str">
        <x:v>سفارش قبلی</x:v>
      </x:c>
      <x:c r="Q4" s="51" t="n">
        <x:v>46157.270833333336</x:v>
      </x:c>
      <x:c r="R4" s="47" t="str">
        <x:v>usr_sara</x:v>
      </x:c>
      <x:c r="S4" s="51" t="n">
        <x:v>46160.3125</x:v>
      </x:c>
      <x:c r="T4" s="47" t="str">
        <x:v>usr_sara</x:v>
      </x:c>
      <x:c r="U4" s="57" t="b">
        <x:v>0</x:v>
      </x:c>
    </x:row>
    <x:row r="5">
      <x:c r="A5" s="19"/>
      <x:c r="B5" s="19"/>
      <x:c r="C5" s="19"/>
      <x:c r="D5" s="19"/>
      <x:c r="E5" s="19"/>
      <x:c r="F5" s="19"/>
      <x:c r="G5" s="26"/>
      <x:c r="H5" s="96" t="str">
        <x:f>IF($A5="","",SUMIFS('OrderItems'!$I$2:$I$500,'OrderItems'!$B$2:$B$500,$A5))</x:f>
      </x:c>
      <x:c r="I5" s="25"/>
      <x:c r="J5" s="25"/>
      <x:c r="K5" s="96" t="str">
        <x:f>IF($A5="","",$H5-$I5+$J5)</x:f>
      </x:c>
      <x:c r="L5" s="116" t="str">
        <x:f>IF($A5="","",IF(SUMIFS('Payments'!$C$2:$C$500,'Payments'!$B$2:$B$500,$A5,'Payments'!$G$2:$G$500,"confirmed")&lt;=0,"unpaid",IF(SUMIFS('Payments'!$C$2:$C$500,'Payments'!$B$2:$B$500,$A5,'Payments'!$G$2:$G$500,"confirmed")&gt;=$K5,"paid","partial")))</x:f>
      </x:c>
      <x:c r="M5" s="19"/>
      <x:c r="N5" s="26"/>
      <x:c r="O5" s="26"/>
      <x:c r="P5" s="19"/>
      <x:c r="Q5" s="26"/>
      <x:c r="R5" s="19"/>
      <x:c r="S5" s="26"/>
      <x:c r="T5" s="19"/>
      <x:c r="U5" s="19"/>
    </x:row>
    <x:row r="6">
      <x:c r="A6" s="19"/>
      <x:c r="B6" s="19"/>
      <x:c r="C6" s="19"/>
      <x:c r="D6" s="19"/>
      <x:c r="E6" s="19"/>
      <x:c r="F6" s="19"/>
      <x:c r="G6" s="26"/>
      <x:c r="H6" s="96" t="str">
        <x:f>IF($A6="","",SUMIFS('OrderItems'!$I$2:$I$500,'OrderItems'!$B$2:$B$500,$A6))</x:f>
      </x:c>
      <x:c r="I6" s="25"/>
      <x:c r="J6" s="25"/>
      <x:c r="K6" s="96" t="str">
        <x:f>IF($A6="","",$H6-$I6+$J6)</x:f>
      </x:c>
      <x:c r="L6" s="116" t="str">
        <x:f>IF($A6="","",IF(SUMIFS('Payments'!$C$2:$C$500,'Payments'!$B$2:$B$500,$A6,'Payments'!$G$2:$G$500,"confirmed")&lt;=0,"unpaid",IF(SUMIFS('Payments'!$C$2:$C$500,'Payments'!$B$2:$B$500,$A6,'Payments'!$G$2:$G$500,"confirmed")&gt;=$K6,"paid","partial")))</x:f>
      </x:c>
      <x:c r="M6" s="19"/>
      <x:c r="N6" s="26"/>
      <x:c r="O6" s="26"/>
      <x:c r="P6" s="19"/>
      <x:c r="Q6" s="26"/>
      <x:c r="R6" s="19"/>
      <x:c r="S6" s="26"/>
      <x:c r="T6" s="19"/>
      <x:c r="U6" s="19"/>
    </x:row>
    <x:row r="7">
      <x:c r="A7" s="19"/>
      <x:c r="B7" s="19"/>
      <x:c r="C7" s="19"/>
      <x:c r="D7" s="19"/>
      <x:c r="E7" s="19"/>
      <x:c r="F7" s="19"/>
      <x:c r="G7" s="26"/>
      <x:c r="H7" s="96" t="str">
        <x:f>IF($A7="","",SUMIFS('OrderItems'!$I$2:$I$500,'OrderItems'!$B$2:$B$500,$A7))</x:f>
      </x:c>
      <x:c r="I7" s="25"/>
      <x:c r="J7" s="25"/>
      <x:c r="K7" s="96" t="str">
        <x:f>IF($A7="","",$H7-$I7+$J7)</x:f>
      </x:c>
      <x:c r="L7" s="116" t="str">
        <x:f>IF($A7="","",IF(SUMIFS('Payments'!$C$2:$C$500,'Payments'!$B$2:$B$500,$A7,'Payments'!$G$2:$G$500,"confirmed")&lt;=0,"unpaid",IF(SUMIFS('Payments'!$C$2:$C$500,'Payments'!$B$2:$B$500,$A7,'Payments'!$G$2:$G$500,"confirmed")&gt;=$K7,"paid","partial")))</x:f>
      </x:c>
      <x:c r="M7" s="19"/>
      <x:c r="N7" s="26"/>
      <x:c r="O7" s="26"/>
      <x:c r="P7" s="19"/>
      <x:c r="Q7" s="26"/>
      <x:c r="R7" s="19"/>
      <x:c r="S7" s="26"/>
      <x:c r="T7" s="19"/>
      <x:c r="U7" s="19"/>
    </x:row>
    <x:row r="8">
      <x:c r="A8" s="19"/>
      <x:c r="B8" s="19"/>
      <x:c r="C8" s="19"/>
      <x:c r="D8" s="19"/>
      <x:c r="E8" s="19"/>
      <x:c r="F8" s="19"/>
      <x:c r="G8" s="26"/>
      <x:c r="H8" s="96" t="str">
        <x:f>IF($A8="","",SUMIFS('OrderItems'!$I$2:$I$500,'OrderItems'!$B$2:$B$500,$A8))</x:f>
      </x:c>
      <x:c r="I8" s="25"/>
      <x:c r="J8" s="25"/>
      <x:c r="K8" s="96" t="str">
        <x:f>IF($A8="","",$H8-$I8+$J8)</x:f>
      </x:c>
      <x:c r="L8" s="116" t="str">
        <x:f>IF($A8="","",IF(SUMIFS('Payments'!$C$2:$C$500,'Payments'!$B$2:$B$500,$A8,'Payments'!$G$2:$G$500,"confirmed")&lt;=0,"unpaid",IF(SUMIFS('Payments'!$C$2:$C$500,'Payments'!$B$2:$B$500,$A8,'Payments'!$G$2:$G$500,"confirmed")&gt;=$K8,"paid","partial")))</x:f>
      </x:c>
      <x:c r="M8" s="19"/>
      <x:c r="N8" s="26"/>
      <x:c r="O8" s="26"/>
      <x:c r="P8" s="19"/>
      <x:c r="Q8" s="26"/>
      <x:c r="R8" s="19"/>
      <x:c r="S8" s="26"/>
      <x:c r="T8" s="19"/>
      <x:c r="U8" s="19"/>
    </x:row>
    <x:row r="9">
      <x:c r="A9" s="19"/>
      <x:c r="B9" s="19"/>
      <x:c r="C9" s="19"/>
      <x:c r="D9" s="19"/>
      <x:c r="E9" s="19"/>
      <x:c r="F9" s="19"/>
      <x:c r="G9" s="26"/>
      <x:c r="H9" s="96" t="str">
        <x:f>IF($A9="","",SUMIFS('OrderItems'!$I$2:$I$500,'OrderItems'!$B$2:$B$500,$A9))</x:f>
      </x:c>
      <x:c r="I9" s="25"/>
      <x:c r="J9" s="25"/>
      <x:c r="K9" s="96" t="str">
        <x:f>IF($A9="","",$H9-$I9+$J9)</x:f>
      </x:c>
      <x:c r="L9" s="116" t="str">
        <x:f>IF($A9="","",IF(SUMIFS('Payments'!$C$2:$C$500,'Payments'!$B$2:$B$500,$A9,'Payments'!$G$2:$G$500,"confirmed")&lt;=0,"unpaid",IF(SUMIFS('Payments'!$C$2:$C$500,'Payments'!$B$2:$B$500,$A9,'Payments'!$G$2:$G$500,"confirmed")&gt;=$K9,"paid","partial")))</x:f>
      </x:c>
      <x:c r="M9" s="19"/>
      <x:c r="N9" s="26"/>
      <x:c r="O9" s="26"/>
      <x:c r="P9" s="19"/>
      <x:c r="Q9" s="26"/>
      <x:c r="R9" s="19"/>
      <x:c r="S9" s="26"/>
      <x:c r="T9" s="19"/>
      <x:c r="U9" s="19"/>
    </x:row>
    <x:row r="10">
      <x:c r="A10" s="19"/>
      <x:c r="B10" s="19"/>
      <x:c r="C10" s="19"/>
      <x:c r="D10" s="19"/>
      <x:c r="E10" s="19"/>
      <x:c r="F10" s="19"/>
      <x:c r="G10" s="26"/>
      <x:c r="H10" s="96" t="str">
        <x:f>IF($A10="","",SUMIFS('OrderItems'!$I$2:$I$500,'OrderItems'!$B$2:$B$500,$A10))</x:f>
      </x:c>
      <x:c r="I10" s="25"/>
      <x:c r="J10" s="25"/>
      <x:c r="K10" s="96" t="str">
        <x:f>IF($A10="","",$H10-$I10+$J10)</x:f>
      </x:c>
      <x:c r="L10" s="116" t="str">
        <x:f>IF($A10="","",IF(SUMIFS('Payments'!$C$2:$C$500,'Payments'!$B$2:$B$500,$A10,'Payments'!$G$2:$G$500,"confirmed")&lt;=0,"unpaid",IF(SUMIFS('Payments'!$C$2:$C$500,'Payments'!$B$2:$B$500,$A10,'Payments'!$G$2:$G$500,"confirmed")&gt;=$K10,"paid","partial")))</x:f>
      </x:c>
      <x:c r="M10" s="19"/>
      <x:c r="N10" s="26"/>
      <x:c r="O10" s="26"/>
      <x:c r="P10" s="19"/>
      <x:c r="Q10" s="26"/>
      <x:c r="R10" s="19"/>
      <x:c r="S10" s="26"/>
      <x:c r="T10" s="19"/>
      <x:c r="U10" s="19"/>
    </x:row>
    <x:row r="11">
      <x:c r="A11" s="19"/>
      <x:c r="B11" s="19"/>
      <x:c r="C11" s="19"/>
      <x:c r="D11" s="19"/>
      <x:c r="E11" s="19"/>
      <x:c r="F11" s="19"/>
      <x:c r="G11" s="26"/>
      <x:c r="H11" s="96" t="str">
        <x:f>IF($A11="","",SUMIFS('OrderItems'!$I$2:$I$500,'OrderItems'!$B$2:$B$500,$A11))</x:f>
      </x:c>
      <x:c r="I11" s="25"/>
      <x:c r="J11" s="25"/>
      <x:c r="K11" s="96" t="str">
        <x:f>IF($A11="","",$H11-$I11+$J11)</x:f>
      </x:c>
      <x:c r="L11" s="116" t="str">
        <x:f>IF($A11="","",IF(SUMIFS('Payments'!$C$2:$C$500,'Payments'!$B$2:$B$500,$A11,'Payments'!$G$2:$G$500,"confirmed")&lt;=0,"unpaid",IF(SUMIFS('Payments'!$C$2:$C$500,'Payments'!$B$2:$B$500,$A11,'Payments'!$G$2:$G$500,"confirmed")&gt;=$K11,"paid","partial")))</x:f>
      </x:c>
      <x:c r="M11" s="19"/>
      <x:c r="N11" s="26"/>
      <x:c r="O11" s="26"/>
      <x:c r="P11" s="19"/>
      <x:c r="Q11" s="26"/>
      <x:c r="R11" s="19"/>
      <x:c r="S11" s="26"/>
      <x:c r="T11" s="19"/>
      <x:c r="U11" s="19"/>
    </x:row>
    <x:row r="12">
      <x:c r="A12" s="19"/>
      <x:c r="B12" s="19"/>
      <x:c r="C12" s="19"/>
      <x:c r="D12" s="19"/>
      <x:c r="E12" s="19"/>
      <x:c r="F12" s="19"/>
      <x:c r="G12" s="26"/>
      <x:c r="H12" s="96" t="str">
        <x:f>IF($A12="","",SUMIFS('OrderItems'!$I$2:$I$500,'OrderItems'!$B$2:$B$500,$A12))</x:f>
      </x:c>
      <x:c r="I12" s="25"/>
      <x:c r="J12" s="25"/>
      <x:c r="K12" s="96" t="str">
        <x:f>IF($A12="","",$H12-$I12+$J12)</x:f>
      </x:c>
      <x:c r="L12" s="116" t="str">
        <x:f>IF($A12="","",IF(SUMIFS('Payments'!$C$2:$C$500,'Payments'!$B$2:$B$500,$A12,'Payments'!$G$2:$G$500,"confirmed")&lt;=0,"unpaid",IF(SUMIFS('Payments'!$C$2:$C$500,'Payments'!$B$2:$B$500,$A12,'Payments'!$G$2:$G$500,"confirmed")&gt;=$K12,"paid","partial")))</x:f>
      </x:c>
      <x:c r="M12" s="19"/>
      <x:c r="N12" s="26"/>
      <x:c r="O12" s="26"/>
      <x:c r="P12" s="19"/>
      <x:c r="Q12" s="26"/>
      <x:c r="R12" s="19"/>
      <x:c r="S12" s="26"/>
      <x:c r="T12" s="19"/>
      <x:c r="U12" s="19"/>
    </x:row>
    <x:row r="13">
      <x:c r="A13" s="19"/>
      <x:c r="B13" s="19"/>
      <x:c r="C13" s="19"/>
      <x:c r="D13" s="19"/>
      <x:c r="E13" s="19"/>
      <x:c r="F13" s="19"/>
      <x:c r="G13" s="26"/>
      <x:c r="H13" s="96" t="str">
        <x:f>IF($A13="","",SUMIFS('OrderItems'!$I$2:$I$500,'OrderItems'!$B$2:$B$500,$A13))</x:f>
      </x:c>
      <x:c r="I13" s="25"/>
      <x:c r="J13" s="25"/>
      <x:c r="K13" s="96" t="str">
        <x:f>IF($A13="","",$H13-$I13+$J13)</x:f>
      </x:c>
      <x:c r="L13" s="116" t="str">
        <x:f>IF($A13="","",IF(SUMIFS('Payments'!$C$2:$C$500,'Payments'!$B$2:$B$500,$A13,'Payments'!$G$2:$G$500,"confirmed")&lt;=0,"unpaid",IF(SUMIFS('Payments'!$C$2:$C$500,'Payments'!$B$2:$B$500,$A13,'Payments'!$G$2:$G$500,"confirmed")&gt;=$K13,"paid","partial")))</x:f>
      </x:c>
      <x:c r="M13" s="19"/>
      <x:c r="N13" s="26"/>
      <x:c r="O13" s="26"/>
      <x:c r="P13" s="19"/>
      <x:c r="Q13" s="26"/>
      <x:c r="R13" s="19"/>
      <x:c r="S13" s="26"/>
      <x:c r="T13" s="19"/>
      <x:c r="U13" s="19"/>
    </x:row>
    <x:row r="14">
      <x:c r="A14" s="19"/>
      <x:c r="B14" s="19"/>
      <x:c r="C14" s="19"/>
      <x:c r="D14" s="19"/>
      <x:c r="E14" s="19"/>
      <x:c r="F14" s="19"/>
      <x:c r="G14" s="26"/>
      <x:c r="H14" s="96" t="str">
        <x:f>IF($A14="","",SUMIFS('OrderItems'!$I$2:$I$500,'OrderItems'!$B$2:$B$500,$A14))</x:f>
      </x:c>
      <x:c r="I14" s="25"/>
      <x:c r="J14" s="25"/>
      <x:c r="K14" s="96" t="str">
        <x:f>IF($A14="","",$H14-$I14+$J14)</x:f>
      </x:c>
      <x:c r="L14" s="116" t="str">
        <x:f>IF($A14="","",IF(SUMIFS('Payments'!$C$2:$C$500,'Payments'!$B$2:$B$500,$A14,'Payments'!$G$2:$G$500,"confirmed")&lt;=0,"unpaid",IF(SUMIFS('Payments'!$C$2:$C$500,'Payments'!$B$2:$B$500,$A14,'Payments'!$G$2:$G$500,"confirmed")&gt;=$K14,"paid","partial")))</x:f>
      </x:c>
      <x:c r="M14" s="19"/>
      <x:c r="N14" s="26"/>
      <x:c r="O14" s="26"/>
      <x:c r="P14" s="19"/>
      <x:c r="Q14" s="26"/>
      <x:c r="R14" s="19"/>
      <x:c r="S14" s="26"/>
      <x:c r="T14" s="19"/>
      <x:c r="U14" s="19"/>
    </x:row>
    <x:row r="15">
      <x:c r="A15" s="19"/>
      <x:c r="B15" s="19"/>
      <x:c r="C15" s="19"/>
      <x:c r="D15" s="19"/>
      <x:c r="E15" s="19"/>
      <x:c r="F15" s="19"/>
      <x:c r="G15" s="26"/>
      <x:c r="H15" s="96" t="str">
        <x:f>IF($A15="","",SUMIFS('OrderItems'!$I$2:$I$500,'OrderItems'!$B$2:$B$500,$A15))</x:f>
      </x:c>
      <x:c r="I15" s="25"/>
      <x:c r="J15" s="25"/>
      <x:c r="K15" s="96" t="str">
        <x:f>IF($A15="","",$H15-$I15+$J15)</x:f>
      </x:c>
      <x:c r="L15" s="116" t="str">
        <x:f>IF($A15="","",IF(SUMIFS('Payments'!$C$2:$C$500,'Payments'!$B$2:$B$500,$A15,'Payments'!$G$2:$G$500,"confirmed")&lt;=0,"unpaid",IF(SUMIFS('Payments'!$C$2:$C$500,'Payments'!$B$2:$B$500,$A15,'Payments'!$G$2:$G$500,"confirmed")&gt;=$K15,"paid","partial")))</x:f>
      </x:c>
      <x:c r="M15" s="19"/>
      <x:c r="N15" s="26"/>
      <x:c r="O15" s="26"/>
      <x:c r="P15" s="19"/>
      <x:c r="Q15" s="26"/>
      <x:c r="R15" s="19"/>
      <x:c r="S15" s="26"/>
      <x:c r="T15" s="19"/>
      <x:c r="U15" s="19"/>
    </x:row>
    <x:row r="16">
      <x:c r="A16" s="19"/>
      <x:c r="B16" s="19"/>
      <x:c r="C16" s="19"/>
      <x:c r="D16" s="19"/>
      <x:c r="E16" s="19"/>
      <x:c r="F16" s="19"/>
      <x:c r="G16" s="26"/>
      <x:c r="H16" s="96" t="str">
        <x:f>IF($A16="","",SUMIFS('OrderItems'!$I$2:$I$500,'OrderItems'!$B$2:$B$500,$A16))</x:f>
      </x:c>
      <x:c r="I16" s="25"/>
      <x:c r="J16" s="25"/>
      <x:c r="K16" s="96" t="str">
        <x:f>IF($A16="","",$H16-$I16+$J16)</x:f>
      </x:c>
      <x:c r="L16" s="116" t="str">
        <x:f>IF($A16="","",IF(SUMIFS('Payments'!$C$2:$C$500,'Payments'!$B$2:$B$500,$A16,'Payments'!$G$2:$G$500,"confirmed")&lt;=0,"unpaid",IF(SUMIFS('Payments'!$C$2:$C$500,'Payments'!$B$2:$B$500,$A16,'Payments'!$G$2:$G$500,"confirmed")&gt;=$K16,"paid","partial")))</x:f>
      </x:c>
      <x:c r="M16" s="19"/>
      <x:c r="N16" s="26"/>
      <x:c r="O16" s="26"/>
      <x:c r="P16" s="19"/>
      <x:c r="Q16" s="26"/>
      <x:c r="R16" s="19"/>
      <x:c r="S16" s="26"/>
      <x:c r="T16" s="19"/>
      <x:c r="U16" s="19"/>
    </x:row>
    <x:row r="17">
      <x:c r="A17" s="19"/>
      <x:c r="B17" s="19"/>
      <x:c r="C17" s="19"/>
      <x:c r="D17" s="19"/>
      <x:c r="E17" s="19"/>
      <x:c r="F17" s="19"/>
      <x:c r="G17" s="26"/>
      <x:c r="H17" s="96" t="str">
        <x:f>IF($A17="","",SUMIFS('OrderItems'!$I$2:$I$500,'OrderItems'!$B$2:$B$500,$A17))</x:f>
      </x:c>
      <x:c r="I17" s="25"/>
      <x:c r="J17" s="25"/>
      <x:c r="K17" s="96" t="str">
        <x:f>IF($A17="","",$H17-$I17+$J17)</x:f>
      </x:c>
      <x:c r="L17" s="116" t="str">
        <x:f>IF($A17="","",IF(SUMIFS('Payments'!$C$2:$C$500,'Payments'!$B$2:$B$500,$A17,'Payments'!$G$2:$G$500,"confirmed")&lt;=0,"unpaid",IF(SUMIFS('Payments'!$C$2:$C$500,'Payments'!$B$2:$B$500,$A17,'Payments'!$G$2:$G$500,"confirmed")&gt;=$K17,"paid","partial")))</x:f>
      </x:c>
      <x:c r="M17" s="19"/>
      <x:c r="N17" s="26"/>
      <x:c r="O17" s="26"/>
      <x:c r="P17" s="19"/>
      <x:c r="Q17" s="26"/>
      <x:c r="R17" s="19"/>
      <x:c r="S17" s="26"/>
      <x:c r="T17" s="19"/>
      <x:c r="U17" s="19"/>
    </x:row>
    <x:row r="18">
      <x:c r="A18" s="19"/>
      <x:c r="B18" s="19"/>
      <x:c r="C18" s="19"/>
      <x:c r="D18" s="19"/>
      <x:c r="E18" s="19"/>
      <x:c r="F18" s="19"/>
      <x:c r="G18" s="26"/>
      <x:c r="H18" s="96" t="str">
        <x:f>IF($A18="","",SUMIFS('OrderItems'!$I$2:$I$500,'OrderItems'!$B$2:$B$500,$A18))</x:f>
      </x:c>
      <x:c r="I18" s="25"/>
      <x:c r="J18" s="25"/>
      <x:c r="K18" s="96" t="str">
        <x:f>IF($A18="","",$H18-$I18+$J18)</x:f>
      </x:c>
      <x:c r="L18" s="116" t="str">
        <x:f>IF($A18="","",IF(SUMIFS('Payments'!$C$2:$C$500,'Payments'!$B$2:$B$500,$A18,'Payments'!$G$2:$G$500,"confirmed")&lt;=0,"unpaid",IF(SUMIFS('Payments'!$C$2:$C$500,'Payments'!$B$2:$B$500,$A18,'Payments'!$G$2:$G$500,"confirmed")&gt;=$K18,"paid","partial")))</x:f>
      </x:c>
      <x:c r="M18" s="19"/>
      <x:c r="N18" s="26"/>
      <x:c r="O18" s="26"/>
      <x:c r="P18" s="19"/>
      <x:c r="Q18" s="26"/>
      <x:c r="R18" s="19"/>
      <x:c r="S18" s="26"/>
      <x:c r="T18" s="19"/>
      <x:c r="U18" s="19"/>
    </x:row>
    <x:row r="19">
      <x:c r="A19" s="19"/>
      <x:c r="B19" s="19"/>
      <x:c r="C19" s="19"/>
      <x:c r="D19" s="19"/>
      <x:c r="E19" s="19"/>
      <x:c r="F19" s="19"/>
      <x:c r="G19" s="26"/>
      <x:c r="H19" s="96" t="str">
        <x:f>IF($A19="","",SUMIFS('OrderItems'!$I$2:$I$500,'OrderItems'!$B$2:$B$500,$A19))</x:f>
      </x:c>
      <x:c r="I19" s="25"/>
      <x:c r="J19" s="25"/>
      <x:c r="K19" s="96" t="str">
        <x:f>IF($A19="","",$H19-$I19+$J19)</x:f>
      </x:c>
      <x:c r="L19" s="116" t="str">
        <x:f>IF($A19="","",IF(SUMIFS('Payments'!$C$2:$C$500,'Payments'!$B$2:$B$500,$A19,'Payments'!$G$2:$G$500,"confirmed")&lt;=0,"unpaid",IF(SUMIFS('Payments'!$C$2:$C$500,'Payments'!$B$2:$B$500,$A19,'Payments'!$G$2:$G$500,"confirmed")&gt;=$K19,"paid","partial")))</x:f>
      </x:c>
      <x:c r="M19" s="19"/>
      <x:c r="N19" s="26"/>
      <x:c r="O19" s="26"/>
      <x:c r="P19" s="19"/>
      <x:c r="Q19" s="26"/>
      <x:c r="R19" s="19"/>
      <x:c r="S19" s="26"/>
      <x:c r="T19" s="19"/>
      <x:c r="U19" s="19"/>
    </x:row>
    <x:row r="20">
      <x:c r="A20" s="19"/>
      <x:c r="B20" s="19"/>
      <x:c r="C20" s="19"/>
      <x:c r="D20" s="19"/>
      <x:c r="E20" s="19"/>
      <x:c r="F20" s="19"/>
      <x:c r="G20" s="26"/>
      <x:c r="H20" s="96" t="str">
        <x:f>IF($A20="","",SUMIFS('OrderItems'!$I$2:$I$500,'OrderItems'!$B$2:$B$500,$A20))</x:f>
      </x:c>
      <x:c r="I20" s="25"/>
      <x:c r="J20" s="25"/>
      <x:c r="K20" s="96" t="str">
        <x:f>IF($A20="","",$H20-$I20+$J20)</x:f>
      </x:c>
      <x:c r="L20" s="116" t="str">
        <x:f>IF($A20="","",IF(SUMIFS('Payments'!$C$2:$C$500,'Payments'!$B$2:$B$500,$A20,'Payments'!$G$2:$G$500,"confirmed")&lt;=0,"unpaid",IF(SUMIFS('Payments'!$C$2:$C$500,'Payments'!$B$2:$B$500,$A20,'Payments'!$G$2:$G$500,"confirmed")&gt;=$K20,"paid","partial")))</x:f>
      </x:c>
      <x:c r="M20" s="19"/>
      <x:c r="N20" s="26"/>
      <x:c r="O20" s="26"/>
      <x:c r="P20" s="19"/>
      <x:c r="Q20" s="26"/>
      <x:c r="R20" s="19"/>
      <x:c r="S20" s="26"/>
      <x:c r="T20" s="19"/>
      <x:c r="U20" s="19"/>
    </x:row>
    <x:row r="21">
      <x:c r="A21" s="19"/>
      <x:c r="B21" s="19"/>
      <x:c r="C21" s="19"/>
      <x:c r="D21" s="19"/>
      <x:c r="E21" s="19"/>
      <x:c r="F21" s="19"/>
      <x:c r="G21" s="26"/>
      <x:c r="H21" s="96" t="str">
        <x:f>IF($A21="","",SUMIFS('OrderItems'!$I$2:$I$500,'OrderItems'!$B$2:$B$500,$A21))</x:f>
      </x:c>
      <x:c r="I21" s="25"/>
      <x:c r="J21" s="25"/>
      <x:c r="K21" s="96" t="str">
        <x:f>IF($A21="","",$H21-$I21+$J21)</x:f>
      </x:c>
      <x:c r="L21" s="116" t="str">
        <x:f>IF($A21="","",IF(SUMIFS('Payments'!$C$2:$C$500,'Payments'!$B$2:$B$500,$A21,'Payments'!$G$2:$G$500,"confirmed")&lt;=0,"unpaid",IF(SUMIFS('Payments'!$C$2:$C$500,'Payments'!$B$2:$B$500,$A21,'Payments'!$G$2:$G$500,"confirmed")&gt;=$K21,"paid","partial")))</x:f>
      </x:c>
      <x:c r="M21" s="19"/>
      <x:c r="N21" s="26"/>
      <x:c r="O21" s="26"/>
      <x:c r="P21" s="19"/>
      <x:c r="Q21" s="26"/>
      <x:c r="R21" s="19"/>
      <x:c r="S21" s="26"/>
      <x:c r="T21" s="19"/>
      <x:c r="U21" s="19"/>
    </x:row>
    <x:row r="22">
      <x:c r="A22" s="19"/>
      <x:c r="B22" s="19"/>
      <x:c r="C22" s="19"/>
      <x:c r="D22" s="19"/>
      <x:c r="E22" s="19"/>
      <x:c r="F22" s="19"/>
      <x:c r="G22" s="26"/>
      <x:c r="H22" s="96" t="str">
        <x:f>IF($A22="","",SUMIFS('OrderItems'!$I$2:$I$500,'OrderItems'!$B$2:$B$500,$A22))</x:f>
      </x:c>
      <x:c r="I22" s="25"/>
      <x:c r="J22" s="25"/>
      <x:c r="K22" s="96" t="str">
        <x:f>IF($A22="","",$H22-$I22+$J22)</x:f>
      </x:c>
      <x:c r="L22" s="116" t="str">
        <x:f>IF($A22="","",IF(SUMIFS('Payments'!$C$2:$C$500,'Payments'!$B$2:$B$500,$A22,'Payments'!$G$2:$G$500,"confirmed")&lt;=0,"unpaid",IF(SUMIFS('Payments'!$C$2:$C$500,'Payments'!$B$2:$B$500,$A22,'Payments'!$G$2:$G$500,"confirmed")&gt;=$K22,"paid","partial")))</x:f>
      </x:c>
      <x:c r="M22" s="19"/>
      <x:c r="N22" s="26"/>
      <x:c r="O22" s="26"/>
      <x:c r="P22" s="19"/>
      <x:c r="Q22" s="26"/>
      <x:c r="R22" s="19"/>
      <x:c r="S22" s="26"/>
      <x:c r="T22" s="19"/>
      <x:c r="U22" s="19"/>
    </x:row>
    <x:row r="23">
      <x:c r="A23" s="19"/>
      <x:c r="B23" s="19"/>
      <x:c r="C23" s="19"/>
      <x:c r="D23" s="19"/>
      <x:c r="E23" s="19"/>
      <x:c r="F23" s="19"/>
      <x:c r="G23" s="26"/>
      <x:c r="H23" s="96" t="str">
        <x:f>IF($A23="","",SUMIFS('OrderItems'!$I$2:$I$500,'OrderItems'!$B$2:$B$500,$A23))</x:f>
      </x:c>
      <x:c r="I23" s="25"/>
      <x:c r="J23" s="25"/>
      <x:c r="K23" s="96" t="str">
        <x:f>IF($A23="","",$H23-$I23+$J23)</x:f>
      </x:c>
      <x:c r="L23" s="116" t="str">
        <x:f>IF($A23="","",IF(SUMIFS('Payments'!$C$2:$C$500,'Payments'!$B$2:$B$500,$A23,'Payments'!$G$2:$G$500,"confirmed")&lt;=0,"unpaid",IF(SUMIFS('Payments'!$C$2:$C$500,'Payments'!$B$2:$B$500,$A23,'Payments'!$G$2:$G$500,"confirmed")&gt;=$K23,"paid","partial")))</x:f>
      </x:c>
      <x:c r="M23" s="19"/>
      <x:c r="N23" s="26"/>
      <x:c r="O23" s="26"/>
      <x:c r="P23" s="19"/>
      <x:c r="Q23" s="26"/>
      <x:c r="R23" s="19"/>
      <x:c r="S23" s="26"/>
      <x:c r="T23" s="19"/>
      <x:c r="U23" s="19"/>
    </x:row>
    <x:row r="24">
      <x:c r="A24" s="19"/>
      <x:c r="B24" s="19"/>
      <x:c r="C24" s="19"/>
      <x:c r="D24" s="19"/>
      <x:c r="E24" s="19"/>
      <x:c r="F24" s="19"/>
      <x:c r="G24" s="26"/>
      <x:c r="H24" s="96" t="str">
        <x:f>IF($A24="","",SUMIFS('OrderItems'!$I$2:$I$500,'OrderItems'!$B$2:$B$500,$A24))</x:f>
      </x:c>
      <x:c r="I24" s="25"/>
      <x:c r="J24" s="25"/>
      <x:c r="K24" s="96" t="str">
        <x:f>IF($A24="","",$H24-$I24+$J24)</x:f>
      </x:c>
      <x:c r="L24" s="116" t="str">
        <x:f>IF($A24="","",IF(SUMIFS('Payments'!$C$2:$C$500,'Payments'!$B$2:$B$500,$A24,'Payments'!$G$2:$G$500,"confirmed")&lt;=0,"unpaid",IF(SUMIFS('Payments'!$C$2:$C$500,'Payments'!$B$2:$B$500,$A24,'Payments'!$G$2:$G$500,"confirmed")&gt;=$K24,"paid","partial")))</x:f>
      </x:c>
      <x:c r="M24" s="19"/>
      <x:c r="N24" s="26"/>
      <x:c r="O24" s="26"/>
      <x:c r="P24" s="19"/>
      <x:c r="Q24" s="26"/>
      <x:c r="R24" s="19"/>
      <x:c r="S24" s="26"/>
      <x:c r="T24" s="19"/>
      <x:c r="U24" s="19"/>
    </x:row>
    <x:row r="25">
      <x:c r="A25" s="19"/>
      <x:c r="B25" s="19"/>
      <x:c r="C25" s="19"/>
      <x:c r="D25" s="19"/>
      <x:c r="E25" s="19"/>
      <x:c r="F25" s="19"/>
      <x:c r="G25" s="26"/>
      <x:c r="H25" s="96" t="str">
        <x:f>IF($A25="","",SUMIFS('OrderItems'!$I$2:$I$500,'OrderItems'!$B$2:$B$500,$A25))</x:f>
      </x:c>
      <x:c r="I25" s="25"/>
      <x:c r="J25" s="25"/>
      <x:c r="K25" s="96" t="str">
        <x:f>IF($A25="","",$H25-$I25+$J25)</x:f>
      </x:c>
      <x:c r="L25" s="116" t="str">
        <x:f>IF($A25="","",IF(SUMIFS('Payments'!$C$2:$C$500,'Payments'!$B$2:$B$500,$A25,'Payments'!$G$2:$G$500,"confirmed")&lt;=0,"unpaid",IF(SUMIFS('Payments'!$C$2:$C$500,'Payments'!$B$2:$B$500,$A25,'Payments'!$G$2:$G$500,"confirmed")&gt;=$K25,"paid","partial")))</x:f>
      </x:c>
      <x:c r="M25" s="19"/>
      <x:c r="N25" s="26"/>
      <x:c r="O25" s="26"/>
      <x:c r="P25" s="19"/>
      <x:c r="Q25" s="26"/>
      <x:c r="R25" s="19"/>
      <x:c r="S25" s="26"/>
      <x:c r="T25" s="19"/>
      <x:c r="U25" s="19"/>
    </x:row>
    <x:row r="26">
      <x:c r="A26" s="19"/>
      <x:c r="B26" s="19"/>
      <x:c r="C26" s="19"/>
      <x:c r="D26" s="19"/>
      <x:c r="E26" s="19"/>
      <x:c r="F26" s="19"/>
      <x:c r="G26" s="26"/>
      <x:c r="H26" s="96" t="str">
        <x:f>IF($A26="","",SUMIFS('OrderItems'!$I$2:$I$500,'OrderItems'!$B$2:$B$500,$A26))</x:f>
      </x:c>
      <x:c r="I26" s="25"/>
      <x:c r="J26" s="25"/>
      <x:c r="K26" s="96" t="str">
        <x:f>IF($A26="","",$H26-$I26+$J26)</x:f>
      </x:c>
      <x:c r="L26" s="116" t="str">
        <x:f>IF($A26="","",IF(SUMIFS('Payments'!$C$2:$C$500,'Payments'!$B$2:$B$500,$A26,'Payments'!$G$2:$G$500,"confirmed")&lt;=0,"unpaid",IF(SUMIFS('Payments'!$C$2:$C$500,'Payments'!$B$2:$B$500,$A26,'Payments'!$G$2:$G$500,"confirmed")&gt;=$K26,"paid","partial")))</x:f>
      </x:c>
      <x:c r="M26" s="19"/>
      <x:c r="N26" s="26"/>
      <x:c r="O26" s="26"/>
      <x:c r="P26" s="19"/>
      <x:c r="Q26" s="26"/>
      <x:c r="R26" s="19"/>
      <x:c r="S26" s="26"/>
      <x:c r="T26" s="19"/>
      <x:c r="U26" s="19"/>
    </x:row>
    <x:row r="27">
      <x:c r="A27" s="19"/>
      <x:c r="B27" s="19"/>
      <x:c r="C27" s="19"/>
      <x:c r="D27" s="19"/>
      <x:c r="E27" s="19"/>
      <x:c r="F27" s="19"/>
      <x:c r="G27" s="26"/>
      <x:c r="H27" s="96" t="str">
        <x:f>IF($A27="","",SUMIFS('OrderItems'!$I$2:$I$500,'OrderItems'!$B$2:$B$500,$A27))</x:f>
      </x:c>
      <x:c r="I27" s="25"/>
      <x:c r="J27" s="25"/>
      <x:c r="K27" s="96" t="str">
        <x:f>IF($A27="","",$H27-$I27+$J27)</x:f>
      </x:c>
      <x:c r="L27" s="116" t="str">
        <x:f>IF($A27="","",IF(SUMIFS('Payments'!$C$2:$C$500,'Payments'!$B$2:$B$500,$A27,'Payments'!$G$2:$G$500,"confirmed")&lt;=0,"unpaid",IF(SUMIFS('Payments'!$C$2:$C$500,'Payments'!$B$2:$B$500,$A27,'Payments'!$G$2:$G$500,"confirmed")&gt;=$K27,"paid","partial")))</x:f>
      </x:c>
      <x:c r="M27" s="19"/>
      <x:c r="N27" s="26"/>
      <x:c r="O27" s="26"/>
      <x:c r="P27" s="19"/>
      <x:c r="Q27" s="26"/>
      <x:c r="R27" s="19"/>
      <x:c r="S27" s="26"/>
      <x:c r="T27" s="19"/>
      <x:c r="U27" s="19"/>
    </x:row>
    <x:row r="28">
      <x:c r="A28" s="19"/>
      <x:c r="B28" s="19"/>
      <x:c r="C28" s="19"/>
      <x:c r="D28" s="19"/>
      <x:c r="E28" s="19"/>
      <x:c r="F28" s="19"/>
      <x:c r="G28" s="26"/>
      <x:c r="H28" s="96" t="str">
        <x:f>IF($A28="","",SUMIFS('OrderItems'!$I$2:$I$500,'OrderItems'!$B$2:$B$500,$A28))</x:f>
      </x:c>
      <x:c r="I28" s="25"/>
      <x:c r="J28" s="25"/>
      <x:c r="K28" s="96" t="str">
        <x:f>IF($A28="","",$H28-$I28+$J28)</x:f>
      </x:c>
      <x:c r="L28" s="116" t="str">
        <x:f>IF($A28="","",IF(SUMIFS('Payments'!$C$2:$C$500,'Payments'!$B$2:$B$500,$A28,'Payments'!$G$2:$G$500,"confirmed")&lt;=0,"unpaid",IF(SUMIFS('Payments'!$C$2:$C$500,'Payments'!$B$2:$B$500,$A28,'Payments'!$G$2:$G$500,"confirmed")&gt;=$K28,"paid","partial")))</x:f>
      </x:c>
      <x:c r="M28" s="19"/>
      <x:c r="N28" s="26"/>
      <x:c r="O28" s="26"/>
      <x:c r="P28" s="19"/>
      <x:c r="Q28" s="26"/>
      <x:c r="R28" s="19"/>
      <x:c r="S28" s="26"/>
      <x:c r="T28" s="19"/>
      <x:c r="U28" s="19"/>
    </x:row>
    <x:row r="29">
      <x:c r="A29" s="19"/>
      <x:c r="B29" s="19"/>
      <x:c r="C29" s="19"/>
      <x:c r="D29" s="19"/>
      <x:c r="E29" s="19"/>
      <x:c r="F29" s="19"/>
      <x:c r="G29" s="26"/>
      <x:c r="H29" s="96" t="str">
        <x:f>IF($A29="","",SUMIFS('OrderItems'!$I$2:$I$500,'OrderItems'!$B$2:$B$500,$A29))</x:f>
      </x:c>
      <x:c r="I29" s="25"/>
      <x:c r="J29" s="25"/>
      <x:c r="K29" s="96" t="str">
        <x:f>IF($A29="","",$H29-$I29+$J29)</x:f>
      </x:c>
      <x:c r="L29" s="116" t="str">
        <x:f>IF($A29="","",IF(SUMIFS('Payments'!$C$2:$C$500,'Payments'!$B$2:$B$500,$A29,'Payments'!$G$2:$G$500,"confirmed")&lt;=0,"unpaid",IF(SUMIFS('Payments'!$C$2:$C$500,'Payments'!$B$2:$B$500,$A29,'Payments'!$G$2:$G$500,"confirmed")&gt;=$K29,"paid","partial")))</x:f>
      </x:c>
      <x:c r="M29" s="19"/>
      <x:c r="N29" s="26"/>
      <x:c r="O29" s="26"/>
      <x:c r="P29" s="19"/>
      <x:c r="Q29" s="26"/>
      <x:c r="R29" s="19"/>
      <x:c r="S29" s="26"/>
      <x:c r="T29" s="19"/>
      <x:c r="U29" s="19"/>
    </x:row>
    <x:row r="30">
      <x:c r="A30" s="19"/>
      <x:c r="B30" s="19"/>
      <x:c r="C30" s="19"/>
      <x:c r="D30" s="19"/>
      <x:c r="E30" s="19"/>
      <x:c r="F30" s="19"/>
      <x:c r="G30" s="26"/>
      <x:c r="H30" s="96" t="str">
        <x:f>IF($A30="","",SUMIFS('OrderItems'!$I$2:$I$500,'OrderItems'!$B$2:$B$500,$A30))</x:f>
      </x:c>
      <x:c r="I30" s="25"/>
      <x:c r="J30" s="25"/>
      <x:c r="K30" s="96" t="str">
        <x:f>IF($A30="","",$H30-$I30+$J30)</x:f>
      </x:c>
      <x:c r="L30" s="116" t="str">
        <x:f>IF($A30="","",IF(SUMIFS('Payments'!$C$2:$C$500,'Payments'!$B$2:$B$500,$A30,'Payments'!$G$2:$G$500,"confirmed")&lt;=0,"unpaid",IF(SUMIFS('Payments'!$C$2:$C$500,'Payments'!$B$2:$B$500,$A30,'Payments'!$G$2:$G$500,"confirmed")&gt;=$K30,"paid","partial")))</x:f>
      </x:c>
      <x:c r="M30" s="19"/>
      <x:c r="N30" s="26"/>
      <x:c r="O30" s="26"/>
      <x:c r="P30" s="19"/>
      <x:c r="Q30" s="26"/>
      <x:c r="R30" s="19"/>
      <x:c r="S30" s="26"/>
      <x:c r="T30" s="19"/>
      <x:c r="U30" s="19"/>
    </x:row>
    <x:row r="31">
      <x:c r="A31" s="19"/>
      <x:c r="B31" s="19"/>
      <x:c r="C31" s="19"/>
      <x:c r="D31" s="19"/>
      <x:c r="E31" s="19"/>
      <x:c r="F31" s="19"/>
      <x:c r="G31" s="26"/>
      <x:c r="H31" s="96" t="str">
        <x:f>IF($A31="","",SUMIFS('OrderItems'!$I$2:$I$500,'OrderItems'!$B$2:$B$500,$A31))</x:f>
      </x:c>
      <x:c r="I31" s="25"/>
      <x:c r="J31" s="25"/>
      <x:c r="K31" s="96" t="str">
        <x:f>IF($A31="","",$H31-$I31+$J31)</x:f>
      </x:c>
      <x:c r="L31" s="116" t="str">
        <x:f>IF($A31="","",IF(SUMIFS('Payments'!$C$2:$C$500,'Payments'!$B$2:$B$500,$A31,'Payments'!$G$2:$G$500,"confirmed")&lt;=0,"unpaid",IF(SUMIFS('Payments'!$C$2:$C$500,'Payments'!$B$2:$B$500,$A31,'Payments'!$G$2:$G$500,"confirmed")&gt;=$K31,"paid","partial")))</x:f>
      </x:c>
      <x:c r="M31" s="19"/>
      <x:c r="N31" s="26"/>
      <x:c r="O31" s="26"/>
      <x:c r="P31" s="19"/>
      <x:c r="Q31" s="26"/>
      <x:c r="R31" s="19"/>
      <x:c r="S31" s="26"/>
      <x:c r="T31" s="19"/>
      <x:c r="U31" s="19"/>
    </x:row>
    <x:row r="32">
      <x:c r="A32" s="19"/>
      <x:c r="B32" s="19"/>
      <x:c r="C32" s="19"/>
      <x:c r="D32" s="19"/>
      <x:c r="E32" s="19"/>
      <x:c r="F32" s="19"/>
      <x:c r="G32" s="26"/>
      <x:c r="H32" s="96" t="str">
        <x:f>IF($A32="","",SUMIFS('OrderItems'!$I$2:$I$500,'OrderItems'!$B$2:$B$500,$A32))</x:f>
      </x:c>
      <x:c r="I32" s="25"/>
      <x:c r="J32" s="25"/>
      <x:c r="K32" s="96" t="str">
        <x:f>IF($A32="","",$H32-$I32+$J32)</x:f>
      </x:c>
      <x:c r="L32" s="116" t="str">
        <x:f>IF($A32="","",IF(SUMIFS('Payments'!$C$2:$C$500,'Payments'!$B$2:$B$500,$A32,'Payments'!$G$2:$G$500,"confirmed")&lt;=0,"unpaid",IF(SUMIFS('Payments'!$C$2:$C$500,'Payments'!$B$2:$B$500,$A32,'Payments'!$G$2:$G$500,"confirmed")&gt;=$K32,"paid","partial")))</x:f>
      </x:c>
      <x:c r="M32" s="19"/>
      <x:c r="N32" s="26"/>
      <x:c r="O32" s="26"/>
      <x:c r="P32" s="19"/>
      <x:c r="Q32" s="26"/>
      <x:c r="R32" s="19"/>
      <x:c r="S32" s="26"/>
      <x:c r="T32" s="19"/>
      <x:c r="U32" s="19"/>
    </x:row>
    <x:row r="33">
      <x:c r="A33" s="19"/>
      <x:c r="B33" s="19"/>
      <x:c r="C33" s="19"/>
      <x:c r="D33" s="19"/>
      <x:c r="E33" s="19"/>
      <x:c r="F33" s="19"/>
      <x:c r="G33" s="26"/>
      <x:c r="H33" s="96" t="str">
        <x:f>IF($A33="","",SUMIFS('OrderItems'!$I$2:$I$500,'OrderItems'!$B$2:$B$500,$A33))</x:f>
      </x:c>
      <x:c r="I33" s="25"/>
      <x:c r="J33" s="25"/>
      <x:c r="K33" s="96" t="str">
        <x:f>IF($A33="","",$H33-$I33+$J33)</x:f>
      </x:c>
      <x:c r="L33" s="116" t="str">
        <x:f>IF($A33="","",IF(SUMIFS('Payments'!$C$2:$C$500,'Payments'!$B$2:$B$500,$A33,'Payments'!$G$2:$G$500,"confirmed")&lt;=0,"unpaid",IF(SUMIFS('Payments'!$C$2:$C$500,'Payments'!$B$2:$B$500,$A33,'Payments'!$G$2:$G$500,"confirmed")&gt;=$K33,"paid","partial")))</x:f>
      </x:c>
      <x:c r="M33" s="19"/>
      <x:c r="N33" s="26"/>
      <x:c r="O33" s="26"/>
      <x:c r="P33" s="19"/>
      <x:c r="Q33" s="26"/>
      <x:c r="R33" s="19"/>
      <x:c r="S33" s="26"/>
      <x:c r="T33" s="19"/>
      <x:c r="U33" s="19"/>
    </x:row>
    <x:row r="34">
      <x:c r="A34" s="19"/>
      <x:c r="B34" s="19"/>
      <x:c r="C34" s="19"/>
      <x:c r="D34" s="19"/>
      <x:c r="E34" s="19"/>
      <x:c r="F34" s="19"/>
      <x:c r="G34" s="26"/>
      <x:c r="H34" s="96" t="str">
        <x:f>IF($A34="","",SUMIFS('OrderItems'!$I$2:$I$500,'OrderItems'!$B$2:$B$500,$A34))</x:f>
      </x:c>
      <x:c r="I34" s="25"/>
      <x:c r="J34" s="25"/>
      <x:c r="K34" s="96" t="str">
        <x:f>IF($A34="","",$H34-$I34+$J34)</x:f>
      </x:c>
      <x:c r="L34" s="116" t="str">
        <x:f>IF($A34="","",IF(SUMIFS('Payments'!$C$2:$C$500,'Payments'!$B$2:$B$500,$A34,'Payments'!$G$2:$G$500,"confirmed")&lt;=0,"unpaid",IF(SUMIFS('Payments'!$C$2:$C$500,'Payments'!$B$2:$B$500,$A34,'Payments'!$G$2:$G$500,"confirmed")&gt;=$K34,"paid","partial")))</x:f>
      </x:c>
      <x:c r="M34" s="19"/>
      <x:c r="N34" s="26"/>
      <x:c r="O34" s="26"/>
      <x:c r="P34" s="19"/>
      <x:c r="Q34" s="26"/>
      <x:c r="R34" s="19"/>
      <x:c r="S34" s="26"/>
      <x:c r="T34" s="19"/>
      <x:c r="U34" s="19"/>
    </x:row>
    <x:row r="35">
      <x:c r="A35" s="19"/>
      <x:c r="B35" s="19"/>
      <x:c r="C35" s="19"/>
      <x:c r="D35" s="19"/>
      <x:c r="E35" s="19"/>
      <x:c r="F35" s="19"/>
      <x:c r="G35" s="26"/>
      <x:c r="H35" s="96" t="str">
        <x:f>IF($A35="","",SUMIFS('OrderItems'!$I$2:$I$500,'OrderItems'!$B$2:$B$500,$A35))</x:f>
      </x:c>
      <x:c r="I35" s="25"/>
      <x:c r="J35" s="25"/>
      <x:c r="K35" s="96" t="str">
        <x:f>IF($A35="","",$H35-$I35+$J35)</x:f>
      </x:c>
      <x:c r="L35" s="116" t="str">
        <x:f>IF($A35="","",IF(SUMIFS('Payments'!$C$2:$C$500,'Payments'!$B$2:$B$500,$A35,'Payments'!$G$2:$G$500,"confirmed")&lt;=0,"unpaid",IF(SUMIFS('Payments'!$C$2:$C$500,'Payments'!$B$2:$B$500,$A35,'Payments'!$G$2:$G$500,"confirmed")&gt;=$K35,"paid","partial")))</x:f>
      </x:c>
      <x:c r="M35" s="19"/>
      <x:c r="N35" s="26"/>
      <x:c r="O35" s="26"/>
      <x:c r="P35" s="19"/>
      <x:c r="Q35" s="26"/>
      <x:c r="R35" s="19"/>
      <x:c r="S35" s="26"/>
      <x:c r="T35" s="19"/>
      <x:c r="U35" s="19"/>
    </x:row>
    <x:row r="36">
      <x:c r="A36" s="19"/>
      <x:c r="B36" s="19"/>
      <x:c r="C36" s="19"/>
      <x:c r="D36" s="19"/>
      <x:c r="E36" s="19"/>
      <x:c r="F36" s="19"/>
      <x:c r="G36" s="26"/>
      <x:c r="H36" s="96" t="str">
        <x:f>IF($A36="","",SUMIFS('OrderItems'!$I$2:$I$500,'OrderItems'!$B$2:$B$500,$A36))</x:f>
      </x:c>
      <x:c r="I36" s="25"/>
      <x:c r="J36" s="25"/>
      <x:c r="K36" s="96" t="str">
        <x:f>IF($A36="","",$H36-$I36+$J36)</x:f>
      </x:c>
      <x:c r="L36" s="116" t="str">
        <x:f>IF($A36="","",IF(SUMIFS('Payments'!$C$2:$C$500,'Payments'!$B$2:$B$500,$A36,'Payments'!$G$2:$G$500,"confirmed")&lt;=0,"unpaid",IF(SUMIFS('Payments'!$C$2:$C$500,'Payments'!$B$2:$B$500,$A36,'Payments'!$G$2:$G$500,"confirmed")&gt;=$K36,"paid","partial")))</x:f>
      </x:c>
      <x:c r="M36" s="19"/>
      <x:c r="N36" s="26"/>
      <x:c r="O36" s="26"/>
      <x:c r="P36" s="19"/>
      <x:c r="Q36" s="26"/>
      <x:c r="R36" s="19"/>
      <x:c r="S36" s="26"/>
      <x:c r="T36" s="19"/>
      <x:c r="U36" s="19"/>
    </x:row>
    <x:row r="37">
      <x:c r="A37" s="19"/>
      <x:c r="B37" s="19"/>
      <x:c r="C37" s="19"/>
      <x:c r="D37" s="19"/>
      <x:c r="E37" s="19"/>
      <x:c r="F37" s="19"/>
      <x:c r="G37" s="26"/>
      <x:c r="H37" s="96" t="str">
        <x:f>IF($A37="","",SUMIFS('OrderItems'!$I$2:$I$500,'OrderItems'!$B$2:$B$500,$A37))</x:f>
      </x:c>
      <x:c r="I37" s="25"/>
      <x:c r="J37" s="25"/>
      <x:c r="K37" s="96" t="str">
        <x:f>IF($A37="","",$H37-$I37+$J37)</x:f>
      </x:c>
      <x:c r="L37" s="116" t="str">
        <x:f>IF($A37="","",IF(SUMIFS('Payments'!$C$2:$C$500,'Payments'!$B$2:$B$500,$A37,'Payments'!$G$2:$G$500,"confirmed")&lt;=0,"unpaid",IF(SUMIFS('Payments'!$C$2:$C$500,'Payments'!$B$2:$B$500,$A37,'Payments'!$G$2:$G$500,"confirmed")&gt;=$K37,"paid","partial")))</x:f>
      </x:c>
      <x:c r="M37" s="19"/>
      <x:c r="N37" s="26"/>
      <x:c r="O37" s="26"/>
      <x:c r="P37" s="19"/>
      <x:c r="Q37" s="26"/>
      <x:c r="R37" s="19"/>
      <x:c r="S37" s="26"/>
      <x:c r="T37" s="19"/>
      <x:c r="U37" s="19"/>
    </x:row>
    <x:row r="38">
      <x:c r="A38" s="19"/>
      <x:c r="B38" s="19"/>
      <x:c r="C38" s="19"/>
      <x:c r="D38" s="19"/>
      <x:c r="E38" s="19"/>
      <x:c r="F38" s="19"/>
      <x:c r="G38" s="26"/>
      <x:c r="H38" s="96" t="str">
        <x:f>IF($A38="","",SUMIFS('OrderItems'!$I$2:$I$500,'OrderItems'!$B$2:$B$500,$A38))</x:f>
      </x:c>
      <x:c r="I38" s="25"/>
      <x:c r="J38" s="25"/>
      <x:c r="K38" s="96" t="str">
        <x:f>IF($A38="","",$H38-$I38+$J38)</x:f>
      </x:c>
      <x:c r="L38" s="116" t="str">
        <x:f>IF($A38="","",IF(SUMIFS('Payments'!$C$2:$C$500,'Payments'!$B$2:$B$500,$A38,'Payments'!$G$2:$G$500,"confirmed")&lt;=0,"unpaid",IF(SUMIFS('Payments'!$C$2:$C$500,'Payments'!$B$2:$B$500,$A38,'Payments'!$G$2:$G$500,"confirmed")&gt;=$K38,"paid","partial")))</x:f>
      </x:c>
      <x:c r="M38" s="19"/>
      <x:c r="N38" s="26"/>
      <x:c r="O38" s="26"/>
      <x:c r="P38" s="19"/>
      <x:c r="Q38" s="26"/>
      <x:c r="R38" s="19"/>
      <x:c r="S38" s="26"/>
      <x:c r="T38" s="19"/>
      <x:c r="U38" s="19"/>
    </x:row>
    <x:row r="39">
      <x:c r="A39" s="19"/>
      <x:c r="B39" s="19"/>
      <x:c r="C39" s="19"/>
      <x:c r="D39" s="19"/>
      <x:c r="E39" s="19"/>
      <x:c r="F39" s="19"/>
      <x:c r="G39" s="26"/>
      <x:c r="H39" s="96" t="str">
        <x:f>IF($A39="","",SUMIFS('OrderItems'!$I$2:$I$500,'OrderItems'!$B$2:$B$500,$A39))</x:f>
      </x:c>
      <x:c r="I39" s="25"/>
      <x:c r="J39" s="25"/>
      <x:c r="K39" s="96" t="str">
        <x:f>IF($A39="","",$H39-$I39+$J39)</x:f>
      </x:c>
      <x:c r="L39" s="116" t="str">
        <x:f>IF($A39="","",IF(SUMIFS('Payments'!$C$2:$C$500,'Payments'!$B$2:$B$500,$A39,'Payments'!$G$2:$G$500,"confirmed")&lt;=0,"unpaid",IF(SUMIFS('Payments'!$C$2:$C$500,'Payments'!$B$2:$B$500,$A39,'Payments'!$G$2:$G$500,"confirmed")&gt;=$K39,"paid","partial")))</x:f>
      </x:c>
      <x:c r="M39" s="19"/>
      <x:c r="N39" s="26"/>
      <x:c r="O39" s="26"/>
      <x:c r="P39" s="19"/>
      <x:c r="Q39" s="26"/>
      <x:c r="R39" s="19"/>
      <x:c r="S39" s="26"/>
      <x:c r="T39" s="19"/>
      <x:c r="U39" s="19"/>
    </x:row>
    <x:row r="40">
      <x:c r="A40" s="19"/>
      <x:c r="B40" s="19"/>
      <x:c r="C40" s="19"/>
      <x:c r="D40" s="19"/>
      <x:c r="E40" s="19"/>
      <x:c r="F40" s="19"/>
      <x:c r="G40" s="26"/>
      <x:c r="H40" s="96" t="str">
        <x:f>IF($A40="","",SUMIFS('OrderItems'!$I$2:$I$500,'OrderItems'!$B$2:$B$500,$A40))</x:f>
      </x:c>
      <x:c r="I40" s="25"/>
      <x:c r="J40" s="25"/>
      <x:c r="K40" s="96" t="str">
        <x:f>IF($A40="","",$H40-$I40+$J40)</x:f>
      </x:c>
      <x:c r="L40" s="116" t="str">
        <x:f>IF($A40="","",IF(SUMIFS('Payments'!$C$2:$C$500,'Payments'!$B$2:$B$500,$A40,'Payments'!$G$2:$G$500,"confirmed")&lt;=0,"unpaid",IF(SUMIFS('Payments'!$C$2:$C$500,'Payments'!$B$2:$B$500,$A40,'Payments'!$G$2:$G$500,"confirmed")&gt;=$K40,"paid","partial")))</x:f>
      </x:c>
      <x:c r="M40" s="19"/>
      <x:c r="N40" s="26"/>
      <x:c r="O40" s="26"/>
      <x:c r="P40" s="19"/>
      <x:c r="Q40" s="26"/>
      <x:c r="R40" s="19"/>
      <x:c r="S40" s="26"/>
      <x:c r="T40" s="19"/>
      <x:c r="U40" s="19"/>
    </x:row>
    <x:row r="41">
      <x:c r="A41" s="19"/>
      <x:c r="B41" s="19"/>
      <x:c r="C41" s="19"/>
      <x:c r="D41" s="19"/>
      <x:c r="E41" s="19"/>
      <x:c r="F41" s="19"/>
      <x:c r="G41" s="26"/>
      <x:c r="H41" s="96" t="str">
        <x:f>IF($A41="","",SUMIFS('OrderItems'!$I$2:$I$500,'OrderItems'!$B$2:$B$500,$A41))</x:f>
      </x:c>
      <x:c r="I41" s="25"/>
      <x:c r="J41" s="25"/>
      <x:c r="K41" s="96" t="str">
        <x:f>IF($A41="","",$H41-$I41+$J41)</x:f>
      </x:c>
      <x:c r="L41" s="116" t="str">
        <x:f>IF($A41="","",IF(SUMIFS('Payments'!$C$2:$C$500,'Payments'!$B$2:$B$500,$A41,'Payments'!$G$2:$G$500,"confirmed")&lt;=0,"unpaid",IF(SUMIFS('Payments'!$C$2:$C$500,'Payments'!$B$2:$B$500,$A41,'Payments'!$G$2:$G$500,"confirmed")&gt;=$K41,"paid","partial")))</x:f>
      </x:c>
      <x:c r="M41" s="19"/>
      <x:c r="N41" s="26"/>
      <x:c r="O41" s="26"/>
      <x:c r="P41" s="19"/>
      <x:c r="Q41" s="26"/>
      <x:c r="R41" s="19"/>
      <x:c r="S41" s="26"/>
      <x:c r="T41" s="19"/>
      <x:c r="U41" s="19"/>
    </x:row>
    <x:row r="42">
      <x:c r="A42" s="19"/>
      <x:c r="B42" s="19"/>
      <x:c r="C42" s="19"/>
      <x:c r="D42" s="19"/>
      <x:c r="E42" s="19"/>
      <x:c r="F42" s="19"/>
      <x:c r="G42" s="26"/>
      <x:c r="H42" s="96" t="str">
        <x:f>IF($A42="","",SUMIFS('OrderItems'!$I$2:$I$500,'OrderItems'!$B$2:$B$500,$A42))</x:f>
      </x:c>
      <x:c r="I42" s="25"/>
      <x:c r="J42" s="25"/>
      <x:c r="K42" s="96" t="str">
        <x:f>IF($A42="","",$H42-$I42+$J42)</x:f>
      </x:c>
      <x:c r="L42" s="116" t="str">
        <x:f>IF($A42="","",IF(SUMIFS('Payments'!$C$2:$C$500,'Payments'!$B$2:$B$500,$A42,'Payments'!$G$2:$G$500,"confirmed")&lt;=0,"unpaid",IF(SUMIFS('Payments'!$C$2:$C$500,'Payments'!$B$2:$B$500,$A42,'Payments'!$G$2:$G$500,"confirmed")&gt;=$K42,"paid","partial")))</x:f>
      </x:c>
      <x:c r="M42" s="19"/>
      <x:c r="N42" s="26"/>
      <x:c r="O42" s="26"/>
      <x:c r="P42" s="19"/>
      <x:c r="Q42" s="26"/>
      <x:c r="R42" s="19"/>
      <x:c r="S42" s="26"/>
      <x:c r="T42" s="19"/>
      <x:c r="U42" s="19"/>
    </x:row>
    <x:row r="43">
      <x:c r="A43" s="19"/>
      <x:c r="B43" s="19"/>
      <x:c r="C43" s="19"/>
      <x:c r="D43" s="19"/>
      <x:c r="E43" s="19"/>
      <x:c r="F43" s="19"/>
      <x:c r="G43" s="26"/>
      <x:c r="H43" s="96" t="str">
        <x:f>IF($A43="","",SUMIFS('OrderItems'!$I$2:$I$500,'OrderItems'!$B$2:$B$500,$A43))</x:f>
      </x:c>
      <x:c r="I43" s="25"/>
      <x:c r="J43" s="25"/>
      <x:c r="K43" s="96" t="str">
        <x:f>IF($A43="","",$H43-$I43+$J43)</x:f>
      </x:c>
      <x:c r="L43" s="116" t="str">
        <x:f>IF($A43="","",IF(SUMIFS('Payments'!$C$2:$C$500,'Payments'!$B$2:$B$500,$A43,'Payments'!$G$2:$G$500,"confirmed")&lt;=0,"unpaid",IF(SUMIFS('Payments'!$C$2:$C$500,'Payments'!$B$2:$B$500,$A43,'Payments'!$G$2:$G$500,"confirmed")&gt;=$K43,"paid","partial")))</x:f>
      </x:c>
      <x:c r="M43" s="19"/>
      <x:c r="N43" s="26"/>
      <x:c r="O43" s="26"/>
      <x:c r="P43" s="19"/>
      <x:c r="Q43" s="26"/>
      <x:c r="R43" s="19"/>
      <x:c r="S43" s="26"/>
      <x:c r="T43" s="19"/>
      <x:c r="U43" s="19"/>
    </x:row>
    <x:row r="44">
      <x:c r="A44" s="19"/>
      <x:c r="B44" s="19"/>
      <x:c r="C44" s="19"/>
      <x:c r="D44" s="19"/>
      <x:c r="E44" s="19"/>
      <x:c r="F44" s="19"/>
      <x:c r="G44" s="26"/>
      <x:c r="H44" s="96" t="str">
        <x:f>IF($A44="","",SUMIFS('OrderItems'!$I$2:$I$500,'OrderItems'!$B$2:$B$500,$A44))</x:f>
      </x:c>
      <x:c r="I44" s="25"/>
      <x:c r="J44" s="25"/>
      <x:c r="K44" s="96" t="str">
        <x:f>IF($A44="","",$H44-$I44+$J44)</x:f>
      </x:c>
      <x:c r="L44" s="116" t="str">
        <x:f>IF($A44="","",IF(SUMIFS('Payments'!$C$2:$C$500,'Payments'!$B$2:$B$500,$A44,'Payments'!$G$2:$G$500,"confirmed")&lt;=0,"unpaid",IF(SUMIFS('Payments'!$C$2:$C$500,'Payments'!$B$2:$B$500,$A44,'Payments'!$G$2:$G$500,"confirmed")&gt;=$K44,"paid","partial")))</x:f>
      </x:c>
      <x:c r="M44" s="19"/>
      <x:c r="N44" s="26"/>
      <x:c r="O44" s="26"/>
      <x:c r="P44" s="19"/>
      <x:c r="Q44" s="26"/>
      <x:c r="R44" s="19"/>
      <x:c r="S44" s="26"/>
      <x:c r="T44" s="19"/>
      <x:c r="U44" s="19"/>
    </x:row>
    <x:row r="45">
      <x:c r="A45" s="19"/>
      <x:c r="B45" s="19"/>
      <x:c r="C45" s="19"/>
      <x:c r="D45" s="19"/>
      <x:c r="E45" s="19"/>
      <x:c r="F45" s="19"/>
      <x:c r="G45" s="26"/>
      <x:c r="H45" s="96" t="str">
        <x:f>IF($A45="","",SUMIFS('OrderItems'!$I$2:$I$500,'OrderItems'!$B$2:$B$500,$A45))</x:f>
      </x:c>
      <x:c r="I45" s="25"/>
      <x:c r="J45" s="25"/>
      <x:c r="K45" s="96" t="str">
        <x:f>IF($A45="","",$H45-$I45+$J45)</x:f>
      </x:c>
      <x:c r="L45" s="116" t="str">
        <x:f>IF($A45="","",IF(SUMIFS('Payments'!$C$2:$C$500,'Payments'!$B$2:$B$500,$A45,'Payments'!$G$2:$G$500,"confirmed")&lt;=0,"unpaid",IF(SUMIFS('Payments'!$C$2:$C$500,'Payments'!$B$2:$B$500,$A45,'Payments'!$G$2:$G$500,"confirmed")&gt;=$K45,"paid","partial")))</x:f>
      </x:c>
      <x:c r="M45" s="19"/>
      <x:c r="N45" s="26"/>
      <x:c r="O45" s="26"/>
      <x:c r="P45" s="19"/>
      <x:c r="Q45" s="26"/>
      <x:c r="R45" s="19"/>
      <x:c r="S45" s="26"/>
      <x:c r="T45" s="19"/>
      <x:c r="U45" s="19"/>
    </x:row>
    <x:row r="46">
      <x:c r="A46" s="19"/>
      <x:c r="B46" s="19"/>
      <x:c r="C46" s="19"/>
      <x:c r="D46" s="19"/>
      <x:c r="E46" s="19"/>
      <x:c r="F46" s="19"/>
      <x:c r="G46" s="26"/>
      <x:c r="H46" s="96" t="str">
        <x:f>IF($A46="","",SUMIFS('OrderItems'!$I$2:$I$500,'OrderItems'!$B$2:$B$500,$A46))</x:f>
      </x:c>
      <x:c r="I46" s="25"/>
      <x:c r="J46" s="25"/>
      <x:c r="K46" s="96" t="str">
        <x:f>IF($A46="","",$H46-$I46+$J46)</x:f>
      </x:c>
      <x:c r="L46" s="116" t="str">
        <x:f>IF($A46="","",IF(SUMIFS('Payments'!$C$2:$C$500,'Payments'!$B$2:$B$500,$A46,'Payments'!$G$2:$G$500,"confirmed")&lt;=0,"unpaid",IF(SUMIFS('Payments'!$C$2:$C$500,'Payments'!$B$2:$B$500,$A46,'Payments'!$G$2:$G$500,"confirmed")&gt;=$K46,"paid","partial")))</x:f>
      </x:c>
      <x:c r="M46" s="19"/>
      <x:c r="N46" s="26"/>
      <x:c r="O46" s="26"/>
      <x:c r="P46" s="19"/>
      <x:c r="Q46" s="26"/>
      <x:c r="R46" s="19"/>
      <x:c r="S46" s="26"/>
      <x:c r="T46" s="19"/>
      <x:c r="U46" s="19"/>
    </x:row>
    <x:row r="47">
      <x:c r="A47" s="19"/>
      <x:c r="B47" s="19"/>
      <x:c r="C47" s="19"/>
      <x:c r="D47" s="19"/>
      <x:c r="E47" s="19"/>
      <x:c r="F47" s="19"/>
      <x:c r="G47" s="26"/>
      <x:c r="H47" s="96" t="str">
        <x:f>IF($A47="","",SUMIFS('OrderItems'!$I$2:$I$500,'OrderItems'!$B$2:$B$500,$A47))</x:f>
      </x:c>
      <x:c r="I47" s="25"/>
      <x:c r="J47" s="25"/>
      <x:c r="K47" s="96" t="str">
        <x:f>IF($A47="","",$H47-$I47+$J47)</x:f>
      </x:c>
      <x:c r="L47" s="116" t="str">
        <x:f>IF($A47="","",IF(SUMIFS('Payments'!$C$2:$C$500,'Payments'!$B$2:$B$500,$A47,'Payments'!$G$2:$G$500,"confirmed")&lt;=0,"unpaid",IF(SUMIFS('Payments'!$C$2:$C$500,'Payments'!$B$2:$B$500,$A47,'Payments'!$G$2:$G$500,"confirmed")&gt;=$K47,"paid","partial")))</x:f>
      </x:c>
      <x:c r="M47" s="19"/>
      <x:c r="N47" s="26"/>
      <x:c r="O47" s="26"/>
      <x:c r="P47" s="19"/>
      <x:c r="Q47" s="26"/>
      <x:c r="R47" s="19"/>
      <x:c r="S47" s="26"/>
      <x:c r="T47" s="19"/>
      <x:c r="U47" s="19"/>
    </x:row>
    <x:row r="48">
      <x:c r="A48" s="19"/>
      <x:c r="B48" s="19"/>
      <x:c r="C48" s="19"/>
      <x:c r="D48" s="19"/>
      <x:c r="E48" s="19"/>
      <x:c r="F48" s="19"/>
      <x:c r="G48" s="26"/>
      <x:c r="H48" s="96" t="str">
        <x:f>IF($A48="","",SUMIFS('OrderItems'!$I$2:$I$500,'OrderItems'!$B$2:$B$500,$A48))</x:f>
      </x:c>
      <x:c r="I48" s="25"/>
      <x:c r="J48" s="25"/>
      <x:c r="K48" s="96" t="str">
        <x:f>IF($A48="","",$H48-$I48+$J48)</x:f>
      </x:c>
      <x:c r="L48" s="116" t="str">
        <x:f>IF($A48="","",IF(SUMIFS('Payments'!$C$2:$C$500,'Payments'!$B$2:$B$500,$A48,'Payments'!$G$2:$G$500,"confirmed")&lt;=0,"unpaid",IF(SUMIFS('Payments'!$C$2:$C$500,'Payments'!$B$2:$B$500,$A48,'Payments'!$G$2:$G$500,"confirmed")&gt;=$K48,"paid","partial")))</x:f>
      </x:c>
      <x:c r="M48" s="19"/>
      <x:c r="N48" s="26"/>
      <x:c r="O48" s="26"/>
      <x:c r="P48" s="19"/>
      <x:c r="Q48" s="26"/>
      <x:c r="R48" s="19"/>
      <x:c r="S48" s="26"/>
      <x:c r="T48" s="19"/>
      <x:c r="U48" s="19"/>
    </x:row>
    <x:row r="49">
      <x:c r="A49" s="19"/>
      <x:c r="B49" s="19"/>
      <x:c r="C49" s="19"/>
      <x:c r="D49" s="19"/>
      <x:c r="E49" s="19"/>
      <x:c r="F49" s="19"/>
      <x:c r="G49" s="26"/>
      <x:c r="H49" s="96" t="str">
        <x:f>IF($A49="","",SUMIFS('OrderItems'!$I$2:$I$500,'OrderItems'!$B$2:$B$500,$A49))</x:f>
      </x:c>
      <x:c r="I49" s="25"/>
      <x:c r="J49" s="25"/>
      <x:c r="K49" s="96" t="str">
        <x:f>IF($A49="","",$H49-$I49+$J49)</x:f>
      </x:c>
      <x:c r="L49" s="116" t="str">
        <x:f>IF($A49="","",IF(SUMIFS('Payments'!$C$2:$C$500,'Payments'!$B$2:$B$500,$A49,'Payments'!$G$2:$G$500,"confirmed")&lt;=0,"unpaid",IF(SUMIFS('Payments'!$C$2:$C$500,'Payments'!$B$2:$B$500,$A49,'Payments'!$G$2:$G$500,"confirmed")&gt;=$K49,"paid","partial")))</x:f>
      </x:c>
      <x:c r="M49" s="19"/>
      <x:c r="N49" s="26"/>
      <x:c r="O49" s="26"/>
      <x:c r="P49" s="19"/>
      <x:c r="Q49" s="26"/>
      <x:c r="R49" s="19"/>
      <x:c r="S49" s="26"/>
      <x:c r="T49" s="19"/>
      <x:c r="U49" s="19"/>
    </x:row>
    <x:row r="50">
      <x:c r="A50" s="19"/>
      <x:c r="B50" s="19"/>
      <x:c r="C50" s="19"/>
      <x:c r="D50" s="19"/>
      <x:c r="E50" s="19"/>
      <x:c r="F50" s="19"/>
      <x:c r="G50" s="26"/>
      <x:c r="H50" s="96" t="str">
        <x:f>IF($A50="","",SUMIFS('OrderItems'!$I$2:$I$500,'OrderItems'!$B$2:$B$500,$A50))</x:f>
      </x:c>
      <x:c r="I50" s="25"/>
      <x:c r="J50" s="25"/>
      <x:c r="K50" s="96" t="str">
        <x:f>IF($A50="","",$H50-$I50+$J50)</x:f>
      </x:c>
      <x:c r="L50" s="116" t="str">
        <x:f>IF($A50="","",IF(SUMIFS('Payments'!$C$2:$C$500,'Payments'!$B$2:$B$500,$A50,'Payments'!$G$2:$G$500,"confirmed")&lt;=0,"unpaid",IF(SUMIFS('Payments'!$C$2:$C$500,'Payments'!$B$2:$B$500,$A50,'Payments'!$G$2:$G$500,"confirmed")&gt;=$K50,"paid","partial")))</x:f>
      </x:c>
      <x:c r="M50" s="19"/>
      <x:c r="N50" s="26"/>
      <x:c r="O50" s="26"/>
      <x:c r="P50" s="19"/>
      <x:c r="Q50" s="26"/>
      <x:c r="R50" s="19"/>
      <x:c r="S50" s="26"/>
      <x:c r="T50" s="19"/>
      <x:c r="U50" s="19"/>
    </x:row>
    <x:row r="51">
      <x:c r="A51" s="19"/>
      <x:c r="B51" s="19"/>
      <x:c r="C51" s="19"/>
      <x:c r="D51" s="19"/>
      <x:c r="E51" s="19"/>
      <x:c r="F51" s="19"/>
      <x:c r="G51" s="26"/>
      <x:c r="H51" s="96" t="str">
        <x:f>IF($A51="","",SUMIFS('OrderItems'!$I$2:$I$500,'OrderItems'!$B$2:$B$500,$A51))</x:f>
      </x:c>
      <x:c r="I51" s="25"/>
      <x:c r="J51" s="25"/>
      <x:c r="K51" s="96" t="str">
        <x:f>IF($A51="","",$H51-$I51+$J51)</x:f>
      </x:c>
      <x:c r="L51" s="116" t="str">
        <x:f>IF($A51="","",IF(SUMIFS('Payments'!$C$2:$C$500,'Payments'!$B$2:$B$500,$A51,'Payments'!$G$2:$G$500,"confirmed")&lt;=0,"unpaid",IF(SUMIFS('Payments'!$C$2:$C$500,'Payments'!$B$2:$B$500,$A51,'Payments'!$G$2:$G$500,"confirmed")&gt;=$K51,"paid","partial")))</x:f>
      </x:c>
      <x:c r="M51" s="19"/>
      <x:c r="N51" s="26"/>
      <x:c r="O51" s="26"/>
      <x:c r="P51" s="19"/>
      <x:c r="Q51" s="26"/>
      <x:c r="R51" s="19"/>
      <x:c r="S51" s="26"/>
      <x:c r="T51" s="19"/>
      <x:c r="U51" s="19"/>
    </x:row>
    <x:row r="52">
      <x:c r="A52" s="19"/>
      <x:c r="B52" s="19"/>
      <x:c r="C52" s="19"/>
      <x:c r="D52" s="19"/>
      <x:c r="E52" s="19"/>
      <x:c r="F52" s="19"/>
      <x:c r="G52" s="26"/>
      <x:c r="H52" s="96" t="str">
        <x:f>IF($A52="","",SUMIFS('OrderItems'!$I$2:$I$500,'OrderItems'!$B$2:$B$500,$A52))</x:f>
      </x:c>
      <x:c r="I52" s="25"/>
      <x:c r="J52" s="25"/>
      <x:c r="K52" s="96" t="str">
        <x:f>IF($A52="","",$H52-$I52+$J52)</x:f>
      </x:c>
      <x:c r="L52" s="116" t="str">
        <x:f>IF($A52="","",IF(SUMIFS('Payments'!$C$2:$C$500,'Payments'!$B$2:$B$500,$A52,'Payments'!$G$2:$G$500,"confirmed")&lt;=0,"unpaid",IF(SUMIFS('Payments'!$C$2:$C$500,'Payments'!$B$2:$B$500,$A52,'Payments'!$G$2:$G$500,"confirmed")&gt;=$K52,"paid","partial")))</x:f>
      </x:c>
      <x:c r="M52" s="19"/>
      <x:c r="N52" s="26"/>
      <x:c r="O52" s="26"/>
      <x:c r="P52" s="19"/>
      <x:c r="Q52" s="26"/>
      <x:c r="R52" s="19"/>
      <x:c r="S52" s="26"/>
      <x:c r="T52" s="19"/>
      <x:c r="U52" s="19"/>
    </x:row>
    <x:row r="53">
      <x:c r="A53" s="19"/>
      <x:c r="B53" s="19"/>
      <x:c r="C53" s="19"/>
      <x:c r="D53" s="19"/>
      <x:c r="E53" s="19"/>
      <x:c r="F53" s="19"/>
      <x:c r="G53" s="26"/>
      <x:c r="H53" s="96" t="str">
        <x:f>IF($A53="","",SUMIFS('OrderItems'!$I$2:$I$500,'OrderItems'!$B$2:$B$500,$A53))</x:f>
      </x:c>
      <x:c r="I53" s="25"/>
      <x:c r="J53" s="25"/>
      <x:c r="K53" s="96" t="str">
        <x:f>IF($A53="","",$H53-$I53+$J53)</x:f>
      </x:c>
      <x:c r="L53" s="116" t="str">
        <x:f>IF($A53="","",IF(SUMIFS('Payments'!$C$2:$C$500,'Payments'!$B$2:$B$500,$A53,'Payments'!$G$2:$G$500,"confirmed")&lt;=0,"unpaid",IF(SUMIFS('Payments'!$C$2:$C$500,'Payments'!$B$2:$B$500,$A53,'Payments'!$G$2:$G$500,"confirmed")&gt;=$K53,"paid","partial")))</x:f>
      </x:c>
      <x:c r="M53" s="19"/>
      <x:c r="N53" s="26"/>
      <x:c r="O53" s="26"/>
      <x:c r="P53" s="19"/>
      <x:c r="Q53" s="26"/>
      <x:c r="R53" s="19"/>
      <x:c r="S53" s="26"/>
      <x:c r="T53" s="19"/>
      <x:c r="U53" s="19"/>
    </x:row>
    <x:row r="54">
      <x:c r="A54" s="19"/>
      <x:c r="B54" s="19"/>
      <x:c r="C54" s="19"/>
      <x:c r="D54" s="19"/>
      <x:c r="E54" s="19"/>
      <x:c r="F54" s="19"/>
      <x:c r="G54" s="26"/>
      <x:c r="H54" s="96" t="str">
        <x:f>IF($A54="","",SUMIFS('OrderItems'!$I$2:$I$500,'OrderItems'!$B$2:$B$500,$A54))</x:f>
      </x:c>
      <x:c r="I54" s="25"/>
      <x:c r="J54" s="25"/>
      <x:c r="K54" s="96" t="str">
        <x:f>IF($A54="","",$H54-$I54+$J54)</x:f>
      </x:c>
      <x:c r="L54" s="116" t="str">
        <x:f>IF($A54="","",IF(SUMIFS('Payments'!$C$2:$C$500,'Payments'!$B$2:$B$500,$A54,'Payments'!$G$2:$G$500,"confirmed")&lt;=0,"unpaid",IF(SUMIFS('Payments'!$C$2:$C$500,'Payments'!$B$2:$B$500,$A54,'Payments'!$G$2:$G$500,"confirmed")&gt;=$K54,"paid","partial")))</x:f>
      </x:c>
      <x:c r="M54" s="19"/>
      <x:c r="N54" s="26"/>
      <x:c r="O54" s="26"/>
      <x:c r="P54" s="19"/>
      <x:c r="Q54" s="26"/>
      <x:c r="R54" s="19"/>
      <x:c r="S54" s="26"/>
      <x:c r="T54" s="19"/>
      <x:c r="U54" s="19"/>
    </x:row>
    <x:row r="55">
      <x:c r="A55" s="19"/>
      <x:c r="B55" s="19"/>
      <x:c r="C55" s="19"/>
      <x:c r="D55" s="19"/>
      <x:c r="E55" s="19"/>
      <x:c r="F55" s="19"/>
      <x:c r="G55" s="26"/>
      <x:c r="H55" s="96" t="str">
        <x:f>IF($A55="","",SUMIFS('OrderItems'!$I$2:$I$500,'OrderItems'!$B$2:$B$500,$A55))</x:f>
      </x:c>
      <x:c r="I55" s="25"/>
      <x:c r="J55" s="25"/>
      <x:c r="K55" s="96" t="str">
        <x:f>IF($A55="","",$H55-$I55+$J55)</x:f>
      </x:c>
      <x:c r="L55" s="116" t="str">
        <x:f>IF($A55="","",IF(SUMIFS('Payments'!$C$2:$C$500,'Payments'!$B$2:$B$500,$A55,'Payments'!$G$2:$G$500,"confirmed")&lt;=0,"unpaid",IF(SUMIFS('Payments'!$C$2:$C$500,'Payments'!$B$2:$B$500,$A55,'Payments'!$G$2:$G$500,"confirmed")&gt;=$K55,"paid","partial")))</x:f>
      </x:c>
      <x:c r="M55" s="19"/>
      <x:c r="N55" s="26"/>
      <x:c r="O55" s="26"/>
      <x:c r="P55" s="19"/>
      <x:c r="Q55" s="26"/>
      <x:c r="R55" s="19"/>
      <x:c r="S55" s="26"/>
      <x:c r="T55" s="19"/>
      <x:c r="U55" s="19"/>
    </x:row>
    <x:row r="56">
      <x:c r="A56" s="19"/>
      <x:c r="B56" s="19"/>
      <x:c r="C56" s="19"/>
      <x:c r="D56" s="19"/>
      <x:c r="E56" s="19"/>
      <x:c r="F56" s="19"/>
      <x:c r="G56" s="26"/>
      <x:c r="H56" s="96" t="str">
        <x:f>IF($A56="","",SUMIFS('OrderItems'!$I$2:$I$500,'OrderItems'!$B$2:$B$500,$A56))</x:f>
      </x:c>
      <x:c r="I56" s="25"/>
      <x:c r="J56" s="25"/>
      <x:c r="K56" s="96" t="str">
        <x:f>IF($A56="","",$H56-$I56+$J56)</x:f>
      </x:c>
      <x:c r="L56" s="116" t="str">
        <x:f>IF($A56="","",IF(SUMIFS('Payments'!$C$2:$C$500,'Payments'!$B$2:$B$500,$A56,'Payments'!$G$2:$G$500,"confirmed")&lt;=0,"unpaid",IF(SUMIFS('Payments'!$C$2:$C$500,'Payments'!$B$2:$B$500,$A56,'Payments'!$G$2:$G$500,"confirmed")&gt;=$K56,"paid","partial")))</x:f>
      </x:c>
      <x:c r="M56" s="19"/>
      <x:c r="N56" s="26"/>
      <x:c r="O56" s="26"/>
      <x:c r="P56" s="19"/>
      <x:c r="Q56" s="26"/>
      <x:c r="R56" s="19"/>
      <x:c r="S56" s="26"/>
      <x:c r="T56" s="19"/>
      <x:c r="U56" s="19"/>
    </x:row>
    <x:row r="57">
      <x:c r="A57" s="19"/>
      <x:c r="B57" s="19"/>
      <x:c r="C57" s="19"/>
      <x:c r="D57" s="19"/>
      <x:c r="E57" s="19"/>
      <x:c r="F57" s="19"/>
      <x:c r="G57" s="26"/>
      <x:c r="H57" s="96" t="str">
        <x:f>IF($A57="","",SUMIFS('OrderItems'!$I$2:$I$500,'OrderItems'!$B$2:$B$500,$A57))</x:f>
      </x:c>
      <x:c r="I57" s="25"/>
      <x:c r="J57" s="25"/>
      <x:c r="K57" s="96" t="str">
        <x:f>IF($A57="","",$H57-$I57+$J57)</x:f>
      </x:c>
      <x:c r="L57" s="116" t="str">
        <x:f>IF($A57="","",IF(SUMIFS('Payments'!$C$2:$C$500,'Payments'!$B$2:$B$500,$A57,'Payments'!$G$2:$G$500,"confirmed")&lt;=0,"unpaid",IF(SUMIFS('Payments'!$C$2:$C$500,'Payments'!$B$2:$B$500,$A57,'Payments'!$G$2:$G$500,"confirmed")&gt;=$K57,"paid","partial")))</x:f>
      </x:c>
      <x:c r="M57" s="19"/>
      <x:c r="N57" s="26"/>
      <x:c r="O57" s="26"/>
      <x:c r="P57" s="19"/>
      <x:c r="Q57" s="26"/>
      <x:c r="R57" s="19"/>
      <x:c r="S57" s="26"/>
      <x:c r="T57" s="19"/>
      <x:c r="U57" s="19"/>
    </x:row>
    <x:row r="58">
      <x:c r="A58" s="19"/>
      <x:c r="B58" s="19"/>
      <x:c r="C58" s="19"/>
      <x:c r="D58" s="19"/>
      <x:c r="E58" s="19"/>
      <x:c r="F58" s="19"/>
      <x:c r="G58" s="26"/>
      <x:c r="H58" s="96" t="str">
        <x:f>IF($A58="","",SUMIFS('OrderItems'!$I$2:$I$500,'OrderItems'!$B$2:$B$500,$A58))</x:f>
      </x:c>
      <x:c r="I58" s="25"/>
      <x:c r="J58" s="25"/>
      <x:c r="K58" s="96" t="str">
        <x:f>IF($A58="","",$H58-$I58+$J58)</x:f>
      </x:c>
      <x:c r="L58" s="116" t="str">
        <x:f>IF($A58="","",IF(SUMIFS('Payments'!$C$2:$C$500,'Payments'!$B$2:$B$500,$A58,'Payments'!$G$2:$G$500,"confirmed")&lt;=0,"unpaid",IF(SUMIFS('Payments'!$C$2:$C$500,'Payments'!$B$2:$B$500,$A58,'Payments'!$G$2:$G$500,"confirmed")&gt;=$K58,"paid","partial")))</x:f>
      </x:c>
      <x:c r="M58" s="19"/>
      <x:c r="N58" s="26"/>
      <x:c r="O58" s="26"/>
      <x:c r="P58" s="19"/>
      <x:c r="Q58" s="26"/>
      <x:c r="R58" s="19"/>
      <x:c r="S58" s="26"/>
      <x:c r="T58" s="19"/>
      <x:c r="U58" s="19"/>
    </x:row>
    <x:row r="59">
      <x:c r="A59" s="19"/>
      <x:c r="B59" s="19"/>
      <x:c r="C59" s="19"/>
      <x:c r="D59" s="19"/>
      <x:c r="E59" s="19"/>
      <x:c r="F59" s="19"/>
      <x:c r="G59" s="26"/>
      <x:c r="H59" s="96" t="str">
        <x:f>IF($A59="","",SUMIFS('OrderItems'!$I$2:$I$500,'OrderItems'!$B$2:$B$500,$A59))</x:f>
      </x:c>
      <x:c r="I59" s="25"/>
      <x:c r="J59" s="25"/>
      <x:c r="K59" s="96" t="str">
        <x:f>IF($A59="","",$H59-$I59+$J59)</x:f>
      </x:c>
      <x:c r="L59" s="116" t="str">
        <x:f>IF($A59="","",IF(SUMIFS('Payments'!$C$2:$C$500,'Payments'!$B$2:$B$500,$A59,'Payments'!$G$2:$G$500,"confirmed")&lt;=0,"unpaid",IF(SUMIFS('Payments'!$C$2:$C$500,'Payments'!$B$2:$B$500,$A59,'Payments'!$G$2:$G$500,"confirmed")&gt;=$K59,"paid","partial")))</x:f>
      </x:c>
      <x:c r="M59" s="19"/>
      <x:c r="N59" s="26"/>
      <x:c r="O59" s="26"/>
      <x:c r="P59" s="19"/>
      <x:c r="Q59" s="26"/>
      <x:c r="R59" s="19"/>
      <x:c r="S59" s="26"/>
      <x:c r="T59" s="19"/>
      <x:c r="U59" s="19"/>
    </x:row>
    <x:row r="60">
      <x:c r="A60" s="19"/>
      <x:c r="B60" s="19"/>
      <x:c r="C60" s="19"/>
      <x:c r="D60" s="19"/>
      <x:c r="E60" s="19"/>
      <x:c r="F60" s="19"/>
      <x:c r="G60" s="26"/>
      <x:c r="H60" s="96" t="str">
        <x:f>IF($A60="","",SUMIFS('OrderItems'!$I$2:$I$500,'OrderItems'!$B$2:$B$500,$A60))</x:f>
      </x:c>
      <x:c r="I60" s="25"/>
      <x:c r="J60" s="25"/>
      <x:c r="K60" s="96" t="str">
        <x:f>IF($A60="","",$H60-$I60+$J60)</x:f>
      </x:c>
      <x:c r="L60" s="116" t="str">
        <x:f>IF($A60="","",IF(SUMIFS('Payments'!$C$2:$C$500,'Payments'!$B$2:$B$500,$A60,'Payments'!$G$2:$G$500,"confirmed")&lt;=0,"unpaid",IF(SUMIFS('Payments'!$C$2:$C$500,'Payments'!$B$2:$B$500,$A60,'Payments'!$G$2:$G$500,"confirmed")&gt;=$K60,"paid","partial")))</x:f>
      </x:c>
      <x:c r="M60" s="19"/>
      <x:c r="N60" s="26"/>
      <x:c r="O60" s="26"/>
      <x:c r="P60" s="19"/>
      <x:c r="Q60" s="26"/>
      <x:c r="R60" s="19"/>
      <x:c r="S60" s="26"/>
      <x:c r="T60" s="19"/>
      <x:c r="U60" s="19"/>
    </x:row>
    <x:row r="61">
      <x:c r="A61" s="19"/>
      <x:c r="B61" s="19"/>
      <x:c r="C61" s="19"/>
      <x:c r="D61" s="19"/>
      <x:c r="E61" s="19"/>
      <x:c r="F61" s="19"/>
      <x:c r="G61" s="26"/>
      <x:c r="H61" s="96" t="str">
        <x:f>IF($A61="","",SUMIFS('OrderItems'!$I$2:$I$500,'OrderItems'!$B$2:$B$500,$A61))</x:f>
      </x:c>
      <x:c r="I61" s="25"/>
      <x:c r="J61" s="25"/>
      <x:c r="K61" s="96" t="str">
        <x:f>IF($A61="","",$H61-$I61+$J61)</x:f>
      </x:c>
      <x:c r="L61" s="116" t="str">
        <x:f>IF($A61="","",IF(SUMIFS('Payments'!$C$2:$C$500,'Payments'!$B$2:$B$500,$A61,'Payments'!$G$2:$G$500,"confirmed")&lt;=0,"unpaid",IF(SUMIFS('Payments'!$C$2:$C$500,'Payments'!$B$2:$B$500,$A61,'Payments'!$G$2:$G$500,"confirmed")&gt;=$K61,"paid","partial")))</x:f>
      </x:c>
      <x:c r="M61" s="19"/>
      <x:c r="N61" s="26"/>
      <x:c r="O61" s="26"/>
      <x:c r="P61" s="19"/>
      <x:c r="Q61" s="26"/>
      <x:c r="R61" s="19"/>
      <x:c r="S61" s="26"/>
      <x:c r="T61" s="19"/>
      <x:c r="U61" s="19"/>
    </x:row>
    <x:row r="62">
      <x:c r="A62" s="19"/>
      <x:c r="B62" s="19"/>
      <x:c r="C62" s="19"/>
      <x:c r="D62" s="19"/>
      <x:c r="E62" s="19"/>
      <x:c r="F62" s="19"/>
      <x:c r="G62" s="26"/>
      <x:c r="H62" s="96" t="str">
        <x:f>IF($A62="","",SUMIFS('OrderItems'!$I$2:$I$500,'OrderItems'!$B$2:$B$500,$A62))</x:f>
      </x:c>
      <x:c r="I62" s="25"/>
      <x:c r="J62" s="25"/>
      <x:c r="K62" s="96" t="str">
        <x:f>IF($A62="","",$H62-$I62+$J62)</x:f>
      </x:c>
      <x:c r="L62" s="116" t="str">
        <x:f>IF($A62="","",IF(SUMIFS('Payments'!$C$2:$C$500,'Payments'!$B$2:$B$500,$A62,'Payments'!$G$2:$G$500,"confirmed")&lt;=0,"unpaid",IF(SUMIFS('Payments'!$C$2:$C$500,'Payments'!$B$2:$B$500,$A62,'Payments'!$G$2:$G$500,"confirmed")&gt;=$K62,"paid","partial")))</x:f>
      </x:c>
      <x:c r="M62" s="19"/>
      <x:c r="N62" s="26"/>
      <x:c r="O62" s="26"/>
      <x:c r="P62" s="19"/>
      <x:c r="Q62" s="26"/>
      <x:c r="R62" s="19"/>
      <x:c r="S62" s="26"/>
      <x:c r="T62" s="19"/>
      <x:c r="U62" s="19"/>
    </x:row>
    <x:row r="63">
      <x:c r="A63" s="19"/>
      <x:c r="B63" s="19"/>
      <x:c r="C63" s="19"/>
      <x:c r="D63" s="19"/>
      <x:c r="E63" s="19"/>
      <x:c r="F63" s="19"/>
      <x:c r="G63" s="26"/>
      <x:c r="H63" s="96" t="str">
        <x:f>IF($A63="","",SUMIFS('OrderItems'!$I$2:$I$500,'OrderItems'!$B$2:$B$500,$A63))</x:f>
      </x:c>
      <x:c r="I63" s="25"/>
      <x:c r="J63" s="25"/>
      <x:c r="K63" s="96" t="str">
        <x:f>IF($A63="","",$H63-$I63+$J63)</x:f>
      </x:c>
      <x:c r="L63" s="116" t="str">
        <x:f>IF($A63="","",IF(SUMIFS('Payments'!$C$2:$C$500,'Payments'!$B$2:$B$500,$A63,'Payments'!$G$2:$G$500,"confirmed")&lt;=0,"unpaid",IF(SUMIFS('Payments'!$C$2:$C$500,'Payments'!$B$2:$B$500,$A63,'Payments'!$G$2:$G$500,"confirmed")&gt;=$K63,"paid","partial")))</x:f>
      </x:c>
      <x:c r="M63" s="19"/>
      <x:c r="N63" s="26"/>
      <x:c r="O63" s="26"/>
      <x:c r="P63" s="19"/>
      <x:c r="Q63" s="26"/>
      <x:c r="R63" s="19"/>
      <x:c r="S63" s="26"/>
      <x:c r="T63" s="19"/>
      <x:c r="U63" s="19"/>
    </x:row>
    <x:row r="64">
      <x:c r="A64" s="19"/>
      <x:c r="B64" s="19"/>
      <x:c r="C64" s="19"/>
      <x:c r="D64" s="19"/>
      <x:c r="E64" s="19"/>
      <x:c r="F64" s="19"/>
      <x:c r="G64" s="26"/>
      <x:c r="H64" s="96" t="str">
        <x:f>IF($A64="","",SUMIFS('OrderItems'!$I$2:$I$500,'OrderItems'!$B$2:$B$500,$A64))</x:f>
      </x:c>
      <x:c r="I64" s="25"/>
      <x:c r="J64" s="25"/>
      <x:c r="K64" s="96" t="str">
        <x:f>IF($A64="","",$H64-$I64+$J64)</x:f>
      </x:c>
      <x:c r="L64" s="116" t="str">
        <x:f>IF($A64="","",IF(SUMIFS('Payments'!$C$2:$C$500,'Payments'!$B$2:$B$500,$A64,'Payments'!$G$2:$G$500,"confirmed")&lt;=0,"unpaid",IF(SUMIFS('Payments'!$C$2:$C$500,'Payments'!$B$2:$B$500,$A64,'Payments'!$G$2:$G$500,"confirmed")&gt;=$K64,"paid","partial")))</x:f>
      </x:c>
      <x:c r="M64" s="19"/>
      <x:c r="N64" s="26"/>
      <x:c r="O64" s="26"/>
      <x:c r="P64" s="19"/>
      <x:c r="Q64" s="26"/>
      <x:c r="R64" s="19"/>
      <x:c r="S64" s="26"/>
      <x:c r="T64" s="19"/>
      <x:c r="U64" s="19"/>
    </x:row>
    <x:row r="65">
      <x:c r="A65" s="19"/>
      <x:c r="B65" s="19"/>
      <x:c r="C65" s="19"/>
      <x:c r="D65" s="19"/>
      <x:c r="E65" s="19"/>
      <x:c r="F65" s="19"/>
      <x:c r="G65" s="26"/>
      <x:c r="H65" s="96" t="str">
        <x:f>IF($A65="","",SUMIFS('OrderItems'!$I$2:$I$500,'OrderItems'!$B$2:$B$500,$A65))</x:f>
      </x:c>
      <x:c r="I65" s="25"/>
      <x:c r="J65" s="25"/>
      <x:c r="K65" s="96" t="str">
        <x:f>IF($A65="","",$H65-$I65+$J65)</x:f>
      </x:c>
      <x:c r="L65" s="116" t="str">
        <x:f>IF($A65="","",IF(SUMIFS('Payments'!$C$2:$C$500,'Payments'!$B$2:$B$500,$A65,'Payments'!$G$2:$G$500,"confirmed")&lt;=0,"unpaid",IF(SUMIFS('Payments'!$C$2:$C$500,'Payments'!$B$2:$B$500,$A65,'Payments'!$G$2:$G$500,"confirmed")&gt;=$K65,"paid","partial")))</x:f>
      </x:c>
      <x:c r="M65" s="19"/>
      <x:c r="N65" s="26"/>
      <x:c r="O65" s="26"/>
      <x:c r="P65" s="19"/>
      <x:c r="Q65" s="26"/>
      <x:c r="R65" s="19"/>
      <x:c r="S65" s="26"/>
      <x:c r="T65" s="19"/>
      <x:c r="U65" s="19"/>
    </x:row>
    <x:row r="66">
      <x:c r="A66" s="19"/>
      <x:c r="B66" s="19"/>
      <x:c r="C66" s="19"/>
      <x:c r="D66" s="19"/>
      <x:c r="E66" s="19"/>
      <x:c r="F66" s="19"/>
      <x:c r="G66" s="26"/>
      <x:c r="H66" s="96" t="str">
        <x:f>IF($A66="","",SUMIFS('OrderItems'!$I$2:$I$500,'OrderItems'!$B$2:$B$500,$A66))</x:f>
      </x:c>
      <x:c r="I66" s="25"/>
      <x:c r="J66" s="25"/>
      <x:c r="K66" s="96" t="str">
        <x:f>IF($A66="","",$H66-$I66+$J66)</x:f>
      </x:c>
      <x:c r="L66" s="116" t="str">
        <x:f>IF($A66="","",IF(SUMIFS('Payments'!$C$2:$C$500,'Payments'!$B$2:$B$500,$A66,'Payments'!$G$2:$G$500,"confirmed")&lt;=0,"unpaid",IF(SUMIFS('Payments'!$C$2:$C$500,'Payments'!$B$2:$B$500,$A66,'Payments'!$G$2:$G$500,"confirmed")&gt;=$K66,"paid","partial")))</x:f>
      </x:c>
      <x:c r="M66" s="19"/>
      <x:c r="N66" s="26"/>
      <x:c r="O66" s="26"/>
      <x:c r="P66" s="19"/>
      <x:c r="Q66" s="26"/>
      <x:c r="R66" s="19"/>
      <x:c r="S66" s="26"/>
      <x:c r="T66" s="19"/>
      <x:c r="U66" s="19"/>
    </x:row>
    <x:row r="67">
      <x:c r="A67" s="19"/>
      <x:c r="B67" s="19"/>
      <x:c r="C67" s="19"/>
      <x:c r="D67" s="19"/>
      <x:c r="E67" s="19"/>
      <x:c r="F67" s="19"/>
      <x:c r="G67" s="26"/>
      <x:c r="H67" s="96" t="str">
        <x:f>IF($A67="","",SUMIFS('OrderItems'!$I$2:$I$500,'OrderItems'!$B$2:$B$500,$A67))</x:f>
      </x:c>
      <x:c r="I67" s="25"/>
      <x:c r="J67" s="25"/>
      <x:c r="K67" s="96" t="str">
        <x:f>IF($A67="","",$H67-$I67+$J67)</x:f>
      </x:c>
      <x:c r="L67" s="116" t="str">
        <x:f>IF($A67="","",IF(SUMIFS('Payments'!$C$2:$C$500,'Payments'!$B$2:$B$500,$A67,'Payments'!$G$2:$G$500,"confirmed")&lt;=0,"unpaid",IF(SUMIFS('Payments'!$C$2:$C$500,'Payments'!$B$2:$B$500,$A67,'Payments'!$G$2:$G$500,"confirmed")&gt;=$K67,"paid","partial")))</x:f>
      </x:c>
      <x:c r="M67" s="19"/>
      <x:c r="N67" s="26"/>
      <x:c r="O67" s="26"/>
      <x:c r="P67" s="19"/>
      <x:c r="Q67" s="26"/>
      <x:c r="R67" s="19"/>
      <x:c r="S67" s="26"/>
      <x:c r="T67" s="19"/>
      <x:c r="U67" s="19"/>
    </x:row>
    <x:row r="68">
      <x:c r="A68" s="19"/>
      <x:c r="B68" s="19"/>
      <x:c r="C68" s="19"/>
      <x:c r="D68" s="19"/>
      <x:c r="E68" s="19"/>
      <x:c r="F68" s="19"/>
      <x:c r="G68" s="26"/>
      <x:c r="H68" s="96" t="str">
        <x:f>IF($A68="","",SUMIFS('OrderItems'!$I$2:$I$500,'OrderItems'!$B$2:$B$500,$A68))</x:f>
      </x:c>
      <x:c r="I68" s="25"/>
      <x:c r="J68" s="25"/>
      <x:c r="K68" s="96" t="str">
        <x:f>IF($A68="","",$H68-$I68+$J68)</x:f>
      </x:c>
      <x:c r="L68" s="116" t="str">
        <x:f>IF($A68="","",IF(SUMIFS('Payments'!$C$2:$C$500,'Payments'!$B$2:$B$500,$A68,'Payments'!$G$2:$G$500,"confirmed")&lt;=0,"unpaid",IF(SUMIFS('Payments'!$C$2:$C$500,'Payments'!$B$2:$B$500,$A68,'Payments'!$G$2:$G$500,"confirmed")&gt;=$K68,"paid","partial")))</x:f>
      </x:c>
      <x:c r="M68" s="19"/>
      <x:c r="N68" s="26"/>
      <x:c r="O68" s="26"/>
      <x:c r="P68" s="19"/>
      <x:c r="Q68" s="26"/>
      <x:c r="R68" s="19"/>
      <x:c r="S68" s="26"/>
      <x:c r="T68" s="19"/>
      <x:c r="U68" s="19"/>
    </x:row>
    <x:row r="69">
      <x:c r="A69" s="19"/>
      <x:c r="B69" s="19"/>
      <x:c r="C69" s="19"/>
      <x:c r="D69" s="19"/>
      <x:c r="E69" s="19"/>
      <x:c r="F69" s="19"/>
      <x:c r="G69" s="26"/>
      <x:c r="H69" s="96" t="str">
        <x:f>IF($A69="","",SUMIFS('OrderItems'!$I$2:$I$500,'OrderItems'!$B$2:$B$500,$A69))</x:f>
      </x:c>
      <x:c r="I69" s="25"/>
      <x:c r="J69" s="25"/>
      <x:c r="K69" s="96" t="str">
        <x:f>IF($A69="","",$H69-$I69+$J69)</x:f>
      </x:c>
      <x:c r="L69" s="116" t="str">
        <x:f>IF($A69="","",IF(SUMIFS('Payments'!$C$2:$C$500,'Payments'!$B$2:$B$500,$A69,'Payments'!$G$2:$G$500,"confirmed")&lt;=0,"unpaid",IF(SUMIFS('Payments'!$C$2:$C$500,'Payments'!$B$2:$B$500,$A69,'Payments'!$G$2:$G$500,"confirmed")&gt;=$K69,"paid","partial")))</x:f>
      </x:c>
      <x:c r="M69" s="19"/>
      <x:c r="N69" s="26"/>
      <x:c r="O69" s="26"/>
      <x:c r="P69" s="19"/>
      <x:c r="Q69" s="26"/>
      <x:c r="R69" s="19"/>
      <x:c r="S69" s="26"/>
      <x:c r="T69" s="19"/>
      <x:c r="U69" s="19"/>
    </x:row>
    <x:row r="70">
      <x:c r="A70" s="19"/>
      <x:c r="B70" s="19"/>
      <x:c r="C70" s="19"/>
      <x:c r="D70" s="19"/>
      <x:c r="E70" s="19"/>
      <x:c r="F70" s="19"/>
      <x:c r="G70" s="26"/>
      <x:c r="H70" s="96" t="str">
        <x:f>IF($A70="","",SUMIFS('OrderItems'!$I$2:$I$500,'OrderItems'!$B$2:$B$500,$A70))</x:f>
      </x:c>
      <x:c r="I70" s="25"/>
      <x:c r="J70" s="25"/>
      <x:c r="K70" s="96" t="str">
        <x:f>IF($A70="","",$H70-$I70+$J70)</x:f>
      </x:c>
      <x:c r="L70" s="116" t="str">
        <x:f>IF($A70="","",IF(SUMIFS('Payments'!$C$2:$C$500,'Payments'!$B$2:$B$500,$A70,'Payments'!$G$2:$G$500,"confirmed")&lt;=0,"unpaid",IF(SUMIFS('Payments'!$C$2:$C$500,'Payments'!$B$2:$B$500,$A70,'Payments'!$G$2:$G$500,"confirmed")&gt;=$K70,"paid","partial")))</x:f>
      </x:c>
      <x:c r="M70" s="19"/>
      <x:c r="N70" s="26"/>
      <x:c r="O70" s="26"/>
      <x:c r="P70" s="19"/>
      <x:c r="Q70" s="26"/>
      <x:c r="R70" s="19"/>
      <x:c r="S70" s="26"/>
      <x:c r="T70" s="19"/>
      <x:c r="U70" s="19"/>
    </x:row>
    <x:row r="71">
      <x:c r="A71" s="19"/>
      <x:c r="B71" s="19"/>
      <x:c r="C71" s="19"/>
      <x:c r="D71" s="19"/>
      <x:c r="E71" s="19"/>
      <x:c r="F71" s="19"/>
      <x:c r="G71" s="26"/>
      <x:c r="H71" s="96" t="str">
        <x:f>IF($A71="","",SUMIFS('OrderItems'!$I$2:$I$500,'OrderItems'!$B$2:$B$500,$A71))</x:f>
      </x:c>
      <x:c r="I71" s="25"/>
      <x:c r="J71" s="25"/>
      <x:c r="K71" s="96" t="str">
        <x:f>IF($A71="","",$H71-$I71+$J71)</x:f>
      </x:c>
      <x:c r="L71" s="116" t="str">
        <x:f>IF($A71="","",IF(SUMIFS('Payments'!$C$2:$C$500,'Payments'!$B$2:$B$500,$A71,'Payments'!$G$2:$G$500,"confirmed")&lt;=0,"unpaid",IF(SUMIFS('Payments'!$C$2:$C$500,'Payments'!$B$2:$B$500,$A71,'Payments'!$G$2:$G$500,"confirmed")&gt;=$K71,"paid","partial")))</x:f>
      </x:c>
      <x:c r="M71" s="19"/>
      <x:c r="N71" s="26"/>
      <x:c r="O71" s="26"/>
      <x:c r="P71" s="19"/>
      <x:c r="Q71" s="26"/>
      <x:c r="R71" s="19"/>
      <x:c r="S71" s="26"/>
      <x:c r="T71" s="19"/>
      <x:c r="U71" s="19"/>
    </x:row>
    <x:row r="72">
      <x:c r="A72" s="19"/>
      <x:c r="B72" s="19"/>
      <x:c r="C72" s="19"/>
      <x:c r="D72" s="19"/>
      <x:c r="E72" s="19"/>
      <x:c r="F72" s="19"/>
      <x:c r="G72" s="26"/>
      <x:c r="H72" s="96" t="str">
        <x:f>IF($A72="","",SUMIFS('OrderItems'!$I$2:$I$500,'OrderItems'!$B$2:$B$500,$A72))</x:f>
      </x:c>
      <x:c r="I72" s="25"/>
      <x:c r="J72" s="25"/>
      <x:c r="K72" s="96" t="str">
        <x:f>IF($A72="","",$H72-$I72+$J72)</x:f>
      </x:c>
      <x:c r="L72" s="116" t="str">
        <x:f>IF($A72="","",IF(SUMIFS('Payments'!$C$2:$C$500,'Payments'!$B$2:$B$500,$A72,'Payments'!$G$2:$G$500,"confirmed")&lt;=0,"unpaid",IF(SUMIFS('Payments'!$C$2:$C$500,'Payments'!$B$2:$B$500,$A72,'Payments'!$G$2:$G$500,"confirmed")&gt;=$K72,"paid","partial")))</x:f>
      </x:c>
      <x:c r="M72" s="19"/>
      <x:c r="N72" s="26"/>
      <x:c r="O72" s="26"/>
      <x:c r="P72" s="19"/>
      <x:c r="Q72" s="26"/>
      <x:c r="R72" s="19"/>
      <x:c r="S72" s="26"/>
      <x:c r="T72" s="19"/>
      <x:c r="U72" s="19"/>
    </x:row>
    <x:row r="73">
      <x:c r="A73" s="19"/>
      <x:c r="B73" s="19"/>
      <x:c r="C73" s="19"/>
      <x:c r="D73" s="19"/>
      <x:c r="E73" s="19"/>
      <x:c r="F73" s="19"/>
      <x:c r="G73" s="26"/>
      <x:c r="H73" s="96" t="str">
        <x:f>IF($A73="","",SUMIFS('OrderItems'!$I$2:$I$500,'OrderItems'!$B$2:$B$500,$A73))</x:f>
      </x:c>
      <x:c r="I73" s="25"/>
      <x:c r="J73" s="25"/>
      <x:c r="K73" s="96" t="str">
        <x:f>IF($A73="","",$H73-$I73+$J73)</x:f>
      </x:c>
      <x:c r="L73" s="116" t="str">
        <x:f>IF($A73="","",IF(SUMIFS('Payments'!$C$2:$C$500,'Payments'!$B$2:$B$500,$A73,'Payments'!$G$2:$G$500,"confirmed")&lt;=0,"unpaid",IF(SUMIFS('Payments'!$C$2:$C$500,'Payments'!$B$2:$B$500,$A73,'Payments'!$G$2:$G$500,"confirmed")&gt;=$K73,"paid","partial")))</x:f>
      </x:c>
      <x:c r="M73" s="19"/>
      <x:c r="N73" s="26"/>
      <x:c r="O73" s="26"/>
      <x:c r="P73" s="19"/>
      <x:c r="Q73" s="26"/>
      <x:c r="R73" s="19"/>
      <x:c r="S73" s="26"/>
      <x:c r="T73" s="19"/>
      <x:c r="U73" s="19"/>
    </x:row>
    <x:row r="74">
      <x:c r="A74" s="19"/>
      <x:c r="B74" s="19"/>
      <x:c r="C74" s="19"/>
      <x:c r="D74" s="19"/>
      <x:c r="E74" s="19"/>
      <x:c r="F74" s="19"/>
      <x:c r="G74" s="26"/>
      <x:c r="H74" s="96" t="str">
        <x:f>IF($A74="","",SUMIFS('OrderItems'!$I$2:$I$500,'OrderItems'!$B$2:$B$500,$A74))</x:f>
      </x:c>
      <x:c r="I74" s="25"/>
      <x:c r="J74" s="25"/>
      <x:c r="K74" s="96" t="str">
        <x:f>IF($A74="","",$H74-$I74+$J74)</x:f>
      </x:c>
      <x:c r="L74" s="116" t="str">
        <x:f>IF($A74="","",IF(SUMIFS('Payments'!$C$2:$C$500,'Payments'!$B$2:$B$500,$A74,'Payments'!$G$2:$G$500,"confirmed")&lt;=0,"unpaid",IF(SUMIFS('Payments'!$C$2:$C$500,'Payments'!$B$2:$B$500,$A74,'Payments'!$G$2:$G$500,"confirmed")&gt;=$K74,"paid","partial")))</x:f>
      </x:c>
      <x:c r="M74" s="19"/>
      <x:c r="N74" s="26"/>
      <x:c r="O74" s="26"/>
      <x:c r="P74" s="19"/>
      <x:c r="Q74" s="26"/>
      <x:c r="R74" s="19"/>
      <x:c r="S74" s="26"/>
      <x:c r="T74" s="19"/>
      <x:c r="U74" s="19"/>
    </x:row>
    <x:row r="75">
      <x:c r="A75" s="19"/>
      <x:c r="B75" s="19"/>
      <x:c r="C75" s="19"/>
      <x:c r="D75" s="19"/>
      <x:c r="E75" s="19"/>
      <x:c r="F75" s="19"/>
      <x:c r="G75" s="26"/>
      <x:c r="H75" s="96" t="str">
        <x:f>IF($A75="","",SUMIFS('OrderItems'!$I$2:$I$500,'OrderItems'!$B$2:$B$500,$A75))</x:f>
      </x:c>
      <x:c r="I75" s="25"/>
      <x:c r="J75" s="25"/>
      <x:c r="K75" s="96" t="str">
        <x:f>IF($A75="","",$H75-$I75+$J75)</x:f>
      </x:c>
      <x:c r="L75" s="116" t="str">
        <x:f>IF($A75="","",IF(SUMIFS('Payments'!$C$2:$C$500,'Payments'!$B$2:$B$500,$A75,'Payments'!$G$2:$G$500,"confirmed")&lt;=0,"unpaid",IF(SUMIFS('Payments'!$C$2:$C$500,'Payments'!$B$2:$B$500,$A75,'Payments'!$G$2:$G$500,"confirmed")&gt;=$K75,"paid","partial")))</x:f>
      </x:c>
      <x:c r="M75" s="19"/>
      <x:c r="N75" s="26"/>
      <x:c r="O75" s="26"/>
      <x:c r="P75" s="19"/>
      <x:c r="Q75" s="26"/>
      <x:c r="R75" s="19"/>
      <x:c r="S75" s="26"/>
      <x:c r="T75" s="19"/>
      <x:c r="U75" s="19"/>
    </x:row>
    <x:row r="76">
      <x:c r="A76" s="19"/>
      <x:c r="B76" s="19"/>
      <x:c r="C76" s="19"/>
      <x:c r="D76" s="19"/>
      <x:c r="E76" s="19"/>
      <x:c r="F76" s="19"/>
      <x:c r="G76" s="26"/>
      <x:c r="H76" s="96" t="str">
        <x:f>IF($A76="","",SUMIFS('OrderItems'!$I$2:$I$500,'OrderItems'!$B$2:$B$500,$A76))</x:f>
      </x:c>
      <x:c r="I76" s="25"/>
      <x:c r="J76" s="25"/>
      <x:c r="K76" s="96" t="str">
        <x:f>IF($A76="","",$H76-$I76+$J76)</x:f>
      </x:c>
      <x:c r="L76" s="116" t="str">
        <x:f>IF($A76="","",IF(SUMIFS('Payments'!$C$2:$C$500,'Payments'!$B$2:$B$500,$A76,'Payments'!$G$2:$G$500,"confirmed")&lt;=0,"unpaid",IF(SUMIFS('Payments'!$C$2:$C$500,'Payments'!$B$2:$B$500,$A76,'Payments'!$G$2:$G$500,"confirmed")&gt;=$K76,"paid","partial")))</x:f>
      </x:c>
      <x:c r="M76" s="19"/>
      <x:c r="N76" s="26"/>
      <x:c r="O76" s="26"/>
      <x:c r="P76" s="19"/>
      <x:c r="Q76" s="26"/>
      <x:c r="R76" s="19"/>
      <x:c r="S76" s="26"/>
      <x:c r="T76" s="19"/>
      <x:c r="U76" s="19"/>
    </x:row>
    <x:row r="77">
      <x:c r="A77" s="19"/>
      <x:c r="B77" s="19"/>
      <x:c r="C77" s="19"/>
      <x:c r="D77" s="19"/>
      <x:c r="E77" s="19"/>
      <x:c r="F77" s="19"/>
      <x:c r="G77" s="26"/>
      <x:c r="H77" s="96" t="str">
        <x:f>IF($A77="","",SUMIFS('OrderItems'!$I$2:$I$500,'OrderItems'!$B$2:$B$500,$A77))</x:f>
      </x:c>
      <x:c r="I77" s="25"/>
      <x:c r="J77" s="25"/>
      <x:c r="K77" s="96" t="str">
        <x:f>IF($A77="","",$H77-$I77+$J77)</x:f>
      </x:c>
      <x:c r="L77" s="116" t="str">
        <x:f>IF($A77="","",IF(SUMIFS('Payments'!$C$2:$C$500,'Payments'!$B$2:$B$500,$A77,'Payments'!$G$2:$G$500,"confirmed")&lt;=0,"unpaid",IF(SUMIFS('Payments'!$C$2:$C$500,'Payments'!$B$2:$B$500,$A77,'Payments'!$G$2:$G$500,"confirmed")&gt;=$K77,"paid","partial")))</x:f>
      </x:c>
      <x:c r="M77" s="19"/>
      <x:c r="N77" s="26"/>
      <x:c r="O77" s="26"/>
      <x:c r="P77" s="19"/>
      <x:c r="Q77" s="26"/>
      <x:c r="R77" s="19"/>
      <x:c r="S77" s="26"/>
      <x:c r="T77" s="19"/>
      <x:c r="U77" s="19"/>
    </x:row>
    <x:row r="78">
      <x:c r="A78" s="19"/>
      <x:c r="B78" s="19"/>
      <x:c r="C78" s="19"/>
      <x:c r="D78" s="19"/>
      <x:c r="E78" s="19"/>
      <x:c r="F78" s="19"/>
      <x:c r="G78" s="26"/>
      <x:c r="H78" s="96" t="str">
        <x:f>IF($A78="","",SUMIFS('OrderItems'!$I$2:$I$500,'OrderItems'!$B$2:$B$500,$A78))</x:f>
      </x:c>
      <x:c r="I78" s="25"/>
      <x:c r="J78" s="25"/>
      <x:c r="K78" s="96" t="str">
        <x:f>IF($A78="","",$H78-$I78+$J78)</x:f>
      </x:c>
      <x:c r="L78" s="116" t="str">
        <x:f>IF($A78="","",IF(SUMIFS('Payments'!$C$2:$C$500,'Payments'!$B$2:$B$500,$A78,'Payments'!$G$2:$G$500,"confirmed")&lt;=0,"unpaid",IF(SUMIFS('Payments'!$C$2:$C$500,'Payments'!$B$2:$B$500,$A78,'Payments'!$G$2:$G$500,"confirmed")&gt;=$K78,"paid","partial")))</x:f>
      </x:c>
      <x:c r="M78" s="19"/>
      <x:c r="N78" s="26"/>
      <x:c r="O78" s="26"/>
      <x:c r="P78" s="19"/>
      <x:c r="Q78" s="26"/>
      <x:c r="R78" s="19"/>
      <x:c r="S78" s="26"/>
      <x:c r="T78" s="19"/>
      <x:c r="U78" s="19"/>
    </x:row>
    <x:row r="79">
      <x:c r="A79" s="19"/>
      <x:c r="B79" s="19"/>
      <x:c r="C79" s="19"/>
      <x:c r="D79" s="19"/>
      <x:c r="E79" s="19"/>
      <x:c r="F79" s="19"/>
      <x:c r="G79" s="26"/>
      <x:c r="H79" s="96" t="str">
        <x:f>IF($A79="","",SUMIFS('OrderItems'!$I$2:$I$500,'OrderItems'!$B$2:$B$500,$A79))</x:f>
      </x:c>
      <x:c r="I79" s="25"/>
      <x:c r="J79" s="25"/>
      <x:c r="K79" s="96" t="str">
        <x:f>IF($A79="","",$H79-$I79+$J79)</x:f>
      </x:c>
      <x:c r="L79" s="116" t="str">
        <x:f>IF($A79="","",IF(SUMIFS('Payments'!$C$2:$C$500,'Payments'!$B$2:$B$500,$A79,'Payments'!$G$2:$G$500,"confirmed")&lt;=0,"unpaid",IF(SUMIFS('Payments'!$C$2:$C$500,'Payments'!$B$2:$B$500,$A79,'Payments'!$G$2:$G$500,"confirmed")&gt;=$K79,"paid","partial")))</x:f>
      </x:c>
      <x:c r="M79" s="19"/>
      <x:c r="N79" s="26"/>
      <x:c r="O79" s="26"/>
      <x:c r="P79" s="19"/>
      <x:c r="Q79" s="26"/>
      <x:c r="R79" s="19"/>
      <x:c r="S79" s="26"/>
      <x:c r="T79" s="19"/>
      <x:c r="U79" s="19"/>
    </x:row>
    <x:row r="80">
      <x:c r="A80" s="19"/>
      <x:c r="B80" s="19"/>
      <x:c r="C80" s="19"/>
      <x:c r="D80" s="19"/>
      <x:c r="E80" s="19"/>
      <x:c r="F80" s="19"/>
      <x:c r="G80" s="26"/>
      <x:c r="H80" s="96" t="str">
        <x:f>IF($A80="","",SUMIFS('OrderItems'!$I$2:$I$500,'OrderItems'!$B$2:$B$500,$A80))</x:f>
      </x:c>
      <x:c r="I80" s="25"/>
      <x:c r="J80" s="25"/>
      <x:c r="K80" s="96" t="str">
        <x:f>IF($A80="","",$H80-$I80+$J80)</x:f>
      </x:c>
      <x:c r="L80" s="116" t="str">
        <x:f>IF($A80="","",IF(SUMIFS('Payments'!$C$2:$C$500,'Payments'!$B$2:$B$500,$A80,'Payments'!$G$2:$G$500,"confirmed")&lt;=0,"unpaid",IF(SUMIFS('Payments'!$C$2:$C$500,'Payments'!$B$2:$B$500,$A80,'Payments'!$G$2:$G$500,"confirmed")&gt;=$K80,"paid","partial")))</x:f>
      </x:c>
      <x:c r="M80" s="19"/>
      <x:c r="N80" s="26"/>
      <x:c r="O80" s="26"/>
      <x:c r="P80" s="19"/>
      <x:c r="Q80" s="26"/>
      <x:c r="R80" s="19"/>
      <x:c r="S80" s="26"/>
      <x:c r="T80" s="19"/>
      <x:c r="U80" s="19"/>
    </x:row>
    <x:row r="81">
      <x:c r="A81" s="19"/>
      <x:c r="B81" s="19"/>
      <x:c r="C81" s="19"/>
      <x:c r="D81" s="19"/>
      <x:c r="E81" s="19"/>
      <x:c r="F81" s="19"/>
      <x:c r="G81" s="26"/>
      <x:c r="H81" s="96" t="str">
        <x:f>IF($A81="","",SUMIFS('OrderItems'!$I$2:$I$500,'OrderItems'!$B$2:$B$500,$A81))</x:f>
      </x:c>
      <x:c r="I81" s="25"/>
      <x:c r="J81" s="25"/>
      <x:c r="K81" s="96" t="str">
        <x:f>IF($A81="","",$H81-$I81+$J81)</x:f>
      </x:c>
      <x:c r="L81" s="116" t="str">
        <x:f>IF($A81="","",IF(SUMIFS('Payments'!$C$2:$C$500,'Payments'!$B$2:$B$500,$A81,'Payments'!$G$2:$G$500,"confirmed")&lt;=0,"unpaid",IF(SUMIFS('Payments'!$C$2:$C$500,'Payments'!$B$2:$B$500,$A81,'Payments'!$G$2:$G$500,"confirmed")&gt;=$K81,"paid","partial")))</x:f>
      </x:c>
      <x:c r="M81" s="19"/>
      <x:c r="N81" s="26"/>
      <x:c r="O81" s="26"/>
      <x:c r="P81" s="19"/>
      <x:c r="Q81" s="26"/>
      <x:c r="R81" s="19"/>
      <x:c r="S81" s="26"/>
      <x:c r="T81" s="19"/>
      <x:c r="U81" s="19"/>
    </x:row>
    <x:row r="82">
      <x:c r="A82" s="19"/>
      <x:c r="B82" s="19"/>
      <x:c r="C82" s="19"/>
      <x:c r="D82" s="19"/>
      <x:c r="E82" s="19"/>
      <x:c r="F82" s="19"/>
      <x:c r="G82" s="26"/>
      <x:c r="H82" s="96" t="str">
        <x:f>IF($A82="","",SUMIFS('OrderItems'!$I$2:$I$500,'OrderItems'!$B$2:$B$500,$A82))</x:f>
      </x:c>
      <x:c r="I82" s="25"/>
      <x:c r="J82" s="25"/>
      <x:c r="K82" s="96" t="str">
        <x:f>IF($A82="","",$H82-$I82+$J82)</x:f>
      </x:c>
      <x:c r="L82" s="116" t="str">
        <x:f>IF($A82="","",IF(SUMIFS('Payments'!$C$2:$C$500,'Payments'!$B$2:$B$500,$A82,'Payments'!$G$2:$G$500,"confirmed")&lt;=0,"unpaid",IF(SUMIFS('Payments'!$C$2:$C$500,'Payments'!$B$2:$B$500,$A82,'Payments'!$G$2:$G$500,"confirmed")&gt;=$K82,"paid","partial")))</x:f>
      </x:c>
      <x:c r="M82" s="19"/>
      <x:c r="N82" s="26"/>
      <x:c r="O82" s="26"/>
      <x:c r="P82" s="19"/>
      <x:c r="Q82" s="26"/>
      <x:c r="R82" s="19"/>
      <x:c r="S82" s="26"/>
      <x:c r="T82" s="19"/>
      <x:c r="U82" s="19"/>
    </x:row>
    <x:row r="83">
      <x:c r="A83" s="19"/>
      <x:c r="B83" s="19"/>
      <x:c r="C83" s="19"/>
      <x:c r="D83" s="19"/>
      <x:c r="E83" s="19"/>
      <x:c r="F83" s="19"/>
      <x:c r="G83" s="26"/>
      <x:c r="H83" s="96" t="str">
        <x:f>IF($A83="","",SUMIFS('OrderItems'!$I$2:$I$500,'OrderItems'!$B$2:$B$500,$A83))</x:f>
      </x:c>
      <x:c r="I83" s="25"/>
      <x:c r="J83" s="25"/>
      <x:c r="K83" s="96" t="str">
        <x:f>IF($A83="","",$H83-$I83+$J83)</x:f>
      </x:c>
      <x:c r="L83" s="116" t="str">
        <x:f>IF($A83="","",IF(SUMIFS('Payments'!$C$2:$C$500,'Payments'!$B$2:$B$500,$A83,'Payments'!$G$2:$G$500,"confirmed")&lt;=0,"unpaid",IF(SUMIFS('Payments'!$C$2:$C$500,'Payments'!$B$2:$B$500,$A83,'Payments'!$G$2:$G$500,"confirmed")&gt;=$K83,"paid","partial")))</x:f>
      </x:c>
      <x:c r="M83" s="19"/>
      <x:c r="N83" s="26"/>
      <x:c r="O83" s="26"/>
      <x:c r="P83" s="19"/>
      <x:c r="Q83" s="26"/>
      <x:c r="R83" s="19"/>
      <x:c r="S83" s="26"/>
      <x:c r="T83" s="19"/>
      <x:c r="U83" s="19"/>
    </x:row>
    <x:row r="84">
      <x:c r="A84" s="19"/>
      <x:c r="B84" s="19"/>
      <x:c r="C84" s="19"/>
      <x:c r="D84" s="19"/>
      <x:c r="E84" s="19"/>
      <x:c r="F84" s="19"/>
      <x:c r="G84" s="26"/>
      <x:c r="H84" s="96" t="str">
        <x:f>IF($A84="","",SUMIFS('OrderItems'!$I$2:$I$500,'OrderItems'!$B$2:$B$500,$A84))</x:f>
      </x:c>
      <x:c r="I84" s="25"/>
      <x:c r="J84" s="25"/>
      <x:c r="K84" s="96" t="str">
        <x:f>IF($A84="","",$H84-$I84+$J84)</x:f>
      </x:c>
      <x:c r="L84" s="116" t="str">
        <x:f>IF($A84="","",IF(SUMIFS('Payments'!$C$2:$C$500,'Payments'!$B$2:$B$500,$A84,'Payments'!$G$2:$G$500,"confirmed")&lt;=0,"unpaid",IF(SUMIFS('Payments'!$C$2:$C$500,'Payments'!$B$2:$B$500,$A84,'Payments'!$G$2:$G$500,"confirmed")&gt;=$K84,"paid","partial")))</x:f>
      </x:c>
      <x:c r="M84" s="19"/>
      <x:c r="N84" s="26"/>
      <x:c r="O84" s="26"/>
      <x:c r="P84" s="19"/>
      <x:c r="Q84" s="26"/>
      <x:c r="R84" s="19"/>
      <x:c r="S84" s="26"/>
      <x:c r="T84" s="19"/>
      <x:c r="U84" s="19"/>
    </x:row>
    <x:row r="85">
      <x:c r="A85" s="19"/>
      <x:c r="B85" s="19"/>
      <x:c r="C85" s="19"/>
      <x:c r="D85" s="19"/>
      <x:c r="E85" s="19"/>
      <x:c r="F85" s="19"/>
      <x:c r="G85" s="26"/>
      <x:c r="H85" s="96" t="str">
        <x:f>IF($A85="","",SUMIFS('OrderItems'!$I$2:$I$500,'OrderItems'!$B$2:$B$500,$A85))</x:f>
      </x:c>
      <x:c r="I85" s="25"/>
      <x:c r="J85" s="25"/>
      <x:c r="K85" s="96" t="str">
        <x:f>IF($A85="","",$H85-$I85+$J85)</x:f>
      </x:c>
      <x:c r="L85" s="116" t="str">
        <x:f>IF($A85="","",IF(SUMIFS('Payments'!$C$2:$C$500,'Payments'!$B$2:$B$500,$A85,'Payments'!$G$2:$G$500,"confirmed")&lt;=0,"unpaid",IF(SUMIFS('Payments'!$C$2:$C$500,'Payments'!$B$2:$B$500,$A85,'Payments'!$G$2:$G$500,"confirmed")&gt;=$K85,"paid","partial")))</x:f>
      </x:c>
      <x:c r="M85" s="19"/>
      <x:c r="N85" s="26"/>
      <x:c r="O85" s="26"/>
      <x:c r="P85" s="19"/>
      <x:c r="Q85" s="26"/>
      <x:c r="R85" s="19"/>
      <x:c r="S85" s="26"/>
      <x:c r="T85" s="19"/>
      <x:c r="U85" s="19"/>
    </x:row>
    <x:row r="86">
      <x:c r="A86" s="19"/>
      <x:c r="B86" s="19"/>
      <x:c r="C86" s="19"/>
      <x:c r="D86" s="19"/>
      <x:c r="E86" s="19"/>
      <x:c r="F86" s="19"/>
      <x:c r="G86" s="26"/>
      <x:c r="H86" s="96" t="str">
        <x:f>IF($A86="","",SUMIFS('OrderItems'!$I$2:$I$500,'OrderItems'!$B$2:$B$500,$A86))</x:f>
      </x:c>
      <x:c r="I86" s="25"/>
      <x:c r="J86" s="25"/>
      <x:c r="K86" s="96" t="str">
        <x:f>IF($A86="","",$H86-$I86+$J86)</x:f>
      </x:c>
      <x:c r="L86" s="116" t="str">
        <x:f>IF($A86="","",IF(SUMIFS('Payments'!$C$2:$C$500,'Payments'!$B$2:$B$500,$A86,'Payments'!$G$2:$G$500,"confirmed")&lt;=0,"unpaid",IF(SUMIFS('Payments'!$C$2:$C$500,'Payments'!$B$2:$B$500,$A86,'Payments'!$G$2:$G$500,"confirmed")&gt;=$K86,"paid","partial")))</x:f>
      </x:c>
      <x:c r="M86" s="19"/>
      <x:c r="N86" s="26"/>
      <x:c r="O86" s="26"/>
      <x:c r="P86" s="19"/>
      <x:c r="Q86" s="26"/>
      <x:c r="R86" s="19"/>
      <x:c r="S86" s="26"/>
      <x:c r="T86" s="19"/>
      <x:c r="U86" s="19"/>
    </x:row>
    <x:row r="87">
      <x:c r="A87" s="19"/>
      <x:c r="B87" s="19"/>
      <x:c r="C87" s="19"/>
      <x:c r="D87" s="19"/>
      <x:c r="E87" s="19"/>
      <x:c r="F87" s="19"/>
      <x:c r="G87" s="26"/>
      <x:c r="H87" s="96" t="str">
        <x:f>IF($A87="","",SUMIFS('OrderItems'!$I$2:$I$500,'OrderItems'!$B$2:$B$500,$A87))</x:f>
      </x:c>
      <x:c r="I87" s="25"/>
      <x:c r="J87" s="25"/>
      <x:c r="K87" s="96" t="str">
        <x:f>IF($A87="","",$H87-$I87+$J87)</x:f>
      </x:c>
      <x:c r="L87" s="116" t="str">
        <x:f>IF($A87="","",IF(SUMIFS('Payments'!$C$2:$C$500,'Payments'!$B$2:$B$500,$A87,'Payments'!$G$2:$G$500,"confirmed")&lt;=0,"unpaid",IF(SUMIFS('Payments'!$C$2:$C$500,'Payments'!$B$2:$B$500,$A87,'Payments'!$G$2:$G$500,"confirmed")&gt;=$K87,"paid","partial")))</x:f>
      </x:c>
      <x:c r="M87" s="19"/>
      <x:c r="N87" s="26"/>
      <x:c r="O87" s="26"/>
      <x:c r="P87" s="19"/>
      <x:c r="Q87" s="26"/>
      <x:c r="R87" s="19"/>
      <x:c r="S87" s="26"/>
      <x:c r="T87" s="19"/>
      <x:c r="U87" s="19"/>
    </x:row>
    <x:row r="88">
      <x:c r="A88" s="19"/>
      <x:c r="B88" s="19"/>
      <x:c r="C88" s="19"/>
      <x:c r="D88" s="19"/>
      <x:c r="E88" s="19"/>
      <x:c r="F88" s="19"/>
      <x:c r="G88" s="26"/>
      <x:c r="H88" s="96" t="str">
        <x:f>IF($A88="","",SUMIFS('OrderItems'!$I$2:$I$500,'OrderItems'!$B$2:$B$500,$A88))</x:f>
      </x:c>
      <x:c r="I88" s="25"/>
      <x:c r="J88" s="25"/>
      <x:c r="K88" s="96" t="str">
        <x:f>IF($A88="","",$H88-$I88+$J88)</x:f>
      </x:c>
      <x:c r="L88" s="116" t="str">
        <x:f>IF($A88="","",IF(SUMIFS('Payments'!$C$2:$C$500,'Payments'!$B$2:$B$500,$A88,'Payments'!$G$2:$G$500,"confirmed")&lt;=0,"unpaid",IF(SUMIFS('Payments'!$C$2:$C$500,'Payments'!$B$2:$B$500,$A88,'Payments'!$G$2:$G$500,"confirmed")&gt;=$K88,"paid","partial")))</x:f>
      </x:c>
      <x:c r="M88" s="19"/>
      <x:c r="N88" s="26"/>
      <x:c r="O88" s="26"/>
      <x:c r="P88" s="19"/>
      <x:c r="Q88" s="26"/>
      <x:c r="R88" s="19"/>
      <x:c r="S88" s="26"/>
      <x:c r="T88" s="19"/>
      <x:c r="U88" s="19"/>
    </x:row>
    <x:row r="89">
      <x:c r="A89" s="19"/>
      <x:c r="B89" s="19"/>
      <x:c r="C89" s="19"/>
      <x:c r="D89" s="19"/>
      <x:c r="E89" s="19"/>
      <x:c r="F89" s="19"/>
      <x:c r="G89" s="26"/>
      <x:c r="H89" s="96" t="str">
        <x:f>IF($A89="","",SUMIFS('OrderItems'!$I$2:$I$500,'OrderItems'!$B$2:$B$500,$A89))</x:f>
      </x:c>
      <x:c r="I89" s="25"/>
      <x:c r="J89" s="25"/>
      <x:c r="K89" s="96" t="str">
        <x:f>IF($A89="","",$H89-$I89+$J89)</x:f>
      </x:c>
      <x:c r="L89" s="116" t="str">
        <x:f>IF($A89="","",IF(SUMIFS('Payments'!$C$2:$C$500,'Payments'!$B$2:$B$500,$A89,'Payments'!$G$2:$G$500,"confirmed")&lt;=0,"unpaid",IF(SUMIFS('Payments'!$C$2:$C$500,'Payments'!$B$2:$B$500,$A89,'Payments'!$G$2:$G$500,"confirmed")&gt;=$K89,"paid","partial")))</x:f>
      </x:c>
      <x:c r="M89" s="19"/>
      <x:c r="N89" s="26"/>
      <x:c r="O89" s="26"/>
      <x:c r="P89" s="19"/>
      <x:c r="Q89" s="26"/>
      <x:c r="R89" s="19"/>
      <x:c r="S89" s="26"/>
      <x:c r="T89" s="19"/>
      <x:c r="U89" s="19"/>
    </x:row>
    <x:row r="90">
      <x:c r="A90" s="19"/>
      <x:c r="B90" s="19"/>
      <x:c r="C90" s="19"/>
      <x:c r="D90" s="19"/>
      <x:c r="E90" s="19"/>
      <x:c r="F90" s="19"/>
      <x:c r="G90" s="26"/>
      <x:c r="H90" s="96" t="str">
        <x:f>IF($A90="","",SUMIFS('OrderItems'!$I$2:$I$500,'OrderItems'!$B$2:$B$500,$A90))</x:f>
      </x:c>
      <x:c r="I90" s="25"/>
      <x:c r="J90" s="25"/>
      <x:c r="K90" s="96" t="str">
        <x:f>IF($A90="","",$H90-$I90+$J90)</x:f>
      </x:c>
      <x:c r="L90" s="116" t="str">
        <x:f>IF($A90="","",IF(SUMIFS('Payments'!$C$2:$C$500,'Payments'!$B$2:$B$500,$A90,'Payments'!$G$2:$G$500,"confirmed")&lt;=0,"unpaid",IF(SUMIFS('Payments'!$C$2:$C$500,'Payments'!$B$2:$B$500,$A90,'Payments'!$G$2:$G$500,"confirmed")&gt;=$K90,"paid","partial")))</x:f>
      </x:c>
      <x:c r="M90" s="19"/>
      <x:c r="N90" s="26"/>
      <x:c r="O90" s="26"/>
      <x:c r="P90" s="19"/>
      <x:c r="Q90" s="26"/>
      <x:c r="R90" s="19"/>
      <x:c r="S90" s="26"/>
      <x:c r="T90" s="19"/>
      <x:c r="U90" s="19"/>
    </x:row>
    <x:row r="91">
      <x:c r="A91" s="19"/>
      <x:c r="B91" s="19"/>
      <x:c r="C91" s="19"/>
      <x:c r="D91" s="19"/>
      <x:c r="E91" s="19"/>
      <x:c r="F91" s="19"/>
      <x:c r="G91" s="26"/>
      <x:c r="H91" s="96" t="str">
        <x:f>IF($A91="","",SUMIFS('OrderItems'!$I$2:$I$500,'OrderItems'!$B$2:$B$500,$A91))</x:f>
      </x:c>
      <x:c r="I91" s="25"/>
      <x:c r="J91" s="25"/>
      <x:c r="K91" s="96" t="str">
        <x:f>IF($A91="","",$H91-$I91+$J91)</x:f>
      </x:c>
      <x:c r="L91" s="116" t="str">
        <x:f>IF($A91="","",IF(SUMIFS('Payments'!$C$2:$C$500,'Payments'!$B$2:$B$500,$A91,'Payments'!$G$2:$G$500,"confirmed")&lt;=0,"unpaid",IF(SUMIFS('Payments'!$C$2:$C$500,'Payments'!$B$2:$B$500,$A91,'Payments'!$G$2:$G$500,"confirmed")&gt;=$K91,"paid","partial")))</x:f>
      </x:c>
      <x:c r="M91" s="19"/>
      <x:c r="N91" s="26"/>
      <x:c r="O91" s="26"/>
      <x:c r="P91" s="19"/>
      <x:c r="Q91" s="26"/>
      <x:c r="R91" s="19"/>
      <x:c r="S91" s="26"/>
      <x:c r="T91" s="19"/>
      <x:c r="U91" s="19"/>
    </x:row>
    <x:row r="92">
      <x:c r="A92" s="19"/>
      <x:c r="B92" s="19"/>
      <x:c r="C92" s="19"/>
      <x:c r="D92" s="19"/>
      <x:c r="E92" s="19"/>
      <x:c r="F92" s="19"/>
      <x:c r="G92" s="26"/>
      <x:c r="H92" s="96" t="str">
        <x:f>IF($A92="","",SUMIFS('OrderItems'!$I$2:$I$500,'OrderItems'!$B$2:$B$500,$A92))</x:f>
      </x:c>
      <x:c r="I92" s="25"/>
      <x:c r="J92" s="25"/>
      <x:c r="K92" s="96" t="str">
        <x:f>IF($A92="","",$H92-$I92+$J92)</x:f>
      </x:c>
      <x:c r="L92" s="116" t="str">
        <x:f>IF($A92="","",IF(SUMIFS('Payments'!$C$2:$C$500,'Payments'!$B$2:$B$500,$A92,'Payments'!$G$2:$G$500,"confirmed")&lt;=0,"unpaid",IF(SUMIFS('Payments'!$C$2:$C$500,'Payments'!$B$2:$B$500,$A92,'Payments'!$G$2:$G$500,"confirmed")&gt;=$K92,"paid","partial")))</x:f>
      </x:c>
      <x:c r="M92" s="19"/>
      <x:c r="N92" s="26"/>
      <x:c r="O92" s="26"/>
      <x:c r="P92" s="19"/>
      <x:c r="Q92" s="26"/>
      <x:c r="R92" s="19"/>
      <x:c r="S92" s="26"/>
      <x:c r="T92" s="19"/>
      <x:c r="U92" s="19"/>
    </x:row>
    <x:row r="93">
      <x:c r="A93" s="19"/>
      <x:c r="B93" s="19"/>
      <x:c r="C93" s="19"/>
      <x:c r="D93" s="19"/>
      <x:c r="E93" s="19"/>
      <x:c r="F93" s="19"/>
      <x:c r="G93" s="26"/>
      <x:c r="H93" s="96" t="str">
        <x:f>IF($A93="","",SUMIFS('OrderItems'!$I$2:$I$500,'OrderItems'!$B$2:$B$500,$A93))</x:f>
      </x:c>
      <x:c r="I93" s="25"/>
      <x:c r="J93" s="25"/>
      <x:c r="K93" s="96" t="str">
        <x:f>IF($A93="","",$H93-$I93+$J93)</x:f>
      </x:c>
      <x:c r="L93" s="116" t="str">
        <x:f>IF($A93="","",IF(SUMIFS('Payments'!$C$2:$C$500,'Payments'!$B$2:$B$500,$A93,'Payments'!$G$2:$G$500,"confirmed")&lt;=0,"unpaid",IF(SUMIFS('Payments'!$C$2:$C$500,'Payments'!$B$2:$B$500,$A93,'Payments'!$G$2:$G$500,"confirmed")&gt;=$K93,"paid","partial")))</x:f>
      </x:c>
      <x:c r="M93" s="19"/>
      <x:c r="N93" s="26"/>
      <x:c r="O93" s="26"/>
      <x:c r="P93" s="19"/>
      <x:c r="Q93" s="26"/>
      <x:c r="R93" s="19"/>
      <x:c r="S93" s="26"/>
      <x:c r="T93" s="19"/>
      <x:c r="U93" s="19"/>
    </x:row>
    <x:row r="94">
      <x:c r="A94" s="19"/>
      <x:c r="B94" s="19"/>
      <x:c r="C94" s="19"/>
      <x:c r="D94" s="19"/>
      <x:c r="E94" s="19"/>
      <x:c r="F94" s="19"/>
      <x:c r="G94" s="26"/>
      <x:c r="H94" s="96" t="str">
        <x:f>IF($A94="","",SUMIFS('OrderItems'!$I$2:$I$500,'OrderItems'!$B$2:$B$500,$A94))</x:f>
      </x:c>
      <x:c r="I94" s="25"/>
      <x:c r="J94" s="25"/>
      <x:c r="K94" s="96" t="str">
        <x:f>IF($A94="","",$H94-$I94+$J94)</x:f>
      </x:c>
      <x:c r="L94" s="116" t="str">
        <x:f>IF($A94="","",IF(SUMIFS('Payments'!$C$2:$C$500,'Payments'!$B$2:$B$500,$A94,'Payments'!$G$2:$G$500,"confirmed")&lt;=0,"unpaid",IF(SUMIFS('Payments'!$C$2:$C$500,'Payments'!$B$2:$B$500,$A94,'Payments'!$G$2:$G$500,"confirmed")&gt;=$K94,"paid","partial")))</x:f>
      </x:c>
      <x:c r="M94" s="19"/>
      <x:c r="N94" s="26"/>
      <x:c r="O94" s="26"/>
      <x:c r="P94" s="19"/>
      <x:c r="Q94" s="26"/>
      <x:c r="R94" s="19"/>
      <x:c r="S94" s="26"/>
      <x:c r="T94" s="19"/>
      <x:c r="U94" s="19"/>
    </x:row>
    <x:row r="95">
      <x:c r="A95" s="19"/>
      <x:c r="B95" s="19"/>
      <x:c r="C95" s="19"/>
      <x:c r="D95" s="19"/>
      <x:c r="E95" s="19"/>
      <x:c r="F95" s="19"/>
      <x:c r="G95" s="26"/>
      <x:c r="H95" s="96" t="str">
        <x:f>IF($A95="","",SUMIFS('OrderItems'!$I$2:$I$500,'OrderItems'!$B$2:$B$500,$A95))</x:f>
      </x:c>
      <x:c r="I95" s="25"/>
      <x:c r="J95" s="25"/>
      <x:c r="K95" s="96" t="str">
        <x:f>IF($A95="","",$H95-$I95+$J95)</x:f>
      </x:c>
      <x:c r="L95" s="116" t="str">
        <x:f>IF($A95="","",IF(SUMIFS('Payments'!$C$2:$C$500,'Payments'!$B$2:$B$500,$A95,'Payments'!$G$2:$G$500,"confirmed")&lt;=0,"unpaid",IF(SUMIFS('Payments'!$C$2:$C$500,'Payments'!$B$2:$B$500,$A95,'Payments'!$G$2:$G$500,"confirmed")&gt;=$K95,"paid","partial")))</x:f>
      </x:c>
      <x:c r="M95" s="19"/>
      <x:c r="N95" s="26"/>
      <x:c r="O95" s="26"/>
      <x:c r="P95" s="19"/>
      <x:c r="Q95" s="26"/>
      <x:c r="R95" s="19"/>
      <x:c r="S95" s="26"/>
      <x:c r="T95" s="19"/>
      <x:c r="U95" s="19"/>
    </x:row>
    <x:row r="96">
      <x:c r="A96" s="19"/>
      <x:c r="B96" s="19"/>
      <x:c r="C96" s="19"/>
      <x:c r="D96" s="19"/>
      <x:c r="E96" s="19"/>
      <x:c r="F96" s="19"/>
      <x:c r="G96" s="26"/>
      <x:c r="H96" s="96" t="str">
        <x:f>IF($A96="","",SUMIFS('OrderItems'!$I$2:$I$500,'OrderItems'!$B$2:$B$500,$A96))</x:f>
      </x:c>
      <x:c r="I96" s="25"/>
      <x:c r="J96" s="25"/>
      <x:c r="K96" s="96" t="str">
        <x:f>IF($A96="","",$H96-$I96+$J96)</x:f>
      </x:c>
      <x:c r="L96" s="116" t="str">
        <x:f>IF($A96="","",IF(SUMIFS('Payments'!$C$2:$C$500,'Payments'!$B$2:$B$500,$A96,'Payments'!$G$2:$G$500,"confirmed")&lt;=0,"unpaid",IF(SUMIFS('Payments'!$C$2:$C$500,'Payments'!$B$2:$B$500,$A96,'Payments'!$G$2:$G$500,"confirmed")&gt;=$K96,"paid","partial")))</x:f>
      </x:c>
      <x:c r="M96" s="19"/>
      <x:c r="N96" s="26"/>
      <x:c r="O96" s="26"/>
      <x:c r="P96" s="19"/>
      <x:c r="Q96" s="26"/>
      <x:c r="R96" s="19"/>
      <x:c r="S96" s="26"/>
      <x:c r="T96" s="19"/>
      <x:c r="U96" s="19"/>
    </x:row>
    <x:row r="97">
      <x:c r="A97" s="19"/>
      <x:c r="B97" s="19"/>
      <x:c r="C97" s="19"/>
      <x:c r="D97" s="19"/>
      <x:c r="E97" s="19"/>
      <x:c r="F97" s="19"/>
      <x:c r="G97" s="26"/>
      <x:c r="H97" s="96" t="str">
        <x:f>IF($A97="","",SUMIFS('OrderItems'!$I$2:$I$500,'OrderItems'!$B$2:$B$500,$A97))</x:f>
      </x:c>
      <x:c r="I97" s="25"/>
      <x:c r="J97" s="25"/>
      <x:c r="K97" s="96" t="str">
        <x:f>IF($A97="","",$H97-$I97+$J97)</x:f>
      </x:c>
      <x:c r="L97" s="116" t="str">
        <x:f>IF($A97="","",IF(SUMIFS('Payments'!$C$2:$C$500,'Payments'!$B$2:$B$500,$A97,'Payments'!$G$2:$G$500,"confirmed")&lt;=0,"unpaid",IF(SUMIFS('Payments'!$C$2:$C$500,'Payments'!$B$2:$B$500,$A97,'Payments'!$G$2:$G$500,"confirmed")&gt;=$K97,"paid","partial")))</x:f>
      </x:c>
      <x:c r="M97" s="19"/>
      <x:c r="N97" s="26"/>
      <x:c r="O97" s="26"/>
      <x:c r="P97" s="19"/>
      <x:c r="Q97" s="26"/>
      <x:c r="R97" s="19"/>
      <x:c r="S97" s="26"/>
      <x:c r="T97" s="19"/>
      <x:c r="U97" s="19"/>
    </x:row>
    <x:row r="98">
      <x:c r="A98" s="19"/>
      <x:c r="B98" s="19"/>
      <x:c r="C98" s="19"/>
      <x:c r="D98" s="19"/>
      <x:c r="E98" s="19"/>
      <x:c r="F98" s="19"/>
      <x:c r="G98" s="26"/>
      <x:c r="H98" s="96" t="str">
        <x:f>IF($A98="","",SUMIFS('OrderItems'!$I$2:$I$500,'OrderItems'!$B$2:$B$500,$A98))</x:f>
      </x:c>
      <x:c r="I98" s="25"/>
      <x:c r="J98" s="25"/>
      <x:c r="K98" s="96" t="str">
        <x:f>IF($A98="","",$H98-$I98+$J98)</x:f>
      </x:c>
      <x:c r="L98" s="116" t="str">
        <x:f>IF($A98="","",IF(SUMIFS('Payments'!$C$2:$C$500,'Payments'!$B$2:$B$500,$A98,'Payments'!$G$2:$G$500,"confirmed")&lt;=0,"unpaid",IF(SUMIFS('Payments'!$C$2:$C$500,'Payments'!$B$2:$B$500,$A98,'Payments'!$G$2:$G$500,"confirmed")&gt;=$K98,"paid","partial")))</x:f>
      </x:c>
      <x:c r="M98" s="19"/>
      <x:c r="N98" s="26"/>
      <x:c r="O98" s="26"/>
      <x:c r="P98" s="19"/>
      <x:c r="Q98" s="26"/>
      <x:c r="R98" s="19"/>
      <x:c r="S98" s="26"/>
      <x:c r="T98" s="19"/>
      <x:c r="U98" s="19"/>
    </x:row>
    <x:row r="99">
      <x:c r="A99" s="19"/>
      <x:c r="B99" s="19"/>
      <x:c r="C99" s="19"/>
      <x:c r="D99" s="19"/>
      <x:c r="E99" s="19"/>
      <x:c r="F99" s="19"/>
      <x:c r="G99" s="26"/>
      <x:c r="H99" s="96" t="str">
        <x:f>IF($A99="","",SUMIFS('OrderItems'!$I$2:$I$500,'OrderItems'!$B$2:$B$500,$A99))</x:f>
      </x:c>
      <x:c r="I99" s="25"/>
      <x:c r="J99" s="25"/>
      <x:c r="K99" s="96" t="str">
        <x:f>IF($A99="","",$H99-$I99+$J99)</x:f>
      </x:c>
      <x:c r="L99" s="116" t="str">
        <x:f>IF($A99="","",IF(SUMIFS('Payments'!$C$2:$C$500,'Payments'!$B$2:$B$500,$A99,'Payments'!$G$2:$G$500,"confirmed")&lt;=0,"unpaid",IF(SUMIFS('Payments'!$C$2:$C$500,'Payments'!$B$2:$B$500,$A99,'Payments'!$G$2:$G$500,"confirmed")&gt;=$K99,"paid","partial")))</x:f>
      </x:c>
      <x:c r="M99" s="19"/>
      <x:c r="N99" s="26"/>
      <x:c r="O99" s="26"/>
      <x:c r="P99" s="19"/>
      <x:c r="Q99" s="26"/>
      <x:c r="R99" s="19"/>
      <x:c r="S99" s="26"/>
      <x:c r="T99" s="19"/>
      <x:c r="U99" s="19"/>
    </x:row>
    <x:row r="100">
      <x:c r="A100" s="19"/>
      <x:c r="B100" s="19"/>
      <x:c r="C100" s="19"/>
      <x:c r="D100" s="19"/>
      <x:c r="E100" s="19"/>
      <x:c r="F100" s="19"/>
      <x:c r="G100" s="26"/>
      <x:c r="H100" s="96" t="str">
        <x:f>IF($A100="","",SUMIFS('OrderItems'!$I$2:$I$500,'OrderItems'!$B$2:$B$500,$A100))</x:f>
      </x:c>
      <x:c r="I100" s="25"/>
      <x:c r="J100" s="25"/>
      <x:c r="K100" s="96" t="str">
        <x:f>IF($A100="","",$H100-$I100+$J100)</x:f>
      </x:c>
      <x:c r="L100" s="116" t="str">
        <x:f>IF($A100="","",IF(SUMIFS('Payments'!$C$2:$C$500,'Payments'!$B$2:$B$500,$A100,'Payments'!$G$2:$G$500,"confirmed")&lt;=0,"unpaid",IF(SUMIFS('Payments'!$C$2:$C$500,'Payments'!$B$2:$B$500,$A100,'Payments'!$G$2:$G$500,"confirmed")&gt;=$K100,"paid","partial")))</x:f>
      </x:c>
      <x:c r="M100" s="19"/>
      <x:c r="N100" s="26"/>
      <x:c r="O100" s="26"/>
      <x:c r="P100" s="19"/>
      <x:c r="Q100" s="26"/>
      <x:c r="R100" s="19"/>
      <x:c r="S100" s="26"/>
      <x:c r="T100" s="19"/>
      <x:c r="U100" s="19"/>
    </x:row>
    <x:row r="101">
      <x:c r="A101" s="19"/>
      <x:c r="B101" s="19"/>
      <x:c r="C101" s="19"/>
      <x:c r="D101" s="19"/>
      <x:c r="E101" s="19"/>
      <x:c r="F101" s="19"/>
      <x:c r="G101" s="26"/>
      <x:c r="H101" s="96" t="str">
        <x:f>IF($A101="","",SUMIFS('OrderItems'!$I$2:$I$500,'OrderItems'!$B$2:$B$500,$A101))</x:f>
      </x:c>
      <x:c r="I101" s="25"/>
      <x:c r="J101" s="25"/>
      <x:c r="K101" s="96" t="str">
        <x:f>IF($A101="","",$H101-$I101+$J101)</x:f>
      </x:c>
      <x:c r="L101" s="116" t="str">
        <x:f>IF($A101="","",IF(SUMIFS('Payments'!$C$2:$C$500,'Payments'!$B$2:$B$500,$A101,'Payments'!$G$2:$G$500,"confirmed")&lt;=0,"unpaid",IF(SUMIFS('Payments'!$C$2:$C$500,'Payments'!$B$2:$B$500,$A101,'Payments'!$G$2:$G$500,"confirmed")&gt;=$K101,"paid","partial")))</x:f>
      </x:c>
      <x:c r="M101" s="19"/>
      <x:c r="N101" s="26"/>
      <x:c r="O101" s="26"/>
      <x:c r="P101" s="19"/>
      <x:c r="Q101" s="26"/>
      <x:c r="R101" s="19"/>
      <x:c r="S101" s="26"/>
      <x:c r="T101" s="19"/>
      <x:c r="U101" s="19"/>
    </x:row>
    <x:row r="102">
      <x:c r="A102" s="19"/>
      <x:c r="B102" s="19"/>
      <x:c r="C102" s="19"/>
      <x:c r="D102" s="19"/>
      <x:c r="E102" s="19"/>
      <x:c r="F102" s="19"/>
      <x:c r="G102" s="26"/>
      <x:c r="H102" s="96" t="str">
        <x:f>IF($A102="","",SUMIFS('OrderItems'!$I$2:$I$500,'OrderItems'!$B$2:$B$500,$A102))</x:f>
      </x:c>
      <x:c r="I102" s="25"/>
      <x:c r="J102" s="25"/>
      <x:c r="K102" s="96" t="str">
        <x:f>IF($A102="","",$H102-$I102+$J102)</x:f>
      </x:c>
      <x:c r="L102" s="116" t="str">
        <x:f>IF($A102="","",IF(SUMIFS('Payments'!$C$2:$C$500,'Payments'!$B$2:$B$500,$A102,'Payments'!$G$2:$G$500,"confirmed")&lt;=0,"unpaid",IF(SUMIFS('Payments'!$C$2:$C$500,'Payments'!$B$2:$B$500,$A102,'Payments'!$G$2:$G$500,"confirmed")&gt;=$K102,"paid","partial")))</x:f>
      </x:c>
      <x:c r="M102" s="19"/>
      <x:c r="N102" s="26"/>
      <x:c r="O102" s="26"/>
      <x:c r="P102" s="19"/>
      <x:c r="Q102" s="26"/>
      <x:c r="R102" s="19"/>
      <x:c r="S102" s="26"/>
      <x:c r="T102" s="19"/>
      <x:c r="U102" s="19"/>
    </x:row>
    <x:row r="103">
      <x:c r="A103" s="19"/>
      <x:c r="B103" s="19"/>
      <x:c r="C103" s="19"/>
      <x:c r="D103" s="19"/>
      <x:c r="E103" s="19"/>
      <x:c r="F103" s="19"/>
      <x:c r="G103" s="26"/>
      <x:c r="H103" s="96" t="str">
        <x:f>IF($A103="","",SUMIFS('OrderItems'!$I$2:$I$500,'OrderItems'!$B$2:$B$500,$A103))</x:f>
      </x:c>
      <x:c r="I103" s="25"/>
      <x:c r="J103" s="25"/>
      <x:c r="K103" s="96" t="str">
        <x:f>IF($A103="","",$H103-$I103+$J103)</x:f>
      </x:c>
      <x:c r="L103" s="116" t="str">
        <x:f>IF($A103="","",IF(SUMIFS('Payments'!$C$2:$C$500,'Payments'!$B$2:$B$500,$A103,'Payments'!$G$2:$G$500,"confirmed")&lt;=0,"unpaid",IF(SUMIFS('Payments'!$C$2:$C$500,'Payments'!$B$2:$B$500,$A103,'Payments'!$G$2:$G$500,"confirmed")&gt;=$K103,"paid","partial")))</x:f>
      </x:c>
      <x:c r="M103" s="19"/>
      <x:c r="N103" s="26"/>
      <x:c r="O103" s="26"/>
      <x:c r="P103" s="19"/>
      <x:c r="Q103" s="26"/>
      <x:c r="R103" s="19"/>
      <x:c r="S103" s="26"/>
      <x:c r="T103" s="19"/>
      <x:c r="U103" s="19"/>
    </x:row>
    <x:row r="104">
      <x:c r="A104" s="19"/>
      <x:c r="B104" s="19"/>
      <x:c r="C104" s="19"/>
      <x:c r="D104" s="19"/>
      <x:c r="E104" s="19"/>
      <x:c r="F104" s="19"/>
      <x:c r="G104" s="26"/>
      <x:c r="H104" s="96" t="str">
        <x:f>IF($A104="","",SUMIFS('OrderItems'!$I$2:$I$500,'OrderItems'!$B$2:$B$500,$A104))</x:f>
      </x:c>
      <x:c r="I104" s="25"/>
      <x:c r="J104" s="25"/>
      <x:c r="K104" s="96" t="str">
        <x:f>IF($A104="","",$H104-$I104+$J104)</x:f>
      </x:c>
      <x:c r="L104" s="116" t="str">
        <x:f>IF($A104="","",IF(SUMIFS('Payments'!$C$2:$C$500,'Payments'!$B$2:$B$500,$A104,'Payments'!$G$2:$G$500,"confirmed")&lt;=0,"unpaid",IF(SUMIFS('Payments'!$C$2:$C$500,'Payments'!$B$2:$B$500,$A104,'Payments'!$G$2:$G$500,"confirmed")&gt;=$K104,"paid","partial")))</x:f>
      </x:c>
      <x:c r="M104" s="19"/>
      <x:c r="N104" s="26"/>
      <x:c r="O104" s="26"/>
      <x:c r="P104" s="19"/>
      <x:c r="Q104" s="26"/>
      <x:c r="R104" s="19"/>
      <x:c r="S104" s="26"/>
      <x:c r="T104" s="19"/>
      <x:c r="U104" s="19"/>
    </x:row>
    <x:row r="105">
      <x:c r="A105" s="19"/>
      <x:c r="B105" s="19"/>
      <x:c r="C105" s="19"/>
      <x:c r="D105" s="19"/>
      <x:c r="E105" s="19"/>
      <x:c r="F105" s="19"/>
      <x:c r="G105" s="26"/>
      <x:c r="H105" s="96" t="str">
        <x:f>IF($A105="","",SUMIFS('OrderItems'!$I$2:$I$500,'OrderItems'!$B$2:$B$500,$A105))</x:f>
      </x:c>
      <x:c r="I105" s="25"/>
      <x:c r="J105" s="25"/>
      <x:c r="K105" s="96" t="str">
        <x:f>IF($A105="","",$H105-$I105+$J105)</x:f>
      </x:c>
      <x:c r="L105" s="116" t="str">
        <x:f>IF($A105="","",IF(SUMIFS('Payments'!$C$2:$C$500,'Payments'!$B$2:$B$500,$A105,'Payments'!$G$2:$G$500,"confirmed")&lt;=0,"unpaid",IF(SUMIFS('Payments'!$C$2:$C$500,'Payments'!$B$2:$B$500,$A105,'Payments'!$G$2:$G$500,"confirmed")&gt;=$K105,"paid","partial")))</x:f>
      </x:c>
      <x:c r="M105" s="19"/>
      <x:c r="N105" s="26"/>
      <x:c r="O105" s="26"/>
      <x:c r="P105" s="19"/>
      <x:c r="Q105" s="26"/>
      <x:c r="R105" s="19"/>
      <x:c r="S105" s="26"/>
      <x:c r="T105" s="19"/>
      <x:c r="U105" s="19"/>
    </x:row>
    <x:row r="106">
      <x:c r="A106" s="19"/>
      <x:c r="B106" s="19"/>
      <x:c r="C106" s="19"/>
      <x:c r="D106" s="19"/>
      <x:c r="E106" s="19"/>
      <x:c r="F106" s="19"/>
      <x:c r="G106" s="26"/>
      <x:c r="H106" s="96" t="str">
        <x:f>IF($A106="","",SUMIFS('OrderItems'!$I$2:$I$500,'OrderItems'!$B$2:$B$500,$A106))</x:f>
      </x:c>
      <x:c r="I106" s="25"/>
      <x:c r="J106" s="25"/>
      <x:c r="K106" s="96" t="str">
        <x:f>IF($A106="","",$H106-$I106+$J106)</x:f>
      </x:c>
      <x:c r="L106" s="116" t="str">
        <x:f>IF($A106="","",IF(SUMIFS('Payments'!$C$2:$C$500,'Payments'!$B$2:$B$500,$A106,'Payments'!$G$2:$G$500,"confirmed")&lt;=0,"unpaid",IF(SUMIFS('Payments'!$C$2:$C$500,'Payments'!$B$2:$B$500,$A106,'Payments'!$G$2:$G$500,"confirmed")&gt;=$K106,"paid","partial")))</x:f>
      </x:c>
      <x:c r="M106" s="19"/>
      <x:c r="N106" s="26"/>
      <x:c r="O106" s="26"/>
      <x:c r="P106" s="19"/>
      <x:c r="Q106" s="26"/>
      <x:c r="R106" s="19"/>
      <x:c r="S106" s="26"/>
      <x:c r="T106" s="19"/>
      <x:c r="U106" s="19"/>
    </x:row>
    <x:row r="107">
      <x:c r="A107" s="19"/>
      <x:c r="B107" s="19"/>
      <x:c r="C107" s="19"/>
      <x:c r="D107" s="19"/>
      <x:c r="E107" s="19"/>
      <x:c r="F107" s="19"/>
      <x:c r="G107" s="26"/>
      <x:c r="H107" s="96" t="str">
        <x:f>IF($A107="","",SUMIFS('OrderItems'!$I$2:$I$500,'OrderItems'!$B$2:$B$500,$A107))</x:f>
      </x:c>
      <x:c r="I107" s="25"/>
      <x:c r="J107" s="25"/>
      <x:c r="K107" s="96" t="str">
        <x:f>IF($A107="","",$H107-$I107+$J107)</x:f>
      </x:c>
      <x:c r="L107" s="116" t="str">
        <x:f>IF($A107="","",IF(SUMIFS('Payments'!$C$2:$C$500,'Payments'!$B$2:$B$500,$A107,'Payments'!$G$2:$G$500,"confirmed")&lt;=0,"unpaid",IF(SUMIFS('Payments'!$C$2:$C$500,'Payments'!$B$2:$B$500,$A107,'Payments'!$G$2:$G$500,"confirmed")&gt;=$K107,"paid","partial")))</x:f>
      </x:c>
      <x:c r="M107" s="19"/>
      <x:c r="N107" s="26"/>
      <x:c r="O107" s="26"/>
      <x:c r="P107" s="19"/>
      <x:c r="Q107" s="26"/>
      <x:c r="R107" s="19"/>
      <x:c r="S107" s="26"/>
      <x:c r="T107" s="19"/>
      <x:c r="U107" s="19"/>
    </x:row>
    <x:row r="108">
      <x:c r="A108" s="19"/>
      <x:c r="B108" s="19"/>
      <x:c r="C108" s="19"/>
      <x:c r="D108" s="19"/>
      <x:c r="E108" s="19"/>
      <x:c r="F108" s="19"/>
      <x:c r="G108" s="26"/>
      <x:c r="H108" s="96" t="str">
        <x:f>IF($A108="","",SUMIFS('OrderItems'!$I$2:$I$500,'OrderItems'!$B$2:$B$500,$A108))</x:f>
      </x:c>
      <x:c r="I108" s="25"/>
      <x:c r="J108" s="25"/>
      <x:c r="K108" s="96" t="str">
        <x:f>IF($A108="","",$H108-$I108+$J108)</x:f>
      </x:c>
      <x:c r="L108" s="116" t="str">
        <x:f>IF($A108="","",IF(SUMIFS('Payments'!$C$2:$C$500,'Payments'!$B$2:$B$500,$A108,'Payments'!$G$2:$G$500,"confirmed")&lt;=0,"unpaid",IF(SUMIFS('Payments'!$C$2:$C$500,'Payments'!$B$2:$B$500,$A108,'Payments'!$G$2:$G$500,"confirmed")&gt;=$K108,"paid","partial")))</x:f>
      </x:c>
      <x:c r="M108" s="19"/>
      <x:c r="N108" s="26"/>
      <x:c r="O108" s="26"/>
      <x:c r="P108" s="19"/>
      <x:c r="Q108" s="26"/>
      <x:c r="R108" s="19"/>
      <x:c r="S108" s="26"/>
      <x:c r="T108" s="19"/>
      <x:c r="U108" s="19"/>
    </x:row>
    <x:row r="109">
      <x:c r="A109" s="19"/>
      <x:c r="B109" s="19"/>
      <x:c r="C109" s="19"/>
      <x:c r="D109" s="19"/>
      <x:c r="E109" s="19"/>
      <x:c r="F109" s="19"/>
      <x:c r="G109" s="26"/>
      <x:c r="H109" s="96" t="str">
        <x:f>IF($A109="","",SUMIFS('OrderItems'!$I$2:$I$500,'OrderItems'!$B$2:$B$500,$A109))</x:f>
      </x:c>
      <x:c r="I109" s="25"/>
      <x:c r="J109" s="25"/>
      <x:c r="K109" s="96" t="str">
        <x:f>IF($A109="","",$H109-$I109+$J109)</x:f>
      </x:c>
      <x:c r="L109" s="116" t="str">
        <x:f>IF($A109="","",IF(SUMIFS('Payments'!$C$2:$C$500,'Payments'!$B$2:$B$500,$A109,'Payments'!$G$2:$G$500,"confirmed")&lt;=0,"unpaid",IF(SUMIFS('Payments'!$C$2:$C$500,'Payments'!$B$2:$B$500,$A109,'Payments'!$G$2:$G$500,"confirmed")&gt;=$K109,"paid","partial")))</x:f>
      </x:c>
      <x:c r="M109" s="19"/>
      <x:c r="N109" s="26"/>
      <x:c r="O109" s="26"/>
      <x:c r="P109" s="19"/>
      <x:c r="Q109" s="26"/>
      <x:c r="R109" s="19"/>
      <x:c r="S109" s="26"/>
      <x:c r="T109" s="19"/>
      <x:c r="U109" s="19"/>
    </x:row>
    <x:row r="110">
      <x:c r="A110" s="19"/>
      <x:c r="B110" s="19"/>
      <x:c r="C110" s="19"/>
      <x:c r="D110" s="19"/>
      <x:c r="E110" s="19"/>
      <x:c r="F110" s="19"/>
      <x:c r="G110" s="26"/>
      <x:c r="H110" s="96" t="str">
        <x:f>IF($A110="","",SUMIFS('OrderItems'!$I$2:$I$500,'OrderItems'!$B$2:$B$500,$A110))</x:f>
      </x:c>
      <x:c r="I110" s="25"/>
      <x:c r="J110" s="25"/>
      <x:c r="K110" s="96" t="str">
        <x:f>IF($A110="","",$H110-$I110+$J110)</x:f>
      </x:c>
      <x:c r="L110" s="116" t="str">
        <x:f>IF($A110="","",IF(SUMIFS('Payments'!$C$2:$C$500,'Payments'!$B$2:$B$500,$A110,'Payments'!$G$2:$G$500,"confirmed")&lt;=0,"unpaid",IF(SUMIFS('Payments'!$C$2:$C$500,'Payments'!$B$2:$B$500,$A110,'Payments'!$G$2:$G$500,"confirmed")&gt;=$K110,"paid","partial")))</x:f>
      </x:c>
      <x:c r="M110" s="19"/>
      <x:c r="N110" s="26"/>
      <x:c r="O110" s="26"/>
      <x:c r="P110" s="19"/>
      <x:c r="Q110" s="26"/>
      <x:c r="R110" s="19"/>
      <x:c r="S110" s="26"/>
      <x:c r="T110" s="19"/>
      <x:c r="U110" s="19"/>
    </x:row>
    <x:row r="111">
      <x:c r="A111" s="19"/>
      <x:c r="B111" s="19"/>
      <x:c r="C111" s="19"/>
      <x:c r="D111" s="19"/>
      <x:c r="E111" s="19"/>
      <x:c r="F111" s="19"/>
      <x:c r="G111" s="26"/>
      <x:c r="H111" s="96" t="str">
        <x:f>IF($A111="","",SUMIFS('OrderItems'!$I$2:$I$500,'OrderItems'!$B$2:$B$500,$A111))</x:f>
      </x:c>
      <x:c r="I111" s="25"/>
      <x:c r="J111" s="25"/>
      <x:c r="K111" s="96" t="str">
        <x:f>IF($A111="","",$H111-$I111+$J111)</x:f>
      </x:c>
      <x:c r="L111" s="116" t="str">
        <x:f>IF($A111="","",IF(SUMIFS('Payments'!$C$2:$C$500,'Payments'!$B$2:$B$500,$A111,'Payments'!$G$2:$G$500,"confirmed")&lt;=0,"unpaid",IF(SUMIFS('Payments'!$C$2:$C$500,'Payments'!$B$2:$B$500,$A111,'Payments'!$G$2:$G$500,"confirmed")&gt;=$K111,"paid","partial")))</x:f>
      </x:c>
      <x:c r="M111" s="19"/>
      <x:c r="N111" s="26"/>
      <x:c r="O111" s="26"/>
      <x:c r="P111" s="19"/>
      <x:c r="Q111" s="26"/>
      <x:c r="R111" s="19"/>
      <x:c r="S111" s="26"/>
      <x:c r="T111" s="19"/>
      <x:c r="U111" s="19"/>
    </x:row>
    <x:row r="112">
      <x:c r="A112" s="19"/>
      <x:c r="B112" s="19"/>
      <x:c r="C112" s="19"/>
      <x:c r="D112" s="19"/>
      <x:c r="E112" s="19"/>
      <x:c r="F112" s="19"/>
      <x:c r="G112" s="26"/>
      <x:c r="H112" s="96" t="str">
        <x:f>IF($A112="","",SUMIFS('OrderItems'!$I$2:$I$500,'OrderItems'!$B$2:$B$500,$A112))</x:f>
      </x:c>
      <x:c r="I112" s="25"/>
      <x:c r="J112" s="25"/>
      <x:c r="K112" s="96" t="str">
        <x:f>IF($A112="","",$H112-$I112+$J112)</x:f>
      </x:c>
      <x:c r="L112" s="116" t="str">
        <x:f>IF($A112="","",IF(SUMIFS('Payments'!$C$2:$C$500,'Payments'!$B$2:$B$500,$A112,'Payments'!$G$2:$G$500,"confirmed")&lt;=0,"unpaid",IF(SUMIFS('Payments'!$C$2:$C$500,'Payments'!$B$2:$B$500,$A112,'Payments'!$G$2:$G$500,"confirmed")&gt;=$K112,"paid","partial")))</x:f>
      </x:c>
      <x:c r="M112" s="19"/>
      <x:c r="N112" s="26"/>
      <x:c r="O112" s="26"/>
      <x:c r="P112" s="19"/>
      <x:c r="Q112" s="26"/>
      <x:c r="R112" s="19"/>
      <x:c r="S112" s="26"/>
      <x:c r="T112" s="19"/>
      <x:c r="U112" s="19"/>
    </x:row>
    <x:row r="113">
      <x:c r="A113" s="19"/>
      <x:c r="B113" s="19"/>
      <x:c r="C113" s="19"/>
      <x:c r="D113" s="19"/>
      <x:c r="E113" s="19"/>
      <x:c r="F113" s="19"/>
      <x:c r="G113" s="26"/>
      <x:c r="H113" s="96" t="str">
        <x:f>IF($A113="","",SUMIFS('OrderItems'!$I$2:$I$500,'OrderItems'!$B$2:$B$500,$A113))</x:f>
      </x:c>
      <x:c r="I113" s="25"/>
      <x:c r="J113" s="25"/>
      <x:c r="K113" s="96" t="str">
        <x:f>IF($A113="","",$H113-$I113+$J113)</x:f>
      </x:c>
      <x:c r="L113" s="116" t="str">
        <x:f>IF($A113="","",IF(SUMIFS('Payments'!$C$2:$C$500,'Payments'!$B$2:$B$500,$A113,'Payments'!$G$2:$G$500,"confirmed")&lt;=0,"unpaid",IF(SUMIFS('Payments'!$C$2:$C$500,'Payments'!$B$2:$B$500,$A113,'Payments'!$G$2:$G$500,"confirmed")&gt;=$K113,"paid","partial")))</x:f>
      </x:c>
      <x:c r="M113" s="19"/>
      <x:c r="N113" s="26"/>
      <x:c r="O113" s="26"/>
      <x:c r="P113" s="19"/>
      <x:c r="Q113" s="26"/>
      <x:c r="R113" s="19"/>
      <x:c r="S113" s="26"/>
      <x:c r="T113" s="19"/>
      <x:c r="U113" s="19"/>
    </x:row>
    <x:row r="114">
      <x:c r="A114" s="19"/>
      <x:c r="B114" s="19"/>
      <x:c r="C114" s="19"/>
      <x:c r="D114" s="19"/>
      <x:c r="E114" s="19"/>
      <x:c r="F114" s="19"/>
      <x:c r="G114" s="26"/>
      <x:c r="H114" s="96" t="str">
        <x:f>IF($A114="","",SUMIFS('OrderItems'!$I$2:$I$500,'OrderItems'!$B$2:$B$500,$A114))</x:f>
      </x:c>
      <x:c r="I114" s="25"/>
      <x:c r="J114" s="25"/>
      <x:c r="K114" s="96" t="str">
        <x:f>IF($A114="","",$H114-$I114+$J114)</x:f>
      </x:c>
      <x:c r="L114" s="116" t="str">
        <x:f>IF($A114="","",IF(SUMIFS('Payments'!$C$2:$C$500,'Payments'!$B$2:$B$500,$A114,'Payments'!$G$2:$G$500,"confirmed")&lt;=0,"unpaid",IF(SUMIFS('Payments'!$C$2:$C$500,'Payments'!$B$2:$B$500,$A114,'Payments'!$G$2:$G$500,"confirmed")&gt;=$K114,"paid","partial")))</x:f>
      </x:c>
      <x:c r="M114" s="19"/>
      <x:c r="N114" s="26"/>
      <x:c r="O114" s="26"/>
      <x:c r="P114" s="19"/>
      <x:c r="Q114" s="26"/>
      <x:c r="R114" s="19"/>
      <x:c r="S114" s="26"/>
      <x:c r="T114" s="19"/>
      <x:c r="U114" s="19"/>
    </x:row>
    <x:row r="115">
      <x:c r="A115" s="19"/>
      <x:c r="B115" s="19"/>
      <x:c r="C115" s="19"/>
      <x:c r="D115" s="19"/>
      <x:c r="E115" s="19"/>
      <x:c r="F115" s="19"/>
      <x:c r="G115" s="26"/>
      <x:c r="H115" s="96" t="str">
        <x:f>IF($A115="","",SUMIFS('OrderItems'!$I$2:$I$500,'OrderItems'!$B$2:$B$500,$A115))</x:f>
      </x:c>
      <x:c r="I115" s="25"/>
      <x:c r="J115" s="25"/>
      <x:c r="K115" s="96" t="str">
        <x:f>IF($A115="","",$H115-$I115+$J115)</x:f>
      </x:c>
      <x:c r="L115" s="116" t="str">
        <x:f>IF($A115="","",IF(SUMIFS('Payments'!$C$2:$C$500,'Payments'!$B$2:$B$500,$A115,'Payments'!$G$2:$G$500,"confirmed")&lt;=0,"unpaid",IF(SUMIFS('Payments'!$C$2:$C$500,'Payments'!$B$2:$B$500,$A115,'Payments'!$G$2:$G$500,"confirmed")&gt;=$K115,"paid","partial")))</x:f>
      </x:c>
      <x:c r="M115" s="19"/>
      <x:c r="N115" s="26"/>
      <x:c r="O115" s="26"/>
      <x:c r="P115" s="19"/>
      <x:c r="Q115" s="26"/>
      <x:c r="R115" s="19"/>
      <x:c r="S115" s="26"/>
      <x:c r="T115" s="19"/>
      <x:c r="U115" s="19"/>
    </x:row>
    <x:row r="116">
      <x:c r="A116" s="19"/>
      <x:c r="B116" s="19"/>
      <x:c r="C116" s="19"/>
      <x:c r="D116" s="19"/>
      <x:c r="E116" s="19"/>
      <x:c r="F116" s="19"/>
      <x:c r="G116" s="26"/>
      <x:c r="H116" s="96" t="str">
        <x:f>IF($A116="","",SUMIFS('OrderItems'!$I$2:$I$500,'OrderItems'!$B$2:$B$500,$A116))</x:f>
      </x:c>
      <x:c r="I116" s="25"/>
      <x:c r="J116" s="25"/>
      <x:c r="K116" s="96" t="str">
        <x:f>IF($A116="","",$H116-$I116+$J116)</x:f>
      </x:c>
      <x:c r="L116" s="116" t="str">
        <x:f>IF($A116="","",IF(SUMIFS('Payments'!$C$2:$C$500,'Payments'!$B$2:$B$500,$A116,'Payments'!$G$2:$G$500,"confirmed")&lt;=0,"unpaid",IF(SUMIFS('Payments'!$C$2:$C$500,'Payments'!$B$2:$B$500,$A116,'Payments'!$G$2:$G$500,"confirmed")&gt;=$K116,"paid","partial")))</x:f>
      </x:c>
      <x:c r="M116" s="19"/>
      <x:c r="N116" s="26"/>
      <x:c r="O116" s="26"/>
      <x:c r="P116" s="19"/>
      <x:c r="Q116" s="26"/>
      <x:c r="R116" s="19"/>
      <x:c r="S116" s="26"/>
      <x:c r="T116" s="19"/>
      <x:c r="U116" s="19"/>
    </x:row>
    <x:row r="117">
      <x:c r="A117" s="19"/>
      <x:c r="B117" s="19"/>
      <x:c r="C117" s="19"/>
      <x:c r="D117" s="19"/>
      <x:c r="E117" s="19"/>
      <x:c r="F117" s="19"/>
      <x:c r="G117" s="26"/>
      <x:c r="H117" s="96" t="str">
        <x:f>IF($A117="","",SUMIFS('OrderItems'!$I$2:$I$500,'OrderItems'!$B$2:$B$500,$A117))</x:f>
      </x:c>
      <x:c r="I117" s="25"/>
      <x:c r="J117" s="25"/>
      <x:c r="K117" s="96" t="str">
        <x:f>IF($A117="","",$H117-$I117+$J117)</x:f>
      </x:c>
      <x:c r="L117" s="116" t="str">
        <x:f>IF($A117="","",IF(SUMIFS('Payments'!$C$2:$C$500,'Payments'!$B$2:$B$500,$A117,'Payments'!$G$2:$G$500,"confirmed")&lt;=0,"unpaid",IF(SUMIFS('Payments'!$C$2:$C$500,'Payments'!$B$2:$B$500,$A117,'Payments'!$G$2:$G$500,"confirmed")&gt;=$K117,"paid","partial")))</x:f>
      </x:c>
      <x:c r="M117" s="19"/>
      <x:c r="N117" s="26"/>
      <x:c r="O117" s="26"/>
      <x:c r="P117" s="19"/>
      <x:c r="Q117" s="26"/>
      <x:c r="R117" s="19"/>
      <x:c r="S117" s="26"/>
      <x:c r="T117" s="19"/>
      <x:c r="U117" s="19"/>
    </x:row>
    <x:row r="118">
      <x:c r="A118" s="19"/>
      <x:c r="B118" s="19"/>
      <x:c r="C118" s="19"/>
      <x:c r="D118" s="19"/>
      <x:c r="E118" s="19"/>
      <x:c r="F118" s="19"/>
      <x:c r="G118" s="26"/>
      <x:c r="H118" s="96" t="str">
        <x:f>IF($A118="","",SUMIFS('OrderItems'!$I$2:$I$500,'OrderItems'!$B$2:$B$500,$A118))</x:f>
      </x:c>
      <x:c r="I118" s="25"/>
      <x:c r="J118" s="25"/>
      <x:c r="K118" s="96" t="str">
        <x:f>IF($A118="","",$H118-$I118+$J118)</x:f>
      </x:c>
      <x:c r="L118" s="116" t="str">
        <x:f>IF($A118="","",IF(SUMIFS('Payments'!$C$2:$C$500,'Payments'!$B$2:$B$500,$A118,'Payments'!$G$2:$G$500,"confirmed")&lt;=0,"unpaid",IF(SUMIFS('Payments'!$C$2:$C$500,'Payments'!$B$2:$B$500,$A118,'Payments'!$G$2:$G$500,"confirmed")&gt;=$K118,"paid","partial")))</x:f>
      </x:c>
      <x:c r="M118" s="19"/>
      <x:c r="N118" s="26"/>
      <x:c r="O118" s="26"/>
      <x:c r="P118" s="19"/>
      <x:c r="Q118" s="26"/>
      <x:c r="R118" s="19"/>
      <x:c r="S118" s="26"/>
      <x:c r="T118" s="19"/>
      <x:c r="U118" s="19"/>
    </x:row>
    <x:row r="119">
      <x:c r="A119" s="19"/>
      <x:c r="B119" s="19"/>
      <x:c r="C119" s="19"/>
      <x:c r="D119" s="19"/>
      <x:c r="E119" s="19"/>
      <x:c r="F119" s="19"/>
      <x:c r="G119" s="26"/>
      <x:c r="H119" s="96" t="str">
        <x:f>IF($A119="","",SUMIFS('OrderItems'!$I$2:$I$500,'OrderItems'!$B$2:$B$500,$A119))</x:f>
      </x:c>
      <x:c r="I119" s="25"/>
      <x:c r="J119" s="25"/>
      <x:c r="K119" s="96" t="str">
        <x:f>IF($A119="","",$H119-$I119+$J119)</x:f>
      </x:c>
      <x:c r="L119" s="116" t="str">
        <x:f>IF($A119="","",IF(SUMIFS('Payments'!$C$2:$C$500,'Payments'!$B$2:$B$500,$A119,'Payments'!$G$2:$G$500,"confirmed")&lt;=0,"unpaid",IF(SUMIFS('Payments'!$C$2:$C$500,'Payments'!$B$2:$B$500,$A119,'Payments'!$G$2:$G$500,"confirmed")&gt;=$K119,"paid","partial")))</x:f>
      </x:c>
      <x:c r="M119" s="19"/>
      <x:c r="N119" s="26"/>
      <x:c r="O119" s="26"/>
      <x:c r="P119" s="19"/>
      <x:c r="Q119" s="26"/>
      <x:c r="R119" s="19"/>
      <x:c r="S119" s="26"/>
      <x:c r="T119" s="19"/>
      <x:c r="U119" s="19"/>
    </x:row>
    <x:row r="120">
      <x:c r="A120" s="19"/>
      <x:c r="B120" s="19"/>
      <x:c r="C120" s="19"/>
      <x:c r="D120" s="19"/>
      <x:c r="E120" s="19"/>
      <x:c r="F120" s="19"/>
      <x:c r="G120" s="26"/>
      <x:c r="H120" s="96" t="str">
        <x:f>IF($A120="","",SUMIFS('OrderItems'!$I$2:$I$500,'OrderItems'!$B$2:$B$500,$A120))</x:f>
      </x:c>
      <x:c r="I120" s="25"/>
      <x:c r="J120" s="25"/>
      <x:c r="K120" s="96" t="str">
        <x:f>IF($A120="","",$H120-$I120+$J120)</x:f>
      </x:c>
      <x:c r="L120" s="116" t="str">
        <x:f>IF($A120="","",IF(SUMIFS('Payments'!$C$2:$C$500,'Payments'!$B$2:$B$500,$A120,'Payments'!$G$2:$G$500,"confirmed")&lt;=0,"unpaid",IF(SUMIFS('Payments'!$C$2:$C$500,'Payments'!$B$2:$B$500,$A120,'Payments'!$G$2:$G$500,"confirmed")&gt;=$K120,"paid","partial")))</x:f>
      </x:c>
      <x:c r="M120" s="19"/>
      <x:c r="N120" s="26"/>
      <x:c r="O120" s="26"/>
      <x:c r="P120" s="19"/>
      <x:c r="Q120" s="26"/>
      <x:c r="R120" s="19"/>
      <x:c r="S120" s="26"/>
      <x:c r="T120" s="19"/>
      <x:c r="U120" s="19"/>
    </x:row>
    <x:row r="121">
      <x:c r="A121" s="19"/>
      <x:c r="B121" s="19"/>
      <x:c r="C121" s="19"/>
      <x:c r="D121" s="19"/>
      <x:c r="E121" s="19"/>
      <x:c r="F121" s="19"/>
      <x:c r="G121" s="26"/>
      <x:c r="H121" s="96" t="str">
        <x:f>IF($A121="","",SUMIFS('OrderItems'!$I$2:$I$500,'OrderItems'!$B$2:$B$500,$A121))</x:f>
      </x:c>
      <x:c r="I121" s="25"/>
      <x:c r="J121" s="25"/>
      <x:c r="K121" s="96" t="str">
        <x:f>IF($A121="","",$H121-$I121+$J121)</x:f>
      </x:c>
      <x:c r="L121" s="116" t="str">
        <x:f>IF($A121="","",IF(SUMIFS('Payments'!$C$2:$C$500,'Payments'!$B$2:$B$500,$A121,'Payments'!$G$2:$G$500,"confirmed")&lt;=0,"unpaid",IF(SUMIFS('Payments'!$C$2:$C$500,'Payments'!$B$2:$B$500,$A121,'Payments'!$G$2:$G$500,"confirmed")&gt;=$K121,"paid","partial")))</x:f>
      </x:c>
      <x:c r="M121" s="19"/>
      <x:c r="N121" s="26"/>
      <x:c r="O121" s="26"/>
      <x:c r="P121" s="19"/>
      <x:c r="Q121" s="26"/>
      <x:c r="R121" s="19"/>
      <x:c r="S121" s="26"/>
      <x:c r="T121" s="19"/>
      <x:c r="U121" s="19"/>
    </x:row>
    <x:row r="122">
      <x:c r="A122" s="19"/>
      <x:c r="B122" s="19"/>
      <x:c r="C122" s="19"/>
      <x:c r="D122" s="19"/>
      <x:c r="E122" s="19"/>
      <x:c r="F122" s="19"/>
      <x:c r="G122" s="26"/>
      <x:c r="H122" s="96" t="str">
        <x:f>IF($A122="","",SUMIFS('OrderItems'!$I$2:$I$500,'OrderItems'!$B$2:$B$500,$A122))</x:f>
      </x:c>
      <x:c r="I122" s="25"/>
      <x:c r="J122" s="25"/>
      <x:c r="K122" s="96" t="str">
        <x:f>IF($A122="","",$H122-$I122+$J122)</x:f>
      </x:c>
      <x:c r="L122" s="116" t="str">
        <x:f>IF($A122="","",IF(SUMIFS('Payments'!$C$2:$C$500,'Payments'!$B$2:$B$500,$A122,'Payments'!$G$2:$G$500,"confirmed")&lt;=0,"unpaid",IF(SUMIFS('Payments'!$C$2:$C$500,'Payments'!$B$2:$B$500,$A122,'Payments'!$G$2:$G$500,"confirmed")&gt;=$K122,"paid","partial")))</x:f>
      </x:c>
      <x:c r="M122" s="19"/>
      <x:c r="N122" s="26"/>
      <x:c r="O122" s="26"/>
      <x:c r="P122" s="19"/>
      <x:c r="Q122" s="26"/>
      <x:c r="R122" s="19"/>
      <x:c r="S122" s="26"/>
      <x:c r="T122" s="19"/>
      <x:c r="U122" s="19"/>
    </x:row>
    <x:row r="123">
      <x:c r="A123" s="19"/>
      <x:c r="B123" s="19"/>
      <x:c r="C123" s="19"/>
      <x:c r="D123" s="19"/>
      <x:c r="E123" s="19"/>
      <x:c r="F123" s="19"/>
      <x:c r="G123" s="26"/>
      <x:c r="H123" s="96" t="str">
        <x:f>IF($A123="","",SUMIFS('OrderItems'!$I$2:$I$500,'OrderItems'!$B$2:$B$500,$A123))</x:f>
      </x:c>
      <x:c r="I123" s="25"/>
      <x:c r="J123" s="25"/>
      <x:c r="K123" s="96" t="str">
        <x:f>IF($A123="","",$H123-$I123+$J123)</x:f>
      </x:c>
      <x:c r="L123" s="116" t="str">
        <x:f>IF($A123="","",IF(SUMIFS('Payments'!$C$2:$C$500,'Payments'!$B$2:$B$500,$A123,'Payments'!$G$2:$G$500,"confirmed")&lt;=0,"unpaid",IF(SUMIFS('Payments'!$C$2:$C$500,'Payments'!$B$2:$B$500,$A123,'Payments'!$G$2:$G$500,"confirmed")&gt;=$K123,"paid","partial")))</x:f>
      </x:c>
      <x:c r="M123" s="19"/>
      <x:c r="N123" s="26"/>
      <x:c r="O123" s="26"/>
      <x:c r="P123" s="19"/>
      <x:c r="Q123" s="26"/>
      <x:c r="R123" s="19"/>
      <x:c r="S123" s="26"/>
      <x:c r="T123" s="19"/>
      <x:c r="U123" s="19"/>
    </x:row>
    <x:row r="124">
      <x:c r="A124" s="19"/>
      <x:c r="B124" s="19"/>
      <x:c r="C124" s="19"/>
      <x:c r="D124" s="19"/>
      <x:c r="E124" s="19"/>
      <x:c r="F124" s="19"/>
      <x:c r="G124" s="26"/>
      <x:c r="H124" s="96" t="str">
        <x:f>IF($A124="","",SUMIFS('OrderItems'!$I$2:$I$500,'OrderItems'!$B$2:$B$500,$A124))</x:f>
      </x:c>
      <x:c r="I124" s="25"/>
      <x:c r="J124" s="25"/>
      <x:c r="K124" s="96" t="str">
        <x:f>IF($A124="","",$H124-$I124+$J124)</x:f>
      </x:c>
      <x:c r="L124" s="116" t="str">
        <x:f>IF($A124="","",IF(SUMIFS('Payments'!$C$2:$C$500,'Payments'!$B$2:$B$500,$A124,'Payments'!$G$2:$G$500,"confirmed")&lt;=0,"unpaid",IF(SUMIFS('Payments'!$C$2:$C$500,'Payments'!$B$2:$B$500,$A124,'Payments'!$G$2:$G$500,"confirmed")&gt;=$K124,"paid","partial")))</x:f>
      </x:c>
      <x:c r="M124" s="19"/>
      <x:c r="N124" s="26"/>
      <x:c r="O124" s="26"/>
      <x:c r="P124" s="19"/>
      <x:c r="Q124" s="26"/>
      <x:c r="R124" s="19"/>
      <x:c r="S124" s="26"/>
      <x:c r="T124" s="19"/>
      <x:c r="U124" s="19"/>
    </x:row>
    <x:row r="125">
      <x:c r="A125" s="19"/>
      <x:c r="B125" s="19"/>
      <x:c r="C125" s="19"/>
      <x:c r="D125" s="19"/>
      <x:c r="E125" s="19"/>
      <x:c r="F125" s="19"/>
      <x:c r="G125" s="26"/>
      <x:c r="H125" s="96" t="str">
        <x:f>IF($A125="","",SUMIFS('OrderItems'!$I$2:$I$500,'OrderItems'!$B$2:$B$500,$A125))</x:f>
      </x:c>
      <x:c r="I125" s="25"/>
      <x:c r="J125" s="25"/>
      <x:c r="K125" s="96" t="str">
        <x:f>IF($A125="","",$H125-$I125+$J125)</x:f>
      </x:c>
      <x:c r="L125" s="116" t="str">
        <x:f>IF($A125="","",IF(SUMIFS('Payments'!$C$2:$C$500,'Payments'!$B$2:$B$500,$A125,'Payments'!$G$2:$G$500,"confirmed")&lt;=0,"unpaid",IF(SUMIFS('Payments'!$C$2:$C$500,'Payments'!$B$2:$B$500,$A125,'Payments'!$G$2:$G$500,"confirmed")&gt;=$K125,"paid","partial")))</x:f>
      </x:c>
      <x:c r="M125" s="19"/>
      <x:c r="N125" s="26"/>
      <x:c r="O125" s="26"/>
      <x:c r="P125" s="19"/>
      <x:c r="Q125" s="26"/>
      <x:c r="R125" s="19"/>
      <x:c r="S125" s="26"/>
      <x:c r="T125" s="19"/>
      <x:c r="U125" s="19"/>
    </x:row>
    <x:row r="126">
      <x:c r="A126" s="19"/>
      <x:c r="B126" s="19"/>
      <x:c r="C126" s="19"/>
      <x:c r="D126" s="19"/>
      <x:c r="E126" s="19"/>
      <x:c r="F126" s="19"/>
      <x:c r="G126" s="26"/>
      <x:c r="H126" s="96" t="str">
        <x:f>IF($A126="","",SUMIFS('OrderItems'!$I$2:$I$500,'OrderItems'!$B$2:$B$500,$A126))</x:f>
      </x:c>
      <x:c r="I126" s="25"/>
      <x:c r="J126" s="25"/>
      <x:c r="K126" s="96" t="str">
        <x:f>IF($A126="","",$H126-$I126+$J126)</x:f>
      </x:c>
      <x:c r="L126" s="116" t="str">
        <x:f>IF($A126="","",IF(SUMIFS('Payments'!$C$2:$C$500,'Payments'!$B$2:$B$500,$A126,'Payments'!$G$2:$G$500,"confirmed")&lt;=0,"unpaid",IF(SUMIFS('Payments'!$C$2:$C$500,'Payments'!$B$2:$B$500,$A126,'Payments'!$G$2:$G$500,"confirmed")&gt;=$K126,"paid","partial")))</x:f>
      </x:c>
      <x:c r="M126" s="19"/>
      <x:c r="N126" s="26"/>
      <x:c r="O126" s="26"/>
      <x:c r="P126" s="19"/>
      <x:c r="Q126" s="26"/>
      <x:c r="R126" s="19"/>
      <x:c r="S126" s="26"/>
      <x:c r="T126" s="19"/>
      <x:c r="U126" s="19"/>
    </x:row>
    <x:row r="127">
      <x:c r="A127" s="19"/>
      <x:c r="B127" s="19"/>
      <x:c r="C127" s="19"/>
      <x:c r="D127" s="19"/>
      <x:c r="E127" s="19"/>
      <x:c r="F127" s="19"/>
      <x:c r="G127" s="26"/>
      <x:c r="H127" s="96" t="str">
        <x:f>IF($A127="","",SUMIFS('OrderItems'!$I$2:$I$500,'OrderItems'!$B$2:$B$500,$A127))</x:f>
      </x:c>
      <x:c r="I127" s="25"/>
      <x:c r="J127" s="25"/>
      <x:c r="K127" s="96" t="str">
        <x:f>IF($A127="","",$H127-$I127+$J127)</x:f>
      </x:c>
      <x:c r="L127" s="116" t="str">
        <x:f>IF($A127="","",IF(SUMIFS('Payments'!$C$2:$C$500,'Payments'!$B$2:$B$500,$A127,'Payments'!$G$2:$G$500,"confirmed")&lt;=0,"unpaid",IF(SUMIFS('Payments'!$C$2:$C$500,'Payments'!$B$2:$B$500,$A127,'Payments'!$G$2:$G$500,"confirmed")&gt;=$K127,"paid","partial")))</x:f>
      </x:c>
      <x:c r="M127" s="19"/>
      <x:c r="N127" s="26"/>
      <x:c r="O127" s="26"/>
      <x:c r="P127" s="19"/>
      <x:c r="Q127" s="26"/>
      <x:c r="R127" s="19"/>
      <x:c r="S127" s="26"/>
      <x:c r="T127" s="19"/>
      <x:c r="U127" s="19"/>
    </x:row>
    <x:row r="128">
      <x:c r="A128" s="19"/>
      <x:c r="B128" s="19"/>
      <x:c r="C128" s="19"/>
      <x:c r="D128" s="19"/>
      <x:c r="E128" s="19"/>
      <x:c r="F128" s="19"/>
      <x:c r="G128" s="26"/>
      <x:c r="H128" s="96" t="str">
        <x:f>IF($A128="","",SUMIFS('OrderItems'!$I$2:$I$500,'OrderItems'!$B$2:$B$500,$A128))</x:f>
      </x:c>
      <x:c r="I128" s="25"/>
      <x:c r="J128" s="25"/>
      <x:c r="K128" s="96" t="str">
        <x:f>IF($A128="","",$H128-$I128+$J128)</x:f>
      </x:c>
      <x:c r="L128" s="116" t="str">
        <x:f>IF($A128="","",IF(SUMIFS('Payments'!$C$2:$C$500,'Payments'!$B$2:$B$500,$A128,'Payments'!$G$2:$G$500,"confirmed")&lt;=0,"unpaid",IF(SUMIFS('Payments'!$C$2:$C$500,'Payments'!$B$2:$B$500,$A128,'Payments'!$G$2:$G$500,"confirmed")&gt;=$K128,"paid","partial")))</x:f>
      </x:c>
      <x:c r="M128" s="19"/>
      <x:c r="N128" s="26"/>
      <x:c r="O128" s="26"/>
      <x:c r="P128" s="19"/>
      <x:c r="Q128" s="26"/>
      <x:c r="R128" s="19"/>
      <x:c r="S128" s="26"/>
      <x:c r="T128" s="19"/>
      <x:c r="U128" s="19"/>
    </x:row>
    <x:row r="129">
      <x:c r="A129" s="19"/>
      <x:c r="B129" s="19"/>
      <x:c r="C129" s="19"/>
      <x:c r="D129" s="19"/>
      <x:c r="E129" s="19"/>
      <x:c r="F129" s="19"/>
      <x:c r="G129" s="26"/>
      <x:c r="H129" s="96" t="str">
        <x:f>IF($A129="","",SUMIFS('OrderItems'!$I$2:$I$500,'OrderItems'!$B$2:$B$500,$A129))</x:f>
      </x:c>
      <x:c r="I129" s="25"/>
      <x:c r="J129" s="25"/>
      <x:c r="K129" s="96" t="str">
        <x:f>IF($A129="","",$H129-$I129+$J129)</x:f>
      </x:c>
      <x:c r="L129" s="116" t="str">
        <x:f>IF($A129="","",IF(SUMIFS('Payments'!$C$2:$C$500,'Payments'!$B$2:$B$500,$A129,'Payments'!$G$2:$G$500,"confirmed")&lt;=0,"unpaid",IF(SUMIFS('Payments'!$C$2:$C$500,'Payments'!$B$2:$B$500,$A129,'Payments'!$G$2:$G$500,"confirmed")&gt;=$K129,"paid","partial")))</x:f>
      </x:c>
      <x:c r="M129" s="19"/>
      <x:c r="N129" s="26"/>
      <x:c r="O129" s="26"/>
      <x:c r="P129" s="19"/>
      <x:c r="Q129" s="26"/>
      <x:c r="R129" s="19"/>
      <x:c r="S129" s="26"/>
      <x:c r="T129" s="19"/>
      <x:c r="U129" s="19"/>
    </x:row>
    <x:row r="130">
      <x:c r="A130" s="19"/>
      <x:c r="B130" s="19"/>
      <x:c r="C130" s="19"/>
      <x:c r="D130" s="19"/>
      <x:c r="E130" s="19"/>
      <x:c r="F130" s="19"/>
      <x:c r="G130" s="26"/>
      <x:c r="H130" s="96" t="str">
        <x:f>IF($A130="","",SUMIFS('OrderItems'!$I$2:$I$500,'OrderItems'!$B$2:$B$500,$A130))</x:f>
      </x:c>
      <x:c r="I130" s="25"/>
      <x:c r="J130" s="25"/>
      <x:c r="K130" s="96" t="str">
        <x:f>IF($A130="","",$H130-$I130+$J130)</x:f>
      </x:c>
      <x:c r="L130" s="116" t="str">
        <x:f>IF($A130="","",IF(SUMIFS('Payments'!$C$2:$C$500,'Payments'!$B$2:$B$500,$A130,'Payments'!$G$2:$G$500,"confirmed")&lt;=0,"unpaid",IF(SUMIFS('Payments'!$C$2:$C$500,'Payments'!$B$2:$B$500,$A130,'Payments'!$G$2:$G$500,"confirmed")&gt;=$K130,"paid","partial")))</x:f>
      </x:c>
      <x:c r="M130" s="19"/>
      <x:c r="N130" s="26"/>
      <x:c r="O130" s="26"/>
      <x:c r="P130" s="19"/>
      <x:c r="Q130" s="26"/>
      <x:c r="R130" s="19"/>
      <x:c r="S130" s="26"/>
      <x:c r="T130" s="19"/>
      <x:c r="U130" s="19"/>
    </x:row>
    <x:row r="131">
      <x:c r="A131" s="19"/>
      <x:c r="B131" s="19"/>
      <x:c r="C131" s="19"/>
      <x:c r="D131" s="19"/>
      <x:c r="E131" s="19"/>
      <x:c r="F131" s="19"/>
      <x:c r="G131" s="26"/>
      <x:c r="H131" s="96" t="str">
        <x:f>IF($A131="","",SUMIFS('OrderItems'!$I$2:$I$500,'OrderItems'!$B$2:$B$500,$A131))</x:f>
      </x:c>
      <x:c r="I131" s="25"/>
      <x:c r="J131" s="25"/>
      <x:c r="K131" s="96" t="str">
        <x:f>IF($A131="","",$H131-$I131+$J131)</x:f>
      </x:c>
      <x:c r="L131" s="116" t="str">
        <x:f>IF($A131="","",IF(SUMIFS('Payments'!$C$2:$C$500,'Payments'!$B$2:$B$500,$A131,'Payments'!$G$2:$G$500,"confirmed")&lt;=0,"unpaid",IF(SUMIFS('Payments'!$C$2:$C$500,'Payments'!$B$2:$B$500,$A131,'Payments'!$G$2:$G$500,"confirmed")&gt;=$K131,"paid","partial")))</x:f>
      </x:c>
      <x:c r="M131" s="19"/>
      <x:c r="N131" s="26"/>
      <x:c r="O131" s="26"/>
      <x:c r="P131" s="19"/>
      <x:c r="Q131" s="26"/>
      <x:c r="R131" s="19"/>
      <x:c r="S131" s="26"/>
      <x:c r="T131" s="19"/>
      <x:c r="U131" s="19"/>
    </x:row>
    <x:row r="132">
      <x:c r="A132" s="19"/>
      <x:c r="B132" s="19"/>
      <x:c r="C132" s="19"/>
      <x:c r="D132" s="19"/>
      <x:c r="E132" s="19"/>
      <x:c r="F132" s="19"/>
      <x:c r="G132" s="26"/>
      <x:c r="H132" s="96" t="str">
        <x:f>IF($A132="","",SUMIFS('OrderItems'!$I$2:$I$500,'OrderItems'!$B$2:$B$500,$A132))</x:f>
      </x:c>
      <x:c r="I132" s="25"/>
      <x:c r="J132" s="25"/>
      <x:c r="K132" s="96" t="str">
        <x:f>IF($A132="","",$H132-$I132+$J132)</x:f>
      </x:c>
      <x:c r="L132" s="116" t="str">
        <x:f>IF($A132="","",IF(SUMIFS('Payments'!$C$2:$C$500,'Payments'!$B$2:$B$500,$A132,'Payments'!$G$2:$G$500,"confirmed")&lt;=0,"unpaid",IF(SUMIFS('Payments'!$C$2:$C$500,'Payments'!$B$2:$B$500,$A132,'Payments'!$G$2:$G$500,"confirmed")&gt;=$K132,"paid","partial")))</x:f>
      </x:c>
      <x:c r="M132" s="19"/>
      <x:c r="N132" s="26"/>
      <x:c r="O132" s="26"/>
      <x:c r="P132" s="19"/>
      <x:c r="Q132" s="26"/>
      <x:c r="R132" s="19"/>
      <x:c r="S132" s="26"/>
      <x:c r="T132" s="19"/>
      <x:c r="U132" s="19"/>
    </x:row>
    <x:row r="133">
      <x:c r="A133" s="19"/>
      <x:c r="B133" s="19"/>
      <x:c r="C133" s="19"/>
      <x:c r="D133" s="19"/>
      <x:c r="E133" s="19"/>
      <x:c r="F133" s="19"/>
      <x:c r="G133" s="26"/>
      <x:c r="H133" s="96" t="str">
        <x:f>IF($A133="","",SUMIFS('OrderItems'!$I$2:$I$500,'OrderItems'!$B$2:$B$500,$A133))</x:f>
      </x:c>
      <x:c r="I133" s="25"/>
      <x:c r="J133" s="25"/>
      <x:c r="K133" s="96" t="str">
        <x:f>IF($A133="","",$H133-$I133+$J133)</x:f>
      </x:c>
      <x:c r="L133" s="116" t="str">
        <x:f>IF($A133="","",IF(SUMIFS('Payments'!$C$2:$C$500,'Payments'!$B$2:$B$500,$A133,'Payments'!$G$2:$G$500,"confirmed")&lt;=0,"unpaid",IF(SUMIFS('Payments'!$C$2:$C$500,'Payments'!$B$2:$B$500,$A133,'Payments'!$G$2:$G$500,"confirmed")&gt;=$K133,"paid","partial")))</x:f>
      </x:c>
      <x:c r="M133" s="19"/>
      <x:c r="N133" s="26"/>
      <x:c r="O133" s="26"/>
      <x:c r="P133" s="19"/>
      <x:c r="Q133" s="26"/>
      <x:c r="R133" s="19"/>
      <x:c r="S133" s="26"/>
      <x:c r="T133" s="19"/>
      <x:c r="U133" s="19"/>
    </x:row>
    <x:row r="134">
      <x:c r="A134" s="19"/>
      <x:c r="B134" s="19"/>
      <x:c r="C134" s="19"/>
      <x:c r="D134" s="19"/>
      <x:c r="E134" s="19"/>
      <x:c r="F134" s="19"/>
      <x:c r="G134" s="26"/>
      <x:c r="H134" s="96" t="str">
        <x:f>IF($A134="","",SUMIFS('OrderItems'!$I$2:$I$500,'OrderItems'!$B$2:$B$500,$A134))</x:f>
      </x:c>
      <x:c r="I134" s="25"/>
      <x:c r="J134" s="25"/>
      <x:c r="K134" s="96" t="str">
        <x:f>IF($A134="","",$H134-$I134+$J134)</x:f>
      </x:c>
      <x:c r="L134" s="116" t="str">
        <x:f>IF($A134="","",IF(SUMIFS('Payments'!$C$2:$C$500,'Payments'!$B$2:$B$500,$A134,'Payments'!$G$2:$G$500,"confirmed")&lt;=0,"unpaid",IF(SUMIFS('Payments'!$C$2:$C$500,'Payments'!$B$2:$B$500,$A134,'Payments'!$G$2:$G$500,"confirmed")&gt;=$K134,"paid","partial")))</x:f>
      </x:c>
      <x:c r="M134" s="19"/>
      <x:c r="N134" s="26"/>
      <x:c r="O134" s="26"/>
      <x:c r="P134" s="19"/>
      <x:c r="Q134" s="26"/>
      <x:c r="R134" s="19"/>
      <x:c r="S134" s="26"/>
      <x:c r="T134" s="19"/>
      <x:c r="U134" s="19"/>
    </x:row>
    <x:row r="135">
      <x:c r="A135" s="19"/>
      <x:c r="B135" s="19"/>
      <x:c r="C135" s="19"/>
      <x:c r="D135" s="19"/>
      <x:c r="E135" s="19"/>
      <x:c r="F135" s="19"/>
      <x:c r="G135" s="26"/>
      <x:c r="H135" s="96" t="str">
        <x:f>IF($A135="","",SUMIFS('OrderItems'!$I$2:$I$500,'OrderItems'!$B$2:$B$500,$A135))</x:f>
      </x:c>
      <x:c r="I135" s="25"/>
      <x:c r="J135" s="25"/>
      <x:c r="K135" s="96" t="str">
        <x:f>IF($A135="","",$H135-$I135+$J135)</x:f>
      </x:c>
      <x:c r="L135" s="116" t="str">
        <x:f>IF($A135="","",IF(SUMIFS('Payments'!$C$2:$C$500,'Payments'!$B$2:$B$500,$A135,'Payments'!$G$2:$G$500,"confirmed")&lt;=0,"unpaid",IF(SUMIFS('Payments'!$C$2:$C$500,'Payments'!$B$2:$B$500,$A135,'Payments'!$G$2:$G$500,"confirmed")&gt;=$K135,"paid","partial")))</x:f>
      </x:c>
      <x:c r="M135" s="19"/>
      <x:c r="N135" s="26"/>
      <x:c r="O135" s="26"/>
      <x:c r="P135" s="19"/>
      <x:c r="Q135" s="26"/>
      <x:c r="R135" s="19"/>
      <x:c r="S135" s="26"/>
      <x:c r="T135" s="19"/>
      <x:c r="U135" s="19"/>
    </x:row>
    <x:row r="136">
      <x:c r="A136" s="19"/>
      <x:c r="B136" s="19"/>
      <x:c r="C136" s="19"/>
      <x:c r="D136" s="19"/>
      <x:c r="E136" s="19"/>
      <x:c r="F136" s="19"/>
      <x:c r="G136" s="26"/>
      <x:c r="H136" s="96" t="str">
        <x:f>IF($A136="","",SUMIFS('OrderItems'!$I$2:$I$500,'OrderItems'!$B$2:$B$500,$A136))</x:f>
      </x:c>
      <x:c r="I136" s="25"/>
      <x:c r="J136" s="25"/>
      <x:c r="K136" s="96" t="str">
        <x:f>IF($A136="","",$H136-$I136+$J136)</x:f>
      </x:c>
      <x:c r="L136" s="116" t="str">
        <x:f>IF($A136="","",IF(SUMIFS('Payments'!$C$2:$C$500,'Payments'!$B$2:$B$500,$A136,'Payments'!$G$2:$G$500,"confirmed")&lt;=0,"unpaid",IF(SUMIFS('Payments'!$C$2:$C$500,'Payments'!$B$2:$B$500,$A136,'Payments'!$G$2:$G$500,"confirmed")&gt;=$K136,"paid","partial")))</x:f>
      </x:c>
      <x:c r="M136" s="19"/>
      <x:c r="N136" s="26"/>
      <x:c r="O136" s="26"/>
      <x:c r="P136" s="19"/>
      <x:c r="Q136" s="26"/>
      <x:c r="R136" s="19"/>
      <x:c r="S136" s="26"/>
      <x:c r="T136" s="19"/>
      <x:c r="U136" s="19"/>
    </x:row>
    <x:row r="137">
      <x:c r="A137" s="19"/>
      <x:c r="B137" s="19"/>
      <x:c r="C137" s="19"/>
      <x:c r="D137" s="19"/>
      <x:c r="E137" s="19"/>
      <x:c r="F137" s="19"/>
      <x:c r="G137" s="26"/>
      <x:c r="H137" s="96" t="str">
        <x:f>IF($A137="","",SUMIFS('OrderItems'!$I$2:$I$500,'OrderItems'!$B$2:$B$500,$A137))</x:f>
      </x:c>
      <x:c r="I137" s="25"/>
      <x:c r="J137" s="25"/>
      <x:c r="K137" s="96" t="str">
        <x:f>IF($A137="","",$H137-$I137+$J137)</x:f>
      </x:c>
      <x:c r="L137" s="116" t="str">
        <x:f>IF($A137="","",IF(SUMIFS('Payments'!$C$2:$C$500,'Payments'!$B$2:$B$500,$A137,'Payments'!$G$2:$G$500,"confirmed")&lt;=0,"unpaid",IF(SUMIFS('Payments'!$C$2:$C$500,'Payments'!$B$2:$B$500,$A137,'Payments'!$G$2:$G$500,"confirmed")&gt;=$K137,"paid","partial")))</x:f>
      </x:c>
      <x:c r="M137" s="19"/>
      <x:c r="N137" s="26"/>
      <x:c r="O137" s="26"/>
      <x:c r="P137" s="19"/>
      <x:c r="Q137" s="26"/>
      <x:c r="R137" s="19"/>
      <x:c r="S137" s="26"/>
      <x:c r="T137" s="19"/>
      <x:c r="U137" s="19"/>
    </x:row>
    <x:row r="138">
      <x:c r="A138" s="19"/>
      <x:c r="B138" s="19"/>
      <x:c r="C138" s="19"/>
      <x:c r="D138" s="19"/>
      <x:c r="E138" s="19"/>
      <x:c r="F138" s="19"/>
      <x:c r="G138" s="26"/>
      <x:c r="H138" s="96" t="str">
        <x:f>IF($A138="","",SUMIFS('OrderItems'!$I$2:$I$500,'OrderItems'!$B$2:$B$500,$A138))</x:f>
      </x:c>
      <x:c r="I138" s="25"/>
      <x:c r="J138" s="25"/>
      <x:c r="K138" s="96" t="str">
        <x:f>IF($A138="","",$H138-$I138+$J138)</x:f>
      </x:c>
      <x:c r="L138" s="116" t="str">
        <x:f>IF($A138="","",IF(SUMIFS('Payments'!$C$2:$C$500,'Payments'!$B$2:$B$500,$A138,'Payments'!$G$2:$G$500,"confirmed")&lt;=0,"unpaid",IF(SUMIFS('Payments'!$C$2:$C$500,'Payments'!$B$2:$B$500,$A138,'Payments'!$G$2:$G$500,"confirmed")&gt;=$K138,"paid","partial")))</x:f>
      </x:c>
      <x:c r="M138" s="19"/>
      <x:c r="N138" s="26"/>
      <x:c r="O138" s="26"/>
      <x:c r="P138" s="19"/>
      <x:c r="Q138" s="26"/>
      <x:c r="R138" s="19"/>
      <x:c r="S138" s="26"/>
      <x:c r="T138" s="19"/>
      <x:c r="U138" s="19"/>
    </x:row>
    <x:row r="139">
      <x:c r="A139" s="19"/>
      <x:c r="B139" s="19"/>
      <x:c r="C139" s="19"/>
      <x:c r="D139" s="19"/>
      <x:c r="E139" s="19"/>
      <x:c r="F139" s="19"/>
      <x:c r="G139" s="26"/>
      <x:c r="H139" s="96" t="str">
        <x:f>IF($A139="","",SUMIFS('OrderItems'!$I$2:$I$500,'OrderItems'!$B$2:$B$500,$A139))</x:f>
      </x:c>
      <x:c r="I139" s="25"/>
      <x:c r="J139" s="25"/>
      <x:c r="K139" s="96" t="str">
        <x:f>IF($A139="","",$H139-$I139+$J139)</x:f>
      </x:c>
      <x:c r="L139" s="116" t="str">
        <x:f>IF($A139="","",IF(SUMIFS('Payments'!$C$2:$C$500,'Payments'!$B$2:$B$500,$A139,'Payments'!$G$2:$G$500,"confirmed")&lt;=0,"unpaid",IF(SUMIFS('Payments'!$C$2:$C$500,'Payments'!$B$2:$B$500,$A139,'Payments'!$G$2:$G$500,"confirmed")&gt;=$K139,"paid","partial")))</x:f>
      </x:c>
      <x:c r="M139" s="19"/>
      <x:c r="N139" s="26"/>
      <x:c r="O139" s="26"/>
      <x:c r="P139" s="19"/>
      <x:c r="Q139" s="26"/>
      <x:c r="R139" s="19"/>
      <x:c r="S139" s="26"/>
      <x:c r="T139" s="19"/>
      <x:c r="U139" s="19"/>
    </x:row>
    <x:row r="140">
      <x:c r="A140" s="19"/>
      <x:c r="B140" s="19"/>
      <x:c r="C140" s="19"/>
      <x:c r="D140" s="19"/>
      <x:c r="E140" s="19"/>
      <x:c r="F140" s="19"/>
      <x:c r="G140" s="26"/>
      <x:c r="H140" s="96" t="str">
        <x:f>IF($A140="","",SUMIFS('OrderItems'!$I$2:$I$500,'OrderItems'!$B$2:$B$500,$A140))</x:f>
      </x:c>
      <x:c r="I140" s="25"/>
      <x:c r="J140" s="25"/>
      <x:c r="K140" s="96" t="str">
        <x:f>IF($A140="","",$H140-$I140+$J140)</x:f>
      </x:c>
      <x:c r="L140" s="116" t="str">
        <x:f>IF($A140="","",IF(SUMIFS('Payments'!$C$2:$C$500,'Payments'!$B$2:$B$500,$A140,'Payments'!$G$2:$G$500,"confirmed")&lt;=0,"unpaid",IF(SUMIFS('Payments'!$C$2:$C$500,'Payments'!$B$2:$B$500,$A140,'Payments'!$G$2:$G$500,"confirmed")&gt;=$K140,"paid","partial")))</x:f>
      </x:c>
      <x:c r="M140" s="19"/>
      <x:c r="N140" s="26"/>
      <x:c r="O140" s="26"/>
      <x:c r="P140" s="19"/>
      <x:c r="Q140" s="26"/>
      <x:c r="R140" s="19"/>
      <x:c r="S140" s="26"/>
      <x:c r="T140" s="19"/>
      <x:c r="U140" s="19"/>
    </x:row>
    <x:row r="141">
      <x:c r="A141" s="19"/>
      <x:c r="B141" s="19"/>
      <x:c r="C141" s="19"/>
      <x:c r="D141" s="19"/>
      <x:c r="E141" s="19"/>
      <x:c r="F141" s="19"/>
      <x:c r="G141" s="26"/>
      <x:c r="H141" s="96" t="str">
        <x:f>IF($A141="","",SUMIFS('OrderItems'!$I$2:$I$500,'OrderItems'!$B$2:$B$500,$A141))</x:f>
      </x:c>
      <x:c r="I141" s="25"/>
      <x:c r="J141" s="25"/>
      <x:c r="K141" s="96" t="str">
        <x:f>IF($A141="","",$H141-$I141+$J141)</x:f>
      </x:c>
      <x:c r="L141" s="116" t="str">
        <x:f>IF($A141="","",IF(SUMIFS('Payments'!$C$2:$C$500,'Payments'!$B$2:$B$500,$A141,'Payments'!$G$2:$G$500,"confirmed")&lt;=0,"unpaid",IF(SUMIFS('Payments'!$C$2:$C$500,'Payments'!$B$2:$B$500,$A141,'Payments'!$G$2:$G$500,"confirmed")&gt;=$K141,"paid","partial")))</x:f>
      </x:c>
      <x:c r="M141" s="19"/>
      <x:c r="N141" s="26"/>
      <x:c r="O141" s="26"/>
      <x:c r="P141" s="19"/>
      <x:c r="Q141" s="26"/>
      <x:c r="R141" s="19"/>
      <x:c r="S141" s="26"/>
      <x:c r="T141" s="19"/>
      <x:c r="U141" s="19"/>
    </x:row>
    <x:row r="142">
      <x:c r="A142" s="19"/>
      <x:c r="B142" s="19"/>
      <x:c r="C142" s="19"/>
      <x:c r="D142" s="19"/>
      <x:c r="E142" s="19"/>
      <x:c r="F142" s="19"/>
      <x:c r="G142" s="26"/>
      <x:c r="H142" s="96" t="str">
        <x:f>IF($A142="","",SUMIFS('OrderItems'!$I$2:$I$500,'OrderItems'!$B$2:$B$500,$A142))</x:f>
      </x:c>
      <x:c r="I142" s="25"/>
      <x:c r="J142" s="25"/>
      <x:c r="K142" s="96" t="str">
        <x:f>IF($A142="","",$H142-$I142+$J142)</x:f>
      </x:c>
      <x:c r="L142" s="116" t="str">
        <x:f>IF($A142="","",IF(SUMIFS('Payments'!$C$2:$C$500,'Payments'!$B$2:$B$500,$A142,'Payments'!$G$2:$G$500,"confirmed")&lt;=0,"unpaid",IF(SUMIFS('Payments'!$C$2:$C$500,'Payments'!$B$2:$B$500,$A142,'Payments'!$G$2:$G$500,"confirmed")&gt;=$K142,"paid","partial")))</x:f>
      </x:c>
      <x:c r="M142" s="19"/>
      <x:c r="N142" s="26"/>
      <x:c r="O142" s="26"/>
      <x:c r="P142" s="19"/>
      <x:c r="Q142" s="26"/>
      <x:c r="R142" s="19"/>
      <x:c r="S142" s="26"/>
      <x:c r="T142" s="19"/>
      <x:c r="U142" s="19"/>
    </x:row>
    <x:row r="143">
      <x:c r="A143" s="19"/>
      <x:c r="B143" s="19"/>
      <x:c r="C143" s="19"/>
      <x:c r="D143" s="19"/>
      <x:c r="E143" s="19"/>
      <x:c r="F143" s="19"/>
      <x:c r="G143" s="26"/>
      <x:c r="H143" s="96" t="str">
        <x:f>IF($A143="","",SUMIFS('OrderItems'!$I$2:$I$500,'OrderItems'!$B$2:$B$500,$A143))</x:f>
      </x:c>
      <x:c r="I143" s="25"/>
      <x:c r="J143" s="25"/>
      <x:c r="K143" s="96" t="str">
        <x:f>IF($A143="","",$H143-$I143+$J143)</x:f>
      </x:c>
      <x:c r="L143" s="116" t="str">
        <x:f>IF($A143="","",IF(SUMIFS('Payments'!$C$2:$C$500,'Payments'!$B$2:$B$500,$A143,'Payments'!$G$2:$G$500,"confirmed")&lt;=0,"unpaid",IF(SUMIFS('Payments'!$C$2:$C$500,'Payments'!$B$2:$B$500,$A143,'Payments'!$G$2:$G$500,"confirmed")&gt;=$K143,"paid","partial")))</x:f>
      </x:c>
      <x:c r="M143" s="19"/>
      <x:c r="N143" s="26"/>
      <x:c r="O143" s="26"/>
      <x:c r="P143" s="19"/>
      <x:c r="Q143" s="26"/>
      <x:c r="R143" s="19"/>
      <x:c r="S143" s="26"/>
      <x:c r="T143" s="19"/>
      <x:c r="U143" s="19"/>
    </x:row>
    <x:row r="144">
      <x:c r="A144" s="19"/>
      <x:c r="B144" s="19"/>
      <x:c r="C144" s="19"/>
      <x:c r="D144" s="19"/>
      <x:c r="E144" s="19"/>
      <x:c r="F144" s="19"/>
      <x:c r="G144" s="26"/>
      <x:c r="H144" s="96" t="str">
        <x:f>IF($A144="","",SUMIFS('OrderItems'!$I$2:$I$500,'OrderItems'!$B$2:$B$500,$A144))</x:f>
      </x:c>
      <x:c r="I144" s="25"/>
      <x:c r="J144" s="25"/>
      <x:c r="K144" s="96" t="str">
        <x:f>IF($A144="","",$H144-$I144+$J144)</x:f>
      </x:c>
      <x:c r="L144" s="116" t="str">
        <x:f>IF($A144="","",IF(SUMIFS('Payments'!$C$2:$C$500,'Payments'!$B$2:$B$500,$A144,'Payments'!$G$2:$G$500,"confirmed")&lt;=0,"unpaid",IF(SUMIFS('Payments'!$C$2:$C$500,'Payments'!$B$2:$B$500,$A144,'Payments'!$G$2:$G$500,"confirmed")&gt;=$K144,"paid","partial")))</x:f>
      </x:c>
      <x:c r="M144" s="19"/>
      <x:c r="N144" s="26"/>
      <x:c r="O144" s="26"/>
      <x:c r="P144" s="19"/>
      <x:c r="Q144" s="26"/>
      <x:c r="R144" s="19"/>
      <x:c r="S144" s="26"/>
      <x:c r="T144" s="19"/>
      <x:c r="U144" s="19"/>
    </x:row>
    <x:row r="145">
      <x:c r="A145" s="19"/>
      <x:c r="B145" s="19"/>
      <x:c r="C145" s="19"/>
      <x:c r="D145" s="19"/>
      <x:c r="E145" s="19"/>
      <x:c r="F145" s="19"/>
      <x:c r="G145" s="26"/>
      <x:c r="H145" s="96" t="str">
        <x:f>IF($A145="","",SUMIFS('OrderItems'!$I$2:$I$500,'OrderItems'!$B$2:$B$500,$A145))</x:f>
      </x:c>
      <x:c r="I145" s="25"/>
      <x:c r="J145" s="25"/>
      <x:c r="K145" s="96" t="str">
        <x:f>IF($A145="","",$H145-$I145+$J145)</x:f>
      </x:c>
      <x:c r="L145" s="116" t="str">
        <x:f>IF($A145="","",IF(SUMIFS('Payments'!$C$2:$C$500,'Payments'!$B$2:$B$500,$A145,'Payments'!$G$2:$G$500,"confirmed")&lt;=0,"unpaid",IF(SUMIFS('Payments'!$C$2:$C$500,'Payments'!$B$2:$B$500,$A145,'Payments'!$G$2:$G$500,"confirmed")&gt;=$K145,"paid","partial")))</x:f>
      </x:c>
      <x:c r="M145" s="19"/>
      <x:c r="N145" s="26"/>
      <x:c r="O145" s="26"/>
      <x:c r="P145" s="19"/>
      <x:c r="Q145" s="26"/>
      <x:c r="R145" s="19"/>
      <x:c r="S145" s="26"/>
      <x:c r="T145" s="19"/>
      <x:c r="U145" s="19"/>
    </x:row>
    <x:row r="146">
      <x:c r="A146" s="19"/>
      <x:c r="B146" s="19"/>
      <x:c r="C146" s="19"/>
      <x:c r="D146" s="19"/>
      <x:c r="E146" s="19"/>
      <x:c r="F146" s="19"/>
      <x:c r="G146" s="26"/>
      <x:c r="H146" s="96" t="str">
        <x:f>IF($A146="","",SUMIFS('OrderItems'!$I$2:$I$500,'OrderItems'!$B$2:$B$500,$A146))</x:f>
      </x:c>
      <x:c r="I146" s="25"/>
      <x:c r="J146" s="25"/>
      <x:c r="K146" s="96" t="str">
        <x:f>IF($A146="","",$H146-$I146+$J146)</x:f>
      </x:c>
      <x:c r="L146" s="116" t="str">
        <x:f>IF($A146="","",IF(SUMIFS('Payments'!$C$2:$C$500,'Payments'!$B$2:$B$500,$A146,'Payments'!$G$2:$G$500,"confirmed")&lt;=0,"unpaid",IF(SUMIFS('Payments'!$C$2:$C$500,'Payments'!$B$2:$B$500,$A146,'Payments'!$G$2:$G$500,"confirmed")&gt;=$K146,"paid","partial")))</x:f>
      </x:c>
      <x:c r="M146" s="19"/>
      <x:c r="N146" s="26"/>
      <x:c r="O146" s="26"/>
      <x:c r="P146" s="19"/>
      <x:c r="Q146" s="26"/>
      <x:c r="R146" s="19"/>
      <x:c r="S146" s="26"/>
      <x:c r="T146" s="19"/>
      <x:c r="U146" s="19"/>
    </x:row>
    <x:row r="147">
      <x:c r="A147" s="19"/>
      <x:c r="B147" s="19"/>
      <x:c r="C147" s="19"/>
      <x:c r="D147" s="19"/>
      <x:c r="E147" s="19"/>
      <x:c r="F147" s="19"/>
      <x:c r="G147" s="26"/>
      <x:c r="H147" s="96" t="str">
        <x:f>IF($A147="","",SUMIFS('OrderItems'!$I$2:$I$500,'OrderItems'!$B$2:$B$500,$A147))</x:f>
      </x:c>
      <x:c r="I147" s="25"/>
      <x:c r="J147" s="25"/>
      <x:c r="K147" s="96" t="str">
        <x:f>IF($A147="","",$H147-$I147+$J147)</x:f>
      </x:c>
      <x:c r="L147" s="116" t="str">
        <x:f>IF($A147="","",IF(SUMIFS('Payments'!$C$2:$C$500,'Payments'!$B$2:$B$500,$A147,'Payments'!$G$2:$G$500,"confirmed")&lt;=0,"unpaid",IF(SUMIFS('Payments'!$C$2:$C$500,'Payments'!$B$2:$B$500,$A147,'Payments'!$G$2:$G$500,"confirmed")&gt;=$K147,"paid","partial")))</x:f>
      </x:c>
      <x:c r="M147" s="19"/>
      <x:c r="N147" s="26"/>
      <x:c r="O147" s="26"/>
      <x:c r="P147" s="19"/>
      <x:c r="Q147" s="26"/>
      <x:c r="R147" s="19"/>
      <x:c r="S147" s="26"/>
      <x:c r="T147" s="19"/>
      <x:c r="U147" s="19"/>
    </x:row>
    <x:row r="148">
      <x:c r="A148" s="19"/>
      <x:c r="B148" s="19"/>
      <x:c r="C148" s="19"/>
      <x:c r="D148" s="19"/>
      <x:c r="E148" s="19"/>
      <x:c r="F148" s="19"/>
      <x:c r="G148" s="26"/>
      <x:c r="H148" s="96" t="str">
        <x:f>IF($A148="","",SUMIFS('OrderItems'!$I$2:$I$500,'OrderItems'!$B$2:$B$500,$A148))</x:f>
      </x:c>
      <x:c r="I148" s="25"/>
      <x:c r="J148" s="25"/>
      <x:c r="K148" s="96" t="str">
        <x:f>IF($A148="","",$H148-$I148+$J148)</x:f>
      </x:c>
      <x:c r="L148" s="116" t="str">
        <x:f>IF($A148="","",IF(SUMIFS('Payments'!$C$2:$C$500,'Payments'!$B$2:$B$500,$A148,'Payments'!$G$2:$G$500,"confirmed")&lt;=0,"unpaid",IF(SUMIFS('Payments'!$C$2:$C$500,'Payments'!$B$2:$B$500,$A148,'Payments'!$G$2:$G$500,"confirmed")&gt;=$K148,"paid","partial")))</x:f>
      </x:c>
      <x:c r="M148" s="19"/>
      <x:c r="N148" s="26"/>
      <x:c r="O148" s="26"/>
      <x:c r="P148" s="19"/>
      <x:c r="Q148" s="26"/>
      <x:c r="R148" s="19"/>
      <x:c r="S148" s="26"/>
      <x:c r="T148" s="19"/>
      <x:c r="U148" s="19"/>
    </x:row>
    <x:row r="149">
      <x:c r="A149" s="19"/>
      <x:c r="B149" s="19"/>
      <x:c r="C149" s="19"/>
      <x:c r="D149" s="19"/>
      <x:c r="E149" s="19"/>
      <x:c r="F149" s="19"/>
      <x:c r="G149" s="26"/>
      <x:c r="H149" s="96" t="str">
        <x:f>IF($A149="","",SUMIFS('OrderItems'!$I$2:$I$500,'OrderItems'!$B$2:$B$500,$A149))</x:f>
      </x:c>
      <x:c r="I149" s="25"/>
      <x:c r="J149" s="25"/>
      <x:c r="K149" s="96" t="str">
        <x:f>IF($A149="","",$H149-$I149+$J149)</x:f>
      </x:c>
      <x:c r="L149" s="116" t="str">
        <x:f>IF($A149="","",IF(SUMIFS('Payments'!$C$2:$C$500,'Payments'!$B$2:$B$500,$A149,'Payments'!$G$2:$G$500,"confirmed")&lt;=0,"unpaid",IF(SUMIFS('Payments'!$C$2:$C$500,'Payments'!$B$2:$B$500,$A149,'Payments'!$G$2:$G$500,"confirmed")&gt;=$K149,"paid","partial")))</x:f>
      </x:c>
      <x:c r="M149" s="19"/>
      <x:c r="N149" s="26"/>
      <x:c r="O149" s="26"/>
      <x:c r="P149" s="19"/>
      <x:c r="Q149" s="26"/>
      <x:c r="R149" s="19"/>
      <x:c r="S149" s="26"/>
      <x:c r="T149" s="19"/>
      <x:c r="U149" s="19"/>
    </x:row>
    <x:row r="150">
      <x:c r="A150" s="19"/>
      <x:c r="B150" s="19"/>
      <x:c r="C150" s="19"/>
      <x:c r="D150" s="19"/>
      <x:c r="E150" s="19"/>
      <x:c r="F150" s="19"/>
      <x:c r="G150" s="26"/>
      <x:c r="H150" s="96" t="str">
        <x:f>IF($A150="","",SUMIFS('OrderItems'!$I$2:$I$500,'OrderItems'!$B$2:$B$500,$A150))</x:f>
      </x:c>
      <x:c r="I150" s="25"/>
      <x:c r="J150" s="25"/>
      <x:c r="K150" s="96" t="str">
        <x:f>IF($A150="","",$H150-$I150+$J150)</x:f>
      </x:c>
      <x:c r="L150" s="116" t="str">
        <x:f>IF($A150="","",IF(SUMIFS('Payments'!$C$2:$C$500,'Payments'!$B$2:$B$500,$A150,'Payments'!$G$2:$G$500,"confirmed")&lt;=0,"unpaid",IF(SUMIFS('Payments'!$C$2:$C$500,'Payments'!$B$2:$B$500,$A150,'Payments'!$G$2:$G$500,"confirmed")&gt;=$K150,"paid","partial")))</x:f>
      </x:c>
      <x:c r="M150" s="19"/>
      <x:c r="N150" s="26"/>
      <x:c r="O150" s="26"/>
      <x:c r="P150" s="19"/>
      <x:c r="Q150" s="26"/>
      <x:c r="R150" s="19"/>
      <x:c r="S150" s="26"/>
      <x:c r="T150" s="19"/>
      <x:c r="U150" s="19"/>
    </x:row>
    <x:row r="151">
      <x:c r="A151" s="19"/>
      <x:c r="B151" s="19"/>
      <x:c r="C151" s="19"/>
      <x:c r="D151" s="19"/>
      <x:c r="E151" s="19"/>
      <x:c r="F151" s="19"/>
      <x:c r="G151" s="26"/>
      <x:c r="H151" s="96" t="str">
        <x:f>IF($A151="","",SUMIFS('OrderItems'!$I$2:$I$500,'OrderItems'!$B$2:$B$500,$A151))</x:f>
      </x:c>
      <x:c r="I151" s="25"/>
      <x:c r="J151" s="25"/>
      <x:c r="K151" s="96" t="str">
        <x:f>IF($A151="","",$H151-$I151+$J151)</x:f>
      </x:c>
      <x:c r="L151" s="116" t="str">
        <x:f>IF($A151="","",IF(SUMIFS('Payments'!$C$2:$C$500,'Payments'!$B$2:$B$500,$A151,'Payments'!$G$2:$G$500,"confirmed")&lt;=0,"unpaid",IF(SUMIFS('Payments'!$C$2:$C$500,'Payments'!$B$2:$B$500,$A151,'Payments'!$G$2:$G$500,"confirmed")&gt;=$K151,"paid","partial")))</x:f>
      </x:c>
      <x:c r="M151" s="19"/>
      <x:c r="N151" s="26"/>
      <x:c r="O151" s="26"/>
      <x:c r="P151" s="19"/>
      <x:c r="Q151" s="26"/>
      <x:c r="R151" s="19"/>
      <x:c r="S151" s="26"/>
      <x:c r="T151" s="19"/>
      <x:c r="U151" s="19"/>
    </x:row>
    <x:row r="152">
      <x:c r="A152" s="19"/>
      <x:c r="B152" s="19"/>
      <x:c r="C152" s="19"/>
      <x:c r="D152" s="19"/>
      <x:c r="E152" s="19"/>
      <x:c r="F152" s="19"/>
      <x:c r="G152" s="26"/>
      <x:c r="H152" s="96" t="str">
        <x:f>IF($A152="","",SUMIFS('OrderItems'!$I$2:$I$500,'OrderItems'!$B$2:$B$500,$A152))</x:f>
      </x:c>
      <x:c r="I152" s="25"/>
      <x:c r="J152" s="25"/>
      <x:c r="K152" s="96" t="str">
        <x:f>IF($A152="","",$H152-$I152+$J152)</x:f>
      </x:c>
      <x:c r="L152" s="116" t="str">
        <x:f>IF($A152="","",IF(SUMIFS('Payments'!$C$2:$C$500,'Payments'!$B$2:$B$500,$A152,'Payments'!$G$2:$G$500,"confirmed")&lt;=0,"unpaid",IF(SUMIFS('Payments'!$C$2:$C$500,'Payments'!$B$2:$B$500,$A152,'Payments'!$G$2:$G$500,"confirmed")&gt;=$K152,"paid","partial")))</x:f>
      </x:c>
      <x:c r="M152" s="19"/>
      <x:c r="N152" s="26"/>
      <x:c r="O152" s="26"/>
      <x:c r="P152" s="19"/>
      <x:c r="Q152" s="26"/>
      <x:c r="R152" s="19"/>
      <x:c r="S152" s="26"/>
      <x:c r="T152" s="19"/>
      <x:c r="U152" s="19"/>
    </x:row>
    <x:row r="153">
      <x:c r="A153" s="19"/>
      <x:c r="B153" s="19"/>
      <x:c r="C153" s="19"/>
      <x:c r="D153" s="19"/>
      <x:c r="E153" s="19"/>
      <x:c r="F153" s="19"/>
      <x:c r="G153" s="26"/>
      <x:c r="H153" s="96" t="str">
        <x:f>IF($A153="","",SUMIFS('OrderItems'!$I$2:$I$500,'OrderItems'!$B$2:$B$500,$A153))</x:f>
      </x:c>
      <x:c r="I153" s="25"/>
      <x:c r="J153" s="25"/>
      <x:c r="K153" s="96" t="str">
        <x:f>IF($A153="","",$H153-$I153+$J153)</x:f>
      </x:c>
      <x:c r="L153" s="116" t="str">
        <x:f>IF($A153="","",IF(SUMIFS('Payments'!$C$2:$C$500,'Payments'!$B$2:$B$500,$A153,'Payments'!$G$2:$G$500,"confirmed")&lt;=0,"unpaid",IF(SUMIFS('Payments'!$C$2:$C$500,'Payments'!$B$2:$B$500,$A153,'Payments'!$G$2:$G$500,"confirmed")&gt;=$K153,"paid","partial")))</x:f>
      </x:c>
      <x:c r="M153" s="19"/>
      <x:c r="N153" s="26"/>
      <x:c r="O153" s="26"/>
      <x:c r="P153" s="19"/>
      <x:c r="Q153" s="26"/>
      <x:c r="R153" s="19"/>
      <x:c r="S153" s="26"/>
      <x:c r="T153" s="19"/>
      <x:c r="U153" s="19"/>
    </x:row>
    <x:row r="154">
      <x:c r="A154" s="19"/>
      <x:c r="B154" s="19"/>
      <x:c r="C154" s="19"/>
      <x:c r="D154" s="19"/>
      <x:c r="E154" s="19"/>
      <x:c r="F154" s="19"/>
      <x:c r="G154" s="26"/>
      <x:c r="H154" s="96" t="str">
        <x:f>IF($A154="","",SUMIFS('OrderItems'!$I$2:$I$500,'OrderItems'!$B$2:$B$500,$A154))</x:f>
      </x:c>
      <x:c r="I154" s="25"/>
      <x:c r="J154" s="25"/>
      <x:c r="K154" s="96" t="str">
        <x:f>IF($A154="","",$H154-$I154+$J154)</x:f>
      </x:c>
      <x:c r="L154" s="116" t="str">
        <x:f>IF($A154="","",IF(SUMIFS('Payments'!$C$2:$C$500,'Payments'!$B$2:$B$500,$A154,'Payments'!$G$2:$G$500,"confirmed")&lt;=0,"unpaid",IF(SUMIFS('Payments'!$C$2:$C$500,'Payments'!$B$2:$B$500,$A154,'Payments'!$G$2:$G$500,"confirmed")&gt;=$K154,"paid","partial")))</x:f>
      </x:c>
      <x:c r="M154" s="19"/>
      <x:c r="N154" s="26"/>
      <x:c r="O154" s="26"/>
      <x:c r="P154" s="19"/>
      <x:c r="Q154" s="26"/>
      <x:c r="R154" s="19"/>
      <x:c r="S154" s="26"/>
      <x:c r="T154" s="19"/>
      <x:c r="U154" s="19"/>
    </x:row>
    <x:row r="155">
      <x:c r="A155" s="19"/>
      <x:c r="B155" s="19"/>
      <x:c r="C155" s="19"/>
      <x:c r="D155" s="19"/>
      <x:c r="E155" s="19"/>
      <x:c r="F155" s="19"/>
      <x:c r="G155" s="26"/>
      <x:c r="H155" s="96" t="str">
        <x:f>IF($A155="","",SUMIFS('OrderItems'!$I$2:$I$500,'OrderItems'!$B$2:$B$500,$A155))</x:f>
      </x:c>
      <x:c r="I155" s="25"/>
      <x:c r="J155" s="25"/>
      <x:c r="K155" s="96" t="str">
        <x:f>IF($A155="","",$H155-$I155+$J155)</x:f>
      </x:c>
      <x:c r="L155" s="116" t="str">
        <x:f>IF($A155="","",IF(SUMIFS('Payments'!$C$2:$C$500,'Payments'!$B$2:$B$500,$A155,'Payments'!$G$2:$G$500,"confirmed")&lt;=0,"unpaid",IF(SUMIFS('Payments'!$C$2:$C$500,'Payments'!$B$2:$B$500,$A155,'Payments'!$G$2:$G$500,"confirmed")&gt;=$K155,"paid","partial")))</x:f>
      </x:c>
      <x:c r="M155" s="19"/>
      <x:c r="N155" s="26"/>
      <x:c r="O155" s="26"/>
      <x:c r="P155" s="19"/>
      <x:c r="Q155" s="26"/>
      <x:c r="R155" s="19"/>
      <x:c r="S155" s="26"/>
      <x:c r="T155" s="19"/>
      <x:c r="U155" s="19"/>
    </x:row>
    <x:row r="156">
      <x:c r="A156" s="19"/>
      <x:c r="B156" s="19"/>
      <x:c r="C156" s="19"/>
      <x:c r="D156" s="19"/>
      <x:c r="E156" s="19"/>
      <x:c r="F156" s="19"/>
      <x:c r="G156" s="26"/>
      <x:c r="H156" s="96" t="str">
        <x:f>IF($A156="","",SUMIFS('OrderItems'!$I$2:$I$500,'OrderItems'!$B$2:$B$500,$A156))</x:f>
      </x:c>
      <x:c r="I156" s="25"/>
      <x:c r="J156" s="25"/>
      <x:c r="K156" s="96" t="str">
        <x:f>IF($A156="","",$H156-$I156+$J156)</x:f>
      </x:c>
      <x:c r="L156" s="116" t="str">
        <x:f>IF($A156="","",IF(SUMIFS('Payments'!$C$2:$C$500,'Payments'!$B$2:$B$500,$A156,'Payments'!$G$2:$G$500,"confirmed")&lt;=0,"unpaid",IF(SUMIFS('Payments'!$C$2:$C$500,'Payments'!$B$2:$B$500,$A156,'Payments'!$G$2:$G$500,"confirmed")&gt;=$K156,"paid","partial")))</x:f>
      </x:c>
      <x:c r="M156" s="19"/>
      <x:c r="N156" s="26"/>
      <x:c r="O156" s="26"/>
      <x:c r="P156" s="19"/>
      <x:c r="Q156" s="26"/>
      <x:c r="R156" s="19"/>
      <x:c r="S156" s="26"/>
      <x:c r="T156" s="19"/>
      <x:c r="U156" s="19"/>
    </x:row>
    <x:row r="157">
      <x:c r="A157" s="19"/>
      <x:c r="B157" s="19"/>
      <x:c r="C157" s="19"/>
      <x:c r="D157" s="19"/>
      <x:c r="E157" s="19"/>
      <x:c r="F157" s="19"/>
      <x:c r="G157" s="26"/>
      <x:c r="H157" s="96" t="str">
        <x:f>IF($A157="","",SUMIFS('OrderItems'!$I$2:$I$500,'OrderItems'!$B$2:$B$500,$A157))</x:f>
      </x:c>
      <x:c r="I157" s="25"/>
      <x:c r="J157" s="25"/>
      <x:c r="K157" s="96" t="str">
        <x:f>IF($A157="","",$H157-$I157+$J157)</x:f>
      </x:c>
      <x:c r="L157" s="116" t="str">
        <x:f>IF($A157="","",IF(SUMIFS('Payments'!$C$2:$C$500,'Payments'!$B$2:$B$500,$A157,'Payments'!$G$2:$G$500,"confirmed")&lt;=0,"unpaid",IF(SUMIFS('Payments'!$C$2:$C$500,'Payments'!$B$2:$B$500,$A157,'Payments'!$G$2:$G$500,"confirmed")&gt;=$K157,"paid","partial")))</x:f>
      </x:c>
      <x:c r="M157" s="19"/>
      <x:c r="N157" s="26"/>
      <x:c r="O157" s="26"/>
      <x:c r="P157" s="19"/>
      <x:c r="Q157" s="26"/>
      <x:c r="R157" s="19"/>
      <x:c r="S157" s="26"/>
      <x:c r="T157" s="19"/>
      <x:c r="U157" s="19"/>
    </x:row>
    <x:row r="158">
      <x:c r="A158" s="19"/>
      <x:c r="B158" s="19"/>
      <x:c r="C158" s="19"/>
      <x:c r="D158" s="19"/>
      <x:c r="E158" s="19"/>
      <x:c r="F158" s="19"/>
      <x:c r="G158" s="26"/>
      <x:c r="H158" s="96" t="str">
        <x:f>IF($A158="","",SUMIFS('OrderItems'!$I$2:$I$500,'OrderItems'!$B$2:$B$500,$A158))</x:f>
      </x:c>
      <x:c r="I158" s="25"/>
      <x:c r="J158" s="25"/>
      <x:c r="K158" s="96" t="str">
        <x:f>IF($A158="","",$H158-$I158+$J158)</x:f>
      </x:c>
      <x:c r="L158" s="116" t="str">
        <x:f>IF($A158="","",IF(SUMIFS('Payments'!$C$2:$C$500,'Payments'!$B$2:$B$500,$A158,'Payments'!$G$2:$G$500,"confirmed")&lt;=0,"unpaid",IF(SUMIFS('Payments'!$C$2:$C$500,'Payments'!$B$2:$B$500,$A158,'Payments'!$G$2:$G$500,"confirmed")&gt;=$K158,"paid","partial")))</x:f>
      </x:c>
      <x:c r="M158" s="19"/>
      <x:c r="N158" s="26"/>
      <x:c r="O158" s="26"/>
      <x:c r="P158" s="19"/>
      <x:c r="Q158" s="26"/>
      <x:c r="R158" s="19"/>
      <x:c r="S158" s="26"/>
      <x:c r="T158" s="19"/>
      <x:c r="U158" s="19"/>
    </x:row>
    <x:row r="159">
      <x:c r="A159" s="19"/>
      <x:c r="B159" s="19"/>
      <x:c r="C159" s="19"/>
      <x:c r="D159" s="19"/>
      <x:c r="E159" s="19"/>
      <x:c r="F159" s="19"/>
      <x:c r="G159" s="26"/>
      <x:c r="H159" s="96" t="str">
        <x:f>IF($A159="","",SUMIFS('OrderItems'!$I$2:$I$500,'OrderItems'!$B$2:$B$500,$A159))</x:f>
      </x:c>
      <x:c r="I159" s="25"/>
      <x:c r="J159" s="25"/>
      <x:c r="K159" s="96" t="str">
        <x:f>IF($A159="","",$H159-$I159+$J159)</x:f>
      </x:c>
      <x:c r="L159" s="116" t="str">
        <x:f>IF($A159="","",IF(SUMIFS('Payments'!$C$2:$C$500,'Payments'!$B$2:$B$500,$A159,'Payments'!$G$2:$G$500,"confirmed")&lt;=0,"unpaid",IF(SUMIFS('Payments'!$C$2:$C$500,'Payments'!$B$2:$B$500,$A159,'Payments'!$G$2:$G$500,"confirmed")&gt;=$K159,"paid","partial")))</x:f>
      </x:c>
      <x:c r="M159" s="19"/>
      <x:c r="N159" s="26"/>
      <x:c r="O159" s="26"/>
      <x:c r="P159" s="19"/>
      <x:c r="Q159" s="26"/>
      <x:c r="R159" s="19"/>
      <x:c r="S159" s="26"/>
      <x:c r="T159" s="19"/>
      <x:c r="U159" s="19"/>
    </x:row>
    <x:row r="160">
      <x:c r="A160" s="19"/>
      <x:c r="B160" s="19"/>
      <x:c r="C160" s="19"/>
      <x:c r="D160" s="19"/>
      <x:c r="E160" s="19"/>
      <x:c r="F160" s="19"/>
      <x:c r="G160" s="26"/>
      <x:c r="H160" s="96" t="str">
        <x:f>IF($A160="","",SUMIFS('OrderItems'!$I$2:$I$500,'OrderItems'!$B$2:$B$500,$A160))</x:f>
      </x:c>
      <x:c r="I160" s="25"/>
      <x:c r="J160" s="25"/>
      <x:c r="K160" s="96" t="str">
        <x:f>IF($A160="","",$H160-$I160+$J160)</x:f>
      </x:c>
      <x:c r="L160" s="116" t="str">
        <x:f>IF($A160="","",IF(SUMIFS('Payments'!$C$2:$C$500,'Payments'!$B$2:$B$500,$A160,'Payments'!$G$2:$G$500,"confirmed")&lt;=0,"unpaid",IF(SUMIFS('Payments'!$C$2:$C$500,'Payments'!$B$2:$B$500,$A160,'Payments'!$G$2:$G$500,"confirmed")&gt;=$K160,"paid","partial")))</x:f>
      </x:c>
      <x:c r="M160" s="19"/>
      <x:c r="N160" s="26"/>
      <x:c r="O160" s="26"/>
      <x:c r="P160" s="19"/>
      <x:c r="Q160" s="26"/>
      <x:c r="R160" s="19"/>
      <x:c r="S160" s="26"/>
      <x:c r="T160" s="19"/>
      <x:c r="U160" s="19"/>
    </x:row>
    <x:row r="161">
      <x:c r="A161" s="19"/>
      <x:c r="B161" s="19"/>
      <x:c r="C161" s="19"/>
      <x:c r="D161" s="19"/>
      <x:c r="E161" s="19"/>
      <x:c r="F161" s="19"/>
      <x:c r="G161" s="26"/>
      <x:c r="H161" s="96" t="str">
        <x:f>IF($A161="","",SUMIFS('OrderItems'!$I$2:$I$500,'OrderItems'!$B$2:$B$500,$A161))</x:f>
      </x:c>
      <x:c r="I161" s="25"/>
      <x:c r="J161" s="25"/>
      <x:c r="K161" s="96" t="str">
        <x:f>IF($A161="","",$H161-$I161+$J161)</x:f>
      </x:c>
      <x:c r="L161" s="116" t="str">
        <x:f>IF($A161="","",IF(SUMIFS('Payments'!$C$2:$C$500,'Payments'!$B$2:$B$500,$A161,'Payments'!$G$2:$G$500,"confirmed")&lt;=0,"unpaid",IF(SUMIFS('Payments'!$C$2:$C$500,'Payments'!$B$2:$B$500,$A161,'Payments'!$G$2:$G$500,"confirmed")&gt;=$K161,"paid","partial")))</x:f>
      </x:c>
      <x:c r="M161" s="19"/>
      <x:c r="N161" s="26"/>
      <x:c r="O161" s="26"/>
      <x:c r="P161" s="19"/>
      <x:c r="Q161" s="26"/>
      <x:c r="R161" s="19"/>
      <x:c r="S161" s="26"/>
      <x:c r="T161" s="19"/>
      <x:c r="U161" s="19"/>
    </x:row>
    <x:row r="162">
      <x:c r="A162" s="19"/>
      <x:c r="B162" s="19"/>
      <x:c r="C162" s="19"/>
      <x:c r="D162" s="19"/>
      <x:c r="E162" s="19"/>
      <x:c r="F162" s="19"/>
      <x:c r="G162" s="26"/>
      <x:c r="H162" s="96" t="str">
        <x:f>IF($A162="","",SUMIFS('OrderItems'!$I$2:$I$500,'OrderItems'!$B$2:$B$500,$A162))</x:f>
      </x:c>
      <x:c r="I162" s="25"/>
      <x:c r="J162" s="25"/>
      <x:c r="K162" s="96" t="str">
        <x:f>IF($A162="","",$H162-$I162+$J162)</x:f>
      </x:c>
      <x:c r="L162" s="116" t="str">
        <x:f>IF($A162="","",IF(SUMIFS('Payments'!$C$2:$C$500,'Payments'!$B$2:$B$500,$A162,'Payments'!$G$2:$G$500,"confirmed")&lt;=0,"unpaid",IF(SUMIFS('Payments'!$C$2:$C$500,'Payments'!$B$2:$B$500,$A162,'Payments'!$G$2:$G$500,"confirmed")&gt;=$K162,"paid","partial")))</x:f>
      </x:c>
      <x:c r="M162" s="19"/>
      <x:c r="N162" s="26"/>
      <x:c r="O162" s="26"/>
      <x:c r="P162" s="19"/>
      <x:c r="Q162" s="26"/>
      <x:c r="R162" s="19"/>
      <x:c r="S162" s="26"/>
      <x:c r="T162" s="19"/>
      <x:c r="U162" s="19"/>
    </x:row>
    <x:row r="163">
      <x:c r="A163" s="19"/>
      <x:c r="B163" s="19"/>
      <x:c r="C163" s="19"/>
      <x:c r="D163" s="19"/>
      <x:c r="E163" s="19"/>
      <x:c r="F163" s="19"/>
      <x:c r="G163" s="26"/>
      <x:c r="H163" s="96" t="str">
        <x:f>IF($A163="","",SUMIFS('OrderItems'!$I$2:$I$500,'OrderItems'!$B$2:$B$500,$A163))</x:f>
      </x:c>
      <x:c r="I163" s="25"/>
      <x:c r="J163" s="25"/>
      <x:c r="K163" s="96" t="str">
        <x:f>IF($A163="","",$H163-$I163+$J163)</x:f>
      </x:c>
      <x:c r="L163" s="116" t="str">
        <x:f>IF($A163="","",IF(SUMIFS('Payments'!$C$2:$C$500,'Payments'!$B$2:$B$500,$A163,'Payments'!$G$2:$G$500,"confirmed")&lt;=0,"unpaid",IF(SUMIFS('Payments'!$C$2:$C$500,'Payments'!$B$2:$B$500,$A163,'Payments'!$G$2:$G$500,"confirmed")&gt;=$K163,"paid","partial")))</x:f>
      </x:c>
      <x:c r="M163" s="19"/>
      <x:c r="N163" s="26"/>
      <x:c r="O163" s="26"/>
      <x:c r="P163" s="19"/>
      <x:c r="Q163" s="26"/>
      <x:c r="R163" s="19"/>
      <x:c r="S163" s="26"/>
      <x:c r="T163" s="19"/>
      <x:c r="U163" s="19"/>
    </x:row>
    <x:row r="164">
      <x:c r="A164" s="19"/>
      <x:c r="B164" s="19"/>
      <x:c r="C164" s="19"/>
      <x:c r="D164" s="19"/>
      <x:c r="E164" s="19"/>
      <x:c r="F164" s="19"/>
      <x:c r="G164" s="26"/>
      <x:c r="H164" s="96" t="str">
        <x:f>IF($A164="","",SUMIFS('OrderItems'!$I$2:$I$500,'OrderItems'!$B$2:$B$500,$A164))</x:f>
      </x:c>
      <x:c r="I164" s="25"/>
      <x:c r="J164" s="25"/>
      <x:c r="K164" s="96" t="str">
        <x:f>IF($A164="","",$H164-$I164+$J164)</x:f>
      </x:c>
      <x:c r="L164" s="116" t="str">
        <x:f>IF($A164="","",IF(SUMIFS('Payments'!$C$2:$C$500,'Payments'!$B$2:$B$500,$A164,'Payments'!$G$2:$G$500,"confirmed")&lt;=0,"unpaid",IF(SUMIFS('Payments'!$C$2:$C$500,'Payments'!$B$2:$B$500,$A164,'Payments'!$G$2:$G$500,"confirmed")&gt;=$K164,"paid","partial")))</x:f>
      </x:c>
      <x:c r="M164" s="19"/>
      <x:c r="N164" s="26"/>
      <x:c r="O164" s="26"/>
      <x:c r="P164" s="19"/>
      <x:c r="Q164" s="26"/>
      <x:c r="R164" s="19"/>
      <x:c r="S164" s="26"/>
      <x:c r="T164" s="19"/>
      <x:c r="U164" s="19"/>
    </x:row>
    <x:row r="165">
      <x:c r="A165" s="19"/>
      <x:c r="B165" s="19"/>
      <x:c r="C165" s="19"/>
      <x:c r="D165" s="19"/>
      <x:c r="E165" s="19"/>
      <x:c r="F165" s="19"/>
      <x:c r="G165" s="26"/>
      <x:c r="H165" s="96" t="str">
        <x:f>IF($A165="","",SUMIFS('OrderItems'!$I$2:$I$500,'OrderItems'!$B$2:$B$500,$A165))</x:f>
      </x:c>
      <x:c r="I165" s="25"/>
      <x:c r="J165" s="25"/>
      <x:c r="K165" s="96" t="str">
        <x:f>IF($A165="","",$H165-$I165+$J165)</x:f>
      </x:c>
      <x:c r="L165" s="116" t="str">
        <x:f>IF($A165="","",IF(SUMIFS('Payments'!$C$2:$C$500,'Payments'!$B$2:$B$500,$A165,'Payments'!$G$2:$G$500,"confirmed")&lt;=0,"unpaid",IF(SUMIFS('Payments'!$C$2:$C$500,'Payments'!$B$2:$B$500,$A165,'Payments'!$G$2:$G$500,"confirmed")&gt;=$K165,"paid","partial")))</x:f>
      </x:c>
      <x:c r="M165" s="19"/>
      <x:c r="N165" s="26"/>
      <x:c r="O165" s="26"/>
      <x:c r="P165" s="19"/>
      <x:c r="Q165" s="26"/>
      <x:c r="R165" s="19"/>
      <x:c r="S165" s="26"/>
      <x:c r="T165" s="19"/>
      <x:c r="U165" s="19"/>
    </x:row>
    <x:row r="166">
      <x:c r="A166" s="19"/>
      <x:c r="B166" s="19"/>
      <x:c r="C166" s="19"/>
      <x:c r="D166" s="19"/>
      <x:c r="E166" s="19"/>
      <x:c r="F166" s="19"/>
      <x:c r="G166" s="26"/>
      <x:c r="H166" s="96" t="str">
        <x:f>IF($A166="","",SUMIFS('OrderItems'!$I$2:$I$500,'OrderItems'!$B$2:$B$500,$A166))</x:f>
      </x:c>
      <x:c r="I166" s="25"/>
      <x:c r="J166" s="25"/>
      <x:c r="K166" s="96" t="str">
        <x:f>IF($A166="","",$H166-$I166+$J166)</x:f>
      </x:c>
      <x:c r="L166" s="116" t="str">
        <x:f>IF($A166="","",IF(SUMIFS('Payments'!$C$2:$C$500,'Payments'!$B$2:$B$500,$A166,'Payments'!$G$2:$G$500,"confirmed")&lt;=0,"unpaid",IF(SUMIFS('Payments'!$C$2:$C$500,'Payments'!$B$2:$B$500,$A166,'Payments'!$G$2:$G$500,"confirmed")&gt;=$K166,"paid","partial")))</x:f>
      </x:c>
      <x:c r="M166" s="19"/>
      <x:c r="N166" s="26"/>
      <x:c r="O166" s="26"/>
      <x:c r="P166" s="19"/>
      <x:c r="Q166" s="26"/>
      <x:c r="R166" s="19"/>
      <x:c r="S166" s="26"/>
      <x:c r="T166" s="19"/>
      <x:c r="U166" s="19"/>
    </x:row>
    <x:row r="167">
      <x:c r="A167" s="19"/>
      <x:c r="B167" s="19"/>
      <x:c r="C167" s="19"/>
      <x:c r="D167" s="19"/>
      <x:c r="E167" s="19"/>
      <x:c r="F167" s="19"/>
      <x:c r="G167" s="26"/>
      <x:c r="H167" s="96" t="str">
        <x:f>IF($A167="","",SUMIFS('OrderItems'!$I$2:$I$500,'OrderItems'!$B$2:$B$500,$A167))</x:f>
      </x:c>
      <x:c r="I167" s="25"/>
      <x:c r="J167" s="25"/>
      <x:c r="K167" s="96" t="str">
        <x:f>IF($A167="","",$H167-$I167+$J167)</x:f>
      </x:c>
      <x:c r="L167" s="116" t="str">
        <x:f>IF($A167="","",IF(SUMIFS('Payments'!$C$2:$C$500,'Payments'!$B$2:$B$500,$A167,'Payments'!$G$2:$G$500,"confirmed")&lt;=0,"unpaid",IF(SUMIFS('Payments'!$C$2:$C$500,'Payments'!$B$2:$B$500,$A167,'Payments'!$G$2:$G$500,"confirmed")&gt;=$K167,"paid","partial")))</x:f>
      </x:c>
      <x:c r="M167" s="19"/>
      <x:c r="N167" s="26"/>
      <x:c r="O167" s="26"/>
      <x:c r="P167" s="19"/>
      <x:c r="Q167" s="26"/>
      <x:c r="R167" s="19"/>
      <x:c r="S167" s="26"/>
      <x:c r="T167" s="19"/>
      <x:c r="U167" s="19"/>
    </x:row>
    <x:row r="168">
      <x:c r="A168" s="19"/>
      <x:c r="B168" s="19"/>
      <x:c r="C168" s="19"/>
      <x:c r="D168" s="19"/>
      <x:c r="E168" s="19"/>
      <x:c r="F168" s="19"/>
      <x:c r="G168" s="26"/>
      <x:c r="H168" s="96" t="str">
        <x:f>IF($A168="","",SUMIFS('OrderItems'!$I$2:$I$500,'OrderItems'!$B$2:$B$500,$A168))</x:f>
      </x:c>
      <x:c r="I168" s="25"/>
      <x:c r="J168" s="25"/>
      <x:c r="K168" s="96" t="str">
        <x:f>IF($A168="","",$H168-$I168+$J168)</x:f>
      </x:c>
      <x:c r="L168" s="116" t="str">
        <x:f>IF($A168="","",IF(SUMIFS('Payments'!$C$2:$C$500,'Payments'!$B$2:$B$500,$A168,'Payments'!$G$2:$G$500,"confirmed")&lt;=0,"unpaid",IF(SUMIFS('Payments'!$C$2:$C$500,'Payments'!$B$2:$B$500,$A168,'Payments'!$G$2:$G$500,"confirmed")&gt;=$K168,"paid","partial")))</x:f>
      </x:c>
      <x:c r="M168" s="19"/>
      <x:c r="N168" s="26"/>
      <x:c r="O168" s="26"/>
      <x:c r="P168" s="19"/>
      <x:c r="Q168" s="26"/>
      <x:c r="R168" s="19"/>
      <x:c r="S168" s="26"/>
      <x:c r="T168" s="19"/>
      <x:c r="U168" s="19"/>
    </x:row>
    <x:row r="169">
      <x:c r="A169" s="19"/>
      <x:c r="B169" s="19"/>
      <x:c r="C169" s="19"/>
      <x:c r="D169" s="19"/>
      <x:c r="E169" s="19"/>
      <x:c r="F169" s="19"/>
      <x:c r="G169" s="26"/>
      <x:c r="H169" s="96" t="str">
        <x:f>IF($A169="","",SUMIFS('OrderItems'!$I$2:$I$500,'OrderItems'!$B$2:$B$500,$A169))</x:f>
      </x:c>
      <x:c r="I169" s="25"/>
      <x:c r="J169" s="25"/>
      <x:c r="K169" s="96" t="str">
        <x:f>IF($A169="","",$H169-$I169+$J169)</x:f>
      </x:c>
      <x:c r="L169" s="116" t="str">
        <x:f>IF($A169="","",IF(SUMIFS('Payments'!$C$2:$C$500,'Payments'!$B$2:$B$500,$A169,'Payments'!$G$2:$G$500,"confirmed")&lt;=0,"unpaid",IF(SUMIFS('Payments'!$C$2:$C$500,'Payments'!$B$2:$B$500,$A169,'Payments'!$G$2:$G$500,"confirmed")&gt;=$K169,"paid","partial")))</x:f>
      </x:c>
      <x:c r="M169" s="19"/>
      <x:c r="N169" s="26"/>
      <x:c r="O169" s="26"/>
      <x:c r="P169" s="19"/>
      <x:c r="Q169" s="26"/>
      <x:c r="R169" s="19"/>
      <x:c r="S169" s="26"/>
      <x:c r="T169" s="19"/>
      <x:c r="U169" s="19"/>
    </x:row>
    <x:row r="170">
      <x:c r="A170" s="19"/>
      <x:c r="B170" s="19"/>
      <x:c r="C170" s="19"/>
      <x:c r="D170" s="19"/>
      <x:c r="E170" s="19"/>
      <x:c r="F170" s="19"/>
      <x:c r="G170" s="26"/>
      <x:c r="H170" s="96" t="str">
        <x:f>IF($A170="","",SUMIFS('OrderItems'!$I$2:$I$500,'OrderItems'!$B$2:$B$500,$A170))</x:f>
      </x:c>
      <x:c r="I170" s="25"/>
      <x:c r="J170" s="25"/>
      <x:c r="K170" s="96" t="str">
        <x:f>IF($A170="","",$H170-$I170+$J170)</x:f>
      </x:c>
      <x:c r="L170" s="116" t="str">
        <x:f>IF($A170="","",IF(SUMIFS('Payments'!$C$2:$C$500,'Payments'!$B$2:$B$500,$A170,'Payments'!$G$2:$G$500,"confirmed")&lt;=0,"unpaid",IF(SUMIFS('Payments'!$C$2:$C$500,'Payments'!$B$2:$B$500,$A170,'Payments'!$G$2:$G$500,"confirmed")&gt;=$K170,"paid","partial")))</x:f>
      </x:c>
      <x:c r="M170" s="19"/>
      <x:c r="N170" s="26"/>
      <x:c r="O170" s="26"/>
      <x:c r="P170" s="19"/>
      <x:c r="Q170" s="26"/>
      <x:c r="R170" s="19"/>
      <x:c r="S170" s="26"/>
      <x:c r="T170" s="19"/>
      <x:c r="U170" s="19"/>
    </x:row>
    <x:row r="171">
      <x:c r="A171" s="19"/>
      <x:c r="B171" s="19"/>
      <x:c r="C171" s="19"/>
      <x:c r="D171" s="19"/>
      <x:c r="E171" s="19"/>
      <x:c r="F171" s="19"/>
      <x:c r="G171" s="26"/>
      <x:c r="H171" s="96" t="str">
        <x:f>IF($A171="","",SUMIFS('OrderItems'!$I$2:$I$500,'OrderItems'!$B$2:$B$500,$A171))</x:f>
      </x:c>
      <x:c r="I171" s="25"/>
      <x:c r="J171" s="25"/>
      <x:c r="K171" s="96" t="str">
        <x:f>IF($A171="","",$H171-$I171+$J171)</x:f>
      </x:c>
      <x:c r="L171" s="116" t="str">
        <x:f>IF($A171="","",IF(SUMIFS('Payments'!$C$2:$C$500,'Payments'!$B$2:$B$500,$A171,'Payments'!$G$2:$G$500,"confirmed")&lt;=0,"unpaid",IF(SUMIFS('Payments'!$C$2:$C$500,'Payments'!$B$2:$B$500,$A171,'Payments'!$G$2:$G$500,"confirmed")&gt;=$K171,"paid","partial")))</x:f>
      </x:c>
      <x:c r="M171" s="19"/>
      <x:c r="N171" s="26"/>
      <x:c r="O171" s="26"/>
      <x:c r="P171" s="19"/>
      <x:c r="Q171" s="26"/>
      <x:c r="R171" s="19"/>
      <x:c r="S171" s="26"/>
      <x:c r="T171" s="19"/>
      <x:c r="U171" s="19"/>
    </x:row>
    <x:row r="172">
      <x:c r="A172" s="19"/>
      <x:c r="B172" s="19"/>
      <x:c r="C172" s="19"/>
      <x:c r="D172" s="19"/>
      <x:c r="E172" s="19"/>
      <x:c r="F172" s="19"/>
      <x:c r="G172" s="26"/>
      <x:c r="H172" s="96" t="str">
        <x:f>IF($A172="","",SUMIFS('OrderItems'!$I$2:$I$500,'OrderItems'!$B$2:$B$500,$A172))</x:f>
      </x:c>
      <x:c r="I172" s="25"/>
      <x:c r="J172" s="25"/>
      <x:c r="K172" s="96" t="str">
        <x:f>IF($A172="","",$H172-$I172+$J172)</x:f>
      </x:c>
      <x:c r="L172" s="116" t="str">
        <x:f>IF($A172="","",IF(SUMIFS('Payments'!$C$2:$C$500,'Payments'!$B$2:$B$500,$A172,'Payments'!$G$2:$G$500,"confirmed")&lt;=0,"unpaid",IF(SUMIFS('Payments'!$C$2:$C$500,'Payments'!$B$2:$B$500,$A172,'Payments'!$G$2:$G$500,"confirmed")&gt;=$K172,"paid","partial")))</x:f>
      </x:c>
      <x:c r="M172" s="19"/>
      <x:c r="N172" s="26"/>
      <x:c r="O172" s="26"/>
      <x:c r="P172" s="19"/>
      <x:c r="Q172" s="26"/>
      <x:c r="R172" s="19"/>
      <x:c r="S172" s="26"/>
      <x:c r="T172" s="19"/>
      <x:c r="U172" s="19"/>
    </x:row>
    <x:row r="173">
      <x:c r="A173" s="19"/>
      <x:c r="B173" s="19"/>
      <x:c r="C173" s="19"/>
      <x:c r="D173" s="19"/>
      <x:c r="E173" s="19"/>
      <x:c r="F173" s="19"/>
      <x:c r="G173" s="26"/>
      <x:c r="H173" s="96" t="str">
        <x:f>IF($A173="","",SUMIFS('OrderItems'!$I$2:$I$500,'OrderItems'!$B$2:$B$500,$A173))</x:f>
      </x:c>
      <x:c r="I173" s="25"/>
      <x:c r="J173" s="25"/>
      <x:c r="K173" s="96" t="str">
        <x:f>IF($A173="","",$H173-$I173+$J173)</x:f>
      </x:c>
      <x:c r="L173" s="116" t="str">
        <x:f>IF($A173="","",IF(SUMIFS('Payments'!$C$2:$C$500,'Payments'!$B$2:$B$500,$A173,'Payments'!$G$2:$G$500,"confirmed")&lt;=0,"unpaid",IF(SUMIFS('Payments'!$C$2:$C$500,'Payments'!$B$2:$B$500,$A173,'Payments'!$G$2:$G$500,"confirmed")&gt;=$K173,"paid","partial")))</x:f>
      </x:c>
      <x:c r="M173" s="19"/>
      <x:c r="N173" s="26"/>
      <x:c r="O173" s="26"/>
      <x:c r="P173" s="19"/>
      <x:c r="Q173" s="26"/>
      <x:c r="R173" s="19"/>
      <x:c r="S173" s="26"/>
      <x:c r="T173" s="19"/>
      <x:c r="U173" s="19"/>
    </x:row>
    <x:row r="174">
      <x:c r="A174" s="19"/>
      <x:c r="B174" s="19"/>
      <x:c r="C174" s="19"/>
      <x:c r="D174" s="19"/>
      <x:c r="E174" s="19"/>
      <x:c r="F174" s="19"/>
      <x:c r="G174" s="26"/>
      <x:c r="H174" s="96" t="str">
        <x:f>IF($A174="","",SUMIFS('OrderItems'!$I$2:$I$500,'OrderItems'!$B$2:$B$500,$A174))</x:f>
      </x:c>
      <x:c r="I174" s="25"/>
      <x:c r="J174" s="25"/>
      <x:c r="K174" s="96" t="str">
        <x:f>IF($A174="","",$H174-$I174+$J174)</x:f>
      </x:c>
      <x:c r="L174" s="116" t="str">
        <x:f>IF($A174="","",IF(SUMIFS('Payments'!$C$2:$C$500,'Payments'!$B$2:$B$500,$A174,'Payments'!$G$2:$G$500,"confirmed")&lt;=0,"unpaid",IF(SUMIFS('Payments'!$C$2:$C$500,'Payments'!$B$2:$B$500,$A174,'Payments'!$G$2:$G$500,"confirmed")&gt;=$K174,"paid","partial")))</x:f>
      </x:c>
      <x:c r="M174" s="19"/>
      <x:c r="N174" s="26"/>
      <x:c r="O174" s="26"/>
      <x:c r="P174" s="19"/>
      <x:c r="Q174" s="26"/>
      <x:c r="R174" s="19"/>
      <x:c r="S174" s="26"/>
      <x:c r="T174" s="19"/>
      <x:c r="U174" s="19"/>
    </x:row>
    <x:row r="175">
      <x:c r="A175" s="19"/>
      <x:c r="B175" s="19"/>
      <x:c r="C175" s="19"/>
      <x:c r="D175" s="19"/>
      <x:c r="E175" s="19"/>
      <x:c r="F175" s="19"/>
      <x:c r="G175" s="26"/>
      <x:c r="H175" s="96" t="str">
        <x:f>IF($A175="","",SUMIFS('OrderItems'!$I$2:$I$500,'OrderItems'!$B$2:$B$500,$A175))</x:f>
      </x:c>
      <x:c r="I175" s="25"/>
      <x:c r="J175" s="25"/>
      <x:c r="K175" s="96" t="str">
        <x:f>IF($A175="","",$H175-$I175+$J175)</x:f>
      </x:c>
      <x:c r="L175" s="116" t="str">
        <x:f>IF($A175="","",IF(SUMIFS('Payments'!$C$2:$C$500,'Payments'!$B$2:$B$500,$A175,'Payments'!$G$2:$G$500,"confirmed")&lt;=0,"unpaid",IF(SUMIFS('Payments'!$C$2:$C$500,'Payments'!$B$2:$B$500,$A175,'Payments'!$G$2:$G$500,"confirmed")&gt;=$K175,"paid","partial")))</x:f>
      </x:c>
      <x:c r="M175" s="19"/>
      <x:c r="N175" s="26"/>
      <x:c r="O175" s="26"/>
      <x:c r="P175" s="19"/>
      <x:c r="Q175" s="26"/>
      <x:c r="R175" s="19"/>
      <x:c r="S175" s="26"/>
      <x:c r="T175" s="19"/>
      <x:c r="U175" s="19"/>
    </x:row>
    <x:row r="176">
      <x:c r="A176" s="19"/>
      <x:c r="B176" s="19"/>
      <x:c r="C176" s="19"/>
      <x:c r="D176" s="19"/>
      <x:c r="E176" s="19"/>
      <x:c r="F176" s="19"/>
      <x:c r="G176" s="26"/>
      <x:c r="H176" s="96" t="str">
        <x:f>IF($A176="","",SUMIFS('OrderItems'!$I$2:$I$500,'OrderItems'!$B$2:$B$500,$A176))</x:f>
      </x:c>
      <x:c r="I176" s="25"/>
      <x:c r="J176" s="25"/>
      <x:c r="K176" s="96" t="str">
        <x:f>IF($A176="","",$H176-$I176+$J176)</x:f>
      </x:c>
      <x:c r="L176" s="116" t="str">
        <x:f>IF($A176="","",IF(SUMIFS('Payments'!$C$2:$C$500,'Payments'!$B$2:$B$500,$A176,'Payments'!$G$2:$G$500,"confirmed")&lt;=0,"unpaid",IF(SUMIFS('Payments'!$C$2:$C$500,'Payments'!$B$2:$B$500,$A176,'Payments'!$G$2:$G$500,"confirmed")&gt;=$K176,"paid","partial")))</x:f>
      </x:c>
      <x:c r="M176" s="19"/>
      <x:c r="N176" s="26"/>
      <x:c r="O176" s="26"/>
      <x:c r="P176" s="19"/>
      <x:c r="Q176" s="26"/>
      <x:c r="R176" s="19"/>
      <x:c r="S176" s="26"/>
      <x:c r="T176" s="19"/>
      <x:c r="U176" s="19"/>
    </x:row>
    <x:row r="177">
      <x:c r="A177" s="19"/>
      <x:c r="B177" s="19"/>
      <x:c r="C177" s="19"/>
      <x:c r="D177" s="19"/>
      <x:c r="E177" s="19"/>
      <x:c r="F177" s="19"/>
      <x:c r="G177" s="26"/>
      <x:c r="H177" s="96" t="str">
        <x:f>IF($A177="","",SUMIFS('OrderItems'!$I$2:$I$500,'OrderItems'!$B$2:$B$500,$A177))</x:f>
      </x:c>
      <x:c r="I177" s="25"/>
      <x:c r="J177" s="25"/>
      <x:c r="K177" s="96" t="str">
        <x:f>IF($A177="","",$H177-$I177+$J177)</x:f>
      </x:c>
      <x:c r="L177" s="116" t="str">
        <x:f>IF($A177="","",IF(SUMIFS('Payments'!$C$2:$C$500,'Payments'!$B$2:$B$500,$A177,'Payments'!$G$2:$G$500,"confirmed")&lt;=0,"unpaid",IF(SUMIFS('Payments'!$C$2:$C$500,'Payments'!$B$2:$B$500,$A177,'Payments'!$G$2:$G$500,"confirmed")&gt;=$K177,"paid","partial")))</x:f>
      </x:c>
      <x:c r="M177" s="19"/>
      <x:c r="N177" s="26"/>
      <x:c r="O177" s="26"/>
      <x:c r="P177" s="19"/>
      <x:c r="Q177" s="26"/>
      <x:c r="R177" s="19"/>
      <x:c r="S177" s="26"/>
      <x:c r="T177" s="19"/>
      <x:c r="U177" s="19"/>
    </x:row>
    <x:row r="178">
      <x:c r="A178" s="19"/>
      <x:c r="B178" s="19"/>
      <x:c r="C178" s="19"/>
      <x:c r="D178" s="19"/>
      <x:c r="E178" s="19"/>
      <x:c r="F178" s="19"/>
      <x:c r="G178" s="26"/>
      <x:c r="H178" s="96" t="str">
        <x:f>IF($A178="","",SUMIFS('OrderItems'!$I$2:$I$500,'OrderItems'!$B$2:$B$500,$A178))</x:f>
      </x:c>
      <x:c r="I178" s="25"/>
      <x:c r="J178" s="25"/>
      <x:c r="K178" s="96" t="str">
        <x:f>IF($A178="","",$H178-$I178+$J178)</x:f>
      </x:c>
      <x:c r="L178" s="116" t="str">
        <x:f>IF($A178="","",IF(SUMIFS('Payments'!$C$2:$C$500,'Payments'!$B$2:$B$500,$A178,'Payments'!$G$2:$G$500,"confirmed")&lt;=0,"unpaid",IF(SUMIFS('Payments'!$C$2:$C$500,'Payments'!$B$2:$B$500,$A178,'Payments'!$G$2:$G$500,"confirmed")&gt;=$K178,"paid","partial")))</x:f>
      </x:c>
      <x:c r="M178" s="19"/>
      <x:c r="N178" s="26"/>
      <x:c r="O178" s="26"/>
      <x:c r="P178" s="19"/>
      <x:c r="Q178" s="26"/>
      <x:c r="R178" s="19"/>
      <x:c r="S178" s="26"/>
      <x:c r="T178" s="19"/>
      <x:c r="U178" s="19"/>
    </x:row>
    <x:row r="179">
      <x:c r="A179" s="19"/>
      <x:c r="B179" s="19"/>
      <x:c r="C179" s="19"/>
      <x:c r="D179" s="19"/>
      <x:c r="E179" s="19"/>
      <x:c r="F179" s="19"/>
      <x:c r="G179" s="26"/>
      <x:c r="H179" s="96" t="str">
        <x:f>IF($A179="","",SUMIFS('OrderItems'!$I$2:$I$500,'OrderItems'!$B$2:$B$500,$A179))</x:f>
      </x:c>
      <x:c r="I179" s="25"/>
      <x:c r="J179" s="25"/>
      <x:c r="K179" s="96" t="str">
        <x:f>IF($A179="","",$H179-$I179+$J179)</x:f>
      </x:c>
      <x:c r="L179" s="116" t="str">
        <x:f>IF($A179="","",IF(SUMIFS('Payments'!$C$2:$C$500,'Payments'!$B$2:$B$500,$A179,'Payments'!$G$2:$G$500,"confirmed")&lt;=0,"unpaid",IF(SUMIFS('Payments'!$C$2:$C$500,'Payments'!$B$2:$B$500,$A179,'Payments'!$G$2:$G$500,"confirmed")&gt;=$K179,"paid","partial")))</x:f>
      </x:c>
      <x:c r="M179" s="19"/>
      <x:c r="N179" s="26"/>
      <x:c r="O179" s="26"/>
      <x:c r="P179" s="19"/>
      <x:c r="Q179" s="26"/>
      <x:c r="R179" s="19"/>
      <x:c r="S179" s="26"/>
      <x:c r="T179" s="19"/>
      <x:c r="U179" s="19"/>
    </x:row>
    <x:row r="180">
      <x:c r="A180" s="19"/>
      <x:c r="B180" s="19"/>
      <x:c r="C180" s="19"/>
      <x:c r="D180" s="19"/>
      <x:c r="E180" s="19"/>
      <x:c r="F180" s="19"/>
      <x:c r="G180" s="26"/>
      <x:c r="H180" s="96" t="str">
        <x:f>IF($A180="","",SUMIFS('OrderItems'!$I$2:$I$500,'OrderItems'!$B$2:$B$500,$A180))</x:f>
      </x:c>
      <x:c r="I180" s="25"/>
      <x:c r="J180" s="25"/>
      <x:c r="K180" s="96" t="str">
        <x:f>IF($A180="","",$H180-$I180+$J180)</x:f>
      </x:c>
      <x:c r="L180" s="116" t="str">
        <x:f>IF($A180="","",IF(SUMIFS('Payments'!$C$2:$C$500,'Payments'!$B$2:$B$500,$A180,'Payments'!$G$2:$G$500,"confirmed")&lt;=0,"unpaid",IF(SUMIFS('Payments'!$C$2:$C$500,'Payments'!$B$2:$B$500,$A180,'Payments'!$G$2:$G$500,"confirmed")&gt;=$K180,"paid","partial")))</x:f>
      </x:c>
      <x:c r="M180" s="19"/>
      <x:c r="N180" s="26"/>
      <x:c r="O180" s="26"/>
      <x:c r="P180" s="19"/>
      <x:c r="Q180" s="26"/>
      <x:c r="R180" s="19"/>
      <x:c r="S180" s="26"/>
      <x:c r="T180" s="19"/>
      <x:c r="U180" s="19"/>
    </x:row>
    <x:row r="181">
      <x:c r="A181" s="19"/>
      <x:c r="B181" s="19"/>
      <x:c r="C181" s="19"/>
      <x:c r="D181" s="19"/>
      <x:c r="E181" s="19"/>
      <x:c r="F181" s="19"/>
      <x:c r="G181" s="26"/>
      <x:c r="H181" s="96" t="str">
        <x:f>IF($A181="","",SUMIFS('OrderItems'!$I$2:$I$500,'OrderItems'!$B$2:$B$500,$A181))</x:f>
      </x:c>
      <x:c r="I181" s="25"/>
      <x:c r="J181" s="25"/>
      <x:c r="K181" s="96" t="str">
        <x:f>IF($A181="","",$H181-$I181+$J181)</x:f>
      </x:c>
      <x:c r="L181" s="116" t="str">
        <x:f>IF($A181="","",IF(SUMIFS('Payments'!$C$2:$C$500,'Payments'!$B$2:$B$500,$A181,'Payments'!$G$2:$G$500,"confirmed")&lt;=0,"unpaid",IF(SUMIFS('Payments'!$C$2:$C$500,'Payments'!$B$2:$B$500,$A181,'Payments'!$G$2:$G$500,"confirmed")&gt;=$K181,"paid","partial")))</x:f>
      </x:c>
      <x:c r="M181" s="19"/>
      <x:c r="N181" s="26"/>
      <x:c r="O181" s="26"/>
      <x:c r="P181" s="19"/>
      <x:c r="Q181" s="26"/>
      <x:c r="R181" s="19"/>
      <x:c r="S181" s="26"/>
      <x:c r="T181" s="19"/>
      <x:c r="U181" s="19"/>
    </x:row>
    <x:row r="182">
      <x:c r="A182" s="19"/>
      <x:c r="B182" s="19"/>
      <x:c r="C182" s="19"/>
      <x:c r="D182" s="19"/>
      <x:c r="E182" s="19"/>
      <x:c r="F182" s="19"/>
      <x:c r="G182" s="26"/>
      <x:c r="H182" s="96" t="str">
        <x:f>IF($A182="","",SUMIFS('OrderItems'!$I$2:$I$500,'OrderItems'!$B$2:$B$500,$A182))</x:f>
      </x:c>
      <x:c r="I182" s="25"/>
      <x:c r="J182" s="25"/>
      <x:c r="K182" s="96" t="str">
        <x:f>IF($A182="","",$H182-$I182+$J182)</x:f>
      </x:c>
      <x:c r="L182" s="116" t="str">
        <x:f>IF($A182="","",IF(SUMIFS('Payments'!$C$2:$C$500,'Payments'!$B$2:$B$500,$A182,'Payments'!$G$2:$G$500,"confirmed")&lt;=0,"unpaid",IF(SUMIFS('Payments'!$C$2:$C$500,'Payments'!$B$2:$B$500,$A182,'Payments'!$G$2:$G$500,"confirmed")&gt;=$K182,"paid","partial")))</x:f>
      </x:c>
      <x:c r="M182" s="19"/>
      <x:c r="N182" s="26"/>
      <x:c r="O182" s="26"/>
      <x:c r="P182" s="19"/>
      <x:c r="Q182" s="26"/>
      <x:c r="R182" s="19"/>
      <x:c r="S182" s="26"/>
      <x:c r="T182" s="19"/>
      <x:c r="U182" s="19"/>
    </x:row>
    <x:row r="183">
      <x:c r="A183" s="19"/>
      <x:c r="B183" s="19"/>
      <x:c r="C183" s="19"/>
      <x:c r="D183" s="19"/>
      <x:c r="E183" s="19"/>
      <x:c r="F183" s="19"/>
      <x:c r="G183" s="26"/>
      <x:c r="H183" s="96" t="str">
        <x:f>IF($A183="","",SUMIFS('OrderItems'!$I$2:$I$500,'OrderItems'!$B$2:$B$500,$A183))</x:f>
      </x:c>
      <x:c r="I183" s="25"/>
      <x:c r="J183" s="25"/>
      <x:c r="K183" s="96" t="str">
        <x:f>IF($A183="","",$H183-$I183+$J183)</x:f>
      </x:c>
      <x:c r="L183" s="116" t="str">
        <x:f>IF($A183="","",IF(SUMIFS('Payments'!$C$2:$C$500,'Payments'!$B$2:$B$500,$A183,'Payments'!$G$2:$G$500,"confirmed")&lt;=0,"unpaid",IF(SUMIFS('Payments'!$C$2:$C$500,'Payments'!$B$2:$B$500,$A183,'Payments'!$G$2:$G$500,"confirmed")&gt;=$K183,"paid","partial")))</x:f>
      </x:c>
      <x:c r="M183" s="19"/>
      <x:c r="N183" s="26"/>
      <x:c r="O183" s="26"/>
      <x:c r="P183" s="19"/>
      <x:c r="Q183" s="26"/>
      <x:c r="R183" s="19"/>
      <x:c r="S183" s="26"/>
      <x:c r="T183" s="19"/>
      <x:c r="U183" s="19"/>
    </x:row>
    <x:row r="184">
      <x:c r="A184" s="19"/>
      <x:c r="B184" s="19"/>
      <x:c r="C184" s="19"/>
      <x:c r="D184" s="19"/>
      <x:c r="E184" s="19"/>
      <x:c r="F184" s="19"/>
      <x:c r="G184" s="26"/>
      <x:c r="H184" s="96" t="str">
        <x:f>IF($A184="","",SUMIFS('OrderItems'!$I$2:$I$500,'OrderItems'!$B$2:$B$500,$A184))</x:f>
      </x:c>
      <x:c r="I184" s="25"/>
      <x:c r="J184" s="25"/>
      <x:c r="K184" s="96" t="str">
        <x:f>IF($A184="","",$H184-$I184+$J184)</x:f>
      </x:c>
      <x:c r="L184" s="116" t="str">
        <x:f>IF($A184="","",IF(SUMIFS('Payments'!$C$2:$C$500,'Payments'!$B$2:$B$500,$A184,'Payments'!$G$2:$G$500,"confirmed")&lt;=0,"unpaid",IF(SUMIFS('Payments'!$C$2:$C$500,'Payments'!$B$2:$B$500,$A184,'Payments'!$G$2:$G$500,"confirmed")&gt;=$K184,"paid","partial")))</x:f>
      </x:c>
      <x:c r="M184" s="19"/>
      <x:c r="N184" s="26"/>
      <x:c r="O184" s="26"/>
      <x:c r="P184" s="19"/>
      <x:c r="Q184" s="26"/>
      <x:c r="R184" s="19"/>
      <x:c r="S184" s="26"/>
      <x:c r="T184" s="19"/>
      <x:c r="U184" s="19"/>
    </x:row>
    <x:row r="185">
      <x:c r="A185" s="19"/>
      <x:c r="B185" s="19"/>
      <x:c r="C185" s="19"/>
      <x:c r="D185" s="19"/>
      <x:c r="E185" s="19"/>
      <x:c r="F185" s="19"/>
      <x:c r="G185" s="26"/>
      <x:c r="H185" s="96" t="str">
        <x:f>IF($A185="","",SUMIFS('OrderItems'!$I$2:$I$500,'OrderItems'!$B$2:$B$500,$A185))</x:f>
      </x:c>
      <x:c r="I185" s="25"/>
      <x:c r="J185" s="25"/>
      <x:c r="K185" s="96" t="str">
        <x:f>IF($A185="","",$H185-$I185+$J185)</x:f>
      </x:c>
      <x:c r="L185" s="116" t="str">
        <x:f>IF($A185="","",IF(SUMIFS('Payments'!$C$2:$C$500,'Payments'!$B$2:$B$500,$A185,'Payments'!$G$2:$G$500,"confirmed")&lt;=0,"unpaid",IF(SUMIFS('Payments'!$C$2:$C$500,'Payments'!$B$2:$B$500,$A185,'Payments'!$G$2:$G$500,"confirmed")&gt;=$K185,"paid","partial")))</x:f>
      </x:c>
      <x:c r="M185" s="19"/>
      <x:c r="N185" s="26"/>
      <x:c r="O185" s="26"/>
      <x:c r="P185" s="19"/>
      <x:c r="Q185" s="26"/>
      <x:c r="R185" s="19"/>
      <x:c r="S185" s="26"/>
      <x:c r="T185" s="19"/>
      <x:c r="U185" s="19"/>
    </x:row>
    <x:row r="186">
      <x:c r="A186" s="19"/>
      <x:c r="B186" s="19"/>
      <x:c r="C186" s="19"/>
      <x:c r="D186" s="19"/>
      <x:c r="E186" s="19"/>
      <x:c r="F186" s="19"/>
      <x:c r="G186" s="26"/>
      <x:c r="H186" s="96" t="str">
        <x:f>IF($A186="","",SUMIFS('OrderItems'!$I$2:$I$500,'OrderItems'!$B$2:$B$500,$A186))</x:f>
      </x:c>
      <x:c r="I186" s="25"/>
      <x:c r="J186" s="25"/>
      <x:c r="K186" s="96" t="str">
        <x:f>IF($A186="","",$H186-$I186+$J186)</x:f>
      </x:c>
      <x:c r="L186" s="116" t="str">
        <x:f>IF($A186="","",IF(SUMIFS('Payments'!$C$2:$C$500,'Payments'!$B$2:$B$500,$A186,'Payments'!$G$2:$G$500,"confirmed")&lt;=0,"unpaid",IF(SUMIFS('Payments'!$C$2:$C$500,'Payments'!$B$2:$B$500,$A186,'Payments'!$G$2:$G$500,"confirmed")&gt;=$K186,"paid","partial")))</x:f>
      </x:c>
      <x:c r="M186" s="19"/>
      <x:c r="N186" s="26"/>
      <x:c r="O186" s="26"/>
      <x:c r="P186" s="19"/>
      <x:c r="Q186" s="26"/>
      <x:c r="R186" s="19"/>
      <x:c r="S186" s="26"/>
      <x:c r="T186" s="19"/>
      <x:c r="U186" s="19"/>
    </x:row>
    <x:row r="187">
      <x:c r="A187" s="19"/>
      <x:c r="B187" s="19"/>
      <x:c r="C187" s="19"/>
      <x:c r="D187" s="19"/>
      <x:c r="E187" s="19"/>
      <x:c r="F187" s="19"/>
      <x:c r="G187" s="26"/>
      <x:c r="H187" s="96" t="str">
        <x:f>IF($A187="","",SUMIFS('OrderItems'!$I$2:$I$500,'OrderItems'!$B$2:$B$500,$A187))</x:f>
      </x:c>
      <x:c r="I187" s="25"/>
      <x:c r="J187" s="25"/>
      <x:c r="K187" s="96" t="str">
        <x:f>IF($A187="","",$H187-$I187+$J187)</x:f>
      </x:c>
      <x:c r="L187" s="116" t="str">
        <x:f>IF($A187="","",IF(SUMIFS('Payments'!$C$2:$C$500,'Payments'!$B$2:$B$500,$A187,'Payments'!$G$2:$G$500,"confirmed")&lt;=0,"unpaid",IF(SUMIFS('Payments'!$C$2:$C$500,'Payments'!$B$2:$B$500,$A187,'Payments'!$G$2:$G$500,"confirmed")&gt;=$K187,"paid","partial")))</x:f>
      </x:c>
      <x:c r="M187" s="19"/>
      <x:c r="N187" s="26"/>
      <x:c r="O187" s="26"/>
      <x:c r="P187" s="19"/>
      <x:c r="Q187" s="26"/>
      <x:c r="R187" s="19"/>
      <x:c r="S187" s="26"/>
      <x:c r="T187" s="19"/>
      <x:c r="U187" s="19"/>
    </x:row>
    <x:row r="188">
      <x:c r="A188" s="19"/>
      <x:c r="B188" s="19"/>
      <x:c r="C188" s="19"/>
      <x:c r="D188" s="19"/>
      <x:c r="E188" s="19"/>
      <x:c r="F188" s="19"/>
      <x:c r="G188" s="26"/>
      <x:c r="H188" s="96" t="str">
        <x:f>IF($A188="","",SUMIFS('OrderItems'!$I$2:$I$500,'OrderItems'!$B$2:$B$500,$A188))</x:f>
      </x:c>
      <x:c r="I188" s="25"/>
      <x:c r="J188" s="25"/>
      <x:c r="K188" s="96" t="str">
        <x:f>IF($A188="","",$H188-$I188+$J188)</x:f>
      </x:c>
      <x:c r="L188" s="116" t="str">
        <x:f>IF($A188="","",IF(SUMIFS('Payments'!$C$2:$C$500,'Payments'!$B$2:$B$500,$A188,'Payments'!$G$2:$G$500,"confirmed")&lt;=0,"unpaid",IF(SUMIFS('Payments'!$C$2:$C$500,'Payments'!$B$2:$B$500,$A188,'Payments'!$G$2:$G$500,"confirmed")&gt;=$K188,"paid","partial")))</x:f>
      </x:c>
      <x:c r="M188" s="19"/>
      <x:c r="N188" s="26"/>
      <x:c r="O188" s="26"/>
      <x:c r="P188" s="19"/>
      <x:c r="Q188" s="26"/>
      <x:c r="R188" s="19"/>
      <x:c r="S188" s="26"/>
      <x:c r="T188" s="19"/>
      <x:c r="U188" s="19"/>
    </x:row>
    <x:row r="189">
      <x:c r="A189" s="19"/>
      <x:c r="B189" s="19"/>
      <x:c r="C189" s="19"/>
      <x:c r="D189" s="19"/>
      <x:c r="E189" s="19"/>
      <x:c r="F189" s="19"/>
      <x:c r="G189" s="26"/>
      <x:c r="H189" s="96" t="str">
        <x:f>IF($A189="","",SUMIFS('OrderItems'!$I$2:$I$500,'OrderItems'!$B$2:$B$500,$A189))</x:f>
      </x:c>
      <x:c r="I189" s="25"/>
      <x:c r="J189" s="25"/>
      <x:c r="K189" s="96" t="str">
        <x:f>IF($A189="","",$H189-$I189+$J189)</x:f>
      </x:c>
      <x:c r="L189" s="116" t="str">
        <x:f>IF($A189="","",IF(SUMIFS('Payments'!$C$2:$C$500,'Payments'!$B$2:$B$500,$A189,'Payments'!$G$2:$G$500,"confirmed")&lt;=0,"unpaid",IF(SUMIFS('Payments'!$C$2:$C$500,'Payments'!$B$2:$B$500,$A189,'Payments'!$G$2:$G$500,"confirmed")&gt;=$K189,"paid","partial")))</x:f>
      </x:c>
      <x:c r="M189" s="19"/>
      <x:c r="N189" s="26"/>
      <x:c r="O189" s="26"/>
      <x:c r="P189" s="19"/>
      <x:c r="Q189" s="26"/>
      <x:c r="R189" s="19"/>
      <x:c r="S189" s="26"/>
      <x:c r="T189" s="19"/>
      <x:c r="U189" s="19"/>
    </x:row>
    <x:row r="190">
      <x:c r="A190" s="19"/>
      <x:c r="B190" s="19"/>
      <x:c r="C190" s="19"/>
      <x:c r="D190" s="19"/>
      <x:c r="E190" s="19"/>
      <x:c r="F190" s="19"/>
      <x:c r="G190" s="26"/>
      <x:c r="H190" s="96" t="str">
        <x:f>IF($A190="","",SUMIFS('OrderItems'!$I$2:$I$500,'OrderItems'!$B$2:$B$500,$A190))</x:f>
      </x:c>
      <x:c r="I190" s="25"/>
      <x:c r="J190" s="25"/>
      <x:c r="K190" s="96" t="str">
        <x:f>IF($A190="","",$H190-$I190+$J190)</x:f>
      </x:c>
      <x:c r="L190" s="116" t="str">
        <x:f>IF($A190="","",IF(SUMIFS('Payments'!$C$2:$C$500,'Payments'!$B$2:$B$500,$A190,'Payments'!$G$2:$G$500,"confirmed")&lt;=0,"unpaid",IF(SUMIFS('Payments'!$C$2:$C$500,'Payments'!$B$2:$B$500,$A190,'Payments'!$G$2:$G$500,"confirmed")&gt;=$K190,"paid","partial")))</x:f>
      </x:c>
      <x:c r="M190" s="19"/>
      <x:c r="N190" s="26"/>
      <x:c r="O190" s="26"/>
      <x:c r="P190" s="19"/>
      <x:c r="Q190" s="26"/>
      <x:c r="R190" s="19"/>
      <x:c r="S190" s="26"/>
      <x:c r="T190" s="19"/>
      <x:c r="U190" s="19"/>
    </x:row>
    <x:row r="191">
      <x:c r="A191" s="19"/>
      <x:c r="B191" s="19"/>
      <x:c r="C191" s="19"/>
      <x:c r="D191" s="19"/>
      <x:c r="E191" s="19"/>
      <x:c r="F191" s="19"/>
      <x:c r="G191" s="26"/>
      <x:c r="H191" s="96" t="str">
        <x:f>IF($A191="","",SUMIFS('OrderItems'!$I$2:$I$500,'OrderItems'!$B$2:$B$500,$A191))</x:f>
      </x:c>
      <x:c r="I191" s="25"/>
      <x:c r="J191" s="25"/>
      <x:c r="K191" s="96" t="str">
        <x:f>IF($A191="","",$H191-$I191+$J191)</x:f>
      </x:c>
      <x:c r="L191" s="116" t="str">
        <x:f>IF($A191="","",IF(SUMIFS('Payments'!$C$2:$C$500,'Payments'!$B$2:$B$500,$A191,'Payments'!$G$2:$G$500,"confirmed")&lt;=0,"unpaid",IF(SUMIFS('Payments'!$C$2:$C$500,'Payments'!$B$2:$B$500,$A191,'Payments'!$G$2:$G$500,"confirmed")&gt;=$K191,"paid","partial")))</x:f>
      </x:c>
      <x:c r="M191" s="19"/>
      <x:c r="N191" s="26"/>
      <x:c r="O191" s="26"/>
      <x:c r="P191" s="19"/>
      <x:c r="Q191" s="26"/>
      <x:c r="R191" s="19"/>
      <x:c r="S191" s="26"/>
      <x:c r="T191" s="19"/>
      <x:c r="U191" s="19"/>
    </x:row>
    <x:row r="192">
      <x:c r="A192" s="19"/>
      <x:c r="B192" s="19"/>
      <x:c r="C192" s="19"/>
      <x:c r="D192" s="19"/>
      <x:c r="E192" s="19"/>
      <x:c r="F192" s="19"/>
      <x:c r="G192" s="26"/>
      <x:c r="H192" s="96" t="str">
        <x:f>IF($A192="","",SUMIFS('OrderItems'!$I$2:$I$500,'OrderItems'!$B$2:$B$500,$A192))</x:f>
      </x:c>
      <x:c r="I192" s="25"/>
      <x:c r="J192" s="25"/>
      <x:c r="K192" s="96" t="str">
        <x:f>IF($A192="","",$H192-$I192+$J192)</x:f>
      </x:c>
      <x:c r="L192" s="116" t="str">
        <x:f>IF($A192="","",IF(SUMIFS('Payments'!$C$2:$C$500,'Payments'!$B$2:$B$500,$A192,'Payments'!$G$2:$G$500,"confirmed")&lt;=0,"unpaid",IF(SUMIFS('Payments'!$C$2:$C$500,'Payments'!$B$2:$B$500,$A192,'Payments'!$G$2:$G$500,"confirmed")&gt;=$K192,"paid","partial")))</x:f>
      </x:c>
      <x:c r="M192" s="19"/>
      <x:c r="N192" s="26"/>
      <x:c r="O192" s="26"/>
      <x:c r="P192" s="19"/>
      <x:c r="Q192" s="26"/>
      <x:c r="R192" s="19"/>
      <x:c r="S192" s="26"/>
      <x:c r="T192" s="19"/>
      <x:c r="U192" s="19"/>
    </x:row>
    <x:row r="193">
      <x:c r="A193" s="19"/>
      <x:c r="B193" s="19"/>
      <x:c r="C193" s="19"/>
      <x:c r="D193" s="19"/>
      <x:c r="E193" s="19"/>
      <x:c r="F193" s="19"/>
      <x:c r="G193" s="26"/>
      <x:c r="H193" s="96" t="str">
        <x:f>IF($A193="","",SUMIFS('OrderItems'!$I$2:$I$500,'OrderItems'!$B$2:$B$500,$A193))</x:f>
      </x:c>
      <x:c r="I193" s="25"/>
      <x:c r="J193" s="25"/>
      <x:c r="K193" s="96" t="str">
        <x:f>IF($A193="","",$H193-$I193+$J193)</x:f>
      </x:c>
      <x:c r="L193" s="116" t="str">
        <x:f>IF($A193="","",IF(SUMIFS('Payments'!$C$2:$C$500,'Payments'!$B$2:$B$500,$A193,'Payments'!$G$2:$G$500,"confirmed")&lt;=0,"unpaid",IF(SUMIFS('Payments'!$C$2:$C$500,'Payments'!$B$2:$B$500,$A193,'Payments'!$G$2:$G$500,"confirmed")&gt;=$K193,"paid","partial")))</x:f>
      </x:c>
      <x:c r="M193" s="19"/>
      <x:c r="N193" s="26"/>
      <x:c r="O193" s="26"/>
      <x:c r="P193" s="19"/>
      <x:c r="Q193" s="26"/>
      <x:c r="R193" s="19"/>
      <x:c r="S193" s="26"/>
      <x:c r="T193" s="19"/>
      <x:c r="U193" s="19"/>
    </x:row>
    <x:row r="194">
      <x:c r="A194" s="19"/>
      <x:c r="B194" s="19"/>
      <x:c r="C194" s="19"/>
      <x:c r="D194" s="19"/>
      <x:c r="E194" s="19"/>
      <x:c r="F194" s="19"/>
      <x:c r="G194" s="26"/>
      <x:c r="H194" s="96" t="str">
        <x:f>IF($A194="","",SUMIFS('OrderItems'!$I$2:$I$500,'OrderItems'!$B$2:$B$500,$A194))</x:f>
      </x:c>
      <x:c r="I194" s="25"/>
      <x:c r="J194" s="25"/>
      <x:c r="K194" s="96" t="str">
        <x:f>IF($A194="","",$H194-$I194+$J194)</x:f>
      </x:c>
      <x:c r="L194" s="116" t="str">
        <x:f>IF($A194="","",IF(SUMIFS('Payments'!$C$2:$C$500,'Payments'!$B$2:$B$500,$A194,'Payments'!$G$2:$G$500,"confirmed")&lt;=0,"unpaid",IF(SUMIFS('Payments'!$C$2:$C$500,'Payments'!$B$2:$B$500,$A194,'Payments'!$G$2:$G$500,"confirmed")&gt;=$K194,"paid","partial")))</x:f>
      </x:c>
      <x:c r="M194" s="19"/>
      <x:c r="N194" s="26"/>
      <x:c r="O194" s="26"/>
      <x:c r="P194" s="19"/>
      <x:c r="Q194" s="26"/>
      <x:c r="R194" s="19"/>
      <x:c r="S194" s="26"/>
      <x:c r="T194" s="19"/>
      <x:c r="U194" s="19"/>
    </x:row>
    <x:row r="195">
      <x:c r="A195" s="19"/>
      <x:c r="B195" s="19"/>
      <x:c r="C195" s="19"/>
      <x:c r="D195" s="19"/>
      <x:c r="E195" s="19"/>
      <x:c r="F195" s="19"/>
      <x:c r="G195" s="26"/>
      <x:c r="H195" s="96" t="str">
        <x:f>IF($A195="","",SUMIFS('OrderItems'!$I$2:$I$500,'OrderItems'!$B$2:$B$500,$A195))</x:f>
      </x:c>
      <x:c r="I195" s="25"/>
      <x:c r="J195" s="25"/>
      <x:c r="K195" s="96" t="str">
        <x:f>IF($A195="","",$H195-$I195+$J195)</x:f>
      </x:c>
      <x:c r="L195" s="116" t="str">
        <x:f>IF($A195="","",IF(SUMIFS('Payments'!$C$2:$C$500,'Payments'!$B$2:$B$500,$A195,'Payments'!$G$2:$G$500,"confirmed")&lt;=0,"unpaid",IF(SUMIFS('Payments'!$C$2:$C$500,'Payments'!$B$2:$B$500,$A195,'Payments'!$G$2:$G$500,"confirmed")&gt;=$K195,"paid","partial")))</x:f>
      </x:c>
      <x:c r="M195" s="19"/>
      <x:c r="N195" s="26"/>
      <x:c r="O195" s="26"/>
      <x:c r="P195" s="19"/>
      <x:c r="Q195" s="26"/>
      <x:c r="R195" s="19"/>
      <x:c r="S195" s="26"/>
      <x:c r="T195" s="19"/>
      <x:c r="U195" s="19"/>
    </x:row>
    <x:row r="196">
      <x:c r="A196" s="19"/>
      <x:c r="B196" s="19"/>
      <x:c r="C196" s="19"/>
      <x:c r="D196" s="19"/>
      <x:c r="E196" s="19"/>
      <x:c r="F196" s="19"/>
      <x:c r="G196" s="26"/>
      <x:c r="H196" s="96" t="str">
        <x:f>IF($A196="","",SUMIFS('OrderItems'!$I$2:$I$500,'OrderItems'!$B$2:$B$500,$A196))</x:f>
      </x:c>
      <x:c r="I196" s="25"/>
      <x:c r="J196" s="25"/>
      <x:c r="K196" s="96" t="str">
        <x:f>IF($A196="","",$H196-$I196+$J196)</x:f>
      </x:c>
      <x:c r="L196" s="116" t="str">
        <x:f>IF($A196="","",IF(SUMIFS('Payments'!$C$2:$C$500,'Payments'!$B$2:$B$500,$A196,'Payments'!$G$2:$G$500,"confirmed")&lt;=0,"unpaid",IF(SUMIFS('Payments'!$C$2:$C$500,'Payments'!$B$2:$B$500,$A196,'Payments'!$G$2:$G$500,"confirmed")&gt;=$K196,"paid","partial")))</x:f>
      </x:c>
      <x:c r="M196" s="19"/>
      <x:c r="N196" s="26"/>
      <x:c r="O196" s="26"/>
      <x:c r="P196" s="19"/>
      <x:c r="Q196" s="26"/>
      <x:c r="R196" s="19"/>
      <x:c r="S196" s="26"/>
      <x:c r="T196" s="19"/>
      <x:c r="U196" s="19"/>
    </x:row>
    <x:row r="197">
      <x:c r="A197" s="19"/>
      <x:c r="B197" s="19"/>
      <x:c r="C197" s="19"/>
      <x:c r="D197" s="19"/>
      <x:c r="E197" s="19"/>
      <x:c r="F197" s="19"/>
      <x:c r="G197" s="26"/>
      <x:c r="H197" s="96" t="str">
        <x:f>IF($A197="","",SUMIFS('OrderItems'!$I$2:$I$500,'OrderItems'!$B$2:$B$500,$A197))</x:f>
      </x:c>
      <x:c r="I197" s="25"/>
      <x:c r="J197" s="25"/>
      <x:c r="K197" s="96" t="str">
        <x:f>IF($A197="","",$H197-$I197+$J197)</x:f>
      </x:c>
      <x:c r="L197" s="116" t="str">
        <x:f>IF($A197="","",IF(SUMIFS('Payments'!$C$2:$C$500,'Payments'!$B$2:$B$500,$A197,'Payments'!$G$2:$G$500,"confirmed")&lt;=0,"unpaid",IF(SUMIFS('Payments'!$C$2:$C$500,'Payments'!$B$2:$B$500,$A197,'Payments'!$G$2:$G$500,"confirmed")&gt;=$K197,"paid","partial")))</x:f>
      </x:c>
      <x:c r="M197" s="19"/>
      <x:c r="N197" s="26"/>
      <x:c r="O197" s="26"/>
      <x:c r="P197" s="19"/>
      <x:c r="Q197" s="26"/>
      <x:c r="R197" s="19"/>
      <x:c r="S197" s="26"/>
      <x:c r="T197" s="19"/>
      <x:c r="U197" s="19"/>
    </x:row>
    <x:row r="198">
      <x:c r="A198" s="19"/>
      <x:c r="B198" s="19"/>
      <x:c r="C198" s="19"/>
      <x:c r="D198" s="19"/>
      <x:c r="E198" s="19"/>
      <x:c r="F198" s="19"/>
      <x:c r="G198" s="26"/>
      <x:c r="H198" s="96" t="str">
        <x:f>IF($A198="","",SUMIFS('OrderItems'!$I$2:$I$500,'OrderItems'!$B$2:$B$500,$A198))</x:f>
      </x:c>
      <x:c r="I198" s="25"/>
      <x:c r="J198" s="25"/>
      <x:c r="K198" s="96" t="str">
        <x:f>IF($A198="","",$H198-$I198+$J198)</x:f>
      </x:c>
      <x:c r="L198" s="116" t="str">
        <x:f>IF($A198="","",IF(SUMIFS('Payments'!$C$2:$C$500,'Payments'!$B$2:$B$500,$A198,'Payments'!$G$2:$G$500,"confirmed")&lt;=0,"unpaid",IF(SUMIFS('Payments'!$C$2:$C$500,'Payments'!$B$2:$B$500,$A198,'Payments'!$G$2:$G$500,"confirmed")&gt;=$K198,"paid","partial")))</x:f>
      </x:c>
      <x:c r="M198" s="19"/>
      <x:c r="N198" s="26"/>
      <x:c r="O198" s="26"/>
      <x:c r="P198" s="19"/>
      <x:c r="Q198" s="26"/>
      <x:c r="R198" s="19"/>
      <x:c r="S198" s="26"/>
      <x:c r="T198" s="19"/>
      <x:c r="U198" s="19"/>
    </x:row>
    <x:row r="199">
      <x:c r="A199" s="19"/>
      <x:c r="B199" s="19"/>
      <x:c r="C199" s="19"/>
      <x:c r="D199" s="19"/>
      <x:c r="E199" s="19"/>
      <x:c r="F199" s="19"/>
      <x:c r="G199" s="26"/>
      <x:c r="H199" s="96" t="str">
        <x:f>IF($A199="","",SUMIFS('OrderItems'!$I$2:$I$500,'OrderItems'!$B$2:$B$500,$A199))</x:f>
      </x:c>
      <x:c r="I199" s="25"/>
      <x:c r="J199" s="25"/>
      <x:c r="K199" s="96" t="str">
        <x:f>IF($A199="","",$H199-$I199+$J199)</x:f>
      </x:c>
      <x:c r="L199" s="116" t="str">
        <x:f>IF($A199="","",IF(SUMIFS('Payments'!$C$2:$C$500,'Payments'!$B$2:$B$500,$A199,'Payments'!$G$2:$G$500,"confirmed")&lt;=0,"unpaid",IF(SUMIFS('Payments'!$C$2:$C$500,'Payments'!$B$2:$B$500,$A199,'Payments'!$G$2:$G$500,"confirmed")&gt;=$K199,"paid","partial")))</x:f>
      </x:c>
      <x:c r="M199" s="19"/>
      <x:c r="N199" s="26"/>
      <x:c r="O199" s="26"/>
      <x:c r="P199" s="19"/>
      <x:c r="Q199" s="26"/>
      <x:c r="R199" s="19"/>
      <x:c r="S199" s="26"/>
      <x:c r="T199" s="19"/>
      <x:c r="U199" s="19"/>
    </x:row>
    <x:row r="200">
      <x:c r="A200" s="19"/>
      <x:c r="B200" s="19"/>
      <x:c r="C200" s="19"/>
      <x:c r="D200" s="19"/>
      <x:c r="E200" s="19"/>
      <x:c r="F200" s="19"/>
      <x:c r="G200" s="26"/>
      <x:c r="H200" s="96" t="str">
        <x:f>IF($A200="","",SUMIFS('OrderItems'!$I$2:$I$500,'OrderItems'!$B$2:$B$500,$A200))</x:f>
      </x:c>
      <x:c r="I200" s="25"/>
      <x:c r="J200" s="25"/>
      <x:c r="K200" s="96" t="str">
        <x:f>IF($A200="","",$H200-$I200+$J200)</x:f>
      </x:c>
      <x:c r="L200" s="116" t="str">
        <x:f>IF($A200="","",IF(SUMIFS('Payments'!$C$2:$C$500,'Payments'!$B$2:$B$500,$A200,'Payments'!$G$2:$G$500,"confirmed")&lt;=0,"unpaid",IF(SUMIFS('Payments'!$C$2:$C$500,'Payments'!$B$2:$B$500,$A200,'Payments'!$G$2:$G$500,"confirmed")&gt;=$K200,"paid","partial")))</x:f>
      </x:c>
      <x:c r="M200" s="19"/>
      <x:c r="N200" s="26"/>
      <x:c r="O200" s="26"/>
      <x:c r="P200" s="19"/>
      <x:c r="Q200" s="26"/>
      <x:c r="R200" s="19"/>
      <x:c r="S200" s="26"/>
      <x:c r="T200" s="19"/>
      <x:c r="U200" s="19"/>
    </x:row>
    <x:row r="201">
      <x:c r="A201" s="19"/>
      <x:c r="B201" s="19"/>
      <x:c r="C201" s="19"/>
      <x:c r="D201" s="19"/>
      <x:c r="E201" s="19"/>
      <x:c r="F201" s="19"/>
      <x:c r="G201" s="26"/>
      <x:c r="H201" s="96" t="str">
        <x:f>IF($A201="","",SUMIFS('OrderItems'!$I$2:$I$500,'OrderItems'!$B$2:$B$500,$A201))</x:f>
      </x:c>
      <x:c r="I201" s="25"/>
      <x:c r="J201" s="25"/>
      <x:c r="K201" s="96" t="str">
        <x:f>IF($A201="","",$H201-$I201+$J201)</x:f>
      </x:c>
      <x:c r="L201" s="116" t="str">
        <x:f>IF($A201="","",IF(SUMIFS('Payments'!$C$2:$C$500,'Payments'!$B$2:$B$500,$A201,'Payments'!$G$2:$G$500,"confirmed")&lt;=0,"unpaid",IF(SUMIFS('Payments'!$C$2:$C$500,'Payments'!$B$2:$B$500,$A201,'Payments'!$G$2:$G$500,"confirmed")&gt;=$K201,"paid","partial")))</x:f>
      </x:c>
      <x:c r="M201" s="19"/>
      <x:c r="N201" s="26"/>
      <x:c r="O201" s="26"/>
      <x:c r="P201" s="19"/>
      <x:c r="Q201" s="26"/>
      <x:c r="R201" s="19"/>
      <x:c r="S201" s="26"/>
      <x:c r="T201" s="19"/>
      <x:c r="U201" s="19"/>
    </x:row>
    <x:row r="202">
      <x:c r="A202" s="19"/>
      <x:c r="B202" s="19"/>
      <x:c r="C202" s="19"/>
      <x:c r="D202" s="19"/>
      <x:c r="E202" s="19"/>
      <x:c r="F202" s="19"/>
      <x:c r="G202" s="26"/>
      <x:c r="H202" s="96" t="str">
        <x:f>IF($A202="","",SUMIFS('OrderItems'!$I$2:$I$500,'OrderItems'!$B$2:$B$500,$A202))</x:f>
      </x:c>
      <x:c r="I202" s="25"/>
      <x:c r="J202" s="25"/>
      <x:c r="K202" s="96" t="str">
        <x:f>IF($A202="","",$H202-$I202+$J202)</x:f>
      </x:c>
      <x:c r="L202" s="116" t="str">
        <x:f>IF($A202="","",IF(SUMIFS('Payments'!$C$2:$C$500,'Payments'!$B$2:$B$500,$A202,'Payments'!$G$2:$G$500,"confirmed")&lt;=0,"unpaid",IF(SUMIFS('Payments'!$C$2:$C$500,'Payments'!$B$2:$B$500,$A202,'Payments'!$G$2:$G$500,"confirmed")&gt;=$K202,"paid","partial")))</x:f>
      </x:c>
      <x:c r="M202" s="19"/>
      <x:c r="N202" s="26"/>
      <x:c r="O202" s="26"/>
      <x:c r="P202" s="19"/>
      <x:c r="Q202" s="26"/>
      <x:c r="R202" s="19"/>
      <x:c r="S202" s="26"/>
      <x:c r="T202" s="19"/>
      <x:c r="U202" s="19"/>
    </x:row>
    <x:row r="203">
      <x:c r="A203" s="19"/>
      <x:c r="B203" s="19"/>
      <x:c r="C203" s="19"/>
      <x:c r="D203" s="19"/>
      <x:c r="E203" s="19"/>
      <x:c r="F203" s="19"/>
      <x:c r="G203" s="26"/>
      <x:c r="H203" s="96" t="str">
        <x:f>IF($A203="","",SUMIFS('OrderItems'!$I$2:$I$500,'OrderItems'!$B$2:$B$500,$A203))</x:f>
      </x:c>
      <x:c r="I203" s="25"/>
      <x:c r="J203" s="25"/>
      <x:c r="K203" s="96" t="str">
        <x:f>IF($A203="","",$H203-$I203+$J203)</x:f>
      </x:c>
      <x:c r="L203" s="116" t="str">
        <x:f>IF($A203="","",IF(SUMIFS('Payments'!$C$2:$C$500,'Payments'!$B$2:$B$500,$A203,'Payments'!$G$2:$G$500,"confirmed")&lt;=0,"unpaid",IF(SUMIFS('Payments'!$C$2:$C$500,'Payments'!$B$2:$B$500,$A203,'Payments'!$G$2:$G$500,"confirmed")&gt;=$K203,"paid","partial")))</x:f>
      </x:c>
      <x:c r="M203" s="19"/>
      <x:c r="N203" s="26"/>
      <x:c r="O203" s="26"/>
      <x:c r="P203" s="19"/>
      <x:c r="Q203" s="26"/>
      <x:c r="R203" s="19"/>
      <x:c r="S203" s="26"/>
      <x:c r="T203" s="19"/>
      <x:c r="U203" s="19"/>
    </x:row>
    <x:row r="204">
      <x:c r="A204" s="19"/>
      <x:c r="B204" s="19"/>
      <x:c r="C204" s="19"/>
      <x:c r="D204" s="19"/>
      <x:c r="E204" s="19"/>
      <x:c r="F204" s="19"/>
      <x:c r="G204" s="26"/>
      <x:c r="H204" s="96" t="str">
        <x:f>IF($A204="","",SUMIFS('OrderItems'!$I$2:$I$500,'OrderItems'!$B$2:$B$500,$A204))</x:f>
      </x:c>
      <x:c r="I204" s="25"/>
      <x:c r="J204" s="25"/>
      <x:c r="K204" s="96" t="str">
        <x:f>IF($A204="","",$H204-$I204+$J204)</x:f>
      </x:c>
      <x:c r="L204" s="116" t="str">
        <x:f>IF($A204="","",IF(SUMIFS('Payments'!$C$2:$C$500,'Payments'!$B$2:$B$500,$A204,'Payments'!$G$2:$G$500,"confirmed")&lt;=0,"unpaid",IF(SUMIFS('Payments'!$C$2:$C$500,'Payments'!$B$2:$B$500,$A204,'Payments'!$G$2:$G$500,"confirmed")&gt;=$K204,"paid","partial")))</x:f>
      </x:c>
      <x:c r="M204" s="19"/>
      <x:c r="N204" s="26"/>
      <x:c r="O204" s="26"/>
      <x:c r="P204" s="19"/>
      <x:c r="Q204" s="26"/>
      <x:c r="R204" s="19"/>
      <x:c r="S204" s="26"/>
      <x:c r="T204" s="19"/>
      <x:c r="U204" s="19"/>
    </x:row>
    <x:row r="205">
      <x:c r="A205" s="19"/>
      <x:c r="B205" s="19"/>
      <x:c r="C205" s="19"/>
      <x:c r="D205" s="19"/>
      <x:c r="E205" s="19"/>
      <x:c r="F205" s="19"/>
      <x:c r="G205" s="26"/>
      <x:c r="H205" s="96" t="str">
        <x:f>IF($A205="","",SUMIFS('OrderItems'!$I$2:$I$500,'OrderItems'!$B$2:$B$500,$A205))</x:f>
      </x:c>
      <x:c r="I205" s="25"/>
      <x:c r="J205" s="25"/>
      <x:c r="K205" s="96" t="str">
        <x:f>IF($A205="","",$H205-$I205+$J205)</x:f>
      </x:c>
      <x:c r="L205" s="116" t="str">
        <x:f>IF($A205="","",IF(SUMIFS('Payments'!$C$2:$C$500,'Payments'!$B$2:$B$500,$A205,'Payments'!$G$2:$G$500,"confirmed")&lt;=0,"unpaid",IF(SUMIFS('Payments'!$C$2:$C$500,'Payments'!$B$2:$B$500,$A205,'Payments'!$G$2:$G$500,"confirmed")&gt;=$K205,"paid","partial")))</x:f>
      </x:c>
      <x:c r="M205" s="19"/>
      <x:c r="N205" s="26"/>
      <x:c r="O205" s="26"/>
      <x:c r="P205" s="19"/>
      <x:c r="Q205" s="26"/>
      <x:c r="R205" s="19"/>
      <x:c r="S205" s="26"/>
      <x:c r="T205" s="19"/>
      <x:c r="U205" s="19"/>
    </x:row>
    <x:row r="206">
      <x:c r="A206" s="19"/>
      <x:c r="B206" s="19"/>
      <x:c r="C206" s="19"/>
      <x:c r="D206" s="19"/>
      <x:c r="E206" s="19"/>
      <x:c r="F206" s="19"/>
      <x:c r="G206" s="26"/>
      <x:c r="H206" s="96" t="str">
        <x:f>IF($A206="","",SUMIFS('OrderItems'!$I$2:$I$500,'OrderItems'!$B$2:$B$500,$A206))</x:f>
      </x:c>
      <x:c r="I206" s="25"/>
      <x:c r="J206" s="25"/>
      <x:c r="K206" s="96" t="str">
        <x:f>IF($A206="","",$H206-$I206+$J206)</x:f>
      </x:c>
      <x:c r="L206" s="116" t="str">
        <x:f>IF($A206="","",IF(SUMIFS('Payments'!$C$2:$C$500,'Payments'!$B$2:$B$500,$A206,'Payments'!$G$2:$G$500,"confirmed")&lt;=0,"unpaid",IF(SUMIFS('Payments'!$C$2:$C$500,'Payments'!$B$2:$B$500,$A206,'Payments'!$G$2:$G$500,"confirmed")&gt;=$K206,"paid","partial")))</x:f>
      </x:c>
      <x:c r="M206" s="19"/>
      <x:c r="N206" s="26"/>
      <x:c r="O206" s="26"/>
      <x:c r="P206" s="19"/>
      <x:c r="Q206" s="26"/>
      <x:c r="R206" s="19"/>
      <x:c r="S206" s="26"/>
      <x:c r="T206" s="19"/>
      <x:c r="U206" s="19"/>
    </x:row>
    <x:row r="207">
      <x:c r="A207" s="19"/>
      <x:c r="B207" s="19"/>
      <x:c r="C207" s="19"/>
      <x:c r="D207" s="19"/>
      <x:c r="E207" s="19"/>
      <x:c r="F207" s="19"/>
      <x:c r="G207" s="26"/>
      <x:c r="H207" s="96" t="str">
        <x:f>IF($A207="","",SUMIFS('OrderItems'!$I$2:$I$500,'OrderItems'!$B$2:$B$500,$A207))</x:f>
      </x:c>
      <x:c r="I207" s="25"/>
      <x:c r="J207" s="25"/>
      <x:c r="K207" s="96" t="str">
        <x:f>IF($A207="","",$H207-$I207+$J207)</x:f>
      </x:c>
      <x:c r="L207" s="116" t="str">
        <x:f>IF($A207="","",IF(SUMIFS('Payments'!$C$2:$C$500,'Payments'!$B$2:$B$500,$A207,'Payments'!$G$2:$G$500,"confirmed")&lt;=0,"unpaid",IF(SUMIFS('Payments'!$C$2:$C$500,'Payments'!$B$2:$B$500,$A207,'Payments'!$G$2:$G$500,"confirmed")&gt;=$K207,"paid","partial")))</x:f>
      </x:c>
      <x:c r="M207" s="19"/>
      <x:c r="N207" s="26"/>
      <x:c r="O207" s="26"/>
      <x:c r="P207" s="19"/>
      <x:c r="Q207" s="26"/>
      <x:c r="R207" s="19"/>
      <x:c r="S207" s="26"/>
      <x:c r="T207" s="19"/>
      <x:c r="U207" s="19"/>
    </x:row>
    <x:row r="208">
      <x:c r="A208" s="19"/>
      <x:c r="B208" s="19"/>
      <x:c r="C208" s="19"/>
      <x:c r="D208" s="19"/>
      <x:c r="E208" s="19"/>
      <x:c r="F208" s="19"/>
      <x:c r="G208" s="26"/>
      <x:c r="H208" s="96" t="str">
        <x:f>IF($A208="","",SUMIFS('OrderItems'!$I$2:$I$500,'OrderItems'!$B$2:$B$500,$A208))</x:f>
      </x:c>
      <x:c r="I208" s="25"/>
      <x:c r="J208" s="25"/>
      <x:c r="K208" s="96" t="str">
        <x:f>IF($A208="","",$H208-$I208+$J208)</x:f>
      </x:c>
      <x:c r="L208" s="116" t="str">
        <x:f>IF($A208="","",IF(SUMIFS('Payments'!$C$2:$C$500,'Payments'!$B$2:$B$500,$A208,'Payments'!$G$2:$G$500,"confirmed")&lt;=0,"unpaid",IF(SUMIFS('Payments'!$C$2:$C$500,'Payments'!$B$2:$B$500,$A208,'Payments'!$G$2:$G$500,"confirmed")&gt;=$K208,"paid","partial")))</x:f>
      </x:c>
      <x:c r="M208" s="19"/>
      <x:c r="N208" s="26"/>
      <x:c r="O208" s="26"/>
      <x:c r="P208" s="19"/>
      <x:c r="Q208" s="26"/>
      <x:c r="R208" s="19"/>
      <x:c r="S208" s="26"/>
      <x:c r="T208" s="19"/>
      <x:c r="U208" s="19"/>
    </x:row>
    <x:row r="209">
      <x:c r="A209" s="19"/>
      <x:c r="B209" s="19"/>
      <x:c r="C209" s="19"/>
      <x:c r="D209" s="19"/>
      <x:c r="E209" s="19"/>
      <x:c r="F209" s="19"/>
      <x:c r="G209" s="26"/>
      <x:c r="H209" s="96" t="str">
        <x:f>IF($A209="","",SUMIFS('OrderItems'!$I$2:$I$500,'OrderItems'!$B$2:$B$500,$A209))</x:f>
      </x:c>
      <x:c r="I209" s="25"/>
      <x:c r="J209" s="25"/>
      <x:c r="K209" s="96" t="str">
        <x:f>IF($A209="","",$H209-$I209+$J209)</x:f>
      </x:c>
      <x:c r="L209" s="116" t="str">
        <x:f>IF($A209="","",IF(SUMIFS('Payments'!$C$2:$C$500,'Payments'!$B$2:$B$500,$A209,'Payments'!$G$2:$G$500,"confirmed")&lt;=0,"unpaid",IF(SUMIFS('Payments'!$C$2:$C$500,'Payments'!$B$2:$B$500,$A209,'Payments'!$G$2:$G$500,"confirmed")&gt;=$K209,"paid","partial")))</x:f>
      </x:c>
      <x:c r="M209" s="19"/>
      <x:c r="N209" s="26"/>
      <x:c r="O209" s="26"/>
      <x:c r="P209" s="19"/>
      <x:c r="Q209" s="26"/>
      <x:c r="R209" s="19"/>
      <x:c r="S209" s="26"/>
      <x:c r="T209" s="19"/>
      <x:c r="U209" s="19"/>
    </x:row>
    <x:row r="210">
      <x:c r="A210" s="19"/>
      <x:c r="B210" s="19"/>
      <x:c r="C210" s="19"/>
      <x:c r="D210" s="19"/>
      <x:c r="E210" s="19"/>
      <x:c r="F210" s="19"/>
      <x:c r="G210" s="26"/>
      <x:c r="H210" s="96" t="str">
        <x:f>IF($A210="","",SUMIFS('OrderItems'!$I$2:$I$500,'OrderItems'!$B$2:$B$500,$A210))</x:f>
      </x:c>
      <x:c r="I210" s="25"/>
      <x:c r="J210" s="25"/>
      <x:c r="K210" s="96" t="str">
        <x:f>IF($A210="","",$H210-$I210+$J210)</x:f>
      </x:c>
      <x:c r="L210" s="116" t="str">
        <x:f>IF($A210="","",IF(SUMIFS('Payments'!$C$2:$C$500,'Payments'!$B$2:$B$500,$A210,'Payments'!$G$2:$G$500,"confirmed")&lt;=0,"unpaid",IF(SUMIFS('Payments'!$C$2:$C$500,'Payments'!$B$2:$B$500,$A210,'Payments'!$G$2:$G$500,"confirmed")&gt;=$K210,"paid","partial")))</x:f>
      </x:c>
      <x:c r="M210" s="19"/>
      <x:c r="N210" s="26"/>
      <x:c r="O210" s="26"/>
      <x:c r="P210" s="19"/>
      <x:c r="Q210" s="26"/>
      <x:c r="R210" s="19"/>
      <x:c r="S210" s="26"/>
      <x:c r="T210" s="19"/>
      <x:c r="U210" s="19"/>
    </x:row>
    <x:row r="211">
      <x:c r="A211" s="19"/>
      <x:c r="B211" s="19"/>
      <x:c r="C211" s="19"/>
      <x:c r="D211" s="19"/>
      <x:c r="E211" s="19"/>
      <x:c r="F211" s="19"/>
      <x:c r="G211" s="26"/>
      <x:c r="H211" s="96" t="str">
        <x:f>IF($A211="","",SUMIFS('OrderItems'!$I$2:$I$500,'OrderItems'!$B$2:$B$500,$A211))</x:f>
      </x:c>
      <x:c r="I211" s="25"/>
      <x:c r="J211" s="25"/>
      <x:c r="K211" s="96" t="str">
        <x:f>IF($A211="","",$H211-$I211+$J211)</x:f>
      </x:c>
      <x:c r="L211" s="116" t="str">
        <x:f>IF($A211="","",IF(SUMIFS('Payments'!$C$2:$C$500,'Payments'!$B$2:$B$500,$A211,'Payments'!$G$2:$G$500,"confirmed")&lt;=0,"unpaid",IF(SUMIFS('Payments'!$C$2:$C$500,'Payments'!$B$2:$B$500,$A211,'Payments'!$G$2:$G$500,"confirmed")&gt;=$K211,"paid","partial")))</x:f>
      </x:c>
      <x:c r="M211" s="19"/>
      <x:c r="N211" s="26"/>
      <x:c r="O211" s="26"/>
      <x:c r="P211" s="19"/>
      <x:c r="Q211" s="26"/>
      <x:c r="R211" s="19"/>
      <x:c r="S211" s="26"/>
      <x:c r="T211" s="19"/>
      <x:c r="U211" s="19"/>
    </x:row>
    <x:row r="212">
      <x:c r="A212" s="19"/>
      <x:c r="B212" s="19"/>
      <x:c r="C212" s="19"/>
      <x:c r="D212" s="19"/>
      <x:c r="E212" s="19"/>
      <x:c r="F212" s="19"/>
      <x:c r="G212" s="26"/>
      <x:c r="H212" s="96" t="str">
        <x:f>IF($A212="","",SUMIFS('OrderItems'!$I$2:$I$500,'OrderItems'!$B$2:$B$500,$A212))</x:f>
      </x:c>
      <x:c r="I212" s="25"/>
      <x:c r="J212" s="25"/>
      <x:c r="K212" s="96" t="str">
        <x:f>IF($A212="","",$H212-$I212+$J212)</x:f>
      </x:c>
      <x:c r="L212" s="116" t="str">
        <x:f>IF($A212="","",IF(SUMIFS('Payments'!$C$2:$C$500,'Payments'!$B$2:$B$500,$A212,'Payments'!$G$2:$G$500,"confirmed")&lt;=0,"unpaid",IF(SUMIFS('Payments'!$C$2:$C$500,'Payments'!$B$2:$B$500,$A212,'Payments'!$G$2:$G$500,"confirmed")&gt;=$K212,"paid","partial")))</x:f>
      </x:c>
      <x:c r="M212" s="19"/>
      <x:c r="N212" s="26"/>
      <x:c r="O212" s="26"/>
      <x:c r="P212" s="19"/>
      <x:c r="Q212" s="26"/>
      <x:c r="R212" s="19"/>
      <x:c r="S212" s="26"/>
      <x:c r="T212" s="19"/>
      <x:c r="U212" s="19"/>
    </x:row>
    <x:row r="213">
      <x:c r="A213" s="19"/>
      <x:c r="B213" s="19"/>
      <x:c r="C213" s="19"/>
      <x:c r="D213" s="19"/>
      <x:c r="E213" s="19"/>
      <x:c r="F213" s="19"/>
      <x:c r="G213" s="26"/>
      <x:c r="H213" s="96" t="str">
        <x:f>IF($A213="","",SUMIFS('OrderItems'!$I$2:$I$500,'OrderItems'!$B$2:$B$500,$A213))</x:f>
      </x:c>
      <x:c r="I213" s="25"/>
      <x:c r="J213" s="25"/>
      <x:c r="K213" s="96" t="str">
        <x:f>IF($A213="","",$H213-$I213+$J213)</x:f>
      </x:c>
      <x:c r="L213" s="116" t="str">
        <x:f>IF($A213="","",IF(SUMIFS('Payments'!$C$2:$C$500,'Payments'!$B$2:$B$500,$A213,'Payments'!$G$2:$G$500,"confirmed")&lt;=0,"unpaid",IF(SUMIFS('Payments'!$C$2:$C$500,'Payments'!$B$2:$B$500,$A213,'Payments'!$G$2:$G$500,"confirmed")&gt;=$K213,"paid","partial")))</x:f>
      </x:c>
      <x:c r="M213" s="19"/>
      <x:c r="N213" s="26"/>
      <x:c r="O213" s="26"/>
      <x:c r="P213" s="19"/>
      <x:c r="Q213" s="26"/>
      <x:c r="R213" s="19"/>
      <x:c r="S213" s="26"/>
      <x:c r="T213" s="19"/>
      <x:c r="U213" s="19"/>
    </x:row>
    <x:row r="214">
      <x:c r="A214" s="19"/>
      <x:c r="B214" s="19"/>
      <x:c r="C214" s="19"/>
      <x:c r="D214" s="19"/>
      <x:c r="E214" s="19"/>
      <x:c r="F214" s="19"/>
      <x:c r="G214" s="26"/>
      <x:c r="H214" s="96" t="str">
        <x:f>IF($A214="","",SUMIFS('OrderItems'!$I$2:$I$500,'OrderItems'!$B$2:$B$500,$A214))</x:f>
      </x:c>
      <x:c r="I214" s="25"/>
      <x:c r="J214" s="25"/>
      <x:c r="K214" s="96" t="str">
        <x:f>IF($A214="","",$H214-$I214+$J214)</x:f>
      </x:c>
      <x:c r="L214" s="116" t="str">
        <x:f>IF($A214="","",IF(SUMIFS('Payments'!$C$2:$C$500,'Payments'!$B$2:$B$500,$A214,'Payments'!$G$2:$G$500,"confirmed")&lt;=0,"unpaid",IF(SUMIFS('Payments'!$C$2:$C$500,'Payments'!$B$2:$B$500,$A214,'Payments'!$G$2:$G$500,"confirmed")&gt;=$K214,"paid","partial")))</x:f>
      </x:c>
      <x:c r="M214" s="19"/>
      <x:c r="N214" s="26"/>
      <x:c r="O214" s="26"/>
      <x:c r="P214" s="19"/>
      <x:c r="Q214" s="26"/>
      <x:c r="R214" s="19"/>
      <x:c r="S214" s="26"/>
      <x:c r="T214" s="19"/>
      <x:c r="U214" s="19"/>
    </x:row>
    <x:row r="215">
      <x:c r="A215" s="19"/>
      <x:c r="B215" s="19"/>
      <x:c r="C215" s="19"/>
      <x:c r="D215" s="19"/>
      <x:c r="E215" s="19"/>
      <x:c r="F215" s="19"/>
      <x:c r="G215" s="26"/>
      <x:c r="H215" s="96" t="str">
        <x:f>IF($A215="","",SUMIFS('OrderItems'!$I$2:$I$500,'OrderItems'!$B$2:$B$500,$A215))</x:f>
      </x:c>
      <x:c r="I215" s="25"/>
      <x:c r="J215" s="25"/>
      <x:c r="K215" s="96" t="str">
        <x:f>IF($A215="","",$H215-$I215+$J215)</x:f>
      </x:c>
      <x:c r="L215" s="116" t="str">
        <x:f>IF($A215="","",IF(SUMIFS('Payments'!$C$2:$C$500,'Payments'!$B$2:$B$500,$A215,'Payments'!$G$2:$G$500,"confirmed")&lt;=0,"unpaid",IF(SUMIFS('Payments'!$C$2:$C$500,'Payments'!$B$2:$B$500,$A215,'Payments'!$G$2:$G$500,"confirmed")&gt;=$K215,"paid","partial")))</x:f>
      </x:c>
      <x:c r="M215" s="19"/>
      <x:c r="N215" s="26"/>
      <x:c r="O215" s="26"/>
      <x:c r="P215" s="19"/>
      <x:c r="Q215" s="26"/>
      <x:c r="R215" s="19"/>
      <x:c r="S215" s="26"/>
      <x:c r="T215" s="19"/>
      <x:c r="U215" s="19"/>
    </x:row>
    <x:row r="216">
      <x:c r="A216" s="19"/>
      <x:c r="B216" s="19"/>
      <x:c r="C216" s="19"/>
      <x:c r="D216" s="19"/>
      <x:c r="E216" s="19"/>
      <x:c r="F216" s="19"/>
      <x:c r="G216" s="26"/>
      <x:c r="H216" s="96" t="str">
        <x:f>IF($A216="","",SUMIFS('OrderItems'!$I$2:$I$500,'OrderItems'!$B$2:$B$500,$A216))</x:f>
      </x:c>
      <x:c r="I216" s="25"/>
      <x:c r="J216" s="25"/>
      <x:c r="K216" s="96" t="str">
        <x:f>IF($A216="","",$H216-$I216+$J216)</x:f>
      </x:c>
      <x:c r="L216" s="116" t="str">
        <x:f>IF($A216="","",IF(SUMIFS('Payments'!$C$2:$C$500,'Payments'!$B$2:$B$500,$A216,'Payments'!$G$2:$G$500,"confirmed")&lt;=0,"unpaid",IF(SUMIFS('Payments'!$C$2:$C$500,'Payments'!$B$2:$B$500,$A216,'Payments'!$G$2:$G$500,"confirmed")&gt;=$K216,"paid","partial")))</x:f>
      </x:c>
      <x:c r="M216" s="19"/>
      <x:c r="N216" s="26"/>
      <x:c r="O216" s="26"/>
      <x:c r="P216" s="19"/>
      <x:c r="Q216" s="26"/>
      <x:c r="R216" s="19"/>
      <x:c r="S216" s="26"/>
      <x:c r="T216" s="19"/>
      <x:c r="U216" s="19"/>
    </x:row>
    <x:row r="217">
      <x:c r="A217" s="19"/>
      <x:c r="B217" s="19"/>
      <x:c r="C217" s="19"/>
      <x:c r="D217" s="19"/>
      <x:c r="E217" s="19"/>
      <x:c r="F217" s="19"/>
      <x:c r="G217" s="26"/>
      <x:c r="H217" s="96" t="str">
        <x:f>IF($A217="","",SUMIFS('OrderItems'!$I$2:$I$500,'OrderItems'!$B$2:$B$500,$A217))</x:f>
      </x:c>
      <x:c r="I217" s="25"/>
      <x:c r="J217" s="25"/>
      <x:c r="K217" s="96" t="str">
        <x:f>IF($A217="","",$H217-$I217+$J217)</x:f>
      </x:c>
      <x:c r="L217" s="116" t="str">
        <x:f>IF($A217="","",IF(SUMIFS('Payments'!$C$2:$C$500,'Payments'!$B$2:$B$500,$A217,'Payments'!$G$2:$G$500,"confirmed")&lt;=0,"unpaid",IF(SUMIFS('Payments'!$C$2:$C$500,'Payments'!$B$2:$B$500,$A217,'Payments'!$G$2:$G$500,"confirmed")&gt;=$K217,"paid","partial")))</x:f>
      </x:c>
      <x:c r="M217" s="19"/>
      <x:c r="N217" s="26"/>
      <x:c r="O217" s="26"/>
      <x:c r="P217" s="19"/>
      <x:c r="Q217" s="26"/>
      <x:c r="R217" s="19"/>
      <x:c r="S217" s="26"/>
      <x:c r="T217" s="19"/>
      <x:c r="U217" s="19"/>
    </x:row>
    <x:row r="218">
      <x:c r="A218" s="19"/>
      <x:c r="B218" s="19"/>
      <x:c r="C218" s="19"/>
      <x:c r="D218" s="19"/>
      <x:c r="E218" s="19"/>
      <x:c r="F218" s="19"/>
      <x:c r="G218" s="26"/>
      <x:c r="H218" s="96" t="str">
        <x:f>IF($A218="","",SUMIFS('OrderItems'!$I$2:$I$500,'OrderItems'!$B$2:$B$500,$A218))</x:f>
      </x:c>
      <x:c r="I218" s="25"/>
      <x:c r="J218" s="25"/>
      <x:c r="K218" s="96" t="str">
        <x:f>IF($A218="","",$H218-$I218+$J218)</x:f>
      </x:c>
      <x:c r="L218" s="116" t="str">
        <x:f>IF($A218="","",IF(SUMIFS('Payments'!$C$2:$C$500,'Payments'!$B$2:$B$500,$A218,'Payments'!$G$2:$G$500,"confirmed")&lt;=0,"unpaid",IF(SUMIFS('Payments'!$C$2:$C$500,'Payments'!$B$2:$B$500,$A218,'Payments'!$G$2:$G$500,"confirmed")&gt;=$K218,"paid","partial")))</x:f>
      </x:c>
      <x:c r="M218" s="19"/>
      <x:c r="N218" s="26"/>
      <x:c r="O218" s="26"/>
      <x:c r="P218" s="19"/>
      <x:c r="Q218" s="26"/>
      <x:c r="R218" s="19"/>
      <x:c r="S218" s="26"/>
      <x:c r="T218" s="19"/>
      <x:c r="U218" s="19"/>
    </x:row>
    <x:row r="219">
      <x:c r="A219" s="19"/>
      <x:c r="B219" s="19"/>
      <x:c r="C219" s="19"/>
      <x:c r="D219" s="19"/>
      <x:c r="E219" s="19"/>
      <x:c r="F219" s="19"/>
      <x:c r="G219" s="26"/>
      <x:c r="H219" s="96" t="str">
        <x:f>IF($A219="","",SUMIFS('OrderItems'!$I$2:$I$500,'OrderItems'!$B$2:$B$500,$A219))</x:f>
      </x:c>
      <x:c r="I219" s="25"/>
      <x:c r="J219" s="25"/>
      <x:c r="K219" s="96" t="str">
        <x:f>IF($A219="","",$H219-$I219+$J219)</x:f>
      </x:c>
      <x:c r="L219" s="116" t="str">
        <x:f>IF($A219="","",IF(SUMIFS('Payments'!$C$2:$C$500,'Payments'!$B$2:$B$500,$A219,'Payments'!$G$2:$G$500,"confirmed")&lt;=0,"unpaid",IF(SUMIFS('Payments'!$C$2:$C$500,'Payments'!$B$2:$B$500,$A219,'Payments'!$G$2:$G$500,"confirmed")&gt;=$K219,"paid","partial")))</x:f>
      </x:c>
      <x:c r="M219" s="19"/>
      <x:c r="N219" s="26"/>
      <x:c r="O219" s="26"/>
      <x:c r="P219" s="19"/>
      <x:c r="Q219" s="26"/>
      <x:c r="R219" s="19"/>
      <x:c r="S219" s="26"/>
      <x:c r="T219" s="19"/>
      <x:c r="U219" s="19"/>
    </x:row>
    <x:row r="220">
      <x:c r="A220" s="19"/>
      <x:c r="B220" s="19"/>
      <x:c r="C220" s="19"/>
      <x:c r="D220" s="19"/>
      <x:c r="E220" s="19"/>
      <x:c r="F220" s="19"/>
      <x:c r="G220" s="26"/>
      <x:c r="H220" s="96" t="str">
        <x:f>IF($A220="","",SUMIFS('OrderItems'!$I$2:$I$500,'OrderItems'!$B$2:$B$500,$A220))</x:f>
      </x:c>
      <x:c r="I220" s="25"/>
      <x:c r="J220" s="25"/>
      <x:c r="K220" s="96" t="str">
        <x:f>IF($A220="","",$H220-$I220+$J220)</x:f>
      </x:c>
      <x:c r="L220" s="116" t="str">
        <x:f>IF($A220="","",IF(SUMIFS('Payments'!$C$2:$C$500,'Payments'!$B$2:$B$500,$A220,'Payments'!$G$2:$G$500,"confirmed")&lt;=0,"unpaid",IF(SUMIFS('Payments'!$C$2:$C$500,'Payments'!$B$2:$B$500,$A220,'Payments'!$G$2:$G$500,"confirmed")&gt;=$K220,"paid","partial")))</x:f>
      </x:c>
      <x:c r="M220" s="19"/>
      <x:c r="N220" s="26"/>
      <x:c r="O220" s="26"/>
      <x:c r="P220" s="19"/>
      <x:c r="Q220" s="26"/>
      <x:c r="R220" s="19"/>
      <x:c r="S220" s="26"/>
      <x:c r="T220" s="19"/>
      <x:c r="U220" s="19"/>
    </x:row>
    <x:row r="221">
      <x:c r="A221" s="19"/>
      <x:c r="B221" s="19"/>
      <x:c r="C221" s="19"/>
      <x:c r="D221" s="19"/>
      <x:c r="E221" s="19"/>
      <x:c r="F221" s="19"/>
      <x:c r="G221" s="26"/>
      <x:c r="H221" s="96" t="str">
        <x:f>IF($A221="","",SUMIFS('OrderItems'!$I$2:$I$500,'OrderItems'!$B$2:$B$500,$A221))</x:f>
      </x:c>
      <x:c r="I221" s="25"/>
      <x:c r="J221" s="25"/>
      <x:c r="K221" s="96" t="str">
        <x:f>IF($A221="","",$H221-$I221+$J221)</x:f>
      </x:c>
      <x:c r="L221" s="116" t="str">
        <x:f>IF($A221="","",IF(SUMIFS('Payments'!$C$2:$C$500,'Payments'!$B$2:$B$500,$A221,'Payments'!$G$2:$G$500,"confirmed")&lt;=0,"unpaid",IF(SUMIFS('Payments'!$C$2:$C$500,'Payments'!$B$2:$B$500,$A221,'Payments'!$G$2:$G$500,"confirmed")&gt;=$K221,"paid","partial")))</x:f>
      </x:c>
      <x:c r="M221" s="19"/>
      <x:c r="N221" s="26"/>
      <x:c r="O221" s="26"/>
      <x:c r="P221" s="19"/>
      <x:c r="Q221" s="26"/>
      <x:c r="R221" s="19"/>
      <x:c r="S221" s="26"/>
      <x:c r="T221" s="19"/>
      <x:c r="U221" s="19"/>
    </x:row>
    <x:row r="222">
      <x:c r="A222" s="19"/>
      <x:c r="B222" s="19"/>
      <x:c r="C222" s="19"/>
      <x:c r="D222" s="19"/>
      <x:c r="E222" s="19"/>
      <x:c r="F222" s="19"/>
      <x:c r="G222" s="26"/>
      <x:c r="H222" s="96" t="str">
        <x:f>IF($A222="","",SUMIFS('OrderItems'!$I$2:$I$500,'OrderItems'!$B$2:$B$500,$A222))</x:f>
      </x:c>
      <x:c r="I222" s="25"/>
      <x:c r="J222" s="25"/>
      <x:c r="K222" s="96" t="str">
        <x:f>IF($A222="","",$H222-$I222+$J222)</x:f>
      </x:c>
      <x:c r="L222" s="116" t="str">
        <x:f>IF($A222="","",IF(SUMIFS('Payments'!$C$2:$C$500,'Payments'!$B$2:$B$500,$A222,'Payments'!$G$2:$G$500,"confirmed")&lt;=0,"unpaid",IF(SUMIFS('Payments'!$C$2:$C$500,'Payments'!$B$2:$B$500,$A222,'Payments'!$G$2:$G$500,"confirmed")&gt;=$K222,"paid","partial")))</x:f>
      </x:c>
      <x:c r="M222" s="19"/>
      <x:c r="N222" s="26"/>
      <x:c r="O222" s="26"/>
      <x:c r="P222" s="19"/>
      <x:c r="Q222" s="26"/>
      <x:c r="R222" s="19"/>
      <x:c r="S222" s="26"/>
      <x:c r="T222" s="19"/>
      <x:c r="U222" s="19"/>
    </x:row>
    <x:row r="223">
      <x:c r="A223" s="19"/>
      <x:c r="B223" s="19"/>
      <x:c r="C223" s="19"/>
      <x:c r="D223" s="19"/>
      <x:c r="E223" s="19"/>
      <x:c r="F223" s="19"/>
      <x:c r="G223" s="26"/>
      <x:c r="H223" s="96" t="str">
        <x:f>IF($A223="","",SUMIFS('OrderItems'!$I$2:$I$500,'OrderItems'!$B$2:$B$500,$A223))</x:f>
      </x:c>
      <x:c r="I223" s="25"/>
      <x:c r="J223" s="25"/>
      <x:c r="K223" s="96" t="str">
        <x:f>IF($A223="","",$H223-$I223+$J223)</x:f>
      </x:c>
      <x:c r="L223" s="116" t="str">
        <x:f>IF($A223="","",IF(SUMIFS('Payments'!$C$2:$C$500,'Payments'!$B$2:$B$500,$A223,'Payments'!$G$2:$G$500,"confirmed")&lt;=0,"unpaid",IF(SUMIFS('Payments'!$C$2:$C$500,'Payments'!$B$2:$B$500,$A223,'Payments'!$G$2:$G$500,"confirmed")&gt;=$K223,"paid","partial")))</x:f>
      </x:c>
      <x:c r="M223" s="19"/>
      <x:c r="N223" s="26"/>
      <x:c r="O223" s="26"/>
      <x:c r="P223" s="19"/>
      <x:c r="Q223" s="26"/>
      <x:c r="R223" s="19"/>
      <x:c r="S223" s="26"/>
      <x:c r="T223" s="19"/>
      <x:c r="U223" s="19"/>
    </x:row>
    <x:row r="224">
      <x:c r="A224" s="19"/>
      <x:c r="B224" s="19"/>
      <x:c r="C224" s="19"/>
      <x:c r="D224" s="19"/>
      <x:c r="E224" s="19"/>
      <x:c r="F224" s="19"/>
      <x:c r="G224" s="26"/>
      <x:c r="H224" s="96" t="str">
        <x:f>IF($A224="","",SUMIFS('OrderItems'!$I$2:$I$500,'OrderItems'!$B$2:$B$500,$A224))</x:f>
      </x:c>
      <x:c r="I224" s="25"/>
      <x:c r="J224" s="25"/>
      <x:c r="K224" s="96" t="str">
        <x:f>IF($A224="","",$H224-$I224+$J224)</x:f>
      </x:c>
      <x:c r="L224" s="116" t="str">
        <x:f>IF($A224="","",IF(SUMIFS('Payments'!$C$2:$C$500,'Payments'!$B$2:$B$500,$A224,'Payments'!$G$2:$G$500,"confirmed")&lt;=0,"unpaid",IF(SUMIFS('Payments'!$C$2:$C$500,'Payments'!$B$2:$B$500,$A224,'Payments'!$G$2:$G$500,"confirmed")&gt;=$K224,"paid","partial")))</x:f>
      </x:c>
      <x:c r="M224" s="19"/>
      <x:c r="N224" s="26"/>
      <x:c r="O224" s="26"/>
      <x:c r="P224" s="19"/>
      <x:c r="Q224" s="26"/>
      <x:c r="R224" s="19"/>
      <x:c r="S224" s="26"/>
      <x:c r="T224" s="19"/>
      <x:c r="U224" s="19"/>
    </x:row>
    <x:row r="225">
      <x:c r="A225" s="19"/>
      <x:c r="B225" s="19"/>
      <x:c r="C225" s="19"/>
      <x:c r="D225" s="19"/>
      <x:c r="E225" s="19"/>
      <x:c r="F225" s="19"/>
      <x:c r="G225" s="26"/>
      <x:c r="H225" s="96" t="str">
        <x:f>IF($A225="","",SUMIFS('OrderItems'!$I$2:$I$500,'OrderItems'!$B$2:$B$500,$A225))</x:f>
      </x:c>
      <x:c r="I225" s="25"/>
      <x:c r="J225" s="25"/>
      <x:c r="K225" s="96" t="str">
        <x:f>IF($A225="","",$H225-$I225+$J225)</x:f>
      </x:c>
      <x:c r="L225" s="116" t="str">
        <x:f>IF($A225="","",IF(SUMIFS('Payments'!$C$2:$C$500,'Payments'!$B$2:$B$500,$A225,'Payments'!$G$2:$G$500,"confirmed")&lt;=0,"unpaid",IF(SUMIFS('Payments'!$C$2:$C$500,'Payments'!$B$2:$B$500,$A225,'Payments'!$G$2:$G$500,"confirmed")&gt;=$K225,"paid","partial")))</x:f>
      </x:c>
      <x:c r="M225" s="19"/>
      <x:c r="N225" s="26"/>
      <x:c r="O225" s="26"/>
      <x:c r="P225" s="19"/>
      <x:c r="Q225" s="26"/>
      <x:c r="R225" s="19"/>
      <x:c r="S225" s="26"/>
      <x:c r="T225" s="19"/>
      <x:c r="U225" s="19"/>
    </x:row>
    <x:row r="226">
      <x:c r="A226" s="19"/>
      <x:c r="B226" s="19"/>
      <x:c r="C226" s="19"/>
      <x:c r="D226" s="19"/>
      <x:c r="E226" s="19"/>
      <x:c r="F226" s="19"/>
      <x:c r="G226" s="26"/>
      <x:c r="H226" s="96" t="str">
        <x:f>IF($A226="","",SUMIFS('OrderItems'!$I$2:$I$500,'OrderItems'!$B$2:$B$500,$A226))</x:f>
      </x:c>
      <x:c r="I226" s="25"/>
      <x:c r="J226" s="25"/>
      <x:c r="K226" s="96" t="str">
        <x:f>IF($A226="","",$H226-$I226+$J226)</x:f>
      </x:c>
      <x:c r="L226" s="116" t="str">
        <x:f>IF($A226="","",IF(SUMIFS('Payments'!$C$2:$C$500,'Payments'!$B$2:$B$500,$A226,'Payments'!$G$2:$G$500,"confirmed")&lt;=0,"unpaid",IF(SUMIFS('Payments'!$C$2:$C$500,'Payments'!$B$2:$B$500,$A226,'Payments'!$G$2:$G$500,"confirmed")&gt;=$K226,"paid","partial")))</x:f>
      </x:c>
      <x:c r="M226" s="19"/>
      <x:c r="N226" s="26"/>
      <x:c r="O226" s="26"/>
      <x:c r="P226" s="19"/>
      <x:c r="Q226" s="26"/>
      <x:c r="R226" s="19"/>
      <x:c r="S226" s="26"/>
      <x:c r="T226" s="19"/>
      <x:c r="U226" s="19"/>
    </x:row>
    <x:row r="227">
      <x:c r="A227" s="19"/>
      <x:c r="B227" s="19"/>
      <x:c r="C227" s="19"/>
      <x:c r="D227" s="19"/>
      <x:c r="E227" s="19"/>
      <x:c r="F227" s="19"/>
      <x:c r="G227" s="26"/>
      <x:c r="H227" s="96" t="str">
        <x:f>IF($A227="","",SUMIFS('OrderItems'!$I$2:$I$500,'OrderItems'!$B$2:$B$500,$A227))</x:f>
      </x:c>
      <x:c r="I227" s="25"/>
      <x:c r="J227" s="25"/>
      <x:c r="K227" s="96" t="str">
        <x:f>IF($A227="","",$H227-$I227+$J227)</x:f>
      </x:c>
      <x:c r="L227" s="116" t="str">
        <x:f>IF($A227="","",IF(SUMIFS('Payments'!$C$2:$C$500,'Payments'!$B$2:$B$500,$A227,'Payments'!$G$2:$G$500,"confirmed")&lt;=0,"unpaid",IF(SUMIFS('Payments'!$C$2:$C$500,'Payments'!$B$2:$B$500,$A227,'Payments'!$G$2:$G$500,"confirmed")&gt;=$K227,"paid","partial")))</x:f>
      </x:c>
      <x:c r="M227" s="19"/>
      <x:c r="N227" s="26"/>
      <x:c r="O227" s="26"/>
      <x:c r="P227" s="19"/>
      <x:c r="Q227" s="26"/>
      <x:c r="R227" s="19"/>
      <x:c r="S227" s="26"/>
      <x:c r="T227" s="19"/>
      <x:c r="U227" s="19"/>
    </x:row>
    <x:row r="228">
      <x:c r="A228" s="19"/>
      <x:c r="B228" s="19"/>
      <x:c r="C228" s="19"/>
      <x:c r="D228" s="19"/>
      <x:c r="E228" s="19"/>
      <x:c r="F228" s="19"/>
      <x:c r="G228" s="26"/>
      <x:c r="H228" s="96" t="str">
        <x:f>IF($A228="","",SUMIFS('OrderItems'!$I$2:$I$500,'OrderItems'!$B$2:$B$500,$A228))</x:f>
      </x:c>
      <x:c r="I228" s="25"/>
      <x:c r="J228" s="25"/>
      <x:c r="K228" s="96" t="str">
        <x:f>IF($A228="","",$H228-$I228+$J228)</x:f>
      </x:c>
      <x:c r="L228" s="116" t="str">
        <x:f>IF($A228="","",IF(SUMIFS('Payments'!$C$2:$C$500,'Payments'!$B$2:$B$500,$A228,'Payments'!$G$2:$G$500,"confirmed")&lt;=0,"unpaid",IF(SUMIFS('Payments'!$C$2:$C$500,'Payments'!$B$2:$B$500,$A228,'Payments'!$G$2:$G$500,"confirmed")&gt;=$K228,"paid","partial")))</x:f>
      </x:c>
      <x:c r="M228" s="19"/>
      <x:c r="N228" s="26"/>
      <x:c r="O228" s="26"/>
      <x:c r="P228" s="19"/>
      <x:c r="Q228" s="26"/>
      <x:c r="R228" s="19"/>
      <x:c r="S228" s="26"/>
      <x:c r="T228" s="19"/>
      <x:c r="U228" s="19"/>
    </x:row>
    <x:row r="229">
      <x:c r="A229" s="19"/>
      <x:c r="B229" s="19"/>
      <x:c r="C229" s="19"/>
      <x:c r="D229" s="19"/>
      <x:c r="E229" s="19"/>
      <x:c r="F229" s="19"/>
      <x:c r="G229" s="26"/>
      <x:c r="H229" s="96" t="str">
        <x:f>IF($A229="","",SUMIFS('OrderItems'!$I$2:$I$500,'OrderItems'!$B$2:$B$500,$A229))</x:f>
      </x:c>
      <x:c r="I229" s="25"/>
      <x:c r="J229" s="25"/>
      <x:c r="K229" s="96" t="str">
        <x:f>IF($A229="","",$H229-$I229+$J229)</x:f>
      </x:c>
      <x:c r="L229" s="116" t="str">
        <x:f>IF($A229="","",IF(SUMIFS('Payments'!$C$2:$C$500,'Payments'!$B$2:$B$500,$A229,'Payments'!$G$2:$G$500,"confirmed")&lt;=0,"unpaid",IF(SUMIFS('Payments'!$C$2:$C$500,'Payments'!$B$2:$B$500,$A229,'Payments'!$G$2:$G$500,"confirmed")&gt;=$K229,"paid","partial")))</x:f>
      </x:c>
      <x:c r="M229" s="19"/>
      <x:c r="N229" s="26"/>
      <x:c r="O229" s="26"/>
      <x:c r="P229" s="19"/>
      <x:c r="Q229" s="26"/>
      <x:c r="R229" s="19"/>
      <x:c r="S229" s="26"/>
      <x:c r="T229" s="19"/>
      <x:c r="U229" s="19"/>
    </x:row>
    <x:row r="230">
      <x:c r="A230" s="19"/>
      <x:c r="B230" s="19"/>
      <x:c r="C230" s="19"/>
      <x:c r="D230" s="19"/>
      <x:c r="E230" s="19"/>
      <x:c r="F230" s="19"/>
      <x:c r="G230" s="26"/>
      <x:c r="H230" s="96" t="str">
        <x:f>IF($A230="","",SUMIFS('OrderItems'!$I$2:$I$500,'OrderItems'!$B$2:$B$500,$A230))</x:f>
      </x:c>
      <x:c r="I230" s="25"/>
      <x:c r="J230" s="25"/>
      <x:c r="K230" s="96" t="str">
        <x:f>IF($A230="","",$H230-$I230+$J230)</x:f>
      </x:c>
      <x:c r="L230" s="116" t="str">
        <x:f>IF($A230="","",IF(SUMIFS('Payments'!$C$2:$C$500,'Payments'!$B$2:$B$500,$A230,'Payments'!$G$2:$G$500,"confirmed")&lt;=0,"unpaid",IF(SUMIFS('Payments'!$C$2:$C$500,'Payments'!$B$2:$B$500,$A230,'Payments'!$G$2:$G$500,"confirmed")&gt;=$K230,"paid","partial")))</x:f>
      </x:c>
      <x:c r="M230" s="19"/>
      <x:c r="N230" s="26"/>
      <x:c r="O230" s="26"/>
      <x:c r="P230" s="19"/>
      <x:c r="Q230" s="26"/>
      <x:c r="R230" s="19"/>
      <x:c r="S230" s="26"/>
      <x:c r="T230" s="19"/>
      <x:c r="U230" s="19"/>
    </x:row>
    <x:row r="231">
      <x:c r="A231" s="19"/>
      <x:c r="B231" s="19"/>
      <x:c r="C231" s="19"/>
      <x:c r="D231" s="19"/>
      <x:c r="E231" s="19"/>
      <x:c r="F231" s="19"/>
      <x:c r="G231" s="26"/>
      <x:c r="H231" s="96" t="str">
        <x:f>IF($A231="","",SUMIFS('OrderItems'!$I$2:$I$500,'OrderItems'!$B$2:$B$500,$A231))</x:f>
      </x:c>
      <x:c r="I231" s="25"/>
      <x:c r="J231" s="25"/>
      <x:c r="K231" s="96" t="str">
        <x:f>IF($A231="","",$H231-$I231+$J231)</x:f>
      </x:c>
      <x:c r="L231" s="116" t="str">
        <x:f>IF($A231="","",IF(SUMIFS('Payments'!$C$2:$C$500,'Payments'!$B$2:$B$500,$A231,'Payments'!$G$2:$G$500,"confirmed")&lt;=0,"unpaid",IF(SUMIFS('Payments'!$C$2:$C$500,'Payments'!$B$2:$B$500,$A231,'Payments'!$G$2:$G$500,"confirmed")&gt;=$K231,"paid","partial")))</x:f>
      </x:c>
      <x:c r="M231" s="19"/>
      <x:c r="N231" s="26"/>
      <x:c r="O231" s="26"/>
      <x:c r="P231" s="19"/>
      <x:c r="Q231" s="26"/>
      <x:c r="R231" s="19"/>
      <x:c r="S231" s="26"/>
      <x:c r="T231" s="19"/>
      <x:c r="U231" s="19"/>
    </x:row>
    <x:row r="232">
      <x:c r="A232" s="19"/>
      <x:c r="B232" s="19"/>
      <x:c r="C232" s="19"/>
      <x:c r="D232" s="19"/>
      <x:c r="E232" s="19"/>
      <x:c r="F232" s="19"/>
      <x:c r="G232" s="26"/>
      <x:c r="H232" s="96" t="str">
        <x:f>IF($A232="","",SUMIFS('OrderItems'!$I$2:$I$500,'OrderItems'!$B$2:$B$500,$A232))</x:f>
      </x:c>
      <x:c r="I232" s="25"/>
      <x:c r="J232" s="25"/>
      <x:c r="K232" s="96" t="str">
        <x:f>IF($A232="","",$H232-$I232+$J232)</x:f>
      </x:c>
      <x:c r="L232" s="116" t="str">
        <x:f>IF($A232="","",IF(SUMIFS('Payments'!$C$2:$C$500,'Payments'!$B$2:$B$500,$A232,'Payments'!$G$2:$G$500,"confirmed")&lt;=0,"unpaid",IF(SUMIFS('Payments'!$C$2:$C$500,'Payments'!$B$2:$B$500,$A232,'Payments'!$G$2:$G$500,"confirmed")&gt;=$K232,"paid","partial")))</x:f>
      </x:c>
      <x:c r="M232" s="19"/>
      <x:c r="N232" s="26"/>
      <x:c r="O232" s="26"/>
      <x:c r="P232" s="19"/>
      <x:c r="Q232" s="26"/>
      <x:c r="R232" s="19"/>
      <x:c r="S232" s="26"/>
      <x:c r="T232" s="19"/>
      <x:c r="U232" s="19"/>
    </x:row>
    <x:row r="233">
      <x:c r="A233" s="19"/>
      <x:c r="B233" s="19"/>
      <x:c r="C233" s="19"/>
      <x:c r="D233" s="19"/>
      <x:c r="E233" s="19"/>
      <x:c r="F233" s="19"/>
      <x:c r="G233" s="26"/>
      <x:c r="H233" s="96" t="str">
        <x:f>IF($A233="","",SUMIFS('OrderItems'!$I$2:$I$500,'OrderItems'!$B$2:$B$500,$A233))</x:f>
      </x:c>
      <x:c r="I233" s="25"/>
      <x:c r="J233" s="25"/>
      <x:c r="K233" s="96" t="str">
        <x:f>IF($A233="","",$H233-$I233+$J233)</x:f>
      </x:c>
      <x:c r="L233" s="116" t="str">
        <x:f>IF($A233="","",IF(SUMIFS('Payments'!$C$2:$C$500,'Payments'!$B$2:$B$500,$A233,'Payments'!$G$2:$G$500,"confirmed")&lt;=0,"unpaid",IF(SUMIFS('Payments'!$C$2:$C$500,'Payments'!$B$2:$B$500,$A233,'Payments'!$G$2:$G$500,"confirmed")&gt;=$K233,"paid","partial")))</x:f>
      </x:c>
      <x:c r="M233" s="19"/>
      <x:c r="N233" s="26"/>
      <x:c r="O233" s="26"/>
      <x:c r="P233" s="19"/>
      <x:c r="Q233" s="26"/>
      <x:c r="R233" s="19"/>
      <x:c r="S233" s="26"/>
      <x:c r="T233" s="19"/>
      <x:c r="U233" s="19"/>
    </x:row>
    <x:row r="234">
      <x:c r="A234" s="19"/>
      <x:c r="B234" s="19"/>
      <x:c r="C234" s="19"/>
      <x:c r="D234" s="19"/>
      <x:c r="E234" s="19"/>
      <x:c r="F234" s="19"/>
      <x:c r="G234" s="26"/>
      <x:c r="H234" s="96" t="str">
        <x:f>IF($A234="","",SUMIFS('OrderItems'!$I$2:$I$500,'OrderItems'!$B$2:$B$500,$A234))</x:f>
      </x:c>
      <x:c r="I234" s="25"/>
      <x:c r="J234" s="25"/>
      <x:c r="K234" s="96" t="str">
        <x:f>IF($A234="","",$H234-$I234+$J234)</x:f>
      </x:c>
      <x:c r="L234" s="116" t="str">
        <x:f>IF($A234="","",IF(SUMIFS('Payments'!$C$2:$C$500,'Payments'!$B$2:$B$500,$A234,'Payments'!$G$2:$G$500,"confirmed")&lt;=0,"unpaid",IF(SUMIFS('Payments'!$C$2:$C$500,'Payments'!$B$2:$B$500,$A234,'Payments'!$G$2:$G$500,"confirmed")&gt;=$K234,"paid","partial")))</x:f>
      </x:c>
      <x:c r="M234" s="19"/>
      <x:c r="N234" s="26"/>
      <x:c r="O234" s="26"/>
      <x:c r="P234" s="19"/>
      <x:c r="Q234" s="26"/>
      <x:c r="R234" s="19"/>
      <x:c r="S234" s="26"/>
      <x:c r="T234" s="19"/>
      <x:c r="U234" s="19"/>
    </x:row>
    <x:row r="235">
      <x:c r="A235" s="19"/>
      <x:c r="B235" s="19"/>
      <x:c r="C235" s="19"/>
      <x:c r="D235" s="19"/>
      <x:c r="E235" s="19"/>
      <x:c r="F235" s="19"/>
      <x:c r="G235" s="26"/>
      <x:c r="H235" s="96" t="str">
        <x:f>IF($A235="","",SUMIFS('OrderItems'!$I$2:$I$500,'OrderItems'!$B$2:$B$500,$A235))</x:f>
      </x:c>
      <x:c r="I235" s="25"/>
      <x:c r="J235" s="25"/>
      <x:c r="K235" s="96" t="str">
        <x:f>IF($A235="","",$H235-$I235+$J235)</x:f>
      </x:c>
      <x:c r="L235" s="116" t="str">
        <x:f>IF($A235="","",IF(SUMIFS('Payments'!$C$2:$C$500,'Payments'!$B$2:$B$500,$A235,'Payments'!$G$2:$G$500,"confirmed")&lt;=0,"unpaid",IF(SUMIFS('Payments'!$C$2:$C$500,'Payments'!$B$2:$B$500,$A235,'Payments'!$G$2:$G$500,"confirmed")&gt;=$K235,"paid","partial")))</x:f>
      </x:c>
      <x:c r="M235" s="19"/>
      <x:c r="N235" s="26"/>
      <x:c r="O235" s="26"/>
      <x:c r="P235" s="19"/>
      <x:c r="Q235" s="26"/>
      <x:c r="R235" s="19"/>
      <x:c r="S235" s="26"/>
      <x:c r="T235" s="19"/>
      <x:c r="U235" s="19"/>
    </x:row>
    <x:row r="236">
      <x:c r="A236" s="19"/>
      <x:c r="B236" s="19"/>
      <x:c r="C236" s="19"/>
      <x:c r="D236" s="19"/>
      <x:c r="E236" s="19"/>
      <x:c r="F236" s="19"/>
      <x:c r="G236" s="26"/>
      <x:c r="H236" s="96" t="str">
        <x:f>IF($A236="","",SUMIFS('OrderItems'!$I$2:$I$500,'OrderItems'!$B$2:$B$500,$A236))</x:f>
      </x:c>
      <x:c r="I236" s="25"/>
      <x:c r="J236" s="25"/>
      <x:c r="K236" s="96" t="str">
        <x:f>IF($A236="","",$H236-$I236+$J236)</x:f>
      </x:c>
      <x:c r="L236" s="116" t="str">
        <x:f>IF($A236="","",IF(SUMIFS('Payments'!$C$2:$C$500,'Payments'!$B$2:$B$500,$A236,'Payments'!$G$2:$G$500,"confirmed")&lt;=0,"unpaid",IF(SUMIFS('Payments'!$C$2:$C$500,'Payments'!$B$2:$B$500,$A236,'Payments'!$G$2:$G$500,"confirmed")&gt;=$K236,"paid","partial")))</x:f>
      </x:c>
      <x:c r="M236" s="19"/>
      <x:c r="N236" s="26"/>
      <x:c r="O236" s="26"/>
      <x:c r="P236" s="19"/>
      <x:c r="Q236" s="26"/>
      <x:c r="R236" s="19"/>
      <x:c r="S236" s="26"/>
      <x:c r="T236" s="19"/>
      <x:c r="U236" s="19"/>
    </x:row>
    <x:row r="237">
      <x:c r="A237" s="19"/>
      <x:c r="B237" s="19"/>
      <x:c r="C237" s="19"/>
      <x:c r="D237" s="19"/>
      <x:c r="E237" s="19"/>
      <x:c r="F237" s="19"/>
      <x:c r="G237" s="26"/>
      <x:c r="H237" s="96" t="str">
        <x:f>IF($A237="","",SUMIFS('OrderItems'!$I$2:$I$500,'OrderItems'!$B$2:$B$500,$A237))</x:f>
      </x:c>
      <x:c r="I237" s="25"/>
      <x:c r="J237" s="25"/>
      <x:c r="K237" s="96" t="str">
        <x:f>IF($A237="","",$H237-$I237+$J237)</x:f>
      </x:c>
      <x:c r="L237" s="116" t="str">
        <x:f>IF($A237="","",IF(SUMIFS('Payments'!$C$2:$C$500,'Payments'!$B$2:$B$500,$A237,'Payments'!$G$2:$G$500,"confirmed")&lt;=0,"unpaid",IF(SUMIFS('Payments'!$C$2:$C$500,'Payments'!$B$2:$B$500,$A237,'Payments'!$G$2:$G$500,"confirmed")&gt;=$K237,"paid","partial")))</x:f>
      </x:c>
      <x:c r="M237" s="19"/>
      <x:c r="N237" s="26"/>
      <x:c r="O237" s="26"/>
      <x:c r="P237" s="19"/>
      <x:c r="Q237" s="26"/>
      <x:c r="R237" s="19"/>
      <x:c r="S237" s="26"/>
      <x:c r="T237" s="19"/>
      <x:c r="U237" s="19"/>
    </x:row>
    <x:row r="238">
      <x:c r="A238" s="19"/>
      <x:c r="B238" s="19"/>
      <x:c r="C238" s="19"/>
      <x:c r="D238" s="19"/>
      <x:c r="E238" s="19"/>
      <x:c r="F238" s="19"/>
      <x:c r="G238" s="26"/>
      <x:c r="H238" s="96" t="str">
        <x:f>IF($A238="","",SUMIFS('OrderItems'!$I$2:$I$500,'OrderItems'!$B$2:$B$500,$A238))</x:f>
      </x:c>
      <x:c r="I238" s="25"/>
      <x:c r="J238" s="25"/>
      <x:c r="K238" s="96" t="str">
        <x:f>IF($A238="","",$H238-$I238+$J238)</x:f>
      </x:c>
      <x:c r="L238" s="116" t="str">
        <x:f>IF($A238="","",IF(SUMIFS('Payments'!$C$2:$C$500,'Payments'!$B$2:$B$500,$A238,'Payments'!$G$2:$G$500,"confirmed")&lt;=0,"unpaid",IF(SUMIFS('Payments'!$C$2:$C$500,'Payments'!$B$2:$B$500,$A238,'Payments'!$G$2:$G$500,"confirmed")&gt;=$K238,"paid","partial")))</x:f>
      </x:c>
      <x:c r="M238" s="19"/>
      <x:c r="N238" s="26"/>
      <x:c r="O238" s="26"/>
      <x:c r="P238" s="19"/>
      <x:c r="Q238" s="26"/>
      <x:c r="R238" s="19"/>
      <x:c r="S238" s="26"/>
      <x:c r="T238" s="19"/>
      <x:c r="U238" s="19"/>
    </x:row>
    <x:row r="239">
      <x:c r="A239" s="19"/>
      <x:c r="B239" s="19"/>
      <x:c r="C239" s="19"/>
      <x:c r="D239" s="19"/>
      <x:c r="E239" s="19"/>
      <x:c r="F239" s="19"/>
      <x:c r="G239" s="26"/>
      <x:c r="H239" s="96" t="str">
        <x:f>IF($A239="","",SUMIFS('OrderItems'!$I$2:$I$500,'OrderItems'!$B$2:$B$500,$A239))</x:f>
      </x:c>
      <x:c r="I239" s="25"/>
      <x:c r="J239" s="25"/>
      <x:c r="K239" s="96" t="str">
        <x:f>IF($A239="","",$H239-$I239+$J239)</x:f>
      </x:c>
      <x:c r="L239" s="116" t="str">
        <x:f>IF($A239="","",IF(SUMIFS('Payments'!$C$2:$C$500,'Payments'!$B$2:$B$500,$A239,'Payments'!$G$2:$G$500,"confirmed")&lt;=0,"unpaid",IF(SUMIFS('Payments'!$C$2:$C$500,'Payments'!$B$2:$B$500,$A239,'Payments'!$G$2:$G$500,"confirmed")&gt;=$K239,"paid","partial")))</x:f>
      </x:c>
      <x:c r="M239" s="19"/>
      <x:c r="N239" s="26"/>
      <x:c r="O239" s="26"/>
      <x:c r="P239" s="19"/>
      <x:c r="Q239" s="26"/>
      <x:c r="R239" s="19"/>
      <x:c r="S239" s="26"/>
      <x:c r="T239" s="19"/>
      <x:c r="U239" s="19"/>
    </x:row>
    <x:row r="240">
      <x:c r="A240" s="19"/>
      <x:c r="B240" s="19"/>
      <x:c r="C240" s="19"/>
      <x:c r="D240" s="19"/>
      <x:c r="E240" s="19"/>
      <x:c r="F240" s="19"/>
      <x:c r="G240" s="26"/>
      <x:c r="H240" s="96" t="str">
        <x:f>IF($A240="","",SUMIFS('OrderItems'!$I$2:$I$500,'OrderItems'!$B$2:$B$500,$A240))</x:f>
      </x:c>
      <x:c r="I240" s="25"/>
      <x:c r="J240" s="25"/>
      <x:c r="K240" s="96" t="str">
        <x:f>IF($A240="","",$H240-$I240+$J240)</x:f>
      </x:c>
      <x:c r="L240" s="116" t="str">
        <x:f>IF($A240="","",IF(SUMIFS('Payments'!$C$2:$C$500,'Payments'!$B$2:$B$500,$A240,'Payments'!$G$2:$G$500,"confirmed")&lt;=0,"unpaid",IF(SUMIFS('Payments'!$C$2:$C$500,'Payments'!$B$2:$B$500,$A240,'Payments'!$G$2:$G$500,"confirmed")&gt;=$K240,"paid","partial")))</x:f>
      </x:c>
      <x:c r="M240" s="19"/>
      <x:c r="N240" s="26"/>
      <x:c r="O240" s="26"/>
      <x:c r="P240" s="19"/>
      <x:c r="Q240" s="26"/>
      <x:c r="R240" s="19"/>
      <x:c r="S240" s="26"/>
      <x:c r="T240" s="19"/>
      <x:c r="U240" s="19"/>
    </x:row>
    <x:row r="241">
      <x:c r="A241" s="19"/>
      <x:c r="B241" s="19"/>
      <x:c r="C241" s="19"/>
      <x:c r="D241" s="19"/>
      <x:c r="E241" s="19"/>
      <x:c r="F241" s="19"/>
      <x:c r="G241" s="26"/>
      <x:c r="H241" s="96" t="str">
        <x:f>IF($A241="","",SUMIFS('OrderItems'!$I$2:$I$500,'OrderItems'!$B$2:$B$500,$A241))</x:f>
      </x:c>
      <x:c r="I241" s="25"/>
      <x:c r="J241" s="25"/>
      <x:c r="K241" s="96" t="str">
        <x:f>IF($A241="","",$H241-$I241+$J241)</x:f>
      </x:c>
      <x:c r="L241" s="116" t="str">
        <x:f>IF($A241="","",IF(SUMIFS('Payments'!$C$2:$C$500,'Payments'!$B$2:$B$500,$A241,'Payments'!$G$2:$G$500,"confirmed")&lt;=0,"unpaid",IF(SUMIFS('Payments'!$C$2:$C$500,'Payments'!$B$2:$B$500,$A241,'Payments'!$G$2:$G$500,"confirmed")&gt;=$K241,"paid","partial")))</x:f>
      </x:c>
      <x:c r="M241" s="19"/>
      <x:c r="N241" s="26"/>
      <x:c r="O241" s="26"/>
      <x:c r="P241" s="19"/>
      <x:c r="Q241" s="26"/>
      <x:c r="R241" s="19"/>
      <x:c r="S241" s="26"/>
      <x:c r="T241" s="19"/>
      <x:c r="U241" s="19"/>
    </x:row>
    <x:row r="242">
      <x:c r="A242" s="19"/>
      <x:c r="B242" s="19"/>
      <x:c r="C242" s="19"/>
      <x:c r="D242" s="19"/>
      <x:c r="E242" s="19"/>
      <x:c r="F242" s="19"/>
      <x:c r="G242" s="26"/>
      <x:c r="H242" s="96" t="str">
        <x:f>IF($A242="","",SUMIFS('OrderItems'!$I$2:$I$500,'OrderItems'!$B$2:$B$500,$A242))</x:f>
      </x:c>
      <x:c r="I242" s="25"/>
      <x:c r="J242" s="25"/>
      <x:c r="K242" s="96" t="str">
        <x:f>IF($A242="","",$H242-$I242+$J242)</x:f>
      </x:c>
      <x:c r="L242" s="116" t="str">
        <x:f>IF($A242="","",IF(SUMIFS('Payments'!$C$2:$C$500,'Payments'!$B$2:$B$500,$A242,'Payments'!$G$2:$G$500,"confirmed")&lt;=0,"unpaid",IF(SUMIFS('Payments'!$C$2:$C$500,'Payments'!$B$2:$B$500,$A242,'Payments'!$G$2:$G$500,"confirmed")&gt;=$K242,"paid","partial")))</x:f>
      </x:c>
      <x:c r="M242" s="19"/>
      <x:c r="N242" s="26"/>
      <x:c r="O242" s="26"/>
      <x:c r="P242" s="19"/>
      <x:c r="Q242" s="26"/>
      <x:c r="R242" s="19"/>
      <x:c r="S242" s="26"/>
      <x:c r="T242" s="19"/>
      <x:c r="U242" s="19"/>
    </x:row>
    <x:row r="243">
      <x:c r="A243" s="19"/>
      <x:c r="B243" s="19"/>
      <x:c r="C243" s="19"/>
      <x:c r="D243" s="19"/>
      <x:c r="E243" s="19"/>
      <x:c r="F243" s="19"/>
      <x:c r="G243" s="26"/>
      <x:c r="H243" s="96" t="str">
        <x:f>IF($A243="","",SUMIFS('OrderItems'!$I$2:$I$500,'OrderItems'!$B$2:$B$500,$A243))</x:f>
      </x:c>
      <x:c r="I243" s="25"/>
      <x:c r="J243" s="25"/>
      <x:c r="K243" s="96" t="str">
        <x:f>IF($A243="","",$H243-$I243+$J243)</x:f>
      </x:c>
      <x:c r="L243" s="116" t="str">
        <x:f>IF($A243="","",IF(SUMIFS('Payments'!$C$2:$C$500,'Payments'!$B$2:$B$500,$A243,'Payments'!$G$2:$G$500,"confirmed")&lt;=0,"unpaid",IF(SUMIFS('Payments'!$C$2:$C$500,'Payments'!$B$2:$B$500,$A243,'Payments'!$G$2:$G$500,"confirmed")&gt;=$K243,"paid","partial")))</x:f>
      </x:c>
      <x:c r="M243" s="19"/>
      <x:c r="N243" s="26"/>
      <x:c r="O243" s="26"/>
      <x:c r="P243" s="19"/>
      <x:c r="Q243" s="26"/>
      <x:c r="R243" s="19"/>
      <x:c r="S243" s="26"/>
      <x:c r="T243" s="19"/>
      <x:c r="U243" s="19"/>
    </x:row>
    <x:row r="244">
      <x:c r="A244" s="19"/>
      <x:c r="B244" s="19"/>
      <x:c r="C244" s="19"/>
      <x:c r="D244" s="19"/>
      <x:c r="E244" s="19"/>
      <x:c r="F244" s="19"/>
      <x:c r="G244" s="26"/>
      <x:c r="H244" s="96" t="str">
        <x:f>IF($A244="","",SUMIFS('OrderItems'!$I$2:$I$500,'OrderItems'!$B$2:$B$500,$A244))</x:f>
      </x:c>
      <x:c r="I244" s="25"/>
      <x:c r="J244" s="25"/>
      <x:c r="K244" s="96" t="str">
        <x:f>IF($A244="","",$H244-$I244+$J244)</x:f>
      </x:c>
      <x:c r="L244" s="116" t="str">
        <x:f>IF($A244="","",IF(SUMIFS('Payments'!$C$2:$C$500,'Payments'!$B$2:$B$500,$A244,'Payments'!$G$2:$G$500,"confirmed")&lt;=0,"unpaid",IF(SUMIFS('Payments'!$C$2:$C$500,'Payments'!$B$2:$B$500,$A244,'Payments'!$G$2:$G$500,"confirmed")&gt;=$K244,"paid","partial")))</x:f>
      </x:c>
      <x:c r="M244" s="19"/>
      <x:c r="N244" s="26"/>
      <x:c r="O244" s="26"/>
      <x:c r="P244" s="19"/>
      <x:c r="Q244" s="26"/>
      <x:c r="R244" s="19"/>
      <x:c r="S244" s="26"/>
      <x:c r="T244" s="19"/>
      <x:c r="U244" s="19"/>
    </x:row>
    <x:row r="245">
      <x:c r="A245" s="19"/>
      <x:c r="B245" s="19"/>
      <x:c r="C245" s="19"/>
      <x:c r="D245" s="19"/>
      <x:c r="E245" s="19"/>
      <x:c r="F245" s="19"/>
      <x:c r="G245" s="26"/>
      <x:c r="H245" s="96" t="str">
        <x:f>IF($A245="","",SUMIFS('OrderItems'!$I$2:$I$500,'OrderItems'!$B$2:$B$500,$A245))</x:f>
      </x:c>
      <x:c r="I245" s="25"/>
      <x:c r="J245" s="25"/>
      <x:c r="K245" s="96" t="str">
        <x:f>IF($A245="","",$H245-$I245+$J245)</x:f>
      </x:c>
      <x:c r="L245" s="116" t="str">
        <x:f>IF($A245="","",IF(SUMIFS('Payments'!$C$2:$C$500,'Payments'!$B$2:$B$500,$A245,'Payments'!$G$2:$G$500,"confirmed")&lt;=0,"unpaid",IF(SUMIFS('Payments'!$C$2:$C$500,'Payments'!$B$2:$B$500,$A245,'Payments'!$G$2:$G$500,"confirmed")&gt;=$K245,"paid","partial")))</x:f>
      </x:c>
      <x:c r="M245" s="19"/>
      <x:c r="N245" s="26"/>
      <x:c r="O245" s="26"/>
      <x:c r="P245" s="19"/>
      <x:c r="Q245" s="26"/>
      <x:c r="R245" s="19"/>
      <x:c r="S245" s="26"/>
      <x:c r="T245" s="19"/>
      <x:c r="U245" s="19"/>
    </x:row>
    <x:row r="246">
      <x:c r="A246" s="19"/>
      <x:c r="B246" s="19"/>
      <x:c r="C246" s="19"/>
      <x:c r="D246" s="19"/>
      <x:c r="E246" s="19"/>
      <x:c r="F246" s="19"/>
      <x:c r="G246" s="26"/>
      <x:c r="H246" s="96" t="str">
        <x:f>IF($A246="","",SUMIFS('OrderItems'!$I$2:$I$500,'OrderItems'!$B$2:$B$500,$A246))</x:f>
      </x:c>
      <x:c r="I246" s="25"/>
      <x:c r="J246" s="25"/>
      <x:c r="K246" s="96" t="str">
        <x:f>IF($A246="","",$H246-$I246+$J246)</x:f>
      </x:c>
      <x:c r="L246" s="116" t="str">
        <x:f>IF($A246="","",IF(SUMIFS('Payments'!$C$2:$C$500,'Payments'!$B$2:$B$500,$A246,'Payments'!$G$2:$G$500,"confirmed")&lt;=0,"unpaid",IF(SUMIFS('Payments'!$C$2:$C$500,'Payments'!$B$2:$B$500,$A246,'Payments'!$G$2:$G$500,"confirmed")&gt;=$K246,"paid","partial")))</x:f>
      </x:c>
      <x:c r="M246" s="19"/>
      <x:c r="N246" s="26"/>
      <x:c r="O246" s="26"/>
      <x:c r="P246" s="19"/>
      <x:c r="Q246" s="26"/>
      <x:c r="R246" s="19"/>
      <x:c r="S246" s="26"/>
      <x:c r="T246" s="19"/>
      <x:c r="U246" s="19"/>
    </x:row>
    <x:row r="247">
      <x:c r="A247" s="19"/>
      <x:c r="B247" s="19"/>
      <x:c r="C247" s="19"/>
      <x:c r="D247" s="19"/>
      <x:c r="E247" s="19"/>
      <x:c r="F247" s="19"/>
      <x:c r="G247" s="26"/>
      <x:c r="H247" s="96" t="str">
        <x:f>IF($A247="","",SUMIFS('OrderItems'!$I$2:$I$500,'OrderItems'!$B$2:$B$500,$A247))</x:f>
      </x:c>
      <x:c r="I247" s="25"/>
      <x:c r="J247" s="25"/>
      <x:c r="K247" s="96" t="str">
        <x:f>IF($A247="","",$H247-$I247+$J247)</x:f>
      </x:c>
      <x:c r="L247" s="116" t="str">
        <x:f>IF($A247="","",IF(SUMIFS('Payments'!$C$2:$C$500,'Payments'!$B$2:$B$500,$A247,'Payments'!$G$2:$G$500,"confirmed")&lt;=0,"unpaid",IF(SUMIFS('Payments'!$C$2:$C$500,'Payments'!$B$2:$B$500,$A247,'Payments'!$G$2:$G$500,"confirmed")&gt;=$K247,"paid","partial")))</x:f>
      </x:c>
      <x:c r="M247" s="19"/>
      <x:c r="N247" s="26"/>
      <x:c r="O247" s="26"/>
      <x:c r="P247" s="19"/>
      <x:c r="Q247" s="26"/>
      <x:c r="R247" s="19"/>
      <x:c r="S247" s="26"/>
      <x:c r="T247" s="19"/>
      <x:c r="U247" s="19"/>
    </x:row>
    <x:row r="248">
      <x:c r="A248" s="19"/>
      <x:c r="B248" s="19"/>
      <x:c r="C248" s="19"/>
      <x:c r="D248" s="19"/>
      <x:c r="E248" s="19"/>
      <x:c r="F248" s="19"/>
      <x:c r="G248" s="26"/>
      <x:c r="H248" s="96" t="str">
        <x:f>IF($A248="","",SUMIFS('OrderItems'!$I$2:$I$500,'OrderItems'!$B$2:$B$500,$A248))</x:f>
      </x:c>
      <x:c r="I248" s="25"/>
      <x:c r="J248" s="25"/>
      <x:c r="K248" s="96" t="str">
        <x:f>IF($A248="","",$H248-$I248+$J248)</x:f>
      </x:c>
      <x:c r="L248" s="116" t="str">
        <x:f>IF($A248="","",IF(SUMIFS('Payments'!$C$2:$C$500,'Payments'!$B$2:$B$500,$A248,'Payments'!$G$2:$G$500,"confirmed")&lt;=0,"unpaid",IF(SUMIFS('Payments'!$C$2:$C$500,'Payments'!$B$2:$B$500,$A248,'Payments'!$G$2:$G$500,"confirmed")&gt;=$K248,"paid","partial")))</x:f>
      </x:c>
      <x:c r="M248" s="19"/>
      <x:c r="N248" s="26"/>
      <x:c r="O248" s="26"/>
      <x:c r="P248" s="19"/>
      <x:c r="Q248" s="26"/>
      <x:c r="R248" s="19"/>
      <x:c r="S248" s="26"/>
      <x:c r="T248" s="19"/>
      <x:c r="U248" s="19"/>
    </x:row>
    <x:row r="249">
      <x:c r="A249" s="19"/>
      <x:c r="B249" s="19"/>
      <x:c r="C249" s="19"/>
      <x:c r="D249" s="19"/>
      <x:c r="E249" s="19"/>
      <x:c r="F249" s="19"/>
      <x:c r="G249" s="26"/>
      <x:c r="H249" s="96" t="str">
        <x:f>IF($A249="","",SUMIFS('OrderItems'!$I$2:$I$500,'OrderItems'!$B$2:$B$500,$A249))</x:f>
      </x:c>
      <x:c r="I249" s="25"/>
      <x:c r="J249" s="25"/>
      <x:c r="K249" s="96" t="str">
        <x:f>IF($A249="","",$H249-$I249+$J249)</x:f>
      </x:c>
      <x:c r="L249" s="116" t="str">
        <x:f>IF($A249="","",IF(SUMIFS('Payments'!$C$2:$C$500,'Payments'!$B$2:$B$500,$A249,'Payments'!$G$2:$G$500,"confirmed")&lt;=0,"unpaid",IF(SUMIFS('Payments'!$C$2:$C$500,'Payments'!$B$2:$B$500,$A249,'Payments'!$G$2:$G$500,"confirmed")&gt;=$K249,"paid","partial")))</x:f>
      </x:c>
      <x:c r="M249" s="19"/>
      <x:c r="N249" s="26"/>
      <x:c r="O249" s="26"/>
      <x:c r="P249" s="19"/>
      <x:c r="Q249" s="26"/>
      <x:c r="R249" s="19"/>
      <x:c r="S249" s="26"/>
      <x:c r="T249" s="19"/>
      <x:c r="U249" s="19"/>
    </x:row>
    <x:row r="250">
      <x:c r="A250" s="19"/>
      <x:c r="B250" s="19"/>
      <x:c r="C250" s="19"/>
      <x:c r="D250" s="19"/>
      <x:c r="E250" s="19"/>
      <x:c r="F250" s="19"/>
      <x:c r="G250" s="26"/>
      <x:c r="H250" s="96" t="str">
        <x:f>IF($A250="","",SUMIFS('OrderItems'!$I$2:$I$500,'OrderItems'!$B$2:$B$500,$A250))</x:f>
      </x:c>
      <x:c r="I250" s="25"/>
      <x:c r="J250" s="25"/>
      <x:c r="K250" s="96" t="str">
        <x:f>IF($A250="","",$H250-$I250+$J250)</x:f>
      </x:c>
      <x:c r="L250" s="116" t="str">
        <x:f>IF($A250="","",IF(SUMIFS('Payments'!$C$2:$C$500,'Payments'!$B$2:$B$500,$A250,'Payments'!$G$2:$G$500,"confirmed")&lt;=0,"unpaid",IF(SUMIFS('Payments'!$C$2:$C$500,'Payments'!$B$2:$B$500,$A250,'Payments'!$G$2:$G$500,"confirmed")&gt;=$K250,"paid","partial")))</x:f>
      </x:c>
      <x:c r="M250" s="19"/>
      <x:c r="N250" s="26"/>
      <x:c r="O250" s="26"/>
      <x:c r="P250" s="19"/>
      <x:c r="Q250" s="26"/>
      <x:c r="R250" s="19"/>
      <x:c r="S250" s="26"/>
      <x:c r="T250" s="19"/>
      <x:c r="U250" s="19"/>
    </x:row>
    <x:row r="251">
      <x:c r="A251" s="19"/>
      <x:c r="B251" s="19"/>
      <x:c r="C251" s="19"/>
      <x:c r="D251" s="19"/>
      <x:c r="E251" s="19"/>
      <x:c r="F251" s="19"/>
      <x:c r="G251" s="26"/>
      <x:c r="H251" s="96" t="str">
        <x:f>IF($A251="","",SUMIFS('OrderItems'!$I$2:$I$500,'OrderItems'!$B$2:$B$500,$A251))</x:f>
      </x:c>
      <x:c r="I251" s="25"/>
      <x:c r="J251" s="25"/>
      <x:c r="K251" s="96" t="str">
        <x:f>IF($A251="","",$H251-$I251+$J251)</x:f>
      </x:c>
      <x:c r="L251" s="116" t="str">
        <x:f>IF($A251="","",IF(SUMIFS('Payments'!$C$2:$C$500,'Payments'!$B$2:$B$500,$A251,'Payments'!$G$2:$G$500,"confirmed")&lt;=0,"unpaid",IF(SUMIFS('Payments'!$C$2:$C$500,'Payments'!$B$2:$B$500,$A251,'Payments'!$G$2:$G$500,"confirmed")&gt;=$K251,"paid","partial")))</x:f>
      </x:c>
      <x:c r="M251" s="19"/>
      <x:c r="N251" s="26"/>
      <x:c r="O251" s="26"/>
      <x:c r="P251" s="19"/>
      <x:c r="Q251" s="26"/>
      <x:c r="R251" s="19"/>
      <x:c r="S251" s="26"/>
      <x:c r="T251" s="19"/>
      <x:c r="U251" s="19"/>
    </x:row>
    <x:row r="252">
      <x:c r="A252" s="19"/>
      <x:c r="B252" s="19"/>
      <x:c r="C252" s="19"/>
      <x:c r="D252" s="19"/>
      <x:c r="E252" s="19"/>
      <x:c r="F252" s="19"/>
      <x:c r="G252" s="26"/>
      <x:c r="H252" s="96" t="str">
        <x:f>IF($A252="","",SUMIFS('OrderItems'!$I$2:$I$500,'OrderItems'!$B$2:$B$500,$A252))</x:f>
      </x:c>
      <x:c r="I252" s="25"/>
      <x:c r="J252" s="25"/>
      <x:c r="K252" s="96" t="str">
        <x:f>IF($A252="","",$H252-$I252+$J252)</x:f>
      </x:c>
      <x:c r="L252" s="116" t="str">
        <x:f>IF($A252="","",IF(SUMIFS('Payments'!$C$2:$C$500,'Payments'!$B$2:$B$500,$A252,'Payments'!$G$2:$G$500,"confirmed")&lt;=0,"unpaid",IF(SUMIFS('Payments'!$C$2:$C$500,'Payments'!$B$2:$B$500,$A252,'Payments'!$G$2:$G$500,"confirmed")&gt;=$K252,"paid","partial")))</x:f>
      </x:c>
      <x:c r="M252" s="19"/>
      <x:c r="N252" s="26"/>
      <x:c r="O252" s="26"/>
      <x:c r="P252" s="19"/>
      <x:c r="Q252" s="26"/>
      <x:c r="R252" s="19"/>
      <x:c r="S252" s="26"/>
      <x:c r="T252" s="19"/>
      <x:c r="U252" s="19"/>
    </x:row>
    <x:row r="253">
      <x:c r="A253" s="19"/>
      <x:c r="B253" s="19"/>
      <x:c r="C253" s="19"/>
      <x:c r="D253" s="19"/>
      <x:c r="E253" s="19"/>
      <x:c r="F253" s="19"/>
      <x:c r="G253" s="26"/>
      <x:c r="H253" s="96" t="str">
        <x:f>IF($A253="","",SUMIFS('OrderItems'!$I$2:$I$500,'OrderItems'!$B$2:$B$500,$A253))</x:f>
      </x:c>
      <x:c r="I253" s="25"/>
      <x:c r="J253" s="25"/>
      <x:c r="K253" s="96" t="str">
        <x:f>IF($A253="","",$H253-$I253+$J253)</x:f>
      </x:c>
      <x:c r="L253" s="116" t="str">
        <x:f>IF($A253="","",IF(SUMIFS('Payments'!$C$2:$C$500,'Payments'!$B$2:$B$500,$A253,'Payments'!$G$2:$G$500,"confirmed")&lt;=0,"unpaid",IF(SUMIFS('Payments'!$C$2:$C$500,'Payments'!$B$2:$B$500,$A253,'Payments'!$G$2:$G$500,"confirmed")&gt;=$K253,"paid","partial")))</x:f>
      </x:c>
      <x:c r="M253" s="19"/>
      <x:c r="N253" s="26"/>
      <x:c r="O253" s="26"/>
      <x:c r="P253" s="19"/>
      <x:c r="Q253" s="26"/>
      <x:c r="R253" s="19"/>
      <x:c r="S253" s="26"/>
      <x:c r="T253" s="19"/>
      <x:c r="U253" s="19"/>
    </x:row>
    <x:row r="254">
      <x:c r="A254" s="19"/>
      <x:c r="B254" s="19"/>
      <x:c r="C254" s="19"/>
      <x:c r="D254" s="19"/>
      <x:c r="E254" s="19"/>
      <x:c r="F254" s="19"/>
      <x:c r="G254" s="26"/>
      <x:c r="H254" s="96" t="str">
        <x:f>IF($A254="","",SUMIFS('OrderItems'!$I$2:$I$500,'OrderItems'!$B$2:$B$500,$A254))</x:f>
      </x:c>
      <x:c r="I254" s="25"/>
      <x:c r="J254" s="25"/>
      <x:c r="K254" s="96" t="str">
        <x:f>IF($A254="","",$H254-$I254+$J254)</x:f>
      </x:c>
      <x:c r="L254" s="116" t="str">
        <x:f>IF($A254="","",IF(SUMIFS('Payments'!$C$2:$C$500,'Payments'!$B$2:$B$500,$A254,'Payments'!$G$2:$G$500,"confirmed")&lt;=0,"unpaid",IF(SUMIFS('Payments'!$C$2:$C$500,'Payments'!$B$2:$B$500,$A254,'Payments'!$G$2:$G$500,"confirmed")&gt;=$K254,"paid","partial")))</x:f>
      </x:c>
      <x:c r="M254" s="19"/>
      <x:c r="N254" s="26"/>
      <x:c r="O254" s="26"/>
      <x:c r="P254" s="19"/>
      <x:c r="Q254" s="26"/>
      <x:c r="R254" s="19"/>
      <x:c r="S254" s="26"/>
      <x:c r="T254" s="19"/>
      <x:c r="U254" s="19"/>
    </x:row>
    <x:row r="255">
      <x:c r="A255" s="19"/>
      <x:c r="B255" s="19"/>
      <x:c r="C255" s="19"/>
      <x:c r="D255" s="19"/>
      <x:c r="E255" s="19"/>
      <x:c r="F255" s="19"/>
      <x:c r="G255" s="26"/>
      <x:c r="H255" s="96" t="str">
        <x:f>IF($A255="","",SUMIFS('OrderItems'!$I$2:$I$500,'OrderItems'!$B$2:$B$500,$A255))</x:f>
      </x:c>
      <x:c r="I255" s="25"/>
      <x:c r="J255" s="25"/>
      <x:c r="K255" s="96" t="str">
        <x:f>IF($A255="","",$H255-$I255+$J255)</x:f>
      </x:c>
      <x:c r="L255" s="116" t="str">
        <x:f>IF($A255="","",IF(SUMIFS('Payments'!$C$2:$C$500,'Payments'!$B$2:$B$500,$A255,'Payments'!$G$2:$G$500,"confirmed")&lt;=0,"unpaid",IF(SUMIFS('Payments'!$C$2:$C$500,'Payments'!$B$2:$B$500,$A255,'Payments'!$G$2:$G$500,"confirmed")&gt;=$K255,"paid","partial")))</x:f>
      </x:c>
      <x:c r="M255" s="19"/>
      <x:c r="N255" s="26"/>
      <x:c r="O255" s="26"/>
      <x:c r="P255" s="19"/>
      <x:c r="Q255" s="26"/>
      <x:c r="R255" s="19"/>
      <x:c r="S255" s="26"/>
      <x:c r="T255" s="19"/>
      <x:c r="U255" s="19"/>
    </x:row>
    <x:row r="256">
      <x:c r="A256" s="19"/>
      <x:c r="B256" s="19"/>
      <x:c r="C256" s="19"/>
      <x:c r="D256" s="19"/>
      <x:c r="E256" s="19"/>
      <x:c r="F256" s="19"/>
      <x:c r="G256" s="26"/>
      <x:c r="H256" s="96" t="str">
        <x:f>IF($A256="","",SUMIFS('OrderItems'!$I$2:$I$500,'OrderItems'!$B$2:$B$500,$A256))</x:f>
      </x:c>
      <x:c r="I256" s="25"/>
      <x:c r="J256" s="25"/>
      <x:c r="K256" s="96" t="str">
        <x:f>IF($A256="","",$H256-$I256+$J256)</x:f>
      </x:c>
      <x:c r="L256" s="116" t="str">
        <x:f>IF($A256="","",IF(SUMIFS('Payments'!$C$2:$C$500,'Payments'!$B$2:$B$500,$A256,'Payments'!$G$2:$G$500,"confirmed")&lt;=0,"unpaid",IF(SUMIFS('Payments'!$C$2:$C$500,'Payments'!$B$2:$B$500,$A256,'Payments'!$G$2:$G$500,"confirmed")&gt;=$K256,"paid","partial")))</x:f>
      </x:c>
      <x:c r="M256" s="19"/>
      <x:c r="N256" s="26"/>
      <x:c r="O256" s="26"/>
      <x:c r="P256" s="19"/>
      <x:c r="Q256" s="26"/>
      <x:c r="R256" s="19"/>
      <x:c r="S256" s="26"/>
      <x:c r="T256" s="19"/>
      <x:c r="U256" s="19"/>
    </x:row>
    <x:row r="257">
      <x:c r="A257" s="19"/>
      <x:c r="B257" s="19"/>
      <x:c r="C257" s="19"/>
      <x:c r="D257" s="19"/>
      <x:c r="E257" s="19"/>
      <x:c r="F257" s="19"/>
      <x:c r="G257" s="26"/>
      <x:c r="H257" s="96" t="str">
        <x:f>IF($A257="","",SUMIFS('OrderItems'!$I$2:$I$500,'OrderItems'!$B$2:$B$500,$A257))</x:f>
      </x:c>
      <x:c r="I257" s="25"/>
      <x:c r="J257" s="25"/>
      <x:c r="K257" s="96" t="str">
        <x:f>IF($A257="","",$H257-$I257+$J257)</x:f>
      </x:c>
      <x:c r="L257" s="116" t="str">
        <x:f>IF($A257="","",IF(SUMIFS('Payments'!$C$2:$C$500,'Payments'!$B$2:$B$500,$A257,'Payments'!$G$2:$G$500,"confirmed")&lt;=0,"unpaid",IF(SUMIFS('Payments'!$C$2:$C$500,'Payments'!$B$2:$B$500,$A257,'Payments'!$G$2:$G$500,"confirmed")&gt;=$K257,"paid","partial")))</x:f>
      </x:c>
      <x:c r="M257" s="19"/>
      <x:c r="N257" s="26"/>
      <x:c r="O257" s="26"/>
      <x:c r="P257" s="19"/>
      <x:c r="Q257" s="26"/>
      <x:c r="R257" s="19"/>
      <x:c r="S257" s="26"/>
      <x:c r="T257" s="19"/>
      <x:c r="U257" s="19"/>
    </x:row>
    <x:row r="258">
      <x:c r="A258" s="19"/>
      <x:c r="B258" s="19"/>
      <x:c r="C258" s="19"/>
      <x:c r="D258" s="19"/>
      <x:c r="E258" s="19"/>
      <x:c r="F258" s="19"/>
      <x:c r="G258" s="26"/>
      <x:c r="H258" s="96" t="str">
        <x:f>IF($A258="","",SUMIFS('OrderItems'!$I$2:$I$500,'OrderItems'!$B$2:$B$500,$A258))</x:f>
      </x:c>
      <x:c r="I258" s="25"/>
      <x:c r="J258" s="25"/>
      <x:c r="K258" s="96" t="str">
        <x:f>IF($A258="","",$H258-$I258+$J258)</x:f>
      </x:c>
      <x:c r="L258" s="116" t="str">
        <x:f>IF($A258="","",IF(SUMIFS('Payments'!$C$2:$C$500,'Payments'!$B$2:$B$500,$A258,'Payments'!$G$2:$G$500,"confirmed")&lt;=0,"unpaid",IF(SUMIFS('Payments'!$C$2:$C$500,'Payments'!$B$2:$B$500,$A258,'Payments'!$G$2:$G$500,"confirmed")&gt;=$K258,"paid","partial")))</x:f>
      </x:c>
      <x:c r="M258" s="19"/>
      <x:c r="N258" s="26"/>
      <x:c r="O258" s="26"/>
      <x:c r="P258" s="19"/>
      <x:c r="Q258" s="26"/>
      <x:c r="R258" s="19"/>
      <x:c r="S258" s="26"/>
      <x:c r="T258" s="19"/>
      <x:c r="U258" s="19"/>
    </x:row>
    <x:row r="259">
      <x:c r="A259" s="19"/>
      <x:c r="B259" s="19"/>
      <x:c r="C259" s="19"/>
      <x:c r="D259" s="19"/>
      <x:c r="E259" s="19"/>
      <x:c r="F259" s="19"/>
      <x:c r="G259" s="26"/>
      <x:c r="H259" s="96" t="str">
        <x:f>IF($A259="","",SUMIFS('OrderItems'!$I$2:$I$500,'OrderItems'!$B$2:$B$500,$A259))</x:f>
      </x:c>
      <x:c r="I259" s="25"/>
      <x:c r="J259" s="25"/>
      <x:c r="K259" s="96" t="str">
        <x:f>IF($A259="","",$H259-$I259+$J259)</x:f>
      </x:c>
      <x:c r="L259" s="116" t="str">
        <x:f>IF($A259="","",IF(SUMIFS('Payments'!$C$2:$C$500,'Payments'!$B$2:$B$500,$A259,'Payments'!$G$2:$G$500,"confirmed")&lt;=0,"unpaid",IF(SUMIFS('Payments'!$C$2:$C$500,'Payments'!$B$2:$B$500,$A259,'Payments'!$G$2:$G$500,"confirmed")&gt;=$K259,"paid","partial")))</x:f>
      </x:c>
      <x:c r="M259" s="19"/>
      <x:c r="N259" s="26"/>
      <x:c r="O259" s="26"/>
      <x:c r="P259" s="19"/>
      <x:c r="Q259" s="26"/>
      <x:c r="R259" s="19"/>
      <x:c r="S259" s="26"/>
      <x:c r="T259" s="19"/>
      <x:c r="U259" s="19"/>
    </x:row>
    <x:row r="260">
      <x:c r="A260" s="19"/>
      <x:c r="B260" s="19"/>
      <x:c r="C260" s="19"/>
      <x:c r="D260" s="19"/>
      <x:c r="E260" s="19"/>
      <x:c r="F260" s="19"/>
      <x:c r="G260" s="26"/>
      <x:c r="H260" s="96" t="str">
        <x:f>IF($A260="","",SUMIFS('OrderItems'!$I$2:$I$500,'OrderItems'!$B$2:$B$500,$A260))</x:f>
      </x:c>
      <x:c r="I260" s="25"/>
      <x:c r="J260" s="25"/>
      <x:c r="K260" s="96" t="str">
        <x:f>IF($A260="","",$H260-$I260+$J260)</x:f>
      </x:c>
      <x:c r="L260" s="116" t="str">
        <x:f>IF($A260="","",IF(SUMIFS('Payments'!$C$2:$C$500,'Payments'!$B$2:$B$500,$A260,'Payments'!$G$2:$G$500,"confirmed")&lt;=0,"unpaid",IF(SUMIFS('Payments'!$C$2:$C$500,'Payments'!$B$2:$B$500,$A260,'Payments'!$G$2:$G$500,"confirmed")&gt;=$K260,"paid","partial")))</x:f>
      </x:c>
      <x:c r="M260" s="19"/>
      <x:c r="N260" s="26"/>
      <x:c r="O260" s="26"/>
      <x:c r="P260" s="19"/>
      <x:c r="Q260" s="26"/>
      <x:c r="R260" s="19"/>
      <x:c r="S260" s="26"/>
      <x:c r="T260" s="19"/>
      <x:c r="U260" s="19"/>
    </x:row>
    <x:row r="261">
      <x:c r="A261" s="19"/>
      <x:c r="B261" s="19"/>
      <x:c r="C261" s="19"/>
      <x:c r="D261" s="19"/>
      <x:c r="E261" s="19"/>
      <x:c r="F261" s="19"/>
      <x:c r="G261" s="26"/>
      <x:c r="H261" s="96" t="str">
        <x:f>IF($A261="","",SUMIFS('OrderItems'!$I$2:$I$500,'OrderItems'!$B$2:$B$500,$A261))</x:f>
      </x:c>
      <x:c r="I261" s="25"/>
      <x:c r="J261" s="25"/>
      <x:c r="K261" s="96" t="str">
        <x:f>IF($A261="","",$H261-$I261+$J261)</x:f>
      </x:c>
      <x:c r="L261" s="116" t="str">
        <x:f>IF($A261="","",IF(SUMIFS('Payments'!$C$2:$C$500,'Payments'!$B$2:$B$500,$A261,'Payments'!$G$2:$G$500,"confirmed")&lt;=0,"unpaid",IF(SUMIFS('Payments'!$C$2:$C$500,'Payments'!$B$2:$B$500,$A261,'Payments'!$G$2:$G$500,"confirmed")&gt;=$K261,"paid","partial")))</x:f>
      </x:c>
      <x:c r="M261" s="19"/>
      <x:c r="N261" s="26"/>
      <x:c r="O261" s="26"/>
      <x:c r="P261" s="19"/>
      <x:c r="Q261" s="26"/>
      <x:c r="R261" s="19"/>
      <x:c r="S261" s="26"/>
      <x:c r="T261" s="19"/>
      <x:c r="U261" s="19"/>
    </x:row>
    <x:row r="262">
      <x:c r="A262" s="19"/>
      <x:c r="B262" s="19"/>
      <x:c r="C262" s="19"/>
      <x:c r="D262" s="19"/>
      <x:c r="E262" s="19"/>
      <x:c r="F262" s="19"/>
      <x:c r="G262" s="26"/>
      <x:c r="H262" s="96" t="str">
        <x:f>IF($A262="","",SUMIFS('OrderItems'!$I$2:$I$500,'OrderItems'!$B$2:$B$500,$A262))</x:f>
      </x:c>
      <x:c r="I262" s="25"/>
      <x:c r="J262" s="25"/>
      <x:c r="K262" s="96" t="str">
        <x:f>IF($A262="","",$H262-$I262+$J262)</x:f>
      </x:c>
      <x:c r="L262" s="116" t="str">
        <x:f>IF($A262="","",IF(SUMIFS('Payments'!$C$2:$C$500,'Payments'!$B$2:$B$500,$A262,'Payments'!$G$2:$G$500,"confirmed")&lt;=0,"unpaid",IF(SUMIFS('Payments'!$C$2:$C$500,'Payments'!$B$2:$B$500,$A262,'Payments'!$G$2:$G$500,"confirmed")&gt;=$K262,"paid","partial")))</x:f>
      </x:c>
      <x:c r="M262" s="19"/>
      <x:c r="N262" s="26"/>
      <x:c r="O262" s="26"/>
      <x:c r="P262" s="19"/>
      <x:c r="Q262" s="26"/>
      <x:c r="R262" s="19"/>
      <x:c r="S262" s="26"/>
      <x:c r="T262" s="19"/>
      <x:c r="U262" s="19"/>
    </x:row>
    <x:row r="263">
      <x:c r="A263" s="19"/>
      <x:c r="B263" s="19"/>
      <x:c r="C263" s="19"/>
      <x:c r="D263" s="19"/>
      <x:c r="E263" s="19"/>
      <x:c r="F263" s="19"/>
      <x:c r="G263" s="26"/>
      <x:c r="H263" s="96" t="str">
        <x:f>IF($A263="","",SUMIFS('OrderItems'!$I$2:$I$500,'OrderItems'!$B$2:$B$500,$A263))</x:f>
      </x:c>
      <x:c r="I263" s="25"/>
      <x:c r="J263" s="25"/>
      <x:c r="K263" s="96" t="str">
        <x:f>IF($A263="","",$H263-$I263+$J263)</x:f>
      </x:c>
      <x:c r="L263" s="116" t="str">
        <x:f>IF($A263="","",IF(SUMIFS('Payments'!$C$2:$C$500,'Payments'!$B$2:$B$500,$A263,'Payments'!$G$2:$G$500,"confirmed")&lt;=0,"unpaid",IF(SUMIFS('Payments'!$C$2:$C$500,'Payments'!$B$2:$B$500,$A263,'Payments'!$G$2:$G$500,"confirmed")&gt;=$K263,"paid","partial")))</x:f>
      </x:c>
      <x:c r="M263" s="19"/>
      <x:c r="N263" s="26"/>
      <x:c r="O263" s="26"/>
      <x:c r="P263" s="19"/>
      <x:c r="Q263" s="26"/>
      <x:c r="R263" s="19"/>
      <x:c r="S263" s="26"/>
      <x:c r="T263" s="19"/>
      <x:c r="U263" s="19"/>
    </x:row>
    <x:row r="264">
      <x:c r="A264" s="19"/>
      <x:c r="B264" s="19"/>
      <x:c r="C264" s="19"/>
      <x:c r="D264" s="19"/>
      <x:c r="E264" s="19"/>
      <x:c r="F264" s="19"/>
      <x:c r="G264" s="26"/>
      <x:c r="H264" s="96" t="str">
        <x:f>IF($A264="","",SUMIFS('OrderItems'!$I$2:$I$500,'OrderItems'!$B$2:$B$500,$A264))</x:f>
      </x:c>
      <x:c r="I264" s="25"/>
      <x:c r="J264" s="25"/>
      <x:c r="K264" s="96" t="str">
        <x:f>IF($A264="","",$H264-$I264+$J264)</x:f>
      </x:c>
      <x:c r="L264" s="116" t="str">
        <x:f>IF($A264="","",IF(SUMIFS('Payments'!$C$2:$C$500,'Payments'!$B$2:$B$500,$A264,'Payments'!$G$2:$G$500,"confirmed")&lt;=0,"unpaid",IF(SUMIFS('Payments'!$C$2:$C$500,'Payments'!$B$2:$B$500,$A264,'Payments'!$G$2:$G$500,"confirmed")&gt;=$K264,"paid","partial")))</x:f>
      </x:c>
      <x:c r="M264" s="19"/>
      <x:c r="N264" s="26"/>
      <x:c r="O264" s="26"/>
      <x:c r="P264" s="19"/>
      <x:c r="Q264" s="26"/>
      <x:c r="R264" s="19"/>
      <x:c r="S264" s="26"/>
      <x:c r="T264" s="19"/>
      <x:c r="U264" s="19"/>
    </x:row>
    <x:row r="265">
      <x:c r="A265" s="19"/>
      <x:c r="B265" s="19"/>
      <x:c r="C265" s="19"/>
      <x:c r="D265" s="19"/>
      <x:c r="E265" s="19"/>
      <x:c r="F265" s="19"/>
      <x:c r="G265" s="26"/>
      <x:c r="H265" s="96" t="str">
        <x:f>IF($A265="","",SUMIFS('OrderItems'!$I$2:$I$500,'OrderItems'!$B$2:$B$500,$A265))</x:f>
      </x:c>
      <x:c r="I265" s="25"/>
      <x:c r="J265" s="25"/>
      <x:c r="K265" s="96" t="str">
        <x:f>IF($A265="","",$H265-$I265+$J265)</x:f>
      </x:c>
      <x:c r="L265" s="116" t="str">
        <x:f>IF($A265="","",IF(SUMIFS('Payments'!$C$2:$C$500,'Payments'!$B$2:$B$500,$A265,'Payments'!$G$2:$G$500,"confirmed")&lt;=0,"unpaid",IF(SUMIFS('Payments'!$C$2:$C$500,'Payments'!$B$2:$B$500,$A265,'Payments'!$G$2:$G$500,"confirmed")&gt;=$K265,"paid","partial")))</x:f>
      </x:c>
      <x:c r="M265" s="19"/>
      <x:c r="N265" s="26"/>
      <x:c r="O265" s="26"/>
      <x:c r="P265" s="19"/>
      <x:c r="Q265" s="26"/>
      <x:c r="R265" s="19"/>
      <x:c r="S265" s="26"/>
      <x:c r="T265" s="19"/>
      <x:c r="U265" s="19"/>
    </x:row>
    <x:row r="266">
      <x:c r="A266" s="19"/>
      <x:c r="B266" s="19"/>
      <x:c r="C266" s="19"/>
      <x:c r="D266" s="19"/>
      <x:c r="E266" s="19"/>
      <x:c r="F266" s="19"/>
      <x:c r="G266" s="26"/>
      <x:c r="H266" s="96" t="str">
        <x:f>IF($A266="","",SUMIFS('OrderItems'!$I$2:$I$500,'OrderItems'!$B$2:$B$500,$A266))</x:f>
      </x:c>
      <x:c r="I266" s="25"/>
      <x:c r="J266" s="25"/>
      <x:c r="K266" s="96" t="str">
        <x:f>IF($A266="","",$H266-$I266+$J266)</x:f>
      </x:c>
      <x:c r="L266" s="116" t="str">
        <x:f>IF($A266="","",IF(SUMIFS('Payments'!$C$2:$C$500,'Payments'!$B$2:$B$500,$A266,'Payments'!$G$2:$G$500,"confirmed")&lt;=0,"unpaid",IF(SUMIFS('Payments'!$C$2:$C$500,'Payments'!$B$2:$B$500,$A266,'Payments'!$G$2:$G$500,"confirmed")&gt;=$K266,"paid","partial")))</x:f>
      </x:c>
      <x:c r="M266" s="19"/>
      <x:c r="N266" s="26"/>
      <x:c r="O266" s="26"/>
      <x:c r="P266" s="19"/>
      <x:c r="Q266" s="26"/>
      <x:c r="R266" s="19"/>
      <x:c r="S266" s="26"/>
      <x:c r="T266" s="19"/>
      <x:c r="U266" s="19"/>
    </x:row>
    <x:row r="267">
      <x:c r="A267" s="19"/>
      <x:c r="B267" s="19"/>
      <x:c r="C267" s="19"/>
      <x:c r="D267" s="19"/>
      <x:c r="E267" s="19"/>
      <x:c r="F267" s="19"/>
      <x:c r="G267" s="26"/>
      <x:c r="H267" s="96" t="str">
        <x:f>IF($A267="","",SUMIFS('OrderItems'!$I$2:$I$500,'OrderItems'!$B$2:$B$500,$A267))</x:f>
      </x:c>
      <x:c r="I267" s="25"/>
      <x:c r="J267" s="25"/>
      <x:c r="K267" s="96" t="str">
        <x:f>IF($A267="","",$H267-$I267+$J267)</x:f>
      </x:c>
      <x:c r="L267" s="116" t="str">
        <x:f>IF($A267="","",IF(SUMIFS('Payments'!$C$2:$C$500,'Payments'!$B$2:$B$500,$A267,'Payments'!$G$2:$G$500,"confirmed")&lt;=0,"unpaid",IF(SUMIFS('Payments'!$C$2:$C$500,'Payments'!$B$2:$B$500,$A267,'Payments'!$G$2:$G$500,"confirmed")&gt;=$K267,"paid","partial")))</x:f>
      </x:c>
      <x:c r="M267" s="19"/>
      <x:c r="N267" s="26"/>
      <x:c r="O267" s="26"/>
      <x:c r="P267" s="19"/>
      <x:c r="Q267" s="26"/>
      <x:c r="R267" s="19"/>
      <x:c r="S267" s="26"/>
      <x:c r="T267" s="19"/>
      <x:c r="U267" s="19"/>
    </x:row>
    <x:row r="268">
      <x:c r="A268" s="19"/>
      <x:c r="B268" s="19"/>
      <x:c r="C268" s="19"/>
      <x:c r="D268" s="19"/>
      <x:c r="E268" s="19"/>
      <x:c r="F268" s="19"/>
      <x:c r="G268" s="26"/>
      <x:c r="H268" s="96" t="str">
        <x:f>IF($A268="","",SUMIFS('OrderItems'!$I$2:$I$500,'OrderItems'!$B$2:$B$500,$A268))</x:f>
      </x:c>
      <x:c r="I268" s="25"/>
      <x:c r="J268" s="25"/>
      <x:c r="K268" s="96" t="str">
        <x:f>IF($A268="","",$H268-$I268+$J268)</x:f>
      </x:c>
      <x:c r="L268" s="116" t="str">
        <x:f>IF($A268="","",IF(SUMIFS('Payments'!$C$2:$C$500,'Payments'!$B$2:$B$500,$A268,'Payments'!$G$2:$G$500,"confirmed")&lt;=0,"unpaid",IF(SUMIFS('Payments'!$C$2:$C$500,'Payments'!$B$2:$B$500,$A268,'Payments'!$G$2:$G$500,"confirmed")&gt;=$K268,"paid","partial")))</x:f>
      </x:c>
      <x:c r="M268" s="19"/>
      <x:c r="N268" s="26"/>
      <x:c r="O268" s="26"/>
      <x:c r="P268" s="19"/>
      <x:c r="Q268" s="26"/>
      <x:c r="R268" s="19"/>
      <x:c r="S268" s="26"/>
      <x:c r="T268" s="19"/>
      <x:c r="U268" s="19"/>
    </x:row>
    <x:row r="269">
      <x:c r="A269" s="19"/>
      <x:c r="B269" s="19"/>
      <x:c r="C269" s="19"/>
      <x:c r="D269" s="19"/>
      <x:c r="E269" s="19"/>
      <x:c r="F269" s="19"/>
      <x:c r="G269" s="26"/>
      <x:c r="H269" s="96" t="str">
        <x:f>IF($A269="","",SUMIFS('OrderItems'!$I$2:$I$500,'OrderItems'!$B$2:$B$500,$A269))</x:f>
      </x:c>
      <x:c r="I269" s="25"/>
      <x:c r="J269" s="25"/>
      <x:c r="K269" s="96" t="str">
        <x:f>IF($A269="","",$H269-$I269+$J269)</x:f>
      </x:c>
      <x:c r="L269" s="116" t="str">
        <x:f>IF($A269="","",IF(SUMIFS('Payments'!$C$2:$C$500,'Payments'!$B$2:$B$500,$A269,'Payments'!$G$2:$G$500,"confirmed")&lt;=0,"unpaid",IF(SUMIFS('Payments'!$C$2:$C$500,'Payments'!$B$2:$B$500,$A269,'Payments'!$G$2:$G$500,"confirmed")&gt;=$K269,"paid","partial")))</x:f>
      </x:c>
      <x:c r="M269" s="19"/>
      <x:c r="N269" s="26"/>
      <x:c r="O269" s="26"/>
      <x:c r="P269" s="19"/>
      <x:c r="Q269" s="26"/>
      <x:c r="R269" s="19"/>
      <x:c r="S269" s="26"/>
      <x:c r="T269" s="19"/>
      <x:c r="U269" s="19"/>
    </x:row>
    <x:row r="270">
      <x:c r="A270" s="19"/>
      <x:c r="B270" s="19"/>
      <x:c r="C270" s="19"/>
      <x:c r="D270" s="19"/>
      <x:c r="E270" s="19"/>
      <x:c r="F270" s="19"/>
      <x:c r="G270" s="26"/>
      <x:c r="H270" s="96" t="str">
        <x:f>IF($A270="","",SUMIFS('OrderItems'!$I$2:$I$500,'OrderItems'!$B$2:$B$500,$A270))</x:f>
      </x:c>
      <x:c r="I270" s="25"/>
      <x:c r="J270" s="25"/>
      <x:c r="K270" s="96" t="str">
        <x:f>IF($A270="","",$H270-$I270+$J270)</x:f>
      </x:c>
      <x:c r="L270" s="116" t="str">
        <x:f>IF($A270="","",IF(SUMIFS('Payments'!$C$2:$C$500,'Payments'!$B$2:$B$500,$A270,'Payments'!$G$2:$G$500,"confirmed")&lt;=0,"unpaid",IF(SUMIFS('Payments'!$C$2:$C$500,'Payments'!$B$2:$B$500,$A270,'Payments'!$G$2:$G$500,"confirmed")&gt;=$K270,"paid","partial")))</x:f>
      </x:c>
      <x:c r="M270" s="19"/>
      <x:c r="N270" s="26"/>
      <x:c r="O270" s="26"/>
      <x:c r="P270" s="19"/>
      <x:c r="Q270" s="26"/>
      <x:c r="R270" s="19"/>
      <x:c r="S270" s="26"/>
      <x:c r="T270" s="19"/>
      <x:c r="U270" s="19"/>
    </x:row>
    <x:row r="271">
      <x:c r="A271" s="19"/>
      <x:c r="B271" s="19"/>
      <x:c r="C271" s="19"/>
      <x:c r="D271" s="19"/>
      <x:c r="E271" s="19"/>
      <x:c r="F271" s="19"/>
      <x:c r="G271" s="26"/>
      <x:c r="H271" s="96" t="str">
        <x:f>IF($A271="","",SUMIFS('OrderItems'!$I$2:$I$500,'OrderItems'!$B$2:$B$500,$A271))</x:f>
      </x:c>
      <x:c r="I271" s="25"/>
      <x:c r="J271" s="25"/>
      <x:c r="K271" s="96" t="str">
        <x:f>IF($A271="","",$H271-$I271+$J271)</x:f>
      </x:c>
      <x:c r="L271" s="116" t="str">
        <x:f>IF($A271="","",IF(SUMIFS('Payments'!$C$2:$C$500,'Payments'!$B$2:$B$500,$A271,'Payments'!$G$2:$G$500,"confirmed")&lt;=0,"unpaid",IF(SUMIFS('Payments'!$C$2:$C$500,'Payments'!$B$2:$B$500,$A271,'Payments'!$G$2:$G$500,"confirmed")&gt;=$K271,"paid","partial")))</x:f>
      </x:c>
      <x:c r="M271" s="19"/>
      <x:c r="N271" s="26"/>
      <x:c r="O271" s="26"/>
      <x:c r="P271" s="19"/>
      <x:c r="Q271" s="26"/>
      <x:c r="R271" s="19"/>
      <x:c r="S271" s="26"/>
      <x:c r="T271" s="19"/>
      <x:c r="U271" s="19"/>
    </x:row>
    <x:row r="272">
      <x:c r="A272" s="19"/>
      <x:c r="B272" s="19"/>
      <x:c r="C272" s="19"/>
      <x:c r="D272" s="19"/>
      <x:c r="E272" s="19"/>
      <x:c r="F272" s="19"/>
      <x:c r="G272" s="26"/>
      <x:c r="H272" s="96" t="str">
        <x:f>IF($A272="","",SUMIFS('OrderItems'!$I$2:$I$500,'OrderItems'!$B$2:$B$500,$A272))</x:f>
      </x:c>
      <x:c r="I272" s="25"/>
      <x:c r="J272" s="25"/>
      <x:c r="K272" s="96" t="str">
        <x:f>IF($A272="","",$H272-$I272+$J272)</x:f>
      </x:c>
      <x:c r="L272" s="116" t="str">
        <x:f>IF($A272="","",IF(SUMIFS('Payments'!$C$2:$C$500,'Payments'!$B$2:$B$500,$A272,'Payments'!$G$2:$G$500,"confirmed")&lt;=0,"unpaid",IF(SUMIFS('Payments'!$C$2:$C$500,'Payments'!$B$2:$B$500,$A272,'Payments'!$G$2:$G$500,"confirmed")&gt;=$K272,"paid","partial")))</x:f>
      </x:c>
      <x:c r="M272" s="19"/>
      <x:c r="N272" s="26"/>
      <x:c r="O272" s="26"/>
      <x:c r="P272" s="19"/>
      <x:c r="Q272" s="26"/>
      <x:c r="R272" s="19"/>
      <x:c r="S272" s="26"/>
      <x:c r="T272" s="19"/>
      <x:c r="U272" s="19"/>
    </x:row>
    <x:row r="273">
      <x:c r="A273" s="19"/>
      <x:c r="B273" s="19"/>
      <x:c r="C273" s="19"/>
      <x:c r="D273" s="19"/>
      <x:c r="E273" s="19"/>
      <x:c r="F273" s="19"/>
      <x:c r="G273" s="26"/>
      <x:c r="H273" s="96" t="str">
        <x:f>IF($A273="","",SUMIFS('OrderItems'!$I$2:$I$500,'OrderItems'!$B$2:$B$500,$A273))</x:f>
      </x:c>
      <x:c r="I273" s="25"/>
      <x:c r="J273" s="25"/>
      <x:c r="K273" s="96" t="str">
        <x:f>IF($A273="","",$H273-$I273+$J273)</x:f>
      </x:c>
      <x:c r="L273" s="116" t="str">
        <x:f>IF($A273="","",IF(SUMIFS('Payments'!$C$2:$C$500,'Payments'!$B$2:$B$500,$A273,'Payments'!$G$2:$G$500,"confirmed")&lt;=0,"unpaid",IF(SUMIFS('Payments'!$C$2:$C$500,'Payments'!$B$2:$B$500,$A273,'Payments'!$G$2:$G$500,"confirmed")&gt;=$K273,"paid","partial")))</x:f>
      </x:c>
      <x:c r="M273" s="19"/>
      <x:c r="N273" s="26"/>
      <x:c r="O273" s="26"/>
      <x:c r="P273" s="19"/>
      <x:c r="Q273" s="26"/>
      <x:c r="R273" s="19"/>
      <x:c r="S273" s="26"/>
      <x:c r="T273" s="19"/>
      <x:c r="U273" s="19"/>
    </x:row>
    <x:row r="274">
      <x:c r="A274" s="19"/>
      <x:c r="B274" s="19"/>
      <x:c r="C274" s="19"/>
      <x:c r="D274" s="19"/>
      <x:c r="E274" s="19"/>
      <x:c r="F274" s="19"/>
      <x:c r="G274" s="26"/>
      <x:c r="H274" s="96" t="str">
        <x:f>IF($A274="","",SUMIFS('OrderItems'!$I$2:$I$500,'OrderItems'!$B$2:$B$500,$A274))</x:f>
      </x:c>
      <x:c r="I274" s="25"/>
      <x:c r="J274" s="25"/>
      <x:c r="K274" s="96" t="str">
        <x:f>IF($A274="","",$H274-$I274+$J274)</x:f>
      </x:c>
      <x:c r="L274" s="116" t="str">
        <x:f>IF($A274="","",IF(SUMIFS('Payments'!$C$2:$C$500,'Payments'!$B$2:$B$500,$A274,'Payments'!$G$2:$G$500,"confirmed")&lt;=0,"unpaid",IF(SUMIFS('Payments'!$C$2:$C$500,'Payments'!$B$2:$B$500,$A274,'Payments'!$G$2:$G$500,"confirmed")&gt;=$K274,"paid","partial")))</x:f>
      </x:c>
      <x:c r="M274" s="19"/>
      <x:c r="N274" s="26"/>
      <x:c r="O274" s="26"/>
      <x:c r="P274" s="19"/>
      <x:c r="Q274" s="26"/>
      <x:c r="R274" s="19"/>
      <x:c r="S274" s="26"/>
      <x:c r="T274" s="19"/>
      <x:c r="U274" s="19"/>
    </x:row>
    <x:row r="275">
      <x:c r="A275" s="19"/>
      <x:c r="B275" s="19"/>
      <x:c r="C275" s="19"/>
      <x:c r="D275" s="19"/>
      <x:c r="E275" s="19"/>
      <x:c r="F275" s="19"/>
      <x:c r="G275" s="26"/>
      <x:c r="H275" s="96" t="str">
        <x:f>IF($A275="","",SUMIFS('OrderItems'!$I$2:$I$500,'OrderItems'!$B$2:$B$500,$A275))</x:f>
      </x:c>
      <x:c r="I275" s="25"/>
      <x:c r="J275" s="25"/>
      <x:c r="K275" s="96" t="str">
        <x:f>IF($A275="","",$H275-$I275+$J275)</x:f>
      </x:c>
      <x:c r="L275" s="116" t="str">
        <x:f>IF($A275="","",IF(SUMIFS('Payments'!$C$2:$C$500,'Payments'!$B$2:$B$500,$A275,'Payments'!$G$2:$G$500,"confirmed")&lt;=0,"unpaid",IF(SUMIFS('Payments'!$C$2:$C$500,'Payments'!$B$2:$B$500,$A275,'Payments'!$G$2:$G$500,"confirmed")&gt;=$K275,"paid","partial")))</x:f>
      </x:c>
      <x:c r="M275" s="19"/>
      <x:c r="N275" s="26"/>
      <x:c r="O275" s="26"/>
      <x:c r="P275" s="19"/>
      <x:c r="Q275" s="26"/>
      <x:c r="R275" s="19"/>
      <x:c r="S275" s="26"/>
      <x:c r="T275" s="19"/>
      <x:c r="U275" s="19"/>
    </x:row>
    <x:row r="276">
      <x:c r="A276" s="19"/>
      <x:c r="B276" s="19"/>
      <x:c r="C276" s="19"/>
      <x:c r="D276" s="19"/>
      <x:c r="E276" s="19"/>
      <x:c r="F276" s="19"/>
      <x:c r="G276" s="26"/>
      <x:c r="H276" s="96" t="str">
        <x:f>IF($A276="","",SUMIFS('OrderItems'!$I$2:$I$500,'OrderItems'!$B$2:$B$500,$A276))</x:f>
      </x:c>
      <x:c r="I276" s="25"/>
      <x:c r="J276" s="25"/>
      <x:c r="K276" s="96" t="str">
        <x:f>IF($A276="","",$H276-$I276+$J276)</x:f>
      </x:c>
      <x:c r="L276" s="116" t="str">
        <x:f>IF($A276="","",IF(SUMIFS('Payments'!$C$2:$C$500,'Payments'!$B$2:$B$500,$A276,'Payments'!$G$2:$G$500,"confirmed")&lt;=0,"unpaid",IF(SUMIFS('Payments'!$C$2:$C$500,'Payments'!$B$2:$B$500,$A276,'Payments'!$G$2:$G$500,"confirmed")&gt;=$K276,"paid","partial")))</x:f>
      </x:c>
      <x:c r="M276" s="19"/>
      <x:c r="N276" s="26"/>
      <x:c r="O276" s="26"/>
      <x:c r="P276" s="19"/>
      <x:c r="Q276" s="26"/>
      <x:c r="R276" s="19"/>
      <x:c r="S276" s="26"/>
      <x:c r="T276" s="19"/>
      <x:c r="U276" s="19"/>
    </x:row>
    <x:row r="277">
      <x:c r="A277" s="19"/>
      <x:c r="B277" s="19"/>
      <x:c r="C277" s="19"/>
      <x:c r="D277" s="19"/>
      <x:c r="E277" s="19"/>
      <x:c r="F277" s="19"/>
      <x:c r="G277" s="26"/>
      <x:c r="H277" s="96" t="str">
        <x:f>IF($A277="","",SUMIFS('OrderItems'!$I$2:$I$500,'OrderItems'!$B$2:$B$500,$A277))</x:f>
      </x:c>
      <x:c r="I277" s="25"/>
      <x:c r="J277" s="25"/>
      <x:c r="K277" s="96" t="str">
        <x:f>IF($A277="","",$H277-$I277+$J277)</x:f>
      </x:c>
      <x:c r="L277" s="116" t="str">
        <x:f>IF($A277="","",IF(SUMIFS('Payments'!$C$2:$C$500,'Payments'!$B$2:$B$500,$A277,'Payments'!$G$2:$G$500,"confirmed")&lt;=0,"unpaid",IF(SUMIFS('Payments'!$C$2:$C$500,'Payments'!$B$2:$B$500,$A277,'Payments'!$G$2:$G$500,"confirmed")&gt;=$K277,"paid","partial")))</x:f>
      </x:c>
      <x:c r="M277" s="19"/>
      <x:c r="N277" s="26"/>
      <x:c r="O277" s="26"/>
      <x:c r="P277" s="19"/>
      <x:c r="Q277" s="26"/>
      <x:c r="R277" s="19"/>
      <x:c r="S277" s="26"/>
      <x:c r="T277" s="19"/>
      <x:c r="U277" s="19"/>
    </x:row>
    <x:row r="278">
      <x:c r="A278" s="19"/>
      <x:c r="B278" s="19"/>
      <x:c r="C278" s="19"/>
      <x:c r="D278" s="19"/>
      <x:c r="E278" s="19"/>
      <x:c r="F278" s="19"/>
      <x:c r="G278" s="26"/>
      <x:c r="H278" s="96" t="str">
        <x:f>IF($A278="","",SUMIFS('OrderItems'!$I$2:$I$500,'OrderItems'!$B$2:$B$500,$A278))</x:f>
      </x:c>
      <x:c r="I278" s="25"/>
      <x:c r="J278" s="25"/>
      <x:c r="K278" s="96" t="str">
        <x:f>IF($A278="","",$H278-$I278+$J278)</x:f>
      </x:c>
      <x:c r="L278" s="116" t="str">
        <x:f>IF($A278="","",IF(SUMIFS('Payments'!$C$2:$C$500,'Payments'!$B$2:$B$500,$A278,'Payments'!$G$2:$G$500,"confirmed")&lt;=0,"unpaid",IF(SUMIFS('Payments'!$C$2:$C$500,'Payments'!$B$2:$B$500,$A278,'Payments'!$G$2:$G$500,"confirmed")&gt;=$K278,"paid","partial")))</x:f>
      </x:c>
      <x:c r="M278" s="19"/>
      <x:c r="N278" s="26"/>
      <x:c r="O278" s="26"/>
      <x:c r="P278" s="19"/>
      <x:c r="Q278" s="26"/>
      <x:c r="R278" s="19"/>
      <x:c r="S278" s="26"/>
      <x:c r="T278" s="19"/>
      <x:c r="U278" s="19"/>
    </x:row>
    <x:row r="279">
      <x:c r="A279" s="19"/>
      <x:c r="B279" s="19"/>
      <x:c r="C279" s="19"/>
      <x:c r="D279" s="19"/>
      <x:c r="E279" s="19"/>
      <x:c r="F279" s="19"/>
      <x:c r="G279" s="26"/>
      <x:c r="H279" s="96" t="str">
        <x:f>IF($A279="","",SUMIFS('OrderItems'!$I$2:$I$500,'OrderItems'!$B$2:$B$500,$A279))</x:f>
      </x:c>
      <x:c r="I279" s="25"/>
      <x:c r="J279" s="25"/>
      <x:c r="K279" s="96" t="str">
        <x:f>IF($A279="","",$H279-$I279+$J279)</x:f>
      </x:c>
      <x:c r="L279" s="116" t="str">
        <x:f>IF($A279="","",IF(SUMIFS('Payments'!$C$2:$C$500,'Payments'!$B$2:$B$500,$A279,'Payments'!$G$2:$G$500,"confirmed")&lt;=0,"unpaid",IF(SUMIFS('Payments'!$C$2:$C$500,'Payments'!$B$2:$B$500,$A279,'Payments'!$G$2:$G$500,"confirmed")&gt;=$K279,"paid","partial")))</x:f>
      </x:c>
      <x:c r="M279" s="19"/>
      <x:c r="N279" s="26"/>
      <x:c r="O279" s="26"/>
      <x:c r="P279" s="19"/>
      <x:c r="Q279" s="26"/>
      <x:c r="R279" s="19"/>
      <x:c r="S279" s="26"/>
      <x:c r="T279" s="19"/>
      <x:c r="U279" s="19"/>
    </x:row>
    <x:row r="280">
      <x:c r="A280" s="19"/>
      <x:c r="B280" s="19"/>
      <x:c r="C280" s="19"/>
      <x:c r="D280" s="19"/>
      <x:c r="E280" s="19"/>
      <x:c r="F280" s="19"/>
      <x:c r="G280" s="26"/>
      <x:c r="H280" s="96" t="str">
        <x:f>IF($A280="","",SUMIFS('OrderItems'!$I$2:$I$500,'OrderItems'!$B$2:$B$500,$A280))</x:f>
      </x:c>
      <x:c r="I280" s="25"/>
      <x:c r="J280" s="25"/>
      <x:c r="K280" s="96" t="str">
        <x:f>IF($A280="","",$H280-$I280+$J280)</x:f>
      </x:c>
      <x:c r="L280" s="116" t="str">
        <x:f>IF($A280="","",IF(SUMIFS('Payments'!$C$2:$C$500,'Payments'!$B$2:$B$500,$A280,'Payments'!$G$2:$G$500,"confirmed")&lt;=0,"unpaid",IF(SUMIFS('Payments'!$C$2:$C$500,'Payments'!$B$2:$B$500,$A280,'Payments'!$G$2:$G$500,"confirmed")&gt;=$K280,"paid","partial")))</x:f>
      </x:c>
      <x:c r="M280" s="19"/>
      <x:c r="N280" s="26"/>
      <x:c r="O280" s="26"/>
      <x:c r="P280" s="19"/>
      <x:c r="Q280" s="26"/>
      <x:c r="R280" s="19"/>
      <x:c r="S280" s="26"/>
      <x:c r="T280" s="19"/>
      <x:c r="U280" s="19"/>
    </x:row>
    <x:row r="281">
      <x:c r="A281" s="19"/>
      <x:c r="B281" s="19"/>
      <x:c r="C281" s="19"/>
      <x:c r="D281" s="19"/>
      <x:c r="E281" s="19"/>
      <x:c r="F281" s="19"/>
      <x:c r="G281" s="26"/>
      <x:c r="H281" s="96" t="str">
        <x:f>IF($A281="","",SUMIFS('OrderItems'!$I$2:$I$500,'OrderItems'!$B$2:$B$500,$A281))</x:f>
      </x:c>
      <x:c r="I281" s="25"/>
      <x:c r="J281" s="25"/>
      <x:c r="K281" s="96" t="str">
        <x:f>IF($A281="","",$H281-$I281+$J281)</x:f>
      </x:c>
      <x:c r="L281" s="116" t="str">
        <x:f>IF($A281="","",IF(SUMIFS('Payments'!$C$2:$C$500,'Payments'!$B$2:$B$500,$A281,'Payments'!$G$2:$G$500,"confirmed")&lt;=0,"unpaid",IF(SUMIFS('Payments'!$C$2:$C$500,'Payments'!$B$2:$B$500,$A281,'Payments'!$G$2:$G$500,"confirmed")&gt;=$K281,"paid","partial")))</x:f>
      </x:c>
      <x:c r="M281" s="19"/>
      <x:c r="N281" s="26"/>
      <x:c r="O281" s="26"/>
      <x:c r="P281" s="19"/>
      <x:c r="Q281" s="26"/>
      <x:c r="R281" s="19"/>
      <x:c r="S281" s="26"/>
      <x:c r="T281" s="19"/>
      <x:c r="U281" s="19"/>
    </x:row>
    <x:row r="282">
      <x:c r="A282" s="19"/>
      <x:c r="B282" s="19"/>
      <x:c r="C282" s="19"/>
      <x:c r="D282" s="19"/>
      <x:c r="E282" s="19"/>
      <x:c r="F282" s="19"/>
      <x:c r="G282" s="26"/>
      <x:c r="H282" s="96" t="str">
        <x:f>IF($A282="","",SUMIFS('OrderItems'!$I$2:$I$500,'OrderItems'!$B$2:$B$500,$A282))</x:f>
      </x:c>
      <x:c r="I282" s="25"/>
      <x:c r="J282" s="25"/>
      <x:c r="K282" s="96" t="str">
        <x:f>IF($A282="","",$H282-$I282+$J282)</x:f>
      </x:c>
      <x:c r="L282" s="116" t="str">
        <x:f>IF($A282="","",IF(SUMIFS('Payments'!$C$2:$C$500,'Payments'!$B$2:$B$500,$A282,'Payments'!$G$2:$G$500,"confirmed")&lt;=0,"unpaid",IF(SUMIFS('Payments'!$C$2:$C$500,'Payments'!$B$2:$B$500,$A282,'Payments'!$G$2:$G$500,"confirmed")&gt;=$K282,"paid","partial")))</x:f>
      </x:c>
      <x:c r="M282" s="19"/>
      <x:c r="N282" s="26"/>
      <x:c r="O282" s="26"/>
      <x:c r="P282" s="19"/>
      <x:c r="Q282" s="26"/>
      <x:c r="R282" s="19"/>
      <x:c r="S282" s="26"/>
      <x:c r="T282" s="19"/>
      <x:c r="U282" s="19"/>
    </x:row>
    <x:row r="283">
      <x:c r="A283" s="19"/>
      <x:c r="B283" s="19"/>
      <x:c r="C283" s="19"/>
      <x:c r="D283" s="19"/>
      <x:c r="E283" s="19"/>
      <x:c r="F283" s="19"/>
      <x:c r="G283" s="26"/>
      <x:c r="H283" s="96" t="str">
        <x:f>IF($A283="","",SUMIFS('OrderItems'!$I$2:$I$500,'OrderItems'!$B$2:$B$500,$A283))</x:f>
      </x:c>
      <x:c r="I283" s="25"/>
      <x:c r="J283" s="25"/>
      <x:c r="K283" s="96" t="str">
        <x:f>IF($A283="","",$H283-$I283+$J283)</x:f>
      </x:c>
      <x:c r="L283" s="116" t="str">
        <x:f>IF($A283="","",IF(SUMIFS('Payments'!$C$2:$C$500,'Payments'!$B$2:$B$500,$A283,'Payments'!$G$2:$G$500,"confirmed")&lt;=0,"unpaid",IF(SUMIFS('Payments'!$C$2:$C$500,'Payments'!$B$2:$B$500,$A283,'Payments'!$G$2:$G$500,"confirmed")&gt;=$K283,"paid","partial")))</x:f>
      </x:c>
      <x:c r="M283" s="19"/>
      <x:c r="N283" s="26"/>
      <x:c r="O283" s="26"/>
      <x:c r="P283" s="19"/>
      <x:c r="Q283" s="26"/>
      <x:c r="R283" s="19"/>
      <x:c r="S283" s="26"/>
      <x:c r="T283" s="19"/>
      <x:c r="U283" s="19"/>
    </x:row>
    <x:row r="284">
      <x:c r="A284" s="19"/>
      <x:c r="B284" s="19"/>
      <x:c r="C284" s="19"/>
      <x:c r="D284" s="19"/>
      <x:c r="E284" s="19"/>
      <x:c r="F284" s="19"/>
      <x:c r="G284" s="26"/>
      <x:c r="H284" s="96" t="str">
        <x:f>IF($A284="","",SUMIFS('OrderItems'!$I$2:$I$500,'OrderItems'!$B$2:$B$500,$A284))</x:f>
      </x:c>
      <x:c r="I284" s="25"/>
      <x:c r="J284" s="25"/>
      <x:c r="K284" s="96" t="str">
        <x:f>IF($A284="","",$H284-$I284+$J284)</x:f>
      </x:c>
      <x:c r="L284" s="116" t="str">
        <x:f>IF($A284="","",IF(SUMIFS('Payments'!$C$2:$C$500,'Payments'!$B$2:$B$500,$A284,'Payments'!$G$2:$G$500,"confirmed")&lt;=0,"unpaid",IF(SUMIFS('Payments'!$C$2:$C$500,'Payments'!$B$2:$B$500,$A284,'Payments'!$G$2:$G$500,"confirmed")&gt;=$K284,"paid","partial")))</x:f>
      </x:c>
      <x:c r="M284" s="19"/>
      <x:c r="N284" s="26"/>
      <x:c r="O284" s="26"/>
      <x:c r="P284" s="19"/>
      <x:c r="Q284" s="26"/>
      <x:c r="R284" s="19"/>
      <x:c r="S284" s="26"/>
      <x:c r="T284" s="19"/>
      <x:c r="U284" s="19"/>
    </x:row>
    <x:row r="285">
      <x:c r="A285" s="19"/>
      <x:c r="B285" s="19"/>
      <x:c r="C285" s="19"/>
      <x:c r="D285" s="19"/>
      <x:c r="E285" s="19"/>
      <x:c r="F285" s="19"/>
      <x:c r="G285" s="26"/>
      <x:c r="H285" s="96" t="str">
        <x:f>IF($A285="","",SUMIFS('OrderItems'!$I$2:$I$500,'OrderItems'!$B$2:$B$500,$A285))</x:f>
      </x:c>
      <x:c r="I285" s="25"/>
      <x:c r="J285" s="25"/>
      <x:c r="K285" s="96" t="str">
        <x:f>IF($A285="","",$H285-$I285+$J285)</x:f>
      </x:c>
      <x:c r="L285" s="116" t="str">
        <x:f>IF($A285="","",IF(SUMIFS('Payments'!$C$2:$C$500,'Payments'!$B$2:$B$500,$A285,'Payments'!$G$2:$G$500,"confirmed")&lt;=0,"unpaid",IF(SUMIFS('Payments'!$C$2:$C$500,'Payments'!$B$2:$B$500,$A285,'Payments'!$G$2:$G$500,"confirmed")&gt;=$K285,"paid","partial")))</x:f>
      </x:c>
      <x:c r="M285" s="19"/>
      <x:c r="N285" s="26"/>
      <x:c r="O285" s="26"/>
      <x:c r="P285" s="19"/>
      <x:c r="Q285" s="26"/>
      <x:c r="R285" s="19"/>
      <x:c r="S285" s="26"/>
      <x:c r="T285" s="19"/>
      <x:c r="U285" s="19"/>
    </x:row>
    <x:row r="286">
      <x:c r="A286" s="19"/>
      <x:c r="B286" s="19"/>
      <x:c r="C286" s="19"/>
      <x:c r="D286" s="19"/>
      <x:c r="E286" s="19"/>
      <x:c r="F286" s="19"/>
      <x:c r="G286" s="26"/>
      <x:c r="H286" s="96" t="str">
        <x:f>IF($A286="","",SUMIFS('OrderItems'!$I$2:$I$500,'OrderItems'!$B$2:$B$500,$A286))</x:f>
      </x:c>
      <x:c r="I286" s="25"/>
      <x:c r="J286" s="25"/>
      <x:c r="K286" s="96" t="str">
        <x:f>IF($A286="","",$H286-$I286+$J286)</x:f>
      </x:c>
      <x:c r="L286" s="116" t="str">
        <x:f>IF($A286="","",IF(SUMIFS('Payments'!$C$2:$C$500,'Payments'!$B$2:$B$500,$A286,'Payments'!$G$2:$G$500,"confirmed")&lt;=0,"unpaid",IF(SUMIFS('Payments'!$C$2:$C$500,'Payments'!$B$2:$B$500,$A286,'Payments'!$G$2:$G$500,"confirmed")&gt;=$K286,"paid","partial")))</x:f>
      </x:c>
      <x:c r="M286" s="19"/>
      <x:c r="N286" s="26"/>
      <x:c r="O286" s="26"/>
      <x:c r="P286" s="19"/>
      <x:c r="Q286" s="26"/>
      <x:c r="R286" s="19"/>
      <x:c r="S286" s="26"/>
      <x:c r="T286" s="19"/>
      <x:c r="U286" s="19"/>
    </x:row>
    <x:row r="287">
      <x:c r="A287" s="19"/>
      <x:c r="B287" s="19"/>
      <x:c r="C287" s="19"/>
      <x:c r="D287" s="19"/>
      <x:c r="E287" s="19"/>
      <x:c r="F287" s="19"/>
      <x:c r="G287" s="26"/>
      <x:c r="H287" s="96" t="str">
        <x:f>IF($A287="","",SUMIFS('OrderItems'!$I$2:$I$500,'OrderItems'!$B$2:$B$500,$A287))</x:f>
      </x:c>
      <x:c r="I287" s="25"/>
      <x:c r="J287" s="25"/>
      <x:c r="K287" s="96" t="str">
        <x:f>IF($A287="","",$H287-$I287+$J287)</x:f>
      </x:c>
      <x:c r="L287" s="116" t="str">
        <x:f>IF($A287="","",IF(SUMIFS('Payments'!$C$2:$C$500,'Payments'!$B$2:$B$500,$A287,'Payments'!$G$2:$G$500,"confirmed")&lt;=0,"unpaid",IF(SUMIFS('Payments'!$C$2:$C$500,'Payments'!$B$2:$B$500,$A287,'Payments'!$G$2:$G$500,"confirmed")&gt;=$K287,"paid","partial")))</x:f>
      </x:c>
      <x:c r="M287" s="19"/>
      <x:c r="N287" s="26"/>
      <x:c r="O287" s="26"/>
      <x:c r="P287" s="19"/>
      <x:c r="Q287" s="26"/>
      <x:c r="R287" s="19"/>
      <x:c r="S287" s="26"/>
      <x:c r="T287" s="19"/>
      <x:c r="U287" s="19"/>
    </x:row>
    <x:row r="288">
      <x:c r="A288" s="19"/>
      <x:c r="B288" s="19"/>
      <x:c r="C288" s="19"/>
      <x:c r="D288" s="19"/>
      <x:c r="E288" s="19"/>
      <x:c r="F288" s="19"/>
      <x:c r="G288" s="26"/>
      <x:c r="H288" s="96" t="str">
        <x:f>IF($A288="","",SUMIFS('OrderItems'!$I$2:$I$500,'OrderItems'!$B$2:$B$500,$A288))</x:f>
      </x:c>
      <x:c r="I288" s="25"/>
      <x:c r="J288" s="25"/>
      <x:c r="K288" s="96" t="str">
        <x:f>IF($A288="","",$H288-$I288+$J288)</x:f>
      </x:c>
      <x:c r="L288" s="116" t="str">
        <x:f>IF($A288="","",IF(SUMIFS('Payments'!$C$2:$C$500,'Payments'!$B$2:$B$500,$A288,'Payments'!$G$2:$G$500,"confirmed")&lt;=0,"unpaid",IF(SUMIFS('Payments'!$C$2:$C$500,'Payments'!$B$2:$B$500,$A288,'Payments'!$G$2:$G$500,"confirmed")&gt;=$K288,"paid","partial")))</x:f>
      </x:c>
      <x:c r="M288" s="19"/>
      <x:c r="N288" s="26"/>
      <x:c r="O288" s="26"/>
      <x:c r="P288" s="19"/>
      <x:c r="Q288" s="26"/>
      <x:c r="R288" s="19"/>
      <x:c r="S288" s="26"/>
      <x:c r="T288" s="19"/>
      <x:c r="U288" s="19"/>
    </x:row>
    <x:row r="289">
      <x:c r="A289" s="19"/>
      <x:c r="B289" s="19"/>
      <x:c r="C289" s="19"/>
      <x:c r="D289" s="19"/>
      <x:c r="E289" s="19"/>
      <x:c r="F289" s="19"/>
      <x:c r="G289" s="26"/>
      <x:c r="H289" s="96" t="str">
        <x:f>IF($A289="","",SUMIFS('OrderItems'!$I$2:$I$500,'OrderItems'!$B$2:$B$500,$A289))</x:f>
      </x:c>
      <x:c r="I289" s="25"/>
      <x:c r="J289" s="25"/>
      <x:c r="K289" s="96" t="str">
        <x:f>IF($A289="","",$H289-$I289+$J289)</x:f>
      </x:c>
      <x:c r="L289" s="116" t="str">
        <x:f>IF($A289="","",IF(SUMIFS('Payments'!$C$2:$C$500,'Payments'!$B$2:$B$500,$A289,'Payments'!$G$2:$G$500,"confirmed")&lt;=0,"unpaid",IF(SUMIFS('Payments'!$C$2:$C$500,'Payments'!$B$2:$B$500,$A289,'Payments'!$G$2:$G$500,"confirmed")&gt;=$K289,"paid","partial")))</x:f>
      </x:c>
      <x:c r="M289" s="19"/>
      <x:c r="N289" s="26"/>
      <x:c r="O289" s="26"/>
      <x:c r="P289" s="19"/>
      <x:c r="Q289" s="26"/>
      <x:c r="R289" s="19"/>
      <x:c r="S289" s="26"/>
      <x:c r="T289" s="19"/>
      <x:c r="U289" s="19"/>
    </x:row>
    <x:row r="290">
      <x:c r="A290" s="19"/>
      <x:c r="B290" s="19"/>
      <x:c r="C290" s="19"/>
      <x:c r="D290" s="19"/>
      <x:c r="E290" s="19"/>
      <x:c r="F290" s="19"/>
      <x:c r="G290" s="26"/>
      <x:c r="H290" s="96" t="str">
        <x:f>IF($A290="","",SUMIFS('OrderItems'!$I$2:$I$500,'OrderItems'!$B$2:$B$500,$A290))</x:f>
      </x:c>
      <x:c r="I290" s="25"/>
      <x:c r="J290" s="25"/>
      <x:c r="K290" s="96" t="str">
        <x:f>IF($A290="","",$H290-$I290+$J290)</x:f>
      </x:c>
      <x:c r="L290" s="116" t="str">
        <x:f>IF($A290="","",IF(SUMIFS('Payments'!$C$2:$C$500,'Payments'!$B$2:$B$500,$A290,'Payments'!$G$2:$G$500,"confirmed")&lt;=0,"unpaid",IF(SUMIFS('Payments'!$C$2:$C$500,'Payments'!$B$2:$B$500,$A290,'Payments'!$G$2:$G$500,"confirmed")&gt;=$K290,"paid","partial")))</x:f>
      </x:c>
      <x:c r="M290" s="19"/>
      <x:c r="N290" s="26"/>
      <x:c r="O290" s="26"/>
      <x:c r="P290" s="19"/>
      <x:c r="Q290" s="26"/>
      <x:c r="R290" s="19"/>
      <x:c r="S290" s="26"/>
      <x:c r="T290" s="19"/>
      <x:c r="U290" s="19"/>
    </x:row>
    <x:row r="291">
      <x:c r="A291" s="19"/>
      <x:c r="B291" s="19"/>
      <x:c r="C291" s="19"/>
      <x:c r="D291" s="19"/>
      <x:c r="E291" s="19"/>
      <x:c r="F291" s="19"/>
      <x:c r="G291" s="26"/>
      <x:c r="H291" s="96" t="str">
        <x:f>IF($A291="","",SUMIFS('OrderItems'!$I$2:$I$500,'OrderItems'!$B$2:$B$500,$A291))</x:f>
      </x:c>
      <x:c r="I291" s="25"/>
      <x:c r="J291" s="25"/>
      <x:c r="K291" s="96" t="str">
        <x:f>IF($A291="","",$H291-$I291+$J291)</x:f>
      </x:c>
      <x:c r="L291" s="116" t="str">
        <x:f>IF($A291="","",IF(SUMIFS('Payments'!$C$2:$C$500,'Payments'!$B$2:$B$500,$A291,'Payments'!$G$2:$G$500,"confirmed")&lt;=0,"unpaid",IF(SUMIFS('Payments'!$C$2:$C$500,'Payments'!$B$2:$B$500,$A291,'Payments'!$G$2:$G$500,"confirmed")&gt;=$K291,"paid","partial")))</x:f>
      </x:c>
      <x:c r="M291" s="19"/>
      <x:c r="N291" s="26"/>
      <x:c r="O291" s="26"/>
      <x:c r="P291" s="19"/>
      <x:c r="Q291" s="26"/>
      <x:c r="R291" s="19"/>
      <x:c r="S291" s="26"/>
      <x:c r="T291" s="19"/>
      <x:c r="U291" s="19"/>
    </x:row>
    <x:row r="292">
      <x:c r="A292" s="19"/>
      <x:c r="B292" s="19"/>
      <x:c r="C292" s="19"/>
      <x:c r="D292" s="19"/>
      <x:c r="E292" s="19"/>
      <x:c r="F292" s="19"/>
      <x:c r="G292" s="26"/>
      <x:c r="H292" s="96" t="str">
        <x:f>IF($A292="","",SUMIFS('OrderItems'!$I$2:$I$500,'OrderItems'!$B$2:$B$500,$A292))</x:f>
      </x:c>
      <x:c r="I292" s="25"/>
      <x:c r="J292" s="25"/>
      <x:c r="K292" s="96" t="str">
        <x:f>IF($A292="","",$H292-$I292+$J292)</x:f>
      </x:c>
      <x:c r="L292" s="116" t="str">
        <x:f>IF($A292="","",IF(SUMIFS('Payments'!$C$2:$C$500,'Payments'!$B$2:$B$500,$A292,'Payments'!$G$2:$G$500,"confirmed")&lt;=0,"unpaid",IF(SUMIFS('Payments'!$C$2:$C$500,'Payments'!$B$2:$B$500,$A292,'Payments'!$G$2:$G$500,"confirmed")&gt;=$K292,"paid","partial")))</x:f>
      </x:c>
      <x:c r="M292" s="19"/>
      <x:c r="N292" s="26"/>
      <x:c r="O292" s="26"/>
      <x:c r="P292" s="19"/>
      <x:c r="Q292" s="26"/>
      <x:c r="R292" s="19"/>
      <x:c r="S292" s="26"/>
      <x:c r="T292" s="19"/>
      <x:c r="U292" s="19"/>
    </x:row>
    <x:row r="293">
      <x:c r="A293" s="19"/>
      <x:c r="B293" s="19"/>
      <x:c r="C293" s="19"/>
      <x:c r="D293" s="19"/>
      <x:c r="E293" s="19"/>
      <x:c r="F293" s="19"/>
      <x:c r="G293" s="26"/>
      <x:c r="H293" s="96" t="str">
        <x:f>IF($A293="","",SUMIFS('OrderItems'!$I$2:$I$500,'OrderItems'!$B$2:$B$500,$A293))</x:f>
      </x:c>
      <x:c r="I293" s="25"/>
      <x:c r="J293" s="25"/>
      <x:c r="K293" s="96" t="str">
        <x:f>IF($A293="","",$H293-$I293+$J293)</x:f>
      </x:c>
      <x:c r="L293" s="116" t="str">
        <x:f>IF($A293="","",IF(SUMIFS('Payments'!$C$2:$C$500,'Payments'!$B$2:$B$500,$A293,'Payments'!$G$2:$G$500,"confirmed")&lt;=0,"unpaid",IF(SUMIFS('Payments'!$C$2:$C$500,'Payments'!$B$2:$B$500,$A293,'Payments'!$G$2:$G$500,"confirmed")&gt;=$K293,"paid","partial")))</x:f>
      </x:c>
      <x:c r="M293" s="19"/>
      <x:c r="N293" s="26"/>
      <x:c r="O293" s="26"/>
      <x:c r="P293" s="19"/>
      <x:c r="Q293" s="26"/>
      <x:c r="R293" s="19"/>
      <x:c r="S293" s="26"/>
      <x:c r="T293" s="19"/>
      <x:c r="U293" s="19"/>
    </x:row>
    <x:row r="294">
      <x:c r="A294" s="19"/>
      <x:c r="B294" s="19"/>
      <x:c r="C294" s="19"/>
      <x:c r="D294" s="19"/>
      <x:c r="E294" s="19"/>
      <x:c r="F294" s="19"/>
      <x:c r="G294" s="26"/>
      <x:c r="H294" s="96" t="str">
        <x:f>IF($A294="","",SUMIFS('OrderItems'!$I$2:$I$500,'OrderItems'!$B$2:$B$500,$A294))</x:f>
      </x:c>
      <x:c r="I294" s="25"/>
      <x:c r="J294" s="25"/>
      <x:c r="K294" s="96" t="str">
        <x:f>IF($A294="","",$H294-$I294+$J294)</x:f>
      </x:c>
      <x:c r="L294" s="116" t="str">
        <x:f>IF($A294="","",IF(SUMIFS('Payments'!$C$2:$C$500,'Payments'!$B$2:$B$500,$A294,'Payments'!$G$2:$G$500,"confirmed")&lt;=0,"unpaid",IF(SUMIFS('Payments'!$C$2:$C$500,'Payments'!$B$2:$B$500,$A294,'Payments'!$G$2:$G$500,"confirmed")&gt;=$K294,"paid","partial")))</x:f>
      </x:c>
      <x:c r="M294" s="19"/>
      <x:c r="N294" s="26"/>
      <x:c r="O294" s="26"/>
      <x:c r="P294" s="19"/>
      <x:c r="Q294" s="26"/>
      <x:c r="R294" s="19"/>
      <x:c r="S294" s="26"/>
      <x:c r="T294" s="19"/>
      <x:c r="U294" s="19"/>
    </x:row>
    <x:row r="295">
      <x:c r="A295" s="19"/>
      <x:c r="B295" s="19"/>
      <x:c r="C295" s="19"/>
      <x:c r="D295" s="19"/>
      <x:c r="E295" s="19"/>
      <x:c r="F295" s="19"/>
      <x:c r="G295" s="26"/>
      <x:c r="H295" s="96" t="str">
        <x:f>IF($A295="","",SUMIFS('OrderItems'!$I$2:$I$500,'OrderItems'!$B$2:$B$500,$A295))</x:f>
      </x:c>
      <x:c r="I295" s="25"/>
      <x:c r="J295" s="25"/>
      <x:c r="K295" s="96" t="str">
        <x:f>IF($A295="","",$H295-$I295+$J295)</x:f>
      </x:c>
      <x:c r="L295" s="116" t="str">
        <x:f>IF($A295="","",IF(SUMIFS('Payments'!$C$2:$C$500,'Payments'!$B$2:$B$500,$A295,'Payments'!$G$2:$G$500,"confirmed")&lt;=0,"unpaid",IF(SUMIFS('Payments'!$C$2:$C$500,'Payments'!$B$2:$B$500,$A295,'Payments'!$G$2:$G$500,"confirmed")&gt;=$K295,"paid","partial")))</x:f>
      </x:c>
      <x:c r="M295" s="19"/>
      <x:c r="N295" s="26"/>
      <x:c r="O295" s="26"/>
      <x:c r="P295" s="19"/>
      <x:c r="Q295" s="26"/>
      <x:c r="R295" s="19"/>
      <x:c r="S295" s="26"/>
      <x:c r="T295" s="19"/>
      <x:c r="U295" s="19"/>
    </x:row>
    <x:row r="296">
      <x:c r="A296" s="19"/>
      <x:c r="B296" s="19"/>
      <x:c r="C296" s="19"/>
      <x:c r="D296" s="19"/>
      <x:c r="E296" s="19"/>
      <x:c r="F296" s="19"/>
      <x:c r="G296" s="26"/>
      <x:c r="H296" s="96" t="str">
        <x:f>IF($A296="","",SUMIFS('OrderItems'!$I$2:$I$500,'OrderItems'!$B$2:$B$500,$A296))</x:f>
      </x:c>
      <x:c r="I296" s="25"/>
      <x:c r="J296" s="25"/>
      <x:c r="K296" s="96" t="str">
        <x:f>IF($A296="","",$H296-$I296+$J296)</x:f>
      </x:c>
      <x:c r="L296" s="116" t="str">
        <x:f>IF($A296="","",IF(SUMIFS('Payments'!$C$2:$C$500,'Payments'!$B$2:$B$500,$A296,'Payments'!$G$2:$G$500,"confirmed")&lt;=0,"unpaid",IF(SUMIFS('Payments'!$C$2:$C$500,'Payments'!$B$2:$B$500,$A296,'Payments'!$G$2:$G$500,"confirmed")&gt;=$K296,"paid","partial")))</x:f>
      </x:c>
      <x:c r="M296" s="19"/>
      <x:c r="N296" s="26"/>
      <x:c r="O296" s="26"/>
      <x:c r="P296" s="19"/>
      <x:c r="Q296" s="26"/>
      <x:c r="R296" s="19"/>
      <x:c r="S296" s="26"/>
      <x:c r="T296" s="19"/>
      <x:c r="U296" s="19"/>
    </x:row>
    <x:row r="297">
      <x:c r="A297" s="19"/>
      <x:c r="B297" s="19"/>
      <x:c r="C297" s="19"/>
      <x:c r="D297" s="19"/>
      <x:c r="E297" s="19"/>
      <x:c r="F297" s="19"/>
      <x:c r="G297" s="26"/>
      <x:c r="H297" s="96" t="str">
        <x:f>IF($A297="","",SUMIFS('OrderItems'!$I$2:$I$500,'OrderItems'!$B$2:$B$500,$A297))</x:f>
      </x:c>
      <x:c r="I297" s="25"/>
      <x:c r="J297" s="25"/>
      <x:c r="K297" s="96" t="str">
        <x:f>IF($A297="","",$H297-$I297+$J297)</x:f>
      </x:c>
      <x:c r="L297" s="116" t="str">
        <x:f>IF($A297="","",IF(SUMIFS('Payments'!$C$2:$C$500,'Payments'!$B$2:$B$500,$A297,'Payments'!$G$2:$G$500,"confirmed")&lt;=0,"unpaid",IF(SUMIFS('Payments'!$C$2:$C$500,'Payments'!$B$2:$B$500,$A297,'Payments'!$G$2:$G$500,"confirmed")&gt;=$K297,"paid","partial")))</x:f>
      </x:c>
      <x:c r="M297" s="19"/>
      <x:c r="N297" s="26"/>
      <x:c r="O297" s="26"/>
      <x:c r="P297" s="19"/>
      <x:c r="Q297" s="26"/>
      <x:c r="R297" s="19"/>
      <x:c r="S297" s="26"/>
      <x:c r="T297" s="19"/>
      <x:c r="U297" s="19"/>
    </x:row>
    <x:row r="298">
      <x:c r="A298" s="19"/>
      <x:c r="B298" s="19"/>
      <x:c r="C298" s="19"/>
      <x:c r="D298" s="19"/>
      <x:c r="E298" s="19"/>
      <x:c r="F298" s="19"/>
      <x:c r="G298" s="26"/>
      <x:c r="H298" s="96" t="str">
        <x:f>IF($A298="","",SUMIFS('OrderItems'!$I$2:$I$500,'OrderItems'!$B$2:$B$500,$A298))</x:f>
      </x:c>
      <x:c r="I298" s="25"/>
      <x:c r="J298" s="25"/>
      <x:c r="K298" s="96" t="str">
        <x:f>IF($A298="","",$H298-$I298+$J298)</x:f>
      </x:c>
      <x:c r="L298" s="116" t="str">
        <x:f>IF($A298="","",IF(SUMIFS('Payments'!$C$2:$C$500,'Payments'!$B$2:$B$500,$A298,'Payments'!$G$2:$G$500,"confirmed")&lt;=0,"unpaid",IF(SUMIFS('Payments'!$C$2:$C$500,'Payments'!$B$2:$B$500,$A298,'Payments'!$G$2:$G$500,"confirmed")&gt;=$K298,"paid","partial")))</x:f>
      </x:c>
      <x:c r="M298" s="19"/>
      <x:c r="N298" s="26"/>
      <x:c r="O298" s="26"/>
      <x:c r="P298" s="19"/>
      <x:c r="Q298" s="26"/>
      <x:c r="R298" s="19"/>
      <x:c r="S298" s="26"/>
      <x:c r="T298" s="19"/>
      <x:c r="U298" s="19"/>
    </x:row>
    <x:row r="299">
      <x:c r="A299" s="19"/>
      <x:c r="B299" s="19"/>
      <x:c r="C299" s="19"/>
      <x:c r="D299" s="19"/>
      <x:c r="E299" s="19"/>
      <x:c r="F299" s="19"/>
      <x:c r="G299" s="26"/>
      <x:c r="H299" s="96" t="str">
        <x:f>IF($A299="","",SUMIFS('OrderItems'!$I$2:$I$500,'OrderItems'!$B$2:$B$500,$A299))</x:f>
      </x:c>
      <x:c r="I299" s="25"/>
      <x:c r="J299" s="25"/>
      <x:c r="K299" s="96" t="str">
        <x:f>IF($A299="","",$H299-$I299+$J299)</x:f>
      </x:c>
      <x:c r="L299" s="116" t="str">
        <x:f>IF($A299="","",IF(SUMIFS('Payments'!$C$2:$C$500,'Payments'!$B$2:$B$500,$A299,'Payments'!$G$2:$G$500,"confirmed")&lt;=0,"unpaid",IF(SUMIFS('Payments'!$C$2:$C$500,'Payments'!$B$2:$B$500,$A299,'Payments'!$G$2:$G$500,"confirmed")&gt;=$K299,"paid","partial")))</x:f>
      </x:c>
      <x:c r="M299" s="19"/>
      <x:c r="N299" s="26"/>
      <x:c r="O299" s="26"/>
      <x:c r="P299" s="19"/>
      <x:c r="Q299" s="26"/>
      <x:c r="R299" s="19"/>
      <x:c r="S299" s="26"/>
      <x:c r="T299" s="19"/>
      <x:c r="U299" s="19"/>
    </x:row>
    <x:row r="300">
      <x:c r="A300" s="19"/>
      <x:c r="B300" s="19"/>
      <x:c r="C300" s="19"/>
      <x:c r="D300" s="19"/>
      <x:c r="E300" s="19"/>
      <x:c r="F300" s="19"/>
      <x:c r="G300" s="26"/>
      <x:c r="H300" s="96" t="str">
        <x:f>IF($A300="","",SUMIFS('OrderItems'!$I$2:$I$500,'OrderItems'!$B$2:$B$500,$A300))</x:f>
      </x:c>
      <x:c r="I300" s="25"/>
      <x:c r="J300" s="25"/>
      <x:c r="K300" s="96" t="str">
        <x:f>IF($A300="","",$H300-$I300+$J300)</x:f>
      </x:c>
      <x:c r="L300" s="116" t="str">
        <x:f>IF($A300="","",IF(SUMIFS('Payments'!$C$2:$C$500,'Payments'!$B$2:$B$500,$A300,'Payments'!$G$2:$G$500,"confirmed")&lt;=0,"unpaid",IF(SUMIFS('Payments'!$C$2:$C$500,'Payments'!$B$2:$B$500,$A300,'Payments'!$G$2:$G$500,"confirmed")&gt;=$K300,"paid","partial")))</x:f>
      </x:c>
      <x:c r="M300" s="19"/>
      <x:c r="N300" s="26"/>
      <x:c r="O300" s="26"/>
      <x:c r="P300" s="19"/>
      <x:c r="Q300" s="26"/>
      <x:c r="R300" s="19"/>
      <x:c r="S300" s="26"/>
      <x:c r="T300" s="19"/>
      <x:c r="U300" s="19"/>
    </x:row>
    <x:row r="301">
      <x:c r="A301" s="19"/>
      <x:c r="B301" s="19"/>
      <x:c r="C301" s="19"/>
      <x:c r="D301" s="19"/>
      <x:c r="E301" s="19"/>
      <x:c r="F301" s="19"/>
      <x:c r="G301" s="26"/>
      <x:c r="H301" s="96" t="str">
        <x:f>IF($A301="","",SUMIFS('OrderItems'!$I$2:$I$500,'OrderItems'!$B$2:$B$500,$A301))</x:f>
      </x:c>
      <x:c r="I301" s="25"/>
      <x:c r="J301" s="25"/>
      <x:c r="K301" s="96" t="str">
        <x:f>IF($A301="","",$H301-$I301+$J301)</x:f>
      </x:c>
      <x:c r="L301" s="116" t="str">
        <x:f>IF($A301="","",IF(SUMIFS('Payments'!$C$2:$C$500,'Payments'!$B$2:$B$500,$A301,'Payments'!$G$2:$G$500,"confirmed")&lt;=0,"unpaid",IF(SUMIFS('Payments'!$C$2:$C$500,'Payments'!$B$2:$B$500,$A301,'Payments'!$G$2:$G$500,"confirmed")&gt;=$K301,"paid","partial")))</x:f>
      </x:c>
      <x:c r="M301" s="19"/>
      <x:c r="N301" s="26"/>
      <x:c r="O301" s="26"/>
      <x:c r="P301" s="19"/>
      <x:c r="Q301" s="26"/>
      <x:c r="R301" s="19"/>
      <x:c r="S301" s="26"/>
      <x:c r="T301" s="19"/>
      <x:c r="U301" s="19"/>
    </x:row>
    <x:row r="302">
      <x:c r="A302" s="19"/>
      <x:c r="B302" s="19"/>
      <x:c r="C302" s="19"/>
      <x:c r="D302" s="19"/>
      <x:c r="E302" s="19"/>
      <x:c r="F302" s="19"/>
      <x:c r="G302" s="26"/>
      <x:c r="H302" s="96" t="str">
        <x:f>IF($A302="","",SUMIFS('OrderItems'!$I$2:$I$500,'OrderItems'!$B$2:$B$500,$A302))</x:f>
      </x:c>
      <x:c r="I302" s="25"/>
      <x:c r="J302" s="25"/>
      <x:c r="K302" s="96" t="str">
        <x:f>IF($A302="","",$H302-$I302+$J302)</x:f>
      </x:c>
      <x:c r="L302" s="116" t="str">
        <x:f>IF($A302="","",IF(SUMIFS('Payments'!$C$2:$C$500,'Payments'!$B$2:$B$500,$A302,'Payments'!$G$2:$G$500,"confirmed")&lt;=0,"unpaid",IF(SUMIFS('Payments'!$C$2:$C$500,'Payments'!$B$2:$B$500,$A302,'Payments'!$G$2:$G$500,"confirmed")&gt;=$K302,"paid","partial")))</x:f>
      </x:c>
      <x:c r="M302" s="19"/>
      <x:c r="N302" s="26"/>
      <x:c r="O302" s="26"/>
      <x:c r="P302" s="19"/>
      <x:c r="Q302" s="26"/>
      <x:c r="R302" s="19"/>
      <x:c r="S302" s="26"/>
      <x:c r="T302" s="19"/>
      <x:c r="U302" s="19"/>
    </x:row>
    <x:row r="303">
      <x:c r="A303" s="19"/>
      <x:c r="B303" s="19"/>
      <x:c r="C303" s="19"/>
      <x:c r="D303" s="19"/>
      <x:c r="E303" s="19"/>
      <x:c r="F303" s="19"/>
      <x:c r="G303" s="26"/>
      <x:c r="H303" s="96" t="str">
        <x:f>IF($A303="","",SUMIFS('OrderItems'!$I$2:$I$500,'OrderItems'!$B$2:$B$500,$A303))</x:f>
      </x:c>
      <x:c r="I303" s="25"/>
      <x:c r="J303" s="25"/>
      <x:c r="K303" s="96" t="str">
        <x:f>IF($A303="","",$H303-$I303+$J303)</x:f>
      </x:c>
      <x:c r="L303" s="116" t="str">
        <x:f>IF($A303="","",IF(SUMIFS('Payments'!$C$2:$C$500,'Payments'!$B$2:$B$500,$A303,'Payments'!$G$2:$G$500,"confirmed")&lt;=0,"unpaid",IF(SUMIFS('Payments'!$C$2:$C$500,'Payments'!$B$2:$B$500,$A303,'Payments'!$G$2:$G$500,"confirmed")&gt;=$K303,"paid","partial")))</x:f>
      </x:c>
      <x:c r="M303" s="19"/>
      <x:c r="N303" s="26"/>
      <x:c r="O303" s="26"/>
      <x:c r="P303" s="19"/>
      <x:c r="Q303" s="26"/>
      <x:c r="R303" s="19"/>
      <x:c r="S303" s="26"/>
      <x:c r="T303" s="19"/>
      <x:c r="U303" s="19"/>
    </x:row>
    <x:row r="304">
      <x:c r="A304" s="19"/>
      <x:c r="B304" s="19"/>
      <x:c r="C304" s="19"/>
      <x:c r="D304" s="19"/>
      <x:c r="E304" s="19"/>
      <x:c r="F304" s="19"/>
      <x:c r="G304" s="26"/>
      <x:c r="H304" s="96" t="str">
        <x:f>IF($A304="","",SUMIFS('OrderItems'!$I$2:$I$500,'OrderItems'!$B$2:$B$500,$A304))</x:f>
      </x:c>
      <x:c r="I304" s="25"/>
      <x:c r="J304" s="25"/>
      <x:c r="K304" s="96" t="str">
        <x:f>IF($A304="","",$H304-$I304+$J304)</x:f>
      </x:c>
      <x:c r="L304" s="116" t="str">
        <x:f>IF($A304="","",IF(SUMIFS('Payments'!$C$2:$C$500,'Payments'!$B$2:$B$500,$A304,'Payments'!$G$2:$G$500,"confirmed")&lt;=0,"unpaid",IF(SUMIFS('Payments'!$C$2:$C$500,'Payments'!$B$2:$B$500,$A304,'Payments'!$G$2:$G$500,"confirmed")&gt;=$K304,"paid","partial")))</x:f>
      </x:c>
      <x:c r="M304" s="19"/>
      <x:c r="N304" s="26"/>
      <x:c r="O304" s="26"/>
      <x:c r="P304" s="19"/>
      <x:c r="Q304" s="26"/>
      <x:c r="R304" s="19"/>
      <x:c r="S304" s="26"/>
      <x:c r="T304" s="19"/>
      <x:c r="U304" s="19"/>
    </x:row>
    <x:row r="305">
      <x:c r="A305" s="19"/>
      <x:c r="B305" s="19"/>
      <x:c r="C305" s="19"/>
      <x:c r="D305" s="19"/>
      <x:c r="E305" s="19"/>
      <x:c r="F305" s="19"/>
      <x:c r="G305" s="26"/>
      <x:c r="H305" s="96" t="str">
        <x:f>IF($A305="","",SUMIFS('OrderItems'!$I$2:$I$500,'OrderItems'!$B$2:$B$500,$A305))</x:f>
      </x:c>
      <x:c r="I305" s="25"/>
      <x:c r="J305" s="25"/>
      <x:c r="K305" s="96" t="str">
        <x:f>IF($A305="","",$H305-$I305+$J305)</x:f>
      </x:c>
      <x:c r="L305" s="116" t="str">
        <x:f>IF($A305="","",IF(SUMIFS('Payments'!$C$2:$C$500,'Payments'!$B$2:$B$500,$A305,'Payments'!$G$2:$G$500,"confirmed")&lt;=0,"unpaid",IF(SUMIFS('Payments'!$C$2:$C$500,'Payments'!$B$2:$B$500,$A305,'Payments'!$G$2:$G$500,"confirmed")&gt;=$K305,"paid","partial")))</x:f>
      </x:c>
      <x:c r="M305" s="19"/>
      <x:c r="N305" s="26"/>
      <x:c r="O305" s="26"/>
      <x:c r="P305" s="19"/>
      <x:c r="Q305" s="26"/>
      <x:c r="R305" s="19"/>
      <x:c r="S305" s="26"/>
      <x:c r="T305" s="19"/>
      <x:c r="U305" s="19"/>
    </x:row>
    <x:row r="306">
      <x:c r="A306" s="19"/>
      <x:c r="B306" s="19"/>
      <x:c r="C306" s="19"/>
      <x:c r="D306" s="19"/>
      <x:c r="E306" s="19"/>
      <x:c r="F306" s="19"/>
      <x:c r="G306" s="26"/>
      <x:c r="H306" s="96" t="str">
        <x:f>IF($A306="","",SUMIFS('OrderItems'!$I$2:$I$500,'OrderItems'!$B$2:$B$500,$A306))</x:f>
      </x:c>
      <x:c r="I306" s="25"/>
      <x:c r="J306" s="25"/>
      <x:c r="K306" s="96" t="str">
        <x:f>IF($A306="","",$H306-$I306+$J306)</x:f>
      </x:c>
      <x:c r="L306" s="116" t="str">
        <x:f>IF($A306="","",IF(SUMIFS('Payments'!$C$2:$C$500,'Payments'!$B$2:$B$500,$A306,'Payments'!$G$2:$G$500,"confirmed")&lt;=0,"unpaid",IF(SUMIFS('Payments'!$C$2:$C$500,'Payments'!$B$2:$B$500,$A306,'Payments'!$G$2:$G$500,"confirmed")&gt;=$K306,"paid","partial")))</x:f>
      </x:c>
      <x:c r="M306" s="19"/>
      <x:c r="N306" s="26"/>
      <x:c r="O306" s="26"/>
      <x:c r="P306" s="19"/>
      <x:c r="Q306" s="26"/>
      <x:c r="R306" s="19"/>
      <x:c r="S306" s="26"/>
      <x:c r="T306" s="19"/>
      <x:c r="U306" s="19"/>
    </x:row>
    <x:row r="307">
      <x:c r="A307" s="19"/>
      <x:c r="B307" s="19"/>
      <x:c r="C307" s="19"/>
      <x:c r="D307" s="19"/>
      <x:c r="E307" s="19"/>
      <x:c r="F307" s="19"/>
      <x:c r="G307" s="26"/>
      <x:c r="H307" s="96" t="str">
        <x:f>IF($A307="","",SUMIFS('OrderItems'!$I$2:$I$500,'OrderItems'!$B$2:$B$500,$A307))</x:f>
      </x:c>
      <x:c r="I307" s="25"/>
      <x:c r="J307" s="25"/>
      <x:c r="K307" s="96" t="str">
        <x:f>IF($A307="","",$H307-$I307+$J307)</x:f>
      </x:c>
      <x:c r="L307" s="116" t="str">
        <x:f>IF($A307="","",IF(SUMIFS('Payments'!$C$2:$C$500,'Payments'!$B$2:$B$500,$A307,'Payments'!$G$2:$G$500,"confirmed")&lt;=0,"unpaid",IF(SUMIFS('Payments'!$C$2:$C$500,'Payments'!$B$2:$B$500,$A307,'Payments'!$G$2:$G$500,"confirmed")&gt;=$K307,"paid","partial")))</x:f>
      </x:c>
      <x:c r="M307" s="19"/>
      <x:c r="N307" s="26"/>
      <x:c r="O307" s="26"/>
      <x:c r="P307" s="19"/>
      <x:c r="Q307" s="26"/>
      <x:c r="R307" s="19"/>
      <x:c r="S307" s="26"/>
      <x:c r="T307" s="19"/>
      <x:c r="U307" s="19"/>
    </x:row>
    <x:row r="308">
      <x:c r="A308" s="19"/>
      <x:c r="B308" s="19"/>
      <x:c r="C308" s="19"/>
      <x:c r="D308" s="19"/>
      <x:c r="E308" s="19"/>
      <x:c r="F308" s="19"/>
      <x:c r="G308" s="26"/>
      <x:c r="H308" s="96" t="str">
        <x:f>IF($A308="","",SUMIFS('OrderItems'!$I$2:$I$500,'OrderItems'!$B$2:$B$500,$A308))</x:f>
      </x:c>
      <x:c r="I308" s="25"/>
      <x:c r="J308" s="25"/>
      <x:c r="K308" s="96" t="str">
        <x:f>IF($A308="","",$H308-$I308+$J308)</x:f>
      </x:c>
      <x:c r="L308" s="116" t="str">
        <x:f>IF($A308="","",IF(SUMIFS('Payments'!$C$2:$C$500,'Payments'!$B$2:$B$500,$A308,'Payments'!$G$2:$G$500,"confirmed")&lt;=0,"unpaid",IF(SUMIFS('Payments'!$C$2:$C$500,'Payments'!$B$2:$B$500,$A308,'Payments'!$G$2:$G$500,"confirmed")&gt;=$K308,"paid","partial")))</x:f>
      </x:c>
      <x:c r="M308" s="19"/>
      <x:c r="N308" s="26"/>
      <x:c r="O308" s="26"/>
      <x:c r="P308" s="19"/>
      <x:c r="Q308" s="26"/>
      <x:c r="R308" s="19"/>
      <x:c r="S308" s="26"/>
      <x:c r="T308" s="19"/>
      <x:c r="U308" s="19"/>
    </x:row>
    <x:row r="309">
      <x:c r="A309" s="19"/>
      <x:c r="B309" s="19"/>
      <x:c r="C309" s="19"/>
      <x:c r="D309" s="19"/>
      <x:c r="E309" s="19"/>
      <x:c r="F309" s="19"/>
      <x:c r="G309" s="26"/>
      <x:c r="H309" s="96" t="str">
        <x:f>IF($A309="","",SUMIFS('OrderItems'!$I$2:$I$500,'OrderItems'!$B$2:$B$500,$A309))</x:f>
      </x:c>
      <x:c r="I309" s="25"/>
      <x:c r="J309" s="25"/>
      <x:c r="K309" s="96" t="str">
        <x:f>IF($A309="","",$H309-$I309+$J309)</x:f>
      </x:c>
      <x:c r="L309" s="116" t="str">
        <x:f>IF($A309="","",IF(SUMIFS('Payments'!$C$2:$C$500,'Payments'!$B$2:$B$500,$A309,'Payments'!$G$2:$G$500,"confirmed")&lt;=0,"unpaid",IF(SUMIFS('Payments'!$C$2:$C$500,'Payments'!$B$2:$B$500,$A309,'Payments'!$G$2:$G$500,"confirmed")&gt;=$K309,"paid","partial")))</x:f>
      </x:c>
      <x:c r="M309" s="19"/>
      <x:c r="N309" s="26"/>
      <x:c r="O309" s="26"/>
      <x:c r="P309" s="19"/>
      <x:c r="Q309" s="26"/>
      <x:c r="R309" s="19"/>
      <x:c r="S309" s="26"/>
      <x:c r="T309" s="19"/>
      <x:c r="U309" s="19"/>
    </x:row>
    <x:row r="310">
      <x:c r="A310" s="19"/>
      <x:c r="B310" s="19"/>
      <x:c r="C310" s="19"/>
      <x:c r="D310" s="19"/>
      <x:c r="E310" s="19"/>
      <x:c r="F310" s="19"/>
      <x:c r="G310" s="26"/>
      <x:c r="H310" s="96" t="str">
        <x:f>IF($A310="","",SUMIFS('OrderItems'!$I$2:$I$500,'OrderItems'!$B$2:$B$500,$A310))</x:f>
      </x:c>
      <x:c r="I310" s="25"/>
      <x:c r="J310" s="25"/>
      <x:c r="K310" s="96" t="str">
        <x:f>IF($A310="","",$H310-$I310+$J310)</x:f>
      </x:c>
      <x:c r="L310" s="116" t="str">
        <x:f>IF($A310="","",IF(SUMIFS('Payments'!$C$2:$C$500,'Payments'!$B$2:$B$500,$A310,'Payments'!$G$2:$G$500,"confirmed")&lt;=0,"unpaid",IF(SUMIFS('Payments'!$C$2:$C$500,'Payments'!$B$2:$B$500,$A310,'Payments'!$G$2:$G$500,"confirmed")&gt;=$K310,"paid","partial")))</x:f>
      </x:c>
      <x:c r="M310" s="19"/>
      <x:c r="N310" s="26"/>
      <x:c r="O310" s="26"/>
      <x:c r="P310" s="19"/>
      <x:c r="Q310" s="26"/>
      <x:c r="R310" s="19"/>
      <x:c r="S310" s="26"/>
      <x:c r="T310" s="19"/>
      <x:c r="U310" s="19"/>
    </x:row>
    <x:row r="311">
      <x:c r="A311" s="19"/>
      <x:c r="B311" s="19"/>
      <x:c r="C311" s="19"/>
      <x:c r="D311" s="19"/>
      <x:c r="E311" s="19"/>
      <x:c r="F311" s="19"/>
      <x:c r="G311" s="26"/>
      <x:c r="H311" s="96" t="str">
        <x:f>IF($A311="","",SUMIFS('OrderItems'!$I$2:$I$500,'OrderItems'!$B$2:$B$500,$A311))</x:f>
      </x:c>
      <x:c r="I311" s="25"/>
      <x:c r="J311" s="25"/>
      <x:c r="K311" s="96" t="str">
        <x:f>IF($A311="","",$H311-$I311+$J311)</x:f>
      </x:c>
      <x:c r="L311" s="116" t="str">
        <x:f>IF($A311="","",IF(SUMIFS('Payments'!$C$2:$C$500,'Payments'!$B$2:$B$500,$A311,'Payments'!$G$2:$G$500,"confirmed")&lt;=0,"unpaid",IF(SUMIFS('Payments'!$C$2:$C$500,'Payments'!$B$2:$B$500,$A311,'Payments'!$G$2:$G$500,"confirmed")&gt;=$K311,"paid","partial")))</x:f>
      </x:c>
      <x:c r="M311" s="19"/>
      <x:c r="N311" s="26"/>
      <x:c r="O311" s="26"/>
      <x:c r="P311" s="19"/>
      <x:c r="Q311" s="26"/>
      <x:c r="R311" s="19"/>
      <x:c r="S311" s="26"/>
      <x:c r="T311" s="19"/>
      <x:c r="U311" s="19"/>
    </x:row>
    <x:row r="312">
      <x:c r="A312" s="19"/>
      <x:c r="B312" s="19"/>
      <x:c r="C312" s="19"/>
      <x:c r="D312" s="19"/>
      <x:c r="E312" s="19"/>
      <x:c r="F312" s="19"/>
      <x:c r="G312" s="26"/>
      <x:c r="H312" s="96" t="str">
        <x:f>IF($A312="","",SUMIFS('OrderItems'!$I$2:$I$500,'OrderItems'!$B$2:$B$500,$A312))</x:f>
      </x:c>
      <x:c r="I312" s="25"/>
      <x:c r="J312" s="25"/>
      <x:c r="K312" s="96" t="str">
        <x:f>IF($A312="","",$H312-$I312+$J312)</x:f>
      </x:c>
      <x:c r="L312" s="116" t="str">
        <x:f>IF($A312="","",IF(SUMIFS('Payments'!$C$2:$C$500,'Payments'!$B$2:$B$500,$A312,'Payments'!$G$2:$G$500,"confirmed")&lt;=0,"unpaid",IF(SUMIFS('Payments'!$C$2:$C$500,'Payments'!$B$2:$B$500,$A312,'Payments'!$G$2:$G$500,"confirmed")&gt;=$K312,"paid","partial")))</x:f>
      </x:c>
      <x:c r="M312" s="19"/>
      <x:c r="N312" s="26"/>
      <x:c r="O312" s="26"/>
      <x:c r="P312" s="19"/>
      <x:c r="Q312" s="26"/>
      <x:c r="R312" s="19"/>
      <x:c r="S312" s="26"/>
      <x:c r="T312" s="19"/>
      <x:c r="U312" s="19"/>
    </x:row>
    <x:row r="313">
      <x:c r="A313" s="19"/>
      <x:c r="B313" s="19"/>
      <x:c r="C313" s="19"/>
      <x:c r="D313" s="19"/>
      <x:c r="E313" s="19"/>
      <x:c r="F313" s="19"/>
      <x:c r="G313" s="26"/>
      <x:c r="H313" s="96" t="str">
        <x:f>IF($A313="","",SUMIFS('OrderItems'!$I$2:$I$500,'OrderItems'!$B$2:$B$500,$A313))</x:f>
      </x:c>
      <x:c r="I313" s="25"/>
      <x:c r="J313" s="25"/>
      <x:c r="K313" s="96" t="str">
        <x:f>IF($A313="","",$H313-$I313+$J313)</x:f>
      </x:c>
      <x:c r="L313" s="116" t="str">
        <x:f>IF($A313="","",IF(SUMIFS('Payments'!$C$2:$C$500,'Payments'!$B$2:$B$500,$A313,'Payments'!$G$2:$G$500,"confirmed")&lt;=0,"unpaid",IF(SUMIFS('Payments'!$C$2:$C$500,'Payments'!$B$2:$B$500,$A313,'Payments'!$G$2:$G$500,"confirmed")&gt;=$K313,"paid","partial")))</x:f>
      </x:c>
      <x:c r="M313" s="19"/>
      <x:c r="N313" s="26"/>
      <x:c r="O313" s="26"/>
      <x:c r="P313" s="19"/>
      <x:c r="Q313" s="26"/>
      <x:c r="R313" s="19"/>
      <x:c r="S313" s="26"/>
      <x:c r="T313" s="19"/>
      <x:c r="U313" s="19"/>
    </x:row>
    <x:row r="314">
      <x:c r="A314" s="19"/>
      <x:c r="B314" s="19"/>
      <x:c r="C314" s="19"/>
      <x:c r="D314" s="19"/>
      <x:c r="E314" s="19"/>
      <x:c r="F314" s="19"/>
      <x:c r="G314" s="26"/>
      <x:c r="H314" s="96" t="str">
        <x:f>IF($A314="","",SUMIFS('OrderItems'!$I$2:$I$500,'OrderItems'!$B$2:$B$500,$A314))</x:f>
      </x:c>
      <x:c r="I314" s="25"/>
      <x:c r="J314" s="25"/>
      <x:c r="K314" s="96" t="str">
        <x:f>IF($A314="","",$H314-$I314+$J314)</x:f>
      </x:c>
      <x:c r="L314" s="116" t="str">
        <x:f>IF($A314="","",IF(SUMIFS('Payments'!$C$2:$C$500,'Payments'!$B$2:$B$500,$A314,'Payments'!$G$2:$G$500,"confirmed")&lt;=0,"unpaid",IF(SUMIFS('Payments'!$C$2:$C$500,'Payments'!$B$2:$B$500,$A314,'Payments'!$G$2:$G$500,"confirmed")&gt;=$K314,"paid","partial")))</x:f>
      </x:c>
      <x:c r="M314" s="19"/>
      <x:c r="N314" s="26"/>
      <x:c r="O314" s="26"/>
      <x:c r="P314" s="19"/>
      <x:c r="Q314" s="26"/>
      <x:c r="R314" s="19"/>
      <x:c r="S314" s="26"/>
      <x:c r="T314" s="19"/>
      <x:c r="U314" s="19"/>
    </x:row>
    <x:row r="315">
      <x:c r="A315" s="19"/>
      <x:c r="B315" s="19"/>
      <x:c r="C315" s="19"/>
      <x:c r="D315" s="19"/>
      <x:c r="E315" s="19"/>
      <x:c r="F315" s="19"/>
      <x:c r="G315" s="26"/>
      <x:c r="H315" s="96" t="str">
        <x:f>IF($A315="","",SUMIFS('OrderItems'!$I$2:$I$500,'OrderItems'!$B$2:$B$500,$A315))</x:f>
      </x:c>
      <x:c r="I315" s="25"/>
      <x:c r="J315" s="25"/>
      <x:c r="K315" s="96" t="str">
        <x:f>IF($A315="","",$H315-$I315+$J315)</x:f>
      </x:c>
      <x:c r="L315" s="116" t="str">
        <x:f>IF($A315="","",IF(SUMIFS('Payments'!$C$2:$C$500,'Payments'!$B$2:$B$500,$A315,'Payments'!$G$2:$G$500,"confirmed")&lt;=0,"unpaid",IF(SUMIFS('Payments'!$C$2:$C$500,'Payments'!$B$2:$B$500,$A315,'Payments'!$G$2:$G$500,"confirmed")&gt;=$K315,"paid","partial")))</x:f>
      </x:c>
      <x:c r="M315" s="19"/>
      <x:c r="N315" s="26"/>
      <x:c r="O315" s="26"/>
      <x:c r="P315" s="19"/>
      <x:c r="Q315" s="26"/>
      <x:c r="R315" s="19"/>
      <x:c r="S315" s="26"/>
      <x:c r="T315" s="19"/>
      <x:c r="U315" s="19"/>
    </x:row>
    <x:row r="316">
      <x:c r="A316" s="19"/>
      <x:c r="B316" s="19"/>
      <x:c r="C316" s="19"/>
      <x:c r="D316" s="19"/>
      <x:c r="E316" s="19"/>
      <x:c r="F316" s="19"/>
      <x:c r="G316" s="26"/>
      <x:c r="H316" s="96" t="str">
        <x:f>IF($A316="","",SUMIFS('OrderItems'!$I$2:$I$500,'OrderItems'!$B$2:$B$500,$A316))</x:f>
      </x:c>
      <x:c r="I316" s="25"/>
      <x:c r="J316" s="25"/>
      <x:c r="K316" s="96" t="str">
        <x:f>IF($A316="","",$H316-$I316+$J316)</x:f>
      </x:c>
      <x:c r="L316" s="116" t="str">
        <x:f>IF($A316="","",IF(SUMIFS('Payments'!$C$2:$C$500,'Payments'!$B$2:$B$500,$A316,'Payments'!$G$2:$G$500,"confirmed")&lt;=0,"unpaid",IF(SUMIFS('Payments'!$C$2:$C$500,'Payments'!$B$2:$B$500,$A316,'Payments'!$G$2:$G$500,"confirmed")&gt;=$K316,"paid","partial")))</x:f>
      </x:c>
      <x:c r="M316" s="19"/>
      <x:c r="N316" s="26"/>
      <x:c r="O316" s="26"/>
      <x:c r="P316" s="19"/>
      <x:c r="Q316" s="26"/>
      <x:c r="R316" s="19"/>
      <x:c r="S316" s="26"/>
      <x:c r="T316" s="19"/>
      <x:c r="U316" s="19"/>
    </x:row>
    <x:row r="317">
      <x:c r="A317" s="19"/>
      <x:c r="B317" s="19"/>
      <x:c r="C317" s="19"/>
      <x:c r="D317" s="19"/>
      <x:c r="E317" s="19"/>
      <x:c r="F317" s="19"/>
      <x:c r="G317" s="26"/>
      <x:c r="H317" s="96" t="str">
        <x:f>IF($A317="","",SUMIFS('OrderItems'!$I$2:$I$500,'OrderItems'!$B$2:$B$500,$A317))</x:f>
      </x:c>
      <x:c r="I317" s="25"/>
      <x:c r="J317" s="25"/>
      <x:c r="K317" s="96" t="str">
        <x:f>IF($A317="","",$H317-$I317+$J317)</x:f>
      </x:c>
      <x:c r="L317" s="116" t="str">
        <x:f>IF($A317="","",IF(SUMIFS('Payments'!$C$2:$C$500,'Payments'!$B$2:$B$500,$A317,'Payments'!$G$2:$G$500,"confirmed")&lt;=0,"unpaid",IF(SUMIFS('Payments'!$C$2:$C$500,'Payments'!$B$2:$B$500,$A317,'Payments'!$G$2:$G$500,"confirmed")&gt;=$K317,"paid","partial")))</x:f>
      </x:c>
      <x:c r="M317" s="19"/>
      <x:c r="N317" s="26"/>
      <x:c r="O317" s="26"/>
      <x:c r="P317" s="19"/>
      <x:c r="Q317" s="26"/>
      <x:c r="R317" s="19"/>
      <x:c r="S317" s="26"/>
      <x:c r="T317" s="19"/>
      <x:c r="U317" s="19"/>
    </x:row>
    <x:row r="318">
      <x:c r="A318" s="19"/>
      <x:c r="B318" s="19"/>
      <x:c r="C318" s="19"/>
      <x:c r="D318" s="19"/>
      <x:c r="E318" s="19"/>
      <x:c r="F318" s="19"/>
      <x:c r="G318" s="26"/>
      <x:c r="H318" s="96" t="str">
        <x:f>IF($A318="","",SUMIFS('OrderItems'!$I$2:$I$500,'OrderItems'!$B$2:$B$500,$A318))</x:f>
      </x:c>
      <x:c r="I318" s="25"/>
      <x:c r="J318" s="25"/>
      <x:c r="K318" s="96" t="str">
        <x:f>IF($A318="","",$H318-$I318+$J318)</x:f>
      </x:c>
      <x:c r="L318" s="116" t="str">
        <x:f>IF($A318="","",IF(SUMIFS('Payments'!$C$2:$C$500,'Payments'!$B$2:$B$500,$A318,'Payments'!$G$2:$G$500,"confirmed")&lt;=0,"unpaid",IF(SUMIFS('Payments'!$C$2:$C$500,'Payments'!$B$2:$B$500,$A318,'Payments'!$G$2:$G$500,"confirmed")&gt;=$K318,"paid","partial")))</x:f>
      </x:c>
      <x:c r="M318" s="19"/>
      <x:c r="N318" s="26"/>
      <x:c r="O318" s="26"/>
      <x:c r="P318" s="19"/>
      <x:c r="Q318" s="26"/>
      <x:c r="R318" s="19"/>
      <x:c r="S318" s="26"/>
      <x:c r="T318" s="19"/>
      <x:c r="U318" s="19"/>
    </x:row>
    <x:row r="319">
      <x:c r="A319" s="19"/>
      <x:c r="B319" s="19"/>
      <x:c r="C319" s="19"/>
      <x:c r="D319" s="19"/>
      <x:c r="E319" s="19"/>
      <x:c r="F319" s="19"/>
      <x:c r="G319" s="26"/>
      <x:c r="H319" s="96" t="str">
        <x:f>IF($A319="","",SUMIFS('OrderItems'!$I$2:$I$500,'OrderItems'!$B$2:$B$500,$A319))</x:f>
      </x:c>
      <x:c r="I319" s="25"/>
      <x:c r="J319" s="25"/>
      <x:c r="K319" s="96" t="str">
        <x:f>IF($A319="","",$H319-$I319+$J319)</x:f>
      </x:c>
      <x:c r="L319" s="116" t="str">
        <x:f>IF($A319="","",IF(SUMIFS('Payments'!$C$2:$C$500,'Payments'!$B$2:$B$500,$A319,'Payments'!$G$2:$G$500,"confirmed")&lt;=0,"unpaid",IF(SUMIFS('Payments'!$C$2:$C$500,'Payments'!$B$2:$B$500,$A319,'Payments'!$G$2:$G$500,"confirmed")&gt;=$K319,"paid","partial")))</x:f>
      </x:c>
      <x:c r="M319" s="19"/>
      <x:c r="N319" s="26"/>
      <x:c r="O319" s="26"/>
      <x:c r="P319" s="19"/>
      <x:c r="Q319" s="26"/>
      <x:c r="R319" s="19"/>
      <x:c r="S319" s="26"/>
      <x:c r="T319" s="19"/>
      <x:c r="U319" s="19"/>
    </x:row>
    <x:row r="320">
      <x:c r="A320" s="19"/>
      <x:c r="B320" s="19"/>
      <x:c r="C320" s="19"/>
      <x:c r="D320" s="19"/>
      <x:c r="E320" s="19"/>
      <x:c r="F320" s="19"/>
      <x:c r="G320" s="26"/>
      <x:c r="H320" s="96" t="str">
        <x:f>IF($A320="","",SUMIFS('OrderItems'!$I$2:$I$500,'OrderItems'!$B$2:$B$500,$A320))</x:f>
      </x:c>
      <x:c r="I320" s="25"/>
      <x:c r="J320" s="25"/>
      <x:c r="K320" s="96" t="str">
        <x:f>IF($A320="","",$H320-$I320+$J320)</x:f>
      </x:c>
      <x:c r="L320" s="116" t="str">
        <x:f>IF($A320="","",IF(SUMIFS('Payments'!$C$2:$C$500,'Payments'!$B$2:$B$500,$A320,'Payments'!$G$2:$G$500,"confirmed")&lt;=0,"unpaid",IF(SUMIFS('Payments'!$C$2:$C$500,'Payments'!$B$2:$B$500,$A320,'Payments'!$G$2:$G$500,"confirmed")&gt;=$K320,"paid","partial")))</x:f>
      </x:c>
      <x:c r="M320" s="19"/>
      <x:c r="N320" s="26"/>
      <x:c r="O320" s="26"/>
      <x:c r="P320" s="19"/>
      <x:c r="Q320" s="26"/>
      <x:c r="R320" s="19"/>
      <x:c r="S320" s="26"/>
      <x:c r="T320" s="19"/>
      <x:c r="U320" s="19"/>
    </x:row>
    <x:row r="321">
      <x:c r="A321" s="19"/>
      <x:c r="B321" s="19"/>
      <x:c r="C321" s="19"/>
      <x:c r="D321" s="19"/>
      <x:c r="E321" s="19"/>
      <x:c r="F321" s="19"/>
      <x:c r="G321" s="26"/>
      <x:c r="H321" s="96" t="str">
        <x:f>IF($A321="","",SUMIFS('OrderItems'!$I$2:$I$500,'OrderItems'!$B$2:$B$500,$A321))</x:f>
      </x:c>
      <x:c r="I321" s="25"/>
      <x:c r="J321" s="25"/>
      <x:c r="K321" s="96" t="str">
        <x:f>IF($A321="","",$H321-$I321+$J321)</x:f>
      </x:c>
      <x:c r="L321" s="116" t="str">
        <x:f>IF($A321="","",IF(SUMIFS('Payments'!$C$2:$C$500,'Payments'!$B$2:$B$500,$A321,'Payments'!$G$2:$G$500,"confirmed")&lt;=0,"unpaid",IF(SUMIFS('Payments'!$C$2:$C$500,'Payments'!$B$2:$B$500,$A321,'Payments'!$G$2:$G$500,"confirmed")&gt;=$K321,"paid","partial")))</x:f>
      </x:c>
      <x:c r="M321" s="19"/>
      <x:c r="N321" s="26"/>
      <x:c r="O321" s="26"/>
      <x:c r="P321" s="19"/>
      <x:c r="Q321" s="26"/>
      <x:c r="R321" s="19"/>
      <x:c r="S321" s="26"/>
      <x:c r="T321" s="19"/>
      <x:c r="U321" s="19"/>
    </x:row>
    <x:row r="322">
      <x:c r="A322" s="19"/>
      <x:c r="B322" s="19"/>
      <x:c r="C322" s="19"/>
      <x:c r="D322" s="19"/>
      <x:c r="E322" s="19"/>
      <x:c r="F322" s="19"/>
      <x:c r="G322" s="26"/>
      <x:c r="H322" s="96" t="str">
        <x:f>IF($A322="","",SUMIFS('OrderItems'!$I$2:$I$500,'OrderItems'!$B$2:$B$500,$A322))</x:f>
      </x:c>
      <x:c r="I322" s="25"/>
      <x:c r="J322" s="25"/>
      <x:c r="K322" s="96" t="str">
        <x:f>IF($A322="","",$H322-$I322+$J322)</x:f>
      </x:c>
      <x:c r="L322" s="116" t="str">
        <x:f>IF($A322="","",IF(SUMIFS('Payments'!$C$2:$C$500,'Payments'!$B$2:$B$500,$A322,'Payments'!$G$2:$G$500,"confirmed")&lt;=0,"unpaid",IF(SUMIFS('Payments'!$C$2:$C$500,'Payments'!$B$2:$B$500,$A322,'Payments'!$G$2:$G$500,"confirmed")&gt;=$K322,"paid","partial")))</x:f>
      </x:c>
      <x:c r="M322" s="19"/>
      <x:c r="N322" s="26"/>
      <x:c r="O322" s="26"/>
      <x:c r="P322" s="19"/>
      <x:c r="Q322" s="26"/>
      <x:c r="R322" s="19"/>
      <x:c r="S322" s="26"/>
      <x:c r="T322" s="19"/>
      <x:c r="U322" s="19"/>
    </x:row>
    <x:row r="323">
      <x:c r="A323" s="19"/>
      <x:c r="B323" s="19"/>
      <x:c r="C323" s="19"/>
      <x:c r="D323" s="19"/>
      <x:c r="E323" s="19"/>
      <x:c r="F323" s="19"/>
      <x:c r="G323" s="26"/>
      <x:c r="H323" s="96" t="str">
        <x:f>IF($A323="","",SUMIFS('OrderItems'!$I$2:$I$500,'OrderItems'!$B$2:$B$500,$A323))</x:f>
      </x:c>
      <x:c r="I323" s="25"/>
      <x:c r="J323" s="25"/>
      <x:c r="K323" s="96" t="str">
        <x:f>IF($A323="","",$H323-$I323+$J323)</x:f>
      </x:c>
      <x:c r="L323" s="116" t="str">
        <x:f>IF($A323="","",IF(SUMIFS('Payments'!$C$2:$C$500,'Payments'!$B$2:$B$500,$A323,'Payments'!$G$2:$G$500,"confirmed")&lt;=0,"unpaid",IF(SUMIFS('Payments'!$C$2:$C$500,'Payments'!$B$2:$B$500,$A323,'Payments'!$G$2:$G$500,"confirmed")&gt;=$K323,"paid","partial")))</x:f>
      </x:c>
      <x:c r="M323" s="19"/>
      <x:c r="N323" s="26"/>
      <x:c r="O323" s="26"/>
      <x:c r="P323" s="19"/>
      <x:c r="Q323" s="26"/>
      <x:c r="R323" s="19"/>
      <x:c r="S323" s="26"/>
      <x:c r="T323" s="19"/>
      <x:c r="U323" s="19"/>
    </x:row>
    <x:row r="324">
      <x:c r="A324" s="19"/>
      <x:c r="B324" s="19"/>
      <x:c r="C324" s="19"/>
      <x:c r="D324" s="19"/>
      <x:c r="E324" s="19"/>
      <x:c r="F324" s="19"/>
      <x:c r="G324" s="26"/>
      <x:c r="H324" s="96" t="str">
        <x:f>IF($A324="","",SUMIFS('OrderItems'!$I$2:$I$500,'OrderItems'!$B$2:$B$500,$A324))</x:f>
      </x:c>
      <x:c r="I324" s="25"/>
      <x:c r="J324" s="25"/>
      <x:c r="K324" s="96" t="str">
        <x:f>IF($A324="","",$H324-$I324+$J324)</x:f>
      </x:c>
      <x:c r="L324" s="116" t="str">
        <x:f>IF($A324="","",IF(SUMIFS('Payments'!$C$2:$C$500,'Payments'!$B$2:$B$500,$A324,'Payments'!$G$2:$G$500,"confirmed")&lt;=0,"unpaid",IF(SUMIFS('Payments'!$C$2:$C$500,'Payments'!$B$2:$B$500,$A324,'Payments'!$G$2:$G$500,"confirmed")&gt;=$K324,"paid","partial")))</x:f>
      </x:c>
      <x:c r="M324" s="19"/>
      <x:c r="N324" s="26"/>
      <x:c r="O324" s="26"/>
      <x:c r="P324" s="19"/>
      <x:c r="Q324" s="26"/>
      <x:c r="R324" s="19"/>
      <x:c r="S324" s="26"/>
      <x:c r="T324" s="19"/>
      <x:c r="U324" s="19"/>
    </x:row>
    <x:row r="325">
      <x:c r="A325" s="19"/>
      <x:c r="B325" s="19"/>
      <x:c r="C325" s="19"/>
      <x:c r="D325" s="19"/>
      <x:c r="E325" s="19"/>
      <x:c r="F325" s="19"/>
      <x:c r="G325" s="26"/>
      <x:c r="H325" s="96" t="str">
        <x:f>IF($A325="","",SUMIFS('OrderItems'!$I$2:$I$500,'OrderItems'!$B$2:$B$500,$A325))</x:f>
      </x:c>
      <x:c r="I325" s="25"/>
      <x:c r="J325" s="25"/>
      <x:c r="K325" s="96" t="str">
        <x:f>IF($A325="","",$H325-$I325+$J325)</x:f>
      </x:c>
      <x:c r="L325" s="116" t="str">
        <x:f>IF($A325="","",IF(SUMIFS('Payments'!$C$2:$C$500,'Payments'!$B$2:$B$500,$A325,'Payments'!$G$2:$G$500,"confirmed")&lt;=0,"unpaid",IF(SUMIFS('Payments'!$C$2:$C$500,'Payments'!$B$2:$B$500,$A325,'Payments'!$G$2:$G$500,"confirmed")&gt;=$K325,"paid","partial")))</x:f>
      </x:c>
      <x:c r="M325" s="19"/>
      <x:c r="N325" s="26"/>
      <x:c r="O325" s="26"/>
      <x:c r="P325" s="19"/>
      <x:c r="Q325" s="26"/>
      <x:c r="R325" s="19"/>
      <x:c r="S325" s="26"/>
      <x:c r="T325" s="19"/>
      <x:c r="U325" s="19"/>
    </x:row>
    <x:row r="326">
      <x:c r="A326" s="19"/>
      <x:c r="B326" s="19"/>
      <x:c r="C326" s="19"/>
      <x:c r="D326" s="19"/>
      <x:c r="E326" s="19"/>
      <x:c r="F326" s="19"/>
      <x:c r="G326" s="26"/>
      <x:c r="H326" s="96" t="str">
        <x:f>IF($A326="","",SUMIFS('OrderItems'!$I$2:$I$500,'OrderItems'!$B$2:$B$500,$A326))</x:f>
      </x:c>
      <x:c r="I326" s="25"/>
      <x:c r="J326" s="25"/>
      <x:c r="K326" s="96" t="str">
        <x:f>IF($A326="","",$H326-$I326+$J326)</x:f>
      </x:c>
      <x:c r="L326" s="116" t="str">
        <x:f>IF($A326="","",IF(SUMIFS('Payments'!$C$2:$C$500,'Payments'!$B$2:$B$500,$A326,'Payments'!$G$2:$G$500,"confirmed")&lt;=0,"unpaid",IF(SUMIFS('Payments'!$C$2:$C$500,'Payments'!$B$2:$B$500,$A326,'Payments'!$G$2:$G$500,"confirmed")&gt;=$K326,"paid","partial")))</x:f>
      </x:c>
      <x:c r="M326" s="19"/>
      <x:c r="N326" s="26"/>
      <x:c r="O326" s="26"/>
      <x:c r="P326" s="19"/>
      <x:c r="Q326" s="26"/>
      <x:c r="R326" s="19"/>
      <x:c r="S326" s="26"/>
      <x:c r="T326" s="19"/>
      <x:c r="U326" s="19"/>
    </x:row>
    <x:row r="327">
      <x:c r="A327" s="19"/>
      <x:c r="B327" s="19"/>
      <x:c r="C327" s="19"/>
      <x:c r="D327" s="19"/>
      <x:c r="E327" s="19"/>
      <x:c r="F327" s="19"/>
      <x:c r="G327" s="26"/>
      <x:c r="H327" s="96" t="str">
        <x:f>IF($A327="","",SUMIFS('OrderItems'!$I$2:$I$500,'OrderItems'!$B$2:$B$500,$A327))</x:f>
      </x:c>
      <x:c r="I327" s="25"/>
      <x:c r="J327" s="25"/>
      <x:c r="K327" s="96" t="str">
        <x:f>IF($A327="","",$H327-$I327+$J327)</x:f>
      </x:c>
      <x:c r="L327" s="116" t="str">
        <x:f>IF($A327="","",IF(SUMIFS('Payments'!$C$2:$C$500,'Payments'!$B$2:$B$500,$A327,'Payments'!$G$2:$G$500,"confirmed")&lt;=0,"unpaid",IF(SUMIFS('Payments'!$C$2:$C$500,'Payments'!$B$2:$B$500,$A327,'Payments'!$G$2:$G$500,"confirmed")&gt;=$K327,"paid","partial")))</x:f>
      </x:c>
      <x:c r="M327" s="19"/>
      <x:c r="N327" s="26"/>
      <x:c r="O327" s="26"/>
      <x:c r="P327" s="19"/>
      <x:c r="Q327" s="26"/>
      <x:c r="R327" s="19"/>
      <x:c r="S327" s="26"/>
      <x:c r="T327" s="19"/>
      <x:c r="U327" s="19"/>
    </x:row>
    <x:row r="328">
      <x:c r="A328" s="19"/>
      <x:c r="B328" s="19"/>
      <x:c r="C328" s="19"/>
      <x:c r="D328" s="19"/>
      <x:c r="E328" s="19"/>
      <x:c r="F328" s="19"/>
      <x:c r="G328" s="26"/>
      <x:c r="H328" s="96" t="str">
        <x:f>IF($A328="","",SUMIFS('OrderItems'!$I$2:$I$500,'OrderItems'!$B$2:$B$500,$A328))</x:f>
      </x:c>
      <x:c r="I328" s="25"/>
      <x:c r="J328" s="25"/>
      <x:c r="K328" s="96" t="str">
        <x:f>IF($A328="","",$H328-$I328+$J328)</x:f>
      </x:c>
      <x:c r="L328" s="116" t="str">
        <x:f>IF($A328="","",IF(SUMIFS('Payments'!$C$2:$C$500,'Payments'!$B$2:$B$500,$A328,'Payments'!$G$2:$G$500,"confirmed")&lt;=0,"unpaid",IF(SUMIFS('Payments'!$C$2:$C$500,'Payments'!$B$2:$B$500,$A328,'Payments'!$G$2:$G$500,"confirmed")&gt;=$K328,"paid","partial")))</x:f>
      </x:c>
      <x:c r="M328" s="19"/>
      <x:c r="N328" s="26"/>
      <x:c r="O328" s="26"/>
      <x:c r="P328" s="19"/>
      <x:c r="Q328" s="26"/>
      <x:c r="R328" s="19"/>
      <x:c r="S328" s="26"/>
      <x:c r="T328" s="19"/>
      <x:c r="U328" s="19"/>
    </x:row>
    <x:row r="329">
      <x:c r="A329" s="19"/>
      <x:c r="B329" s="19"/>
      <x:c r="C329" s="19"/>
      <x:c r="D329" s="19"/>
      <x:c r="E329" s="19"/>
      <x:c r="F329" s="19"/>
      <x:c r="G329" s="26"/>
      <x:c r="H329" s="96" t="str">
        <x:f>IF($A329="","",SUMIFS('OrderItems'!$I$2:$I$500,'OrderItems'!$B$2:$B$500,$A329))</x:f>
      </x:c>
      <x:c r="I329" s="25"/>
      <x:c r="J329" s="25"/>
      <x:c r="K329" s="96" t="str">
        <x:f>IF($A329="","",$H329-$I329+$J329)</x:f>
      </x:c>
      <x:c r="L329" s="116" t="str">
        <x:f>IF($A329="","",IF(SUMIFS('Payments'!$C$2:$C$500,'Payments'!$B$2:$B$500,$A329,'Payments'!$G$2:$G$500,"confirmed")&lt;=0,"unpaid",IF(SUMIFS('Payments'!$C$2:$C$500,'Payments'!$B$2:$B$500,$A329,'Payments'!$G$2:$G$500,"confirmed")&gt;=$K329,"paid","partial")))</x:f>
      </x:c>
      <x:c r="M329" s="19"/>
      <x:c r="N329" s="26"/>
      <x:c r="O329" s="26"/>
      <x:c r="P329" s="19"/>
      <x:c r="Q329" s="26"/>
      <x:c r="R329" s="19"/>
      <x:c r="S329" s="26"/>
      <x:c r="T329" s="19"/>
      <x:c r="U329" s="19"/>
    </x:row>
    <x:row r="330">
      <x:c r="A330" s="19"/>
      <x:c r="B330" s="19"/>
      <x:c r="C330" s="19"/>
      <x:c r="D330" s="19"/>
      <x:c r="E330" s="19"/>
      <x:c r="F330" s="19"/>
      <x:c r="G330" s="26"/>
      <x:c r="H330" s="96" t="str">
        <x:f>IF($A330="","",SUMIFS('OrderItems'!$I$2:$I$500,'OrderItems'!$B$2:$B$500,$A330))</x:f>
      </x:c>
      <x:c r="I330" s="25"/>
      <x:c r="J330" s="25"/>
      <x:c r="K330" s="96" t="str">
        <x:f>IF($A330="","",$H330-$I330+$J330)</x:f>
      </x:c>
      <x:c r="L330" s="116" t="str">
        <x:f>IF($A330="","",IF(SUMIFS('Payments'!$C$2:$C$500,'Payments'!$B$2:$B$500,$A330,'Payments'!$G$2:$G$500,"confirmed")&lt;=0,"unpaid",IF(SUMIFS('Payments'!$C$2:$C$500,'Payments'!$B$2:$B$500,$A330,'Payments'!$G$2:$G$500,"confirmed")&gt;=$K330,"paid","partial")))</x:f>
      </x:c>
      <x:c r="M330" s="19"/>
      <x:c r="N330" s="26"/>
      <x:c r="O330" s="26"/>
      <x:c r="P330" s="19"/>
      <x:c r="Q330" s="26"/>
      <x:c r="R330" s="19"/>
      <x:c r="S330" s="26"/>
      <x:c r="T330" s="19"/>
      <x:c r="U330" s="19"/>
    </x:row>
    <x:row r="331">
      <x:c r="A331" s="19"/>
      <x:c r="B331" s="19"/>
      <x:c r="C331" s="19"/>
      <x:c r="D331" s="19"/>
      <x:c r="E331" s="19"/>
      <x:c r="F331" s="19"/>
      <x:c r="G331" s="26"/>
      <x:c r="H331" s="96" t="str">
        <x:f>IF($A331="","",SUMIFS('OrderItems'!$I$2:$I$500,'OrderItems'!$B$2:$B$500,$A331))</x:f>
      </x:c>
      <x:c r="I331" s="25"/>
      <x:c r="J331" s="25"/>
      <x:c r="K331" s="96" t="str">
        <x:f>IF($A331="","",$H331-$I331+$J331)</x:f>
      </x:c>
      <x:c r="L331" s="116" t="str">
        <x:f>IF($A331="","",IF(SUMIFS('Payments'!$C$2:$C$500,'Payments'!$B$2:$B$500,$A331,'Payments'!$G$2:$G$500,"confirmed")&lt;=0,"unpaid",IF(SUMIFS('Payments'!$C$2:$C$500,'Payments'!$B$2:$B$500,$A331,'Payments'!$G$2:$G$500,"confirmed")&gt;=$K331,"paid","partial")))</x:f>
      </x:c>
      <x:c r="M331" s="19"/>
      <x:c r="N331" s="26"/>
      <x:c r="O331" s="26"/>
      <x:c r="P331" s="19"/>
      <x:c r="Q331" s="26"/>
      <x:c r="R331" s="19"/>
      <x:c r="S331" s="26"/>
      <x:c r="T331" s="19"/>
      <x:c r="U331" s="19"/>
    </x:row>
    <x:row r="332">
      <x:c r="A332" s="19"/>
      <x:c r="B332" s="19"/>
      <x:c r="C332" s="19"/>
      <x:c r="D332" s="19"/>
      <x:c r="E332" s="19"/>
      <x:c r="F332" s="19"/>
      <x:c r="G332" s="26"/>
      <x:c r="H332" s="96" t="str">
        <x:f>IF($A332="","",SUMIFS('OrderItems'!$I$2:$I$500,'OrderItems'!$B$2:$B$500,$A332))</x:f>
      </x:c>
      <x:c r="I332" s="25"/>
      <x:c r="J332" s="25"/>
      <x:c r="K332" s="96" t="str">
        <x:f>IF($A332="","",$H332-$I332+$J332)</x:f>
      </x:c>
      <x:c r="L332" s="116" t="str">
        <x:f>IF($A332="","",IF(SUMIFS('Payments'!$C$2:$C$500,'Payments'!$B$2:$B$500,$A332,'Payments'!$G$2:$G$500,"confirmed")&lt;=0,"unpaid",IF(SUMIFS('Payments'!$C$2:$C$500,'Payments'!$B$2:$B$500,$A332,'Payments'!$G$2:$G$500,"confirmed")&gt;=$K332,"paid","partial")))</x:f>
      </x:c>
      <x:c r="M332" s="19"/>
      <x:c r="N332" s="26"/>
      <x:c r="O332" s="26"/>
      <x:c r="P332" s="19"/>
      <x:c r="Q332" s="26"/>
      <x:c r="R332" s="19"/>
      <x:c r="S332" s="26"/>
      <x:c r="T332" s="19"/>
      <x:c r="U332" s="19"/>
    </x:row>
    <x:row r="333">
      <x:c r="A333" s="19"/>
      <x:c r="B333" s="19"/>
      <x:c r="C333" s="19"/>
      <x:c r="D333" s="19"/>
      <x:c r="E333" s="19"/>
      <x:c r="F333" s="19"/>
      <x:c r="G333" s="26"/>
      <x:c r="H333" s="96" t="str">
        <x:f>IF($A333="","",SUMIFS('OrderItems'!$I$2:$I$500,'OrderItems'!$B$2:$B$500,$A333))</x:f>
      </x:c>
      <x:c r="I333" s="25"/>
      <x:c r="J333" s="25"/>
      <x:c r="K333" s="96" t="str">
        <x:f>IF($A333="","",$H333-$I333+$J333)</x:f>
      </x:c>
      <x:c r="L333" s="116" t="str">
        <x:f>IF($A333="","",IF(SUMIFS('Payments'!$C$2:$C$500,'Payments'!$B$2:$B$500,$A333,'Payments'!$G$2:$G$500,"confirmed")&lt;=0,"unpaid",IF(SUMIFS('Payments'!$C$2:$C$500,'Payments'!$B$2:$B$500,$A333,'Payments'!$G$2:$G$500,"confirmed")&gt;=$K333,"paid","partial")))</x:f>
      </x:c>
      <x:c r="M333" s="19"/>
      <x:c r="N333" s="26"/>
      <x:c r="O333" s="26"/>
      <x:c r="P333" s="19"/>
      <x:c r="Q333" s="26"/>
      <x:c r="R333" s="19"/>
      <x:c r="S333" s="26"/>
      <x:c r="T333" s="19"/>
      <x:c r="U333" s="19"/>
    </x:row>
    <x:row r="334">
      <x:c r="A334" s="19"/>
      <x:c r="B334" s="19"/>
      <x:c r="C334" s="19"/>
      <x:c r="D334" s="19"/>
      <x:c r="E334" s="19"/>
      <x:c r="F334" s="19"/>
      <x:c r="G334" s="26"/>
      <x:c r="H334" s="96" t="str">
        <x:f>IF($A334="","",SUMIFS('OrderItems'!$I$2:$I$500,'OrderItems'!$B$2:$B$500,$A334))</x:f>
      </x:c>
      <x:c r="I334" s="25"/>
      <x:c r="J334" s="25"/>
      <x:c r="K334" s="96" t="str">
        <x:f>IF($A334="","",$H334-$I334+$J334)</x:f>
      </x:c>
      <x:c r="L334" s="116" t="str">
        <x:f>IF($A334="","",IF(SUMIFS('Payments'!$C$2:$C$500,'Payments'!$B$2:$B$500,$A334,'Payments'!$G$2:$G$500,"confirmed")&lt;=0,"unpaid",IF(SUMIFS('Payments'!$C$2:$C$500,'Payments'!$B$2:$B$500,$A334,'Payments'!$G$2:$G$500,"confirmed")&gt;=$K334,"paid","partial")))</x:f>
      </x:c>
      <x:c r="M334" s="19"/>
      <x:c r="N334" s="26"/>
      <x:c r="O334" s="26"/>
      <x:c r="P334" s="19"/>
      <x:c r="Q334" s="26"/>
      <x:c r="R334" s="19"/>
      <x:c r="S334" s="26"/>
      <x:c r="T334" s="19"/>
      <x:c r="U334" s="19"/>
    </x:row>
    <x:row r="335">
      <x:c r="A335" s="19"/>
      <x:c r="B335" s="19"/>
      <x:c r="C335" s="19"/>
      <x:c r="D335" s="19"/>
      <x:c r="E335" s="19"/>
      <x:c r="F335" s="19"/>
      <x:c r="G335" s="26"/>
      <x:c r="H335" s="96" t="str">
        <x:f>IF($A335="","",SUMIFS('OrderItems'!$I$2:$I$500,'OrderItems'!$B$2:$B$500,$A335))</x:f>
      </x:c>
      <x:c r="I335" s="25"/>
      <x:c r="J335" s="25"/>
      <x:c r="K335" s="96" t="str">
        <x:f>IF($A335="","",$H335-$I335+$J335)</x:f>
      </x:c>
      <x:c r="L335" s="116" t="str">
        <x:f>IF($A335="","",IF(SUMIFS('Payments'!$C$2:$C$500,'Payments'!$B$2:$B$500,$A335,'Payments'!$G$2:$G$500,"confirmed")&lt;=0,"unpaid",IF(SUMIFS('Payments'!$C$2:$C$500,'Payments'!$B$2:$B$500,$A335,'Payments'!$G$2:$G$500,"confirmed")&gt;=$K335,"paid","partial")))</x:f>
      </x:c>
      <x:c r="M335" s="19"/>
      <x:c r="N335" s="26"/>
      <x:c r="O335" s="26"/>
      <x:c r="P335" s="19"/>
      <x:c r="Q335" s="26"/>
      <x:c r="R335" s="19"/>
      <x:c r="S335" s="26"/>
      <x:c r="T335" s="19"/>
      <x:c r="U335" s="19"/>
    </x:row>
    <x:row r="336">
      <x:c r="A336" s="19"/>
      <x:c r="B336" s="19"/>
      <x:c r="C336" s="19"/>
      <x:c r="D336" s="19"/>
      <x:c r="E336" s="19"/>
      <x:c r="F336" s="19"/>
      <x:c r="G336" s="26"/>
      <x:c r="H336" s="96" t="str">
        <x:f>IF($A336="","",SUMIFS('OrderItems'!$I$2:$I$500,'OrderItems'!$B$2:$B$500,$A336))</x:f>
      </x:c>
      <x:c r="I336" s="25"/>
      <x:c r="J336" s="25"/>
      <x:c r="K336" s="96" t="str">
        <x:f>IF($A336="","",$H336-$I336+$J336)</x:f>
      </x:c>
      <x:c r="L336" s="116" t="str">
        <x:f>IF($A336="","",IF(SUMIFS('Payments'!$C$2:$C$500,'Payments'!$B$2:$B$500,$A336,'Payments'!$G$2:$G$500,"confirmed")&lt;=0,"unpaid",IF(SUMIFS('Payments'!$C$2:$C$500,'Payments'!$B$2:$B$500,$A336,'Payments'!$G$2:$G$500,"confirmed")&gt;=$K336,"paid","partial")))</x:f>
      </x:c>
      <x:c r="M336" s="19"/>
      <x:c r="N336" s="26"/>
      <x:c r="O336" s="26"/>
      <x:c r="P336" s="19"/>
      <x:c r="Q336" s="26"/>
      <x:c r="R336" s="19"/>
      <x:c r="S336" s="26"/>
      <x:c r="T336" s="19"/>
      <x:c r="U336" s="19"/>
    </x:row>
    <x:row r="337">
      <x:c r="A337" s="19"/>
      <x:c r="B337" s="19"/>
      <x:c r="C337" s="19"/>
      <x:c r="D337" s="19"/>
      <x:c r="E337" s="19"/>
      <x:c r="F337" s="19"/>
      <x:c r="G337" s="26"/>
      <x:c r="H337" s="96" t="str">
        <x:f>IF($A337="","",SUMIFS('OrderItems'!$I$2:$I$500,'OrderItems'!$B$2:$B$500,$A337))</x:f>
      </x:c>
      <x:c r="I337" s="25"/>
      <x:c r="J337" s="25"/>
      <x:c r="K337" s="96" t="str">
        <x:f>IF($A337="","",$H337-$I337+$J337)</x:f>
      </x:c>
      <x:c r="L337" s="116" t="str">
        <x:f>IF($A337="","",IF(SUMIFS('Payments'!$C$2:$C$500,'Payments'!$B$2:$B$500,$A337,'Payments'!$G$2:$G$500,"confirmed")&lt;=0,"unpaid",IF(SUMIFS('Payments'!$C$2:$C$500,'Payments'!$B$2:$B$500,$A337,'Payments'!$G$2:$G$500,"confirmed")&gt;=$K337,"paid","partial")))</x:f>
      </x:c>
      <x:c r="M337" s="19"/>
      <x:c r="N337" s="26"/>
      <x:c r="O337" s="26"/>
      <x:c r="P337" s="19"/>
      <x:c r="Q337" s="26"/>
      <x:c r="R337" s="19"/>
      <x:c r="S337" s="26"/>
      <x:c r="T337" s="19"/>
      <x:c r="U337" s="19"/>
    </x:row>
    <x:row r="338">
      <x:c r="A338" s="19"/>
      <x:c r="B338" s="19"/>
      <x:c r="C338" s="19"/>
      <x:c r="D338" s="19"/>
      <x:c r="E338" s="19"/>
      <x:c r="F338" s="19"/>
      <x:c r="G338" s="26"/>
      <x:c r="H338" s="96" t="str">
        <x:f>IF($A338="","",SUMIFS('OrderItems'!$I$2:$I$500,'OrderItems'!$B$2:$B$500,$A338))</x:f>
      </x:c>
      <x:c r="I338" s="25"/>
      <x:c r="J338" s="25"/>
      <x:c r="K338" s="96" t="str">
        <x:f>IF($A338="","",$H338-$I338+$J338)</x:f>
      </x:c>
      <x:c r="L338" s="116" t="str">
        <x:f>IF($A338="","",IF(SUMIFS('Payments'!$C$2:$C$500,'Payments'!$B$2:$B$500,$A338,'Payments'!$G$2:$G$500,"confirmed")&lt;=0,"unpaid",IF(SUMIFS('Payments'!$C$2:$C$500,'Payments'!$B$2:$B$500,$A338,'Payments'!$G$2:$G$500,"confirmed")&gt;=$K338,"paid","partial")))</x:f>
      </x:c>
      <x:c r="M338" s="19"/>
      <x:c r="N338" s="26"/>
      <x:c r="O338" s="26"/>
      <x:c r="P338" s="19"/>
      <x:c r="Q338" s="26"/>
      <x:c r="R338" s="19"/>
      <x:c r="S338" s="26"/>
      <x:c r="T338" s="19"/>
      <x:c r="U338" s="19"/>
    </x:row>
    <x:row r="339">
      <x:c r="A339" s="19"/>
      <x:c r="B339" s="19"/>
      <x:c r="C339" s="19"/>
      <x:c r="D339" s="19"/>
      <x:c r="E339" s="19"/>
      <x:c r="F339" s="19"/>
      <x:c r="G339" s="26"/>
      <x:c r="H339" s="96" t="str">
        <x:f>IF($A339="","",SUMIFS('OrderItems'!$I$2:$I$500,'OrderItems'!$B$2:$B$500,$A339))</x:f>
      </x:c>
      <x:c r="I339" s="25"/>
      <x:c r="J339" s="25"/>
      <x:c r="K339" s="96" t="str">
        <x:f>IF($A339="","",$H339-$I339+$J339)</x:f>
      </x:c>
      <x:c r="L339" s="116" t="str">
        <x:f>IF($A339="","",IF(SUMIFS('Payments'!$C$2:$C$500,'Payments'!$B$2:$B$500,$A339,'Payments'!$G$2:$G$500,"confirmed")&lt;=0,"unpaid",IF(SUMIFS('Payments'!$C$2:$C$500,'Payments'!$B$2:$B$500,$A339,'Payments'!$G$2:$G$500,"confirmed")&gt;=$K339,"paid","partial")))</x:f>
      </x:c>
      <x:c r="M339" s="19"/>
      <x:c r="N339" s="26"/>
      <x:c r="O339" s="26"/>
      <x:c r="P339" s="19"/>
      <x:c r="Q339" s="26"/>
      <x:c r="R339" s="19"/>
      <x:c r="S339" s="26"/>
      <x:c r="T339" s="19"/>
      <x:c r="U339" s="19"/>
    </x:row>
    <x:row r="340">
      <x:c r="A340" s="19"/>
      <x:c r="B340" s="19"/>
      <x:c r="C340" s="19"/>
      <x:c r="D340" s="19"/>
      <x:c r="E340" s="19"/>
      <x:c r="F340" s="19"/>
      <x:c r="G340" s="26"/>
      <x:c r="H340" s="96" t="str">
        <x:f>IF($A340="","",SUMIFS('OrderItems'!$I$2:$I$500,'OrderItems'!$B$2:$B$500,$A340))</x:f>
      </x:c>
      <x:c r="I340" s="25"/>
      <x:c r="J340" s="25"/>
      <x:c r="K340" s="96" t="str">
        <x:f>IF($A340="","",$H340-$I340+$J340)</x:f>
      </x:c>
      <x:c r="L340" s="116" t="str">
        <x:f>IF($A340="","",IF(SUMIFS('Payments'!$C$2:$C$500,'Payments'!$B$2:$B$500,$A340,'Payments'!$G$2:$G$500,"confirmed")&lt;=0,"unpaid",IF(SUMIFS('Payments'!$C$2:$C$500,'Payments'!$B$2:$B$500,$A340,'Payments'!$G$2:$G$500,"confirmed")&gt;=$K340,"paid","partial")))</x:f>
      </x:c>
      <x:c r="M340" s="19"/>
      <x:c r="N340" s="26"/>
      <x:c r="O340" s="26"/>
      <x:c r="P340" s="19"/>
      <x:c r="Q340" s="26"/>
      <x:c r="R340" s="19"/>
      <x:c r="S340" s="26"/>
      <x:c r="T340" s="19"/>
      <x:c r="U340" s="19"/>
    </x:row>
    <x:row r="341">
      <x:c r="A341" s="19"/>
      <x:c r="B341" s="19"/>
      <x:c r="C341" s="19"/>
      <x:c r="D341" s="19"/>
      <x:c r="E341" s="19"/>
      <x:c r="F341" s="19"/>
      <x:c r="G341" s="26"/>
      <x:c r="H341" s="96" t="str">
        <x:f>IF($A341="","",SUMIFS('OrderItems'!$I$2:$I$500,'OrderItems'!$B$2:$B$500,$A341))</x:f>
      </x:c>
      <x:c r="I341" s="25"/>
      <x:c r="J341" s="25"/>
      <x:c r="K341" s="96" t="str">
        <x:f>IF($A341="","",$H341-$I341+$J341)</x:f>
      </x:c>
      <x:c r="L341" s="116" t="str">
        <x:f>IF($A341="","",IF(SUMIFS('Payments'!$C$2:$C$500,'Payments'!$B$2:$B$500,$A341,'Payments'!$G$2:$G$500,"confirmed")&lt;=0,"unpaid",IF(SUMIFS('Payments'!$C$2:$C$500,'Payments'!$B$2:$B$500,$A341,'Payments'!$G$2:$G$500,"confirmed")&gt;=$K341,"paid","partial")))</x:f>
      </x:c>
      <x:c r="M341" s="19"/>
      <x:c r="N341" s="26"/>
      <x:c r="O341" s="26"/>
      <x:c r="P341" s="19"/>
      <x:c r="Q341" s="26"/>
      <x:c r="R341" s="19"/>
      <x:c r="S341" s="26"/>
      <x:c r="T341" s="19"/>
      <x:c r="U341" s="19"/>
    </x:row>
    <x:row r="342">
      <x:c r="A342" s="19"/>
      <x:c r="B342" s="19"/>
      <x:c r="C342" s="19"/>
      <x:c r="D342" s="19"/>
      <x:c r="E342" s="19"/>
      <x:c r="F342" s="19"/>
      <x:c r="G342" s="26"/>
      <x:c r="H342" s="96" t="str">
        <x:f>IF($A342="","",SUMIFS('OrderItems'!$I$2:$I$500,'OrderItems'!$B$2:$B$500,$A342))</x:f>
      </x:c>
      <x:c r="I342" s="25"/>
      <x:c r="J342" s="25"/>
      <x:c r="K342" s="96" t="str">
        <x:f>IF($A342="","",$H342-$I342+$J342)</x:f>
      </x:c>
      <x:c r="L342" s="116" t="str">
        <x:f>IF($A342="","",IF(SUMIFS('Payments'!$C$2:$C$500,'Payments'!$B$2:$B$500,$A342,'Payments'!$G$2:$G$500,"confirmed")&lt;=0,"unpaid",IF(SUMIFS('Payments'!$C$2:$C$500,'Payments'!$B$2:$B$500,$A342,'Payments'!$G$2:$G$500,"confirmed")&gt;=$K342,"paid","partial")))</x:f>
      </x:c>
      <x:c r="M342" s="19"/>
      <x:c r="N342" s="26"/>
      <x:c r="O342" s="26"/>
      <x:c r="P342" s="19"/>
      <x:c r="Q342" s="26"/>
      <x:c r="R342" s="19"/>
      <x:c r="S342" s="26"/>
      <x:c r="T342" s="19"/>
      <x:c r="U342" s="19"/>
    </x:row>
    <x:row r="343">
      <x:c r="A343" s="19"/>
      <x:c r="B343" s="19"/>
      <x:c r="C343" s="19"/>
      <x:c r="D343" s="19"/>
      <x:c r="E343" s="19"/>
      <x:c r="F343" s="19"/>
      <x:c r="G343" s="26"/>
      <x:c r="H343" s="96" t="str">
        <x:f>IF($A343="","",SUMIFS('OrderItems'!$I$2:$I$500,'OrderItems'!$B$2:$B$500,$A343))</x:f>
      </x:c>
      <x:c r="I343" s="25"/>
      <x:c r="J343" s="25"/>
      <x:c r="K343" s="96" t="str">
        <x:f>IF($A343="","",$H343-$I343+$J343)</x:f>
      </x:c>
      <x:c r="L343" s="116" t="str">
        <x:f>IF($A343="","",IF(SUMIFS('Payments'!$C$2:$C$500,'Payments'!$B$2:$B$500,$A343,'Payments'!$G$2:$G$500,"confirmed")&lt;=0,"unpaid",IF(SUMIFS('Payments'!$C$2:$C$500,'Payments'!$B$2:$B$500,$A343,'Payments'!$G$2:$G$500,"confirmed")&gt;=$K343,"paid","partial")))</x:f>
      </x:c>
      <x:c r="M343" s="19"/>
      <x:c r="N343" s="26"/>
      <x:c r="O343" s="26"/>
      <x:c r="P343" s="19"/>
      <x:c r="Q343" s="26"/>
      <x:c r="R343" s="19"/>
      <x:c r="S343" s="26"/>
      <x:c r="T343" s="19"/>
      <x:c r="U343" s="19"/>
    </x:row>
    <x:row r="344">
      <x:c r="A344" s="19"/>
      <x:c r="B344" s="19"/>
      <x:c r="C344" s="19"/>
      <x:c r="D344" s="19"/>
      <x:c r="E344" s="19"/>
      <x:c r="F344" s="19"/>
      <x:c r="G344" s="26"/>
      <x:c r="H344" s="96" t="str">
        <x:f>IF($A344="","",SUMIFS('OrderItems'!$I$2:$I$500,'OrderItems'!$B$2:$B$500,$A344))</x:f>
      </x:c>
      <x:c r="I344" s="25"/>
      <x:c r="J344" s="25"/>
      <x:c r="K344" s="96" t="str">
        <x:f>IF($A344="","",$H344-$I344+$J344)</x:f>
      </x:c>
      <x:c r="L344" s="116" t="str">
        <x:f>IF($A344="","",IF(SUMIFS('Payments'!$C$2:$C$500,'Payments'!$B$2:$B$500,$A344,'Payments'!$G$2:$G$500,"confirmed")&lt;=0,"unpaid",IF(SUMIFS('Payments'!$C$2:$C$500,'Payments'!$B$2:$B$500,$A344,'Payments'!$G$2:$G$500,"confirmed")&gt;=$K344,"paid","partial")))</x:f>
      </x:c>
      <x:c r="M344" s="19"/>
      <x:c r="N344" s="26"/>
      <x:c r="O344" s="26"/>
      <x:c r="P344" s="19"/>
      <x:c r="Q344" s="26"/>
      <x:c r="R344" s="19"/>
      <x:c r="S344" s="26"/>
      <x:c r="T344" s="19"/>
      <x:c r="U344" s="19"/>
    </x:row>
    <x:row r="345">
      <x:c r="A345" s="19"/>
      <x:c r="B345" s="19"/>
      <x:c r="C345" s="19"/>
      <x:c r="D345" s="19"/>
      <x:c r="E345" s="19"/>
      <x:c r="F345" s="19"/>
      <x:c r="G345" s="26"/>
      <x:c r="H345" s="96" t="str">
        <x:f>IF($A345="","",SUMIFS('OrderItems'!$I$2:$I$500,'OrderItems'!$B$2:$B$500,$A345))</x:f>
      </x:c>
      <x:c r="I345" s="25"/>
      <x:c r="J345" s="25"/>
      <x:c r="K345" s="96" t="str">
        <x:f>IF($A345="","",$H345-$I345+$J345)</x:f>
      </x:c>
      <x:c r="L345" s="116" t="str">
        <x:f>IF($A345="","",IF(SUMIFS('Payments'!$C$2:$C$500,'Payments'!$B$2:$B$500,$A345,'Payments'!$G$2:$G$500,"confirmed")&lt;=0,"unpaid",IF(SUMIFS('Payments'!$C$2:$C$500,'Payments'!$B$2:$B$500,$A345,'Payments'!$G$2:$G$500,"confirmed")&gt;=$K345,"paid","partial")))</x:f>
      </x:c>
      <x:c r="M345" s="19"/>
      <x:c r="N345" s="26"/>
      <x:c r="O345" s="26"/>
      <x:c r="P345" s="19"/>
      <x:c r="Q345" s="26"/>
      <x:c r="R345" s="19"/>
      <x:c r="S345" s="26"/>
      <x:c r="T345" s="19"/>
      <x:c r="U345" s="19"/>
    </x:row>
    <x:row r="346">
      <x:c r="A346" s="19"/>
      <x:c r="B346" s="19"/>
      <x:c r="C346" s="19"/>
      <x:c r="D346" s="19"/>
      <x:c r="E346" s="19"/>
      <x:c r="F346" s="19"/>
      <x:c r="G346" s="26"/>
      <x:c r="H346" s="96" t="str">
        <x:f>IF($A346="","",SUMIFS('OrderItems'!$I$2:$I$500,'OrderItems'!$B$2:$B$500,$A346))</x:f>
      </x:c>
      <x:c r="I346" s="25"/>
      <x:c r="J346" s="25"/>
      <x:c r="K346" s="96" t="str">
        <x:f>IF($A346="","",$H346-$I346+$J346)</x:f>
      </x:c>
      <x:c r="L346" s="116" t="str">
        <x:f>IF($A346="","",IF(SUMIFS('Payments'!$C$2:$C$500,'Payments'!$B$2:$B$500,$A346,'Payments'!$G$2:$G$500,"confirmed")&lt;=0,"unpaid",IF(SUMIFS('Payments'!$C$2:$C$500,'Payments'!$B$2:$B$500,$A346,'Payments'!$G$2:$G$500,"confirmed")&gt;=$K346,"paid","partial")))</x:f>
      </x:c>
      <x:c r="M346" s="19"/>
      <x:c r="N346" s="26"/>
      <x:c r="O346" s="26"/>
      <x:c r="P346" s="19"/>
      <x:c r="Q346" s="26"/>
      <x:c r="R346" s="19"/>
      <x:c r="S346" s="26"/>
      <x:c r="T346" s="19"/>
      <x:c r="U346" s="19"/>
    </x:row>
    <x:row r="347">
      <x:c r="A347" s="19"/>
      <x:c r="B347" s="19"/>
      <x:c r="C347" s="19"/>
      <x:c r="D347" s="19"/>
      <x:c r="E347" s="19"/>
      <x:c r="F347" s="19"/>
      <x:c r="G347" s="26"/>
      <x:c r="H347" s="96" t="str">
        <x:f>IF($A347="","",SUMIFS('OrderItems'!$I$2:$I$500,'OrderItems'!$B$2:$B$500,$A347))</x:f>
      </x:c>
      <x:c r="I347" s="25"/>
      <x:c r="J347" s="25"/>
      <x:c r="K347" s="96" t="str">
        <x:f>IF($A347="","",$H347-$I347+$J347)</x:f>
      </x:c>
      <x:c r="L347" s="116" t="str">
        <x:f>IF($A347="","",IF(SUMIFS('Payments'!$C$2:$C$500,'Payments'!$B$2:$B$500,$A347,'Payments'!$G$2:$G$500,"confirmed")&lt;=0,"unpaid",IF(SUMIFS('Payments'!$C$2:$C$500,'Payments'!$B$2:$B$500,$A347,'Payments'!$G$2:$G$500,"confirmed")&gt;=$K347,"paid","partial")))</x:f>
      </x:c>
      <x:c r="M347" s="19"/>
      <x:c r="N347" s="26"/>
      <x:c r="O347" s="26"/>
      <x:c r="P347" s="19"/>
      <x:c r="Q347" s="26"/>
      <x:c r="R347" s="19"/>
      <x:c r="S347" s="26"/>
      <x:c r="T347" s="19"/>
      <x:c r="U347" s="19"/>
    </x:row>
    <x:row r="348">
      <x:c r="A348" s="19"/>
      <x:c r="B348" s="19"/>
      <x:c r="C348" s="19"/>
      <x:c r="D348" s="19"/>
      <x:c r="E348" s="19"/>
      <x:c r="F348" s="19"/>
      <x:c r="G348" s="26"/>
      <x:c r="H348" s="96" t="str">
        <x:f>IF($A348="","",SUMIFS('OrderItems'!$I$2:$I$500,'OrderItems'!$B$2:$B$500,$A348))</x:f>
      </x:c>
      <x:c r="I348" s="25"/>
      <x:c r="J348" s="25"/>
      <x:c r="K348" s="96" t="str">
        <x:f>IF($A348="","",$H348-$I348+$J348)</x:f>
      </x:c>
      <x:c r="L348" s="116" t="str">
        <x:f>IF($A348="","",IF(SUMIFS('Payments'!$C$2:$C$500,'Payments'!$B$2:$B$500,$A348,'Payments'!$G$2:$G$500,"confirmed")&lt;=0,"unpaid",IF(SUMIFS('Payments'!$C$2:$C$500,'Payments'!$B$2:$B$500,$A348,'Payments'!$G$2:$G$500,"confirmed")&gt;=$K348,"paid","partial")))</x:f>
      </x:c>
      <x:c r="M348" s="19"/>
      <x:c r="N348" s="26"/>
      <x:c r="O348" s="26"/>
      <x:c r="P348" s="19"/>
      <x:c r="Q348" s="26"/>
      <x:c r="R348" s="19"/>
      <x:c r="S348" s="26"/>
      <x:c r="T348" s="19"/>
      <x:c r="U348" s="19"/>
    </x:row>
    <x:row r="349">
      <x:c r="A349" s="19"/>
      <x:c r="B349" s="19"/>
      <x:c r="C349" s="19"/>
      <x:c r="D349" s="19"/>
      <x:c r="E349" s="19"/>
      <x:c r="F349" s="19"/>
      <x:c r="G349" s="26"/>
      <x:c r="H349" s="96" t="str">
        <x:f>IF($A349="","",SUMIFS('OrderItems'!$I$2:$I$500,'OrderItems'!$B$2:$B$500,$A349))</x:f>
      </x:c>
      <x:c r="I349" s="25"/>
      <x:c r="J349" s="25"/>
      <x:c r="K349" s="96" t="str">
        <x:f>IF($A349="","",$H349-$I349+$J349)</x:f>
      </x:c>
      <x:c r="L349" s="116" t="str">
        <x:f>IF($A349="","",IF(SUMIFS('Payments'!$C$2:$C$500,'Payments'!$B$2:$B$500,$A349,'Payments'!$G$2:$G$500,"confirmed")&lt;=0,"unpaid",IF(SUMIFS('Payments'!$C$2:$C$500,'Payments'!$B$2:$B$500,$A349,'Payments'!$G$2:$G$500,"confirmed")&gt;=$K349,"paid","partial")))</x:f>
      </x:c>
      <x:c r="M349" s="19"/>
      <x:c r="N349" s="26"/>
      <x:c r="O349" s="26"/>
      <x:c r="P349" s="19"/>
      <x:c r="Q349" s="26"/>
      <x:c r="R349" s="19"/>
      <x:c r="S349" s="26"/>
      <x:c r="T349" s="19"/>
      <x:c r="U349" s="19"/>
    </x:row>
    <x:row r="350">
      <x:c r="A350" s="19"/>
      <x:c r="B350" s="19"/>
      <x:c r="C350" s="19"/>
      <x:c r="D350" s="19"/>
      <x:c r="E350" s="19"/>
      <x:c r="F350" s="19"/>
      <x:c r="G350" s="26"/>
      <x:c r="H350" s="96" t="str">
        <x:f>IF($A350="","",SUMIFS('OrderItems'!$I$2:$I$500,'OrderItems'!$B$2:$B$500,$A350))</x:f>
      </x:c>
      <x:c r="I350" s="25"/>
      <x:c r="J350" s="25"/>
      <x:c r="K350" s="96" t="str">
        <x:f>IF($A350="","",$H350-$I350+$J350)</x:f>
      </x:c>
      <x:c r="L350" s="116" t="str">
        <x:f>IF($A350="","",IF(SUMIFS('Payments'!$C$2:$C$500,'Payments'!$B$2:$B$500,$A350,'Payments'!$G$2:$G$500,"confirmed")&lt;=0,"unpaid",IF(SUMIFS('Payments'!$C$2:$C$500,'Payments'!$B$2:$B$500,$A350,'Payments'!$G$2:$G$500,"confirmed")&gt;=$K350,"paid","partial")))</x:f>
      </x:c>
      <x:c r="M350" s="19"/>
      <x:c r="N350" s="26"/>
      <x:c r="O350" s="26"/>
      <x:c r="P350" s="19"/>
      <x:c r="Q350" s="26"/>
      <x:c r="R350" s="19"/>
      <x:c r="S350" s="26"/>
      <x:c r="T350" s="19"/>
      <x:c r="U350" s="19"/>
    </x:row>
    <x:row r="351">
      <x:c r="A351" s="19"/>
      <x:c r="B351" s="19"/>
      <x:c r="C351" s="19"/>
      <x:c r="D351" s="19"/>
      <x:c r="E351" s="19"/>
      <x:c r="F351" s="19"/>
      <x:c r="G351" s="26"/>
      <x:c r="H351" s="96" t="str">
        <x:f>IF($A351="","",SUMIFS('OrderItems'!$I$2:$I$500,'OrderItems'!$B$2:$B$500,$A351))</x:f>
      </x:c>
      <x:c r="I351" s="25"/>
      <x:c r="J351" s="25"/>
      <x:c r="K351" s="96" t="str">
        <x:f>IF($A351="","",$H351-$I351+$J351)</x:f>
      </x:c>
      <x:c r="L351" s="116" t="str">
        <x:f>IF($A351="","",IF(SUMIFS('Payments'!$C$2:$C$500,'Payments'!$B$2:$B$500,$A351,'Payments'!$G$2:$G$500,"confirmed")&lt;=0,"unpaid",IF(SUMIFS('Payments'!$C$2:$C$500,'Payments'!$B$2:$B$500,$A351,'Payments'!$G$2:$G$500,"confirmed")&gt;=$K351,"paid","partial")))</x:f>
      </x:c>
      <x:c r="M351" s="19"/>
      <x:c r="N351" s="26"/>
      <x:c r="O351" s="26"/>
      <x:c r="P351" s="19"/>
      <x:c r="Q351" s="26"/>
      <x:c r="R351" s="19"/>
      <x:c r="S351" s="26"/>
      <x:c r="T351" s="19"/>
      <x:c r="U351" s="19"/>
    </x:row>
    <x:row r="352">
      <x:c r="A352" s="19"/>
      <x:c r="B352" s="19"/>
      <x:c r="C352" s="19"/>
      <x:c r="D352" s="19"/>
      <x:c r="E352" s="19"/>
      <x:c r="F352" s="19"/>
      <x:c r="G352" s="26"/>
      <x:c r="H352" s="96" t="str">
        <x:f>IF($A352="","",SUMIFS('OrderItems'!$I$2:$I$500,'OrderItems'!$B$2:$B$500,$A352))</x:f>
      </x:c>
      <x:c r="I352" s="25"/>
      <x:c r="J352" s="25"/>
      <x:c r="K352" s="96" t="str">
        <x:f>IF($A352="","",$H352-$I352+$J352)</x:f>
      </x:c>
      <x:c r="L352" s="116" t="str">
        <x:f>IF($A352="","",IF(SUMIFS('Payments'!$C$2:$C$500,'Payments'!$B$2:$B$500,$A352,'Payments'!$G$2:$G$500,"confirmed")&lt;=0,"unpaid",IF(SUMIFS('Payments'!$C$2:$C$500,'Payments'!$B$2:$B$500,$A352,'Payments'!$G$2:$G$500,"confirmed")&gt;=$K352,"paid","partial")))</x:f>
      </x:c>
      <x:c r="M352" s="19"/>
      <x:c r="N352" s="26"/>
      <x:c r="O352" s="26"/>
      <x:c r="P352" s="19"/>
      <x:c r="Q352" s="26"/>
      <x:c r="R352" s="19"/>
      <x:c r="S352" s="26"/>
      <x:c r="T352" s="19"/>
      <x:c r="U352" s="19"/>
    </x:row>
    <x:row r="353">
      <x:c r="A353" s="19"/>
      <x:c r="B353" s="19"/>
      <x:c r="C353" s="19"/>
      <x:c r="D353" s="19"/>
      <x:c r="E353" s="19"/>
      <x:c r="F353" s="19"/>
      <x:c r="G353" s="26"/>
      <x:c r="H353" s="96" t="str">
        <x:f>IF($A353="","",SUMIFS('OrderItems'!$I$2:$I$500,'OrderItems'!$B$2:$B$500,$A353))</x:f>
      </x:c>
      <x:c r="I353" s="25"/>
      <x:c r="J353" s="25"/>
      <x:c r="K353" s="96" t="str">
        <x:f>IF($A353="","",$H353-$I353+$J353)</x:f>
      </x:c>
      <x:c r="L353" s="116" t="str">
        <x:f>IF($A353="","",IF(SUMIFS('Payments'!$C$2:$C$500,'Payments'!$B$2:$B$500,$A353,'Payments'!$G$2:$G$500,"confirmed")&lt;=0,"unpaid",IF(SUMIFS('Payments'!$C$2:$C$500,'Payments'!$B$2:$B$500,$A353,'Payments'!$G$2:$G$500,"confirmed")&gt;=$K353,"paid","partial")))</x:f>
      </x:c>
      <x:c r="M353" s="19"/>
      <x:c r="N353" s="26"/>
      <x:c r="O353" s="26"/>
      <x:c r="P353" s="19"/>
      <x:c r="Q353" s="26"/>
      <x:c r="R353" s="19"/>
      <x:c r="S353" s="26"/>
      <x:c r="T353" s="19"/>
      <x:c r="U353" s="19"/>
    </x:row>
    <x:row r="354">
      <x:c r="A354" s="19"/>
      <x:c r="B354" s="19"/>
      <x:c r="C354" s="19"/>
      <x:c r="D354" s="19"/>
      <x:c r="E354" s="19"/>
      <x:c r="F354" s="19"/>
      <x:c r="G354" s="26"/>
      <x:c r="H354" s="96" t="str">
        <x:f>IF($A354="","",SUMIFS('OrderItems'!$I$2:$I$500,'OrderItems'!$B$2:$B$500,$A354))</x:f>
      </x:c>
      <x:c r="I354" s="25"/>
      <x:c r="J354" s="25"/>
      <x:c r="K354" s="96" t="str">
        <x:f>IF($A354="","",$H354-$I354+$J354)</x:f>
      </x:c>
      <x:c r="L354" s="116" t="str">
        <x:f>IF($A354="","",IF(SUMIFS('Payments'!$C$2:$C$500,'Payments'!$B$2:$B$500,$A354,'Payments'!$G$2:$G$500,"confirmed")&lt;=0,"unpaid",IF(SUMIFS('Payments'!$C$2:$C$500,'Payments'!$B$2:$B$500,$A354,'Payments'!$G$2:$G$500,"confirmed")&gt;=$K354,"paid","partial")))</x:f>
      </x:c>
      <x:c r="M354" s="19"/>
      <x:c r="N354" s="26"/>
      <x:c r="O354" s="26"/>
      <x:c r="P354" s="19"/>
      <x:c r="Q354" s="26"/>
      <x:c r="R354" s="19"/>
      <x:c r="S354" s="26"/>
      <x:c r="T354" s="19"/>
      <x:c r="U354" s="19"/>
    </x:row>
    <x:row r="355">
      <x:c r="A355" s="19"/>
      <x:c r="B355" s="19"/>
      <x:c r="C355" s="19"/>
      <x:c r="D355" s="19"/>
      <x:c r="E355" s="19"/>
      <x:c r="F355" s="19"/>
      <x:c r="G355" s="26"/>
      <x:c r="H355" s="96" t="str">
        <x:f>IF($A355="","",SUMIFS('OrderItems'!$I$2:$I$500,'OrderItems'!$B$2:$B$500,$A355))</x:f>
      </x:c>
      <x:c r="I355" s="25"/>
      <x:c r="J355" s="25"/>
      <x:c r="K355" s="96" t="str">
        <x:f>IF($A355="","",$H355-$I355+$J355)</x:f>
      </x:c>
      <x:c r="L355" s="116" t="str">
        <x:f>IF($A355="","",IF(SUMIFS('Payments'!$C$2:$C$500,'Payments'!$B$2:$B$500,$A355,'Payments'!$G$2:$G$500,"confirmed")&lt;=0,"unpaid",IF(SUMIFS('Payments'!$C$2:$C$500,'Payments'!$B$2:$B$500,$A355,'Payments'!$G$2:$G$500,"confirmed")&gt;=$K355,"paid","partial")))</x:f>
      </x:c>
      <x:c r="M355" s="19"/>
      <x:c r="N355" s="26"/>
      <x:c r="O355" s="26"/>
      <x:c r="P355" s="19"/>
      <x:c r="Q355" s="26"/>
      <x:c r="R355" s="19"/>
      <x:c r="S355" s="26"/>
      <x:c r="T355" s="19"/>
      <x:c r="U355" s="19"/>
    </x:row>
    <x:row r="356">
      <x:c r="A356" s="19"/>
      <x:c r="B356" s="19"/>
      <x:c r="C356" s="19"/>
      <x:c r="D356" s="19"/>
      <x:c r="E356" s="19"/>
      <x:c r="F356" s="19"/>
      <x:c r="G356" s="26"/>
      <x:c r="H356" s="96" t="str">
        <x:f>IF($A356="","",SUMIFS('OrderItems'!$I$2:$I$500,'OrderItems'!$B$2:$B$500,$A356))</x:f>
      </x:c>
      <x:c r="I356" s="25"/>
      <x:c r="J356" s="25"/>
      <x:c r="K356" s="96" t="str">
        <x:f>IF($A356="","",$H356-$I356+$J356)</x:f>
      </x:c>
      <x:c r="L356" s="116" t="str">
        <x:f>IF($A356="","",IF(SUMIFS('Payments'!$C$2:$C$500,'Payments'!$B$2:$B$500,$A356,'Payments'!$G$2:$G$500,"confirmed")&lt;=0,"unpaid",IF(SUMIFS('Payments'!$C$2:$C$500,'Payments'!$B$2:$B$500,$A356,'Payments'!$G$2:$G$500,"confirmed")&gt;=$K356,"paid","partial")))</x:f>
      </x:c>
      <x:c r="M356" s="19"/>
      <x:c r="N356" s="26"/>
      <x:c r="O356" s="26"/>
      <x:c r="P356" s="19"/>
      <x:c r="Q356" s="26"/>
      <x:c r="R356" s="19"/>
      <x:c r="S356" s="26"/>
      <x:c r="T356" s="19"/>
      <x:c r="U356" s="19"/>
    </x:row>
    <x:row r="357">
      <x:c r="A357" s="19"/>
      <x:c r="B357" s="19"/>
      <x:c r="C357" s="19"/>
      <x:c r="D357" s="19"/>
      <x:c r="E357" s="19"/>
      <x:c r="F357" s="19"/>
      <x:c r="G357" s="26"/>
      <x:c r="H357" s="96" t="str">
        <x:f>IF($A357="","",SUMIFS('OrderItems'!$I$2:$I$500,'OrderItems'!$B$2:$B$500,$A357))</x:f>
      </x:c>
      <x:c r="I357" s="25"/>
      <x:c r="J357" s="25"/>
      <x:c r="K357" s="96" t="str">
        <x:f>IF($A357="","",$H357-$I357+$J357)</x:f>
      </x:c>
      <x:c r="L357" s="116" t="str">
        <x:f>IF($A357="","",IF(SUMIFS('Payments'!$C$2:$C$500,'Payments'!$B$2:$B$500,$A357,'Payments'!$G$2:$G$500,"confirmed")&lt;=0,"unpaid",IF(SUMIFS('Payments'!$C$2:$C$500,'Payments'!$B$2:$B$500,$A357,'Payments'!$G$2:$G$500,"confirmed")&gt;=$K357,"paid","partial")))</x:f>
      </x:c>
      <x:c r="M357" s="19"/>
      <x:c r="N357" s="26"/>
      <x:c r="O357" s="26"/>
      <x:c r="P357" s="19"/>
      <x:c r="Q357" s="26"/>
      <x:c r="R357" s="19"/>
      <x:c r="S357" s="26"/>
      <x:c r="T357" s="19"/>
      <x:c r="U357" s="19"/>
    </x:row>
    <x:row r="358">
      <x:c r="A358" s="19"/>
      <x:c r="B358" s="19"/>
      <x:c r="C358" s="19"/>
      <x:c r="D358" s="19"/>
      <x:c r="E358" s="19"/>
      <x:c r="F358" s="19"/>
      <x:c r="G358" s="26"/>
      <x:c r="H358" s="96" t="str">
        <x:f>IF($A358="","",SUMIFS('OrderItems'!$I$2:$I$500,'OrderItems'!$B$2:$B$500,$A358))</x:f>
      </x:c>
      <x:c r="I358" s="25"/>
      <x:c r="J358" s="25"/>
      <x:c r="K358" s="96" t="str">
        <x:f>IF($A358="","",$H358-$I358+$J358)</x:f>
      </x:c>
      <x:c r="L358" s="116" t="str">
        <x:f>IF($A358="","",IF(SUMIFS('Payments'!$C$2:$C$500,'Payments'!$B$2:$B$500,$A358,'Payments'!$G$2:$G$500,"confirmed")&lt;=0,"unpaid",IF(SUMIFS('Payments'!$C$2:$C$500,'Payments'!$B$2:$B$500,$A358,'Payments'!$G$2:$G$500,"confirmed")&gt;=$K358,"paid","partial")))</x:f>
      </x:c>
      <x:c r="M358" s="19"/>
      <x:c r="N358" s="26"/>
      <x:c r="O358" s="26"/>
      <x:c r="P358" s="19"/>
      <x:c r="Q358" s="26"/>
      <x:c r="R358" s="19"/>
      <x:c r="S358" s="26"/>
      <x:c r="T358" s="19"/>
      <x:c r="U358" s="19"/>
    </x:row>
    <x:row r="359">
      <x:c r="A359" s="19"/>
      <x:c r="B359" s="19"/>
      <x:c r="C359" s="19"/>
      <x:c r="D359" s="19"/>
      <x:c r="E359" s="19"/>
      <x:c r="F359" s="19"/>
      <x:c r="G359" s="26"/>
      <x:c r="H359" s="96" t="str">
        <x:f>IF($A359="","",SUMIFS('OrderItems'!$I$2:$I$500,'OrderItems'!$B$2:$B$500,$A359))</x:f>
      </x:c>
      <x:c r="I359" s="25"/>
      <x:c r="J359" s="25"/>
      <x:c r="K359" s="96" t="str">
        <x:f>IF($A359="","",$H359-$I359+$J359)</x:f>
      </x:c>
      <x:c r="L359" s="116" t="str">
        <x:f>IF($A359="","",IF(SUMIFS('Payments'!$C$2:$C$500,'Payments'!$B$2:$B$500,$A359,'Payments'!$G$2:$G$500,"confirmed")&lt;=0,"unpaid",IF(SUMIFS('Payments'!$C$2:$C$500,'Payments'!$B$2:$B$500,$A359,'Payments'!$G$2:$G$500,"confirmed")&gt;=$K359,"paid","partial")))</x:f>
      </x:c>
      <x:c r="M359" s="19"/>
      <x:c r="N359" s="26"/>
      <x:c r="O359" s="26"/>
      <x:c r="P359" s="19"/>
      <x:c r="Q359" s="26"/>
      <x:c r="R359" s="19"/>
      <x:c r="S359" s="26"/>
      <x:c r="T359" s="19"/>
      <x:c r="U359" s="19"/>
    </x:row>
    <x:row r="360">
      <x:c r="A360" s="19"/>
      <x:c r="B360" s="19"/>
      <x:c r="C360" s="19"/>
      <x:c r="D360" s="19"/>
      <x:c r="E360" s="19"/>
      <x:c r="F360" s="19"/>
      <x:c r="G360" s="26"/>
      <x:c r="H360" s="96" t="str">
        <x:f>IF($A360="","",SUMIFS('OrderItems'!$I$2:$I$500,'OrderItems'!$B$2:$B$500,$A360))</x:f>
      </x:c>
      <x:c r="I360" s="25"/>
      <x:c r="J360" s="25"/>
      <x:c r="K360" s="96" t="str">
        <x:f>IF($A360="","",$H360-$I360+$J360)</x:f>
      </x:c>
      <x:c r="L360" s="116" t="str">
        <x:f>IF($A360="","",IF(SUMIFS('Payments'!$C$2:$C$500,'Payments'!$B$2:$B$500,$A360,'Payments'!$G$2:$G$500,"confirmed")&lt;=0,"unpaid",IF(SUMIFS('Payments'!$C$2:$C$500,'Payments'!$B$2:$B$500,$A360,'Payments'!$G$2:$G$500,"confirmed")&gt;=$K360,"paid","partial")))</x:f>
      </x:c>
      <x:c r="M360" s="19"/>
      <x:c r="N360" s="26"/>
      <x:c r="O360" s="26"/>
      <x:c r="P360" s="19"/>
      <x:c r="Q360" s="26"/>
      <x:c r="R360" s="19"/>
      <x:c r="S360" s="26"/>
      <x:c r="T360" s="19"/>
      <x:c r="U360" s="19"/>
    </x:row>
    <x:row r="361">
      <x:c r="A361" s="19"/>
      <x:c r="B361" s="19"/>
      <x:c r="C361" s="19"/>
      <x:c r="D361" s="19"/>
      <x:c r="E361" s="19"/>
      <x:c r="F361" s="19"/>
      <x:c r="G361" s="26"/>
      <x:c r="H361" s="96" t="str">
        <x:f>IF($A361="","",SUMIFS('OrderItems'!$I$2:$I$500,'OrderItems'!$B$2:$B$500,$A361))</x:f>
      </x:c>
      <x:c r="I361" s="25"/>
      <x:c r="J361" s="25"/>
      <x:c r="K361" s="96" t="str">
        <x:f>IF($A361="","",$H361-$I361+$J361)</x:f>
      </x:c>
      <x:c r="L361" s="116" t="str">
        <x:f>IF($A361="","",IF(SUMIFS('Payments'!$C$2:$C$500,'Payments'!$B$2:$B$500,$A361,'Payments'!$G$2:$G$500,"confirmed")&lt;=0,"unpaid",IF(SUMIFS('Payments'!$C$2:$C$500,'Payments'!$B$2:$B$500,$A361,'Payments'!$G$2:$G$500,"confirmed")&gt;=$K361,"paid","partial")))</x:f>
      </x:c>
      <x:c r="M361" s="19"/>
      <x:c r="N361" s="26"/>
      <x:c r="O361" s="26"/>
      <x:c r="P361" s="19"/>
      <x:c r="Q361" s="26"/>
      <x:c r="R361" s="19"/>
      <x:c r="S361" s="26"/>
      <x:c r="T361" s="19"/>
      <x:c r="U361" s="19"/>
    </x:row>
    <x:row r="362">
      <x:c r="A362" s="19"/>
      <x:c r="B362" s="19"/>
      <x:c r="C362" s="19"/>
      <x:c r="D362" s="19"/>
      <x:c r="E362" s="19"/>
      <x:c r="F362" s="19"/>
      <x:c r="G362" s="26"/>
      <x:c r="H362" s="96" t="str">
        <x:f>IF($A362="","",SUMIFS('OrderItems'!$I$2:$I$500,'OrderItems'!$B$2:$B$500,$A362))</x:f>
      </x:c>
      <x:c r="I362" s="25"/>
      <x:c r="J362" s="25"/>
      <x:c r="K362" s="96" t="str">
        <x:f>IF($A362="","",$H362-$I362+$J362)</x:f>
      </x:c>
      <x:c r="L362" s="116" t="str">
        <x:f>IF($A362="","",IF(SUMIFS('Payments'!$C$2:$C$500,'Payments'!$B$2:$B$500,$A362,'Payments'!$G$2:$G$500,"confirmed")&lt;=0,"unpaid",IF(SUMIFS('Payments'!$C$2:$C$500,'Payments'!$B$2:$B$500,$A362,'Payments'!$G$2:$G$500,"confirmed")&gt;=$K362,"paid","partial")))</x:f>
      </x:c>
      <x:c r="M362" s="19"/>
      <x:c r="N362" s="26"/>
      <x:c r="O362" s="26"/>
      <x:c r="P362" s="19"/>
      <x:c r="Q362" s="26"/>
      <x:c r="R362" s="19"/>
      <x:c r="S362" s="26"/>
      <x:c r="T362" s="19"/>
      <x:c r="U362" s="19"/>
    </x:row>
    <x:row r="363">
      <x:c r="A363" s="19"/>
      <x:c r="B363" s="19"/>
      <x:c r="C363" s="19"/>
      <x:c r="D363" s="19"/>
      <x:c r="E363" s="19"/>
      <x:c r="F363" s="19"/>
      <x:c r="G363" s="26"/>
      <x:c r="H363" s="96" t="str">
        <x:f>IF($A363="","",SUMIFS('OrderItems'!$I$2:$I$500,'OrderItems'!$B$2:$B$500,$A363))</x:f>
      </x:c>
      <x:c r="I363" s="25"/>
      <x:c r="J363" s="25"/>
      <x:c r="K363" s="96" t="str">
        <x:f>IF($A363="","",$H363-$I363+$J363)</x:f>
      </x:c>
      <x:c r="L363" s="116" t="str">
        <x:f>IF($A363="","",IF(SUMIFS('Payments'!$C$2:$C$500,'Payments'!$B$2:$B$500,$A363,'Payments'!$G$2:$G$500,"confirmed")&lt;=0,"unpaid",IF(SUMIFS('Payments'!$C$2:$C$500,'Payments'!$B$2:$B$500,$A363,'Payments'!$G$2:$G$500,"confirmed")&gt;=$K363,"paid","partial")))</x:f>
      </x:c>
      <x:c r="M363" s="19"/>
      <x:c r="N363" s="26"/>
      <x:c r="O363" s="26"/>
      <x:c r="P363" s="19"/>
      <x:c r="Q363" s="26"/>
      <x:c r="R363" s="19"/>
      <x:c r="S363" s="26"/>
      <x:c r="T363" s="19"/>
      <x:c r="U363" s="19"/>
    </x:row>
    <x:row r="364">
      <x:c r="A364" s="19"/>
      <x:c r="B364" s="19"/>
      <x:c r="C364" s="19"/>
      <x:c r="D364" s="19"/>
      <x:c r="E364" s="19"/>
      <x:c r="F364" s="19"/>
      <x:c r="G364" s="26"/>
      <x:c r="H364" s="96" t="str">
        <x:f>IF($A364="","",SUMIFS('OrderItems'!$I$2:$I$500,'OrderItems'!$B$2:$B$500,$A364))</x:f>
      </x:c>
      <x:c r="I364" s="25"/>
      <x:c r="J364" s="25"/>
      <x:c r="K364" s="96" t="str">
        <x:f>IF($A364="","",$H364-$I364+$J364)</x:f>
      </x:c>
      <x:c r="L364" s="116" t="str">
        <x:f>IF($A364="","",IF(SUMIFS('Payments'!$C$2:$C$500,'Payments'!$B$2:$B$500,$A364,'Payments'!$G$2:$G$500,"confirmed")&lt;=0,"unpaid",IF(SUMIFS('Payments'!$C$2:$C$500,'Payments'!$B$2:$B$500,$A364,'Payments'!$G$2:$G$500,"confirmed")&gt;=$K364,"paid","partial")))</x:f>
      </x:c>
      <x:c r="M364" s="19"/>
      <x:c r="N364" s="26"/>
      <x:c r="O364" s="26"/>
      <x:c r="P364" s="19"/>
      <x:c r="Q364" s="26"/>
      <x:c r="R364" s="19"/>
      <x:c r="S364" s="26"/>
      <x:c r="T364" s="19"/>
      <x:c r="U364" s="19"/>
    </x:row>
    <x:row r="365">
      <x:c r="A365" s="19"/>
      <x:c r="B365" s="19"/>
      <x:c r="C365" s="19"/>
      <x:c r="D365" s="19"/>
      <x:c r="E365" s="19"/>
      <x:c r="F365" s="19"/>
      <x:c r="G365" s="26"/>
      <x:c r="H365" s="96" t="str">
        <x:f>IF($A365="","",SUMIFS('OrderItems'!$I$2:$I$500,'OrderItems'!$B$2:$B$500,$A365))</x:f>
      </x:c>
      <x:c r="I365" s="25"/>
      <x:c r="J365" s="25"/>
      <x:c r="K365" s="96" t="str">
        <x:f>IF($A365="","",$H365-$I365+$J365)</x:f>
      </x:c>
      <x:c r="L365" s="116" t="str">
        <x:f>IF($A365="","",IF(SUMIFS('Payments'!$C$2:$C$500,'Payments'!$B$2:$B$500,$A365,'Payments'!$G$2:$G$500,"confirmed")&lt;=0,"unpaid",IF(SUMIFS('Payments'!$C$2:$C$500,'Payments'!$B$2:$B$500,$A365,'Payments'!$G$2:$G$500,"confirmed")&gt;=$K365,"paid","partial")))</x:f>
      </x:c>
      <x:c r="M365" s="19"/>
      <x:c r="N365" s="26"/>
      <x:c r="O365" s="26"/>
      <x:c r="P365" s="19"/>
      <x:c r="Q365" s="26"/>
      <x:c r="R365" s="19"/>
      <x:c r="S365" s="26"/>
      <x:c r="T365" s="19"/>
      <x:c r="U365" s="19"/>
    </x:row>
    <x:row r="366">
      <x:c r="A366" s="19"/>
      <x:c r="B366" s="19"/>
      <x:c r="C366" s="19"/>
      <x:c r="D366" s="19"/>
      <x:c r="E366" s="19"/>
      <x:c r="F366" s="19"/>
      <x:c r="G366" s="26"/>
      <x:c r="H366" s="96" t="str">
        <x:f>IF($A366="","",SUMIFS('OrderItems'!$I$2:$I$500,'OrderItems'!$B$2:$B$500,$A366))</x:f>
      </x:c>
      <x:c r="I366" s="25"/>
      <x:c r="J366" s="25"/>
      <x:c r="K366" s="96" t="str">
        <x:f>IF($A366="","",$H366-$I366+$J366)</x:f>
      </x:c>
      <x:c r="L366" s="116" t="str">
        <x:f>IF($A366="","",IF(SUMIFS('Payments'!$C$2:$C$500,'Payments'!$B$2:$B$500,$A366,'Payments'!$G$2:$G$500,"confirmed")&lt;=0,"unpaid",IF(SUMIFS('Payments'!$C$2:$C$500,'Payments'!$B$2:$B$500,$A366,'Payments'!$G$2:$G$500,"confirmed")&gt;=$K366,"paid","partial")))</x:f>
      </x:c>
      <x:c r="M366" s="19"/>
      <x:c r="N366" s="26"/>
      <x:c r="O366" s="26"/>
      <x:c r="P366" s="19"/>
      <x:c r="Q366" s="26"/>
      <x:c r="R366" s="19"/>
      <x:c r="S366" s="26"/>
      <x:c r="T366" s="19"/>
      <x:c r="U366" s="19"/>
    </x:row>
    <x:row r="367">
      <x:c r="A367" s="19"/>
      <x:c r="B367" s="19"/>
      <x:c r="C367" s="19"/>
      <x:c r="D367" s="19"/>
      <x:c r="E367" s="19"/>
      <x:c r="F367" s="19"/>
      <x:c r="G367" s="26"/>
      <x:c r="H367" s="96" t="str">
        <x:f>IF($A367="","",SUMIFS('OrderItems'!$I$2:$I$500,'OrderItems'!$B$2:$B$500,$A367))</x:f>
      </x:c>
      <x:c r="I367" s="25"/>
      <x:c r="J367" s="25"/>
      <x:c r="K367" s="96" t="str">
        <x:f>IF($A367="","",$H367-$I367+$J367)</x:f>
      </x:c>
      <x:c r="L367" s="116" t="str">
        <x:f>IF($A367="","",IF(SUMIFS('Payments'!$C$2:$C$500,'Payments'!$B$2:$B$500,$A367,'Payments'!$G$2:$G$500,"confirmed")&lt;=0,"unpaid",IF(SUMIFS('Payments'!$C$2:$C$500,'Payments'!$B$2:$B$500,$A367,'Payments'!$G$2:$G$500,"confirmed")&gt;=$K367,"paid","partial")))</x:f>
      </x:c>
      <x:c r="M367" s="19"/>
      <x:c r="N367" s="26"/>
      <x:c r="O367" s="26"/>
      <x:c r="P367" s="19"/>
      <x:c r="Q367" s="26"/>
      <x:c r="R367" s="19"/>
      <x:c r="S367" s="26"/>
      <x:c r="T367" s="19"/>
      <x:c r="U367" s="19"/>
    </x:row>
    <x:row r="368">
      <x:c r="A368" s="19"/>
      <x:c r="B368" s="19"/>
      <x:c r="C368" s="19"/>
      <x:c r="D368" s="19"/>
      <x:c r="E368" s="19"/>
      <x:c r="F368" s="19"/>
      <x:c r="G368" s="26"/>
      <x:c r="H368" s="96" t="str">
        <x:f>IF($A368="","",SUMIFS('OrderItems'!$I$2:$I$500,'OrderItems'!$B$2:$B$500,$A368))</x:f>
      </x:c>
      <x:c r="I368" s="25"/>
      <x:c r="J368" s="25"/>
      <x:c r="K368" s="96" t="str">
        <x:f>IF($A368="","",$H368-$I368+$J368)</x:f>
      </x:c>
      <x:c r="L368" s="116" t="str">
        <x:f>IF($A368="","",IF(SUMIFS('Payments'!$C$2:$C$500,'Payments'!$B$2:$B$500,$A368,'Payments'!$G$2:$G$500,"confirmed")&lt;=0,"unpaid",IF(SUMIFS('Payments'!$C$2:$C$500,'Payments'!$B$2:$B$500,$A368,'Payments'!$G$2:$G$500,"confirmed")&gt;=$K368,"paid","partial")))</x:f>
      </x:c>
      <x:c r="M368" s="19"/>
      <x:c r="N368" s="26"/>
      <x:c r="O368" s="26"/>
      <x:c r="P368" s="19"/>
      <x:c r="Q368" s="26"/>
      <x:c r="R368" s="19"/>
      <x:c r="S368" s="26"/>
      <x:c r="T368" s="19"/>
      <x:c r="U368" s="19"/>
    </x:row>
    <x:row r="369">
      <x:c r="A369" s="19"/>
      <x:c r="B369" s="19"/>
      <x:c r="C369" s="19"/>
      <x:c r="D369" s="19"/>
      <x:c r="E369" s="19"/>
      <x:c r="F369" s="19"/>
      <x:c r="G369" s="26"/>
      <x:c r="H369" s="96" t="str">
        <x:f>IF($A369="","",SUMIFS('OrderItems'!$I$2:$I$500,'OrderItems'!$B$2:$B$500,$A369))</x:f>
      </x:c>
      <x:c r="I369" s="25"/>
      <x:c r="J369" s="25"/>
      <x:c r="K369" s="96" t="str">
        <x:f>IF($A369="","",$H369-$I369+$J369)</x:f>
      </x:c>
      <x:c r="L369" s="116" t="str">
        <x:f>IF($A369="","",IF(SUMIFS('Payments'!$C$2:$C$500,'Payments'!$B$2:$B$500,$A369,'Payments'!$G$2:$G$500,"confirmed")&lt;=0,"unpaid",IF(SUMIFS('Payments'!$C$2:$C$500,'Payments'!$B$2:$B$500,$A369,'Payments'!$G$2:$G$500,"confirmed")&gt;=$K369,"paid","partial")))</x:f>
      </x:c>
      <x:c r="M369" s="19"/>
      <x:c r="N369" s="26"/>
      <x:c r="O369" s="26"/>
      <x:c r="P369" s="19"/>
      <x:c r="Q369" s="26"/>
      <x:c r="R369" s="19"/>
      <x:c r="S369" s="26"/>
      <x:c r="T369" s="19"/>
      <x:c r="U369" s="19"/>
    </x:row>
    <x:row r="370">
      <x:c r="A370" s="19"/>
      <x:c r="B370" s="19"/>
      <x:c r="C370" s="19"/>
      <x:c r="D370" s="19"/>
      <x:c r="E370" s="19"/>
      <x:c r="F370" s="19"/>
      <x:c r="G370" s="26"/>
      <x:c r="H370" s="96" t="str">
        <x:f>IF($A370="","",SUMIFS('OrderItems'!$I$2:$I$500,'OrderItems'!$B$2:$B$500,$A370))</x:f>
      </x:c>
      <x:c r="I370" s="25"/>
      <x:c r="J370" s="25"/>
      <x:c r="K370" s="96" t="str">
        <x:f>IF($A370="","",$H370-$I370+$J370)</x:f>
      </x:c>
      <x:c r="L370" s="116" t="str">
        <x:f>IF($A370="","",IF(SUMIFS('Payments'!$C$2:$C$500,'Payments'!$B$2:$B$500,$A370,'Payments'!$G$2:$G$500,"confirmed")&lt;=0,"unpaid",IF(SUMIFS('Payments'!$C$2:$C$500,'Payments'!$B$2:$B$500,$A370,'Payments'!$G$2:$G$500,"confirmed")&gt;=$K370,"paid","partial")))</x:f>
      </x:c>
      <x:c r="M370" s="19"/>
      <x:c r="N370" s="26"/>
      <x:c r="O370" s="26"/>
      <x:c r="P370" s="19"/>
      <x:c r="Q370" s="26"/>
      <x:c r="R370" s="19"/>
      <x:c r="S370" s="26"/>
      <x:c r="T370" s="19"/>
      <x:c r="U370" s="19"/>
    </x:row>
    <x:row r="371">
      <x:c r="A371" s="19"/>
      <x:c r="B371" s="19"/>
      <x:c r="C371" s="19"/>
      <x:c r="D371" s="19"/>
      <x:c r="E371" s="19"/>
      <x:c r="F371" s="19"/>
      <x:c r="G371" s="26"/>
      <x:c r="H371" s="96" t="str">
        <x:f>IF($A371="","",SUMIFS('OrderItems'!$I$2:$I$500,'OrderItems'!$B$2:$B$500,$A371))</x:f>
      </x:c>
      <x:c r="I371" s="25"/>
      <x:c r="J371" s="25"/>
      <x:c r="K371" s="96" t="str">
        <x:f>IF($A371="","",$H371-$I371+$J371)</x:f>
      </x:c>
      <x:c r="L371" s="116" t="str">
        <x:f>IF($A371="","",IF(SUMIFS('Payments'!$C$2:$C$500,'Payments'!$B$2:$B$500,$A371,'Payments'!$G$2:$G$500,"confirmed")&lt;=0,"unpaid",IF(SUMIFS('Payments'!$C$2:$C$500,'Payments'!$B$2:$B$500,$A371,'Payments'!$G$2:$G$500,"confirmed")&gt;=$K371,"paid","partial")))</x:f>
      </x:c>
      <x:c r="M371" s="19"/>
      <x:c r="N371" s="26"/>
      <x:c r="O371" s="26"/>
      <x:c r="P371" s="19"/>
      <x:c r="Q371" s="26"/>
      <x:c r="R371" s="19"/>
      <x:c r="S371" s="26"/>
      <x:c r="T371" s="19"/>
      <x:c r="U371" s="19"/>
    </x:row>
    <x:row r="372">
      <x:c r="A372" s="19"/>
      <x:c r="B372" s="19"/>
      <x:c r="C372" s="19"/>
      <x:c r="D372" s="19"/>
      <x:c r="E372" s="19"/>
      <x:c r="F372" s="19"/>
      <x:c r="G372" s="26"/>
      <x:c r="H372" s="96" t="str">
        <x:f>IF($A372="","",SUMIFS('OrderItems'!$I$2:$I$500,'OrderItems'!$B$2:$B$500,$A372))</x:f>
      </x:c>
      <x:c r="I372" s="25"/>
      <x:c r="J372" s="25"/>
      <x:c r="K372" s="96" t="str">
        <x:f>IF($A372="","",$H372-$I372+$J372)</x:f>
      </x:c>
      <x:c r="L372" s="116" t="str">
        <x:f>IF($A372="","",IF(SUMIFS('Payments'!$C$2:$C$500,'Payments'!$B$2:$B$500,$A372,'Payments'!$G$2:$G$500,"confirmed")&lt;=0,"unpaid",IF(SUMIFS('Payments'!$C$2:$C$500,'Payments'!$B$2:$B$500,$A372,'Payments'!$G$2:$G$500,"confirmed")&gt;=$K372,"paid","partial")))</x:f>
      </x:c>
      <x:c r="M372" s="19"/>
      <x:c r="N372" s="26"/>
      <x:c r="O372" s="26"/>
      <x:c r="P372" s="19"/>
      <x:c r="Q372" s="26"/>
      <x:c r="R372" s="19"/>
      <x:c r="S372" s="26"/>
      <x:c r="T372" s="19"/>
      <x:c r="U372" s="19"/>
    </x:row>
    <x:row r="373">
      <x:c r="A373" s="19"/>
      <x:c r="B373" s="19"/>
      <x:c r="C373" s="19"/>
      <x:c r="D373" s="19"/>
      <x:c r="E373" s="19"/>
      <x:c r="F373" s="19"/>
      <x:c r="G373" s="26"/>
      <x:c r="H373" s="96" t="str">
        <x:f>IF($A373="","",SUMIFS('OrderItems'!$I$2:$I$500,'OrderItems'!$B$2:$B$500,$A373))</x:f>
      </x:c>
      <x:c r="I373" s="25"/>
      <x:c r="J373" s="25"/>
      <x:c r="K373" s="96" t="str">
        <x:f>IF($A373="","",$H373-$I373+$J373)</x:f>
      </x:c>
      <x:c r="L373" s="116" t="str">
        <x:f>IF($A373="","",IF(SUMIFS('Payments'!$C$2:$C$500,'Payments'!$B$2:$B$500,$A373,'Payments'!$G$2:$G$500,"confirmed")&lt;=0,"unpaid",IF(SUMIFS('Payments'!$C$2:$C$500,'Payments'!$B$2:$B$500,$A373,'Payments'!$G$2:$G$500,"confirmed")&gt;=$K373,"paid","partial")))</x:f>
      </x:c>
      <x:c r="M373" s="19"/>
      <x:c r="N373" s="26"/>
      <x:c r="O373" s="26"/>
      <x:c r="P373" s="19"/>
      <x:c r="Q373" s="26"/>
      <x:c r="R373" s="19"/>
      <x:c r="S373" s="26"/>
      <x:c r="T373" s="19"/>
      <x:c r="U373" s="19"/>
    </x:row>
    <x:row r="374">
      <x:c r="A374" s="19"/>
      <x:c r="B374" s="19"/>
      <x:c r="C374" s="19"/>
      <x:c r="D374" s="19"/>
      <x:c r="E374" s="19"/>
      <x:c r="F374" s="19"/>
      <x:c r="G374" s="26"/>
      <x:c r="H374" s="96" t="str">
        <x:f>IF($A374="","",SUMIFS('OrderItems'!$I$2:$I$500,'OrderItems'!$B$2:$B$500,$A374))</x:f>
      </x:c>
      <x:c r="I374" s="25"/>
      <x:c r="J374" s="25"/>
      <x:c r="K374" s="96" t="str">
        <x:f>IF($A374="","",$H374-$I374+$J374)</x:f>
      </x:c>
      <x:c r="L374" s="116" t="str">
        <x:f>IF($A374="","",IF(SUMIFS('Payments'!$C$2:$C$500,'Payments'!$B$2:$B$500,$A374,'Payments'!$G$2:$G$500,"confirmed")&lt;=0,"unpaid",IF(SUMIFS('Payments'!$C$2:$C$500,'Payments'!$B$2:$B$500,$A374,'Payments'!$G$2:$G$500,"confirmed")&gt;=$K374,"paid","partial")))</x:f>
      </x:c>
      <x:c r="M374" s="19"/>
      <x:c r="N374" s="26"/>
      <x:c r="O374" s="26"/>
      <x:c r="P374" s="19"/>
      <x:c r="Q374" s="26"/>
      <x:c r="R374" s="19"/>
      <x:c r="S374" s="26"/>
      <x:c r="T374" s="19"/>
      <x:c r="U374" s="19"/>
    </x:row>
    <x:row r="375">
      <x:c r="A375" s="19"/>
      <x:c r="B375" s="19"/>
      <x:c r="C375" s="19"/>
      <x:c r="D375" s="19"/>
      <x:c r="E375" s="19"/>
      <x:c r="F375" s="19"/>
      <x:c r="G375" s="26"/>
      <x:c r="H375" s="96" t="str">
        <x:f>IF($A375="","",SUMIFS('OrderItems'!$I$2:$I$500,'OrderItems'!$B$2:$B$500,$A375))</x:f>
      </x:c>
      <x:c r="I375" s="25"/>
      <x:c r="J375" s="25"/>
      <x:c r="K375" s="96" t="str">
        <x:f>IF($A375="","",$H375-$I375+$J375)</x:f>
      </x:c>
      <x:c r="L375" s="116" t="str">
        <x:f>IF($A375="","",IF(SUMIFS('Payments'!$C$2:$C$500,'Payments'!$B$2:$B$500,$A375,'Payments'!$G$2:$G$500,"confirmed")&lt;=0,"unpaid",IF(SUMIFS('Payments'!$C$2:$C$500,'Payments'!$B$2:$B$500,$A375,'Payments'!$G$2:$G$500,"confirmed")&gt;=$K375,"paid","partial")))</x:f>
      </x:c>
      <x:c r="M375" s="19"/>
      <x:c r="N375" s="26"/>
      <x:c r="O375" s="26"/>
      <x:c r="P375" s="19"/>
      <x:c r="Q375" s="26"/>
      <x:c r="R375" s="19"/>
      <x:c r="S375" s="26"/>
      <x:c r="T375" s="19"/>
      <x:c r="U375" s="19"/>
    </x:row>
    <x:row r="376">
      <x:c r="A376" s="19"/>
      <x:c r="B376" s="19"/>
      <x:c r="C376" s="19"/>
      <x:c r="D376" s="19"/>
      <x:c r="E376" s="19"/>
      <x:c r="F376" s="19"/>
      <x:c r="G376" s="26"/>
      <x:c r="H376" s="96" t="str">
        <x:f>IF($A376="","",SUMIFS('OrderItems'!$I$2:$I$500,'OrderItems'!$B$2:$B$500,$A376))</x:f>
      </x:c>
      <x:c r="I376" s="25"/>
      <x:c r="J376" s="25"/>
      <x:c r="K376" s="96" t="str">
        <x:f>IF($A376="","",$H376-$I376+$J376)</x:f>
      </x:c>
      <x:c r="L376" s="116" t="str">
        <x:f>IF($A376="","",IF(SUMIFS('Payments'!$C$2:$C$500,'Payments'!$B$2:$B$500,$A376,'Payments'!$G$2:$G$500,"confirmed")&lt;=0,"unpaid",IF(SUMIFS('Payments'!$C$2:$C$500,'Payments'!$B$2:$B$500,$A376,'Payments'!$G$2:$G$500,"confirmed")&gt;=$K376,"paid","partial")))</x:f>
      </x:c>
      <x:c r="M376" s="19"/>
      <x:c r="N376" s="26"/>
      <x:c r="O376" s="26"/>
      <x:c r="P376" s="19"/>
      <x:c r="Q376" s="26"/>
      <x:c r="R376" s="19"/>
      <x:c r="S376" s="26"/>
      <x:c r="T376" s="19"/>
      <x:c r="U376" s="19"/>
    </x:row>
    <x:row r="377">
      <x:c r="A377" s="19"/>
      <x:c r="B377" s="19"/>
      <x:c r="C377" s="19"/>
      <x:c r="D377" s="19"/>
      <x:c r="E377" s="19"/>
      <x:c r="F377" s="19"/>
      <x:c r="G377" s="26"/>
      <x:c r="H377" s="96" t="str">
        <x:f>IF($A377="","",SUMIFS('OrderItems'!$I$2:$I$500,'OrderItems'!$B$2:$B$500,$A377))</x:f>
      </x:c>
      <x:c r="I377" s="25"/>
      <x:c r="J377" s="25"/>
      <x:c r="K377" s="96" t="str">
        <x:f>IF($A377="","",$H377-$I377+$J377)</x:f>
      </x:c>
      <x:c r="L377" s="116" t="str">
        <x:f>IF($A377="","",IF(SUMIFS('Payments'!$C$2:$C$500,'Payments'!$B$2:$B$500,$A377,'Payments'!$G$2:$G$500,"confirmed")&lt;=0,"unpaid",IF(SUMIFS('Payments'!$C$2:$C$500,'Payments'!$B$2:$B$500,$A377,'Payments'!$G$2:$G$500,"confirmed")&gt;=$K377,"paid","partial")))</x:f>
      </x:c>
      <x:c r="M377" s="19"/>
      <x:c r="N377" s="26"/>
      <x:c r="O377" s="26"/>
      <x:c r="P377" s="19"/>
      <x:c r="Q377" s="26"/>
      <x:c r="R377" s="19"/>
      <x:c r="S377" s="26"/>
      <x:c r="T377" s="19"/>
      <x:c r="U377" s="19"/>
    </x:row>
    <x:row r="378">
      <x:c r="A378" s="19"/>
      <x:c r="B378" s="19"/>
      <x:c r="C378" s="19"/>
      <x:c r="D378" s="19"/>
      <x:c r="E378" s="19"/>
      <x:c r="F378" s="19"/>
      <x:c r="G378" s="26"/>
      <x:c r="H378" s="96" t="str">
        <x:f>IF($A378="","",SUMIFS('OrderItems'!$I$2:$I$500,'OrderItems'!$B$2:$B$500,$A378))</x:f>
      </x:c>
      <x:c r="I378" s="25"/>
      <x:c r="J378" s="25"/>
      <x:c r="K378" s="96" t="str">
        <x:f>IF($A378="","",$H378-$I378+$J378)</x:f>
      </x:c>
      <x:c r="L378" s="116" t="str">
        <x:f>IF($A378="","",IF(SUMIFS('Payments'!$C$2:$C$500,'Payments'!$B$2:$B$500,$A378,'Payments'!$G$2:$G$500,"confirmed")&lt;=0,"unpaid",IF(SUMIFS('Payments'!$C$2:$C$500,'Payments'!$B$2:$B$500,$A378,'Payments'!$G$2:$G$500,"confirmed")&gt;=$K378,"paid","partial")))</x:f>
      </x:c>
      <x:c r="M378" s="19"/>
      <x:c r="N378" s="26"/>
      <x:c r="O378" s="26"/>
      <x:c r="P378" s="19"/>
      <x:c r="Q378" s="26"/>
      <x:c r="R378" s="19"/>
      <x:c r="S378" s="26"/>
      <x:c r="T378" s="19"/>
      <x:c r="U378" s="19"/>
    </x:row>
    <x:row r="379">
      <x:c r="A379" s="19"/>
      <x:c r="B379" s="19"/>
      <x:c r="C379" s="19"/>
      <x:c r="D379" s="19"/>
      <x:c r="E379" s="19"/>
      <x:c r="F379" s="19"/>
      <x:c r="G379" s="26"/>
      <x:c r="H379" s="96" t="str">
        <x:f>IF($A379="","",SUMIFS('OrderItems'!$I$2:$I$500,'OrderItems'!$B$2:$B$500,$A379))</x:f>
      </x:c>
      <x:c r="I379" s="25"/>
      <x:c r="J379" s="25"/>
      <x:c r="K379" s="96" t="str">
        <x:f>IF($A379="","",$H379-$I379+$J379)</x:f>
      </x:c>
      <x:c r="L379" s="116" t="str">
        <x:f>IF($A379="","",IF(SUMIFS('Payments'!$C$2:$C$500,'Payments'!$B$2:$B$500,$A379,'Payments'!$G$2:$G$500,"confirmed")&lt;=0,"unpaid",IF(SUMIFS('Payments'!$C$2:$C$500,'Payments'!$B$2:$B$500,$A379,'Payments'!$G$2:$G$500,"confirmed")&gt;=$K379,"paid","partial")))</x:f>
      </x:c>
      <x:c r="M379" s="19"/>
      <x:c r="N379" s="26"/>
      <x:c r="O379" s="26"/>
      <x:c r="P379" s="19"/>
      <x:c r="Q379" s="26"/>
      <x:c r="R379" s="19"/>
      <x:c r="S379" s="26"/>
      <x:c r="T379" s="19"/>
      <x:c r="U379" s="19"/>
    </x:row>
    <x:row r="380">
      <x:c r="A380" s="19"/>
      <x:c r="B380" s="19"/>
      <x:c r="C380" s="19"/>
      <x:c r="D380" s="19"/>
      <x:c r="E380" s="19"/>
      <x:c r="F380" s="19"/>
      <x:c r="G380" s="26"/>
      <x:c r="H380" s="96" t="str">
        <x:f>IF($A380="","",SUMIFS('OrderItems'!$I$2:$I$500,'OrderItems'!$B$2:$B$500,$A380))</x:f>
      </x:c>
      <x:c r="I380" s="25"/>
      <x:c r="J380" s="25"/>
      <x:c r="K380" s="96" t="str">
        <x:f>IF($A380="","",$H380-$I380+$J380)</x:f>
      </x:c>
      <x:c r="L380" s="116" t="str">
        <x:f>IF($A380="","",IF(SUMIFS('Payments'!$C$2:$C$500,'Payments'!$B$2:$B$500,$A380,'Payments'!$G$2:$G$500,"confirmed")&lt;=0,"unpaid",IF(SUMIFS('Payments'!$C$2:$C$500,'Payments'!$B$2:$B$500,$A380,'Payments'!$G$2:$G$500,"confirmed")&gt;=$K380,"paid","partial")))</x:f>
      </x:c>
      <x:c r="M380" s="19"/>
      <x:c r="N380" s="26"/>
      <x:c r="O380" s="26"/>
      <x:c r="P380" s="19"/>
      <x:c r="Q380" s="26"/>
      <x:c r="R380" s="19"/>
      <x:c r="S380" s="26"/>
      <x:c r="T380" s="19"/>
      <x:c r="U380" s="19"/>
    </x:row>
    <x:row r="381">
      <x:c r="A381" s="19"/>
      <x:c r="B381" s="19"/>
      <x:c r="C381" s="19"/>
      <x:c r="D381" s="19"/>
      <x:c r="E381" s="19"/>
      <x:c r="F381" s="19"/>
      <x:c r="G381" s="26"/>
      <x:c r="H381" s="96" t="str">
        <x:f>IF($A381="","",SUMIFS('OrderItems'!$I$2:$I$500,'OrderItems'!$B$2:$B$500,$A381))</x:f>
      </x:c>
      <x:c r="I381" s="25"/>
      <x:c r="J381" s="25"/>
      <x:c r="K381" s="96" t="str">
        <x:f>IF($A381="","",$H381-$I381+$J381)</x:f>
      </x:c>
      <x:c r="L381" s="116" t="str">
        <x:f>IF($A381="","",IF(SUMIFS('Payments'!$C$2:$C$500,'Payments'!$B$2:$B$500,$A381,'Payments'!$G$2:$G$500,"confirmed")&lt;=0,"unpaid",IF(SUMIFS('Payments'!$C$2:$C$500,'Payments'!$B$2:$B$500,$A381,'Payments'!$G$2:$G$500,"confirmed")&gt;=$K381,"paid","partial")))</x:f>
      </x:c>
      <x:c r="M381" s="19"/>
      <x:c r="N381" s="26"/>
      <x:c r="O381" s="26"/>
      <x:c r="P381" s="19"/>
      <x:c r="Q381" s="26"/>
      <x:c r="R381" s="19"/>
      <x:c r="S381" s="26"/>
      <x:c r="T381" s="19"/>
      <x:c r="U381" s="19"/>
    </x:row>
    <x:row r="382">
      <x:c r="A382" s="19"/>
      <x:c r="B382" s="19"/>
      <x:c r="C382" s="19"/>
      <x:c r="D382" s="19"/>
      <x:c r="E382" s="19"/>
      <x:c r="F382" s="19"/>
      <x:c r="G382" s="26"/>
      <x:c r="H382" s="96" t="str">
        <x:f>IF($A382="","",SUMIFS('OrderItems'!$I$2:$I$500,'OrderItems'!$B$2:$B$500,$A382))</x:f>
      </x:c>
      <x:c r="I382" s="25"/>
      <x:c r="J382" s="25"/>
      <x:c r="K382" s="96" t="str">
        <x:f>IF($A382="","",$H382-$I382+$J382)</x:f>
      </x:c>
      <x:c r="L382" s="116" t="str">
        <x:f>IF($A382="","",IF(SUMIFS('Payments'!$C$2:$C$500,'Payments'!$B$2:$B$500,$A382,'Payments'!$G$2:$G$500,"confirmed")&lt;=0,"unpaid",IF(SUMIFS('Payments'!$C$2:$C$500,'Payments'!$B$2:$B$500,$A382,'Payments'!$G$2:$G$500,"confirmed")&gt;=$K382,"paid","partial")))</x:f>
      </x:c>
      <x:c r="M382" s="19"/>
      <x:c r="N382" s="26"/>
      <x:c r="O382" s="26"/>
      <x:c r="P382" s="19"/>
      <x:c r="Q382" s="26"/>
      <x:c r="R382" s="19"/>
      <x:c r="S382" s="26"/>
      <x:c r="T382" s="19"/>
      <x:c r="U382" s="19"/>
    </x:row>
    <x:row r="383">
      <x:c r="A383" s="19"/>
      <x:c r="B383" s="19"/>
      <x:c r="C383" s="19"/>
      <x:c r="D383" s="19"/>
      <x:c r="E383" s="19"/>
      <x:c r="F383" s="19"/>
      <x:c r="G383" s="26"/>
      <x:c r="H383" s="96" t="str">
        <x:f>IF($A383="","",SUMIFS('OrderItems'!$I$2:$I$500,'OrderItems'!$B$2:$B$500,$A383))</x:f>
      </x:c>
      <x:c r="I383" s="25"/>
      <x:c r="J383" s="25"/>
      <x:c r="K383" s="96" t="str">
        <x:f>IF($A383="","",$H383-$I383+$J383)</x:f>
      </x:c>
      <x:c r="L383" s="116" t="str">
        <x:f>IF($A383="","",IF(SUMIFS('Payments'!$C$2:$C$500,'Payments'!$B$2:$B$500,$A383,'Payments'!$G$2:$G$500,"confirmed")&lt;=0,"unpaid",IF(SUMIFS('Payments'!$C$2:$C$500,'Payments'!$B$2:$B$500,$A383,'Payments'!$G$2:$G$500,"confirmed")&gt;=$K383,"paid","partial")))</x:f>
      </x:c>
      <x:c r="M383" s="19"/>
      <x:c r="N383" s="26"/>
      <x:c r="O383" s="26"/>
      <x:c r="P383" s="19"/>
      <x:c r="Q383" s="26"/>
      <x:c r="R383" s="19"/>
      <x:c r="S383" s="26"/>
      <x:c r="T383" s="19"/>
      <x:c r="U383" s="19"/>
    </x:row>
    <x:row r="384">
      <x:c r="A384" s="19"/>
      <x:c r="B384" s="19"/>
      <x:c r="C384" s="19"/>
      <x:c r="D384" s="19"/>
      <x:c r="E384" s="19"/>
      <x:c r="F384" s="19"/>
      <x:c r="G384" s="26"/>
      <x:c r="H384" s="96" t="str">
        <x:f>IF($A384="","",SUMIFS('OrderItems'!$I$2:$I$500,'OrderItems'!$B$2:$B$500,$A384))</x:f>
      </x:c>
      <x:c r="I384" s="25"/>
      <x:c r="J384" s="25"/>
      <x:c r="K384" s="96" t="str">
        <x:f>IF($A384="","",$H384-$I384+$J384)</x:f>
      </x:c>
      <x:c r="L384" s="116" t="str">
        <x:f>IF($A384="","",IF(SUMIFS('Payments'!$C$2:$C$500,'Payments'!$B$2:$B$500,$A384,'Payments'!$G$2:$G$500,"confirmed")&lt;=0,"unpaid",IF(SUMIFS('Payments'!$C$2:$C$500,'Payments'!$B$2:$B$500,$A384,'Payments'!$G$2:$G$500,"confirmed")&gt;=$K384,"paid","partial")))</x:f>
      </x:c>
      <x:c r="M384" s="19"/>
      <x:c r="N384" s="26"/>
      <x:c r="O384" s="26"/>
      <x:c r="P384" s="19"/>
      <x:c r="Q384" s="26"/>
      <x:c r="R384" s="19"/>
      <x:c r="S384" s="26"/>
      <x:c r="T384" s="19"/>
      <x:c r="U384" s="19"/>
    </x:row>
    <x:row r="385">
      <x:c r="A385" s="19"/>
      <x:c r="B385" s="19"/>
      <x:c r="C385" s="19"/>
      <x:c r="D385" s="19"/>
      <x:c r="E385" s="19"/>
      <x:c r="F385" s="19"/>
      <x:c r="G385" s="26"/>
      <x:c r="H385" s="96" t="str">
        <x:f>IF($A385="","",SUMIFS('OrderItems'!$I$2:$I$500,'OrderItems'!$B$2:$B$500,$A385))</x:f>
      </x:c>
      <x:c r="I385" s="25"/>
      <x:c r="J385" s="25"/>
      <x:c r="K385" s="96" t="str">
        <x:f>IF($A385="","",$H385-$I385+$J385)</x:f>
      </x:c>
      <x:c r="L385" s="116" t="str">
        <x:f>IF($A385="","",IF(SUMIFS('Payments'!$C$2:$C$500,'Payments'!$B$2:$B$500,$A385,'Payments'!$G$2:$G$500,"confirmed")&lt;=0,"unpaid",IF(SUMIFS('Payments'!$C$2:$C$500,'Payments'!$B$2:$B$500,$A385,'Payments'!$G$2:$G$500,"confirmed")&gt;=$K385,"paid","partial")))</x:f>
      </x:c>
      <x:c r="M385" s="19"/>
      <x:c r="N385" s="26"/>
      <x:c r="O385" s="26"/>
      <x:c r="P385" s="19"/>
      <x:c r="Q385" s="26"/>
      <x:c r="R385" s="19"/>
      <x:c r="S385" s="26"/>
      <x:c r="T385" s="19"/>
      <x:c r="U385" s="19"/>
    </x:row>
    <x:row r="386">
      <x:c r="A386" s="19"/>
      <x:c r="B386" s="19"/>
      <x:c r="C386" s="19"/>
      <x:c r="D386" s="19"/>
      <x:c r="E386" s="19"/>
      <x:c r="F386" s="19"/>
      <x:c r="G386" s="26"/>
      <x:c r="H386" s="96" t="str">
        <x:f>IF($A386="","",SUMIFS('OrderItems'!$I$2:$I$500,'OrderItems'!$B$2:$B$500,$A386))</x:f>
      </x:c>
      <x:c r="I386" s="25"/>
      <x:c r="J386" s="25"/>
      <x:c r="K386" s="96" t="str">
        <x:f>IF($A386="","",$H386-$I386+$J386)</x:f>
      </x:c>
      <x:c r="L386" s="116" t="str">
        <x:f>IF($A386="","",IF(SUMIFS('Payments'!$C$2:$C$500,'Payments'!$B$2:$B$500,$A386,'Payments'!$G$2:$G$500,"confirmed")&lt;=0,"unpaid",IF(SUMIFS('Payments'!$C$2:$C$500,'Payments'!$B$2:$B$500,$A386,'Payments'!$G$2:$G$500,"confirmed")&gt;=$K386,"paid","partial")))</x:f>
      </x:c>
      <x:c r="M386" s="19"/>
      <x:c r="N386" s="26"/>
      <x:c r="O386" s="26"/>
      <x:c r="P386" s="19"/>
      <x:c r="Q386" s="26"/>
      <x:c r="R386" s="19"/>
      <x:c r="S386" s="26"/>
      <x:c r="T386" s="19"/>
      <x:c r="U386" s="19"/>
    </x:row>
    <x:row r="387">
      <x:c r="A387" s="19"/>
      <x:c r="B387" s="19"/>
      <x:c r="C387" s="19"/>
      <x:c r="D387" s="19"/>
      <x:c r="E387" s="19"/>
      <x:c r="F387" s="19"/>
      <x:c r="G387" s="26"/>
      <x:c r="H387" s="96" t="str">
        <x:f>IF($A387="","",SUMIFS('OrderItems'!$I$2:$I$500,'OrderItems'!$B$2:$B$500,$A387))</x:f>
      </x:c>
      <x:c r="I387" s="25"/>
      <x:c r="J387" s="25"/>
      <x:c r="K387" s="96" t="str">
        <x:f>IF($A387="","",$H387-$I387+$J387)</x:f>
      </x:c>
      <x:c r="L387" s="116" t="str">
        <x:f>IF($A387="","",IF(SUMIFS('Payments'!$C$2:$C$500,'Payments'!$B$2:$B$500,$A387,'Payments'!$G$2:$G$500,"confirmed")&lt;=0,"unpaid",IF(SUMIFS('Payments'!$C$2:$C$500,'Payments'!$B$2:$B$500,$A387,'Payments'!$G$2:$G$500,"confirmed")&gt;=$K387,"paid","partial")))</x:f>
      </x:c>
      <x:c r="M387" s="19"/>
      <x:c r="N387" s="26"/>
      <x:c r="O387" s="26"/>
      <x:c r="P387" s="19"/>
      <x:c r="Q387" s="26"/>
      <x:c r="R387" s="19"/>
      <x:c r="S387" s="26"/>
      <x:c r="T387" s="19"/>
      <x:c r="U387" s="19"/>
    </x:row>
    <x:row r="388">
      <x:c r="A388" s="19"/>
      <x:c r="B388" s="19"/>
      <x:c r="C388" s="19"/>
      <x:c r="D388" s="19"/>
      <x:c r="E388" s="19"/>
      <x:c r="F388" s="19"/>
      <x:c r="G388" s="26"/>
      <x:c r="H388" s="96" t="str">
        <x:f>IF($A388="","",SUMIFS('OrderItems'!$I$2:$I$500,'OrderItems'!$B$2:$B$500,$A388))</x:f>
      </x:c>
      <x:c r="I388" s="25"/>
      <x:c r="J388" s="25"/>
      <x:c r="K388" s="96" t="str">
        <x:f>IF($A388="","",$H388-$I388+$J388)</x:f>
      </x:c>
      <x:c r="L388" s="116" t="str">
        <x:f>IF($A388="","",IF(SUMIFS('Payments'!$C$2:$C$500,'Payments'!$B$2:$B$500,$A388,'Payments'!$G$2:$G$500,"confirmed")&lt;=0,"unpaid",IF(SUMIFS('Payments'!$C$2:$C$500,'Payments'!$B$2:$B$500,$A388,'Payments'!$G$2:$G$500,"confirmed")&gt;=$K388,"paid","partial")))</x:f>
      </x:c>
      <x:c r="M388" s="19"/>
      <x:c r="N388" s="26"/>
      <x:c r="O388" s="26"/>
      <x:c r="P388" s="19"/>
      <x:c r="Q388" s="26"/>
      <x:c r="R388" s="19"/>
      <x:c r="S388" s="26"/>
      <x:c r="T388" s="19"/>
      <x:c r="U388" s="19"/>
    </x:row>
    <x:row r="389">
      <x:c r="A389" s="19"/>
      <x:c r="B389" s="19"/>
      <x:c r="C389" s="19"/>
      <x:c r="D389" s="19"/>
      <x:c r="E389" s="19"/>
      <x:c r="F389" s="19"/>
      <x:c r="G389" s="26"/>
      <x:c r="H389" s="96" t="str">
        <x:f>IF($A389="","",SUMIFS('OrderItems'!$I$2:$I$500,'OrderItems'!$B$2:$B$500,$A389))</x:f>
      </x:c>
      <x:c r="I389" s="25"/>
      <x:c r="J389" s="25"/>
      <x:c r="K389" s="96" t="str">
        <x:f>IF($A389="","",$H389-$I389+$J389)</x:f>
      </x:c>
      <x:c r="L389" s="116" t="str">
        <x:f>IF($A389="","",IF(SUMIFS('Payments'!$C$2:$C$500,'Payments'!$B$2:$B$500,$A389,'Payments'!$G$2:$G$500,"confirmed")&lt;=0,"unpaid",IF(SUMIFS('Payments'!$C$2:$C$500,'Payments'!$B$2:$B$500,$A389,'Payments'!$G$2:$G$500,"confirmed")&gt;=$K389,"paid","partial")))</x:f>
      </x:c>
      <x:c r="M389" s="19"/>
      <x:c r="N389" s="26"/>
      <x:c r="O389" s="26"/>
      <x:c r="P389" s="19"/>
      <x:c r="Q389" s="26"/>
      <x:c r="R389" s="19"/>
      <x:c r="S389" s="26"/>
      <x:c r="T389" s="19"/>
      <x:c r="U389" s="19"/>
    </x:row>
    <x:row r="390">
      <x:c r="A390" s="19"/>
      <x:c r="B390" s="19"/>
      <x:c r="C390" s="19"/>
      <x:c r="D390" s="19"/>
      <x:c r="E390" s="19"/>
      <x:c r="F390" s="19"/>
      <x:c r="G390" s="26"/>
      <x:c r="H390" s="96" t="str">
        <x:f>IF($A390="","",SUMIFS('OrderItems'!$I$2:$I$500,'OrderItems'!$B$2:$B$500,$A390))</x:f>
      </x:c>
      <x:c r="I390" s="25"/>
      <x:c r="J390" s="25"/>
      <x:c r="K390" s="96" t="str">
        <x:f>IF($A390="","",$H390-$I390+$J390)</x:f>
      </x:c>
      <x:c r="L390" s="116" t="str">
        <x:f>IF($A390="","",IF(SUMIFS('Payments'!$C$2:$C$500,'Payments'!$B$2:$B$500,$A390,'Payments'!$G$2:$G$500,"confirmed")&lt;=0,"unpaid",IF(SUMIFS('Payments'!$C$2:$C$500,'Payments'!$B$2:$B$500,$A390,'Payments'!$G$2:$G$500,"confirmed")&gt;=$K390,"paid","partial")))</x:f>
      </x:c>
      <x:c r="M390" s="19"/>
      <x:c r="N390" s="26"/>
      <x:c r="O390" s="26"/>
      <x:c r="P390" s="19"/>
      <x:c r="Q390" s="26"/>
      <x:c r="R390" s="19"/>
      <x:c r="S390" s="26"/>
      <x:c r="T390" s="19"/>
      <x:c r="U390" s="19"/>
    </x:row>
    <x:row r="391">
      <x:c r="A391" s="19"/>
      <x:c r="B391" s="19"/>
      <x:c r="C391" s="19"/>
      <x:c r="D391" s="19"/>
      <x:c r="E391" s="19"/>
      <x:c r="F391" s="19"/>
      <x:c r="G391" s="26"/>
      <x:c r="H391" s="96" t="str">
        <x:f>IF($A391="","",SUMIFS('OrderItems'!$I$2:$I$500,'OrderItems'!$B$2:$B$500,$A391))</x:f>
      </x:c>
      <x:c r="I391" s="25"/>
      <x:c r="J391" s="25"/>
      <x:c r="K391" s="96" t="str">
        <x:f>IF($A391="","",$H391-$I391+$J391)</x:f>
      </x:c>
      <x:c r="L391" s="116" t="str">
        <x:f>IF($A391="","",IF(SUMIFS('Payments'!$C$2:$C$500,'Payments'!$B$2:$B$500,$A391,'Payments'!$G$2:$G$500,"confirmed")&lt;=0,"unpaid",IF(SUMIFS('Payments'!$C$2:$C$500,'Payments'!$B$2:$B$500,$A391,'Payments'!$G$2:$G$500,"confirmed")&gt;=$K391,"paid","partial")))</x:f>
      </x:c>
      <x:c r="M391" s="19"/>
      <x:c r="N391" s="26"/>
      <x:c r="O391" s="26"/>
      <x:c r="P391" s="19"/>
      <x:c r="Q391" s="26"/>
      <x:c r="R391" s="19"/>
      <x:c r="S391" s="26"/>
      <x:c r="T391" s="19"/>
      <x:c r="U391" s="19"/>
    </x:row>
    <x:row r="392">
      <x:c r="A392" s="19"/>
      <x:c r="B392" s="19"/>
      <x:c r="C392" s="19"/>
      <x:c r="D392" s="19"/>
      <x:c r="E392" s="19"/>
      <x:c r="F392" s="19"/>
      <x:c r="G392" s="26"/>
      <x:c r="H392" s="96" t="str">
        <x:f>IF($A392="","",SUMIFS('OrderItems'!$I$2:$I$500,'OrderItems'!$B$2:$B$500,$A392))</x:f>
      </x:c>
      <x:c r="I392" s="25"/>
      <x:c r="J392" s="25"/>
      <x:c r="K392" s="96" t="str">
        <x:f>IF($A392="","",$H392-$I392+$J392)</x:f>
      </x:c>
      <x:c r="L392" s="116" t="str">
        <x:f>IF($A392="","",IF(SUMIFS('Payments'!$C$2:$C$500,'Payments'!$B$2:$B$500,$A392,'Payments'!$G$2:$G$500,"confirmed")&lt;=0,"unpaid",IF(SUMIFS('Payments'!$C$2:$C$500,'Payments'!$B$2:$B$500,$A392,'Payments'!$G$2:$G$500,"confirmed")&gt;=$K392,"paid","partial")))</x:f>
      </x:c>
      <x:c r="M392" s="19"/>
      <x:c r="N392" s="26"/>
      <x:c r="O392" s="26"/>
      <x:c r="P392" s="19"/>
      <x:c r="Q392" s="26"/>
      <x:c r="R392" s="19"/>
      <x:c r="S392" s="26"/>
      <x:c r="T392" s="19"/>
      <x:c r="U392" s="19"/>
    </x:row>
    <x:row r="393">
      <x:c r="A393" s="19"/>
      <x:c r="B393" s="19"/>
      <x:c r="C393" s="19"/>
      <x:c r="D393" s="19"/>
      <x:c r="E393" s="19"/>
      <x:c r="F393" s="19"/>
      <x:c r="G393" s="26"/>
      <x:c r="H393" s="96" t="str">
        <x:f>IF($A393="","",SUMIFS('OrderItems'!$I$2:$I$500,'OrderItems'!$B$2:$B$500,$A393))</x:f>
      </x:c>
      <x:c r="I393" s="25"/>
      <x:c r="J393" s="25"/>
      <x:c r="K393" s="96" t="str">
        <x:f>IF($A393="","",$H393-$I393+$J393)</x:f>
      </x:c>
      <x:c r="L393" s="116" t="str">
        <x:f>IF($A393="","",IF(SUMIFS('Payments'!$C$2:$C$500,'Payments'!$B$2:$B$500,$A393,'Payments'!$G$2:$G$500,"confirmed")&lt;=0,"unpaid",IF(SUMIFS('Payments'!$C$2:$C$500,'Payments'!$B$2:$B$500,$A393,'Payments'!$G$2:$G$500,"confirmed")&gt;=$K393,"paid","partial")))</x:f>
      </x:c>
      <x:c r="M393" s="19"/>
      <x:c r="N393" s="26"/>
      <x:c r="O393" s="26"/>
      <x:c r="P393" s="19"/>
      <x:c r="Q393" s="26"/>
      <x:c r="R393" s="19"/>
      <x:c r="S393" s="26"/>
      <x:c r="T393" s="19"/>
      <x:c r="U393" s="19"/>
    </x:row>
    <x:row r="394">
      <x:c r="A394" s="19"/>
      <x:c r="B394" s="19"/>
      <x:c r="C394" s="19"/>
      <x:c r="D394" s="19"/>
      <x:c r="E394" s="19"/>
      <x:c r="F394" s="19"/>
      <x:c r="G394" s="26"/>
      <x:c r="H394" s="96" t="str">
        <x:f>IF($A394="","",SUMIFS('OrderItems'!$I$2:$I$500,'OrderItems'!$B$2:$B$500,$A394))</x:f>
      </x:c>
      <x:c r="I394" s="25"/>
      <x:c r="J394" s="25"/>
      <x:c r="K394" s="96" t="str">
        <x:f>IF($A394="","",$H394-$I394+$J394)</x:f>
      </x:c>
      <x:c r="L394" s="116" t="str">
        <x:f>IF($A394="","",IF(SUMIFS('Payments'!$C$2:$C$500,'Payments'!$B$2:$B$500,$A394,'Payments'!$G$2:$G$500,"confirmed")&lt;=0,"unpaid",IF(SUMIFS('Payments'!$C$2:$C$500,'Payments'!$B$2:$B$500,$A394,'Payments'!$G$2:$G$500,"confirmed")&gt;=$K394,"paid","partial")))</x:f>
      </x:c>
      <x:c r="M394" s="19"/>
      <x:c r="N394" s="26"/>
      <x:c r="O394" s="26"/>
      <x:c r="P394" s="19"/>
      <x:c r="Q394" s="26"/>
      <x:c r="R394" s="19"/>
      <x:c r="S394" s="26"/>
      <x:c r="T394" s="19"/>
      <x:c r="U394" s="19"/>
    </x:row>
    <x:row r="395">
      <x:c r="A395" s="19"/>
      <x:c r="B395" s="19"/>
      <x:c r="C395" s="19"/>
      <x:c r="D395" s="19"/>
      <x:c r="E395" s="19"/>
      <x:c r="F395" s="19"/>
      <x:c r="G395" s="26"/>
      <x:c r="H395" s="96" t="str">
        <x:f>IF($A395="","",SUMIFS('OrderItems'!$I$2:$I$500,'OrderItems'!$B$2:$B$500,$A395))</x:f>
      </x:c>
      <x:c r="I395" s="25"/>
      <x:c r="J395" s="25"/>
      <x:c r="K395" s="96" t="str">
        <x:f>IF($A395="","",$H395-$I395+$J395)</x:f>
      </x:c>
      <x:c r="L395" s="116" t="str">
        <x:f>IF($A395="","",IF(SUMIFS('Payments'!$C$2:$C$500,'Payments'!$B$2:$B$500,$A395,'Payments'!$G$2:$G$500,"confirmed")&lt;=0,"unpaid",IF(SUMIFS('Payments'!$C$2:$C$500,'Payments'!$B$2:$B$500,$A395,'Payments'!$G$2:$G$500,"confirmed")&gt;=$K395,"paid","partial")))</x:f>
      </x:c>
      <x:c r="M395" s="19"/>
      <x:c r="N395" s="26"/>
      <x:c r="O395" s="26"/>
      <x:c r="P395" s="19"/>
      <x:c r="Q395" s="26"/>
      <x:c r="R395" s="19"/>
      <x:c r="S395" s="26"/>
      <x:c r="T395" s="19"/>
      <x:c r="U395" s="19"/>
    </x:row>
    <x:row r="396">
      <x:c r="A396" s="19"/>
      <x:c r="B396" s="19"/>
      <x:c r="C396" s="19"/>
      <x:c r="D396" s="19"/>
      <x:c r="E396" s="19"/>
      <x:c r="F396" s="19"/>
      <x:c r="G396" s="26"/>
      <x:c r="H396" s="96" t="str">
        <x:f>IF($A396="","",SUMIFS('OrderItems'!$I$2:$I$500,'OrderItems'!$B$2:$B$500,$A396))</x:f>
      </x:c>
      <x:c r="I396" s="25"/>
      <x:c r="J396" s="25"/>
      <x:c r="K396" s="96" t="str">
        <x:f>IF($A396="","",$H396-$I396+$J396)</x:f>
      </x:c>
      <x:c r="L396" s="116" t="str">
        <x:f>IF($A396="","",IF(SUMIFS('Payments'!$C$2:$C$500,'Payments'!$B$2:$B$500,$A396,'Payments'!$G$2:$G$500,"confirmed")&lt;=0,"unpaid",IF(SUMIFS('Payments'!$C$2:$C$500,'Payments'!$B$2:$B$500,$A396,'Payments'!$G$2:$G$500,"confirmed")&gt;=$K396,"paid","partial")))</x:f>
      </x:c>
      <x:c r="M396" s="19"/>
      <x:c r="N396" s="26"/>
      <x:c r="O396" s="26"/>
      <x:c r="P396" s="19"/>
      <x:c r="Q396" s="26"/>
      <x:c r="R396" s="19"/>
      <x:c r="S396" s="26"/>
      <x:c r="T396" s="19"/>
      <x:c r="U396" s="19"/>
    </x:row>
    <x:row r="397">
      <x:c r="A397" s="19"/>
      <x:c r="B397" s="19"/>
      <x:c r="C397" s="19"/>
      <x:c r="D397" s="19"/>
      <x:c r="E397" s="19"/>
      <x:c r="F397" s="19"/>
      <x:c r="G397" s="26"/>
      <x:c r="H397" s="96" t="str">
        <x:f>IF($A397="","",SUMIFS('OrderItems'!$I$2:$I$500,'OrderItems'!$B$2:$B$500,$A397))</x:f>
      </x:c>
      <x:c r="I397" s="25"/>
      <x:c r="J397" s="25"/>
      <x:c r="K397" s="96" t="str">
        <x:f>IF($A397="","",$H397-$I397+$J397)</x:f>
      </x:c>
      <x:c r="L397" s="116" t="str">
        <x:f>IF($A397="","",IF(SUMIFS('Payments'!$C$2:$C$500,'Payments'!$B$2:$B$500,$A397,'Payments'!$G$2:$G$500,"confirmed")&lt;=0,"unpaid",IF(SUMIFS('Payments'!$C$2:$C$500,'Payments'!$B$2:$B$500,$A397,'Payments'!$G$2:$G$500,"confirmed")&gt;=$K397,"paid","partial")))</x:f>
      </x:c>
      <x:c r="M397" s="19"/>
      <x:c r="N397" s="26"/>
      <x:c r="O397" s="26"/>
      <x:c r="P397" s="19"/>
      <x:c r="Q397" s="26"/>
      <x:c r="R397" s="19"/>
      <x:c r="S397" s="26"/>
      <x:c r="T397" s="19"/>
      <x:c r="U397" s="19"/>
    </x:row>
    <x:row r="398">
      <x:c r="A398" s="19"/>
      <x:c r="B398" s="19"/>
      <x:c r="C398" s="19"/>
      <x:c r="D398" s="19"/>
      <x:c r="E398" s="19"/>
      <x:c r="F398" s="19"/>
      <x:c r="G398" s="26"/>
      <x:c r="H398" s="96" t="str">
        <x:f>IF($A398="","",SUMIFS('OrderItems'!$I$2:$I$500,'OrderItems'!$B$2:$B$500,$A398))</x:f>
      </x:c>
      <x:c r="I398" s="25"/>
      <x:c r="J398" s="25"/>
      <x:c r="K398" s="96" t="str">
        <x:f>IF($A398="","",$H398-$I398+$J398)</x:f>
      </x:c>
      <x:c r="L398" s="116" t="str">
        <x:f>IF($A398="","",IF(SUMIFS('Payments'!$C$2:$C$500,'Payments'!$B$2:$B$500,$A398,'Payments'!$G$2:$G$500,"confirmed")&lt;=0,"unpaid",IF(SUMIFS('Payments'!$C$2:$C$500,'Payments'!$B$2:$B$500,$A398,'Payments'!$G$2:$G$500,"confirmed")&gt;=$K398,"paid","partial")))</x:f>
      </x:c>
      <x:c r="M398" s="19"/>
      <x:c r="N398" s="26"/>
      <x:c r="O398" s="26"/>
      <x:c r="P398" s="19"/>
      <x:c r="Q398" s="26"/>
      <x:c r="R398" s="19"/>
      <x:c r="S398" s="26"/>
      <x:c r="T398" s="19"/>
      <x:c r="U398" s="19"/>
    </x:row>
    <x:row r="399">
      <x:c r="A399" s="19"/>
      <x:c r="B399" s="19"/>
      <x:c r="C399" s="19"/>
      <x:c r="D399" s="19"/>
      <x:c r="E399" s="19"/>
      <x:c r="F399" s="19"/>
      <x:c r="G399" s="26"/>
      <x:c r="H399" s="96" t="str">
        <x:f>IF($A399="","",SUMIFS('OrderItems'!$I$2:$I$500,'OrderItems'!$B$2:$B$500,$A399))</x:f>
      </x:c>
      <x:c r="I399" s="25"/>
      <x:c r="J399" s="25"/>
      <x:c r="K399" s="96" t="str">
        <x:f>IF($A399="","",$H399-$I399+$J399)</x:f>
      </x:c>
      <x:c r="L399" s="116" t="str">
        <x:f>IF($A399="","",IF(SUMIFS('Payments'!$C$2:$C$500,'Payments'!$B$2:$B$500,$A399,'Payments'!$G$2:$G$500,"confirmed")&lt;=0,"unpaid",IF(SUMIFS('Payments'!$C$2:$C$500,'Payments'!$B$2:$B$500,$A399,'Payments'!$G$2:$G$500,"confirmed")&gt;=$K399,"paid","partial")))</x:f>
      </x:c>
      <x:c r="M399" s="19"/>
      <x:c r="N399" s="26"/>
      <x:c r="O399" s="26"/>
      <x:c r="P399" s="19"/>
      <x:c r="Q399" s="26"/>
      <x:c r="R399" s="19"/>
      <x:c r="S399" s="26"/>
      <x:c r="T399" s="19"/>
      <x:c r="U399" s="19"/>
    </x:row>
    <x:row r="400">
      <x:c r="A400" s="19"/>
      <x:c r="B400" s="19"/>
      <x:c r="C400" s="19"/>
      <x:c r="D400" s="19"/>
      <x:c r="E400" s="19"/>
      <x:c r="F400" s="19"/>
      <x:c r="G400" s="26"/>
      <x:c r="H400" s="96" t="str">
        <x:f>IF($A400="","",SUMIFS('OrderItems'!$I$2:$I$500,'OrderItems'!$B$2:$B$500,$A400))</x:f>
      </x:c>
      <x:c r="I400" s="25"/>
      <x:c r="J400" s="25"/>
      <x:c r="K400" s="96" t="str">
        <x:f>IF($A400="","",$H400-$I400+$J400)</x:f>
      </x:c>
      <x:c r="L400" s="116" t="str">
        <x:f>IF($A400="","",IF(SUMIFS('Payments'!$C$2:$C$500,'Payments'!$B$2:$B$500,$A400,'Payments'!$G$2:$G$500,"confirmed")&lt;=0,"unpaid",IF(SUMIFS('Payments'!$C$2:$C$500,'Payments'!$B$2:$B$500,$A400,'Payments'!$G$2:$G$500,"confirmed")&gt;=$K400,"paid","partial")))</x:f>
      </x:c>
      <x:c r="M400" s="19"/>
      <x:c r="N400" s="26"/>
      <x:c r="O400" s="26"/>
      <x:c r="P400" s="19"/>
      <x:c r="Q400" s="26"/>
      <x:c r="R400" s="19"/>
      <x:c r="S400" s="26"/>
      <x:c r="T400" s="19"/>
      <x:c r="U400" s="19"/>
    </x:row>
    <x:row r="401">
      <x:c r="A401" s="19"/>
      <x:c r="B401" s="19"/>
      <x:c r="C401" s="19"/>
      <x:c r="D401" s="19"/>
      <x:c r="E401" s="19"/>
      <x:c r="F401" s="19"/>
      <x:c r="G401" s="26"/>
      <x:c r="H401" s="96" t="str">
        <x:f>IF($A401="","",SUMIFS('OrderItems'!$I$2:$I$500,'OrderItems'!$B$2:$B$500,$A401))</x:f>
      </x:c>
      <x:c r="I401" s="25"/>
      <x:c r="J401" s="25"/>
      <x:c r="K401" s="96" t="str">
        <x:f>IF($A401="","",$H401-$I401+$J401)</x:f>
      </x:c>
      <x:c r="L401" s="116" t="str">
        <x:f>IF($A401="","",IF(SUMIFS('Payments'!$C$2:$C$500,'Payments'!$B$2:$B$500,$A401,'Payments'!$G$2:$G$500,"confirmed")&lt;=0,"unpaid",IF(SUMIFS('Payments'!$C$2:$C$500,'Payments'!$B$2:$B$500,$A401,'Payments'!$G$2:$G$500,"confirmed")&gt;=$K401,"paid","partial")))</x:f>
      </x:c>
      <x:c r="M401" s="19"/>
      <x:c r="N401" s="26"/>
      <x:c r="O401" s="26"/>
      <x:c r="P401" s="19"/>
      <x:c r="Q401" s="26"/>
      <x:c r="R401" s="19"/>
      <x:c r="S401" s="26"/>
      <x:c r="T401" s="19"/>
      <x:c r="U401" s="19"/>
    </x:row>
    <x:row r="402">
      <x:c r="A402" s="19"/>
      <x:c r="B402" s="19"/>
      <x:c r="C402" s="19"/>
      <x:c r="D402" s="19"/>
      <x:c r="E402" s="19"/>
      <x:c r="F402" s="19"/>
      <x:c r="G402" s="26"/>
      <x:c r="H402" s="96" t="str">
        <x:f>IF($A402="","",SUMIFS('OrderItems'!$I$2:$I$500,'OrderItems'!$B$2:$B$500,$A402))</x:f>
      </x:c>
      <x:c r="I402" s="25"/>
      <x:c r="J402" s="25"/>
      <x:c r="K402" s="96" t="str">
        <x:f>IF($A402="","",$H402-$I402+$J402)</x:f>
      </x:c>
      <x:c r="L402" s="116" t="str">
        <x:f>IF($A402="","",IF(SUMIFS('Payments'!$C$2:$C$500,'Payments'!$B$2:$B$500,$A402,'Payments'!$G$2:$G$500,"confirmed")&lt;=0,"unpaid",IF(SUMIFS('Payments'!$C$2:$C$500,'Payments'!$B$2:$B$500,$A402,'Payments'!$G$2:$G$500,"confirmed")&gt;=$K402,"paid","partial")))</x:f>
      </x:c>
      <x:c r="M402" s="19"/>
      <x:c r="N402" s="26"/>
      <x:c r="O402" s="26"/>
      <x:c r="P402" s="19"/>
      <x:c r="Q402" s="26"/>
      <x:c r="R402" s="19"/>
      <x:c r="S402" s="26"/>
      <x:c r="T402" s="19"/>
      <x:c r="U402" s="19"/>
    </x:row>
    <x:row r="403">
      <x:c r="A403" s="19"/>
      <x:c r="B403" s="19"/>
      <x:c r="C403" s="19"/>
      <x:c r="D403" s="19"/>
      <x:c r="E403" s="19"/>
      <x:c r="F403" s="19"/>
      <x:c r="G403" s="26"/>
      <x:c r="H403" s="96" t="str">
        <x:f>IF($A403="","",SUMIFS('OrderItems'!$I$2:$I$500,'OrderItems'!$B$2:$B$500,$A403))</x:f>
      </x:c>
      <x:c r="I403" s="25"/>
      <x:c r="J403" s="25"/>
      <x:c r="K403" s="96" t="str">
        <x:f>IF($A403="","",$H403-$I403+$J403)</x:f>
      </x:c>
      <x:c r="L403" s="116" t="str">
        <x:f>IF($A403="","",IF(SUMIFS('Payments'!$C$2:$C$500,'Payments'!$B$2:$B$500,$A403,'Payments'!$G$2:$G$500,"confirmed")&lt;=0,"unpaid",IF(SUMIFS('Payments'!$C$2:$C$500,'Payments'!$B$2:$B$500,$A403,'Payments'!$G$2:$G$500,"confirmed")&gt;=$K403,"paid","partial")))</x:f>
      </x:c>
      <x:c r="M403" s="19"/>
      <x:c r="N403" s="26"/>
      <x:c r="O403" s="26"/>
      <x:c r="P403" s="19"/>
      <x:c r="Q403" s="26"/>
      <x:c r="R403" s="19"/>
      <x:c r="S403" s="26"/>
      <x:c r="T403" s="19"/>
      <x:c r="U403" s="19"/>
    </x:row>
    <x:row r="404">
      <x:c r="A404" s="19"/>
      <x:c r="B404" s="19"/>
      <x:c r="C404" s="19"/>
      <x:c r="D404" s="19"/>
      <x:c r="E404" s="19"/>
      <x:c r="F404" s="19"/>
      <x:c r="G404" s="26"/>
      <x:c r="H404" s="96" t="str">
        <x:f>IF($A404="","",SUMIFS('OrderItems'!$I$2:$I$500,'OrderItems'!$B$2:$B$500,$A404))</x:f>
      </x:c>
      <x:c r="I404" s="25"/>
      <x:c r="J404" s="25"/>
      <x:c r="K404" s="96" t="str">
        <x:f>IF($A404="","",$H404-$I404+$J404)</x:f>
      </x:c>
      <x:c r="L404" s="116" t="str">
        <x:f>IF($A404="","",IF(SUMIFS('Payments'!$C$2:$C$500,'Payments'!$B$2:$B$500,$A404,'Payments'!$G$2:$G$500,"confirmed")&lt;=0,"unpaid",IF(SUMIFS('Payments'!$C$2:$C$500,'Payments'!$B$2:$B$500,$A404,'Payments'!$G$2:$G$500,"confirmed")&gt;=$K404,"paid","partial")))</x:f>
      </x:c>
      <x:c r="M404" s="19"/>
      <x:c r="N404" s="26"/>
      <x:c r="O404" s="26"/>
      <x:c r="P404" s="19"/>
      <x:c r="Q404" s="26"/>
      <x:c r="R404" s="19"/>
      <x:c r="S404" s="26"/>
      <x:c r="T404" s="19"/>
      <x:c r="U404" s="19"/>
    </x:row>
    <x:row r="405">
      <x:c r="A405" s="19"/>
      <x:c r="B405" s="19"/>
      <x:c r="C405" s="19"/>
      <x:c r="D405" s="19"/>
      <x:c r="E405" s="19"/>
      <x:c r="F405" s="19"/>
      <x:c r="G405" s="26"/>
      <x:c r="H405" s="96" t="str">
        <x:f>IF($A405="","",SUMIFS('OrderItems'!$I$2:$I$500,'OrderItems'!$B$2:$B$500,$A405))</x:f>
      </x:c>
      <x:c r="I405" s="25"/>
      <x:c r="J405" s="25"/>
      <x:c r="K405" s="96" t="str">
        <x:f>IF($A405="","",$H405-$I405+$J405)</x:f>
      </x:c>
      <x:c r="L405" s="116" t="str">
        <x:f>IF($A405="","",IF(SUMIFS('Payments'!$C$2:$C$500,'Payments'!$B$2:$B$500,$A405,'Payments'!$G$2:$G$500,"confirmed")&lt;=0,"unpaid",IF(SUMIFS('Payments'!$C$2:$C$500,'Payments'!$B$2:$B$500,$A405,'Payments'!$G$2:$G$500,"confirmed")&gt;=$K405,"paid","partial")))</x:f>
      </x:c>
      <x:c r="M405" s="19"/>
      <x:c r="N405" s="26"/>
      <x:c r="O405" s="26"/>
      <x:c r="P405" s="19"/>
      <x:c r="Q405" s="26"/>
      <x:c r="R405" s="19"/>
      <x:c r="S405" s="26"/>
      <x:c r="T405" s="19"/>
      <x:c r="U405" s="19"/>
    </x:row>
    <x:row r="406">
      <x:c r="A406" s="19"/>
      <x:c r="B406" s="19"/>
      <x:c r="C406" s="19"/>
      <x:c r="D406" s="19"/>
      <x:c r="E406" s="19"/>
      <x:c r="F406" s="19"/>
      <x:c r="G406" s="26"/>
      <x:c r="H406" s="96" t="str">
        <x:f>IF($A406="","",SUMIFS('OrderItems'!$I$2:$I$500,'OrderItems'!$B$2:$B$500,$A406))</x:f>
      </x:c>
      <x:c r="I406" s="25"/>
      <x:c r="J406" s="25"/>
      <x:c r="K406" s="96" t="str">
        <x:f>IF($A406="","",$H406-$I406+$J406)</x:f>
      </x:c>
      <x:c r="L406" s="116" t="str">
        <x:f>IF($A406="","",IF(SUMIFS('Payments'!$C$2:$C$500,'Payments'!$B$2:$B$500,$A406,'Payments'!$G$2:$G$500,"confirmed")&lt;=0,"unpaid",IF(SUMIFS('Payments'!$C$2:$C$500,'Payments'!$B$2:$B$500,$A406,'Payments'!$G$2:$G$500,"confirmed")&gt;=$K406,"paid","partial")))</x:f>
      </x:c>
      <x:c r="M406" s="19"/>
      <x:c r="N406" s="26"/>
      <x:c r="O406" s="26"/>
      <x:c r="P406" s="19"/>
      <x:c r="Q406" s="26"/>
      <x:c r="R406" s="19"/>
      <x:c r="S406" s="26"/>
      <x:c r="T406" s="19"/>
      <x:c r="U406" s="19"/>
    </x:row>
    <x:row r="407">
      <x:c r="A407" s="19"/>
      <x:c r="B407" s="19"/>
      <x:c r="C407" s="19"/>
      <x:c r="D407" s="19"/>
      <x:c r="E407" s="19"/>
      <x:c r="F407" s="19"/>
      <x:c r="G407" s="26"/>
      <x:c r="H407" s="96" t="str">
        <x:f>IF($A407="","",SUMIFS('OrderItems'!$I$2:$I$500,'OrderItems'!$B$2:$B$500,$A407))</x:f>
      </x:c>
      <x:c r="I407" s="25"/>
      <x:c r="J407" s="25"/>
      <x:c r="K407" s="96" t="str">
        <x:f>IF($A407="","",$H407-$I407+$J407)</x:f>
      </x:c>
      <x:c r="L407" s="116" t="str">
        <x:f>IF($A407="","",IF(SUMIFS('Payments'!$C$2:$C$500,'Payments'!$B$2:$B$500,$A407,'Payments'!$G$2:$G$500,"confirmed")&lt;=0,"unpaid",IF(SUMIFS('Payments'!$C$2:$C$500,'Payments'!$B$2:$B$500,$A407,'Payments'!$G$2:$G$500,"confirmed")&gt;=$K407,"paid","partial")))</x:f>
      </x:c>
      <x:c r="M407" s="19"/>
      <x:c r="N407" s="26"/>
      <x:c r="O407" s="26"/>
      <x:c r="P407" s="19"/>
      <x:c r="Q407" s="26"/>
      <x:c r="R407" s="19"/>
      <x:c r="S407" s="26"/>
      <x:c r="T407" s="19"/>
      <x:c r="U407" s="19"/>
    </x:row>
    <x:row r="408">
      <x:c r="A408" s="19"/>
      <x:c r="B408" s="19"/>
      <x:c r="C408" s="19"/>
      <x:c r="D408" s="19"/>
      <x:c r="E408" s="19"/>
      <x:c r="F408" s="19"/>
      <x:c r="G408" s="26"/>
      <x:c r="H408" s="96" t="str">
        <x:f>IF($A408="","",SUMIFS('OrderItems'!$I$2:$I$500,'OrderItems'!$B$2:$B$500,$A408))</x:f>
      </x:c>
      <x:c r="I408" s="25"/>
      <x:c r="J408" s="25"/>
      <x:c r="K408" s="96" t="str">
        <x:f>IF($A408="","",$H408-$I408+$J408)</x:f>
      </x:c>
      <x:c r="L408" s="116" t="str">
        <x:f>IF($A408="","",IF(SUMIFS('Payments'!$C$2:$C$500,'Payments'!$B$2:$B$500,$A408,'Payments'!$G$2:$G$500,"confirmed")&lt;=0,"unpaid",IF(SUMIFS('Payments'!$C$2:$C$500,'Payments'!$B$2:$B$500,$A408,'Payments'!$G$2:$G$500,"confirmed")&gt;=$K408,"paid","partial")))</x:f>
      </x:c>
      <x:c r="M408" s="19"/>
      <x:c r="N408" s="26"/>
      <x:c r="O408" s="26"/>
      <x:c r="P408" s="19"/>
      <x:c r="Q408" s="26"/>
      <x:c r="R408" s="19"/>
      <x:c r="S408" s="26"/>
      <x:c r="T408" s="19"/>
      <x:c r="U408" s="19"/>
    </x:row>
    <x:row r="409">
      <x:c r="A409" s="19"/>
      <x:c r="B409" s="19"/>
      <x:c r="C409" s="19"/>
      <x:c r="D409" s="19"/>
      <x:c r="E409" s="19"/>
      <x:c r="F409" s="19"/>
      <x:c r="G409" s="26"/>
      <x:c r="H409" s="96" t="str">
        <x:f>IF($A409="","",SUMIFS('OrderItems'!$I$2:$I$500,'OrderItems'!$B$2:$B$500,$A409))</x:f>
      </x:c>
      <x:c r="I409" s="25"/>
      <x:c r="J409" s="25"/>
      <x:c r="K409" s="96" t="str">
        <x:f>IF($A409="","",$H409-$I409+$J409)</x:f>
      </x:c>
      <x:c r="L409" s="116" t="str">
        <x:f>IF($A409="","",IF(SUMIFS('Payments'!$C$2:$C$500,'Payments'!$B$2:$B$500,$A409,'Payments'!$G$2:$G$500,"confirmed")&lt;=0,"unpaid",IF(SUMIFS('Payments'!$C$2:$C$500,'Payments'!$B$2:$B$500,$A409,'Payments'!$G$2:$G$500,"confirmed")&gt;=$K409,"paid","partial")))</x:f>
      </x:c>
      <x:c r="M409" s="19"/>
      <x:c r="N409" s="26"/>
      <x:c r="O409" s="26"/>
      <x:c r="P409" s="19"/>
      <x:c r="Q409" s="26"/>
      <x:c r="R409" s="19"/>
      <x:c r="S409" s="26"/>
      <x:c r="T409" s="19"/>
      <x:c r="U409" s="19"/>
    </x:row>
    <x:row r="410">
      <x:c r="A410" s="19"/>
      <x:c r="B410" s="19"/>
      <x:c r="C410" s="19"/>
      <x:c r="D410" s="19"/>
      <x:c r="E410" s="19"/>
      <x:c r="F410" s="19"/>
      <x:c r="G410" s="26"/>
      <x:c r="H410" s="96" t="str">
        <x:f>IF($A410="","",SUMIFS('OrderItems'!$I$2:$I$500,'OrderItems'!$B$2:$B$500,$A410))</x:f>
      </x:c>
      <x:c r="I410" s="25"/>
      <x:c r="J410" s="25"/>
      <x:c r="K410" s="96" t="str">
        <x:f>IF($A410="","",$H410-$I410+$J410)</x:f>
      </x:c>
      <x:c r="L410" s="116" t="str">
        <x:f>IF($A410="","",IF(SUMIFS('Payments'!$C$2:$C$500,'Payments'!$B$2:$B$500,$A410,'Payments'!$G$2:$G$500,"confirmed")&lt;=0,"unpaid",IF(SUMIFS('Payments'!$C$2:$C$500,'Payments'!$B$2:$B$500,$A410,'Payments'!$G$2:$G$500,"confirmed")&gt;=$K410,"paid","partial")))</x:f>
      </x:c>
      <x:c r="M410" s="19"/>
      <x:c r="N410" s="26"/>
      <x:c r="O410" s="26"/>
      <x:c r="P410" s="19"/>
      <x:c r="Q410" s="26"/>
      <x:c r="R410" s="19"/>
      <x:c r="S410" s="26"/>
      <x:c r="T410" s="19"/>
      <x:c r="U410" s="19"/>
    </x:row>
    <x:row r="411">
      <x:c r="A411" s="19"/>
      <x:c r="B411" s="19"/>
      <x:c r="C411" s="19"/>
      <x:c r="D411" s="19"/>
      <x:c r="E411" s="19"/>
      <x:c r="F411" s="19"/>
      <x:c r="G411" s="26"/>
      <x:c r="H411" s="96" t="str">
        <x:f>IF($A411="","",SUMIFS('OrderItems'!$I$2:$I$500,'OrderItems'!$B$2:$B$500,$A411))</x:f>
      </x:c>
      <x:c r="I411" s="25"/>
      <x:c r="J411" s="25"/>
      <x:c r="K411" s="96" t="str">
        <x:f>IF($A411="","",$H411-$I411+$J411)</x:f>
      </x:c>
      <x:c r="L411" s="116" t="str">
        <x:f>IF($A411="","",IF(SUMIFS('Payments'!$C$2:$C$500,'Payments'!$B$2:$B$500,$A411,'Payments'!$G$2:$G$500,"confirmed")&lt;=0,"unpaid",IF(SUMIFS('Payments'!$C$2:$C$500,'Payments'!$B$2:$B$500,$A411,'Payments'!$G$2:$G$500,"confirmed")&gt;=$K411,"paid","partial")))</x:f>
      </x:c>
      <x:c r="M411" s="19"/>
      <x:c r="N411" s="26"/>
      <x:c r="O411" s="26"/>
      <x:c r="P411" s="19"/>
      <x:c r="Q411" s="26"/>
      <x:c r="R411" s="19"/>
      <x:c r="S411" s="26"/>
      <x:c r="T411" s="19"/>
      <x:c r="U411" s="19"/>
    </x:row>
    <x:row r="412">
      <x:c r="A412" s="19"/>
      <x:c r="B412" s="19"/>
      <x:c r="C412" s="19"/>
      <x:c r="D412" s="19"/>
      <x:c r="E412" s="19"/>
      <x:c r="F412" s="19"/>
      <x:c r="G412" s="26"/>
      <x:c r="H412" s="96" t="str">
        <x:f>IF($A412="","",SUMIFS('OrderItems'!$I$2:$I$500,'OrderItems'!$B$2:$B$500,$A412))</x:f>
      </x:c>
      <x:c r="I412" s="25"/>
      <x:c r="J412" s="25"/>
      <x:c r="K412" s="96" t="str">
        <x:f>IF($A412="","",$H412-$I412+$J412)</x:f>
      </x:c>
      <x:c r="L412" s="116" t="str">
        <x:f>IF($A412="","",IF(SUMIFS('Payments'!$C$2:$C$500,'Payments'!$B$2:$B$500,$A412,'Payments'!$G$2:$G$500,"confirmed")&lt;=0,"unpaid",IF(SUMIFS('Payments'!$C$2:$C$500,'Payments'!$B$2:$B$500,$A412,'Payments'!$G$2:$G$500,"confirmed")&gt;=$K412,"paid","partial")))</x:f>
      </x:c>
      <x:c r="M412" s="19"/>
      <x:c r="N412" s="26"/>
      <x:c r="O412" s="26"/>
      <x:c r="P412" s="19"/>
      <x:c r="Q412" s="26"/>
      <x:c r="R412" s="19"/>
      <x:c r="S412" s="26"/>
      <x:c r="T412" s="19"/>
      <x:c r="U412" s="19"/>
    </x:row>
    <x:row r="413">
      <x:c r="A413" s="19"/>
      <x:c r="B413" s="19"/>
      <x:c r="C413" s="19"/>
      <x:c r="D413" s="19"/>
      <x:c r="E413" s="19"/>
      <x:c r="F413" s="19"/>
      <x:c r="G413" s="26"/>
      <x:c r="H413" s="96" t="str">
        <x:f>IF($A413="","",SUMIFS('OrderItems'!$I$2:$I$500,'OrderItems'!$B$2:$B$500,$A413))</x:f>
      </x:c>
      <x:c r="I413" s="25"/>
      <x:c r="J413" s="25"/>
      <x:c r="K413" s="96" t="str">
        <x:f>IF($A413="","",$H413-$I413+$J413)</x:f>
      </x:c>
      <x:c r="L413" s="116" t="str">
        <x:f>IF($A413="","",IF(SUMIFS('Payments'!$C$2:$C$500,'Payments'!$B$2:$B$500,$A413,'Payments'!$G$2:$G$500,"confirmed")&lt;=0,"unpaid",IF(SUMIFS('Payments'!$C$2:$C$500,'Payments'!$B$2:$B$500,$A413,'Payments'!$G$2:$G$500,"confirmed")&gt;=$K413,"paid","partial")))</x:f>
      </x:c>
      <x:c r="M413" s="19"/>
      <x:c r="N413" s="26"/>
      <x:c r="O413" s="26"/>
      <x:c r="P413" s="19"/>
      <x:c r="Q413" s="26"/>
      <x:c r="R413" s="19"/>
      <x:c r="S413" s="26"/>
      <x:c r="T413" s="19"/>
      <x:c r="U413" s="19"/>
    </x:row>
    <x:row r="414">
      <x:c r="A414" s="19"/>
      <x:c r="B414" s="19"/>
      <x:c r="C414" s="19"/>
      <x:c r="D414" s="19"/>
      <x:c r="E414" s="19"/>
      <x:c r="F414" s="19"/>
      <x:c r="G414" s="26"/>
      <x:c r="H414" s="96" t="str">
        <x:f>IF($A414="","",SUMIFS('OrderItems'!$I$2:$I$500,'OrderItems'!$B$2:$B$500,$A414))</x:f>
      </x:c>
      <x:c r="I414" s="25"/>
      <x:c r="J414" s="25"/>
      <x:c r="K414" s="96" t="str">
        <x:f>IF($A414="","",$H414-$I414+$J414)</x:f>
      </x:c>
      <x:c r="L414" s="116" t="str">
        <x:f>IF($A414="","",IF(SUMIFS('Payments'!$C$2:$C$500,'Payments'!$B$2:$B$500,$A414,'Payments'!$G$2:$G$500,"confirmed")&lt;=0,"unpaid",IF(SUMIFS('Payments'!$C$2:$C$500,'Payments'!$B$2:$B$500,$A414,'Payments'!$G$2:$G$500,"confirmed")&gt;=$K414,"paid","partial")))</x:f>
      </x:c>
      <x:c r="M414" s="19"/>
      <x:c r="N414" s="26"/>
      <x:c r="O414" s="26"/>
      <x:c r="P414" s="19"/>
      <x:c r="Q414" s="26"/>
      <x:c r="R414" s="19"/>
      <x:c r="S414" s="26"/>
      <x:c r="T414" s="19"/>
      <x:c r="U414" s="19"/>
    </x:row>
    <x:row r="415">
      <x:c r="A415" s="19"/>
      <x:c r="B415" s="19"/>
      <x:c r="C415" s="19"/>
      <x:c r="D415" s="19"/>
      <x:c r="E415" s="19"/>
      <x:c r="F415" s="19"/>
      <x:c r="G415" s="26"/>
      <x:c r="H415" s="96" t="str">
        <x:f>IF($A415="","",SUMIFS('OrderItems'!$I$2:$I$500,'OrderItems'!$B$2:$B$500,$A415))</x:f>
      </x:c>
      <x:c r="I415" s="25"/>
      <x:c r="J415" s="25"/>
      <x:c r="K415" s="96" t="str">
        <x:f>IF($A415="","",$H415-$I415+$J415)</x:f>
      </x:c>
      <x:c r="L415" s="116" t="str">
        <x:f>IF($A415="","",IF(SUMIFS('Payments'!$C$2:$C$500,'Payments'!$B$2:$B$500,$A415,'Payments'!$G$2:$G$500,"confirmed")&lt;=0,"unpaid",IF(SUMIFS('Payments'!$C$2:$C$500,'Payments'!$B$2:$B$500,$A415,'Payments'!$G$2:$G$500,"confirmed")&gt;=$K415,"paid","partial")))</x:f>
      </x:c>
      <x:c r="M415" s="19"/>
      <x:c r="N415" s="26"/>
      <x:c r="O415" s="26"/>
      <x:c r="P415" s="19"/>
      <x:c r="Q415" s="26"/>
      <x:c r="R415" s="19"/>
      <x:c r="S415" s="26"/>
      <x:c r="T415" s="19"/>
      <x:c r="U415" s="19"/>
    </x:row>
    <x:row r="416">
      <x:c r="A416" s="19"/>
      <x:c r="B416" s="19"/>
      <x:c r="C416" s="19"/>
      <x:c r="D416" s="19"/>
      <x:c r="E416" s="19"/>
      <x:c r="F416" s="19"/>
      <x:c r="G416" s="26"/>
      <x:c r="H416" s="96" t="str">
        <x:f>IF($A416="","",SUMIFS('OrderItems'!$I$2:$I$500,'OrderItems'!$B$2:$B$500,$A416))</x:f>
      </x:c>
      <x:c r="I416" s="25"/>
      <x:c r="J416" s="25"/>
      <x:c r="K416" s="96" t="str">
        <x:f>IF($A416="","",$H416-$I416+$J416)</x:f>
      </x:c>
      <x:c r="L416" s="116" t="str">
        <x:f>IF($A416="","",IF(SUMIFS('Payments'!$C$2:$C$500,'Payments'!$B$2:$B$500,$A416,'Payments'!$G$2:$G$500,"confirmed")&lt;=0,"unpaid",IF(SUMIFS('Payments'!$C$2:$C$500,'Payments'!$B$2:$B$500,$A416,'Payments'!$G$2:$G$500,"confirmed")&gt;=$K416,"paid","partial")))</x:f>
      </x:c>
      <x:c r="M416" s="19"/>
      <x:c r="N416" s="26"/>
      <x:c r="O416" s="26"/>
      <x:c r="P416" s="19"/>
      <x:c r="Q416" s="26"/>
      <x:c r="R416" s="19"/>
      <x:c r="S416" s="26"/>
      <x:c r="T416" s="19"/>
      <x:c r="U416" s="19"/>
    </x:row>
    <x:row r="417">
      <x:c r="A417" s="19"/>
      <x:c r="B417" s="19"/>
      <x:c r="C417" s="19"/>
      <x:c r="D417" s="19"/>
      <x:c r="E417" s="19"/>
      <x:c r="F417" s="19"/>
      <x:c r="G417" s="26"/>
      <x:c r="H417" s="96" t="str">
        <x:f>IF($A417="","",SUMIFS('OrderItems'!$I$2:$I$500,'OrderItems'!$B$2:$B$500,$A417))</x:f>
      </x:c>
      <x:c r="I417" s="25"/>
      <x:c r="J417" s="25"/>
      <x:c r="K417" s="96" t="str">
        <x:f>IF($A417="","",$H417-$I417+$J417)</x:f>
      </x:c>
      <x:c r="L417" s="116" t="str">
        <x:f>IF($A417="","",IF(SUMIFS('Payments'!$C$2:$C$500,'Payments'!$B$2:$B$500,$A417,'Payments'!$G$2:$G$500,"confirmed")&lt;=0,"unpaid",IF(SUMIFS('Payments'!$C$2:$C$500,'Payments'!$B$2:$B$500,$A417,'Payments'!$G$2:$G$500,"confirmed")&gt;=$K417,"paid","partial")))</x:f>
      </x:c>
      <x:c r="M417" s="19"/>
      <x:c r="N417" s="26"/>
      <x:c r="O417" s="26"/>
      <x:c r="P417" s="19"/>
      <x:c r="Q417" s="26"/>
      <x:c r="R417" s="19"/>
      <x:c r="S417" s="26"/>
      <x:c r="T417" s="19"/>
      <x:c r="U417" s="19"/>
    </x:row>
    <x:row r="418">
      <x:c r="A418" s="19"/>
      <x:c r="B418" s="19"/>
      <x:c r="C418" s="19"/>
      <x:c r="D418" s="19"/>
      <x:c r="E418" s="19"/>
      <x:c r="F418" s="19"/>
      <x:c r="G418" s="26"/>
      <x:c r="H418" s="96" t="str">
        <x:f>IF($A418="","",SUMIFS('OrderItems'!$I$2:$I$500,'OrderItems'!$B$2:$B$500,$A418))</x:f>
      </x:c>
      <x:c r="I418" s="25"/>
      <x:c r="J418" s="25"/>
      <x:c r="K418" s="96" t="str">
        <x:f>IF($A418="","",$H418-$I418+$J418)</x:f>
      </x:c>
      <x:c r="L418" s="116" t="str">
        <x:f>IF($A418="","",IF(SUMIFS('Payments'!$C$2:$C$500,'Payments'!$B$2:$B$500,$A418,'Payments'!$G$2:$G$500,"confirmed")&lt;=0,"unpaid",IF(SUMIFS('Payments'!$C$2:$C$500,'Payments'!$B$2:$B$500,$A418,'Payments'!$G$2:$G$500,"confirmed")&gt;=$K418,"paid","partial")))</x:f>
      </x:c>
      <x:c r="M418" s="19"/>
      <x:c r="N418" s="26"/>
      <x:c r="O418" s="26"/>
      <x:c r="P418" s="19"/>
      <x:c r="Q418" s="26"/>
      <x:c r="R418" s="19"/>
      <x:c r="S418" s="26"/>
      <x:c r="T418" s="19"/>
      <x:c r="U418" s="19"/>
    </x:row>
    <x:row r="419">
      <x:c r="A419" s="19"/>
      <x:c r="B419" s="19"/>
      <x:c r="C419" s="19"/>
      <x:c r="D419" s="19"/>
      <x:c r="E419" s="19"/>
      <x:c r="F419" s="19"/>
      <x:c r="G419" s="26"/>
      <x:c r="H419" s="96" t="str">
        <x:f>IF($A419="","",SUMIFS('OrderItems'!$I$2:$I$500,'OrderItems'!$B$2:$B$500,$A419))</x:f>
      </x:c>
      <x:c r="I419" s="25"/>
      <x:c r="J419" s="25"/>
      <x:c r="K419" s="96" t="str">
        <x:f>IF($A419="","",$H419-$I419+$J419)</x:f>
      </x:c>
      <x:c r="L419" s="116" t="str">
        <x:f>IF($A419="","",IF(SUMIFS('Payments'!$C$2:$C$500,'Payments'!$B$2:$B$500,$A419,'Payments'!$G$2:$G$500,"confirmed")&lt;=0,"unpaid",IF(SUMIFS('Payments'!$C$2:$C$500,'Payments'!$B$2:$B$500,$A419,'Payments'!$G$2:$G$500,"confirmed")&gt;=$K419,"paid","partial")))</x:f>
      </x:c>
      <x:c r="M419" s="19"/>
      <x:c r="N419" s="26"/>
      <x:c r="O419" s="26"/>
      <x:c r="P419" s="19"/>
      <x:c r="Q419" s="26"/>
      <x:c r="R419" s="19"/>
      <x:c r="S419" s="26"/>
      <x:c r="T419" s="19"/>
      <x:c r="U419" s="19"/>
    </x:row>
    <x:row r="420">
      <x:c r="A420" s="19"/>
      <x:c r="B420" s="19"/>
      <x:c r="C420" s="19"/>
      <x:c r="D420" s="19"/>
      <x:c r="E420" s="19"/>
      <x:c r="F420" s="19"/>
      <x:c r="G420" s="26"/>
      <x:c r="H420" s="96" t="str">
        <x:f>IF($A420="","",SUMIFS('OrderItems'!$I$2:$I$500,'OrderItems'!$B$2:$B$500,$A420))</x:f>
      </x:c>
      <x:c r="I420" s="25"/>
      <x:c r="J420" s="25"/>
      <x:c r="K420" s="96" t="str">
        <x:f>IF($A420="","",$H420-$I420+$J420)</x:f>
      </x:c>
      <x:c r="L420" s="116" t="str">
        <x:f>IF($A420="","",IF(SUMIFS('Payments'!$C$2:$C$500,'Payments'!$B$2:$B$500,$A420,'Payments'!$G$2:$G$500,"confirmed")&lt;=0,"unpaid",IF(SUMIFS('Payments'!$C$2:$C$500,'Payments'!$B$2:$B$500,$A420,'Payments'!$G$2:$G$500,"confirmed")&gt;=$K420,"paid","partial")))</x:f>
      </x:c>
      <x:c r="M420" s="19"/>
      <x:c r="N420" s="26"/>
      <x:c r="O420" s="26"/>
      <x:c r="P420" s="19"/>
      <x:c r="Q420" s="26"/>
      <x:c r="R420" s="19"/>
      <x:c r="S420" s="26"/>
      <x:c r="T420" s="19"/>
      <x:c r="U420" s="19"/>
    </x:row>
    <x:row r="421">
      <x:c r="A421" s="19"/>
      <x:c r="B421" s="19"/>
      <x:c r="C421" s="19"/>
      <x:c r="D421" s="19"/>
      <x:c r="E421" s="19"/>
      <x:c r="F421" s="19"/>
      <x:c r="G421" s="26"/>
      <x:c r="H421" s="96" t="str">
        <x:f>IF($A421="","",SUMIFS('OrderItems'!$I$2:$I$500,'OrderItems'!$B$2:$B$500,$A421))</x:f>
      </x:c>
      <x:c r="I421" s="25"/>
      <x:c r="J421" s="25"/>
      <x:c r="K421" s="96" t="str">
        <x:f>IF($A421="","",$H421-$I421+$J421)</x:f>
      </x:c>
      <x:c r="L421" s="116" t="str">
        <x:f>IF($A421="","",IF(SUMIFS('Payments'!$C$2:$C$500,'Payments'!$B$2:$B$500,$A421,'Payments'!$G$2:$G$500,"confirmed")&lt;=0,"unpaid",IF(SUMIFS('Payments'!$C$2:$C$500,'Payments'!$B$2:$B$500,$A421,'Payments'!$G$2:$G$500,"confirmed")&gt;=$K421,"paid","partial")))</x:f>
      </x:c>
      <x:c r="M421" s="19"/>
      <x:c r="N421" s="26"/>
      <x:c r="O421" s="26"/>
      <x:c r="P421" s="19"/>
      <x:c r="Q421" s="26"/>
      <x:c r="R421" s="19"/>
      <x:c r="S421" s="26"/>
      <x:c r="T421" s="19"/>
      <x:c r="U421" s="19"/>
    </x:row>
    <x:row r="422">
      <x:c r="A422" s="19"/>
      <x:c r="B422" s="19"/>
      <x:c r="C422" s="19"/>
      <x:c r="D422" s="19"/>
      <x:c r="E422" s="19"/>
      <x:c r="F422" s="19"/>
      <x:c r="G422" s="26"/>
      <x:c r="H422" s="96" t="str">
        <x:f>IF($A422="","",SUMIFS('OrderItems'!$I$2:$I$500,'OrderItems'!$B$2:$B$500,$A422))</x:f>
      </x:c>
      <x:c r="I422" s="25"/>
      <x:c r="J422" s="25"/>
      <x:c r="K422" s="96" t="str">
        <x:f>IF($A422="","",$H422-$I422+$J422)</x:f>
      </x:c>
      <x:c r="L422" s="116" t="str">
        <x:f>IF($A422="","",IF(SUMIFS('Payments'!$C$2:$C$500,'Payments'!$B$2:$B$500,$A422,'Payments'!$G$2:$G$500,"confirmed")&lt;=0,"unpaid",IF(SUMIFS('Payments'!$C$2:$C$500,'Payments'!$B$2:$B$500,$A422,'Payments'!$G$2:$G$500,"confirmed")&gt;=$K422,"paid","partial")))</x:f>
      </x:c>
      <x:c r="M422" s="19"/>
      <x:c r="N422" s="26"/>
      <x:c r="O422" s="26"/>
      <x:c r="P422" s="19"/>
      <x:c r="Q422" s="26"/>
      <x:c r="R422" s="19"/>
      <x:c r="S422" s="26"/>
      <x:c r="T422" s="19"/>
      <x:c r="U422" s="19"/>
    </x:row>
    <x:row r="423">
      <x:c r="A423" s="19"/>
      <x:c r="B423" s="19"/>
      <x:c r="C423" s="19"/>
      <x:c r="D423" s="19"/>
      <x:c r="E423" s="19"/>
      <x:c r="F423" s="19"/>
      <x:c r="G423" s="26"/>
      <x:c r="H423" s="96" t="str">
        <x:f>IF($A423="","",SUMIFS('OrderItems'!$I$2:$I$500,'OrderItems'!$B$2:$B$500,$A423))</x:f>
      </x:c>
      <x:c r="I423" s="25"/>
      <x:c r="J423" s="25"/>
      <x:c r="K423" s="96" t="str">
        <x:f>IF($A423="","",$H423-$I423+$J423)</x:f>
      </x:c>
      <x:c r="L423" s="116" t="str">
        <x:f>IF($A423="","",IF(SUMIFS('Payments'!$C$2:$C$500,'Payments'!$B$2:$B$500,$A423,'Payments'!$G$2:$G$500,"confirmed")&lt;=0,"unpaid",IF(SUMIFS('Payments'!$C$2:$C$500,'Payments'!$B$2:$B$500,$A423,'Payments'!$G$2:$G$500,"confirmed")&gt;=$K423,"paid","partial")))</x:f>
      </x:c>
      <x:c r="M423" s="19"/>
      <x:c r="N423" s="26"/>
      <x:c r="O423" s="26"/>
      <x:c r="P423" s="19"/>
      <x:c r="Q423" s="26"/>
      <x:c r="R423" s="19"/>
      <x:c r="S423" s="26"/>
      <x:c r="T423" s="19"/>
      <x:c r="U423" s="19"/>
    </x:row>
    <x:row r="424">
      <x:c r="A424" s="19"/>
      <x:c r="B424" s="19"/>
      <x:c r="C424" s="19"/>
      <x:c r="D424" s="19"/>
      <x:c r="E424" s="19"/>
      <x:c r="F424" s="19"/>
      <x:c r="G424" s="26"/>
      <x:c r="H424" s="96" t="str">
        <x:f>IF($A424="","",SUMIFS('OrderItems'!$I$2:$I$500,'OrderItems'!$B$2:$B$500,$A424))</x:f>
      </x:c>
      <x:c r="I424" s="25"/>
      <x:c r="J424" s="25"/>
      <x:c r="K424" s="96" t="str">
        <x:f>IF($A424="","",$H424-$I424+$J424)</x:f>
      </x:c>
      <x:c r="L424" s="116" t="str">
        <x:f>IF($A424="","",IF(SUMIFS('Payments'!$C$2:$C$500,'Payments'!$B$2:$B$500,$A424,'Payments'!$G$2:$G$500,"confirmed")&lt;=0,"unpaid",IF(SUMIFS('Payments'!$C$2:$C$500,'Payments'!$B$2:$B$500,$A424,'Payments'!$G$2:$G$500,"confirmed")&gt;=$K424,"paid","partial")))</x:f>
      </x:c>
      <x:c r="M424" s="19"/>
      <x:c r="N424" s="26"/>
      <x:c r="O424" s="26"/>
      <x:c r="P424" s="19"/>
      <x:c r="Q424" s="26"/>
      <x:c r="R424" s="19"/>
      <x:c r="S424" s="26"/>
      <x:c r="T424" s="19"/>
      <x:c r="U424" s="19"/>
    </x:row>
    <x:row r="425">
      <x:c r="A425" s="19"/>
      <x:c r="B425" s="19"/>
      <x:c r="C425" s="19"/>
      <x:c r="D425" s="19"/>
      <x:c r="E425" s="19"/>
      <x:c r="F425" s="19"/>
      <x:c r="G425" s="26"/>
      <x:c r="H425" s="96" t="str">
        <x:f>IF($A425="","",SUMIFS('OrderItems'!$I$2:$I$500,'OrderItems'!$B$2:$B$500,$A425))</x:f>
      </x:c>
      <x:c r="I425" s="25"/>
      <x:c r="J425" s="25"/>
      <x:c r="K425" s="96" t="str">
        <x:f>IF($A425="","",$H425-$I425+$J425)</x:f>
      </x:c>
      <x:c r="L425" s="116" t="str">
        <x:f>IF($A425="","",IF(SUMIFS('Payments'!$C$2:$C$500,'Payments'!$B$2:$B$500,$A425,'Payments'!$G$2:$G$500,"confirmed")&lt;=0,"unpaid",IF(SUMIFS('Payments'!$C$2:$C$500,'Payments'!$B$2:$B$500,$A425,'Payments'!$G$2:$G$500,"confirmed")&gt;=$K425,"paid","partial")))</x:f>
      </x:c>
      <x:c r="M425" s="19"/>
      <x:c r="N425" s="26"/>
      <x:c r="O425" s="26"/>
      <x:c r="P425" s="19"/>
      <x:c r="Q425" s="26"/>
      <x:c r="R425" s="19"/>
      <x:c r="S425" s="26"/>
      <x:c r="T425" s="19"/>
      <x:c r="U425" s="19"/>
    </x:row>
    <x:row r="426">
      <x:c r="A426" s="19"/>
      <x:c r="B426" s="19"/>
      <x:c r="C426" s="19"/>
      <x:c r="D426" s="19"/>
      <x:c r="E426" s="19"/>
      <x:c r="F426" s="19"/>
      <x:c r="G426" s="26"/>
      <x:c r="H426" s="96" t="str">
        <x:f>IF($A426="","",SUMIFS('OrderItems'!$I$2:$I$500,'OrderItems'!$B$2:$B$500,$A426))</x:f>
      </x:c>
      <x:c r="I426" s="25"/>
      <x:c r="J426" s="25"/>
      <x:c r="K426" s="96" t="str">
        <x:f>IF($A426="","",$H426-$I426+$J426)</x:f>
      </x:c>
      <x:c r="L426" s="116" t="str">
        <x:f>IF($A426="","",IF(SUMIFS('Payments'!$C$2:$C$500,'Payments'!$B$2:$B$500,$A426,'Payments'!$G$2:$G$500,"confirmed")&lt;=0,"unpaid",IF(SUMIFS('Payments'!$C$2:$C$500,'Payments'!$B$2:$B$500,$A426,'Payments'!$G$2:$G$500,"confirmed")&gt;=$K426,"paid","partial")))</x:f>
      </x:c>
      <x:c r="M426" s="19"/>
      <x:c r="N426" s="26"/>
      <x:c r="O426" s="26"/>
      <x:c r="P426" s="19"/>
      <x:c r="Q426" s="26"/>
      <x:c r="R426" s="19"/>
      <x:c r="S426" s="26"/>
      <x:c r="T426" s="19"/>
      <x:c r="U426" s="19"/>
    </x:row>
    <x:row r="427">
      <x:c r="A427" s="19"/>
      <x:c r="B427" s="19"/>
      <x:c r="C427" s="19"/>
      <x:c r="D427" s="19"/>
      <x:c r="E427" s="19"/>
      <x:c r="F427" s="19"/>
      <x:c r="G427" s="26"/>
      <x:c r="H427" s="96" t="str">
        <x:f>IF($A427="","",SUMIFS('OrderItems'!$I$2:$I$500,'OrderItems'!$B$2:$B$500,$A427))</x:f>
      </x:c>
      <x:c r="I427" s="25"/>
      <x:c r="J427" s="25"/>
      <x:c r="K427" s="96" t="str">
        <x:f>IF($A427="","",$H427-$I427+$J427)</x:f>
      </x:c>
      <x:c r="L427" s="116" t="str">
        <x:f>IF($A427="","",IF(SUMIFS('Payments'!$C$2:$C$500,'Payments'!$B$2:$B$500,$A427,'Payments'!$G$2:$G$500,"confirmed")&lt;=0,"unpaid",IF(SUMIFS('Payments'!$C$2:$C$500,'Payments'!$B$2:$B$500,$A427,'Payments'!$G$2:$G$500,"confirmed")&gt;=$K427,"paid","partial")))</x:f>
      </x:c>
      <x:c r="M427" s="19"/>
      <x:c r="N427" s="26"/>
      <x:c r="O427" s="26"/>
      <x:c r="P427" s="19"/>
      <x:c r="Q427" s="26"/>
      <x:c r="R427" s="19"/>
      <x:c r="S427" s="26"/>
      <x:c r="T427" s="19"/>
      <x:c r="U427" s="19"/>
    </x:row>
    <x:row r="428">
      <x:c r="A428" s="19"/>
      <x:c r="B428" s="19"/>
      <x:c r="C428" s="19"/>
      <x:c r="D428" s="19"/>
      <x:c r="E428" s="19"/>
      <x:c r="F428" s="19"/>
      <x:c r="G428" s="26"/>
      <x:c r="H428" s="96" t="str">
        <x:f>IF($A428="","",SUMIFS('OrderItems'!$I$2:$I$500,'OrderItems'!$B$2:$B$500,$A428))</x:f>
      </x:c>
      <x:c r="I428" s="25"/>
      <x:c r="J428" s="25"/>
      <x:c r="K428" s="96" t="str">
        <x:f>IF($A428="","",$H428-$I428+$J428)</x:f>
      </x:c>
      <x:c r="L428" s="116" t="str">
        <x:f>IF($A428="","",IF(SUMIFS('Payments'!$C$2:$C$500,'Payments'!$B$2:$B$500,$A428,'Payments'!$G$2:$G$500,"confirmed")&lt;=0,"unpaid",IF(SUMIFS('Payments'!$C$2:$C$500,'Payments'!$B$2:$B$500,$A428,'Payments'!$G$2:$G$500,"confirmed")&gt;=$K428,"paid","partial")))</x:f>
      </x:c>
      <x:c r="M428" s="19"/>
      <x:c r="N428" s="26"/>
      <x:c r="O428" s="26"/>
      <x:c r="P428" s="19"/>
      <x:c r="Q428" s="26"/>
      <x:c r="R428" s="19"/>
      <x:c r="S428" s="26"/>
      <x:c r="T428" s="19"/>
      <x:c r="U428" s="19"/>
    </x:row>
    <x:row r="429">
      <x:c r="A429" s="19"/>
      <x:c r="B429" s="19"/>
      <x:c r="C429" s="19"/>
      <x:c r="D429" s="19"/>
      <x:c r="E429" s="19"/>
      <x:c r="F429" s="19"/>
      <x:c r="G429" s="26"/>
      <x:c r="H429" s="96" t="str">
        <x:f>IF($A429="","",SUMIFS('OrderItems'!$I$2:$I$500,'OrderItems'!$B$2:$B$500,$A429))</x:f>
      </x:c>
      <x:c r="I429" s="25"/>
      <x:c r="J429" s="25"/>
      <x:c r="K429" s="96" t="str">
        <x:f>IF($A429="","",$H429-$I429+$J429)</x:f>
      </x:c>
      <x:c r="L429" s="116" t="str">
        <x:f>IF($A429="","",IF(SUMIFS('Payments'!$C$2:$C$500,'Payments'!$B$2:$B$500,$A429,'Payments'!$G$2:$G$500,"confirmed")&lt;=0,"unpaid",IF(SUMIFS('Payments'!$C$2:$C$500,'Payments'!$B$2:$B$500,$A429,'Payments'!$G$2:$G$500,"confirmed")&gt;=$K429,"paid","partial")))</x:f>
      </x:c>
      <x:c r="M429" s="19"/>
      <x:c r="N429" s="26"/>
      <x:c r="O429" s="26"/>
      <x:c r="P429" s="19"/>
      <x:c r="Q429" s="26"/>
      <x:c r="R429" s="19"/>
      <x:c r="S429" s="26"/>
      <x:c r="T429" s="19"/>
      <x:c r="U429" s="19"/>
    </x:row>
    <x:row r="430">
      <x:c r="A430" s="19"/>
      <x:c r="B430" s="19"/>
      <x:c r="C430" s="19"/>
      <x:c r="D430" s="19"/>
      <x:c r="E430" s="19"/>
      <x:c r="F430" s="19"/>
      <x:c r="G430" s="26"/>
      <x:c r="H430" s="96" t="str">
        <x:f>IF($A430="","",SUMIFS('OrderItems'!$I$2:$I$500,'OrderItems'!$B$2:$B$500,$A430))</x:f>
      </x:c>
      <x:c r="I430" s="25"/>
      <x:c r="J430" s="25"/>
      <x:c r="K430" s="96" t="str">
        <x:f>IF($A430="","",$H430-$I430+$J430)</x:f>
      </x:c>
      <x:c r="L430" s="116" t="str">
        <x:f>IF($A430="","",IF(SUMIFS('Payments'!$C$2:$C$500,'Payments'!$B$2:$B$500,$A430,'Payments'!$G$2:$G$500,"confirmed")&lt;=0,"unpaid",IF(SUMIFS('Payments'!$C$2:$C$500,'Payments'!$B$2:$B$500,$A430,'Payments'!$G$2:$G$500,"confirmed")&gt;=$K430,"paid","partial")))</x:f>
      </x:c>
      <x:c r="M430" s="19"/>
      <x:c r="N430" s="26"/>
      <x:c r="O430" s="26"/>
      <x:c r="P430" s="19"/>
      <x:c r="Q430" s="26"/>
      <x:c r="R430" s="19"/>
      <x:c r="S430" s="26"/>
      <x:c r="T430" s="19"/>
      <x:c r="U430" s="19"/>
    </x:row>
    <x:row r="431">
      <x:c r="A431" s="19"/>
      <x:c r="B431" s="19"/>
      <x:c r="C431" s="19"/>
      <x:c r="D431" s="19"/>
      <x:c r="E431" s="19"/>
      <x:c r="F431" s="19"/>
      <x:c r="G431" s="26"/>
      <x:c r="H431" s="96" t="str">
        <x:f>IF($A431="","",SUMIFS('OrderItems'!$I$2:$I$500,'OrderItems'!$B$2:$B$500,$A431))</x:f>
      </x:c>
      <x:c r="I431" s="25"/>
      <x:c r="J431" s="25"/>
      <x:c r="K431" s="96" t="str">
        <x:f>IF($A431="","",$H431-$I431+$J431)</x:f>
      </x:c>
      <x:c r="L431" s="116" t="str">
        <x:f>IF($A431="","",IF(SUMIFS('Payments'!$C$2:$C$500,'Payments'!$B$2:$B$500,$A431,'Payments'!$G$2:$G$500,"confirmed")&lt;=0,"unpaid",IF(SUMIFS('Payments'!$C$2:$C$500,'Payments'!$B$2:$B$500,$A431,'Payments'!$G$2:$G$500,"confirmed")&gt;=$K431,"paid","partial")))</x:f>
      </x:c>
      <x:c r="M431" s="19"/>
      <x:c r="N431" s="26"/>
      <x:c r="O431" s="26"/>
      <x:c r="P431" s="19"/>
      <x:c r="Q431" s="26"/>
      <x:c r="R431" s="19"/>
      <x:c r="S431" s="26"/>
      <x:c r="T431" s="19"/>
      <x:c r="U431" s="19"/>
    </x:row>
    <x:row r="432">
      <x:c r="A432" s="19"/>
      <x:c r="B432" s="19"/>
      <x:c r="C432" s="19"/>
      <x:c r="D432" s="19"/>
      <x:c r="E432" s="19"/>
      <x:c r="F432" s="19"/>
      <x:c r="G432" s="26"/>
      <x:c r="H432" s="96" t="str">
        <x:f>IF($A432="","",SUMIFS('OrderItems'!$I$2:$I$500,'OrderItems'!$B$2:$B$500,$A432))</x:f>
      </x:c>
      <x:c r="I432" s="25"/>
      <x:c r="J432" s="25"/>
      <x:c r="K432" s="96" t="str">
        <x:f>IF($A432="","",$H432-$I432+$J432)</x:f>
      </x:c>
      <x:c r="L432" s="116" t="str">
        <x:f>IF($A432="","",IF(SUMIFS('Payments'!$C$2:$C$500,'Payments'!$B$2:$B$500,$A432,'Payments'!$G$2:$G$500,"confirmed")&lt;=0,"unpaid",IF(SUMIFS('Payments'!$C$2:$C$500,'Payments'!$B$2:$B$500,$A432,'Payments'!$G$2:$G$500,"confirmed")&gt;=$K432,"paid","partial")))</x:f>
      </x:c>
      <x:c r="M432" s="19"/>
      <x:c r="N432" s="26"/>
      <x:c r="O432" s="26"/>
      <x:c r="P432" s="19"/>
      <x:c r="Q432" s="26"/>
      <x:c r="R432" s="19"/>
      <x:c r="S432" s="26"/>
      <x:c r="T432" s="19"/>
      <x:c r="U432" s="19"/>
    </x:row>
    <x:row r="433">
      <x:c r="A433" s="19"/>
      <x:c r="B433" s="19"/>
      <x:c r="C433" s="19"/>
      <x:c r="D433" s="19"/>
      <x:c r="E433" s="19"/>
      <x:c r="F433" s="19"/>
      <x:c r="G433" s="26"/>
      <x:c r="H433" s="96" t="str">
        <x:f>IF($A433="","",SUMIFS('OrderItems'!$I$2:$I$500,'OrderItems'!$B$2:$B$500,$A433))</x:f>
      </x:c>
      <x:c r="I433" s="25"/>
      <x:c r="J433" s="25"/>
      <x:c r="K433" s="96" t="str">
        <x:f>IF($A433="","",$H433-$I433+$J433)</x:f>
      </x:c>
      <x:c r="L433" s="116" t="str">
        <x:f>IF($A433="","",IF(SUMIFS('Payments'!$C$2:$C$500,'Payments'!$B$2:$B$500,$A433,'Payments'!$G$2:$G$500,"confirmed")&lt;=0,"unpaid",IF(SUMIFS('Payments'!$C$2:$C$500,'Payments'!$B$2:$B$500,$A433,'Payments'!$G$2:$G$500,"confirmed")&gt;=$K433,"paid","partial")))</x:f>
      </x:c>
      <x:c r="M433" s="19"/>
      <x:c r="N433" s="26"/>
      <x:c r="O433" s="26"/>
      <x:c r="P433" s="19"/>
      <x:c r="Q433" s="26"/>
      <x:c r="R433" s="19"/>
      <x:c r="S433" s="26"/>
      <x:c r="T433" s="19"/>
      <x:c r="U433" s="19"/>
    </x:row>
    <x:row r="434">
      <x:c r="A434" s="19"/>
      <x:c r="B434" s="19"/>
      <x:c r="C434" s="19"/>
      <x:c r="D434" s="19"/>
      <x:c r="E434" s="19"/>
      <x:c r="F434" s="19"/>
      <x:c r="G434" s="26"/>
      <x:c r="H434" s="96" t="str">
        <x:f>IF($A434="","",SUMIFS('OrderItems'!$I$2:$I$500,'OrderItems'!$B$2:$B$500,$A434))</x:f>
      </x:c>
      <x:c r="I434" s="25"/>
      <x:c r="J434" s="25"/>
      <x:c r="K434" s="96" t="str">
        <x:f>IF($A434="","",$H434-$I434+$J434)</x:f>
      </x:c>
      <x:c r="L434" s="116" t="str">
        <x:f>IF($A434="","",IF(SUMIFS('Payments'!$C$2:$C$500,'Payments'!$B$2:$B$500,$A434,'Payments'!$G$2:$G$500,"confirmed")&lt;=0,"unpaid",IF(SUMIFS('Payments'!$C$2:$C$500,'Payments'!$B$2:$B$500,$A434,'Payments'!$G$2:$G$500,"confirmed")&gt;=$K434,"paid","partial")))</x:f>
      </x:c>
      <x:c r="M434" s="19"/>
      <x:c r="N434" s="26"/>
      <x:c r="O434" s="26"/>
      <x:c r="P434" s="19"/>
      <x:c r="Q434" s="26"/>
      <x:c r="R434" s="19"/>
      <x:c r="S434" s="26"/>
      <x:c r="T434" s="19"/>
      <x:c r="U434" s="19"/>
    </x:row>
    <x:row r="435">
      <x:c r="A435" s="19"/>
      <x:c r="B435" s="19"/>
      <x:c r="C435" s="19"/>
      <x:c r="D435" s="19"/>
      <x:c r="E435" s="19"/>
      <x:c r="F435" s="19"/>
      <x:c r="G435" s="26"/>
      <x:c r="H435" s="96" t="str">
        <x:f>IF($A435="","",SUMIFS('OrderItems'!$I$2:$I$500,'OrderItems'!$B$2:$B$500,$A435))</x:f>
      </x:c>
      <x:c r="I435" s="25"/>
      <x:c r="J435" s="25"/>
      <x:c r="K435" s="96" t="str">
        <x:f>IF($A435="","",$H435-$I435+$J435)</x:f>
      </x:c>
      <x:c r="L435" s="116" t="str">
        <x:f>IF($A435="","",IF(SUMIFS('Payments'!$C$2:$C$500,'Payments'!$B$2:$B$500,$A435,'Payments'!$G$2:$G$500,"confirmed")&lt;=0,"unpaid",IF(SUMIFS('Payments'!$C$2:$C$500,'Payments'!$B$2:$B$500,$A435,'Payments'!$G$2:$G$500,"confirmed")&gt;=$K435,"paid","partial")))</x:f>
      </x:c>
      <x:c r="M435" s="19"/>
      <x:c r="N435" s="26"/>
      <x:c r="O435" s="26"/>
      <x:c r="P435" s="19"/>
      <x:c r="Q435" s="26"/>
      <x:c r="R435" s="19"/>
      <x:c r="S435" s="26"/>
      <x:c r="T435" s="19"/>
      <x:c r="U435" s="19"/>
    </x:row>
    <x:row r="436">
      <x:c r="A436" s="19"/>
      <x:c r="B436" s="19"/>
      <x:c r="C436" s="19"/>
      <x:c r="D436" s="19"/>
      <x:c r="E436" s="19"/>
      <x:c r="F436" s="19"/>
      <x:c r="G436" s="26"/>
      <x:c r="H436" s="96" t="str">
        <x:f>IF($A436="","",SUMIFS('OrderItems'!$I$2:$I$500,'OrderItems'!$B$2:$B$500,$A436))</x:f>
      </x:c>
      <x:c r="I436" s="25"/>
      <x:c r="J436" s="25"/>
      <x:c r="K436" s="96" t="str">
        <x:f>IF($A436="","",$H436-$I436+$J436)</x:f>
      </x:c>
      <x:c r="L436" s="116" t="str">
        <x:f>IF($A436="","",IF(SUMIFS('Payments'!$C$2:$C$500,'Payments'!$B$2:$B$500,$A436,'Payments'!$G$2:$G$500,"confirmed")&lt;=0,"unpaid",IF(SUMIFS('Payments'!$C$2:$C$500,'Payments'!$B$2:$B$500,$A436,'Payments'!$G$2:$G$500,"confirmed")&gt;=$K436,"paid","partial")))</x:f>
      </x:c>
      <x:c r="M436" s="19"/>
      <x:c r="N436" s="26"/>
      <x:c r="O436" s="26"/>
      <x:c r="P436" s="19"/>
      <x:c r="Q436" s="26"/>
      <x:c r="R436" s="19"/>
      <x:c r="S436" s="26"/>
      <x:c r="T436" s="19"/>
      <x:c r="U436" s="19"/>
    </x:row>
    <x:row r="437">
      <x:c r="A437" s="19"/>
      <x:c r="B437" s="19"/>
      <x:c r="C437" s="19"/>
      <x:c r="D437" s="19"/>
      <x:c r="E437" s="19"/>
      <x:c r="F437" s="19"/>
      <x:c r="G437" s="26"/>
      <x:c r="H437" s="96" t="str">
        <x:f>IF($A437="","",SUMIFS('OrderItems'!$I$2:$I$500,'OrderItems'!$B$2:$B$500,$A437))</x:f>
      </x:c>
      <x:c r="I437" s="25"/>
      <x:c r="J437" s="25"/>
      <x:c r="K437" s="96" t="str">
        <x:f>IF($A437="","",$H437-$I437+$J437)</x:f>
      </x:c>
      <x:c r="L437" s="116" t="str">
        <x:f>IF($A437="","",IF(SUMIFS('Payments'!$C$2:$C$500,'Payments'!$B$2:$B$500,$A437,'Payments'!$G$2:$G$500,"confirmed")&lt;=0,"unpaid",IF(SUMIFS('Payments'!$C$2:$C$500,'Payments'!$B$2:$B$500,$A437,'Payments'!$G$2:$G$500,"confirmed")&gt;=$K437,"paid","partial")))</x:f>
      </x:c>
      <x:c r="M437" s="19"/>
      <x:c r="N437" s="26"/>
      <x:c r="O437" s="26"/>
      <x:c r="P437" s="19"/>
      <x:c r="Q437" s="26"/>
      <x:c r="R437" s="19"/>
      <x:c r="S437" s="26"/>
      <x:c r="T437" s="19"/>
      <x:c r="U437" s="19"/>
    </x:row>
    <x:row r="438">
      <x:c r="A438" s="19"/>
      <x:c r="B438" s="19"/>
      <x:c r="C438" s="19"/>
      <x:c r="D438" s="19"/>
      <x:c r="E438" s="19"/>
      <x:c r="F438" s="19"/>
      <x:c r="G438" s="26"/>
      <x:c r="H438" s="96" t="str">
        <x:f>IF($A438="","",SUMIFS('OrderItems'!$I$2:$I$500,'OrderItems'!$B$2:$B$500,$A438))</x:f>
      </x:c>
      <x:c r="I438" s="25"/>
      <x:c r="J438" s="25"/>
      <x:c r="K438" s="96" t="str">
        <x:f>IF($A438="","",$H438-$I438+$J438)</x:f>
      </x:c>
      <x:c r="L438" s="116" t="str">
        <x:f>IF($A438="","",IF(SUMIFS('Payments'!$C$2:$C$500,'Payments'!$B$2:$B$500,$A438,'Payments'!$G$2:$G$500,"confirmed")&lt;=0,"unpaid",IF(SUMIFS('Payments'!$C$2:$C$500,'Payments'!$B$2:$B$500,$A438,'Payments'!$G$2:$G$500,"confirmed")&gt;=$K438,"paid","partial")))</x:f>
      </x:c>
      <x:c r="M438" s="19"/>
      <x:c r="N438" s="26"/>
      <x:c r="O438" s="26"/>
      <x:c r="P438" s="19"/>
      <x:c r="Q438" s="26"/>
      <x:c r="R438" s="19"/>
      <x:c r="S438" s="26"/>
      <x:c r="T438" s="19"/>
      <x:c r="U438" s="19"/>
    </x:row>
    <x:row r="439">
      <x:c r="A439" s="19"/>
      <x:c r="B439" s="19"/>
      <x:c r="C439" s="19"/>
      <x:c r="D439" s="19"/>
      <x:c r="E439" s="19"/>
      <x:c r="F439" s="19"/>
      <x:c r="G439" s="26"/>
      <x:c r="H439" s="96" t="str">
        <x:f>IF($A439="","",SUMIFS('OrderItems'!$I$2:$I$500,'OrderItems'!$B$2:$B$500,$A439))</x:f>
      </x:c>
      <x:c r="I439" s="25"/>
      <x:c r="J439" s="25"/>
      <x:c r="K439" s="96" t="str">
        <x:f>IF($A439="","",$H439-$I439+$J439)</x:f>
      </x:c>
      <x:c r="L439" s="116" t="str">
        <x:f>IF($A439="","",IF(SUMIFS('Payments'!$C$2:$C$500,'Payments'!$B$2:$B$500,$A439,'Payments'!$G$2:$G$500,"confirmed")&lt;=0,"unpaid",IF(SUMIFS('Payments'!$C$2:$C$500,'Payments'!$B$2:$B$500,$A439,'Payments'!$G$2:$G$500,"confirmed")&gt;=$K439,"paid","partial")))</x:f>
      </x:c>
      <x:c r="M439" s="19"/>
      <x:c r="N439" s="26"/>
      <x:c r="O439" s="26"/>
      <x:c r="P439" s="19"/>
      <x:c r="Q439" s="26"/>
      <x:c r="R439" s="19"/>
      <x:c r="S439" s="26"/>
      <x:c r="T439" s="19"/>
      <x:c r="U439" s="19"/>
    </x:row>
    <x:row r="440">
      <x:c r="A440" s="19"/>
      <x:c r="B440" s="19"/>
      <x:c r="C440" s="19"/>
      <x:c r="D440" s="19"/>
      <x:c r="E440" s="19"/>
      <x:c r="F440" s="19"/>
      <x:c r="G440" s="26"/>
      <x:c r="H440" s="96" t="str">
        <x:f>IF($A440="","",SUMIFS('OrderItems'!$I$2:$I$500,'OrderItems'!$B$2:$B$500,$A440))</x:f>
      </x:c>
      <x:c r="I440" s="25"/>
      <x:c r="J440" s="25"/>
      <x:c r="K440" s="96" t="str">
        <x:f>IF($A440="","",$H440-$I440+$J440)</x:f>
      </x:c>
      <x:c r="L440" s="116" t="str">
        <x:f>IF($A440="","",IF(SUMIFS('Payments'!$C$2:$C$500,'Payments'!$B$2:$B$500,$A440,'Payments'!$G$2:$G$500,"confirmed")&lt;=0,"unpaid",IF(SUMIFS('Payments'!$C$2:$C$500,'Payments'!$B$2:$B$500,$A440,'Payments'!$G$2:$G$500,"confirmed")&gt;=$K440,"paid","partial")))</x:f>
      </x:c>
      <x:c r="M440" s="19"/>
      <x:c r="N440" s="26"/>
      <x:c r="O440" s="26"/>
      <x:c r="P440" s="19"/>
      <x:c r="Q440" s="26"/>
      <x:c r="R440" s="19"/>
      <x:c r="S440" s="26"/>
      <x:c r="T440" s="19"/>
      <x:c r="U440" s="19"/>
    </x:row>
    <x:row r="441">
      <x:c r="A441" s="19"/>
      <x:c r="B441" s="19"/>
      <x:c r="C441" s="19"/>
      <x:c r="D441" s="19"/>
      <x:c r="E441" s="19"/>
      <x:c r="F441" s="19"/>
      <x:c r="G441" s="26"/>
      <x:c r="H441" s="96" t="str">
        <x:f>IF($A441="","",SUMIFS('OrderItems'!$I$2:$I$500,'OrderItems'!$B$2:$B$500,$A441))</x:f>
      </x:c>
      <x:c r="I441" s="25"/>
      <x:c r="J441" s="25"/>
      <x:c r="K441" s="96" t="str">
        <x:f>IF($A441="","",$H441-$I441+$J441)</x:f>
      </x:c>
      <x:c r="L441" s="116" t="str">
        <x:f>IF($A441="","",IF(SUMIFS('Payments'!$C$2:$C$500,'Payments'!$B$2:$B$500,$A441,'Payments'!$G$2:$G$500,"confirmed")&lt;=0,"unpaid",IF(SUMIFS('Payments'!$C$2:$C$500,'Payments'!$B$2:$B$500,$A441,'Payments'!$G$2:$G$500,"confirmed")&gt;=$K441,"paid","partial")))</x:f>
      </x:c>
      <x:c r="M441" s="19"/>
      <x:c r="N441" s="26"/>
      <x:c r="O441" s="26"/>
      <x:c r="P441" s="19"/>
      <x:c r="Q441" s="26"/>
      <x:c r="R441" s="19"/>
      <x:c r="S441" s="26"/>
      <x:c r="T441" s="19"/>
      <x:c r="U441" s="19"/>
    </x:row>
    <x:row r="442">
      <x:c r="A442" s="19"/>
      <x:c r="B442" s="19"/>
      <x:c r="C442" s="19"/>
      <x:c r="D442" s="19"/>
      <x:c r="E442" s="19"/>
      <x:c r="F442" s="19"/>
      <x:c r="G442" s="26"/>
      <x:c r="H442" s="96" t="str">
        <x:f>IF($A442="","",SUMIFS('OrderItems'!$I$2:$I$500,'OrderItems'!$B$2:$B$500,$A442))</x:f>
      </x:c>
      <x:c r="I442" s="25"/>
      <x:c r="J442" s="25"/>
      <x:c r="K442" s="96" t="str">
        <x:f>IF($A442="","",$H442-$I442+$J442)</x:f>
      </x:c>
      <x:c r="L442" s="116" t="str">
        <x:f>IF($A442="","",IF(SUMIFS('Payments'!$C$2:$C$500,'Payments'!$B$2:$B$500,$A442,'Payments'!$G$2:$G$500,"confirmed")&lt;=0,"unpaid",IF(SUMIFS('Payments'!$C$2:$C$500,'Payments'!$B$2:$B$500,$A442,'Payments'!$G$2:$G$500,"confirmed")&gt;=$K442,"paid","partial")))</x:f>
      </x:c>
      <x:c r="M442" s="19"/>
      <x:c r="N442" s="26"/>
      <x:c r="O442" s="26"/>
      <x:c r="P442" s="19"/>
      <x:c r="Q442" s="26"/>
      <x:c r="R442" s="19"/>
      <x:c r="S442" s="26"/>
      <x:c r="T442" s="19"/>
      <x:c r="U442" s="19"/>
    </x:row>
    <x:row r="443">
      <x:c r="A443" s="19"/>
      <x:c r="B443" s="19"/>
      <x:c r="C443" s="19"/>
      <x:c r="D443" s="19"/>
      <x:c r="E443" s="19"/>
      <x:c r="F443" s="19"/>
      <x:c r="G443" s="26"/>
      <x:c r="H443" s="96" t="str">
        <x:f>IF($A443="","",SUMIFS('OrderItems'!$I$2:$I$500,'OrderItems'!$B$2:$B$500,$A443))</x:f>
      </x:c>
      <x:c r="I443" s="25"/>
      <x:c r="J443" s="25"/>
      <x:c r="K443" s="96" t="str">
        <x:f>IF($A443="","",$H443-$I443+$J443)</x:f>
      </x:c>
      <x:c r="L443" s="116" t="str">
        <x:f>IF($A443="","",IF(SUMIFS('Payments'!$C$2:$C$500,'Payments'!$B$2:$B$500,$A443,'Payments'!$G$2:$G$500,"confirmed")&lt;=0,"unpaid",IF(SUMIFS('Payments'!$C$2:$C$500,'Payments'!$B$2:$B$500,$A443,'Payments'!$G$2:$G$500,"confirmed")&gt;=$K443,"paid","partial")))</x:f>
      </x:c>
      <x:c r="M443" s="19"/>
      <x:c r="N443" s="26"/>
      <x:c r="O443" s="26"/>
      <x:c r="P443" s="19"/>
      <x:c r="Q443" s="26"/>
      <x:c r="R443" s="19"/>
      <x:c r="S443" s="26"/>
      <x:c r="T443" s="19"/>
      <x:c r="U443" s="19"/>
    </x:row>
    <x:row r="444">
      <x:c r="A444" s="19"/>
      <x:c r="B444" s="19"/>
      <x:c r="C444" s="19"/>
      <x:c r="D444" s="19"/>
      <x:c r="E444" s="19"/>
      <x:c r="F444" s="19"/>
      <x:c r="G444" s="26"/>
      <x:c r="H444" s="96" t="str">
        <x:f>IF($A444="","",SUMIFS('OrderItems'!$I$2:$I$500,'OrderItems'!$B$2:$B$500,$A444))</x:f>
      </x:c>
      <x:c r="I444" s="25"/>
      <x:c r="J444" s="25"/>
      <x:c r="K444" s="96" t="str">
        <x:f>IF($A444="","",$H444-$I444+$J444)</x:f>
      </x:c>
      <x:c r="L444" s="116" t="str">
        <x:f>IF($A444="","",IF(SUMIFS('Payments'!$C$2:$C$500,'Payments'!$B$2:$B$500,$A444,'Payments'!$G$2:$G$500,"confirmed")&lt;=0,"unpaid",IF(SUMIFS('Payments'!$C$2:$C$500,'Payments'!$B$2:$B$500,$A444,'Payments'!$G$2:$G$500,"confirmed")&gt;=$K444,"paid","partial")))</x:f>
      </x:c>
      <x:c r="M444" s="19"/>
      <x:c r="N444" s="26"/>
      <x:c r="O444" s="26"/>
      <x:c r="P444" s="19"/>
      <x:c r="Q444" s="26"/>
      <x:c r="R444" s="19"/>
      <x:c r="S444" s="26"/>
      <x:c r="T444" s="19"/>
      <x:c r="U444" s="19"/>
    </x:row>
    <x:row r="445">
      <x:c r="A445" s="19"/>
      <x:c r="B445" s="19"/>
      <x:c r="C445" s="19"/>
      <x:c r="D445" s="19"/>
      <x:c r="E445" s="19"/>
      <x:c r="F445" s="19"/>
      <x:c r="G445" s="26"/>
      <x:c r="H445" s="96" t="str">
        <x:f>IF($A445="","",SUMIFS('OrderItems'!$I$2:$I$500,'OrderItems'!$B$2:$B$500,$A445))</x:f>
      </x:c>
      <x:c r="I445" s="25"/>
      <x:c r="J445" s="25"/>
      <x:c r="K445" s="96" t="str">
        <x:f>IF($A445="","",$H445-$I445+$J445)</x:f>
      </x:c>
      <x:c r="L445" s="116" t="str">
        <x:f>IF($A445="","",IF(SUMIFS('Payments'!$C$2:$C$500,'Payments'!$B$2:$B$500,$A445,'Payments'!$G$2:$G$500,"confirmed")&lt;=0,"unpaid",IF(SUMIFS('Payments'!$C$2:$C$500,'Payments'!$B$2:$B$500,$A445,'Payments'!$G$2:$G$500,"confirmed")&gt;=$K445,"paid","partial")))</x:f>
      </x:c>
      <x:c r="M445" s="19"/>
      <x:c r="N445" s="26"/>
      <x:c r="O445" s="26"/>
      <x:c r="P445" s="19"/>
      <x:c r="Q445" s="26"/>
      <x:c r="R445" s="19"/>
      <x:c r="S445" s="26"/>
      <x:c r="T445" s="19"/>
      <x:c r="U445" s="19"/>
    </x:row>
    <x:row r="446">
      <x:c r="A446" s="19"/>
      <x:c r="B446" s="19"/>
      <x:c r="C446" s="19"/>
      <x:c r="D446" s="19"/>
      <x:c r="E446" s="19"/>
      <x:c r="F446" s="19"/>
      <x:c r="G446" s="26"/>
      <x:c r="H446" s="96" t="str">
        <x:f>IF($A446="","",SUMIFS('OrderItems'!$I$2:$I$500,'OrderItems'!$B$2:$B$500,$A446))</x:f>
      </x:c>
      <x:c r="I446" s="25"/>
      <x:c r="J446" s="25"/>
      <x:c r="K446" s="96" t="str">
        <x:f>IF($A446="","",$H446-$I446+$J446)</x:f>
      </x:c>
      <x:c r="L446" s="116" t="str">
        <x:f>IF($A446="","",IF(SUMIFS('Payments'!$C$2:$C$500,'Payments'!$B$2:$B$500,$A446,'Payments'!$G$2:$G$500,"confirmed")&lt;=0,"unpaid",IF(SUMIFS('Payments'!$C$2:$C$500,'Payments'!$B$2:$B$500,$A446,'Payments'!$G$2:$G$500,"confirmed")&gt;=$K446,"paid","partial")))</x:f>
      </x:c>
      <x:c r="M446" s="19"/>
      <x:c r="N446" s="26"/>
      <x:c r="O446" s="26"/>
      <x:c r="P446" s="19"/>
      <x:c r="Q446" s="26"/>
      <x:c r="R446" s="19"/>
      <x:c r="S446" s="26"/>
      <x:c r="T446" s="19"/>
      <x:c r="U446" s="19"/>
    </x:row>
    <x:row r="447">
      <x:c r="A447" s="19"/>
      <x:c r="B447" s="19"/>
      <x:c r="C447" s="19"/>
      <x:c r="D447" s="19"/>
      <x:c r="E447" s="19"/>
      <x:c r="F447" s="19"/>
      <x:c r="G447" s="26"/>
      <x:c r="H447" s="96" t="str">
        <x:f>IF($A447="","",SUMIFS('OrderItems'!$I$2:$I$500,'OrderItems'!$B$2:$B$500,$A447))</x:f>
      </x:c>
      <x:c r="I447" s="25"/>
      <x:c r="J447" s="25"/>
      <x:c r="K447" s="96" t="str">
        <x:f>IF($A447="","",$H447-$I447+$J447)</x:f>
      </x:c>
      <x:c r="L447" s="116" t="str">
        <x:f>IF($A447="","",IF(SUMIFS('Payments'!$C$2:$C$500,'Payments'!$B$2:$B$500,$A447,'Payments'!$G$2:$G$500,"confirmed")&lt;=0,"unpaid",IF(SUMIFS('Payments'!$C$2:$C$500,'Payments'!$B$2:$B$500,$A447,'Payments'!$G$2:$G$500,"confirmed")&gt;=$K447,"paid","partial")))</x:f>
      </x:c>
      <x:c r="M447" s="19"/>
      <x:c r="N447" s="26"/>
      <x:c r="O447" s="26"/>
      <x:c r="P447" s="19"/>
      <x:c r="Q447" s="26"/>
      <x:c r="R447" s="19"/>
      <x:c r="S447" s="26"/>
      <x:c r="T447" s="19"/>
      <x:c r="U447" s="19"/>
    </x:row>
    <x:row r="448">
      <x:c r="A448" s="19"/>
      <x:c r="B448" s="19"/>
      <x:c r="C448" s="19"/>
      <x:c r="D448" s="19"/>
      <x:c r="E448" s="19"/>
      <x:c r="F448" s="19"/>
      <x:c r="G448" s="26"/>
      <x:c r="H448" s="96" t="str">
        <x:f>IF($A448="","",SUMIFS('OrderItems'!$I$2:$I$500,'OrderItems'!$B$2:$B$500,$A448))</x:f>
      </x:c>
      <x:c r="I448" s="25"/>
      <x:c r="J448" s="25"/>
      <x:c r="K448" s="96" t="str">
        <x:f>IF($A448="","",$H448-$I448+$J448)</x:f>
      </x:c>
      <x:c r="L448" s="116" t="str">
        <x:f>IF($A448="","",IF(SUMIFS('Payments'!$C$2:$C$500,'Payments'!$B$2:$B$500,$A448,'Payments'!$G$2:$G$500,"confirmed")&lt;=0,"unpaid",IF(SUMIFS('Payments'!$C$2:$C$500,'Payments'!$B$2:$B$500,$A448,'Payments'!$G$2:$G$500,"confirmed")&gt;=$K448,"paid","partial")))</x:f>
      </x:c>
      <x:c r="M448" s="19"/>
      <x:c r="N448" s="26"/>
      <x:c r="O448" s="26"/>
      <x:c r="P448" s="19"/>
      <x:c r="Q448" s="26"/>
      <x:c r="R448" s="19"/>
      <x:c r="S448" s="26"/>
      <x:c r="T448" s="19"/>
      <x:c r="U448" s="19"/>
    </x:row>
    <x:row r="449">
      <x:c r="A449" s="19"/>
      <x:c r="B449" s="19"/>
      <x:c r="C449" s="19"/>
      <x:c r="D449" s="19"/>
      <x:c r="E449" s="19"/>
      <x:c r="F449" s="19"/>
      <x:c r="G449" s="26"/>
      <x:c r="H449" s="96" t="str">
        <x:f>IF($A449="","",SUMIFS('OrderItems'!$I$2:$I$500,'OrderItems'!$B$2:$B$500,$A449))</x:f>
      </x:c>
      <x:c r="I449" s="25"/>
      <x:c r="J449" s="25"/>
      <x:c r="K449" s="96" t="str">
        <x:f>IF($A449="","",$H449-$I449+$J449)</x:f>
      </x:c>
      <x:c r="L449" s="116" t="str">
        <x:f>IF($A449="","",IF(SUMIFS('Payments'!$C$2:$C$500,'Payments'!$B$2:$B$500,$A449,'Payments'!$G$2:$G$500,"confirmed")&lt;=0,"unpaid",IF(SUMIFS('Payments'!$C$2:$C$500,'Payments'!$B$2:$B$500,$A449,'Payments'!$G$2:$G$500,"confirmed")&gt;=$K449,"paid","partial")))</x:f>
      </x:c>
      <x:c r="M449" s="19"/>
      <x:c r="N449" s="26"/>
      <x:c r="O449" s="26"/>
      <x:c r="P449" s="19"/>
      <x:c r="Q449" s="26"/>
      <x:c r="R449" s="19"/>
      <x:c r="S449" s="26"/>
      <x:c r="T449" s="19"/>
      <x:c r="U449" s="19"/>
    </x:row>
    <x:row r="450">
      <x:c r="A450" s="19"/>
      <x:c r="B450" s="19"/>
      <x:c r="C450" s="19"/>
      <x:c r="D450" s="19"/>
      <x:c r="E450" s="19"/>
      <x:c r="F450" s="19"/>
      <x:c r="G450" s="26"/>
      <x:c r="H450" s="96" t="str">
        <x:f>IF($A450="","",SUMIFS('OrderItems'!$I$2:$I$500,'OrderItems'!$B$2:$B$500,$A450))</x:f>
      </x:c>
      <x:c r="I450" s="25"/>
      <x:c r="J450" s="25"/>
      <x:c r="K450" s="96" t="str">
        <x:f>IF($A450="","",$H450-$I450+$J450)</x:f>
      </x:c>
      <x:c r="L450" s="116" t="str">
        <x:f>IF($A450="","",IF(SUMIFS('Payments'!$C$2:$C$500,'Payments'!$B$2:$B$500,$A450,'Payments'!$G$2:$G$500,"confirmed")&lt;=0,"unpaid",IF(SUMIFS('Payments'!$C$2:$C$500,'Payments'!$B$2:$B$500,$A450,'Payments'!$G$2:$G$500,"confirmed")&gt;=$K450,"paid","partial")))</x:f>
      </x:c>
      <x:c r="M450" s="19"/>
      <x:c r="N450" s="26"/>
      <x:c r="O450" s="26"/>
      <x:c r="P450" s="19"/>
      <x:c r="Q450" s="26"/>
      <x:c r="R450" s="19"/>
      <x:c r="S450" s="26"/>
      <x:c r="T450" s="19"/>
      <x:c r="U450" s="19"/>
    </x:row>
    <x:row r="451">
      <x:c r="A451" s="19"/>
      <x:c r="B451" s="19"/>
      <x:c r="C451" s="19"/>
      <x:c r="D451" s="19"/>
      <x:c r="E451" s="19"/>
      <x:c r="F451" s="19"/>
      <x:c r="G451" s="26"/>
      <x:c r="H451" s="96" t="str">
        <x:f>IF($A451="","",SUMIFS('OrderItems'!$I$2:$I$500,'OrderItems'!$B$2:$B$500,$A451))</x:f>
      </x:c>
      <x:c r="I451" s="25"/>
      <x:c r="J451" s="25"/>
      <x:c r="K451" s="96" t="str">
        <x:f>IF($A451="","",$H451-$I451+$J451)</x:f>
      </x:c>
      <x:c r="L451" s="116" t="str">
        <x:f>IF($A451="","",IF(SUMIFS('Payments'!$C$2:$C$500,'Payments'!$B$2:$B$500,$A451,'Payments'!$G$2:$G$500,"confirmed")&lt;=0,"unpaid",IF(SUMIFS('Payments'!$C$2:$C$500,'Payments'!$B$2:$B$500,$A451,'Payments'!$G$2:$G$500,"confirmed")&gt;=$K451,"paid","partial")))</x:f>
      </x:c>
      <x:c r="M451" s="19"/>
      <x:c r="N451" s="26"/>
      <x:c r="O451" s="26"/>
      <x:c r="P451" s="19"/>
      <x:c r="Q451" s="26"/>
      <x:c r="R451" s="19"/>
      <x:c r="S451" s="26"/>
      <x:c r="T451" s="19"/>
      <x:c r="U451" s="19"/>
    </x:row>
    <x:row r="452">
      <x:c r="A452" s="19"/>
      <x:c r="B452" s="19"/>
      <x:c r="C452" s="19"/>
      <x:c r="D452" s="19"/>
      <x:c r="E452" s="19"/>
      <x:c r="F452" s="19"/>
      <x:c r="G452" s="26"/>
      <x:c r="H452" s="96" t="str">
        <x:f>IF($A452="","",SUMIFS('OrderItems'!$I$2:$I$500,'OrderItems'!$B$2:$B$500,$A452))</x:f>
      </x:c>
      <x:c r="I452" s="25"/>
      <x:c r="J452" s="25"/>
      <x:c r="K452" s="96" t="str">
        <x:f>IF($A452="","",$H452-$I452+$J452)</x:f>
      </x:c>
      <x:c r="L452" s="116" t="str">
        <x:f>IF($A452="","",IF(SUMIFS('Payments'!$C$2:$C$500,'Payments'!$B$2:$B$500,$A452,'Payments'!$G$2:$G$500,"confirmed")&lt;=0,"unpaid",IF(SUMIFS('Payments'!$C$2:$C$500,'Payments'!$B$2:$B$500,$A452,'Payments'!$G$2:$G$500,"confirmed")&gt;=$K452,"paid","partial")))</x:f>
      </x:c>
      <x:c r="M452" s="19"/>
      <x:c r="N452" s="26"/>
      <x:c r="O452" s="26"/>
      <x:c r="P452" s="19"/>
      <x:c r="Q452" s="26"/>
      <x:c r="R452" s="19"/>
      <x:c r="S452" s="26"/>
      <x:c r="T452" s="19"/>
      <x:c r="U452" s="19"/>
    </x:row>
    <x:row r="453">
      <x:c r="A453" s="19"/>
      <x:c r="B453" s="19"/>
      <x:c r="C453" s="19"/>
      <x:c r="D453" s="19"/>
      <x:c r="E453" s="19"/>
      <x:c r="F453" s="19"/>
      <x:c r="G453" s="26"/>
      <x:c r="H453" s="96" t="str">
        <x:f>IF($A453="","",SUMIFS('OrderItems'!$I$2:$I$500,'OrderItems'!$B$2:$B$500,$A453))</x:f>
      </x:c>
      <x:c r="I453" s="25"/>
      <x:c r="J453" s="25"/>
      <x:c r="K453" s="96" t="str">
        <x:f>IF($A453="","",$H453-$I453+$J453)</x:f>
      </x:c>
      <x:c r="L453" s="116" t="str">
        <x:f>IF($A453="","",IF(SUMIFS('Payments'!$C$2:$C$500,'Payments'!$B$2:$B$500,$A453,'Payments'!$G$2:$G$500,"confirmed")&lt;=0,"unpaid",IF(SUMIFS('Payments'!$C$2:$C$500,'Payments'!$B$2:$B$500,$A453,'Payments'!$G$2:$G$500,"confirmed")&gt;=$K453,"paid","partial")))</x:f>
      </x:c>
      <x:c r="M453" s="19"/>
      <x:c r="N453" s="26"/>
      <x:c r="O453" s="26"/>
      <x:c r="P453" s="19"/>
      <x:c r="Q453" s="26"/>
      <x:c r="R453" s="19"/>
      <x:c r="S453" s="26"/>
      <x:c r="T453" s="19"/>
      <x:c r="U453" s="19"/>
    </x:row>
    <x:row r="454">
      <x:c r="A454" s="19"/>
      <x:c r="B454" s="19"/>
      <x:c r="C454" s="19"/>
      <x:c r="D454" s="19"/>
      <x:c r="E454" s="19"/>
      <x:c r="F454" s="19"/>
      <x:c r="G454" s="26"/>
      <x:c r="H454" s="96" t="str">
        <x:f>IF($A454="","",SUMIFS('OrderItems'!$I$2:$I$500,'OrderItems'!$B$2:$B$500,$A454))</x:f>
      </x:c>
      <x:c r="I454" s="25"/>
      <x:c r="J454" s="25"/>
      <x:c r="K454" s="96" t="str">
        <x:f>IF($A454="","",$H454-$I454+$J454)</x:f>
      </x:c>
      <x:c r="L454" s="116" t="str">
        <x:f>IF($A454="","",IF(SUMIFS('Payments'!$C$2:$C$500,'Payments'!$B$2:$B$500,$A454,'Payments'!$G$2:$G$500,"confirmed")&lt;=0,"unpaid",IF(SUMIFS('Payments'!$C$2:$C$500,'Payments'!$B$2:$B$500,$A454,'Payments'!$G$2:$G$500,"confirmed")&gt;=$K454,"paid","partial")))</x:f>
      </x:c>
      <x:c r="M454" s="19"/>
      <x:c r="N454" s="26"/>
      <x:c r="O454" s="26"/>
      <x:c r="P454" s="19"/>
      <x:c r="Q454" s="26"/>
      <x:c r="R454" s="19"/>
      <x:c r="S454" s="26"/>
      <x:c r="T454" s="19"/>
      <x:c r="U454" s="19"/>
    </x:row>
    <x:row r="455">
      <x:c r="A455" s="19"/>
      <x:c r="B455" s="19"/>
      <x:c r="C455" s="19"/>
      <x:c r="D455" s="19"/>
      <x:c r="E455" s="19"/>
      <x:c r="F455" s="19"/>
      <x:c r="G455" s="26"/>
      <x:c r="H455" s="96" t="str">
        <x:f>IF($A455="","",SUMIFS('OrderItems'!$I$2:$I$500,'OrderItems'!$B$2:$B$500,$A455))</x:f>
      </x:c>
      <x:c r="I455" s="25"/>
      <x:c r="J455" s="25"/>
      <x:c r="K455" s="96" t="str">
        <x:f>IF($A455="","",$H455-$I455+$J455)</x:f>
      </x:c>
      <x:c r="L455" s="116" t="str">
        <x:f>IF($A455="","",IF(SUMIFS('Payments'!$C$2:$C$500,'Payments'!$B$2:$B$500,$A455,'Payments'!$G$2:$G$500,"confirmed")&lt;=0,"unpaid",IF(SUMIFS('Payments'!$C$2:$C$500,'Payments'!$B$2:$B$500,$A455,'Payments'!$G$2:$G$500,"confirmed")&gt;=$K455,"paid","partial")))</x:f>
      </x:c>
      <x:c r="M455" s="19"/>
      <x:c r="N455" s="26"/>
      <x:c r="O455" s="26"/>
      <x:c r="P455" s="19"/>
      <x:c r="Q455" s="26"/>
      <x:c r="R455" s="19"/>
      <x:c r="S455" s="26"/>
      <x:c r="T455" s="19"/>
      <x:c r="U455" s="19"/>
    </x:row>
    <x:row r="456">
      <x:c r="A456" s="19"/>
      <x:c r="B456" s="19"/>
      <x:c r="C456" s="19"/>
      <x:c r="D456" s="19"/>
      <x:c r="E456" s="19"/>
      <x:c r="F456" s="19"/>
      <x:c r="G456" s="26"/>
      <x:c r="H456" s="96" t="str">
        <x:f>IF($A456="","",SUMIFS('OrderItems'!$I$2:$I$500,'OrderItems'!$B$2:$B$500,$A456))</x:f>
      </x:c>
      <x:c r="I456" s="25"/>
      <x:c r="J456" s="25"/>
      <x:c r="K456" s="96" t="str">
        <x:f>IF($A456="","",$H456-$I456+$J456)</x:f>
      </x:c>
      <x:c r="L456" s="116" t="str">
        <x:f>IF($A456="","",IF(SUMIFS('Payments'!$C$2:$C$500,'Payments'!$B$2:$B$500,$A456,'Payments'!$G$2:$G$500,"confirmed")&lt;=0,"unpaid",IF(SUMIFS('Payments'!$C$2:$C$500,'Payments'!$B$2:$B$500,$A456,'Payments'!$G$2:$G$500,"confirmed")&gt;=$K456,"paid","partial")))</x:f>
      </x:c>
      <x:c r="M456" s="19"/>
      <x:c r="N456" s="26"/>
      <x:c r="O456" s="26"/>
      <x:c r="P456" s="19"/>
      <x:c r="Q456" s="26"/>
      <x:c r="R456" s="19"/>
      <x:c r="S456" s="26"/>
      <x:c r="T456" s="19"/>
      <x:c r="U456" s="19"/>
    </x:row>
    <x:row r="457">
      <x:c r="A457" s="19"/>
      <x:c r="B457" s="19"/>
      <x:c r="C457" s="19"/>
      <x:c r="D457" s="19"/>
      <x:c r="E457" s="19"/>
      <x:c r="F457" s="19"/>
      <x:c r="G457" s="26"/>
      <x:c r="H457" s="96" t="str">
        <x:f>IF($A457="","",SUMIFS('OrderItems'!$I$2:$I$500,'OrderItems'!$B$2:$B$500,$A457))</x:f>
      </x:c>
      <x:c r="I457" s="25"/>
      <x:c r="J457" s="25"/>
      <x:c r="K457" s="96" t="str">
        <x:f>IF($A457="","",$H457-$I457+$J457)</x:f>
      </x:c>
      <x:c r="L457" s="116" t="str">
        <x:f>IF($A457="","",IF(SUMIFS('Payments'!$C$2:$C$500,'Payments'!$B$2:$B$500,$A457,'Payments'!$G$2:$G$500,"confirmed")&lt;=0,"unpaid",IF(SUMIFS('Payments'!$C$2:$C$500,'Payments'!$B$2:$B$500,$A457,'Payments'!$G$2:$G$500,"confirmed")&gt;=$K457,"paid","partial")))</x:f>
      </x:c>
      <x:c r="M457" s="19"/>
      <x:c r="N457" s="26"/>
      <x:c r="O457" s="26"/>
      <x:c r="P457" s="19"/>
      <x:c r="Q457" s="26"/>
      <x:c r="R457" s="19"/>
      <x:c r="S457" s="26"/>
      <x:c r="T457" s="19"/>
      <x:c r="U457" s="19"/>
    </x:row>
    <x:row r="458">
      <x:c r="A458" s="19"/>
      <x:c r="B458" s="19"/>
      <x:c r="C458" s="19"/>
      <x:c r="D458" s="19"/>
      <x:c r="E458" s="19"/>
      <x:c r="F458" s="19"/>
      <x:c r="G458" s="26"/>
      <x:c r="H458" s="96" t="str">
        <x:f>IF($A458="","",SUMIFS('OrderItems'!$I$2:$I$500,'OrderItems'!$B$2:$B$500,$A458))</x:f>
      </x:c>
      <x:c r="I458" s="25"/>
      <x:c r="J458" s="25"/>
      <x:c r="K458" s="96" t="str">
        <x:f>IF($A458="","",$H458-$I458+$J458)</x:f>
      </x:c>
      <x:c r="L458" s="116" t="str">
        <x:f>IF($A458="","",IF(SUMIFS('Payments'!$C$2:$C$500,'Payments'!$B$2:$B$500,$A458,'Payments'!$G$2:$G$500,"confirmed")&lt;=0,"unpaid",IF(SUMIFS('Payments'!$C$2:$C$500,'Payments'!$B$2:$B$500,$A458,'Payments'!$G$2:$G$500,"confirmed")&gt;=$K458,"paid","partial")))</x:f>
      </x:c>
      <x:c r="M458" s="19"/>
      <x:c r="N458" s="26"/>
      <x:c r="O458" s="26"/>
      <x:c r="P458" s="19"/>
      <x:c r="Q458" s="26"/>
      <x:c r="R458" s="19"/>
      <x:c r="S458" s="26"/>
      <x:c r="T458" s="19"/>
      <x:c r="U458" s="19"/>
    </x:row>
    <x:row r="459">
      <x:c r="A459" s="19"/>
      <x:c r="B459" s="19"/>
      <x:c r="C459" s="19"/>
      <x:c r="D459" s="19"/>
      <x:c r="E459" s="19"/>
      <x:c r="F459" s="19"/>
      <x:c r="G459" s="26"/>
      <x:c r="H459" s="96" t="str">
        <x:f>IF($A459="","",SUMIFS('OrderItems'!$I$2:$I$500,'OrderItems'!$B$2:$B$500,$A459))</x:f>
      </x:c>
      <x:c r="I459" s="25"/>
      <x:c r="J459" s="25"/>
      <x:c r="K459" s="96" t="str">
        <x:f>IF($A459="","",$H459-$I459+$J459)</x:f>
      </x:c>
      <x:c r="L459" s="116" t="str">
        <x:f>IF($A459="","",IF(SUMIFS('Payments'!$C$2:$C$500,'Payments'!$B$2:$B$500,$A459,'Payments'!$G$2:$G$500,"confirmed")&lt;=0,"unpaid",IF(SUMIFS('Payments'!$C$2:$C$500,'Payments'!$B$2:$B$500,$A459,'Payments'!$G$2:$G$500,"confirmed")&gt;=$K459,"paid","partial")))</x:f>
      </x:c>
      <x:c r="M459" s="19"/>
      <x:c r="N459" s="26"/>
      <x:c r="O459" s="26"/>
      <x:c r="P459" s="19"/>
      <x:c r="Q459" s="26"/>
      <x:c r="R459" s="19"/>
      <x:c r="S459" s="26"/>
      <x:c r="T459" s="19"/>
      <x:c r="U459" s="19"/>
    </x:row>
    <x:row r="460">
      <x:c r="A460" s="19"/>
      <x:c r="B460" s="19"/>
      <x:c r="C460" s="19"/>
      <x:c r="D460" s="19"/>
      <x:c r="E460" s="19"/>
      <x:c r="F460" s="19"/>
      <x:c r="G460" s="26"/>
      <x:c r="H460" s="96" t="str">
        <x:f>IF($A460="","",SUMIFS('OrderItems'!$I$2:$I$500,'OrderItems'!$B$2:$B$500,$A460))</x:f>
      </x:c>
      <x:c r="I460" s="25"/>
      <x:c r="J460" s="25"/>
      <x:c r="K460" s="96" t="str">
        <x:f>IF($A460="","",$H460-$I460+$J460)</x:f>
      </x:c>
      <x:c r="L460" s="116" t="str">
        <x:f>IF($A460="","",IF(SUMIFS('Payments'!$C$2:$C$500,'Payments'!$B$2:$B$500,$A460,'Payments'!$G$2:$G$500,"confirmed")&lt;=0,"unpaid",IF(SUMIFS('Payments'!$C$2:$C$500,'Payments'!$B$2:$B$500,$A460,'Payments'!$G$2:$G$500,"confirmed")&gt;=$K460,"paid","partial")))</x:f>
      </x:c>
      <x:c r="M460" s="19"/>
      <x:c r="N460" s="26"/>
      <x:c r="O460" s="26"/>
      <x:c r="P460" s="19"/>
      <x:c r="Q460" s="26"/>
      <x:c r="R460" s="19"/>
      <x:c r="S460" s="26"/>
      <x:c r="T460" s="19"/>
      <x:c r="U460" s="19"/>
    </x:row>
    <x:row r="461">
      <x:c r="A461" s="19"/>
      <x:c r="B461" s="19"/>
      <x:c r="C461" s="19"/>
      <x:c r="D461" s="19"/>
      <x:c r="E461" s="19"/>
      <x:c r="F461" s="19"/>
      <x:c r="G461" s="26"/>
      <x:c r="H461" s="96" t="str">
        <x:f>IF($A461="","",SUMIFS('OrderItems'!$I$2:$I$500,'OrderItems'!$B$2:$B$500,$A461))</x:f>
      </x:c>
      <x:c r="I461" s="25"/>
      <x:c r="J461" s="25"/>
      <x:c r="K461" s="96" t="str">
        <x:f>IF($A461="","",$H461-$I461+$J461)</x:f>
      </x:c>
      <x:c r="L461" s="116" t="str">
        <x:f>IF($A461="","",IF(SUMIFS('Payments'!$C$2:$C$500,'Payments'!$B$2:$B$500,$A461,'Payments'!$G$2:$G$500,"confirmed")&lt;=0,"unpaid",IF(SUMIFS('Payments'!$C$2:$C$500,'Payments'!$B$2:$B$500,$A461,'Payments'!$G$2:$G$500,"confirmed")&gt;=$K461,"paid","partial")))</x:f>
      </x:c>
      <x:c r="M461" s="19"/>
      <x:c r="N461" s="26"/>
      <x:c r="O461" s="26"/>
      <x:c r="P461" s="19"/>
      <x:c r="Q461" s="26"/>
      <x:c r="R461" s="19"/>
      <x:c r="S461" s="26"/>
      <x:c r="T461" s="19"/>
      <x:c r="U461" s="19"/>
    </x:row>
    <x:row r="462">
      <x:c r="A462" s="19"/>
      <x:c r="B462" s="19"/>
      <x:c r="C462" s="19"/>
      <x:c r="D462" s="19"/>
      <x:c r="E462" s="19"/>
      <x:c r="F462" s="19"/>
      <x:c r="G462" s="26"/>
      <x:c r="H462" s="96" t="str">
        <x:f>IF($A462="","",SUMIFS('OrderItems'!$I$2:$I$500,'OrderItems'!$B$2:$B$500,$A462))</x:f>
      </x:c>
      <x:c r="I462" s="25"/>
      <x:c r="J462" s="25"/>
      <x:c r="K462" s="96" t="str">
        <x:f>IF($A462="","",$H462-$I462+$J462)</x:f>
      </x:c>
      <x:c r="L462" s="116" t="str">
        <x:f>IF($A462="","",IF(SUMIFS('Payments'!$C$2:$C$500,'Payments'!$B$2:$B$500,$A462,'Payments'!$G$2:$G$500,"confirmed")&lt;=0,"unpaid",IF(SUMIFS('Payments'!$C$2:$C$500,'Payments'!$B$2:$B$500,$A462,'Payments'!$G$2:$G$500,"confirmed")&gt;=$K462,"paid","partial")))</x:f>
      </x:c>
      <x:c r="M462" s="19"/>
      <x:c r="N462" s="26"/>
      <x:c r="O462" s="26"/>
      <x:c r="P462" s="19"/>
      <x:c r="Q462" s="26"/>
      <x:c r="R462" s="19"/>
      <x:c r="S462" s="26"/>
      <x:c r="T462" s="19"/>
      <x:c r="U462" s="19"/>
    </x:row>
    <x:row r="463">
      <x:c r="A463" s="19"/>
      <x:c r="B463" s="19"/>
      <x:c r="C463" s="19"/>
      <x:c r="D463" s="19"/>
      <x:c r="E463" s="19"/>
      <x:c r="F463" s="19"/>
      <x:c r="G463" s="26"/>
      <x:c r="H463" s="96" t="str">
        <x:f>IF($A463="","",SUMIFS('OrderItems'!$I$2:$I$500,'OrderItems'!$B$2:$B$500,$A463))</x:f>
      </x:c>
      <x:c r="I463" s="25"/>
      <x:c r="J463" s="25"/>
      <x:c r="K463" s="96" t="str">
        <x:f>IF($A463="","",$H463-$I463+$J463)</x:f>
      </x:c>
      <x:c r="L463" s="116" t="str">
        <x:f>IF($A463="","",IF(SUMIFS('Payments'!$C$2:$C$500,'Payments'!$B$2:$B$500,$A463,'Payments'!$G$2:$G$500,"confirmed")&lt;=0,"unpaid",IF(SUMIFS('Payments'!$C$2:$C$500,'Payments'!$B$2:$B$500,$A463,'Payments'!$G$2:$G$500,"confirmed")&gt;=$K463,"paid","partial")))</x:f>
      </x:c>
      <x:c r="M463" s="19"/>
      <x:c r="N463" s="26"/>
      <x:c r="O463" s="26"/>
      <x:c r="P463" s="19"/>
      <x:c r="Q463" s="26"/>
      <x:c r="R463" s="19"/>
      <x:c r="S463" s="26"/>
      <x:c r="T463" s="19"/>
      <x:c r="U463" s="19"/>
    </x:row>
    <x:row r="464">
      <x:c r="A464" s="19"/>
      <x:c r="B464" s="19"/>
      <x:c r="C464" s="19"/>
      <x:c r="D464" s="19"/>
      <x:c r="E464" s="19"/>
      <x:c r="F464" s="19"/>
      <x:c r="G464" s="26"/>
      <x:c r="H464" s="96" t="str">
        <x:f>IF($A464="","",SUMIFS('OrderItems'!$I$2:$I$500,'OrderItems'!$B$2:$B$500,$A464))</x:f>
      </x:c>
      <x:c r="I464" s="25"/>
      <x:c r="J464" s="25"/>
      <x:c r="K464" s="96" t="str">
        <x:f>IF($A464="","",$H464-$I464+$J464)</x:f>
      </x:c>
      <x:c r="L464" s="116" t="str">
        <x:f>IF($A464="","",IF(SUMIFS('Payments'!$C$2:$C$500,'Payments'!$B$2:$B$500,$A464,'Payments'!$G$2:$G$500,"confirmed")&lt;=0,"unpaid",IF(SUMIFS('Payments'!$C$2:$C$500,'Payments'!$B$2:$B$500,$A464,'Payments'!$G$2:$G$500,"confirmed")&gt;=$K464,"paid","partial")))</x:f>
      </x:c>
      <x:c r="M464" s="19"/>
      <x:c r="N464" s="26"/>
      <x:c r="O464" s="26"/>
      <x:c r="P464" s="19"/>
      <x:c r="Q464" s="26"/>
      <x:c r="R464" s="19"/>
      <x:c r="S464" s="26"/>
      <x:c r="T464" s="19"/>
      <x:c r="U464" s="19"/>
    </x:row>
    <x:row r="465">
      <x:c r="A465" s="19"/>
      <x:c r="B465" s="19"/>
      <x:c r="C465" s="19"/>
      <x:c r="D465" s="19"/>
      <x:c r="E465" s="19"/>
      <x:c r="F465" s="19"/>
      <x:c r="G465" s="26"/>
      <x:c r="H465" s="96" t="str">
        <x:f>IF($A465="","",SUMIFS('OrderItems'!$I$2:$I$500,'OrderItems'!$B$2:$B$500,$A465))</x:f>
      </x:c>
      <x:c r="I465" s="25"/>
      <x:c r="J465" s="25"/>
      <x:c r="K465" s="96" t="str">
        <x:f>IF($A465="","",$H465-$I465+$J465)</x:f>
      </x:c>
      <x:c r="L465" s="116" t="str">
        <x:f>IF($A465="","",IF(SUMIFS('Payments'!$C$2:$C$500,'Payments'!$B$2:$B$500,$A465,'Payments'!$G$2:$G$500,"confirmed")&lt;=0,"unpaid",IF(SUMIFS('Payments'!$C$2:$C$500,'Payments'!$B$2:$B$500,$A465,'Payments'!$G$2:$G$500,"confirmed")&gt;=$K465,"paid","partial")))</x:f>
      </x:c>
      <x:c r="M465" s="19"/>
      <x:c r="N465" s="26"/>
      <x:c r="O465" s="26"/>
      <x:c r="P465" s="19"/>
      <x:c r="Q465" s="26"/>
      <x:c r="R465" s="19"/>
      <x:c r="S465" s="26"/>
      <x:c r="T465" s="19"/>
      <x:c r="U465" s="19"/>
    </x:row>
    <x:row r="466">
      <x:c r="A466" s="19"/>
      <x:c r="B466" s="19"/>
      <x:c r="C466" s="19"/>
      <x:c r="D466" s="19"/>
      <x:c r="E466" s="19"/>
      <x:c r="F466" s="19"/>
      <x:c r="G466" s="26"/>
      <x:c r="H466" s="96" t="str">
        <x:f>IF($A466="","",SUMIFS('OrderItems'!$I$2:$I$500,'OrderItems'!$B$2:$B$500,$A466))</x:f>
      </x:c>
      <x:c r="I466" s="25"/>
      <x:c r="J466" s="25"/>
      <x:c r="K466" s="96" t="str">
        <x:f>IF($A466="","",$H466-$I466+$J466)</x:f>
      </x:c>
      <x:c r="L466" s="116" t="str">
        <x:f>IF($A466="","",IF(SUMIFS('Payments'!$C$2:$C$500,'Payments'!$B$2:$B$500,$A466,'Payments'!$G$2:$G$500,"confirmed")&lt;=0,"unpaid",IF(SUMIFS('Payments'!$C$2:$C$500,'Payments'!$B$2:$B$500,$A466,'Payments'!$G$2:$G$500,"confirmed")&gt;=$K466,"paid","partial")))</x:f>
      </x:c>
      <x:c r="M466" s="19"/>
      <x:c r="N466" s="26"/>
      <x:c r="O466" s="26"/>
      <x:c r="P466" s="19"/>
      <x:c r="Q466" s="26"/>
      <x:c r="R466" s="19"/>
      <x:c r="S466" s="26"/>
      <x:c r="T466" s="19"/>
      <x:c r="U466" s="19"/>
    </x:row>
    <x:row r="467">
      <x:c r="A467" s="19"/>
      <x:c r="B467" s="19"/>
      <x:c r="C467" s="19"/>
      <x:c r="D467" s="19"/>
      <x:c r="E467" s="19"/>
      <x:c r="F467" s="19"/>
      <x:c r="G467" s="26"/>
      <x:c r="H467" s="96" t="str">
        <x:f>IF($A467="","",SUMIFS('OrderItems'!$I$2:$I$500,'OrderItems'!$B$2:$B$500,$A467))</x:f>
      </x:c>
      <x:c r="I467" s="25"/>
      <x:c r="J467" s="25"/>
      <x:c r="K467" s="96" t="str">
        <x:f>IF($A467="","",$H467-$I467+$J467)</x:f>
      </x:c>
      <x:c r="L467" s="116" t="str">
        <x:f>IF($A467="","",IF(SUMIFS('Payments'!$C$2:$C$500,'Payments'!$B$2:$B$500,$A467,'Payments'!$G$2:$G$500,"confirmed")&lt;=0,"unpaid",IF(SUMIFS('Payments'!$C$2:$C$500,'Payments'!$B$2:$B$500,$A467,'Payments'!$G$2:$G$500,"confirmed")&gt;=$K467,"paid","partial")))</x:f>
      </x:c>
      <x:c r="M467" s="19"/>
      <x:c r="N467" s="26"/>
      <x:c r="O467" s="26"/>
      <x:c r="P467" s="19"/>
      <x:c r="Q467" s="26"/>
      <x:c r="R467" s="19"/>
      <x:c r="S467" s="26"/>
      <x:c r="T467" s="19"/>
      <x:c r="U467" s="19"/>
    </x:row>
    <x:row r="468">
      <x:c r="A468" s="19"/>
      <x:c r="B468" s="19"/>
      <x:c r="C468" s="19"/>
      <x:c r="D468" s="19"/>
      <x:c r="E468" s="19"/>
      <x:c r="F468" s="19"/>
      <x:c r="G468" s="26"/>
      <x:c r="H468" s="96" t="str">
        <x:f>IF($A468="","",SUMIFS('OrderItems'!$I$2:$I$500,'OrderItems'!$B$2:$B$500,$A468))</x:f>
      </x:c>
      <x:c r="I468" s="25"/>
      <x:c r="J468" s="25"/>
      <x:c r="K468" s="96" t="str">
        <x:f>IF($A468="","",$H468-$I468+$J468)</x:f>
      </x:c>
      <x:c r="L468" s="116" t="str">
        <x:f>IF($A468="","",IF(SUMIFS('Payments'!$C$2:$C$500,'Payments'!$B$2:$B$500,$A468,'Payments'!$G$2:$G$500,"confirmed")&lt;=0,"unpaid",IF(SUMIFS('Payments'!$C$2:$C$500,'Payments'!$B$2:$B$500,$A468,'Payments'!$G$2:$G$500,"confirmed")&gt;=$K468,"paid","partial")))</x:f>
      </x:c>
      <x:c r="M468" s="19"/>
      <x:c r="N468" s="26"/>
      <x:c r="O468" s="26"/>
      <x:c r="P468" s="19"/>
      <x:c r="Q468" s="26"/>
      <x:c r="R468" s="19"/>
      <x:c r="S468" s="26"/>
      <x:c r="T468" s="19"/>
      <x:c r="U468" s="19"/>
    </x:row>
    <x:row r="469">
      <x:c r="A469" s="19"/>
      <x:c r="B469" s="19"/>
      <x:c r="C469" s="19"/>
      <x:c r="D469" s="19"/>
      <x:c r="E469" s="19"/>
      <x:c r="F469" s="19"/>
      <x:c r="G469" s="26"/>
      <x:c r="H469" s="96" t="str">
        <x:f>IF($A469="","",SUMIFS('OrderItems'!$I$2:$I$500,'OrderItems'!$B$2:$B$500,$A469))</x:f>
      </x:c>
      <x:c r="I469" s="25"/>
      <x:c r="J469" s="25"/>
      <x:c r="K469" s="96" t="str">
        <x:f>IF($A469="","",$H469-$I469+$J469)</x:f>
      </x:c>
      <x:c r="L469" s="116" t="str">
        <x:f>IF($A469="","",IF(SUMIFS('Payments'!$C$2:$C$500,'Payments'!$B$2:$B$500,$A469,'Payments'!$G$2:$G$500,"confirmed")&lt;=0,"unpaid",IF(SUMIFS('Payments'!$C$2:$C$500,'Payments'!$B$2:$B$500,$A469,'Payments'!$G$2:$G$500,"confirmed")&gt;=$K469,"paid","partial")))</x:f>
      </x:c>
      <x:c r="M469" s="19"/>
      <x:c r="N469" s="26"/>
      <x:c r="O469" s="26"/>
      <x:c r="P469" s="19"/>
      <x:c r="Q469" s="26"/>
      <x:c r="R469" s="19"/>
      <x:c r="S469" s="26"/>
      <x:c r="T469" s="19"/>
      <x:c r="U469" s="19"/>
    </x:row>
    <x:row r="470">
      <x:c r="A470" s="19"/>
      <x:c r="B470" s="19"/>
      <x:c r="C470" s="19"/>
      <x:c r="D470" s="19"/>
      <x:c r="E470" s="19"/>
      <x:c r="F470" s="19"/>
      <x:c r="G470" s="26"/>
      <x:c r="H470" s="96" t="str">
        <x:f>IF($A470="","",SUMIFS('OrderItems'!$I$2:$I$500,'OrderItems'!$B$2:$B$500,$A470))</x:f>
      </x:c>
      <x:c r="I470" s="25"/>
      <x:c r="J470" s="25"/>
      <x:c r="K470" s="96" t="str">
        <x:f>IF($A470="","",$H470-$I470+$J470)</x:f>
      </x:c>
      <x:c r="L470" s="116" t="str">
        <x:f>IF($A470="","",IF(SUMIFS('Payments'!$C$2:$C$500,'Payments'!$B$2:$B$500,$A470,'Payments'!$G$2:$G$500,"confirmed")&lt;=0,"unpaid",IF(SUMIFS('Payments'!$C$2:$C$500,'Payments'!$B$2:$B$500,$A470,'Payments'!$G$2:$G$500,"confirmed")&gt;=$K470,"paid","partial")))</x:f>
      </x:c>
      <x:c r="M470" s="19"/>
      <x:c r="N470" s="26"/>
      <x:c r="O470" s="26"/>
      <x:c r="P470" s="19"/>
      <x:c r="Q470" s="26"/>
      <x:c r="R470" s="19"/>
      <x:c r="S470" s="26"/>
      <x:c r="T470" s="19"/>
      <x:c r="U470" s="19"/>
    </x:row>
    <x:row r="471">
      <x:c r="A471" s="19"/>
      <x:c r="B471" s="19"/>
      <x:c r="C471" s="19"/>
      <x:c r="D471" s="19"/>
      <x:c r="E471" s="19"/>
      <x:c r="F471" s="19"/>
      <x:c r="G471" s="26"/>
      <x:c r="H471" s="96" t="str">
        <x:f>IF($A471="","",SUMIFS('OrderItems'!$I$2:$I$500,'OrderItems'!$B$2:$B$500,$A471))</x:f>
      </x:c>
      <x:c r="I471" s="25"/>
      <x:c r="J471" s="25"/>
      <x:c r="K471" s="96" t="str">
        <x:f>IF($A471="","",$H471-$I471+$J471)</x:f>
      </x:c>
      <x:c r="L471" s="116" t="str">
        <x:f>IF($A471="","",IF(SUMIFS('Payments'!$C$2:$C$500,'Payments'!$B$2:$B$500,$A471,'Payments'!$G$2:$G$500,"confirmed")&lt;=0,"unpaid",IF(SUMIFS('Payments'!$C$2:$C$500,'Payments'!$B$2:$B$500,$A471,'Payments'!$G$2:$G$500,"confirmed")&gt;=$K471,"paid","partial")))</x:f>
      </x:c>
      <x:c r="M471" s="19"/>
      <x:c r="N471" s="26"/>
      <x:c r="O471" s="26"/>
      <x:c r="P471" s="19"/>
      <x:c r="Q471" s="26"/>
      <x:c r="R471" s="19"/>
      <x:c r="S471" s="26"/>
      <x:c r="T471" s="19"/>
      <x:c r="U471" s="19"/>
    </x:row>
    <x:row r="472">
      <x:c r="A472" s="19"/>
      <x:c r="B472" s="19"/>
      <x:c r="C472" s="19"/>
      <x:c r="D472" s="19"/>
      <x:c r="E472" s="19"/>
      <x:c r="F472" s="19"/>
      <x:c r="G472" s="26"/>
      <x:c r="H472" s="96" t="str">
        <x:f>IF($A472="","",SUMIFS('OrderItems'!$I$2:$I$500,'OrderItems'!$B$2:$B$500,$A472))</x:f>
      </x:c>
      <x:c r="I472" s="25"/>
      <x:c r="J472" s="25"/>
      <x:c r="K472" s="96" t="str">
        <x:f>IF($A472="","",$H472-$I472+$J472)</x:f>
      </x:c>
      <x:c r="L472" s="116" t="str">
        <x:f>IF($A472="","",IF(SUMIFS('Payments'!$C$2:$C$500,'Payments'!$B$2:$B$500,$A472,'Payments'!$G$2:$G$500,"confirmed")&lt;=0,"unpaid",IF(SUMIFS('Payments'!$C$2:$C$500,'Payments'!$B$2:$B$500,$A472,'Payments'!$G$2:$G$500,"confirmed")&gt;=$K472,"paid","partial")))</x:f>
      </x:c>
      <x:c r="M472" s="19"/>
      <x:c r="N472" s="26"/>
      <x:c r="O472" s="26"/>
      <x:c r="P472" s="19"/>
      <x:c r="Q472" s="26"/>
      <x:c r="R472" s="19"/>
      <x:c r="S472" s="26"/>
      <x:c r="T472" s="19"/>
      <x:c r="U472" s="19"/>
    </x:row>
    <x:row r="473">
      <x:c r="A473" s="19"/>
      <x:c r="B473" s="19"/>
      <x:c r="C473" s="19"/>
      <x:c r="D473" s="19"/>
      <x:c r="E473" s="19"/>
      <x:c r="F473" s="19"/>
      <x:c r="G473" s="26"/>
      <x:c r="H473" s="96" t="str">
        <x:f>IF($A473="","",SUMIFS('OrderItems'!$I$2:$I$500,'OrderItems'!$B$2:$B$500,$A473))</x:f>
      </x:c>
      <x:c r="I473" s="25"/>
      <x:c r="J473" s="25"/>
      <x:c r="K473" s="96" t="str">
        <x:f>IF($A473="","",$H473-$I473+$J473)</x:f>
      </x:c>
      <x:c r="L473" s="116" t="str">
        <x:f>IF($A473="","",IF(SUMIFS('Payments'!$C$2:$C$500,'Payments'!$B$2:$B$500,$A473,'Payments'!$G$2:$G$500,"confirmed")&lt;=0,"unpaid",IF(SUMIFS('Payments'!$C$2:$C$500,'Payments'!$B$2:$B$500,$A473,'Payments'!$G$2:$G$500,"confirmed")&gt;=$K473,"paid","partial")))</x:f>
      </x:c>
      <x:c r="M473" s="19"/>
      <x:c r="N473" s="26"/>
      <x:c r="O473" s="26"/>
      <x:c r="P473" s="19"/>
      <x:c r="Q473" s="26"/>
      <x:c r="R473" s="19"/>
      <x:c r="S473" s="26"/>
      <x:c r="T473" s="19"/>
      <x:c r="U473" s="19"/>
    </x:row>
    <x:row r="474">
      <x:c r="A474" s="19"/>
      <x:c r="B474" s="19"/>
      <x:c r="C474" s="19"/>
      <x:c r="D474" s="19"/>
      <x:c r="E474" s="19"/>
      <x:c r="F474" s="19"/>
      <x:c r="G474" s="26"/>
      <x:c r="H474" s="96" t="str">
        <x:f>IF($A474="","",SUMIFS('OrderItems'!$I$2:$I$500,'OrderItems'!$B$2:$B$500,$A474))</x:f>
      </x:c>
      <x:c r="I474" s="25"/>
      <x:c r="J474" s="25"/>
      <x:c r="K474" s="96" t="str">
        <x:f>IF($A474="","",$H474-$I474+$J474)</x:f>
      </x:c>
      <x:c r="L474" s="116" t="str">
        <x:f>IF($A474="","",IF(SUMIFS('Payments'!$C$2:$C$500,'Payments'!$B$2:$B$500,$A474,'Payments'!$G$2:$G$500,"confirmed")&lt;=0,"unpaid",IF(SUMIFS('Payments'!$C$2:$C$500,'Payments'!$B$2:$B$500,$A474,'Payments'!$G$2:$G$500,"confirmed")&gt;=$K474,"paid","partial")))</x:f>
      </x:c>
      <x:c r="M474" s="19"/>
      <x:c r="N474" s="26"/>
      <x:c r="O474" s="26"/>
      <x:c r="P474" s="19"/>
      <x:c r="Q474" s="26"/>
      <x:c r="R474" s="19"/>
      <x:c r="S474" s="26"/>
      <x:c r="T474" s="19"/>
      <x:c r="U474" s="19"/>
    </x:row>
    <x:row r="475">
      <x:c r="A475" s="19"/>
      <x:c r="B475" s="19"/>
      <x:c r="C475" s="19"/>
      <x:c r="D475" s="19"/>
      <x:c r="E475" s="19"/>
      <x:c r="F475" s="19"/>
      <x:c r="G475" s="26"/>
      <x:c r="H475" s="96" t="str">
        <x:f>IF($A475="","",SUMIFS('OrderItems'!$I$2:$I$500,'OrderItems'!$B$2:$B$500,$A475))</x:f>
      </x:c>
      <x:c r="I475" s="25"/>
      <x:c r="J475" s="25"/>
      <x:c r="K475" s="96" t="str">
        <x:f>IF($A475="","",$H475-$I475+$J475)</x:f>
      </x:c>
      <x:c r="L475" s="116" t="str">
        <x:f>IF($A475="","",IF(SUMIFS('Payments'!$C$2:$C$500,'Payments'!$B$2:$B$500,$A475,'Payments'!$G$2:$G$500,"confirmed")&lt;=0,"unpaid",IF(SUMIFS('Payments'!$C$2:$C$500,'Payments'!$B$2:$B$500,$A475,'Payments'!$G$2:$G$500,"confirmed")&gt;=$K475,"paid","partial")))</x:f>
      </x:c>
      <x:c r="M475" s="19"/>
      <x:c r="N475" s="26"/>
      <x:c r="O475" s="26"/>
      <x:c r="P475" s="19"/>
      <x:c r="Q475" s="26"/>
      <x:c r="R475" s="19"/>
      <x:c r="S475" s="26"/>
      <x:c r="T475" s="19"/>
      <x:c r="U475" s="19"/>
    </x:row>
    <x:row r="476">
      <x:c r="A476" s="19"/>
      <x:c r="B476" s="19"/>
      <x:c r="C476" s="19"/>
      <x:c r="D476" s="19"/>
      <x:c r="E476" s="19"/>
      <x:c r="F476" s="19"/>
      <x:c r="G476" s="26"/>
      <x:c r="H476" s="96" t="str">
        <x:f>IF($A476="","",SUMIFS('OrderItems'!$I$2:$I$500,'OrderItems'!$B$2:$B$500,$A476))</x:f>
      </x:c>
      <x:c r="I476" s="25"/>
      <x:c r="J476" s="25"/>
      <x:c r="K476" s="96" t="str">
        <x:f>IF($A476="","",$H476-$I476+$J476)</x:f>
      </x:c>
      <x:c r="L476" s="116" t="str">
        <x:f>IF($A476="","",IF(SUMIFS('Payments'!$C$2:$C$500,'Payments'!$B$2:$B$500,$A476,'Payments'!$G$2:$G$500,"confirmed")&lt;=0,"unpaid",IF(SUMIFS('Payments'!$C$2:$C$500,'Payments'!$B$2:$B$500,$A476,'Payments'!$G$2:$G$500,"confirmed")&gt;=$K476,"paid","partial")))</x:f>
      </x:c>
      <x:c r="M476" s="19"/>
      <x:c r="N476" s="26"/>
      <x:c r="O476" s="26"/>
      <x:c r="P476" s="19"/>
      <x:c r="Q476" s="26"/>
      <x:c r="R476" s="19"/>
      <x:c r="S476" s="26"/>
      <x:c r="T476" s="19"/>
      <x:c r="U476" s="19"/>
    </x:row>
    <x:row r="477">
      <x:c r="A477" s="19"/>
      <x:c r="B477" s="19"/>
      <x:c r="C477" s="19"/>
      <x:c r="D477" s="19"/>
      <x:c r="E477" s="19"/>
      <x:c r="F477" s="19"/>
      <x:c r="G477" s="26"/>
      <x:c r="H477" s="96" t="str">
        <x:f>IF($A477="","",SUMIFS('OrderItems'!$I$2:$I$500,'OrderItems'!$B$2:$B$500,$A477))</x:f>
      </x:c>
      <x:c r="I477" s="25"/>
      <x:c r="J477" s="25"/>
      <x:c r="K477" s="96" t="str">
        <x:f>IF($A477="","",$H477-$I477+$J477)</x:f>
      </x:c>
      <x:c r="L477" s="116" t="str">
        <x:f>IF($A477="","",IF(SUMIFS('Payments'!$C$2:$C$500,'Payments'!$B$2:$B$500,$A477,'Payments'!$G$2:$G$500,"confirmed")&lt;=0,"unpaid",IF(SUMIFS('Payments'!$C$2:$C$500,'Payments'!$B$2:$B$500,$A477,'Payments'!$G$2:$G$500,"confirmed")&gt;=$K477,"paid","partial")))</x:f>
      </x:c>
      <x:c r="M477" s="19"/>
      <x:c r="N477" s="26"/>
      <x:c r="O477" s="26"/>
      <x:c r="P477" s="19"/>
      <x:c r="Q477" s="26"/>
      <x:c r="R477" s="19"/>
      <x:c r="S477" s="26"/>
      <x:c r="T477" s="19"/>
      <x:c r="U477" s="19"/>
    </x:row>
    <x:row r="478">
      <x:c r="A478" s="19"/>
      <x:c r="B478" s="19"/>
      <x:c r="C478" s="19"/>
      <x:c r="D478" s="19"/>
      <x:c r="E478" s="19"/>
      <x:c r="F478" s="19"/>
      <x:c r="G478" s="26"/>
      <x:c r="H478" s="96" t="str">
        <x:f>IF($A478="","",SUMIFS('OrderItems'!$I$2:$I$500,'OrderItems'!$B$2:$B$500,$A478))</x:f>
      </x:c>
      <x:c r="I478" s="25"/>
      <x:c r="J478" s="25"/>
      <x:c r="K478" s="96" t="str">
        <x:f>IF($A478="","",$H478-$I478+$J478)</x:f>
      </x:c>
      <x:c r="L478" s="116" t="str">
        <x:f>IF($A478="","",IF(SUMIFS('Payments'!$C$2:$C$500,'Payments'!$B$2:$B$500,$A478,'Payments'!$G$2:$G$500,"confirmed")&lt;=0,"unpaid",IF(SUMIFS('Payments'!$C$2:$C$500,'Payments'!$B$2:$B$500,$A478,'Payments'!$G$2:$G$500,"confirmed")&gt;=$K478,"paid","partial")))</x:f>
      </x:c>
      <x:c r="M478" s="19"/>
      <x:c r="N478" s="26"/>
      <x:c r="O478" s="26"/>
      <x:c r="P478" s="19"/>
      <x:c r="Q478" s="26"/>
      <x:c r="R478" s="19"/>
      <x:c r="S478" s="26"/>
      <x:c r="T478" s="19"/>
      <x:c r="U478" s="19"/>
    </x:row>
    <x:row r="479">
      <x:c r="A479" s="19"/>
      <x:c r="B479" s="19"/>
      <x:c r="C479" s="19"/>
      <x:c r="D479" s="19"/>
      <x:c r="E479" s="19"/>
      <x:c r="F479" s="19"/>
      <x:c r="G479" s="26"/>
      <x:c r="H479" s="96" t="str">
        <x:f>IF($A479="","",SUMIFS('OrderItems'!$I$2:$I$500,'OrderItems'!$B$2:$B$500,$A479))</x:f>
      </x:c>
      <x:c r="I479" s="25"/>
      <x:c r="J479" s="25"/>
      <x:c r="K479" s="96" t="str">
        <x:f>IF($A479="","",$H479-$I479+$J479)</x:f>
      </x:c>
      <x:c r="L479" s="116" t="str">
        <x:f>IF($A479="","",IF(SUMIFS('Payments'!$C$2:$C$500,'Payments'!$B$2:$B$500,$A479,'Payments'!$G$2:$G$500,"confirmed")&lt;=0,"unpaid",IF(SUMIFS('Payments'!$C$2:$C$500,'Payments'!$B$2:$B$500,$A479,'Payments'!$G$2:$G$500,"confirmed")&gt;=$K479,"paid","partial")))</x:f>
      </x:c>
      <x:c r="M479" s="19"/>
      <x:c r="N479" s="26"/>
      <x:c r="O479" s="26"/>
      <x:c r="P479" s="19"/>
      <x:c r="Q479" s="26"/>
      <x:c r="R479" s="19"/>
      <x:c r="S479" s="26"/>
      <x:c r="T479" s="19"/>
      <x:c r="U479" s="19"/>
    </x:row>
    <x:row r="480">
      <x:c r="A480" s="19"/>
      <x:c r="B480" s="19"/>
      <x:c r="C480" s="19"/>
      <x:c r="D480" s="19"/>
      <x:c r="E480" s="19"/>
      <x:c r="F480" s="19"/>
      <x:c r="G480" s="26"/>
      <x:c r="H480" s="96" t="str">
        <x:f>IF($A480="","",SUMIFS('OrderItems'!$I$2:$I$500,'OrderItems'!$B$2:$B$500,$A480))</x:f>
      </x:c>
      <x:c r="I480" s="25"/>
      <x:c r="J480" s="25"/>
      <x:c r="K480" s="96" t="str">
        <x:f>IF($A480="","",$H480-$I480+$J480)</x:f>
      </x:c>
      <x:c r="L480" s="116" t="str">
        <x:f>IF($A480="","",IF(SUMIFS('Payments'!$C$2:$C$500,'Payments'!$B$2:$B$500,$A480,'Payments'!$G$2:$G$500,"confirmed")&lt;=0,"unpaid",IF(SUMIFS('Payments'!$C$2:$C$500,'Payments'!$B$2:$B$500,$A480,'Payments'!$G$2:$G$500,"confirmed")&gt;=$K480,"paid","partial")))</x:f>
      </x:c>
      <x:c r="M480" s="19"/>
      <x:c r="N480" s="26"/>
      <x:c r="O480" s="26"/>
      <x:c r="P480" s="19"/>
      <x:c r="Q480" s="26"/>
      <x:c r="R480" s="19"/>
      <x:c r="S480" s="26"/>
      <x:c r="T480" s="19"/>
      <x:c r="U480" s="19"/>
    </x:row>
    <x:row r="481">
      <x:c r="A481" s="19"/>
      <x:c r="B481" s="19"/>
      <x:c r="C481" s="19"/>
      <x:c r="D481" s="19"/>
      <x:c r="E481" s="19"/>
      <x:c r="F481" s="19"/>
      <x:c r="G481" s="26"/>
      <x:c r="H481" s="96" t="str">
        <x:f>IF($A481="","",SUMIFS('OrderItems'!$I$2:$I$500,'OrderItems'!$B$2:$B$500,$A481))</x:f>
      </x:c>
      <x:c r="I481" s="25"/>
      <x:c r="J481" s="25"/>
      <x:c r="K481" s="96" t="str">
        <x:f>IF($A481="","",$H481-$I481+$J481)</x:f>
      </x:c>
      <x:c r="L481" s="116" t="str">
        <x:f>IF($A481="","",IF(SUMIFS('Payments'!$C$2:$C$500,'Payments'!$B$2:$B$500,$A481,'Payments'!$G$2:$G$500,"confirmed")&lt;=0,"unpaid",IF(SUMIFS('Payments'!$C$2:$C$500,'Payments'!$B$2:$B$500,$A481,'Payments'!$G$2:$G$500,"confirmed")&gt;=$K481,"paid","partial")))</x:f>
      </x:c>
      <x:c r="M481" s="19"/>
      <x:c r="N481" s="26"/>
      <x:c r="O481" s="26"/>
      <x:c r="P481" s="19"/>
      <x:c r="Q481" s="26"/>
      <x:c r="R481" s="19"/>
      <x:c r="S481" s="26"/>
      <x:c r="T481" s="19"/>
      <x:c r="U481" s="19"/>
    </x:row>
    <x:row r="482">
      <x:c r="A482" s="19"/>
      <x:c r="B482" s="19"/>
      <x:c r="C482" s="19"/>
      <x:c r="D482" s="19"/>
      <x:c r="E482" s="19"/>
      <x:c r="F482" s="19"/>
      <x:c r="G482" s="26"/>
      <x:c r="H482" s="96" t="str">
        <x:f>IF($A482="","",SUMIFS('OrderItems'!$I$2:$I$500,'OrderItems'!$B$2:$B$500,$A482))</x:f>
      </x:c>
      <x:c r="I482" s="25"/>
      <x:c r="J482" s="25"/>
      <x:c r="K482" s="96" t="str">
        <x:f>IF($A482="","",$H482-$I482+$J482)</x:f>
      </x:c>
      <x:c r="L482" s="116" t="str">
        <x:f>IF($A482="","",IF(SUMIFS('Payments'!$C$2:$C$500,'Payments'!$B$2:$B$500,$A482,'Payments'!$G$2:$G$500,"confirmed")&lt;=0,"unpaid",IF(SUMIFS('Payments'!$C$2:$C$500,'Payments'!$B$2:$B$500,$A482,'Payments'!$G$2:$G$500,"confirmed")&gt;=$K482,"paid","partial")))</x:f>
      </x:c>
      <x:c r="M482" s="19"/>
      <x:c r="N482" s="26"/>
      <x:c r="O482" s="26"/>
      <x:c r="P482" s="19"/>
      <x:c r="Q482" s="26"/>
      <x:c r="R482" s="19"/>
      <x:c r="S482" s="26"/>
      <x:c r="T482" s="19"/>
      <x:c r="U482" s="19"/>
    </x:row>
    <x:row r="483">
      <x:c r="A483" s="19"/>
      <x:c r="B483" s="19"/>
      <x:c r="C483" s="19"/>
      <x:c r="D483" s="19"/>
      <x:c r="E483" s="19"/>
      <x:c r="F483" s="19"/>
      <x:c r="G483" s="26"/>
      <x:c r="H483" s="96" t="str">
        <x:f>IF($A483="","",SUMIFS('OrderItems'!$I$2:$I$500,'OrderItems'!$B$2:$B$500,$A483))</x:f>
      </x:c>
      <x:c r="I483" s="25"/>
      <x:c r="J483" s="25"/>
      <x:c r="K483" s="96" t="str">
        <x:f>IF($A483="","",$H483-$I483+$J483)</x:f>
      </x:c>
      <x:c r="L483" s="116" t="str">
        <x:f>IF($A483="","",IF(SUMIFS('Payments'!$C$2:$C$500,'Payments'!$B$2:$B$500,$A483,'Payments'!$G$2:$G$500,"confirmed")&lt;=0,"unpaid",IF(SUMIFS('Payments'!$C$2:$C$500,'Payments'!$B$2:$B$500,$A483,'Payments'!$G$2:$G$500,"confirmed")&gt;=$K483,"paid","partial")))</x:f>
      </x:c>
      <x:c r="M483" s="19"/>
      <x:c r="N483" s="26"/>
      <x:c r="O483" s="26"/>
      <x:c r="P483" s="19"/>
      <x:c r="Q483" s="26"/>
      <x:c r="R483" s="19"/>
      <x:c r="S483" s="26"/>
      <x:c r="T483" s="19"/>
      <x:c r="U483" s="19"/>
    </x:row>
    <x:row r="484">
      <x:c r="A484" s="19"/>
      <x:c r="B484" s="19"/>
      <x:c r="C484" s="19"/>
      <x:c r="D484" s="19"/>
      <x:c r="E484" s="19"/>
      <x:c r="F484" s="19"/>
      <x:c r="G484" s="26"/>
      <x:c r="H484" s="96" t="str">
        <x:f>IF($A484="","",SUMIFS('OrderItems'!$I$2:$I$500,'OrderItems'!$B$2:$B$500,$A484))</x:f>
      </x:c>
      <x:c r="I484" s="25"/>
      <x:c r="J484" s="25"/>
      <x:c r="K484" s="96" t="str">
        <x:f>IF($A484="","",$H484-$I484+$J484)</x:f>
      </x:c>
      <x:c r="L484" s="116" t="str">
        <x:f>IF($A484="","",IF(SUMIFS('Payments'!$C$2:$C$500,'Payments'!$B$2:$B$500,$A484,'Payments'!$G$2:$G$500,"confirmed")&lt;=0,"unpaid",IF(SUMIFS('Payments'!$C$2:$C$500,'Payments'!$B$2:$B$500,$A484,'Payments'!$G$2:$G$500,"confirmed")&gt;=$K484,"paid","partial")))</x:f>
      </x:c>
      <x:c r="M484" s="19"/>
      <x:c r="N484" s="26"/>
      <x:c r="O484" s="26"/>
      <x:c r="P484" s="19"/>
      <x:c r="Q484" s="26"/>
      <x:c r="R484" s="19"/>
      <x:c r="S484" s="26"/>
      <x:c r="T484" s="19"/>
      <x:c r="U484" s="19"/>
    </x:row>
    <x:row r="485">
      <x:c r="A485" s="19"/>
      <x:c r="B485" s="19"/>
      <x:c r="C485" s="19"/>
      <x:c r="D485" s="19"/>
      <x:c r="E485" s="19"/>
      <x:c r="F485" s="19"/>
      <x:c r="G485" s="26"/>
      <x:c r="H485" s="96" t="str">
        <x:f>IF($A485="","",SUMIFS('OrderItems'!$I$2:$I$500,'OrderItems'!$B$2:$B$500,$A485))</x:f>
      </x:c>
      <x:c r="I485" s="25"/>
      <x:c r="J485" s="25"/>
      <x:c r="K485" s="96" t="str">
        <x:f>IF($A485="","",$H485-$I485+$J485)</x:f>
      </x:c>
      <x:c r="L485" s="116" t="str">
        <x:f>IF($A485="","",IF(SUMIFS('Payments'!$C$2:$C$500,'Payments'!$B$2:$B$500,$A485,'Payments'!$G$2:$G$500,"confirmed")&lt;=0,"unpaid",IF(SUMIFS('Payments'!$C$2:$C$500,'Payments'!$B$2:$B$500,$A485,'Payments'!$G$2:$G$500,"confirmed")&gt;=$K485,"paid","partial")))</x:f>
      </x:c>
      <x:c r="M485" s="19"/>
      <x:c r="N485" s="26"/>
      <x:c r="O485" s="26"/>
      <x:c r="P485" s="19"/>
      <x:c r="Q485" s="26"/>
      <x:c r="R485" s="19"/>
      <x:c r="S485" s="26"/>
      <x:c r="T485" s="19"/>
      <x:c r="U485" s="19"/>
    </x:row>
    <x:row r="486">
      <x:c r="A486" s="19"/>
      <x:c r="B486" s="19"/>
      <x:c r="C486" s="19"/>
      <x:c r="D486" s="19"/>
      <x:c r="E486" s="19"/>
      <x:c r="F486" s="19"/>
      <x:c r="G486" s="26"/>
      <x:c r="H486" s="96" t="str">
        <x:f>IF($A486="","",SUMIFS('OrderItems'!$I$2:$I$500,'OrderItems'!$B$2:$B$500,$A486))</x:f>
      </x:c>
      <x:c r="I486" s="25"/>
      <x:c r="J486" s="25"/>
      <x:c r="K486" s="96" t="str">
        <x:f>IF($A486="","",$H486-$I486+$J486)</x:f>
      </x:c>
      <x:c r="L486" s="116" t="str">
        <x:f>IF($A486="","",IF(SUMIFS('Payments'!$C$2:$C$500,'Payments'!$B$2:$B$500,$A486,'Payments'!$G$2:$G$500,"confirmed")&lt;=0,"unpaid",IF(SUMIFS('Payments'!$C$2:$C$500,'Payments'!$B$2:$B$500,$A486,'Payments'!$G$2:$G$500,"confirmed")&gt;=$K486,"paid","partial")))</x:f>
      </x:c>
      <x:c r="M486" s="19"/>
      <x:c r="N486" s="26"/>
      <x:c r="O486" s="26"/>
      <x:c r="P486" s="19"/>
      <x:c r="Q486" s="26"/>
      <x:c r="R486" s="19"/>
      <x:c r="S486" s="26"/>
      <x:c r="T486" s="19"/>
      <x:c r="U486" s="19"/>
    </x:row>
    <x:row r="487">
      <x:c r="A487" s="19"/>
      <x:c r="B487" s="19"/>
      <x:c r="C487" s="19"/>
      <x:c r="D487" s="19"/>
      <x:c r="E487" s="19"/>
      <x:c r="F487" s="19"/>
      <x:c r="G487" s="26"/>
      <x:c r="H487" s="96" t="str">
        <x:f>IF($A487="","",SUMIFS('OrderItems'!$I$2:$I$500,'OrderItems'!$B$2:$B$500,$A487))</x:f>
      </x:c>
      <x:c r="I487" s="25"/>
      <x:c r="J487" s="25"/>
      <x:c r="K487" s="96" t="str">
        <x:f>IF($A487="","",$H487-$I487+$J487)</x:f>
      </x:c>
      <x:c r="L487" s="116" t="str">
        <x:f>IF($A487="","",IF(SUMIFS('Payments'!$C$2:$C$500,'Payments'!$B$2:$B$500,$A487,'Payments'!$G$2:$G$500,"confirmed")&lt;=0,"unpaid",IF(SUMIFS('Payments'!$C$2:$C$500,'Payments'!$B$2:$B$500,$A487,'Payments'!$G$2:$G$500,"confirmed")&gt;=$K487,"paid","partial")))</x:f>
      </x:c>
      <x:c r="M487" s="19"/>
      <x:c r="N487" s="26"/>
      <x:c r="O487" s="26"/>
      <x:c r="P487" s="19"/>
      <x:c r="Q487" s="26"/>
      <x:c r="R487" s="19"/>
      <x:c r="S487" s="26"/>
      <x:c r="T487" s="19"/>
      <x:c r="U487" s="19"/>
    </x:row>
    <x:row r="488">
      <x:c r="A488" s="19"/>
      <x:c r="B488" s="19"/>
      <x:c r="C488" s="19"/>
      <x:c r="D488" s="19"/>
      <x:c r="E488" s="19"/>
      <x:c r="F488" s="19"/>
      <x:c r="G488" s="26"/>
      <x:c r="H488" s="96" t="str">
        <x:f>IF($A488="","",SUMIFS('OrderItems'!$I$2:$I$500,'OrderItems'!$B$2:$B$500,$A488))</x:f>
      </x:c>
      <x:c r="I488" s="25"/>
      <x:c r="J488" s="25"/>
      <x:c r="K488" s="96" t="str">
        <x:f>IF($A488="","",$H488-$I488+$J488)</x:f>
      </x:c>
      <x:c r="L488" s="116" t="str">
        <x:f>IF($A488="","",IF(SUMIFS('Payments'!$C$2:$C$500,'Payments'!$B$2:$B$500,$A488,'Payments'!$G$2:$G$500,"confirmed")&lt;=0,"unpaid",IF(SUMIFS('Payments'!$C$2:$C$500,'Payments'!$B$2:$B$500,$A488,'Payments'!$G$2:$G$500,"confirmed")&gt;=$K488,"paid","partial")))</x:f>
      </x:c>
      <x:c r="M488" s="19"/>
      <x:c r="N488" s="26"/>
      <x:c r="O488" s="26"/>
      <x:c r="P488" s="19"/>
      <x:c r="Q488" s="26"/>
      <x:c r="R488" s="19"/>
      <x:c r="S488" s="26"/>
      <x:c r="T488" s="19"/>
      <x:c r="U488" s="19"/>
    </x:row>
    <x:row r="489">
      <x:c r="A489" s="19"/>
      <x:c r="B489" s="19"/>
      <x:c r="C489" s="19"/>
      <x:c r="D489" s="19"/>
      <x:c r="E489" s="19"/>
      <x:c r="F489" s="19"/>
      <x:c r="G489" s="26"/>
      <x:c r="H489" s="96" t="str">
        <x:f>IF($A489="","",SUMIFS('OrderItems'!$I$2:$I$500,'OrderItems'!$B$2:$B$500,$A489))</x:f>
      </x:c>
      <x:c r="I489" s="25"/>
      <x:c r="J489" s="25"/>
      <x:c r="K489" s="96" t="str">
        <x:f>IF($A489="","",$H489-$I489+$J489)</x:f>
      </x:c>
      <x:c r="L489" s="116" t="str">
        <x:f>IF($A489="","",IF(SUMIFS('Payments'!$C$2:$C$500,'Payments'!$B$2:$B$500,$A489,'Payments'!$G$2:$G$500,"confirmed")&lt;=0,"unpaid",IF(SUMIFS('Payments'!$C$2:$C$500,'Payments'!$B$2:$B$500,$A489,'Payments'!$G$2:$G$500,"confirmed")&gt;=$K489,"paid","partial")))</x:f>
      </x:c>
      <x:c r="M489" s="19"/>
      <x:c r="N489" s="26"/>
      <x:c r="O489" s="26"/>
      <x:c r="P489" s="19"/>
      <x:c r="Q489" s="26"/>
      <x:c r="R489" s="19"/>
      <x:c r="S489" s="26"/>
      <x:c r="T489" s="19"/>
      <x:c r="U489" s="19"/>
    </x:row>
    <x:row r="490">
      <x:c r="A490" s="19"/>
      <x:c r="B490" s="19"/>
      <x:c r="C490" s="19"/>
      <x:c r="D490" s="19"/>
      <x:c r="E490" s="19"/>
      <x:c r="F490" s="19"/>
      <x:c r="G490" s="26"/>
      <x:c r="H490" s="96" t="str">
        <x:f>IF($A490="","",SUMIFS('OrderItems'!$I$2:$I$500,'OrderItems'!$B$2:$B$500,$A490))</x:f>
      </x:c>
      <x:c r="I490" s="25"/>
      <x:c r="J490" s="25"/>
      <x:c r="K490" s="96" t="str">
        <x:f>IF($A490="","",$H490-$I490+$J490)</x:f>
      </x:c>
      <x:c r="L490" s="116" t="str">
        <x:f>IF($A490="","",IF(SUMIFS('Payments'!$C$2:$C$500,'Payments'!$B$2:$B$500,$A490,'Payments'!$G$2:$G$500,"confirmed")&lt;=0,"unpaid",IF(SUMIFS('Payments'!$C$2:$C$500,'Payments'!$B$2:$B$500,$A490,'Payments'!$G$2:$G$500,"confirmed")&gt;=$K490,"paid","partial")))</x:f>
      </x:c>
      <x:c r="M490" s="19"/>
      <x:c r="N490" s="26"/>
      <x:c r="O490" s="26"/>
      <x:c r="P490" s="19"/>
      <x:c r="Q490" s="26"/>
      <x:c r="R490" s="19"/>
      <x:c r="S490" s="26"/>
      <x:c r="T490" s="19"/>
      <x:c r="U490" s="19"/>
    </x:row>
    <x:row r="491">
      <x:c r="A491" s="19"/>
      <x:c r="B491" s="19"/>
      <x:c r="C491" s="19"/>
      <x:c r="D491" s="19"/>
      <x:c r="E491" s="19"/>
      <x:c r="F491" s="19"/>
      <x:c r="G491" s="26"/>
      <x:c r="H491" s="96" t="str">
        <x:f>IF($A491="","",SUMIFS('OrderItems'!$I$2:$I$500,'OrderItems'!$B$2:$B$500,$A491))</x:f>
      </x:c>
      <x:c r="I491" s="25"/>
      <x:c r="J491" s="25"/>
      <x:c r="K491" s="96" t="str">
        <x:f>IF($A491="","",$H491-$I491+$J491)</x:f>
      </x:c>
      <x:c r="L491" s="116" t="str">
        <x:f>IF($A491="","",IF(SUMIFS('Payments'!$C$2:$C$500,'Payments'!$B$2:$B$500,$A491,'Payments'!$G$2:$G$500,"confirmed")&lt;=0,"unpaid",IF(SUMIFS('Payments'!$C$2:$C$500,'Payments'!$B$2:$B$500,$A491,'Payments'!$G$2:$G$500,"confirmed")&gt;=$K491,"paid","partial")))</x:f>
      </x:c>
      <x:c r="M491" s="19"/>
      <x:c r="N491" s="26"/>
      <x:c r="O491" s="26"/>
      <x:c r="P491" s="19"/>
      <x:c r="Q491" s="26"/>
      <x:c r="R491" s="19"/>
      <x:c r="S491" s="26"/>
      <x:c r="T491" s="19"/>
      <x:c r="U491" s="19"/>
    </x:row>
    <x:row r="492">
      <x:c r="A492" s="19"/>
      <x:c r="B492" s="19"/>
      <x:c r="C492" s="19"/>
      <x:c r="D492" s="19"/>
      <x:c r="E492" s="19"/>
      <x:c r="F492" s="19"/>
      <x:c r="G492" s="26"/>
      <x:c r="H492" s="96" t="str">
        <x:f>IF($A492="","",SUMIFS('OrderItems'!$I$2:$I$500,'OrderItems'!$B$2:$B$500,$A492))</x:f>
      </x:c>
      <x:c r="I492" s="25"/>
      <x:c r="J492" s="25"/>
      <x:c r="K492" s="96" t="str">
        <x:f>IF($A492="","",$H492-$I492+$J492)</x:f>
      </x:c>
      <x:c r="L492" s="116" t="str">
        <x:f>IF($A492="","",IF(SUMIFS('Payments'!$C$2:$C$500,'Payments'!$B$2:$B$500,$A492,'Payments'!$G$2:$G$500,"confirmed")&lt;=0,"unpaid",IF(SUMIFS('Payments'!$C$2:$C$500,'Payments'!$B$2:$B$500,$A492,'Payments'!$G$2:$G$500,"confirmed")&gt;=$K492,"paid","partial")))</x:f>
      </x:c>
      <x:c r="M492" s="19"/>
      <x:c r="N492" s="26"/>
      <x:c r="O492" s="26"/>
      <x:c r="P492" s="19"/>
      <x:c r="Q492" s="26"/>
      <x:c r="R492" s="19"/>
      <x:c r="S492" s="26"/>
      <x:c r="T492" s="19"/>
      <x:c r="U492" s="19"/>
    </x:row>
    <x:row r="493">
      <x:c r="A493" s="19"/>
      <x:c r="B493" s="19"/>
      <x:c r="C493" s="19"/>
      <x:c r="D493" s="19"/>
      <x:c r="E493" s="19"/>
      <x:c r="F493" s="19"/>
      <x:c r="G493" s="26"/>
      <x:c r="H493" s="96" t="str">
        <x:f>IF($A493="","",SUMIFS('OrderItems'!$I$2:$I$500,'OrderItems'!$B$2:$B$500,$A493))</x:f>
      </x:c>
      <x:c r="I493" s="25"/>
      <x:c r="J493" s="25"/>
      <x:c r="K493" s="96" t="str">
        <x:f>IF($A493="","",$H493-$I493+$J493)</x:f>
      </x:c>
      <x:c r="L493" s="116" t="str">
        <x:f>IF($A493="","",IF(SUMIFS('Payments'!$C$2:$C$500,'Payments'!$B$2:$B$500,$A493,'Payments'!$G$2:$G$500,"confirmed")&lt;=0,"unpaid",IF(SUMIFS('Payments'!$C$2:$C$500,'Payments'!$B$2:$B$500,$A493,'Payments'!$G$2:$G$500,"confirmed")&gt;=$K493,"paid","partial")))</x:f>
      </x:c>
      <x:c r="M493" s="19"/>
      <x:c r="N493" s="26"/>
      <x:c r="O493" s="26"/>
      <x:c r="P493" s="19"/>
      <x:c r="Q493" s="26"/>
      <x:c r="R493" s="19"/>
      <x:c r="S493" s="26"/>
      <x:c r="T493" s="19"/>
      <x:c r="U493" s="19"/>
    </x:row>
    <x:row r="494">
      <x:c r="A494" s="19"/>
      <x:c r="B494" s="19"/>
      <x:c r="C494" s="19"/>
      <x:c r="D494" s="19"/>
      <x:c r="E494" s="19"/>
      <x:c r="F494" s="19"/>
      <x:c r="G494" s="26"/>
      <x:c r="H494" s="96" t="str">
        <x:f>IF($A494="","",SUMIFS('OrderItems'!$I$2:$I$500,'OrderItems'!$B$2:$B$500,$A494))</x:f>
      </x:c>
      <x:c r="I494" s="25"/>
      <x:c r="J494" s="25"/>
      <x:c r="K494" s="96" t="str">
        <x:f>IF($A494="","",$H494-$I494+$J494)</x:f>
      </x:c>
      <x:c r="L494" s="116" t="str">
        <x:f>IF($A494="","",IF(SUMIFS('Payments'!$C$2:$C$500,'Payments'!$B$2:$B$500,$A494,'Payments'!$G$2:$G$500,"confirmed")&lt;=0,"unpaid",IF(SUMIFS('Payments'!$C$2:$C$500,'Payments'!$B$2:$B$500,$A494,'Payments'!$G$2:$G$500,"confirmed")&gt;=$K494,"paid","partial")))</x:f>
      </x:c>
      <x:c r="M494" s="19"/>
      <x:c r="N494" s="26"/>
      <x:c r="O494" s="26"/>
      <x:c r="P494" s="19"/>
      <x:c r="Q494" s="26"/>
      <x:c r="R494" s="19"/>
      <x:c r="S494" s="26"/>
      <x:c r="T494" s="19"/>
      <x:c r="U494" s="19"/>
    </x:row>
    <x:row r="495">
      <x:c r="A495" s="19"/>
      <x:c r="B495" s="19"/>
      <x:c r="C495" s="19"/>
      <x:c r="D495" s="19"/>
      <x:c r="E495" s="19"/>
      <x:c r="F495" s="19"/>
      <x:c r="G495" s="26"/>
      <x:c r="H495" s="96" t="str">
        <x:f>IF($A495="","",SUMIFS('OrderItems'!$I$2:$I$500,'OrderItems'!$B$2:$B$500,$A495))</x:f>
      </x:c>
      <x:c r="I495" s="25"/>
      <x:c r="J495" s="25"/>
      <x:c r="K495" s="96" t="str">
        <x:f>IF($A495="","",$H495-$I495+$J495)</x:f>
      </x:c>
      <x:c r="L495" s="116" t="str">
        <x:f>IF($A495="","",IF(SUMIFS('Payments'!$C$2:$C$500,'Payments'!$B$2:$B$500,$A495,'Payments'!$G$2:$G$500,"confirmed")&lt;=0,"unpaid",IF(SUMIFS('Payments'!$C$2:$C$500,'Payments'!$B$2:$B$500,$A495,'Payments'!$G$2:$G$500,"confirmed")&gt;=$K495,"paid","partial")))</x:f>
      </x:c>
      <x:c r="M495" s="19"/>
      <x:c r="N495" s="26"/>
      <x:c r="O495" s="26"/>
      <x:c r="P495" s="19"/>
      <x:c r="Q495" s="26"/>
      <x:c r="R495" s="19"/>
      <x:c r="S495" s="26"/>
      <x:c r="T495" s="19"/>
      <x:c r="U495" s="19"/>
    </x:row>
    <x:row r="496">
      <x:c r="A496" s="19"/>
      <x:c r="B496" s="19"/>
      <x:c r="C496" s="19"/>
      <x:c r="D496" s="19"/>
      <x:c r="E496" s="19"/>
      <x:c r="F496" s="19"/>
      <x:c r="G496" s="26"/>
      <x:c r="H496" s="96" t="str">
        <x:f>IF($A496="","",SUMIFS('OrderItems'!$I$2:$I$500,'OrderItems'!$B$2:$B$500,$A496))</x:f>
      </x:c>
      <x:c r="I496" s="25"/>
      <x:c r="J496" s="25"/>
      <x:c r="K496" s="96" t="str">
        <x:f>IF($A496="","",$H496-$I496+$J496)</x:f>
      </x:c>
      <x:c r="L496" s="116" t="str">
        <x:f>IF($A496="","",IF(SUMIFS('Payments'!$C$2:$C$500,'Payments'!$B$2:$B$500,$A496,'Payments'!$G$2:$G$500,"confirmed")&lt;=0,"unpaid",IF(SUMIFS('Payments'!$C$2:$C$500,'Payments'!$B$2:$B$500,$A496,'Payments'!$G$2:$G$500,"confirmed")&gt;=$K496,"paid","partial")))</x:f>
      </x:c>
      <x:c r="M496" s="19"/>
      <x:c r="N496" s="26"/>
      <x:c r="O496" s="26"/>
      <x:c r="P496" s="19"/>
      <x:c r="Q496" s="26"/>
      <x:c r="R496" s="19"/>
      <x:c r="S496" s="26"/>
      <x:c r="T496" s="19"/>
      <x:c r="U496" s="19"/>
    </x:row>
    <x:row r="497">
      <x:c r="A497" s="19"/>
      <x:c r="B497" s="19"/>
      <x:c r="C497" s="19"/>
      <x:c r="D497" s="19"/>
      <x:c r="E497" s="19"/>
      <x:c r="F497" s="19"/>
      <x:c r="G497" s="26"/>
      <x:c r="H497" s="96" t="str">
        <x:f>IF($A497="","",SUMIFS('OrderItems'!$I$2:$I$500,'OrderItems'!$B$2:$B$500,$A497))</x:f>
      </x:c>
      <x:c r="I497" s="25"/>
      <x:c r="J497" s="25"/>
      <x:c r="K497" s="96" t="str">
        <x:f>IF($A497="","",$H497-$I497+$J497)</x:f>
      </x:c>
      <x:c r="L497" s="116" t="str">
        <x:f>IF($A497="","",IF(SUMIFS('Payments'!$C$2:$C$500,'Payments'!$B$2:$B$500,$A497,'Payments'!$G$2:$G$500,"confirmed")&lt;=0,"unpaid",IF(SUMIFS('Payments'!$C$2:$C$500,'Payments'!$B$2:$B$500,$A497,'Payments'!$G$2:$G$500,"confirmed")&gt;=$K497,"paid","partial")))</x:f>
      </x:c>
      <x:c r="M497" s="19"/>
      <x:c r="N497" s="26"/>
      <x:c r="O497" s="26"/>
      <x:c r="P497" s="19"/>
      <x:c r="Q497" s="26"/>
      <x:c r="R497" s="19"/>
      <x:c r="S497" s="26"/>
      <x:c r="T497" s="19"/>
      <x:c r="U497" s="19"/>
    </x:row>
    <x:row r="498">
      <x:c r="A498" s="19"/>
      <x:c r="B498" s="19"/>
      <x:c r="C498" s="19"/>
      <x:c r="D498" s="19"/>
      <x:c r="E498" s="19"/>
      <x:c r="F498" s="19"/>
      <x:c r="G498" s="26"/>
      <x:c r="H498" s="96" t="str">
        <x:f>IF($A498="","",SUMIFS('OrderItems'!$I$2:$I$500,'OrderItems'!$B$2:$B$500,$A498))</x:f>
      </x:c>
      <x:c r="I498" s="25"/>
      <x:c r="J498" s="25"/>
      <x:c r="K498" s="96" t="str">
        <x:f>IF($A498="","",$H498-$I498+$J498)</x:f>
      </x:c>
      <x:c r="L498" s="116" t="str">
        <x:f>IF($A498="","",IF(SUMIFS('Payments'!$C$2:$C$500,'Payments'!$B$2:$B$500,$A498,'Payments'!$G$2:$G$500,"confirmed")&lt;=0,"unpaid",IF(SUMIFS('Payments'!$C$2:$C$500,'Payments'!$B$2:$B$500,$A498,'Payments'!$G$2:$G$500,"confirmed")&gt;=$K498,"paid","partial")))</x:f>
      </x:c>
      <x:c r="M498" s="19"/>
      <x:c r="N498" s="26"/>
      <x:c r="O498" s="26"/>
      <x:c r="P498" s="19"/>
      <x:c r="Q498" s="26"/>
      <x:c r="R498" s="19"/>
      <x:c r="S498" s="26"/>
      <x:c r="T498" s="19"/>
      <x:c r="U498" s="19"/>
    </x:row>
    <x:row r="499">
      <x:c r="A499" s="19"/>
      <x:c r="B499" s="19"/>
      <x:c r="C499" s="19"/>
      <x:c r="D499" s="19"/>
      <x:c r="E499" s="19"/>
      <x:c r="F499" s="19"/>
      <x:c r="G499" s="26"/>
      <x:c r="H499" s="96" t="str">
        <x:f>IF($A499="","",SUMIFS('OrderItems'!$I$2:$I$500,'OrderItems'!$B$2:$B$500,$A499))</x:f>
      </x:c>
      <x:c r="I499" s="25"/>
      <x:c r="J499" s="25"/>
      <x:c r="K499" s="96" t="str">
        <x:f>IF($A499="","",$H499-$I499+$J499)</x:f>
      </x:c>
      <x:c r="L499" s="116" t="str">
        <x:f>IF($A499="","",IF(SUMIFS('Payments'!$C$2:$C$500,'Payments'!$B$2:$B$500,$A499,'Payments'!$G$2:$G$500,"confirmed")&lt;=0,"unpaid",IF(SUMIFS('Payments'!$C$2:$C$500,'Payments'!$B$2:$B$500,$A499,'Payments'!$G$2:$G$500,"confirmed")&gt;=$K499,"paid","partial")))</x:f>
      </x:c>
      <x:c r="M499" s="19"/>
      <x:c r="N499" s="26"/>
      <x:c r="O499" s="26"/>
      <x:c r="P499" s="19"/>
      <x:c r="Q499" s="26"/>
      <x:c r="R499" s="19"/>
      <x:c r="S499" s="26"/>
      <x:c r="T499" s="19"/>
      <x:c r="U499" s="19"/>
    </x:row>
    <x:row r="500">
      <x:c r="A500" s="19"/>
      <x:c r="B500" s="19"/>
      <x:c r="C500" s="19"/>
      <x:c r="D500" s="19"/>
      <x:c r="E500" s="19"/>
      <x:c r="F500" s="19"/>
      <x:c r="G500" s="26"/>
      <x:c r="H500" s="96" t="str">
        <x:f>IF($A500="","",SUMIFS('OrderItems'!$I$2:$I$500,'OrderItems'!$B$2:$B$500,$A500))</x:f>
      </x:c>
      <x:c r="I500" s="25"/>
      <x:c r="J500" s="25"/>
      <x:c r="K500" s="96" t="str">
        <x:f>IF($A500="","",$H500-$I500+$J500)</x:f>
      </x:c>
      <x:c r="L500" s="116" t="str">
        <x:f>IF($A500="","",IF(SUMIFS('Payments'!$C$2:$C$500,'Payments'!$B$2:$B$500,$A500,'Payments'!$G$2:$G$500,"confirmed")&lt;=0,"unpaid",IF(SUMIFS('Payments'!$C$2:$C$500,'Payments'!$B$2:$B$500,$A500,'Payments'!$G$2:$G$500,"confirmed")&gt;=$K500,"paid","partial")))</x:f>
      </x:c>
      <x:c r="M500" s="19"/>
      <x:c r="N500" s="26"/>
      <x:c r="O500" s="26"/>
      <x:c r="P500" s="19"/>
      <x:c r="Q500" s="26"/>
      <x:c r="R500" s="19"/>
      <x:c r="S500" s="26"/>
      <x:c r="T500" s="19"/>
      <x:c r="U500" s="19"/>
    </x:row>
  </x:sheetData>
  <x:conditionalFormatting sqref="B2:B500">
    <x:cfRule type="expression" dxfId="62" priority="1">
      <x:formula>AND($A2&lt;&gt;"",B2="")</x:formula>
    </x:cfRule>
  </x:conditionalFormatting>
  <x:conditionalFormatting sqref="C2:C500">
    <x:cfRule type="expression" dxfId="63" priority="2">
      <x:formula>AND($A2&lt;&gt;"",C2="")</x:formula>
    </x:cfRule>
  </x:conditionalFormatting>
  <x:conditionalFormatting sqref="F2:F500">
    <x:cfRule type="expression" dxfId="64" priority="3">
      <x:formula>AND($A2&lt;&gt;"",F2="")</x:formula>
    </x:cfRule>
  </x:conditionalFormatting>
  <x:conditionalFormatting sqref="G2:G500">
    <x:cfRule type="expression" dxfId="65" priority="4">
      <x:formula>AND($A2&lt;&gt;"",G2="")</x:formula>
    </x:cfRule>
  </x:conditionalFormatting>
  <x:conditionalFormatting sqref="I2:I500">
    <x:cfRule type="expression" dxfId="66" priority="5">
      <x:formula>AND($A2&lt;&gt;"",I2="")</x:formula>
    </x:cfRule>
  </x:conditionalFormatting>
  <x:conditionalFormatting sqref="J2:J500">
    <x:cfRule type="expression" dxfId="67" priority="6">
      <x:formula>AND($A2&lt;&gt;"",J2="")</x:formula>
    </x:cfRule>
  </x:conditionalFormatting>
  <x:conditionalFormatting sqref="L2:L500">
    <x:cfRule type="expression" dxfId="68" priority="7">
      <x:formula>AND($A2&lt;&gt;"",L2="")</x:formula>
    </x:cfRule>
    <x:cfRule type="containsText" dxfId="75" priority="14" operator="containsText" text="paid"/>
    <x:cfRule type="containsText" dxfId="76" priority="15" operator="containsText" text="partial"/>
    <x:cfRule type="containsText" dxfId="77" priority="16" operator="containsText" text="unpaid"/>
  </x:conditionalFormatting>
  <x:conditionalFormatting sqref="M2:M500">
    <x:cfRule type="expression" dxfId="69" priority="8">
      <x:formula>AND($A2&lt;&gt;"",M2="")</x:formula>
    </x:cfRule>
    <x:cfRule type="containsText" dxfId="78" priority="17" operator="containsText" text="cancelled"/>
    <x:cfRule type="containsText" dxfId="79" priority="18" operator="containsText" text="delivered"/>
  </x:conditionalFormatting>
  <x:conditionalFormatting sqref="Q2:Q500">
    <x:cfRule type="expression" dxfId="70" priority="9">
      <x:formula>AND($A2&lt;&gt;"",Q2="")</x:formula>
    </x:cfRule>
  </x:conditionalFormatting>
  <x:conditionalFormatting sqref="R2:R500">
    <x:cfRule type="expression" dxfId="71" priority="10">
      <x:formula>AND($A2&lt;&gt;"",R2="")</x:formula>
    </x:cfRule>
  </x:conditionalFormatting>
  <x:conditionalFormatting sqref="S2:S500">
    <x:cfRule type="expression" dxfId="72" priority="11">
      <x:formula>AND($A2&lt;&gt;"",S2="")</x:formula>
    </x:cfRule>
  </x:conditionalFormatting>
  <x:conditionalFormatting sqref="T2:T500">
    <x:cfRule type="expression" dxfId="73" priority="12">
      <x:formula>AND($A2&lt;&gt;"",T2="")</x:formula>
    </x:cfRule>
  </x:conditionalFormatting>
  <x:conditionalFormatting sqref="U2:U500">
    <x:cfRule type="expression" dxfId="74" priority="13">
      <x:formula>AND($A2&lt;&gt;"",U2="")</x:formula>
    </x:cfRule>
  </x:conditionalFormatting>
  <x:dataValidations count="3">
    <x:dataValidation type="list" sqref="L2:L500">
      <x:formula1>"unpaid,partial,paid,refunded"</x:formula1>
    </x:dataValidation>
    <x:dataValidation type="list" sqref="M2:M500">
      <x:formula1>"draft,confirmed,preparing,shipped,delivered,cancelled"</x:formula1>
    </x:dataValidation>
    <x:dataValidation type="list" sqref="U2:U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8e9f6cbcc7460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28" hidden="0" customWidth="1"/>
    <x:col min="4" max="4" width="18" hidden="0" customWidth="1"/>
    <x:col min="5" max="5" width="12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0" hidden="0" customWidth="1"/>
    <x:col min="11" max="11" width="19" hidden="0" customWidth="1"/>
    <x:col min="12" max="12" width="18" hidden="0" customWidth="1"/>
    <x:col min="13" max="13" width="19" hidden="0" customWidth="1"/>
    <x:col min="14" max="14" width="18" hidden="0" customWidth="1"/>
    <x:col min="15" max="15" width="12" hidden="0" customWidth="1"/>
  </x:cols>
  <x:sheetData>
    <x:row r="1" ht="46" customHeight="1">
      <x:c r="A1" s="12" t="str">
        <x:v>شناسه محصول *
(product_id)</x:v>
      </x:c>
      <x:c r="B1" s="13" t="str">
        <x:v>کد کالا *
(sku)</x:v>
      </x:c>
      <x:c r="C1" s="13" t="str">
        <x:v>نام محصول *
(name)</x:v>
      </x:c>
      <x:c r="D1" s="13" t="str">
        <x:v>دسته *
(category)</x:v>
      </x:c>
      <x:c r="E1" s="13" t="str">
        <x:v>واحد *
(unit)</x:v>
      </x:c>
      <x:c r="F1" s="13" t="str">
        <x:v>قیمت فروش (ریال)
(sale_price)</x:v>
      </x:c>
      <x:c r="G1" s="13" t="str">
        <x:v>بهای خرید (ریال)
(cost_price)</x:v>
      </x:c>
      <x:c r="H1" s="13" t="str">
        <x:v>نقطه سفارش
(reorder_level)</x:v>
      </x:c>
      <x:c r="I1" s="13" t="str">
        <x:v>موجودی فعلی
(current_stock)</x:v>
      </x:c>
      <x:c r="J1" s="13" t="str">
        <x:v>فعال *
(active)</x:v>
      </x:c>
      <x:c r="K1" s="13" t="str">
        <x:v>زمان ایجاد *
(created_at)</x:v>
      </x:c>
      <x:c r="L1" s="13" t="str">
        <x:v>ایجادکننده *
(created_by)</x:v>
      </x:c>
      <x:c r="M1" s="13" t="str">
        <x:v>آخرین تغییر *
(updated_at)</x:v>
      </x:c>
      <x:c r="N1" s="13" t="str">
        <x:v>تغییردهنده *
(updated_by)</x:v>
      </x:c>
      <x:c r="O1" s="14" t="str">
        <x:v>حذف نرم *
(is_deleted)</x:v>
      </x:c>
    </x:row>
    <x:row r="2">
      <x:c r="A2" s="28" t="str">
        <x:v>prd_001</x:v>
      </x:c>
      <x:c r="B2" s="29" t="str">
        <x:v>PRD-A</x:v>
      </x:c>
      <x:c r="C2" s="29" t="str">
        <x:v>محصول A</x:v>
      </x:c>
      <x:c r="D2" s="29" t="str">
        <x:v>دسته اصلی</x:v>
      </x:c>
      <x:c r="E2" s="29" t="str">
        <x:v>عدد</x:v>
      </x:c>
      <x:c r="F2" s="32" t="n">
        <x:v>26000000</x:v>
      </x:c>
      <x:c r="G2" s="32" t="n">
        <x:v>21000000</x:v>
      </x:c>
      <x:c r="H2" s="63" t="n">
        <x:v>10</x:v>
      </x:c>
      <x:c r="I2" s="117" t="n">
        <x:f>IF($A2="","",SUMIFS('InventoryTransactions'!$D$2:$D$500,'InventoryTransactions'!$B$2:$B$500,$A2))</x:f>
        <x:v>70</x:v>
      </x:c>
      <x:c r="J2" s="66" t="b">
        <x:v>1</x:v>
      </x:c>
      <x:c r="K2" s="33" t="n">
        <x:v>46023.229166666664</x:v>
      </x:c>
      <x:c r="L2" s="29" t="str">
        <x:v>usr_owner</x:v>
      </x:c>
      <x:c r="M2" s="33" t="n">
        <x:v>46215.229166666664</x:v>
      </x:c>
      <x:c r="N2" s="29" t="str">
        <x:v>usr_owner</x:v>
      </x:c>
      <x:c r="O2" s="55" t="b">
        <x:v>0</x:v>
      </x:c>
    </x:row>
    <x:row r="3">
      <x:c r="A3" s="37" t="str">
        <x:v>prd_002</x:v>
      </x:c>
      <x:c r="B3" s="38" t="str">
        <x:v>PRD-B</x:v>
      </x:c>
      <x:c r="C3" s="38" t="str">
        <x:v>محصول B</x:v>
      </x:c>
      <x:c r="D3" s="38" t="str">
        <x:v>دسته اصلی</x:v>
      </x:c>
      <x:c r="E3" s="38" t="str">
        <x:v>عدد</x:v>
      </x:c>
      <x:c r="F3" s="41" t="n">
        <x:v>40000000</x:v>
      </x:c>
      <x:c r="G3" s="41" t="n">
        <x:v>33000000</x:v>
      </x:c>
      <x:c r="H3" s="64" t="n">
        <x:v>5</x:v>
      </x:c>
      <x:c r="I3" s="118" t="n">
        <x:f>IF($A3="","",SUMIFS('InventoryTransactions'!$D$2:$D$500,'InventoryTransactions'!$B$2:$B$500,$A3))</x:f>
        <x:v>35</x:v>
      </x:c>
      <x:c r="J3" s="67" t="b">
        <x:v>1</x:v>
      </x:c>
      <x:c r="K3" s="42" t="n">
        <x:v>46023.229166666664</x:v>
      </x:c>
      <x:c r="L3" s="38" t="str">
        <x:v>usr_owner</x:v>
      </x:c>
      <x:c r="M3" s="42" t="n">
        <x:v>46215.229166666664</x:v>
      </x:c>
      <x:c r="N3" s="38" t="str">
        <x:v>usr_owner</x:v>
      </x:c>
      <x:c r="O3" s="56" t="b">
        <x:v>0</x:v>
      </x:c>
    </x:row>
    <x:row r="4">
      <x:c r="A4" s="37" t="str">
        <x:v>prd_003</x:v>
      </x:c>
      <x:c r="B4" s="38" t="str">
        <x:v>PRD-C</x:v>
      </x:c>
      <x:c r="C4" s="38" t="str">
        <x:v>محصول C</x:v>
      </x:c>
      <x:c r="D4" s="38" t="str">
        <x:v>دسته مکمل</x:v>
      </x:c>
      <x:c r="E4" s="38" t="str">
        <x:v>عدد</x:v>
      </x:c>
      <x:c r="F4" s="41" t="n">
        <x:v>60000000</x:v>
      </x:c>
      <x:c r="G4" s="41" t="n">
        <x:v>50000000</x:v>
      </x:c>
      <x:c r="H4" s="64" t="n">
        <x:v>4</x:v>
      </x:c>
      <x:c r="I4" s="118" t="n">
        <x:f>IF($A4="","",SUMIFS('InventoryTransactions'!$D$2:$D$500,'InventoryTransactions'!$B$2:$B$500,$A4))</x:f>
        <x:v>13</x:v>
      </x:c>
      <x:c r="J4" s="67" t="b">
        <x:v>1</x:v>
      </x:c>
      <x:c r="K4" s="42" t="n">
        <x:v>46023.229166666664</x:v>
      </x:c>
      <x:c r="L4" s="38" t="str">
        <x:v>usr_owner</x:v>
      </x:c>
      <x:c r="M4" s="42" t="n">
        <x:v>46215.229166666664</x:v>
      </x:c>
      <x:c r="N4" s="38" t="str">
        <x:v>usr_owner</x:v>
      </x:c>
      <x:c r="O4" s="56" t="b">
        <x:v>0</x:v>
      </x:c>
    </x:row>
    <x:row r="5">
      <x:c r="A5" s="37" t="str">
        <x:v>prd_004</x:v>
      </x:c>
      <x:c r="B5" s="38" t="str">
        <x:v>SRV-D</x:v>
      </x:c>
      <x:c r="C5" s="38" t="str">
        <x:v>خدمت D</x:v>
      </x:c>
      <x:c r="D5" s="38" t="str">
        <x:v>خدمات</x:v>
      </x:c>
      <x:c r="E5" s="38" t="str">
        <x:v>خدمت</x:v>
      </x:c>
      <x:c r="F5" s="41" t="n">
        <x:v>15000000</x:v>
      </x:c>
      <x:c r="G5" s="41" t="n">
        <x:v>5000000</x:v>
      </x:c>
      <x:c r="H5" s="64" t="n">
        <x:v>0</x:v>
      </x:c>
      <x:c r="I5" s="118" t="n">
        <x:f>IF($A5="","",SUMIFS('InventoryTransactions'!$D$2:$D$500,'InventoryTransactions'!$B$2:$B$500,$A5))</x:f>
        <x:v>0</x:v>
      </x:c>
      <x:c r="J5" s="67" t="b">
        <x:v>1</x:v>
      </x:c>
      <x:c r="K5" s="42" t="n">
        <x:v>46023.229166666664</x:v>
      </x:c>
      <x:c r="L5" s="38" t="str">
        <x:v>usr_owner</x:v>
      </x:c>
      <x:c r="M5" s="42" t="n">
        <x:v>46215.229166666664</x:v>
      </x:c>
      <x:c r="N5" s="38" t="str">
        <x:v>usr_owner</x:v>
      </x:c>
      <x:c r="O5" s="56" t="b">
        <x:v>0</x:v>
      </x:c>
    </x:row>
    <x:row r="6">
      <x:c r="A6" s="46" t="str">
        <x:v>prd_005</x:v>
      </x:c>
      <x:c r="B6" s="47" t="str">
        <x:v>PRD-E</x:v>
      </x:c>
      <x:c r="C6" s="47" t="str">
        <x:v>محصول کم‌فروش E</x:v>
      </x:c>
      <x:c r="D6" s="47" t="str">
        <x:v>دسته مکمل</x:v>
      </x:c>
      <x:c r="E6" s="47" t="str">
        <x:v>عدد</x:v>
      </x:c>
      <x:c r="F6" s="50" t="n">
        <x:v>18000000</x:v>
      </x:c>
      <x:c r="G6" s="50" t="n">
        <x:v>14000000</x:v>
      </x:c>
      <x:c r="H6" s="65" t="n">
        <x:v>3</x:v>
      </x:c>
      <x:c r="I6" s="119" t="n">
        <x:f>IF($A6="","",SUMIFS('InventoryTransactions'!$D$2:$D$500,'InventoryTransactions'!$B$2:$B$500,$A6))</x:f>
        <x:v>12</x:v>
      </x:c>
      <x:c r="J6" s="68" t="b">
        <x:v>1</x:v>
      </x:c>
      <x:c r="K6" s="51" t="n">
        <x:v>46023.229166666664</x:v>
      </x:c>
      <x:c r="L6" s="47" t="str">
        <x:v>usr_owner</x:v>
      </x:c>
      <x:c r="M6" s="51" t="n">
        <x:v>46215.229166666664</x:v>
      </x:c>
      <x:c r="N6" s="47" t="str">
        <x:v>usr_owner</x:v>
      </x:c>
      <x:c r="O6" s="57" t="b">
        <x:v>0</x:v>
      </x:c>
    </x:row>
    <x:row r="7">
      <x:c r="A7" s="19"/>
      <x:c r="B7" s="19"/>
      <x:c r="C7" s="19"/>
      <x:c r="D7" s="19"/>
      <x:c r="E7" s="19"/>
      <x:c r="F7" s="25"/>
      <x:c r="G7" s="25"/>
      <x:c r="H7" s="62"/>
      <x:c r="I7" s="120" t="str">
        <x:f>IF($A7="","",SUMIFS('InventoryTransactions'!$D$2:$D$500,'InventoryTransactions'!$B$2:$B$500,$A7))</x:f>
      </x:c>
      <x:c r="J7" s="19"/>
      <x:c r="K7" s="26"/>
      <x:c r="L7" s="19"/>
      <x:c r="M7" s="26"/>
      <x:c r="N7" s="19"/>
      <x:c r="O7" s="19"/>
    </x:row>
    <x:row r="8">
      <x:c r="A8" s="19"/>
      <x:c r="B8" s="19"/>
      <x:c r="C8" s="19"/>
      <x:c r="D8" s="19"/>
      <x:c r="E8" s="19"/>
      <x:c r="F8" s="25"/>
      <x:c r="G8" s="25"/>
      <x:c r="H8" s="62"/>
      <x:c r="I8" s="120" t="str">
        <x:f>IF($A8="","",SUMIFS('InventoryTransactions'!$D$2:$D$500,'InventoryTransactions'!$B$2:$B$500,$A8))</x:f>
      </x:c>
      <x:c r="J8" s="19"/>
      <x:c r="K8" s="26"/>
      <x:c r="L8" s="19"/>
      <x:c r="M8" s="26"/>
      <x:c r="N8" s="19"/>
      <x:c r="O8" s="19"/>
    </x:row>
    <x:row r="9">
      <x:c r="A9" s="19"/>
      <x:c r="B9" s="19"/>
      <x:c r="C9" s="19"/>
      <x:c r="D9" s="19"/>
      <x:c r="E9" s="19"/>
      <x:c r="F9" s="25"/>
      <x:c r="G9" s="25"/>
      <x:c r="H9" s="62"/>
      <x:c r="I9" s="120" t="str">
        <x:f>IF($A9="","",SUMIFS('InventoryTransactions'!$D$2:$D$500,'InventoryTransactions'!$B$2:$B$500,$A9))</x:f>
      </x:c>
      <x:c r="J9" s="19"/>
      <x:c r="K9" s="26"/>
      <x:c r="L9" s="19"/>
      <x:c r="M9" s="26"/>
      <x:c r="N9" s="19"/>
      <x:c r="O9" s="19"/>
    </x:row>
    <x:row r="10">
      <x:c r="A10" s="19"/>
      <x:c r="B10" s="19"/>
      <x:c r="C10" s="19"/>
      <x:c r="D10" s="19"/>
      <x:c r="E10" s="19"/>
      <x:c r="F10" s="25"/>
      <x:c r="G10" s="25"/>
      <x:c r="H10" s="62"/>
      <x:c r="I10" s="120" t="str">
        <x:f>IF($A10="","",SUMIFS('InventoryTransactions'!$D$2:$D$500,'InventoryTransactions'!$B$2:$B$500,$A10))</x:f>
      </x:c>
      <x:c r="J10" s="19"/>
      <x:c r="K10" s="26"/>
      <x:c r="L10" s="19"/>
      <x:c r="M10" s="26"/>
      <x:c r="N10" s="19"/>
      <x:c r="O10" s="19"/>
    </x:row>
    <x:row r="11">
      <x:c r="A11" s="19"/>
      <x:c r="B11" s="19"/>
      <x:c r="C11" s="19"/>
      <x:c r="D11" s="19"/>
      <x:c r="E11" s="19"/>
      <x:c r="F11" s="25"/>
      <x:c r="G11" s="25"/>
      <x:c r="H11" s="62"/>
      <x:c r="I11" s="120" t="str">
        <x:f>IF($A11="","",SUMIFS('InventoryTransactions'!$D$2:$D$500,'InventoryTransactions'!$B$2:$B$500,$A11))</x:f>
      </x:c>
      <x:c r="J11" s="19"/>
      <x:c r="K11" s="26"/>
      <x:c r="L11" s="19"/>
      <x:c r="M11" s="26"/>
      <x:c r="N11" s="19"/>
      <x:c r="O11" s="19"/>
    </x:row>
    <x:row r="12">
      <x:c r="A12" s="19"/>
      <x:c r="B12" s="19"/>
      <x:c r="C12" s="19"/>
      <x:c r="D12" s="19"/>
      <x:c r="E12" s="19"/>
      <x:c r="F12" s="25"/>
      <x:c r="G12" s="25"/>
      <x:c r="H12" s="62"/>
      <x:c r="I12" s="120" t="str">
        <x:f>IF($A12="","",SUMIFS('InventoryTransactions'!$D$2:$D$500,'InventoryTransactions'!$B$2:$B$500,$A12))</x:f>
      </x:c>
      <x:c r="J12" s="19"/>
      <x:c r="K12" s="26"/>
      <x:c r="L12" s="19"/>
      <x:c r="M12" s="26"/>
      <x:c r="N12" s="19"/>
      <x:c r="O12" s="19"/>
    </x:row>
    <x:row r="13">
      <x:c r="A13" s="19"/>
      <x:c r="B13" s="19"/>
      <x:c r="C13" s="19"/>
      <x:c r="D13" s="19"/>
      <x:c r="E13" s="19"/>
      <x:c r="F13" s="25"/>
      <x:c r="G13" s="25"/>
      <x:c r="H13" s="62"/>
      <x:c r="I13" s="120" t="str">
        <x:f>IF($A13="","",SUMIFS('InventoryTransactions'!$D$2:$D$500,'InventoryTransactions'!$B$2:$B$500,$A13))</x:f>
      </x:c>
      <x:c r="J13" s="19"/>
      <x:c r="K13" s="26"/>
      <x:c r="L13" s="19"/>
      <x:c r="M13" s="26"/>
      <x:c r="N13" s="19"/>
      <x:c r="O13" s="19"/>
    </x:row>
    <x:row r="14">
      <x:c r="A14" s="19"/>
      <x:c r="B14" s="19"/>
      <x:c r="C14" s="19"/>
      <x:c r="D14" s="19"/>
      <x:c r="E14" s="19"/>
      <x:c r="F14" s="25"/>
      <x:c r="G14" s="25"/>
      <x:c r="H14" s="62"/>
      <x:c r="I14" s="120" t="str">
        <x:f>IF($A14="","",SUMIFS('InventoryTransactions'!$D$2:$D$500,'InventoryTransactions'!$B$2:$B$500,$A14))</x:f>
      </x:c>
      <x:c r="J14" s="19"/>
      <x:c r="K14" s="26"/>
      <x:c r="L14" s="19"/>
      <x:c r="M14" s="26"/>
      <x:c r="N14" s="19"/>
      <x:c r="O14" s="19"/>
    </x:row>
    <x:row r="15">
      <x:c r="A15" s="19"/>
      <x:c r="B15" s="19"/>
      <x:c r="C15" s="19"/>
      <x:c r="D15" s="19"/>
      <x:c r="E15" s="19"/>
      <x:c r="F15" s="25"/>
      <x:c r="G15" s="25"/>
      <x:c r="H15" s="62"/>
      <x:c r="I15" s="120" t="str">
        <x:f>IF($A15="","",SUMIFS('InventoryTransactions'!$D$2:$D$500,'InventoryTransactions'!$B$2:$B$500,$A15))</x:f>
      </x:c>
      <x:c r="J15" s="19"/>
      <x:c r="K15" s="26"/>
      <x:c r="L15" s="19"/>
      <x:c r="M15" s="26"/>
      <x:c r="N15" s="19"/>
      <x:c r="O15" s="19"/>
    </x:row>
    <x:row r="16">
      <x:c r="A16" s="19"/>
      <x:c r="B16" s="19"/>
      <x:c r="C16" s="19"/>
      <x:c r="D16" s="19"/>
      <x:c r="E16" s="19"/>
      <x:c r="F16" s="25"/>
      <x:c r="G16" s="25"/>
      <x:c r="H16" s="62"/>
      <x:c r="I16" s="120" t="str">
        <x:f>IF($A16="","",SUMIFS('InventoryTransactions'!$D$2:$D$500,'InventoryTransactions'!$B$2:$B$500,$A16))</x:f>
      </x:c>
      <x:c r="J16" s="19"/>
      <x:c r="K16" s="26"/>
      <x:c r="L16" s="19"/>
      <x:c r="M16" s="26"/>
      <x:c r="N16" s="19"/>
      <x:c r="O16" s="19"/>
    </x:row>
    <x:row r="17">
      <x:c r="A17" s="19"/>
      <x:c r="B17" s="19"/>
      <x:c r="C17" s="19"/>
      <x:c r="D17" s="19"/>
      <x:c r="E17" s="19"/>
      <x:c r="F17" s="25"/>
      <x:c r="G17" s="25"/>
      <x:c r="H17" s="62"/>
      <x:c r="I17" s="120" t="str">
        <x:f>IF($A17="","",SUMIFS('InventoryTransactions'!$D$2:$D$500,'InventoryTransactions'!$B$2:$B$500,$A17))</x:f>
      </x:c>
      <x:c r="J17" s="19"/>
      <x:c r="K17" s="26"/>
      <x:c r="L17" s="19"/>
      <x:c r="M17" s="26"/>
      <x:c r="N17" s="19"/>
      <x:c r="O17" s="19"/>
    </x:row>
    <x:row r="18">
      <x:c r="A18" s="19"/>
      <x:c r="B18" s="19"/>
      <x:c r="C18" s="19"/>
      <x:c r="D18" s="19"/>
      <x:c r="E18" s="19"/>
      <x:c r="F18" s="25"/>
      <x:c r="G18" s="25"/>
      <x:c r="H18" s="62"/>
      <x:c r="I18" s="120" t="str">
        <x:f>IF($A18="","",SUMIFS('InventoryTransactions'!$D$2:$D$500,'InventoryTransactions'!$B$2:$B$500,$A18))</x:f>
      </x:c>
      <x:c r="J18" s="19"/>
      <x:c r="K18" s="26"/>
      <x:c r="L18" s="19"/>
      <x:c r="M18" s="26"/>
      <x:c r="N18" s="19"/>
      <x:c r="O18" s="19"/>
    </x:row>
    <x:row r="19">
      <x:c r="A19" s="19"/>
      <x:c r="B19" s="19"/>
      <x:c r="C19" s="19"/>
      <x:c r="D19" s="19"/>
      <x:c r="E19" s="19"/>
      <x:c r="F19" s="25"/>
      <x:c r="G19" s="25"/>
      <x:c r="H19" s="62"/>
      <x:c r="I19" s="120" t="str">
        <x:f>IF($A19="","",SUMIFS('InventoryTransactions'!$D$2:$D$500,'InventoryTransactions'!$B$2:$B$500,$A19))</x:f>
      </x:c>
      <x:c r="J19" s="19"/>
      <x:c r="K19" s="26"/>
      <x:c r="L19" s="19"/>
      <x:c r="M19" s="26"/>
      <x:c r="N19" s="19"/>
      <x:c r="O19" s="19"/>
    </x:row>
    <x:row r="20">
      <x:c r="A20" s="19"/>
      <x:c r="B20" s="19"/>
      <x:c r="C20" s="19"/>
      <x:c r="D20" s="19"/>
      <x:c r="E20" s="19"/>
      <x:c r="F20" s="25"/>
      <x:c r="G20" s="25"/>
      <x:c r="H20" s="62"/>
      <x:c r="I20" s="120" t="str">
        <x:f>IF($A20="","",SUMIFS('InventoryTransactions'!$D$2:$D$500,'InventoryTransactions'!$B$2:$B$500,$A20))</x:f>
      </x:c>
      <x:c r="J20" s="19"/>
      <x:c r="K20" s="26"/>
      <x:c r="L20" s="19"/>
      <x:c r="M20" s="26"/>
      <x:c r="N20" s="19"/>
      <x:c r="O20" s="19"/>
    </x:row>
    <x:row r="21">
      <x:c r="A21" s="19"/>
      <x:c r="B21" s="19"/>
      <x:c r="C21" s="19"/>
      <x:c r="D21" s="19"/>
      <x:c r="E21" s="19"/>
      <x:c r="F21" s="25"/>
      <x:c r="G21" s="25"/>
      <x:c r="H21" s="62"/>
      <x:c r="I21" s="120" t="str">
        <x:f>IF($A21="","",SUMIFS('InventoryTransactions'!$D$2:$D$500,'InventoryTransactions'!$B$2:$B$500,$A21))</x:f>
      </x:c>
      <x:c r="J21" s="19"/>
      <x:c r="K21" s="26"/>
      <x:c r="L21" s="19"/>
      <x:c r="M21" s="26"/>
      <x:c r="N21" s="19"/>
      <x:c r="O21" s="19"/>
    </x:row>
    <x:row r="22">
      <x:c r="A22" s="19"/>
      <x:c r="B22" s="19"/>
      <x:c r="C22" s="19"/>
      <x:c r="D22" s="19"/>
      <x:c r="E22" s="19"/>
      <x:c r="F22" s="25"/>
      <x:c r="G22" s="25"/>
      <x:c r="H22" s="62"/>
      <x:c r="I22" s="120" t="str">
        <x:f>IF($A22="","",SUMIFS('InventoryTransactions'!$D$2:$D$500,'InventoryTransactions'!$B$2:$B$500,$A22))</x:f>
      </x:c>
      <x:c r="J22" s="19"/>
      <x:c r="K22" s="26"/>
      <x:c r="L22" s="19"/>
      <x:c r="M22" s="26"/>
      <x:c r="N22" s="19"/>
      <x:c r="O22" s="19"/>
    </x:row>
    <x:row r="23">
      <x:c r="A23" s="19"/>
      <x:c r="B23" s="19"/>
      <x:c r="C23" s="19"/>
      <x:c r="D23" s="19"/>
      <x:c r="E23" s="19"/>
      <x:c r="F23" s="25"/>
      <x:c r="G23" s="25"/>
      <x:c r="H23" s="62"/>
      <x:c r="I23" s="120" t="str">
        <x:f>IF($A23="","",SUMIFS('InventoryTransactions'!$D$2:$D$500,'InventoryTransactions'!$B$2:$B$500,$A23))</x:f>
      </x:c>
      <x:c r="J23" s="19"/>
      <x:c r="K23" s="26"/>
      <x:c r="L23" s="19"/>
      <x:c r="M23" s="26"/>
      <x:c r="N23" s="19"/>
      <x:c r="O23" s="19"/>
    </x:row>
    <x:row r="24">
      <x:c r="A24" s="19"/>
      <x:c r="B24" s="19"/>
      <x:c r="C24" s="19"/>
      <x:c r="D24" s="19"/>
      <x:c r="E24" s="19"/>
      <x:c r="F24" s="25"/>
      <x:c r="G24" s="25"/>
      <x:c r="H24" s="62"/>
      <x:c r="I24" s="120" t="str">
        <x:f>IF($A24="","",SUMIFS('InventoryTransactions'!$D$2:$D$500,'InventoryTransactions'!$B$2:$B$500,$A24))</x:f>
      </x:c>
      <x:c r="J24" s="19"/>
      <x:c r="K24" s="26"/>
      <x:c r="L24" s="19"/>
      <x:c r="M24" s="26"/>
      <x:c r="N24" s="19"/>
      <x:c r="O24" s="19"/>
    </x:row>
    <x:row r="25">
      <x:c r="A25" s="19"/>
      <x:c r="B25" s="19"/>
      <x:c r="C25" s="19"/>
      <x:c r="D25" s="19"/>
      <x:c r="E25" s="19"/>
      <x:c r="F25" s="25"/>
      <x:c r="G25" s="25"/>
      <x:c r="H25" s="62"/>
      <x:c r="I25" s="120" t="str">
        <x:f>IF($A25="","",SUMIFS('InventoryTransactions'!$D$2:$D$500,'InventoryTransactions'!$B$2:$B$500,$A25))</x:f>
      </x:c>
      <x:c r="J25" s="19"/>
      <x:c r="K25" s="26"/>
      <x:c r="L25" s="19"/>
      <x:c r="M25" s="26"/>
      <x:c r="N25" s="19"/>
      <x:c r="O25" s="19"/>
    </x:row>
    <x:row r="26">
      <x:c r="A26" s="19"/>
      <x:c r="B26" s="19"/>
      <x:c r="C26" s="19"/>
      <x:c r="D26" s="19"/>
      <x:c r="E26" s="19"/>
      <x:c r="F26" s="25"/>
      <x:c r="G26" s="25"/>
      <x:c r="H26" s="62"/>
      <x:c r="I26" s="120" t="str">
        <x:f>IF($A26="","",SUMIFS('InventoryTransactions'!$D$2:$D$500,'InventoryTransactions'!$B$2:$B$500,$A26))</x:f>
      </x:c>
      <x:c r="J26" s="19"/>
      <x:c r="K26" s="26"/>
      <x:c r="L26" s="19"/>
      <x:c r="M26" s="26"/>
      <x:c r="N26" s="19"/>
      <x:c r="O26" s="19"/>
    </x:row>
    <x:row r="27">
      <x:c r="A27" s="19"/>
      <x:c r="B27" s="19"/>
      <x:c r="C27" s="19"/>
      <x:c r="D27" s="19"/>
      <x:c r="E27" s="19"/>
      <x:c r="F27" s="25"/>
      <x:c r="G27" s="25"/>
      <x:c r="H27" s="62"/>
      <x:c r="I27" s="120" t="str">
        <x:f>IF($A27="","",SUMIFS('InventoryTransactions'!$D$2:$D$500,'InventoryTransactions'!$B$2:$B$500,$A27))</x:f>
      </x:c>
      <x:c r="J27" s="19"/>
      <x:c r="K27" s="26"/>
      <x:c r="L27" s="19"/>
      <x:c r="M27" s="26"/>
      <x:c r="N27" s="19"/>
      <x:c r="O27" s="19"/>
    </x:row>
    <x:row r="28">
      <x:c r="A28" s="19"/>
      <x:c r="B28" s="19"/>
      <x:c r="C28" s="19"/>
      <x:c r="D28" s="19"/>
      <x:c r="E28" s="19"/>
      <x:c r="F28" s="25"/>
      <x:c r="G28" s="25"/>
      <x:c r="H28" s="62"/>
      <x:c r="I28" s="120" t="str">
        <x:f>IF($A28="","",SUMIFS('InventoryTransactions'!$D$2:$D$500,'InventoryTransactions'!$B$2:$B$500,$A28))</x:f>
      </x:c>
      <x:c r="J28" s="19"/>
      <x:c r="K28" s="26"/>
      <x:c r="L28" s="19"/>
      <x:c r="M28" s="26"/>
      <x:c r="N28" s="19"/>
      <x:c r="O28" s="19"/>
    </x:row>
    <x:row r="29">
      <x:c r="A29" s="19"/>
      <x:c r="B29" s="19"/>
      <x:c r="C29" s="19"/>
      <x:c r="D29" s="19"/>
      <x:c r="E29" s="19"/>
      <x:c r="F29" s="25"/>
      <x:c r="G29" s="25"/>
      <x:c r="H29" s="62"/>
      <x:c r="I29" s="120" t="str">
        <x:f>IF($A29="","",SUMIFS('InventoryTransactions'!$D$2:$D$500,'InventoryTransactions'!$B$2:$B$500,$A29))</x:f>
      </x:c>
      <x:c r="J29" s="19"/>
      <x:c r="K29" s="26"/>
      <x:c r="L29" s="19"/>
      <x:c r="M29" s="26"/>
      <x:c r="N29" s="19"/>
      <x:c r="O29" s="19"/>
    </x:row>
    <x:row r="30">
      <x:c r="A30" s="19"/>
      <x:c r="B30" s="19"/>
      <x:c r="C30" s="19"/>
      <x:c r="D30" s="19"/>
      <x:c r="E30" s="19"/>
      <x:c r="F30" s="25"/>
      <x:c r="G30" s="25"/>
      <x:c r="H30" s="62"/>
      <x:c r="I30" s="120" t="str">
        <x:f>IF($A30="","",SUMIFS('InventoryTransactions'!$D$2:$D$500,'InventoryTransactions'!$B$2:$B$500,$A30))</x:f>
      </x:c>
      <x:c r="J30" s="19"/>
      <x:c r="K30" s="26"/>
      <x:c r="L30" s="19"/>
      <x:c r="M30" s="26"/>
      <x:c r="N30" s="19"/>
      <x:c r="O30" s="19"/>
    </x:row>
    <x:row r="31">
      <x:c r="A31" s="19"/>
      <x:c r="B31" s="19"/>
      <x:c r="C31" s="19"/>
      <x:c r="D31" s="19"/>
      <x:c r="E31" s="19"/>
      <x:c r="F31" s="25"/>
      <x:c r="G31" s="25"/>
      <x:c r="H31" s="62"/>
      <x:c r="I31" s="120" t="str">
        <x:f>IF($A31="","",SUMIFS('InventoryTransactions'!$D$2:$D$500,'InventoryTransactions'!$B$2:$B$500,$A31))</x:f>
      </x:c>
      <x:c r="J31" s="19"/>
      <x:c r="K31" s="26"/>
      <x:c r="L31" s="19"/>
      <x:c r="M31" s="26"/>
      <x:c r="N31" s="19"/>
      <x:c r="O31" s="19"/>
    </x:row>
    <x:row r="32">
      <x:c r="A32" s="19"/>
      <x:c r="B32" s="19"/>
      <x:c r="C32" s="19"/>
      <x:c r="D32" s="19"/>
      <x:c r="E32" s="19"/>
      <x:c r="F32" s="25"/>
      <x:c r="G32" s="25"/>
      <x:c r="H32" s="62"/>
      <x:c r="I32" s="120" t="str">
        <x:f>IF($A32="","",SUMIFS('InventoryTransactions'!$D$2:$D$500,'InventoryTransactions'!$B$2:$B$500,$A32))</x:f>
      </x:c>
      <x:c r="J32" s="19"/>
      <x:c r="K32" s="26"/>
      <x:c r="L32" s="19"/>
      <x:c r="M32" s="26"/>
      <x:c r="N32" s="19"/>
      <x:c r="O32" s="19"/>
    </x:row>
    <x:row r="33">
      <x:c r="A33" s="19"/>
      <x:c r="B33" s="19"/>
      <x:c r="C33" s="19"/>
      <x:c r="D33" s="19"/>
      <x:c r="E33" s="19"/>
      <x:c r="F33" s="25"/>
      <x:c r="G33" s="25"/>
      <x:c r="H33" s="62"/>
      <x:c r="I33" s="120" t="str">
        <x:f>IF($A33="","",SUMIFS('InventoryTransactions'!$D$2:$D$500,'InventoryTransactions'!$B$2:$B$500,$A33))</x:f>
      </x:c>
      <x:c r="J33" s="19"/>
      <x:c r="K33" s="26"/>
      <x:c r="L33" s="19"/>
      <x:c r="M33" s="26"/>
      <x:c r="N33" s="19"/>
      <x:c r="O33" s="19"/>
    </x:row>
    <x:row r="34">
      <x:c r="A34" s="19"/>
      <x:c r="B34" s="19"/>
      <x:c r="C34" s="19"/>
      <x:c r="D34" s="19"/>
      <x:c r="E34" s="19"/>
      <x:c r="F34" s="25"/>
      <x:c r="G34" s="25"/>
      <x:c r="H34" s="62"/>
      <x:c r="I34" s="120" t="str">
        <x:f>IF($A34="","",SUMIFS('InventoryTransactions'!$D$2:$D$500,'InventoryTransactions'!$B$2:$B$500,$A34))</x:f>
      </x:c>
      <x:c r="J34" s="19"/>
      <x:c r="K34" s="26"/>
      <x:c r="L34" s="19"/>
      <x:c r="M34" s="26"/>
      <x:c r="N34" s="19"/>
      <x:c r="O34" s="19"/>
    </x:row>
    <x:row r="35">
      <x:c r="A35" s="19"/>
      <x:c r="B35" s="19"/>
      <x:c r="C35" s="19"/>
      <x:c r="D35" s="19"/>
      <x:c r="E35" s="19"/>
      <x:c r="F35" s="25"/>
      <x:c r="G35" s="25"/>
      <x:c r="H35" s="62"/>
      <x:c r="I35" s="120" t="str">
        <x:f>IF($A35="","",SUMIFS('InventoryTransactions'!$D$2:$D$500,'InventoryTransactions'!$B$2:$B$500,$A35))</x:f>
      </x:c>
      <x:c r="J35" s="19"/>
      <x:c r="K35" s="26"/>
      <x:c r="L35" s="19"/>
      <x:c r="M35" s="26"/>
      <x:c r="N35" s="19"/>
      <x:c r="O35" s="19"/>
    </x:row>
    <x:row r="36">
      <x:c r="A36" s="19"/>
      <x:c r="B36" s="19"/>
      <x:c r="C36" s="19"/>
      <x:c r="D36" s="19"/>
      <x:c r="E36" s="19"/>
      <x:c r="F36" s="25"/>
      <x:c r="G36" s="25"/>
      <x:c r="H36" s="62"/>
      <x:c r="I36" s="120" t="str">
        <x:f>IF($A36="","",SUMIFS('InventoryTransactions'!$D$2:$D$500,'InventoryTransactions'!$B$2:$B$500,$A36))</x:f>
      </x:c>
      <x:c r="J36" s="19"/>
      <x:c r="K36" s="26"/>
      <x:c r="L36" s="19"/>
      <x:c r="M36" s="26"/>
      <x:c r="N36" s="19"/>
      <x:c r="O36" s="19"/>
    </x:row>
    <x:row r="37">
      <x:c r="A37" s="19"/>
      <x:c r="B37" s="19"/>
      <x:c r="C37" s="19"/>
      <x:c r="D37" s="19"/>
      <x:c r="E37" s="19"/>
      <x:c r="F37" s="25"/>
      <x:c r="G37" s="25"/>
      <x:c r="H37" s="62"/>
      <x:c r="I37" s="120" t="str">
        <x:f>IF($A37="","",SUMIFS('InventoryTransactions'!$D$2:$D$500,'InventoryTransactions'!$B$2:$B$500,$A37))</x:f>
      </x:c>
      <x:c r="J37" s="19"/>
      <x:c r="K37" s="26"/>
      <x:c r="L37" s="19"/>
      <x:c r="M37" s="26"/>
      <x:c r="N37" s="19"/>
      <x:c r="O37" s="19"/>
    </x:row>
    <x:row r="38">
      <x:c r="A38" s="19"/>
      <x:c r="B38" s="19"/>
      <x:c r="C38" s="19"/>
      <x:c r="D38" s="19"/>
      <x:c r="E38" s="19"/>
      <x:c r="F38" s="25"/>
      <x:c r="G38" s="25"/>
      <x:c r="H38" s="62"/>
      <x:c r="I38" s="120" t="str">
        <x:f>IF($A38="","",SUMIFS('InventoryTransactions'!$D$2:$D$500,'InventoryTransactions'!$B$2:$B$500,$A38))</x:f>
      </x:c>
      <x:c r="J38" s="19"/>
      <x:c r="K38" s="26"/>
      <x:c r="L38" s="19"/>
      <x:c r="M38" s="26"/>
      <x:c r="N38" s="19"/>
      <x:c r="O38" s="19"/>
    </x:row>
    <x:row r="39">
      <x:c r="A39" s="19"/>
      <x:c r="B39" s="19"/>
      <x:c r="C39" s="19"/>
      <x:c r="D39" s="19"/>
      <x:c r="E39" s="19"/>
      <x:c r="F39" s="25"/>
      <x:c r="G39" s="25"/>
      <x:c r="H39" s="62"/>
      <x:c r="I39" s="120" t="str">
        <x:f>IF($A39="","",SUMIFS('InventoryTransactions'!$D$2:$D$500,'InventoryTransactions'!$B$2:$B$500,$A39))</x:f>
      </x:c>
      <x:c r="J39" s="19"/>
      <x:c r="K39" s="26"/>
      <x:c r="L39" s="19"/>
      <x:c r="M39" s="26"/>
      <x:c r="N39" s="19"/>
      <x:c r="O39" s="19"/>
    </x:row>
    <x:row r="40">
      <x:c r="A40" s="19"/>
      <x:c r="B40" s="19"/>
      <x:c r="C40" s="19"/>
      <x:c r="D40" s="19"/>
      <x:c r="E40" s="19"/>
      <x:c r="F40" s="25"/>
      <x:c r="G40" s="25"/>
      <x:c r="H40" s="62"/>
      <x:c r="I40" s="120" t="str">
        <x:f>IF($A40="","",SUMIFS('InventoryTransactions'!$D$2:$D$500,'InventoryTransactions'!$B$2:$B$500,$A40))</x:f>
      </x:c>
      <x:c r="J40" s="19"/>
      <x:c r="K40" s="26"/>
      <x:c r="L40" s="19"/>
      <x:c r="M40" s="26"/>
      <x:c r="N40" s="19"/>
      <x:c r="O40" s="19"/>
    </x:row>
    <x:row r="41">
      <x:c r="A41" s="19"/>
      <x:c r="B41" s="19"/>
      <x:c r="C41" s="19"/>
      <x:c r="D41" s="19"/>
      <x:c r="E41" s="19"/>
      <x:c r="F41" s="25"/>
      <x:c r="G41" s="25"/>
      <x:c r="H41" s="62"/>
      <x:c r="I41" s="120" t="str">
        <x:f>IF($A41="","",SUMIFS('InventoryTransactions'!$D$2:$D$500,'InventoryTransactions'!$B$2:$B$500,$A41))</x:f>
      </x:c>
      <x:c r="J41" s="19"/>
      <x:c r="K41" s="26"/>
      <x:c r="L41" s="19"/>
      <x:c r="M41" s="26"/>
      <x:c r="N41" s="19"/>
      <x:c r="O41" s="19"/>
    </x:row>
    <x:row r="42">
      <x:c r="A42" s="19"/>
      <x:c r="B42" s="19"/>
      <x:c r="C42" s="19"/>
      <x:c r="D42" s="19"/>
      <x:c r="E42" s="19"/>
      <x:c r="F42" s="25"/>
      <x:c r="G42" s="25"/>
      <x:c r="H42" s="62"/>
      <x:c r="I42" s="120" t="str">
        <x:f>IF($A42="","",SUMIFS('InventoryTransactions'!$D$2:$D$500,'InventoryTransactions'!$B$2:$B$500,$A42))</x:f>
      </x:c>
      <x:c r="J42" s="19"/>
      <x:c r="K42" s="26"/>
      <x:c r="L42" s="19"/>
      <x:c r="M42" s="26"/>
      <x:c r="N42" s="19"/>
      <x:c r="O42" s="19"/>
    </x:row>
    <x:row r="43">
      <x:c r="A43" s="19"/>
      <x:c r="B43" s="19"/>
      <x:c r="C43" s="19"/>
      <x:c r="D43" s="19"/>
      <x:c r="E43" s="19"/>
      <x:c r="F43" s="25"/>
      <x:c r="G43" s="25"/>
      <x:c r="H43" s="62"/>
      <x:c r="I43" s="120" t="str">
        <x:f>IF($A43="","",SUMIFS('InventoryTransactions'!$D$2:$D$500,'InventoryTransactions'!$B$2:$B$500,$A43))</x:f>
      </x:c>
      <x:c r="J43" s="19"/>
      <x:c r="K43" s="26"/>
      <x:c r="L43" s="19"/>
      <x:c r="M43" s="26"/>
      <x:c r="N43" s="19"/>
      <x:c r="O43" s="19"/>
    </x:row>
    <x:row r="44">
      <x:c r="A44" s="19"/>
      <x:c r="B44" s="19"/>
      <x:c r="C44" s="19"/>
      <x:c r="D44" s="19"/>
      <x:c r="E44" s="19"/>
      <x:c r="F44" s="25"/>
      <x:c r="G44" s="25"/>
      <x:c r="H44" s="62"/>
      <x:c r="I44" s="120" t="str">
        <x:f>IF($A44="","",SUMIFS('InventoryTransactions'!$D$2:$D$500,'InventoryTransactions'!$B$2:$B$500,$A44))</x:f>
      </x:c>
      <x:c r="J44" s="19"/>
      <x:c r="K44" s="26"/>
      <x:c r="L44" s="19"/>
      <x:c r="M44" s="26"/>
      <x:c r="N44" s="19"/>
      <x:c r="O44" s="19"/>
    </x:row>
    <x:row r="45">
      <x:c r="A45" s="19"/>
      <x:c r="B45" s="19"/>
      <x:c r="C45" s="19"/>
      <x:c r="D45" s="19"/>
      <x:c r="E45" s="19"/>
      <x:c r="F45" s="25"/>
      <x:c r="G45" s="25"/>
      <x:c r="H45" s="62"/>
      <x:c r="I45" s="120" t="str">
        <x:f>IF($A45="","",SUMIFS('InventoryTransactions'!$D$2:$D$500,'InventoryTransactions'!$B$2:$B$500,$A45))</x:f>
      </x:c>
      <x:c r="J45" s="19"/>
      <x:c r="K45" s="26"/>
      <x:c r="L45" s="19"/>
      <x:c r="M45" s="26"/>
      <x:c r="N45" s="19"/>
      <x:c r="O45" s="19"/>
    </x:row>
    <x:row r="46">
      <x:c r="A46" s="19"/>
      <x:c r="B46" s="19"/>
      <x:c r="C46" s="19"/>
      <x:c r="D46" s="19"/>
      <x:c r="E46" s="19"/>
      <x:c r="F46" s="25"/>
      <x:c r="G46" s="25"/>
      <x:c r="H46" s="62"/>
      <x:c r="I46" s="120" t="str">
        <x:f>IF($A46="","",SUMIFS('InventoryTransactions'!$D$2:$D$500,'InventoryTransactions'!$B$2:$B$500,$A46))</x:f>
      </x:c>
      <x:c r="J46" s="19"/>
      <x:c r="K46" s="26"/>
      <x:c r="L46" s="19"/>
      <x:c r="M46" s="26"/>
      <x:c r="N46" s="19"/>
      <x:c r="O46" s="19"/>
    </x:row>
    <x:row r="47">
      <x:c r="A47" s="19"/>
      <x:c r="B47" s="19"/>
      <x:c r="C47" s="19"/>
      <x:c r="D47" s="19"/>
      <x:c r="E47" s="19"/>
      <x:c r="F47" s="25"/>
      <x:c r="G47" s="25"/>
      <x:c r="H47" s="62"/>
      <x:c r="I47" s="120" t="str">
        <x:f>IF($A47="","",SUMIFS('InventoryTransactions'!$D$2:$D$500,'InventoryTransactions'!$B$2:$B$500,$A47))</x:f>
      </x:c>
      <x:c r="J47" s="19"/>
      <x:c r="K47" s="26"/>
      <x:c r="L47" s="19"/>
      <x:c r="M47" s="26"/>
      <x:c r="N47" s="19"/>
      <x:c r="O47" s="19"/>
    </x:row>
    <x:row r="48">
      <x:c r="A48" s="19"/>
      <x:c r="B48" s="19"/>
      <x:c r="C48" s="19"/>
      <x:c r="D48" s="19"/>
      <x:c r="E48" s="19"/>
      <x:c r="F48" s="25"/>
      <x:c r="G48" s="25"/>
      <x:c r="H48" s="62"/>
      <x:c r="I48" s="120" t="str">
        <x:f>IF($A48="","",SUMIFS('InventoryTransactions'!$D$2:$D$500,'InventoryTransactions'!$B$2:$B$500,$A48))</x:f>
      </x:c>
      <x:c r="J48" s="19"/>
      <x:c r="K48" s="26"/>
      <x:c r="L48" s="19"/>
      <x:c r="M48" s="26"/>
      <x:c r="N48" s="19"/>
      <x:c r="O48" s="19"/>
    </x:row>
    <x:row r="49">
      <x:c r="A49" s="19"/>
      <x:c r="B49" s="19"/>
      <x:c r="C49" s="19"/>
      <x:c r="D49" s="19"/>
      <x:c r="E49" s="19"/>
      <x:c r="F49" s="25"/>
      <x:c r="G49" s="25"/>
      <x:c r="H49" s="62"/>
      <x:c r="I49" s="120" t="str">
        <x:f>IF($A49="","",SUMIFS('InventoryTransactions'!$D$2:$D$500,'InventoryTransactions'!$B$2:$B$500,$A49))</x:f>
      </x:c>
      <x:c r="J49" s="19"/>
      <x:c r="K49" s="26"/>
      <x:c r="L49" s="19"/>
      <x:c r="M49" s="26"/>
      <x:c r="N49" s="19"/>
      <x:c r="O49" s="19"/>
    </x:row>
    <x:row r="50">
      <x:c r="A50" s="19"/>
      <x:c r="B50" s="19"/>
      <x:c r="C50" s="19"/>
      <x:c r="D50" s="19"/>
      <x:c r="E50" s="19"/>
      <x:c r="F50" s="25"/>
      <x:c r="G50" s="25"/>
      <x:c r="H50" s="62"/>
      <x:c r="I50" s="120" t="str">
        <x:f>IF($A50="","",SUMIFS('InventoryTransactions'!$D$2:$D$500,'InventoryTransactions'!$B$2:$B$500,$A50))</x:f>
      </x:c>
      <x:c r="J50" s="19"/>
      <x:c r="K50" s="26"/>
      <x:c r="L50" s="19"/>
      <x:c r="M50" s="26"/>
      <x:c r="N50" s="19"/>
      <x:c r="O50" s="19"/>
    </x:row>
    <x:row r="51">
      <x:c r="A51" s="19"/>
      <x:c r="B51" s="19"/>
      <x:c r="C51" s="19"/>
      <x:c r="D51" s="19"/>
      <x:c r="E51" s="19"/>
      <x:c r="F51" s="25"/>
      <x:c r="G51" s="25"/>
      <x:c r="H51" s="62"/>
      <x:c r="I51" s="120" t="str">
        <x:f>IF($A51="","",SUMIFS('InventoryTransactions'!$D$2:$D$500,'InventoryTransactions'!$B$2:$B$500,$A51))</x:f>
      </x:c>
      <x:c r="J51" s="19"/>
      <x:c r="K51" s="26"/>
      <x:c r="L51" s="19"/>
      <x:c r="M51" s="26"/>
      <x:c r="N51" s="19"/>
      <x:c r="O51" s="19"/>
    </x:row>
    <x:row r="52">
      <x:c r="A52" s="19"/>
      <x:c r="B52" s="19"/>
      <x:c r="C52" s="19"/>
      <x:c r="D52" s="19"/>
      <x:c r="E52" s="19"/>
      <x:c r="F52" s="25"/>
      <x:c r="G52" s="25"/>
      <x:c r="H52" s="62"/>
      <x:c r="I52" s="120" t="str">
        <x:f>IF($A52="","",SUMIFS('InventoryTransactions'!$D$2:$D$500,'InventoryTransactions'!$B$2:$B$500,$A52))</x:f>
      </x:c>
      <x:c r="J52" s="19"/>
      <x:c r="K52" s="26"/>
      <x:c r="L52" s="19"/>
      <x:c r="M52" s="26"/>
      <x:c r="N52" s="19"/>
      <x:c r="O52" s="19"/>
    </x:row>
    <x:row r="53">
      <x:c r="A53" s="19"/>
      <x:c r="B53" s="19"/>
      <x:c r="C53" s="19"/>
      <x:c r="D53" s="19"/>
      <x:c r="E53" s="19"/>
      <x:c r="F53" s="25"/>
      <x:c r="G53" s="25"/>
      <x:c r="H53" s="62"/>
      <x:c r="I53" s="120" t="str">
        <x:f>IF($A53="","",SUMIFS('InventoryTransactions'!$D$2:$D$500,'InventoryTransactions'!$B$2:$B$500,$A53))</x:f>
      </x:c>
      <x:c r="J53" s="19"/>
      <x:c r="K53" s="26"/>
      <x:c r="L53" s="19"/>
      <x:c r="M53" s="26"/>
      <x:c r="N53" s="19"/>
      <x:c r="O53" s="19"/>
    </x:row>
    <x:row r="54">
      <x:c r="A54" s="19"/>
      <x:c r="B54" s="19"/>
      <x:c r="C54" s="19"/>
      <x:c r="D54" s="19"/>
      <x:c r="E54" s="19"/>
      <x:c r="F54" s="25"/>
      <x:c r="G54" s="25"/>
      <x:c r="H54" s="62"/>
      <x:c r="I54" s="120" t="str">
        <x:f>IF($A54="","",SUMIFS('InventoryTransactions'!$D$2:$D$500,'InventoryTransactions'!$B$2:$B$500,$A54))</x:f>
      </x:c>
      <x:c r="J54" s="19"/>
      <x:c r="K54" s="26"/>
      <x:c r="L54" s="19"/>
      <x:c r="M54" s="26"/>
      <x:c r="N54" s="19"/>
      <x:c r="O54" s="19"/>
    </x:row>
    <x:row r="55">
      <x:c r="A55" s="19"/>
      <x:c r="B55" s="19"/>
      <x:c r="C55" s="19"/>
      <x:c r="D55" s="19"/>
      <x:c r="E55" s="19"/>
      <x:c r="F55" s="25"/>
      <x:c r="G55" s="25"/>
      <x:c r="H55" s="62"/>
      <x:c r="I55" s="120" t="str">
        <x:f>IF($A55="","",SUMIFS('InventoryTransactions'!$D$2:$D$500,'InventoryTransactions'!$B$2:$B$500,$A55))</x:f>
      </x:c>
      <x:c r="J55" s="19"/>
      <x:c r="K55" s="26"/>
      <x:c r="L55" s="19"/>
      <x:c r="M55" s="26"/>
      <x:c r="N55" s="19"/>
      <x:c r="O55" s="19"/>
    </x:row>
    <x:row r="56">
      <x:c r="A56" s="19"/>
      <x:c r="B56" s="19"/>
      <x:c r="C56" s="19"/>
      <x:c r="D56" s="19"/>
      <x:c r="E56" s="19"/>
      <x:c r="F56" s="25"/>
      <x:c r="G56" s="25"/>
      <x:c r="H56" s="62"/>
      <x:c r="I56" s="120" t="str">
        <x:f>IF($A56="","",SUMIFS('InventoryTransactions'!$D$2:$D$500,'InventoryTransactions'!$B$2:$B$500,$A56))</x:f>
      </x:c>
      <x:c r="J56" s="19"/>
      <x:c r="K56" s="26"/>
      <x:c r="L56" s="19"/>
      <x:c r="M56" s="26"/>
      <x:c r="N56" s="19"/>
      <x:c r="O56" s="19"/>
    </x:row>
    <x:row r="57">
      <x:c r="A57" s="19"/>
      <x:c r="B57" s="19"/>
      <x:c r="C57" s="19"/>
      <x:c r="D57" s="19"/>
      <x:c r="E57" s="19"/>
      <x:c r="F57" s="25"/>
      <x:c r="G57" s="25"/>
      <x:c r="H57" s="62"/>
      <x:c r="I57" s="120" t="str">
        <x:f>IF($A57="","",SUMIFS('InventoryTransactions'!$D$2:$D$500,'InventoryTransactions'!$B$2:$B$500,$A57))</x:f>
      </x:c>
      <x:c r="J57" s="19"/>
      <x:c r="K57" s="26"/>
      <x:c r="L57" s="19"/>
      <x:c r="M57" s="26"/>
      <x:c r="N57" s="19"/>
      <x:c r="O57" s="19"/>
    </x:row>
    <x:row r="58">
      <x:c r="A58" s="19"/>
      <x:c r="B58" s="19"/>
      <x:c r="C58" s="19"/>
      <x:c r="D58" s="19"/>
      <x:c r="E58" s="19"/>
      <x:c r="F58" s="25"/>
      <x:c r="G58" s="25"/>
      <x:c r="H58" s="62"/>
      <x:c r="I58" s="120" t="str">
        <x:f>IF($A58="","",SUMIFS('InventoryTransactions'!$D$2:$D$500,'InventoryTransactions'!$B$2:$B$500,$A58))</x:f>
      </x:c>
      <x:c r="J58" s="19"/>
      <x:c r="K58" s="26"/>
      <x:c r="L58" s="19"/>
      <x:c r="M58" s="26"/>
      <x:c r="N58" s="19"/>
      <x:c r="O58" s="19"/>
    </x:row>
    <x:row r="59">
      <x:c r="A59" s="19"/>
      <x:c r="B59" s="19"/>
      <x:c r="C59" s="19"/>
      <x:c r="D59" s="19"/>
      <x:c r="E59" s="19"/>
      <x:c r="F59" s="25"/>
      <x:c r="G59" s="25"/>
      <x:c r="H59" s="62"/>
      <x:c r="I59" s="120" t="str">
        <x:f>IF($A59="","",SUMIFS('InventoryTransactions'!$D$2:$D$500,'InventoryTransactions'!$B$2:$B$500,$A59))</x:f>
      </x:c>
      <x:c r="J59" s="19"/>
      <x:c r="K59" s="26"/>
      <x:c r="L59" s="19"/>
      <x:c r="M59" s="26"/>
      <x:c r="N59" s="19"/>
      <x:c r="O59" s="19"/>
    </x:row>
    <x:row r="60">
      <x:c r="A60" s="19"/>
      <x:c r="B60" s="19"/>
      <x:c r="C60" s="19"/>
      <x:c r="D60" s="19"/>
      <x:c r="E60" s="19"/>
      <x:c r="F60" s="25"/>
      <x:c r="G60" s="25"/>
      <x:c r="H60" s="62"/>
      <x:c r="I60" s="120" t="str">
        <x:f>IF($A60="","",SUMIFS('InventoryTransactions'!$D$2:$D$500,'InventoryTransactions'!$B$2:$B$500,$A60))</x:f>
      </x:c>
      <x:c r="J60" s="19"/>
      <x:c r="K60" s="26"/>
      <x:c r="L60" s="19"/>
      <x:c r="M60" s="26"/>
      <x:c r="N60" s="19"/>
      <x:c r="O60" s="19"/>
    </x:row>
    <x:row r="61">
      <x:c r="A61" s="19"/>
      <x:c r="B61" s="19"/>
      <x:c r="C61" s="19"/>
      <x:c r="D61" s="19"/>
      <x:c r="E61" s="19"/>
      <x:c r="F61" s="25"/>
      <x:c r="G61" s="25"/>
      <x:c r="H61" s="62"/>
      <x:c r="I61" s="120" t="str">
        <x:f>IF($A61="","",SUMIFS('InventoryTransactions'!$D$2:$D$500,'InventoryTransactions'!$B$2:$B$500,$A61))</x:f>
      </x:c>
      <x:c r="J61" s="19"/>
      <x:c r="K61" s="26"/>
      <x:c r="L61" s="19"/>
      <x:c r="M61" s="26"/>
      <x:c r="N61" s="19"/>
      <x:c r="O61" s="19"/>
    </x:row>
    <x:row r="62">
      <x:c r="A62" s="19"/>
      <x:c r="B62" s="19"/>
      <x:c r="C62" s="19"/>
      <x:c r="D62" s="19"/>
      <x:c r="E62" s="19"/>
      <x:c r="F62" s="25"/>
      <x:c r="G62" s="25"/>
      <x:c r="H62" s="62"/>
      <x:c r="I62" s="120" t="str">
        <x:f>IF($A62="","",SUMIFS('InventoryTransactions'!$D$2:$D$500,'InventoryTransactions'!$B$2:$B$500,$A62))</x:f>
      </x:c>
      <x:c r="J62" s="19"/>
      <x:c r="K62" s="26"/>
      <x:c r="L62" s="19"/>
      <x:c r="M62" s="26"/>
      <x:c r="N62" s="19"/>
      <x:c r="O62" s="19"/>
    </x:row>
    <x:row r="63">
      <x:c r="A63" s="19"/>
      <x:c r="B63" s="19"/>
      <x:c r="C63" s="19"/>
      <x:c r="D63" s="19"/>
      <x:c r="E63" s="19"/>
      <x:c r="F63" s="25"/>
      <x:c r="G63" s="25"/>
      <x:c r="H63" s="62"/>
      <x:c r="I63" s="120" t="str">
        <x:f>IF($A63="","",SUMIFS('InventoryTransactions'!$D$2:$D$500,'InventoryTransactions'!$B$2:$B$500,$A63))</x:f>
      </x:c>
      <x:c r="J63" s="19"/>
      <x:c r="K63" s="26"/>
      <x:c r="L63" s="19"/>
      <x:c r="M63" s="26"/>
      <x:c r="N63" s="19"/>
      <x:c r="O63" s="19"/>
    </x:row>
    <x:row r="64">
      <x:c r="A64" s="19"/>
      <x:c r="B64" s="19"/>
      <x:c r="C64" s="19"/>
      <x:c r="D64" s="19"/>
      <x:c r="E64" s="19"/>
      <x:c r="F64" s="25"/>
      <x:c r="G64" s="25"/>
      <x:c r="H64" s="62"/>
      <x:c r="I64" s="120" t="str">
        <x:f>IF($A64="","",SUMIFS('InventoryTransactions'!$D$2:$D$500,'InventoryTransactions'!$B$2:$B$500,$A64))</x:f>
      </x:c>
      <x:c r="J64" s="19"/>
      <x:c r="K64" s="26"/>
      <x:c r="L64" s="19"/>
      <x:c r="M64" s="26"/>
      <x:c r="N64" s="19"/>
      <x:c r="O64" s="19"/>
    </x:row>
    <x:row r="65">
      <x:c r="A65" s="19"/>
      <x:c r="B65" s="19"/>
      <x:c r="C65" s="19"/>
      <x:c r="D65" s="19"/>
      <x:c r="E65" s="19"/>
      <x:c r="F65" s="25"/>
      <x:c r="G65" s="25"/>
      <x:c r="H65" s="62"/>
      <x:c r="I65" s="120" t="str">
        <x:f>IF($A65="","",SUMIFS('InventoryTransactions'!$D$2:$D$500,'InventoryTransactions'!$B$2:$B$500,$A65))</x:f>
      </x:c>
      <x:c r="J65" s="19"/>
      <x:c r="K65" s="26"/>
      <x:c r="L65" s="19"/>
      <x:c r="M65" s="26"/>
      <x:c r="N65" s="19"/>
      <x:c r="O65" s="19"/>
    </x:row>
    <x:row r="66">
      <x:c r="A66" s="19"/>
      <x:c r="B66" s="19"/>
      <x:c r="C66" s="19"/>
      <x:c r="D66" s="19"/>
      <x:c r="E66" s="19"/>
      <x:c r="F66" s="25"/>
      <x:c r="G66" s="25"/>
      <x:c r="H66" s="62"/>
      <x:c r="I66" s="120" t="str">
        <x:f>IF($A66="","",SUMIFS('InventoryTransactions'!$D$2:$D$500,'InventoryTransactions'!$B$2:$B$500,$A66))</x:f>
      </x:c>
      <x:c r="J66" s="19"/>
      <x:c r="K66" s="26"/>
      <x:c r="L66" s="19"/>
      <x:c r="M66" s="26"/>
      <x:c r="N66" s="19"/>
      <x:c r="O66" s="19"/>
    </x:row>
    <x:row r="67">
      <x:c r="A67" s="19"/>
      <x:c r="B67" s="19"/>
      <x:c r="C67" s="19"/>
      <x:c r="D67" s="19"/>
      <x:c r="E67" s="19"/>
      <x:c r="F67" s="25"/>
      <x:c r="G67" s="25"/>
      <x:c r="H67" s="62"/>
      <x:c r="I67" s="120" t="str">
        <x:f>IF($A67="","",SUMIFS('InventoryTransactions'!$D$2:$D$500,'InventoryTransactions'!$B$2:$B$500,$A67))</x:f>
      </x:c>
      <x:c r="J67" s="19"/>
      <x:c r="K67" s="26"/>
      <x:c r="L67" s="19"/>
      <x:c r="M67" s="26"/>
      <x:c r="N67" s="19"/>
      <x:c r="O67" s="19"/>
    </x:row>
    <x:row r="68">
      <x:c r="A68" s="19"/>
      <x:c r="B68" s="19"/>
      <x:c r="C68" s="19"/>
      <x:c r="D68" s="19"/>
      <x:c r="E68" s="19"/>
      <x:c r="F68" s="25"/>
      <x:c r="G68" s="25"/>
      <x:c r="H68" s="62"/>
      <x:c r="I68" s="120" t="str">
        <x:f>IF($A68="","",SUMIFS('InventoryTransactions'!$D$2:$D$500,'InventoryTransactions'!$B$2:$B$500,$A68))</x:f>
      </x:c>
      <x:c r="J68" s="19"/>
      <x:c r="K68" s="26"/>
      <x:c r="L68" s="19"/>
      <x:c r="M68" s="26"/>
      <x:c r="N68" s="19"/>
      <x:c r="O68" s="19"/>
    </x:row>
    <x:row r="69">
      <x:c r="A69" s="19"/>
      <x:c r="B69" s="19"/>
      <x:c r="C69" s="19"/>
      <x:c r="D69" s="19"/>
      <x:c r="E69" s="19"/>
      <x:c r="F69" s="25"/>
      <x:c r="G69" s="25"/>
      <x:c r="H69" s="62"/>
      <x:c r="I69" s="120" t="str">
        <x:f>IF($A69="","",SUMIFS('InventoryTransactions'!$D$2:$D$500,'InventoryTransactions'!$B$2:$B$500,$A69))</x:f>
      </x:c>
      <x:c r="J69" s="19"/>
      <x:c r="K69" s="26"/>
      <x:c r="L69" s="19"/>
      <x:c r="M69" s="26"/>
      <x:c r="N69" s="19"/>
      <x:c r="O69" s="19"/>
    </x:row>
    <x:row r="70">
      <x:c r="A70" s="19"/>
      <x:c r="B70" s="19"/>
      <x:c r="C70" s="19"/>
      <x:c r="D70" s="19"/>
      <x:c r="E70" s="19"/>
      <x:c r="F70" s="25"/>
      <x:c r="G70" s="25"/>
      <x:c r="H70" s="62"/>
      <x:c r="I70" s="120" t="str">
        <x:f>IF($A70="","",SUMIFS('InventoryTransactions'!$D$2:$D$500,'InventoryTransactions'!$B$2:$B$500,$A70))</x:f>
      </x:c>
      <x:c r="J70" s="19"/>
      <x:c r="K70" s="26"/>
      <x:c r="L70" s="19"/>
      <x:c r="M70" s="26"/>
      <x:c r="N70" s="19"/>
      <x:c r="O70" s="19"/>
    </x:row>
    <x:row r="71">
      <x:c r="A71" s="19"/>
      <x:c r="B71" s="19"/>
      <x:c r="C71" s="19"/>
      <x:c r="D71" s="19"/>
      <x:c r="E71" s="19"/>
      <x:c r="F71" s="25"/>
      <x:c r="G71" s="25"/>
      <x:c r="H71" s="62"/>
      <x:c r="I71" s="120" t="str">
        <x:f>IF($A71="","",SUMIFS('InventoryTransactions'!$D$2:$D$500,'InventoryTransactions'!$B$2:$B$500,$A71))</x:f>
      </x:c>
      <x:c r="J71" s="19"/>
      <x:c r="K71" s="26"/>
      <x:c r="L71" s="19"/>
      <x:c r="M71" s="26"/>
      <x:c r="N71" s="19"/>
      <x:c r="O71" s="19"/>
    </x:row>
    <x:row r="72">
      <x:c r="A72" s="19"/>
      <x:c r="B72" s="19"/>
      <x:c r="C72" s="19"/>
      <x:c r="D72" s="19"/>
      <x:c r="E72" s="19"/>
      <x:c r="F72" s="25"/>
      <x:c r="G72" s="25"/>
      <x:c r="H72" s="62"/>
      <x:c r="I72" s="120" t="str">
        <x:f>IF($A72="","",SUMIFS('InventoryTransactions'!$D$2:$D$500,'InventoryTransactions'!$B$2:$B$500,$A72))</x:f>
      </x:c>
      <x:c r="J72" s="19"/>
      <x:c r="K72" s="26"/>
      <x:c r="L72" s="19"/>
      <x:c r="M72" s="26"/>
      <x:c r="N72" s="19"/>
      <x:c r="O72" s="19"/>
    </x:row>
    <x:row r="73">
      <x:c r="A73" s="19"/>
      <x:c r="B73" s="19"/>
      <x:c r="C73" s="19"/>
      <x:c r="D73" s="19"/>
      <x:c r="E73" s="19"/>
      <x:c r="F73" s="25"/>
      <x:c r="G73" s="25"/>
      <x:c r="H73" s="62"/>
      <x:c r="I73" s="120" t="str">
        <x:f>IF($A73="","",SUMIFS('InventoryTransactions'!$D$2:$D$500,'InventoryTransactions'!$B$2:$B$500,$A73))</x:f>
      </x:c>
      <x:c r="J73" s="19"/>
      <x:c r="K73" s="26"/>
      <x:c r="L73" s="19"/>
      <x:c r="M73" s="26"/>
      <x:c r="N73" s="19"/>
      <x:c r="O73" s="19"/>
    </x:row>
    <x:row r="74">
      <x:c r="A74" s="19"/>
      <x:c r="B74" s="19"/>
      <x:c r="C74" s="19"/>
      <x:c r="D74" s="19"/>
      <x:c r="E74" s="19"/>
      <x:c r="F74" s="25"/>
      <x:c r="G74" s="25"/>
      <x:c r="H74" s="62"/>
      <x:c r="I74" s="120" t="str">
        <x:f>IF($A74="","",SUMIFS('InventoryTransactions'!$D$2:$D$500,'InventoryTransactions'!$B$2:$B$500,$A74))</x:f>
      </x:c>
      <x:c r="J74" s="19"/>
      <x:c r="K74" s="26"/>
      <x:c r="L74" s="19"/>
      <x:c r="M74" s="26"/>
      <x:c r="N74" s="19"/>
      <x:c r="O74" s="19"/>
    </x:row>
    <x:row r="75">
      <x:c r="A75" s="19"/>
      <x:c r="B75" s="19"/>
      <x:c r="C75" s="19"/>
      <x:c r="D75" s="19"/>
      <x:c r="E75" s="19"/>
      <x:c r="F75" s="25"/>
      <x:c r="G75" s="25"/>
      <x:c r="H75" s="62"/>
      <x:c r="I75" s="120" t="str">
        <x:f>IF($A75="","",SUMIFS('InventoryTransactions'!$D$2:$D$500,'InventoryTransactions'!$B$2:$B$500,$A75))</x:f>
      </x:c>
      <x:c r="J75" s="19"/>
      <x:c r="K75" s="26"/>
      <x:c r="L75" s="19"/>
      <x:c r="M75" s="26"/>
      <x:c r="N75" s="19"/>
      <x:c r="O75" s="19"/>
    </x:row>
    <x:row r="76">
      <x:c r="A76" s="19"/>
      <x:c r="B76" s="19"/>
      <x:c r="C76" s="19"/>
      <x:c r="D76" s="19"/>
      <x:c r="E76" s="19"/>
      <x:c r="F76" s="25"/>
      <x:c r="G76" s="25"/>
      <x:c r="H76" s="62"/>
      <x:c r="I76" s="120" t="str">
        <x:f>IF($A76="","",SUMIFS('InventoryTransactions'!$D$2:$D$500,'InventoryTransactions'!$B$2:$B$500,$A76))</x:f>
      </x:c>
      <x:c r="J76" s="19"/>
      <x:c r="K76" s="26"/>
      <x:c r="L76" s="19"/>
      <x:c r="M76" s="26"/>
      <x:c r="N76" s="19"/>
      <x:c r="O76" s="19"/>
    </x:row>
    <x:row r="77">
      <x:c r="A77" s="19"/>
      <x:c r="B77" s="19"/>
      <x:c r="C77" s="19"/>
      <x:c r="D77" s="19"/>
      <x:c r="E77" s="19"/>
      <x:c r="F77" s="25"/>
      <x:c r="G77" s="25"/>
      <x:c r="H77" s="62"/>
      <x:c r="I77" s="120" t="str">
        <x:f>IF($A77="","",SUMIFS('InventoryTransactions'!$D$2:$D$500,'InventoryTransactions'!$B$2:$B$500,$A77))</x:f>
      </x:c>
      <x:c r="J77" s="19"/>
      <x:c r="K77" s="26"/>
      <x:c r="L77" s="19"/>
      <x:c r="M77" s="26"/>
      <x:c r="N77" s="19"/>
      <x:c r="O77" s="19"/>
    </x:row>
    <x:row r="78">
      <x:c r="A78" s="19"/>
      <x:c r="B78" s="19"/>
      <x:c r="C78" s="19"/>
      <x:c r="D78" s="19"/>
      <x:c r="E78" s="19"/>
      <x:c r="F78" s="25"/>
      <x:c r="G78" s="25"/>
      <x:c r="H78" s="62"/>
      <x:c r="I78" s="120" t="str">
        <x:f>IF($A78="","",SUMIFS('InventoryTransactions'!$D$2:$D$500,'InventoryTransactions'!$B$2:$B$500,$A78))</x:f>
      </x:c>
      <x:c r="J78" s="19"/>
      <x:c r="K78" s="26"/>
      <x:c r="L78" s="19"/>
      <x:c r="M78" s="26"/>
      <x:c r="N78" s="19"/>
      <x:c r="O78" s="19"/>
    </x:row>
    <x:row r="79">
      <x:c r="A79" s="19"/>
      <x:c r="B79" s="19"/>
      <x:c r="C79" s="19"/>
      <x:c r="D79" s="19"/>
      <x:c r="E79" s="19"/>
      <x:c r="F79" s="25"/>
      <x:c r="G79" s="25"/>
      <x:c r="H79" s="62"/>
      <x:c r="I79" s="120" t="str">
        <x:f>IF($A79="","",SUMIFS('InventoryTransactions'!$D$2:$D$500,'InventoryTransactions'!$B$2:$B$500,$A79))</x:f>
      </x:c>
      <x:c r="J79" s="19"/>
      <x:c r="K79" s="26"/>
      <x:c r="L79" s="19"/>
      <x:c r="M79" s="26"/>
      <x:c r="N79" s="19"/>
      <x:c r="O79" s="19"/>
    </x:row>
    <x:row r="80">
      <x:c r="A80" s="19"/>
      <x:c r="B80" s="19"/>
      <x:c r="C80" s="19"/>
      <x:c r="D80" s="19"/>
      <x:c r="E80" s="19"/>
      <x:c r="F80" s="25"/>
      <x:c r="G80" s="25"/>
      <x:c r="H80" s="62"/>
      <x:c r="I80" s="120" t="str">
        <x:f>IF($A80="","",SUMIFS('InventoryTransactions'!$D$2:$D$500,'InventoryTransactions'!$B$2:$B$500,$A80))</x:f>
      </x:c>
      <x:c r="J80" s="19"/>
      <x:c r="K80" s="26"/>
      <x:c r="L80" s="19"/>
      <x:c r="M80" s="26"/>
      <x:c r="N80" s="19"/>
      <x:c r="O80" s="19"/>
    </x:row>
    <x:row r="81">
      <x:c r="A81" s="19"/>
      <x:c r="B81" s="19"/>
      <x:c r="C81" s="19"/>
      <x:c r="D81" s="19"/>
      <x:c r="E81" s="19"/>
      <x:c r="F81" s="25"/>
      <x:c r="G81" s="25"/>
      <x:c r="H81" s="62"/>
      <x:c r="I81" s="120" t="str">
        <x:f>IF($A81="","",SUMIFS('InventoryTransactions'!$D$2:$D$500,'InventoryTransactions'!$B$2:$B$500,$A81))</x:f>
      </x:c>
      <x:c r="J81" s="19"/>
      <x:c r="K81" s="26"/>
      <x:c r="L81" s="19"/>
      <x:c r="M81" s="26"/>
      <x:c r="N81" s="19"/>
      <x:c r="O81" s="19"/>
    </x:row>
    <x:row r="82">
      <x:c r="A82" s="19"/>
      <x:c r="B82" s="19"/>
      <x:c r="C82" s="19"/>
      <x:c r="D82" s="19"/>
      <x:c r="E82" s="19"/>
      <x:c r="F82" s="25"/>
      <x:c r="G82" s="25"/>
      <x:c r="H82" s="62"/>
      <x:c r="I82" s="120" t="str">
        <x:f>IF($A82="","",SUMIFS('InventoryTransactions'!$D$2:$D$500,'InventoryTransactions'!$B$2:$B$500,$A82))</x:f>
      </x:c>
      <x:c r="J82" s="19"/>
      <x:c r="K82" s="26"/>
      <x:c r="L82" s="19"/>
      <x:c r="M82" s="26"/>
      <x:c r="N82" s="19"/>
      <x:c r="O82" s="19"/>
    </x:row>
    <x:row r="83">
      <x:c r="A83" s="19"/>
      <x:c r="B83" s="19"/>
      <x:c r="C83" s="19"/>
      <x:c r="D83" s="19"/>
      <x:c r="E83" s="19"/>
      <x:c r="F83" s="25"/>
      <x:c r="G83" s="25"/>
      <x:c r="H83" s="62"/>
      <x:c r="I83" s="120" t="str">
        <x:f>IF($A83="","",SUMIFS('InventoryTransactions'!$D$2:$D$500,'InventoryTransactions'!$B$2:$B$500,$A83))</x:f>
      </x:c>
      <x:c r="J83" s="19"/>
      <x:c r="K83" s="26"/>
      <x:c r="L83" s="19"/>
      <x:c r="M83" s="26"/>
      <x:c r="N83" s="19"/>
      <x:c r="O83" s="19"/>
    </x:row>
    <x:row r="84">
      <x:c r="A84" s="19"/>
      <x:c r="B84" s="19"/>
      <x:c r="C84" s="19"/>
      <x:c r="D84" s="19"/>
      <x:c r="E84" s="19"/>
      <x:c r="F84" s="25"/>
      <x:c r="G84" s="25"/>
      <x:c r="H84" s="62"/>
      <x:c r="I84" s="120" t="str">
        <x:f>IF($A84="","",SUMIFS('InventoryTransactions'!$D$2:$D$500,'InventoryTransactions'!$B$2:$B$500,$A84))</x:f>
      </x:c>
      <x:c r="J84" s="19"/>
      <x:c r="K84" s="26"/>
      <x:c r="L84" s="19"/>
      <x:c r="M84" s="26"/>
      <x:c r="N84" s="19"/>
      <x:c r="O84" s="19"/>
    </x:row>
    <x:row r="85">
      <x:c r="A85" s="19"/>
      <x:c r="B85" s="19"/>
      <x:c r="C85" s="19"/>
      <x:c r="D85" s="19"/>
      <x:c r="E85" s="19"/>
      <x:c r="F85" s="25"/>
      <x:c r="G85" s="25"/>
      <x:c r="H85" s="62"/>
      <x:c r="I85" s="120" t="str">
        <x:f>IF($A85="","",SUMIFS('InventoryTransactions'!$D$2:$D$500,'InventoryTransactions'!$B$2:$B$500,$A85))</x:f>
      </x:c>
      <x:c r="J85" s="19"/>
      <x:c r="K85" s="26"/>
      <x:c r="L85" s="19"/>
      <x:c r="M85" s="26"/>
      <x:c r="N85" s="19"/>
      <x:c r="O85" s="19"/>
    </x:row>
    <x:row r="86">
      <x:c r="A86" s="19"/>
      <x:c r="B86" s="19"/>
      <x:c r="C86" s="19"/>
      <x:c r="D86" s="19"/>
      <x:c r="E86" s="19"/>
      <x:c r="F86" s="25"/>
      <x:c r="G86" s="25"/>
      <x:c r="H86" s="62"/>
      <x:c r="I86" s="120" t="str">
        <x:f>IF($A86="","",SUMIFS('InventoryTransactions'!$D$2:$D$500,'InventoryTransactions'!$B$2:$B$500,$A86))</x:f>
      </x:c>
      <x:c r="J86" s="19"/>
      <x:c r="K86" s="26"/>
      <x:c r="L86" s="19"/>
      <x:c r="M86" s="26"/>
      <x:c r="N86" s="19"/>
      <x:c r="O86" s="19"/>
    </x:row>
    <x:row r="87">
      <x:c r="A87" s="19"/>
      <x:c r="B87" s="19"/>
      <x:c r="C87" s="19"/>
      <x:c r="D87" s="19"/>
      <x:c r="E87" s="19"/>
      <x:c r="F87" s="25"/>
      <x:c r="G87" s="25"/>
      <x:c r="H87" s="62"/>
      <x:c r="I87" s="120" t="str">
        <x:f>IF($A87="","",SUMIFS('InventoryTransactions'!$D$2:$D$500,'InventoryTransactions'!$B$2:$B$500,$A87))</x:f>
      </x:c>
      <x:c r="J87" s="19"/>
      <x:c r="K87" s="26"/>
      <x:c r="L87" s="19"/>
      <x:c r="M87" s="26"/>
      <x:c r="N87" s="19"/>
      <x:c r="O87" s="19"/>
    </x:row>
    <x:row r="88">
      <x:c r="A88" s="19"/>
      <x:c r="B88" s="19"/>
      <x:c r="C88" s="19"/>
      <x:c r="D88" s="19"/>
      <x:c r="E88" s="19"/>
      <x:c r="F88" s="25"/>
      <x:c r="G88" s="25"/>
      <x:c r="H88" s="62"/>
      <x:c r="I88" s="120" t="str">
        <x:f>IF($A88="","",SUMIFS('InventoryTransactions'!$D$2:$D$500,'InventoryTransactions'!$B$2:$B$500,$A88))</x:f>
      </x:c>
      <x:c r="J88" s="19"/>
      <x:c r="K88" s="26"/>
      <x:c r="L88" s="19"/>
      <x:c r="M88" s="26"/>
      <x:c r="N88" s="19"/>
      <x:c r="O88" s="19"/>
    </x:row>
    <x:row r="89">
      <x:c r="A89" s="19"/>
      <x:c r="B89" s="19"/>
      <x:c r="C89" s="19"/>
      <x:c r="D89" s="19"/>
      <x:c r="E89" s="19"/>
      <x:c r="F89" s="25"/>
      <x:c r="G89" s="25"/>
      <x:c r="H89" s="62"/>
      <x:c r="I89" s="120" t="str">
        <x:f>IF($A89="","",SUMIFS('InventoryTransactions'!$D$2:$D$500,'InventoryTransactions'!$B$2:$B$500,$A89))</x:f>
      </x:c>
      <x:c r="J89" s="19"/>
      <x:c r="K89" s="26"/>
      <x:c r="L89" s="19"/>
      <x:c r="M89" s="26"/>
      <x:c r="N89" s="19"/>
      <x:c r="O89" s="19"/>
    </x:row>
    <x:row r="90">
      <x:c r="A90" s="19"/>
      <x:c r="B90" s="19"/>
      <x:c r="C90" s="19"/>
      <x:c r="D90" s="19"/>
      <x:c r="E90" s="19"/>
      <x:c r="F90" s="25"/>
      <x:c r="G90" s="25"/>
      <x:c r="H90" s="62"/>
      <x:c r="I90" s="120" t="str">
        <x:f>IF($A90="","",SUMIFS('InventoryTransactions'!$D$2:$D$500,'InventoryTransactions'!$B$2:$B$500,$A90))</x:f>
      </x:c>
      <x:c r="J90" s="19"/>
      <x:c r="K90" s="26"/>
      <x:c r="L90" s="19"/>
      <x:c r="M90" s="26"/>
      <x:c r="N90" s="19"/>
      <x:c r="O90" s="19"/>
    </x:row>
    <x:row r="91">
      <x:c r="A91" s="19"/>
      <x:c r="B91" s="19"/>
      <x:c r="C91" s="19"/>
      <x:c r="D91" s="19"/>
      <x:c r="E91" s="19"/>
      <x:c r="F91" s="25"/>
      <x:c r="G91" s="25"/>
      <x:c r="H91" s="62"/>
      <x:c r="I91" s="120" t="str">
        <x:f>IF($A91="","",SUMIFS('InventoryTransactions'!$D$2:$D$500,'InventoryTransactions'!$B$2:$B$500,$A91))</x:f>
      </x:c>
      <x:c r="J91" s="19"/>
      <x:c r="K91" s="26"/>
      <x:c r="L91" s="19"/>
      <x:c r="M91" s="26"/>
      <x:c r="N91" s="19"/>
      <x:c r="O91" s="19"/>
    </x:row>
    <x:row r="92">
      <x:c r="A92" s="19"/>
      <x:c r="B92" s="19"/>
      <x:c r="C92" s="19"/>
      <x:c r="D92" s="19"/>
      <x:c r="E92" s="19"/>
      <x:c r="F92" s="25"/>
      <x:c r="G92" s="25"/>
      <x:c r="H92" s="62"/>
      <x:c r="I92" s="120" t="str">
        <x:f>IF($A92="","",SUMIFS('InventoryTransactions'!$D$2:$D$500,'InventoryTransactions'!$B$2:$B$500,$A92))</x:f>
      </x:c>
      <x:c r="J92" s="19"/>
      <x:c r="K92" s="26"/>
      <x:c r="L92" s="19"/>
      <x:c r="M92" s="26"/>
      <x:c r="N92" s="19"/>
      <x:c r="O92" s="19"/>
    </x:row>
    <x:row r="93">
      <x:c r="A93" s="19"/>
      <x:c r="B93" s="19"/>
      <x:c r="C93" s="19"/>
      <x:c r="D93" s="19"/>
      <x:c r="E93" s="19"/>
      <x:c r="F93" s="25"/>
      <x:c r="G93" s="25"/>
      <x:c r="H93" s="62"/>
      <x:c r="I93" s="120" t="str">
        <x:f>IF($A93="","",SUMIFS('InventoryTransactions'!$D$2:$D$500,'InventoryTransactions'!$B$2:$B$500,$A93))</x:f>
      </x:c>
      <x:c r="J93" s="19"/>
      <x:c r="K93" s="26"/>
      <x:c r="L93" s="19"/>
      <x:c r="M93" s="26"/>
      <x:c r="N93" s="19"/>
      <x:c r="O93" s="19"/>
    </x:row>
    <x:row r="94">
      <x:c r="A94" s="19"/>
      <x:c r="B94" s="19"/>
      <x:c r="C94" s="19"/>
      <x:c r="D94" s="19"/>
      <x:c r="E94" s="19"/>
      <x:c r="F94" s="25"/>
      <x:c r="G94" s="25"/>
      <x:c r="H94" s="62"/>
      <x:c r="I94" s="120" t="str">
        <x:f>IF($A94="","",SUMIFS('InventoryTransactions'!$D$2:$D$500,'InventoryTransactions'!$B$2:$B$500,$A94))</x:f>
      </x:c>
      <x:c r="J94" s="19"/>
      <x:c r="K94" s="26"/>
      <x:c r="L94" s="19"/>
      <x:c r="M94" s="26"/>
      <x:c r="N94" s="19"/>
      <x:c r="O94" s="19"/>
    </x:row>
    <x:row r="95">
      <x:c r="A95" s="19"/>
      <x:c r="B95" s="19"/>
      <x:c r="C95" s="19"/>
      <x:c r="D95" s="19"/>
      <x:c r="E95" s="19"/>
      <x:c r="F95" s="25"/>
      <x:c r="G95" s="25"/>
      <x:c r="H95" s="62"/>
      <x:c r="I95" s="120" t="str">
        <x:f>IF($A95="","",SUMIFS('InventoryTransactions'!$D$2:$D$500,'InventoryTransactions'!$B$2:$B$500,$A95))</x:f>
      </x:c>
      <x:c r="J95" s="19"/>
      <x:c r="K95" s="26"/>
      <x:c r="L95" s="19"/>
      <x:c r="M95" s="26"/>
      <x:c r="N95" s="19"/>
      <x:c r="O95" s="19"/>
    </x:row>
    <x:row r="96">
      <x:c r="A96" s="19"/>
      <x:c r="B96" s="19"/>
      <x:c r="C96" s="19"/>
      <x:c r="D96" s="19"/>
      <x:c r="E96" s="19"/>
      <x:c r="F96" s="25"/>
      <x:c r="G96" s="25"/>
      <x:c r="H96" s="62"/>
      <x:c r="I96" s="120" t="str">
        <x:f>IF($A96="","",SUMIFS('InventoryTransactions'!$D$2:$D$500,'InventoryTransactions'!$B$2:$B$500,$A96))</x:f>
      </x:c>
      <x:c r="J96" s="19"/>
      <x:c r="K96" s="26"/>
      <x:c r="L96" s="19"/>
      <x:c r="M96" s="26"/>
      <x:c r="N96" s="19"/>
      <x:c r="O96" s="19"/>
    </x:row>
    <x:row r="97">
      <x:c r="A97" s="19"/>
      <x:c r="B97" s="19"/>
      <x:c r="C97" s="19"/>
      <x:c r="D97" s="19"/>
      <x:c r="E97" s="19"/>
      <x:c r="F97" s="25"/>
      <x:c r="G97" s="25"/>
      <x:c r="H97" s="62"/>
      <x:c r="I97" s="120" t="str">
        <x:f>IF($A97="","",SUMIFS('InventoryTransactions'!$D$2:$D$500,'InventoryTransactions'!$B$2:$B$500,$A97))</x:f>
      </x:c>
      <x:c r="J97" s="19"/>
      <x:c r="K97" s="26"/>
      <x:c r="L97" s="19"/>
      <x:c r="M97" s="26"/>
      <x:c r="N97" s="19"/>
      <x:c r="O97" s="19"/>
    </x:row>
    <x:row r="98">
      <x:c r="A98" s="19"/>
      <x:c r="B98" s="19"/>
      <x:c r="C98" s="19"/>
      <x:c r="D98" s="19"/>
      <x:c r="E98" s="19"/>
      <x:c r="F98" s="25"/>
      <x:c r="G98" s="25"/>
      <x:c r="H98" s="62"/>
      <x:c r="I98" s="120" t="str">
        <x:f>IF($A98="","",SUMIFS('InventoryTransactions'!$D$2:$D$500,'InventoryTransactions'!$B$2:$B$500,$A98))</x:f>
      </x:c>
      <x:c r="J98" s="19"/>
      <x:c r="K98" s="26"/>
      <x:c r="L98" s="19"/>
      <x:c r="M98" s="26"/>
      <x:c r="N98" s="19"/>
      <x:c r="O98" s="19"/>
    </x:row>
    <x:row r="99">
      <x:c r="A99" s="19"/>
      <x:c r="B99" s="19"/>
      <x:c r="C99" s="19"/>
      <x:c r="D99" s="19"/>
      <x:c r="E99" s="19"/>
      <x:c r="F99" s="25"/>
      <x:c r="G99" s="25"/>
      <x:c r="H99" s="62"/>
      <x:c r="I99" s="120" t="str">
        <x:f>IF($A99="","",SUMIFS('InventoryTransactions'!$D$2:$D$500,'InventoryTransactions'!$B$2:$B$500,$A99))</x:f>
      </x:c>
      <x:c r="J99" s="19"/>
      <x:c r="K99" s="26"/>
      <x:c r="L99" s="19"/>
      <x:c r="M99" s="26"/>
      <x:c r="N99" s="19"/>
      <x:c r="O99" s="19"/>
    </x:row>
    <x:row r="100">
      <x:c r="A100" s="19"/>
      <x:c r="B100" s="19"/>
      <x:c r="C100" s="19"/>
      <x:c r="D100" s="19"/>
      <x:c r="E100" s="19"/>
      <x:c r="F100" s="25"/>
      <x:c r="G100" s="25"/>
      <x:c r="H100" s="62"/>
      <x:c r="I100" s="120" t="str">
        <x:f>IF($A100="","",SUMIFS('InventoryTransactions'!$D$2:$D$500,'InventoryTransactions'!$B$2:$B$500,$A100))</x:f>
      </x:c>
      <x:c r="J100" s="19"/>
      <x:c r="K100" s="26"/>
      <x:c r="L100" s="19"/>
      <x:c r="M100" s="26"/>
      <x:c r="N100" s="19"/>
      <x:c r="O100" s="19"/>
    </x:row>
    <x:row r="101">
      <x:c r="A101" s="19"/>
      <x:c r="B101" s="19"/>
      <x:c r="C101" s="19"/>
      <x:c r="D101" s="19"/>
      <x:c r="E101" s="19"/>
      <x:c r="F101" s="25"/>
      <x:c r="G101" s="25"/>
      <x:c r="H101" s="62"/>
      <x:c r="I101" s="120" t="str">
        <x:f>IF($A101="","",SUMIFS('InventoryTransactions'!$D$2:$D$500,'InventoryTransactions'!$B$2:$B$500,$A101))</x:f>
      </x:c>
      <x:c r="J101" s="19"/>
      <x:c r="K101" s="26"/>
      <x:c r="L101" s="19"/>
      <x:c r="M101" s="26"/>
      <x:c r="N101" s="19"/>
      <x:c r="O101" s="19"/>
    </x:row>
    <x:row r="102">
      <x:c r="A102" s="19"/>
      <x:c r="B102" s="19"/>
      <x:c r="C102" s="19"/>
      <x:c r="D102" s="19"/>
      <x:c r="E102" s="19"/>
      <x:c r="F102" s="25"/>
      <x:c r="G102" s="25"/>
      <x:c r="H102" s="62"/>
      <x:c r="I102" s="120" t="str">
        <x:f>IF($A102="","",SUMIFS('InventoryTransactions'!$D$2:$D$500,'InventoryTransactions'!$B$2:$B$500,$A102))</x:f>
      </x:c>
      <x:c r="J102" s="19"/>
      <x:c r="K102" s="26"/>
      <x:c r="L102" s="19"/>
      <x:c r="M102" s="26"/>
      <x:c r="N102" s="19"/>
      <x:c r="O102" s="19"/>
    </x:row>
    <x:row r="103">
      <x:c r="A103" s="19"/>
      <x:c r="B103" s="19"/>
      <x:c r="C103" s="19"/>
      <x:c r="D103" s="19"/>
      <x:c r="E103" s="19"/>
      <x:c r="F103" s="25"/>
      <x:c r="G103" s="25"/>
      <x:c r="H103" s="62"/>
      <x:c r="I103" s="120" t="str">
        <x:f>IF($A103="","",SUMIFS('InventoryTransactions'!$D$2:$D$500,'InventoryTransactions'!$B$2:$B$500,$A103))</x:f>
      </x:c>
      <x:c r="J103" s="19"/>
      <x:c r="K103" s="26"/>
      <x:c r="L103" s="19"/>
      <x:c r="M103" s="26"/>
      <x:c r="N103" s="19"/>
      <x:c r="O103" s="19"/>
    </x:row>
    <x:row r="104">
      <x:c r="A104" s="19"/>
      <x:c r="B104" s="19"/>
      <x:c r="C104" s="19"/>
      <x:c r="D104" s="19"/>
      <x:c r="E104" s="19"/>
      <x:c r="F104" s="25"/>
      <x:c r="G104" s="25"/>
      <x:c r="H104" s="62"/>
      <x:c r="I104" s="120" t="str">
        <x:f>IF($A104="","",SUMIFS('InventoryTransactions'!$D$2:$D$500,'InventoryTransactions'!$B$2:$B$500,$A104))</x:f>
      </x:c>
      <x:c r="J104" s="19"/>
      <x:c r="K104" s="26"/>
      <x:c r="L104" s="19"/>
      <x:c r="M104" s="26"/>
      <x:c r="N104" s="19"/>
      <x:c r="O104" s="19"/>
    </x:row>
    <x:row r="105">
      <x:c r="A105" s="19"/>
      <x:c r="B105" s="19"/>
      <x:c r="C105" s="19"/>
      <x:c r="D105" s="19"/>
      <x:c r="E105" s="19"/>
      <x:c r="F105" s="25"/>
      <x:c r="G105" s="25"/>
      <x:c r="H105" s="62"/>
      <x:c r="I105" s="120" t="str">
        <x:f>IF($A105="","",SUMIFS('InventoryTransactions'!$D$2:$D$500,'InventoryTransactions'!$B$2:$B$500,$A105))</x:f>
      </x:c>
      <x:c r="J105" s="19"/>
      <x:c r="K105" s="26"/>
      <x:c r="L105" s="19"/>
      <x:c r="M105" s="26"/>
      <x:c r="N105" s="19"/>
      <x:c r="O105" s="19"/>
    </x:row>
    <x:row r="106">
      <x:c r="A106" s="19"/>
      <x:c r="B106" s="19"/>
      <x:c r="C106" s="19"/>
      <x:c r="D106" s="19"/>
      <x:c r="E106" s="19"/>
      <x:c r="F106" s="25"/>
      <x:c r="G106" s="25"/>
      <x:c r="H106" s="62"/>
      <x:c r="I106" s="120" t="str">
        <x:f>IF($A106="","",SUMIFS('InventoryTransactions'!$D$2:$D$500,'InventoryTransactions'!$B$2:$B$500,$A106))</x:f>
      </x:c>
      <x:c r="J106" s="19"/>
      <x:c r="K106" s="26"/>
      <x:c r="L106" s="19"/>
      <x:c r="M106" s="26"/>
      <x:c r="N106" s="19"/>
      <x:c r="O106" s="19"/>
    </x:row>
    <x:row r="107">
      <x:c r="A107" s="19"/>
      <x:c r="B107" s="19"/>
      <x:c r="C107" s="19"/>
      <x:c r="D107" s="19"/>
      <x:c r="E107" s="19"/>
      <x:c r="F107" s="25"/>
      <x:c r="G107" s="25"/>
      <x:c r="H107" s="62"/>
      <x:c r="I107" s="120" t="str">
        <x:f>IF($A107="","",SUMIFS('InventoryTransactions'!$D$2:$D$500,'InventoryTransactions'!$B$2:$B$500,$A107))</x:f>
      </x:c>
      <x:c r="J107" s="19"/>
      <x:c r="K107" s="26"/>
      <x:c r="L107" s="19"/>
      <x:c r="M107" s="26"/>
      <x:c r="N107" s="19"/>
      <x:c r="O107" s="19"/>
    </x:row>
    <x:row r="108">
      <x:c r="A108" s="19"/>
      <x:c r="B108" s="19"/>
      <x:c r="C108" s="19"/>
      <x:c r="D108" s="19"/>
      <x:c r="E108" s="19"/>
      <x:c r="F108" s="25"/>
      <x:c r="G108" s="25"/>
      <x:c r="H108" s="62"/>
      <x:c r="I108" s="120" t="str">
        <x:f>IF($A108="","",SUMIFS('InventoryTransactions'!$D$2:$D$500,'InventoryTransactions'!$B$2:$B$500,$A108))</x:f>
      </x:c>
      <x:c r="J108" s="19"/>
      <x:c r="K108" s="26"/>
      <x:c r="L108" s="19"/>
      <x:c r="M108" s="26"/>
      <x:c r="N108" s="19"/>
      <x:c r="O108" s="19"/>
    </x:row>
    <x:row r="109">
      <x:c r="A109" s="19"/>
      <x:c r="B109" s="19"/>
      <x:c r="C109" s="19"/>
      <x:c r="D109" s="19"/>
      <x:c r="E109" s="19"/>
      <x:c r="F109" s="25"/>
      <x:c r="G109" s="25"/>
      <x:c r="H109" s="62"/>
      <x:c r="I109" s="120" t="str">
        <x:f>IF($A109="","",SUMIFS('InventoryTransactions'!$D$2:$D$500,'InventoryTransactions'!$B$2:$B$500,$A109))</x:f>
      </x:c>
      <x:c r="J109" s="19"/>
      <x:c r="K109" s="26"/>
      <x:c r="L109" s="19"/>
      <x:c r="M109" s="26"/>
      <x:c r="N109" s="19"/>
      <x:c r="O109" s="19"/>
    </x:row>
    <x:row r="110">
      <x:c r="A110" s="19"/>
      <x:c r="B110" s="19"/>
      <x:c r="C110" s="19"/>
      <x:c r="D110" s="19"/>
      <x:c r="E110" s="19"/>
      <x:c r="F110" s="25"/>
      <x:c r="G110" s="25"/>
      <x:c r="H110" s="62"/>
      <x:c r="I110" s="120" t="str">
        <x:f>IF($A110="","",SUMIFS('InventoryTransactions'!$D$2:$D$500,'InventoryTransactions'!$B$2:$B$500,$A110))</x:f>
      </x:c>
      <x:c r="J110" s="19"/>
      <x:c r="K110" s="26"/>
      <x:c r="L110" s="19"/>
      <x:c r="M110" s="26"/>
      <x:c r="N110" s="19"/>
      <x:c r="O110" s="19"/>
    </x:row>
    <x:row r="111">
      <x:c r="A111" s="19"/>
      <x:c r="B111" s="19"/>
      <x:c r="C111" s="19"/>
      <x:c r="D111" s="19"/>
      <x:c r="E111" s="19"/>
      <x:c r="F111" s="25"/>
      <x:c r="G111" s="25"/>
      <x:c r="H111" s="62"/>
      <x:c r="I111" s="120" t="str">
        <x:f>IF($A111="","",SUMIFS('InventoryTransactions'!$D$2:$D$500,'InventoryTransactions'!$B$2:$B$500,$A111))</x:f>
      </x:c>
      <x:c r="J111" s="19"/>
      <x:c r="K111" s="26"/>
      <x:c r="L111" s="19"/>
      <x:c r="M111" s="26"/>
      <x:c r="N111" s="19"/>
      <x:c r="O111" s="19"/>
    </x:row>
    <x:row r="112">
      <x:c r="A112" s="19"/>
      <x:c r="B112" s="19"/>
      <x:c r="C112" s="19"/>
      <x:c r="D112" s="19"/>
      <x:c r="E112" s="19"/>
      <x:c r="F112" s="25"/>
      <x:c r="G112" s="25"/>
      <x:c r="H112" s="62"/>
      <x:c r="I112" s="120" t="str">
        <x:f>IF($A112="","",SUMIFS('InventoryTransactions'!$D$2:$D$500,'InventoryTransactions'!$B$2:$B$500,$A112))</x:f>
      </x:c>
      <x:c r="J112" s="19"/>
      <x:c r="K112" s="26"/>
      <x:c r="L112" s="19"/>
      <x:c r="M112" s="26"/>
      <x:c r="N112" s="19"/>
      <x:c r="O112" s="19"/>
    </x:row>
    <x:row r="113">
      <x:c r="A113" s="19"/>
      <x:c r="B113" s="19"/>
      <x:c r="C113" s="19"/>
      <x:c r="D113" s="19"/>
      <x:c r="E113" s="19"/>
      <x:c r="F113" s="25"/>
      <x:c r="G113" s="25"/>
      <x:c r="H113" s="62"/>
      <x:c r="I113" s="120" t="str">
        <x:f>IF($A113="","",SUMIFS('InventoryTransactions'!$D$2:$D$500,'InventoryTransactions'!$B$2:$B$500,$A113))</x:f>
      </x:c>
      <x:c r="J113" s="19"/>
      <x:c r="K113" s="26"/>
      <x:c r="L113" s="19"/>
      <x:c r="M113" s="26"/>
      <x:c r="N113" s="19"/>
      <x:c r="O113" s="19"/>
    </x:row>
    <x:row r="114">
      <x:c r="A114" s="19"/>
      <x:c r="B114" s="19"/>
      <x:c r="C114" s="19"/>
      <x:c r="D114" s="19"/>
      <x:c r="E114" s="19"/>
      <x:c r="F114" s="25"/>
      <x:c r="G114" s="25"/>
      <x:c r="H114" s="62"/>
      <x:c r="I114" s="120" t="str">
        <x:f>IF($A114="","",SUMIFS('InventoryTransactions'!$D$2:$D$500,'InventoryTransactions'!$B$2:$B$500,$A114))</x:f>
      </x:c>
      <x:c r="J114" s="19"/>
      <x:c r="K114" s="26"/>
      <x:c r="L114" s="19"/>
      <x:c r="M114" s="26"/>
      <x:c r="N114" s="19"/>
      <x:c r="O114" s="19"/>
    </x:row>
    <x:row r="115">
      <x:c r="A115" s="19"/>
      <x:c r="B115" s="19"/>
      <x:c r="C115" s="19"/>
      <x:c r="D115" s="19"/>
      <x:c r="E115" s="19"/>
      <x:c r="F115" s="25"/>
      <x:c r="G115" s="25"/>
      <x:c r="H115" s="62"/>
      <x:c r="I115" s="120" t="str">
        <x:f>IF($A115="","",SUMIFS('InventoryTransactions'!$D$2:$D$500,'InventoryTransactions'!$B$2:$B$500,$A115))</x:f>
      </x:c>
      <x:c r="J115" s="19"/>
      <x:c r="K115" s="26"/>
      <x:c r="L115" s="19"/>
      <x:c r="M115" s="26"/>
      <x:c r="N115" s="19"/>
      <x:c r="O115" s="19"/>
    </x:row>
    <x:row r="116">
      <x:c r="A116" s="19"/>
      <x:c r="B116" s="19"/>
      <x:c r="C116" s="19"/>
      <x:c r="D116" s="19"/>
      <x:c r="E116" s="19"/>
      <x:c r="F116" s="25"/>
      <x:c r="G116" s="25"/>
      <x:c r="H116" s="62"/>
      <x:c r="I116" s="120" t="str">
        <x:f>IF($A116="","",SUMIFS('InventoryTransactions'!$D$2:$D$500,'InventoryTransactions'!$B$2:$B$500,$A116))</x:f>
      </x:c>
      <x:c r="J116" s="19"/>
      <x:c r="K116" s="26"/>
      <x:c r="L116" s="19"/>
      <x:c r="M116" s="26"/>
      <x:c r="N116" s="19"/>
      <x:c r="O116" s="19"/>
    </x:row>
    <x:row r="117">
      <x:c r="A117" s="19"/>
      <x:c r="B117" s="19"/>
      <x:c r="C117" s="19"/>
      <x:c r="D117" s="19"/>
      <x:c r="E117" s="19"/>
      <x:c r="F117" s="25"/>
      <x:c r="G117" s="25"/>
      <x:c r="H117" s="62"/>
      <x:c r="I117" s="120" t="str">
        <x:f>IF($A117="","",SUMIFS('InventoryTransactions'!$D$2:$D$500,'InventoryTransactions'!$B$2:$B$500,$A117))</x:f>
      </x:c>
      <x:c r="J117" s="19"/>
      <x:c r="K117" s="26"/>
      <x:c r="L117" s="19"/>
      <x:c r="M117" s="26"/>
      <x:c r="N117" s="19"/>
      <x:c r="O117" s="19"/>
    </x:row>
    <x:row r="118">
      <x:c r="A118" s="19"/>
      <x:c r="B118" s="19"/>
      <x:c r="C118" s="19"/>
      <x:c r="D118" s="19"/>
      <x:c r="E118" s="19"/>
      <x:c r="F118" s="25"/>
      <x:c r="G118" s="25"/>
      <x:c r="H118" s="62"/>
      <x:c r="I118" s="120" t="str">
        <x:f>IF($A118="","",SUMIFS('InventoryTransactions'!$D$2:$D$500,'InventoryTransactions'!$B$2:$B$500,$A118))</x:f>
      </x:c>
      <x:c r="J118" s="19"/>
      <x:c r="K118" s="26"/>
      <x:c r="L118" s="19"/>
      <x:c r="M118" s="26"/>
      <x:c r="N118" s="19"/>
      <x:c r="O118" s="19"/>
    </x:row>
    <x:row r="119">
      <x:c r="A119" s="19"/>
      <x:c r="B119" s="19"/>
      <x:c r="C119" s="19"/>
      <x:c r="D119" s="19"/>
      <x:c r="E119" s="19"/>
      <x:c r="F119" s="25"/>
      <x:c r="G119" s="25"/>
      <x:c r="H119" s="62"/>
      <x:c r="I119" s="120" t="str">
        <x:f>IF($A119="","",SUMIFS('InventoryTransactions'!$D$2:$D$500,'InventoryTransactions'!$B$2:$B$500,$A119))</x:f>
      </x:c>
      <x:c r="J119" s="19"/>
      <x:c r="K119" s="26"/>
      <x:c r="L119" s="19"/>
      <x:c r="M119" s="26"/>
      <x:c r="N119" s="19"/>
      <x:c r="O119" s="19"/>
    </x:row>
    <x:row r="120">
      <x:c r="A120" s="19"/>
      <x:c r="B120" s="19"/>
      <x:c r="C120" s="19"/>
      <x:c r="D120" s="19"/>
      <x:c r="E120" s="19"/>
      <x:c r="F120" s="25"/>
      <x:c r="G120" s="25"/>
      <x:c r="H120" s="62"/>
      <x:c r="I120" s="120" t="str">
        <x:f>IF($A120="","",SUMIFS('InventoryTransactions'!$D$2:$D$500,'InventoryTransactions'!$B$2:$B$500,$A120))</x:f>
      </x:c>
      <x:c r="J120" s="19"/>
      <x:c r="K120" s="26"/>
      <x:c r="L120" s="19"/>
      <x:c r="M120" s="26"/>
      <x:c r="N120" s="19"/>
      <x:c r="O120" s="19"/>
    </x:row>
    <x:row r="121">
      <x:c r="A121" s="19"/>
      <x:c r="B121" s="19"/>
      <x:c r="C121" s="19"/>
      <x:c r="D121" s="19"/>
      <x:c r="E121" s="19"/>
      <x:c r="F121" s="25"/>
      <x:c r="G121" s="25"/>
      <x:c r="H121" s="62"/>
      <x:c r="I121" s="120" t="str">
        <x:f>IF($A121="","",SUMIFS('InventoryTransactions'!$D$2:$D$500,'InventoryTransactions'!$B$2:$B$500,$A121))</x:f>
      </x:c>
      <x:c r="J121" s="19"/>
      <x:c r="K121" s="26"/>
      <x:c r="L121" s="19"/>
      <x:c r="M121" s="26"/>
      <x:c r="N121" s="19"/>
      <x:c r="O121" s="19"/>
    </x:row>
    <x:row r="122">
      <x:c r="A122" s="19"/>
      <x:c r="B122" s="19"/>
      <x:c r="C122" s="19"/>
      <x:c r="D122" s="19"/>
      <x:c r="E122" s="19"/>
      <x:c r="F122" s="25"/>
      <x:c r="G122" s="25"/>
      <x:c r="H122" s="62"/>
      <x:c r="I122" s="120" t="str">
        <x:f>IF($A122="","",SUMIFS('InventoryTransactions'!$D$2:$D$500,'InventoryTransactions'!$B$2:$B$500,$A122))</x:f>
      </x:c>
      <x:c r="J122" s="19"/>
      <x:c r="K122" s="26"/>
      <x:c r="L122" s="19"/>
      <x:c r="M122" s="26"/>
      <x:c r="N122" s="19"/>
      <x:c r="O122" s="19"/>
    </x:row>
    <x:row r="123">
      <x:c r="A123" s="19"/>
      <x:c r="B123" s="19"/>
      <x:c r="C123" s="19"/>
      <x:c r="D123" s="19"/>
      <x:c r="E123" s="19"/>
      <x:c r="F123" s="25"/>
      <x:c r="G123" s="25"/>
      <x:c r="H123" s="62"/>
      <x:c r="I123" s="120" t="str">
        <x:f>IF($A123="","",SUMIFS('InventoryTransactions'!$D$2:$D$500,'InventoryTransactions'!$B$2:$B$500,$A123))</x:f>
      </x:c>
      <x:c r="J123" s="19"/>
      <x:c r="K123" s="26"/>
      <x:c r="L123" s="19"/>
      <x:c r="M123" s="26"/>
      <x:c r="N123" s="19"/>
      <x:c r="O123" s="19"/>
    </x:row>
    <x:row r="124">
      <x:c r="A124" s="19"/>
      <x:c r="B124" s="19"/>
      <x:c r="C124" s="19"/>
      <x:c r="D124" s="19"/>
      <x:c r="E124" s="19"/>
      <x:c r="F124" s="25"/>
      <x:c r="G124" s="25"/>
      <x:c r="H124" s="62"/>
      <x:c r="I124" s="120" t="str">
        <x:f>IF($A124="","",SUMIFS('InventoryTransactions'!$D$2:$D$500,'InventoryTransactions'!$B$2:$B$500,$A124))</x:f>
      </x:c>
      <x:c r="J124" s="19"/>
      <x:c r="K124" s="26"/>
      <x:c r="L124" s="19"/>
      <x:c r="M124" s="26"/>
      <x:c r="N124" s="19"/>
      <x:c r="O124" s="19"/>
    </x:row>
    <x:row r="125">
      <x:c r="A125" s="19"/>
      <x:c r="B125" s="19"/>
      <x:c r="C125" s="19"/>
      <x:c r="D125" s="19"/>
      <x:c r="E125" s="19"/>
      <x:c r="F125" s="25"/>
      <x:c r="G125" s="25"/>
      <x:c r="H125" s="62"/>
      <x:c r="I125" s="120" t="str">
        <x:f>IF($A125="","",SUMIFS('InventoryTransactions'!$D$2:$D$500,'InventoryTransactions'!$B$2:$B$500,$A125))</x:f>
      </x:c>
      <x:c r="J125" s="19"/>
      <x:c r="K125" s="26"/>
      <x:c r="L125" s="19"/>
      <x:c r="M125" s="26"/>
      <x:c r="N125" s="19"/>
      <x:c r="O125" s="19"/>
    </x:row>
    <x:row r="126">
      <x:c r="A126" s="19"/>
      <x:c r="B126" s="19"/>
      <x:c r="C126" s="19"/>
      <x:c r="D126" s="19"/>
      <x:c r="E126" s="19"/>
      <x:c r="F126" s="25"/>
      <x:c r="G126" s="25"/>
      <x:c r="H126" s="62"/>
      <x:c r="I126" s="120" t="str">
        <x:f>IF($A126="","",SUMIFS('InventoryTransactions'!$D$2:$D$500,'InventoryTransactions'!$B$2:$B$500,$A126))</x:f>
      </x:c>
      <x:c r="J126" s="19"/>
      <x:c r="K126" s="26"/>
      <x:c r="L126" s="19"/>
      <x:c r="M126" s="26"/>
      <x:c r="N126" s="19"/>
      <x:c r="O126" s="19"/>
    </x:row>
    <x:row r="127">
      <x:c r="A127" s="19"/>
      <x:c r="B127" s="19"/>
      <x:c r="C127" s="19"/>
      <x:c r="D127" s="19"/>
      <x:c r="E127" s="19"/>
      <x:c r="F127" s="25"/>
      <x:c r="G127" s="25"/>
      <x:c r="H127" s="62"/>
      <x:c r="I127" s="120" t="str">
        <x:f>IF($A127="","",SUMIFS('InventoryTransactions'!$D$2:$D$500,'InventoryTransactions'!$B$2:$B$500,$A127))</x:f>
      </x:c>
      <x:c r="J127" s="19"/>
      <x:c r="K127" s="26"/>
      <x:c r="L127" s="19"/>
      <x:c r="M127" s="26"/>
      <x:c r="N127" s="19"/>
      <x:c r="O127" s="19"/>
    </x:row>
    <x:row r="128">
      <x:c r="A128" s="19"/>
      <x:c r="B128" s="19"/>
      <x:c r="C128" s="19"/>
      <x:c r="D128" s="19"/>
      <x:c r="E128" s="19"/>
      <x:c r="F128" s="25"/>
      <x:c r="G128" s="25"/>
      <x:c r="H128" s="62"/>
      <x:c r="I128" s="120" t="str">
        <x:f>IF($A128="","",SUMIFS('InventoryTransactions'!$D$2:$D$500,'InventoryTransactions'!$B$2:$B$500,$A128))</x:f>
      </x:c>
      <x:c r="J128" s="19"/>
      <x:c r="K128" s="26"/>
      <x:c r="L128" s="19"/>
      <x:c r="M128" s="26"/>
      <x:c r="N128" s="19"/>
      <x:c r="O128" s="19"/>
    </x:row>
    <x:row r="129">
      <x:c r="A129" s="19"/>
      <x:c r="B129" s="19"/>
      <x:c r="C129" s="19"/>
      <x:c r="D129" s="19"/>
      <x:c r="E129" s="19"/>
      <x:c r="F129" s="25"/>
      <x:c r="G129" s="25"/>
      <x:c r="H129" s="62"/>
      <x:c r="I129" s="120" t="str">
        <x:f>IF($A129="","",SUMIFS('InventoryTransactions'!$D$2:$D$500,'InventoryTransactions'!$B$2:$B$500,$A129))</x:f>
      </x:c>
      <x:c r="J129" s="19"/>
      <x:c r="K129" s="26"/>
      <x:c r="L129" s="19"/>
      <x:c r="M129" s="26"/>
      <x:c r="N129" s="19"/>
      <x:c r="O129" s="19"/>
    </x:row>
    <x:row r="130">
      <x:c r="A130" s="19"/>
      <x:c r="B130" s="19"/>
      <x:c r="C130" s="19"/>
      <x:c r="D130" s="19"/>
      <x:c r="E130" s="19"/>
      <x:c r="F130" s="25"/>
      <x:c r="G130" s="25"/>
      <x:c r="H130" s="62"/>
      <x:c r="I130" s="120" t="str">
        <x:f>IF($A130="","",SUMIFS('InventoryTransactions'!$D$2:$D$500,'InventoryTransactions'!$B$2:$B$500,$A130))</x:f>
      </x:c>
      <x:c r="J130" s="19"/>
      <x:c r="K130" s="26"/>
      <x:c r="L130" s="19"/>
      <x:c r="M130" s="26"/>
      <x:c r="N130" s="19"/>
      <x:c r="O130" s="19"/>
    </x:row>
    <x:row r="131">
      <x:c r="A131" s="19"/>
      <x:c r="B131" s="19"/>
      <x:c r="C131" s="19"/>
      <x:c r="D131" s="19"/>
      <x:c r="E131" s="19"/>
      <x:c r="F131" s="25"/>
      <x:c r="G131" s="25"/>
      <x:c r="H131" s="62"/>
      <x:c r="I131" s="120" t="str">
        <x:f>IF($A131="","",SUMIFS('InventoryTransactions'!$D$2:$D$500,'InventoryTransactions'!$B$2:$B$500,$A131))</x:f>
      </x:c>
      <x:c r="J131" s="19"/>
      <x:c r="K131" s="26"/>
      <x:c r="L131" s="19"/>
      <x:c r="M131" s="26"/>
      <x:c r="N131" s="19"/>
      <x:c r="O131" s="19"/>
    </x:row>
    <x:row r="132">
      <x:c r="A132" s="19"/>
      <x:c r="B132" s="19"/>
      <x:c r="C132" s="19"/>
      <x:c r="D132" s="19"/>
      <x:c r="E132" s="19"/>
      <x:c r="F132" s="25"/>
      <x:c r="G132" s="25"/>
      <x:c r="H132" s="62"/>
      <x:c r="I132" s="120" t="str">
        <x:f>IF($A132="","",SUMIFS('InventoryTransactions'!$D$2:$D$500,'InventoryTransactions'!$B$2:$B$500,$A132))</x:f>
      </x:c>
      <x:c r="J132" s="19"/>
      <x:c r="K132" s="26"/>
      <x:c r="L132" s="19"/>
      <x:c r="M132" s="26"/>
      <x:c r="N132" s="19"/>
      <x:c r="O132" s="19"/>
    </x:row>
    <x:row r="133">
      <x:c r="A133" s="19"/>
      <x:c r="B133" s="19"/>
      <x:c r="C133" s="19"/>
      <x:c r="D133" s="19"/>
      <x:c r="E133" s="19"/>
      <x:c r="F133" s="25"/>
      <x:c r="G133" s="25"/>
      <x:c r="H133" s="62"/>
      <x:c r="I133" s="120" t="str">
        <x:f>IF($A133="","",SUMIFS('InventoryTransactions'!$D$2:$D$500,'InventoryTransactions'!$B$2:$B$500,$A133))</x:f>
      </x:c>
      <x:c r="J133" s="19"/>
      <x:c r="K133" s="26"/>
      <x:c r="L133" s="19"/>
      <x:c r="M133" s="26"/>
      <x:c r="N133" s="19"/>
      <x:c r="O133" s="19"/>
    </x:row>
    <x:row r="134">
      <x:c r="A134" s="19"/>
      <x:c r="B134" s="19"/>
      <x:c r="C134" s="19"/>
      <x:c r="D134" s="19"/>
      <x:c r="E134" s="19"/>
      <x:c r="F134" s="25"/>
      <x:c r="G134" s="25"/>
      <x:c r="H134" s="62"/>
      <x:c r="I134" s="120" t="str">
        <x:f>IF($A134="","",SUMIFS('InventoryTransactions'!$D$2:$D$500,'InventoryTransactions'!$B$2:$B$500,$A134))</x:f>
      </x:c>
      <x:c r="J134" s="19"/>
      <x:c r="K134" s="26"/>
      <x:c r="L134" s="19"/>
      <x:c r="M134" s="26"/>
      <x:c r="N134" s="19"/>
      <x:c r="O134" s="19"/>
    </x:row>
    <x:row r="135">
      <x:c r="A135" s="19"/>
      <x:c r="B135" s="19"/>
      <x:c r="C135" s="19"/>
      <x:c r="D135" s="19"/>
      <x:c r="E135" s="19"/>
      <x:c r="F135" s="25"/>
      <x:c r="G135" s="25"/>
      <x:c r="H135" s="62"/>
      <x:c r="I135" s="120" t="str">
        <x:f>IF($A135="","",SUMIFS('InventoryTransactions'!$D$2:$D$500,'InventoryTransactions'!$B$2:$B$500,$A135))</x:f>
      </x:c>
      <x:c r="J135" s="19"/>
      <x:c r="K135" s="26"/>
      <x:c r="L135" s="19"/>
      <x:c r="M135" s="26"/>
      <x:c r="N135" s="19"/>
      <x:c r="O135" s="19"/>
    </x:row>
    <x:row r="136">
      <x:c r="A136" s="19"/>
      <x:c r="B136" s="19"/>
      <x:c r="C136" s="19"/>
      <x:c r="D136" s="19"/>
      <x:c r="E136" s="19"/>
      <x:c r="F136" s="25"/>
      <x:c r="G136" s="25"/>
      <x:c r="H136" s="62"/>
      <x:c r="I136" s="120" t="str">
        <x:f>IF($A136="","",SUMIFS('InventoryTransactions'!$D$2:$D$500,'InventoryTransactions'!$B$2:$B$500,$A136))</x:f>
      </x:c>
      <x:c r="J136" s="19"/>
      <x:c r="K136" s="26"/>
      <x:c r="L136" s="19"/>
      <x:c r="M136" s="26"/>
      <x:c r="N136" s="19"/>
      <x:c r="O136" s="19"/>
    </x:row>
    <x:row r="137">
      <x:c r="A137" s="19"/>
      <x:c r="B137" s="19"/>
      <x:c r="C137" s="19"/>
      <x:c r="D137" s="19"/>
      <x:c r="E137" s="19"/>
      <x:c r="F137" s="25"/>
      <x:c r="G137" s="25"/>
      <x:c r="H137" s="62"/>
      <x:c r="I137" s="120" t="str">
        <x:f>IF($A137="","",SUMIFS('InventoryTransactions'!$D$2:$D$500,'InventoryTransactions'!$B$2:$B$500,$A137))</x:f>
      </x:c>
      <x:c r="J137" s="19"/>
      <x:c r="K137" s="26"/>
      <x:c r="L137" s="19"/>
      <x:c r="M137" s="26"/>
      <x:c r="N137" s="19"/>
      <x:c r="O137" s="19"/>
    </x:row>
    <x:row r="138">
      <x:c r="A138" s="19"/>
      <x:c r="B138" s="19"/>
      <x:c r="C138" s="19"/>
      <x:c r="D138" s="19"/>
      <x:c r="E138" s="19"/>
      <x:c r="F138" s="25"/>
      <x:c r="G138" s="25"/>
      <x:c r="H138" s="62"/>
      <x:c r="I138" s="120" t="str">
        <x:f>IF($A138="","",SUMIFS('InventoryTransactions'!$D$2:$D$500,'InventoryTransactions'!$B$2:$B$500,$A138))</x:f>
      </x:c>
      <x:c r="J138" s="19"/>
      <x:c r="K138" s="26"/>
      <x:c r="L138" s="19"/>
      <x:c r="M138" s="26"/>
      <x:c r="N138" s="19"/>
      <x:c r="O138" s="19"/>
    </x:row>
    <x:row r="139">
      <x:c r="A139" s="19"/>
      <x:c r="B139" s="19"/>
      <x:c r="C139" s="19"/>
      <x:c r="D139" s="19"/>
      <x:c r="E139" s="19"/>
      <x:c r="F139" s="25"/>
      <x:c r="G139" s="25"/>
      <x:c r="H139" s="62"/>
      <x:c r="I139" s="120" t="str">
        <x:f>IF($A139="","",SUMIFS('InventoryTransactions'!$D$2:$D$500,'InventoryTransactions'!$B$2:$B$500,$A139))</x:f>
      </x:c>
      <x:c r="J139" s="19"/>
      <x:c r="K139" s="26"/>
      <x:c r="L139" s="19"/>
      <x:c r="M139" s="26"/>
      <x:c r="N139" s="19"/>
      <x:c r="O139" s="19"/>
    </x:row>
    <x:row r="140">
      <x:c r="A140" s="19"/>
      <x:c r="B140" s="19"/>
      <x:c r="C140" s="19"/>
      <x:c r="D140" s="19"/>
      <x:c r="E140" s="19"/>
      <x:c r="F140" s="25"/>
      <x:c r="G140" s="25"/>
      <x:c r="H140" s="62"/>
      <x:c r="I140" s="120" t="str">
        <x:f>IF($A140="","",SUMIFS('InventoryTransactions'!$D$2:$D$500,'InventoryTransactions'!$B$2:$B$500,$A140))</x:f>
      </x:c>
      <x:c r="J140" s="19"/>
      <x:c r="K140" s="26"/>
      <x:c r="L140" s="19"/>
      <x:c r="M140" s="26"/>
      <x:c r="N140" s="19"/>
      <x:c r="O140" s="19"/>
    </x:row>
    <x:row r="141">
      <x:c r="A141" s="19"/>
      <x:c r="B141" s="19"/>
      <x:c r="C141" s="19"/>
      <x:c r="D141" s="19"/>
      <x:c r="E141" s="19"/>
      <x:c r="F141" s="25"/>
      <x:c r="G141" s="25"/>
      <x:c r="H141" s="62"/>
      <x:c r="I141" s="120" t="str">
        <x:f>IF($A141="","",SUMIFS('InventoryTransactions'!$D$2:$D$500,'InventoryTransactions'!$B$2:$B$500,$A141))</x:f>
      </x:c>
      <x:c r="J141" s="19"/>
      <x:c r="K141" s="26"/>
      <x:c r="L141" s="19"/>
      <x:c r="M141" s="26"/>
      <x:c r="N141" s="19"/>
      <x:c r="O141" s="19"/>
    </x:row>
    <x:row r="142">
      <x:c r="A142" s="19"/>
      <x:c r="B142" s="19"/>
      <x:c r="C142" s="19"/>
      <x:c r="D142" s="19"/>
      <x:c r="E142" s="19"/>
      <x:c r="F142" s="25"/>
      <x:c r="G142" s="25"/>
      <x:c r="H142" s="62"/>
      <x:c r="I142" s="120" t="str">
        <x:f>IF($A142="","",SUMIFS('InventoryTransactions'!$D$2:$D$500,'InventoryTransactions'!$B$2:$B$500,$A142))</x:f>
      </x:c>
      <x:c r="J142" s="19"/>
      <x:c r="K142" s="26"/>
      <x:c r="L142" s="19"/>
      <x:c r="M142" s="26"/>
      <x:c r="N142" s="19"/>
      <x:c r="O142" s="19"/>
    </x:row>
    <x:row r="143">
      <x:c r="A143" s="19"/>
      <x:c r="B143" s="19"/>
      <x:c r="C143" s="19"/>
      <x:c r="D143" s="19"/>
      <x:c r="E143" s="19"/>
      <x:c r="F143" s="25"/>
      <x:c r="G143" s="25"/>
      <x:c r="H143" s="62"/>
      <x:c r="I143" s="120" t="str">
        <x:f>IF($A143="","",SUMIFS('InventoryTransactions'!$D$2:$D$500,'InventoryTransactions'!$B$2:$B$500,$A143))</x:f>
      </x:c>
      <x:c r="J143" s="19"/>
      <x:c r="K143" s="26"/>
      <x:c r="L143" s="19"/>
      <x:c r="M143" s="26"/>
      <x:c r="N143" s="19"/>
      <x:c r="O143" s="19"/>
    </x:row>
    <x:row r="144">
      <x:c r="A144" s="19"/>
      <x:c r="B144" s="19"/>
      <x:c r="C144" s="19"/>
      <x:c r="D144" s="19"/>
      <x:c r="E144" s="19"/>
      <x:c r="F144" s="25"/>
      <x:c r="G144" s="25"/>
      <x:c r="H144" s="62"/>
      <x:c r="I144" s="120" t="str">
        <x:f>IF($A144="","",SUMIFS('InventoryTransactions'!$D$2:$D$500,'InventoryTransactions'!$B$2:$B$500,$A144))</x:f>
      </x:c>
      <x:c r="J144" s="19"/>
      <x:c r="K144" s="26"/>
      <x:c r="L144" s="19"/>
      <x:c r="M144" s="26"/>
      <x:c r="N144" s="19"/>
      <x:c r="O144" s="19"/>
    </x:row>
    <x:row r="145">
      <x:c r="A145" s="19"/>
      <x:c r="B145" s="19"/>
      <x:c r="C145" s="19"/>
      <x:c r="D145" s="19"/>
      <x:c r="E145" s="19"/>
      <x:c r="F145" s="25"/>
      <x:c r="G145" s="25"/>
      <x:c r="H145" s="62"/>
      <x:c r="I145" s="120" t="str">
        <x:f>IF($A145="","",SUMIFS('InventoryTransactions'!$D$2:$D$500,'InventoryTransactions'!$B$2:$B$500,$A145))</x:f>
      </x:c>
      <x:c r="J145" s="19"/>
      <x:c r="K145" s="26"/>
      <x:c r="L145" s="19"/>
      <x:c r="M145" s="26"/>
      <x:c r="N145" s="19"/>
      <x:c r="O145" s="19"/>
    </x:row>
    <x:row r="146">
      <x:c r="A146" s="19"/>
      <x:c r="B146" s="19"/>
      <x:c r="C146" s="19"/>
      <x:c r="D146" s="19"/>
      <x:c r="E146" s="19"/>
      <x:c r="F146" s="25"/>
      <x:c r="G146" s="25"/>
      <x:c r="H146" s="62"/>
      <x:c r="I146" s="120" t="str">
        <x:f>IF($A146="","",SUMIFS('InventoryTransactions'!$D$2:$D$500,'InventoryTransactions'!$B$2:$B$500,$A146))</x:f>
      </x:c>
      <x:c r="J146" s="19"/>
      <x:c r="K146" s="26"/>
      <x:c r="L146" s="19"/>
      <x:c r="M146" s="26"/>
      <x:c r="N146" s="19"/>
      <x:c r="O146" s="19"/>
    </x:row>
    <x:row r="147">
      <x:c r="A147" s="19"/>
      <x:c r="B147" s="19"/>
      <x:c r="C147" s="19"/>
      <x:c r="D147" s="19"/>
      <x:c r="E147" s="19"/>
      <x:c r="F147" s="25"/>
      <x:c r="G147" s="25"/>
      <x:c r="H147" s="62"/>
      <x:c r="I147" s="120" t="str">
        <x:f>IF($A147="","",SUMIFS('InventoryTransactions'!$D$2:$D$500,'InventoryTransactions'!$B$2:$B$500,$A147))</x:f>
      </x:c>
      <x:c r="J147" s="19"/>
      <x:c r="K147" s="26"/>
      <x:c r="L147" s="19"/>
      <x:c r="M147" s="26"/>
      <x:c r="N147" s="19"/>
      <x:c r="O147" s="19"/>
    </x:row>
    <x:row r="148">
      <x:c r="A148" s="19"/>
      <x:c r="B148" s="19"/>
      <x:c r="C148" s="19"/>
      <x:c r="D148" s="19"/>
      <x:c r="E148" s="19"/>
      <x:c r="F148" s="25"/>
      <x:c r="G148" s="25"/>
      <x:c r="H148" s="62"/>
      <x:c r="I148" s="120" t="str">
        <x:f>IF($A148="","",SUMIFS('InventoryTransactions'!$D$2:$D$500,'InventoryTransactions'!$B$2:$B$500,$A148))</x:f>
      </x:c>
      <x:c r="J148" s="19"/>
      <x:c r="K148" s="26"/>
      <x:c r="L148" s="19"/>
      <x:c r="M148" s="26"/>
      <x:c r="N148" s="19"/>
      <x:c r="O148" s="19"/>
    </x:row>
    <x:row r="149">
      <x:c r="A149" s="19"/>
      <x:c r="B149" s="19"/>
      <x:c r="C149" s="19"/>
      <x:c r="D149" s="19"/>
      <x:c r="E149" s="19"/>
      <x:c r="F149" s="25"/>
      <x:c r="G149" s="25"/>
      <x:c r="H149" s="62"/>
      <x:c r="I149" s="120" t="str">
        <x:f>IF($A149="","",SUMIFS('InventoryTransactions'!$D$2:$D$500,'InventoryTransactions'!$B$2:$B$500,$A149))</x:f>
      </x:c>
      <x:c r="J149" s="19"/>
      <x:c r="K149" s="26"/>
      <x:c r="L149" s="19"/>
      <x:c r="M149" s="26"/>
      <x:c r="N149" s="19"/>
      <x:c r="O149" s="19"/>
    </x:row>
    <x:row r="150">
      <x:c r="A150" s="19"/>
      <x:c r="B150" s="19"/>
      <x:c r="C150" s="19"/>
      <x:c r="D150" s="19"/>
      <x:c r="E150" s="19"/>
      <x:c r="F150" s="25"/>
      <x:c r="G150" s="25"/>
      <x:c r="H150" s="62"/>
      <x:c r="I150" s="120" t="str">
        <x:f>IF($A150="","",SUMIFS('InventoryTransactions'!$D$2:$D$500,'InventoryTransactions'!$B$2:$B$500,$A150))</x:f>
      </x:c>
      <x:c r="J150" s="19"/>
      <x:c r="K150" s="26"/>
      <x:c r="L150" s="19"/>
      <x:c r="M150" s="26"/>
      <x:c r="N150" s="19"/>
      <x:c r="O150" s="19"/>
    </x:row>
    <x:row r="151">
      <x:c r="A151" s="19"/>
      <x:c r="B151" s="19"/>
      <x:c r="C151" s="19"/>
      <x:c r="D151" s="19"/>
      <x:c r="E151" s="19"/>
      <x:c r="F151" s="25"/>
      <x:c r="G151" s="25"/>
      <x:c r="H151" s="62"/>
      <x:c r="I151" s="120" t="str">
        <x:f>IF($A151="","",SUMIFS('InventoryTransactions'!$D$2:$D$500,'InventoryTransactions'!$B$2:$B$500,$A151))</x:f>
      </x:c>
      <x:c r="J151" s="19"/>
      <x:c r="K151" s="26"/>
      <x:c r="L151" s="19"/>
      <x:c r="M151" s="26"/>
      <x:c r="N151" s="19"/>
      <x:c r="O151" s="19"/>
    </x:row>
    <x:row r="152">
      <x:c r="A152" s="19"/>
      <x:c r="B152" s="19"/>
      <x:c r="C152" s="19"/>
      <x:c r="D152" s="19"/>
      <x:c r="E152" s="19"/>
      <x:c r="F152" s="25"/>
      <x:c r="G152" s="25"/>
      <x:c r="H152" s="62"/>
      <x:c r="I152" s="120" t="str">
        <x:f>IF($A152="","",SUMIFS('InventoryTransactions'!$D$2:$D$500,'InventoryTransactions'!$B$2:$B$500,$A152))</x:f>
      </x:c>
      <x:c r="J152" s="19"/>
      <x:c r="K152" s="26"/>
      <x:c r="L152" s="19"/>
      <x:c r="M152" s="26"/>
      <x:c r="N152" s="19"/>
      <x:c r="O152" s="19"/>
    </x:row>
    <x:row r="153">
      <x:c r="A153" s="19"/>
      <x:c r="B153" s="19"/>
      <x:c r="C153" s="19"/>
      <x:c r="D153" s="19"/>
      <x:c r="E153" s="19"/>
      <x:c r="F153" s="25"/>
      <x:c r="G153" s="25"/>
      <x:c r="H153" s="62"/>
      <x:c r="I153" s="120" t="str">
        <x:f>IF($A153="","",SUMIFS('InventoryTransactions'!$D$2:$D$500,'InventoryTransactions'!$B$2:$B$500,$A153))</x:f>
      </x:c>
      <x:c r="J153" s="19"/>
      <x:c r="K153" s="26"/>
      <x:c r="L153" s="19"/>
      <x:c r="M153" s="26"/>
      <x:c r="N153" s="19"/>
      <x:c r="O153" s="19"/>
    </x:row>
    <x:row r="154">
      <x:c r="A154" s="19"/>
      <x:c r="B154" s="19"/>
      <x:c r="C154" s="19"/>
      <x:c r="D154" s="19"/>
      <x:c r="E154" s="19"/>
      <x:c r="F154" s="25"/>
      <x:c r="G154" s="25"/>
      <x:c r="H154" s="62"/>
      <x:c r="I154" s="120" t="str">
        <x:f>IF($A154="","",SUMIFS('InventoryTransactions'!$D$2:$D$500,'InventoryTransactions'!$B$2:$B$500,$A154))</x:f>
      </x:c>
      <x:c r="J154" s="19"/>
      <x:c r="K154" s="26"/>
      <x:c r="L154" s="19"/>
      <x:c r="M154" s="26"/>
      <x:c r="N154" s="19"/>
      <x:c r="O154" s="19"/>
    </x:row>
    <x:row r="155">
      <x:c r="A155" s="19"/>
      <x:c r="B155" s="19"/>
      <x:c r="C155" s="19"/>
      <x:c r="D155" s="19"/>
      <x:c r="E155" s="19"/>
      <x:c r="F155" s="25"/>
      <x:c r="G155" s="25"/>
      <x:c r="H155" s="62"/>
      <x:c r="I155" s="120" t="str">
        <x:f>IF($A155="","",SUMIFS('InventoryTransactions'!$D$2:$D$500,'InventoryTransactions'!$B$2:$B$500,$A155))</x:f>
      </x:c>
      <x:c r="J155" s="19"/>
      <x:c r="K155" s="26"/>
      <x:c r="L155" s="19"/>
      <x:c r="M155" s="26"/>
      <x:c r="N155" s="19"/>
      <x:c r="O155" s="19"/>
    </x:row>
    <x:row r="156">
      <x:c r="A156" s="19"/>
      <x:c r="B156" s="19"/>
      <x:c r="C156" s="19"/>
      <x:c r="D156" s="19"/>
      <x:c r="E156" s="19"/>
      <x:c r="F156" s="25"/>
      <x:c r="G156" s="25"/>
      <x:c r="H156" s="62"/>
      <x:c r="I156" s="120" t="str">
        <x:f>IF($A156="","",SUMIFS('InventoryTransactions'!$D$2:$D$500,'InventoryTransactions'!$B$2:$B$500,$A156))</x:f>
      </x:c>
      <x:c r="J156" s="19"/>
      <x:c r="K156" s="26"/>
      <x:c r="L156" s="19"/>
      <x:c r="M156" s="26"/>
      <x:c r="N156" s="19"/>
      <x:c r="O156" s="19"/>
    </x:row>
    <x:row r="157">
      <x:c r="A157" s="19"/>
      <x:c r="B157" s="19"/>
      <x:c r="C157" s="19"/>
      <x:c r="D157" s="19"/>
      <x:c r="E157" s="19"/>
      <x:c r="F157" s="25"/>
      <x:c r="G157" s="25"/>
      <x:c r="H157" s="62"/>
      <x:c r="I157" s="120" t="str">
        <x:f>IF($A157="","",SUMIFS('InventoryTransactions'!$D$2:$D$500,'InventoryTransactions'!$B$2:$B$500,$A157))</x:f>
      </x:c>
      <x:c r="J157" s="19"/>
      <x:c r="K157" s="26"/>
      <x:c r="L157" s="19"/>
      <x:c r="M157" s="26"/>
      <x:c r="N157" s="19"/>
      <x:c r="O157" s="19"/>
    </x:row>
    <x:row r="158">
      <x:c r="A158" s="19"/>
      <x:c r="B158" s="19"/>
      <x:c r="C158" s="19"/>
      <x:c r="D158" s="19"/>
      <x:c r="E158" s="19"/>
      <x:c r="F158" s="25"/>
      <x:c r="G158" s="25"/>
      <x:c r="H158" s="62"/>
      <x:c r="I158" s="120" t="str">
        <x:f>IF($A158="","",SUMIFS('InventoryTransactions'!$D$2:$D$500,'InventoryTransactions'!$B$2:$B$500,$A158))</x:f>
      </x:c>
      <x:c r="J158" s="19"/>
      <x:c r="K158" s="26"/>
      <x:c r="L158" s="19"/>
      <x:c r="M158" s="26"/>
      <x:c r="N158" s="19"/>
      <x:c r="O158" s="19"/>
    </x:row>
    <x:row r="159">
      <x:c r="A159" s="19"/>
      <x:c r="B159" s="19"/>
      <x:c r="C159" s="19"/>
      <x:c r="D159" s="19"/>
      <x:c r="E159" s="19"/>
      <x:c r="F159" s="25"/>
      <x:c r="G159" s="25"/>
      <x:c r="H159" s="62"/>
      <x:c r="I159" s="120" t="str">
        <x:f>IF($A159="","",SUMIFS('InventoryTransactions'!$D$2:$D$500,'InventoryTransactions'!$B$2:$B$500,$A159))</x:f>
      </x:c>
      <x:c r="J159" s="19"/>
      <x:c r="K159" s="26"/>
      <x:c r="L159" s="19"/>
      <x:c r="M159" s="26"/>
      <x:c r="N159" s="19"/>
      <x:c r="O159" s="19"/>
    </x:row>
    <x:row r="160">
      <x:c r="A160" s="19"/>
      <x:c r="B160" s="19"/>
      <x:c r="C160" s="19"/>
      <x:c r="D160" s="19"/>
      <x:c r="E160" s="19"/>
      <x:c r="F160" s="25"/>
      <x:c r="G160" s="25"/>
      <x:c r="H160" s="62"/>
      <x:c r="I160" s="120" t="str">
        <x:f>IF($A160="","",SUMIFS('InventoryTransactions'!$D$2:$D$500,'InventoryTransactions'!$B$2:$B$500,$A160))</x:f>
      </x:c>
      <x:c r="J160" s="19"/>
      <x:c r="K160" s="26"/>
      <x:c r="L160" s="19"/>
      <x:c r="M160" s="26"/>
      <x:c r="N160" s="19"/>
      <x:c r="O160" s="19"/>
    </x:row>
    <x:row r="161">
      <x:c r="A161" s="19"/>
      <x:c r="B161" s="19"/>
      <x:c r="C161" s="19"/>
      <x:c r="D161" s="19"/>
      <x:c r="E161" s="19"/>
      <x:c r="F161" s="25"/>
      <x:c r="G161" s="25"/>
      <x:c r="H161" s="62"/>
      <x:c r="I161" s="120" t="str">
        <x:f>IF($A161="","",SUMIFS('InventoryTransactions'!$D$2:$D$500,'InventoryTransactions'!$B$2:$B$500,$A161))</x:f>
      </x:c>
      <x:c r="J161" s="19"/>
      <x:c r="K161" s="26"/>
      <x:c r="L161" s="19"/>
      <x:c r="M161" s="26"/>
      <x:c r="N161" s="19"/>
      <x:c r="O161" s="19"/>
    </x:row>
    <x:row r="162">
      <x:c r="A162" s="19"/>
      <x:c r="B162" s="19"/>
      <x:c r="C162" s="19"/>
      <x:c r="D162" s="19"/>
      <x:c r="E162" s="19"/>
      <x:c r="F162" s="25"/>
      <x:c r="G162" s="25"/>
      <x:c r="H162" s="62"/>
      <x:c r="I162" s="120" t="str">
        <x:f>IF($A162="","",SUMIFS('InventoryTransactions'!$D$2:$D$500,'InventoryTransactions'!$B$2:$B$500,$A162))</x:f>
      </x:c>
      <x:c r="J162" s="19"/>
      <x:c r="K162" s="26"/>
      <x:c r="L162" s="19"/>
      <x:c r="M162" s="26"/>
      <x:c r="N162" s="19"/>
      <x:c r="O162" s="19"/>
    </x:row>
    <x:row r="163">
      <x:c r="A163" s="19"/>
      <x:c r="B163" s="19"/>
      <x:c r="C163" s="19"/>
      <x:c r="D163" s="19"/>
      <x:c r="E163" s="19"/>
      <x:c r="F163" s="25"/>
      <x:c r="G163" s="25"/>
      <x:c r="H163" s="62"/>
      <x:c r="I163" s="120" t="str">
        <x:f>IF($A163="","",SUMIFS('InventoryTransactions'!$D$2:$D$500,'InventoryTransactions'!$B$2:$B$500,$A163))</x:f>
      </x:c>
      <x:c r="J163" s="19"/>
      <x:c r="K163" s="26"/>
      <x:c r="L163" s="19"/>
      <x:c r="M163" s="26"/>
      <x:c r="N163" s="19"/>
      <x:c r="O163" s="19"/>
    </x:row>
    <x:row r="164">
      <x:c r="A164" s="19"/>
      <x:c r="B164" s="19"/>
      <x:c r="C164" s="19"/>
      <x:c r="D164" s="19"/>
      <x:c r="E164" s="19"/>
      <x:c r="F164" s="25"/>
      <x:c r="G164" s="25"/>
      <x:c r="H164" s="62"/>
      <x:c r="I164" s="120" t="str">
        <x:f>IF($A164="","",SUMIFS('InventoryTransactions'!$D$2:$D$500,'InventoryTransactions'!$B$2:$B$500,$A164))</x:f>
      </x:c>
      <x:c r="J164" s="19"/>
      <x:c r="K164" s="26"/>
      <x:c r="L164" s="19"/>
      <x:c r="M164" s="26"/>
      <x:c r="N164" s="19"/>
      <x:c r="O164" s="19"/>
    </x:row>
    <x:row r="165">
      <x:c r="A165" s="19"/>
      <x:c r="B165" s="19"/>
      <x:c r="C165" s="19"/>
      <x:c r="D165" s="19"/>
      <x:c r="E165" s="19"/>
      <x:c r="F165" s="25"/>
      <x:c r="G165" s="25"/>
      <x:c r="H165" s="62"/>
      <x:c r="I165" s="120" t="str">
        <x:f>IF($A165="","",SUMIFS('InventoryTransactions'!$D$2:$D$500,'InventoryTransactions'!$B$2:$B$500,$A165))</x:f>
      </x:c>
      <x:c r="J165" s="19"/>
      <x:c r="K165" s="26"/>
      <x:c r="L165" s="19"/>
      <x:c r="M165" s="26"/>
      <x:c r="N165" s="19"/>
      <x:c r="O165" s="19"/>
    </x:row>
    <x:row r="166">
      <x:c r="A166" s="19"/>
      <x:c r="B166" s="19"/>
      <x:c r="C166" s="19"/>
      <x:c r="D166" s="19"/>
      <x:c r="E166" s="19"/>
      <x:c r="F166" s="25"/>
      <x:c r="G166" s="25"/>
      <x:c r="H166" s="62"/>
      <x:c r="I166" s="120" t="str">
        <x:f>IF($A166="","",SUMIFS('InventoryTransactions'!$D$2:$D$500,'InventoryTransactions'!$B$2:$B$500,$A166))</x:f>
      </x:c>
      <x:c r="J166" s="19"/>
      <x:c r="K166" s="26"/>
      <x:c r="L166" s="19"/>
      <x:c r="M166" s="26"/>
      <x:c r="N166" s="19"/>
      <x:c r="O166" s="19"/>
    </x:row>
    <x:row r="167">
      <x:c r="A167" s="19"/>
      <x:c r="B167" s="19"/>
      <x:c r="C167" s="19"/>
      <x:c r="D167" s="19"/>
      <x:c r="E167" s="19"/>
      <x:c r="F167" s="25"/>
      <x:c r="G167" s="25"/>
      <x:c r="H167" s="62"/>
      <x:c r="I167" s="120" t="str">
        <x:f>IF($A167="","",SUMIFS('InventoryTransactions'!$D$2:$D$500,'InventoryTransactions'!$B$2:$B$500,$A167))</x:f>
      </x:c>
      <x:c r="J167" s="19"/>
      <x:c r="K167" s="26"/>
      <x:c r="L167" s="19"/>
      <x:c r="M167" s="26"/>
      <x:c r="N167" s="19"/>
      <x:c r="O167" s="19"/>
    </x:row>
    <x:row r="168">
      <x:c r="A168" s="19"/>
      <x:c r="B168" s="19"/>
      <x:c r="C168" s="19"/>
      <x:c r="D168" s="19"/>
      <x:c r="E168" s="19"/>
      <x:c r="F168" s="25"/>
      <x:c r="G168" s="25"/>
      <x:c r="H168" s="62"/>
      <x:c r="I168" s="120" t="str">
        <x:f>IF($A168="","",SUMIFS('InventoryTransactions'!$D$2:$D$500,'InventoryTransactions'!$B$2:$B$500,$A168))</x:f>
      </x:c>
      <x:c r="J168" s="19"/>
      <x:c r="K168" s="26"/>
      <x:c r="L168" s="19"/>
      <x:c r="M168" s="26"/>
      <x:c r="N168" s="19"/>
      <x:c r="O168" s="19"/>
    </x:row>
    <x:row r="169">
      <x:c r="A169" s="19"/>
      <x:c r="B169" s="19"/>
      <x:c r="C169" s="19"/>
      <x:c r="D169" s="19"/>
      <x:c r="E169" s="19"/>
      <x:c r="F169" s="25"/>
      <x:c r="G169" s="25"/>
      <x:c r="H169" s="62"/>
      <x:c r="I169" s="120" t="str">
        <x:f>IF($A169="","",SUMIFS('InventoryTransactions'!$D$2:$D$500,'InventoryTransactions'!$B$2:$B$500,$A169))</x:f>
      </x:c>
      <x:c r="J169" s="19"/>
      <x:c r="K169" s="26"/>
      <x:c r="L169" s="19"/>
      <x:c r="M169" s="26"/>
      <x:c r="N169" s="19"/>
      <x:c r="O169" s="19"/>
    </x:row>
    <x:row r="170">
      <x:c r="A170" s="19"/>
      <x:c r="B170" s="19"/>
      <x:c r="C170" s="19"/>
      <x:c r="D170" s="19"/>
      <x:c r="E170" s="19"/>
      <x:c r="F170" s="25"/>
      <x:c r="G170" s="25"/>
      <x:c r="H170" s="62"/>
      <x:c r="I170" s="120" t="str">
        <x:f>IF($A170="","",SUMIFS('InventoryTransactions'!$D$2:$D$500,'InventoryTransactions'!$B$2:$B$500,$A170))</x:f>
      </x:c>
      <x:c r="J170" s="19"/>
      <x:c r="K170" s="26"/>
      <x:c r="L170" s="19"/>
      <x:c r="M170" s="26"/>
      <x:c r="N170" s="19"/>
      <x:c r="O170" s="19"/>
    </x:row>
    <x:row r="171">
      <x:c r="A171" s="19"/>
      <x:c r="B171" s="19"/>
      <x:c r="C171" s="19"/>
      <x:c r="D171" s="19"/>
      <x:c r="E171" s="19"/>
      <x:c r="F171" s="25"/>
      <x:c r="G171" s="25"/>
      <x:c r="H171" s="62"/>
      <x:c r="I171" s="120" t="str">
        <x:f>IF($A171="","",SUMIFS('InventoryTransactions'!$D$2:$D$500,'InventoryTransactions'!$B$2:$B$500,$A171))</x:f>
      </x:c>
      <x:c r="J171" s="19"/>
      <x:c r="K171" s="26"/>
      <x:c r="L171" s="19"/>
      <x:c r="M171" s="26"/>
      <x:c r="N171" s="19"/>
      <x:c r="O171" s="19"/>
    </x:row>
    <x:row r="172">
      <x:c r="A172" s="19"/>
      <x:c r="B172" s="19"/>
      <x:c r="C172" s="19"/>
      <x:c r="D172" s="19"/>
      <x:c r="E172" s="19"/>
      <x:c r="F172" s="25"/>
      <x:c r="G172" s="25"/>
      <x:c r="H172" s="62"/>
      <x:c r="I172" s="120" t="str">
        <x:f>IF($A172="","",SUMIFS('InventoryTransactions'!$D$2:$D$500,'InventoryTransactions'!$B$2:$B$500,$A172))</x:f>
      </x:c>
      <x:c r="J172" s="19"/>
      <x:c r="K172" s="26"/>
      <x:c r="L172" s="19"/>
      <x:c r="M172" s="26"/>
      <x:c r="N172" s="19"/>
      <x:c r="O172" s="19"/>
    </x:row>
    <x:row r="173">
      <x:c r="A173" s="19"/>
      <x:c r="B173" s="19"/>
      <x:c r="C173" s="19"/>
      <x:c r="D173" s="19"/>
      <x:c r="E173" s="19"/>
      <x:c r="F173" s="25"/>
      <x:c r="G173" s="25"/>
      <x:c r="H173" s="62"/>
      <x:c r="I173" s="120" t="str">
        <x:f>IF($A173="","",SUMIFS('InventoryTransactions'!$D$2:$D$500,'InventoryTransactions'!$B$2:$B$500,$A173))</x:f>
      </x:c>
      <x:c r="J173" s="19"/>
      <x:c r="K173" s="26"/>
      <x:c r="L173" s="19"/>
      <x:c r="M173" s="26"/>
      <x:c r="N173" s="19"/>
      <x:c r="O173" s="19"/>
    </x:row>
    <x:row r="174">
      <x:c r="A174" s="19"/>
      <x:c r="B174" s="19"/>
      <x:c r="C174" s="19"/>
      <x:c r="D174" s="19"/>
      <x:c r="E174" s="19"/>
      <x:c r="F174" s="25"/>
      <x:c r="G174" s="25"/>
      <x:c r="H174" s="62"/>
      <x:c r="I174" s="120" t="str">
        <x:f>IF($A174="","",SUMIFS('InventoryTransactions'!$D$2:$D$500,'InventoryTransactions'!$B$2:$B$500,$A174))</x:f>
      </x:c>
      <x:c r="J174" s="19"/>
      <x:c r="K174" s="26"/>
      <x:c r="L174" s="19"/>
      <x:c r="M174" s="26"/>
      <x:c r="N174" s="19"/>
      <x:c r="O174" s="19"/>
    </x:row>
    <x:row r="175">
      <x:c r="A175" s="19"/>
      <x:c r="B175" s="19"/>
      <x:c r="C175" s="19"/>
      <x:c r="D175" s="19"/>
      <x:c r="E175" s="19"/>
      <x:c r="F175" s="25"/>
      <x:c r="G175" s="25"/>
      <x:c r="H175" s="62"/>
      <x:c r="I175" s="120" t="str">
        <x:f>IF($A175="","",SUMIFS('InventoryTransactions'!$D$2:$D$500,'InventoryTransactions'!$B$2:$B$500,$A175))</x:f>
      </x:c>
      <x:c r="J175" s="19"/>
      <x:c r="K175" s="26"/>
      <x:c r="L175" s="19"/>
      <x:c r="M175" s="26"/>
      <x:c r="N175" s="19"/>
      <x:c r="O175" s="19"/>
    </x:row>
    <x:row r="176">
      <x:c r="A176" s="19"/>
      <x:c r="B176" s="19"/>
      <x:c r="C176" s="19"/>
      <x:c r="D176" s="19"/>
      <x:c r="E176" s="19"/>
      <x:c r="F176" s="25"/>
      <x:c r="G176" s="25"/>
      <x:c r="H176" s="62"/>
      <x:c r="I176" s="120" t="str">
        <x:f>IF($A176="","",SUMIFS('InventoryTransactions'!$D$2:$D$500,'InventoryTransactions'!$B$2:$B$500,$A176))</x:f>
      </x:c>
      <x:c r="J176" s="19"/>
      <x:c r="K176" s="26"/>
      <x:c r="L176" s="19"/>
      <x:c r="M176" s="26"/>
      <x:c r="N176" s="19"/>
      <x:c r="O176" s="19"/>
    </x:row>
    <x:row r="177">
      <x:c r="A177" s="19"/>
      <x:c r="B177" s="19"/>
      <x:c r="C177" s="19"/>
      <x:c r="D177" s="19"/>
      <x:c r="E177" s="19"/>
      <x:c r="F177" s="25"/>
      <x:c r="G177" s="25"/>
      <x:c r="H177" s="62"/>
      <x:c r="I177" s="120" t="str">
        <x:f>IF($A177="","",SUMIFS('InventoryTransactions'!$D$2:$D$500,'InventoryTransactions'!$B$2:$B$500,$A177))</x:f>
      </x:c>
      <x:c r="J177" s="19"/>
      <x:c r="K177" s="26"/>
      <x:c r="L177" s="19"/>
      <x:c r="M177" s="26"/>
      <x:c r="N177" s="19"/>
      <x:c r="O177" s="19"/>
    </x:row>
    <x:row r="178">
      <x:c r="A178" s="19"/>
      <x:c r="B178" s="19"/>
      <x:c r="C178" s="19"/>
      <x:c r="D178" s="19"/>
      <x:c r="E178" s="19"/>
      <x:c r="F178" s="25"/>
      <x:c r="G178" s="25"/>
      <x:c r="H178" s="62"/>
      <x:c r="I178" s="120" t="str">
        <x:f>IF($A178="","",SUMIFS('InventoryTransactions'!$D$2:$D$500,'InventoryTransactions'!$B$2:$B$500,$A178))</x:f>
      </x:c>
      <x:c r="J178" s="19"/>
      <x:c r="K178" s="26"/>
      <x:c r="L178" s="19"/>
      <x:c r="M178" s="26"/>
      <x:c r="N178" s="19"/>
      <x:c r="O178" s="19"/>
    </x:row>
    <x:row r="179">
      <x:c r="A179" s="19"/>
      <x:c r="B179" s="19"/>
      <x:c r="C179" s="19"/>
      <x:c r="D179" s="19"/>
      <x:c r="E179" s="19"/>
      <x:c r="F179" s="25"/>
      <x:c r="G179" s="25"/>
      <x:c r="H179" s="62"/>
      <x:c r="I179" s="120" t="str">
        <x:f>IF($A179="","",SUMIFS('InventoryTransactions'!$D$2:$D$500,'InventoryTransactions'!$B$2:$B$500,$A179))</x:f>
      </x:c>
      <x:c r="J179" s="19"/>
      <x:c r="K179" s="26"/>
      <x:c r="L179" s="19"/>
      <x:c r="M179" s="26"/>
      <x:c r="N179" s="19"/>
      <x:c r="O179" s="19"/>
    </x:row>
    <x:row r="180">
      <x:c r="A180" s="19"/>
      <x:c r="B180" s="19"/>
      <x:c r="C180" s="19"/>
      <x:c r="D180" s="19"/>
      <x:c r="E180" s="19"/>
      <x:c r="F180" s="25"/>
      <x:c r="G180" s="25"/>
      <x:c r="H180" s="62"/>
      <x:c r="I180" s="120" t="str">
        <x:f>IF($A180="","",SUMIFS('InventoryTransactions'!$D$2:$D$500,'InventoryTransactions'!$B$2:$B$500,$A180))</x:f>
      </x:c>
      <x:c r="J180" s="19"/>
      <x:c r="K180" s="26"/>
      <x:c r="L180" s="19"/>
      <x:c r="M180" s="26"/>
      <x:c r="N180" s="19"/>
      <x:c r="O180" s="19"/>
    </x:row>
    <x:row r="181">
      <x:c r="A181" s="19"/>
      <x:c r="B181" s="19"/>
      <x:c r="C181" s="19"/>
      <x:c r="D181" s="19"/>
      <x:c r="E181" s="19"/>
      <x:c r="F181" s="25"/>
      <x:c r="G181" s="25"/>
      <x:c r="H181" s="62"/>
      <x:c r="I181" s="120" t="str">
        <x:f>IF($A181="","",SUMIFS('InventoryTransactions'!$D$2:$D$500,'InventoryTransactions'!$B$2:$B$500,$A181))</x:f>
      </x:c>
      <x:c r="J181" s="19"/>
      <x:c r="K181" s="26"/>
      <x:c r="L181" s="19"/>
      <x:c r="M181" s="26"/>
      <x:c r="N181" s="19"/>
      <x:c r="O181" s="19"/>
    </x:row>
    <x:row r="182">
      <x:c r="A182" s="19"/>
      <x:c r="B182" s="19"/>
      <x:c r="C182" s="19"/>
      <x:c r="D182" s="19"/>
      <x:c r="E182" s="19"/>
      <x:c r="F182" s="25"/>
      <x:c r="G182" s="25"/>
      <x:c r="H182" s="62"/>
      <x:c r="I182" s="120" t="str">
        <x:f>IF($A182="","",SUMIFS('InventoryTransactions'!$D$2:$D$500,'InventoryTransactions'!$B$2:$B$500,$A182))</x:f>
      </x:c>
      <x:c r="J182" s="19"/>
      <x:c r="K182" s="26"/>
      <x:c r="L182" s="19"/>
      <x:c r="M182" s="26"/>
      <x:c r="N182" s="19"/>
      <x:c r="O182" s="19"/>
    </x:row>
    <x:row r="183">
      <x:c r="A183" s="19"/>
      <x:c r="B183" s="19"/>
      <x:c r="C183" s="19"/>
      <x:c r="D183" s="19"/>
      <x:c r="E183" s="19"/>
      <x:c r="F183" s="25"/>
      <x:c r="G183" s="25"/>
      <x:c r="H183" s="62"/>
      <x:c r="I183" s="120" t="str">
        <x:f>IF($A183="","",SUMIFS('InventoryTransactions'!$D$2:$D$500,'InventoryTransactions'!$B$2:$B$500,$A183))</x:f>
      </x:c>
      <x:c r="J183" s="19"/>
      <x:c r="K183" s="26"/>
      <x:c r="L183" s="19"/>
      <x:c r="M183" s="26"/>
      <x:c r="N183" s="19"/>
      <x:c r="O183" s="19"/>
    </x:row>
    <x:row r="184">
      <x:c r="A184" s="19"/>
      <x:c r="B184" s="19"/>
      <x:c r="C184" s="19"/>
      <x:c r="D184" s="19"/>
      <x:c r="E184" s="19"/>
      <x:c r="F184" s="25"/>
      <x:c r="G184" s="25"/>
      <x:c r="H184" s="62"/>
      <x:c r="I184" s="120" t="str">
        <x:f>IF($A184="","",SUMIFS('InventoryTransactions'!$D$2:$D$500,'InventoryTransactions'!$B$2:$B$500,$A184))</x:f>
      </x:c>
      <x:c r="J184" s="19"/>
      <x:c r="K184" s="26"/>
      <x:c r="L184" s="19"/>
      <x:c r="M184" s="26"/>
      <x:c r="N184" s="19"/>
      <x:c r="O184" s="19"/>
    </x:row>
    <x:row r="185">
      <x:c r="A185" s="19"/>
      <x:c r="B185" s="19"/>
      <x:c r="C185" s="19"/>
      <x:c r="D185" s="19"/>
      <x:c r="E185" s="19"/>
      <x:c r="F185" s="25"/>
      <x:c r="G185" s="25"/>
      <x:c r="H185" s="62"/>
      <x:c r="I185" s="120" t="str">
        <x:f>IF($A185="","",SUMIFS('InventoryTransactions'!$D$2:$D$500,'InventoryTransactions'!$B$2:$B$500,$A185))</x:f>
      </x:c>
      <x:c r="J185" s="19"/>
      <x:c r="K185" s="26"/>
      <x:c r="L185" s="19"/>
      <x:c r="M185" s="26"/>
      <x:c r="N185" s="19"/>
      <x:c r="O185" s="19"/>
    </x:row>
    <x:row r="186">
      <x:c r="A186" s="19"/>
      <x:c r="B186" s="19"/>
      <x:c r="C186" s="19"/>
      <x:c r="D186" s="19"/>
      <x:c r="E186" s="19"/>
      <x:c r="F186" s="25"/>
      <x:c r="G186" s="25"/>
      <x:c r="H186" s="62"/>
      <x:c r="I186" s="120" t="str">
        <x:f>IF($A186="","",SUMIFS('InventoryTransactions'!$D$2:$D$500,'InventoryTransactions'!$B$2:$B$500,$A186))</x:f>
      </x:c>
      <x:c r="J186" s="19"/>
      <x:c r="K186" s="26"/>
      <x:c r="L186" s="19"/>
      <x:c r="M186" s="26"/>
      <x:c r="N186" s="19"/>
      <x:c r="O186" s="19"/>
    </x:row>
    <x:row r="187">
      <x:c r="A187" s="19"/>
      <x:c r="B187" s="19"/>
      <x:c r="C187" s="19"/>
      <x:c r="D187" s="19"/>
      <x:c r="E187" s="19"/>
      <x:c r="F187" s="25"/>
      <x:c r="G187" s="25"/>
      <x:c r="H187" s="62"/>
      <x:c r="I187" s="120" t="str">
        <x:f>IF($A187="","",SUMIFS('InventoryTransactions'!$D$2:$D$500,'InventoryTransactions'!$B$2:$B$500,$A187))</x:f>
      </x:c>
      <x:c r="J187" s="19"/>
      <x:c r="K187" s="26"/>
      <x:c r="L187" s="19"/>
      <x:c r="M187" s="26"/>
      <x:c r="N187" s="19"/>
      <x:c r="O187" s="19"/>
    </x:row>
    <x:row r="188">
      <x:c r="A188" s="19"/>
      <x:c r="B188" s="19"/>
      <x:c r="C188" s="19"/>
      <x:c r="D188" s="19"/>
      <x:c r="E188" s="19"/>
      <x:c r="F188" s="25"/>
      <x:c r="G188" s="25"/>
      <x:c r="H188" s="62"/>
      <x:c r="I188" s="120" t="str">
        <x:f>IF($A188="","",SUMIFS('InventoryTransactions'!$D$2:$D$500,'InventoryTransactions'!$B$2:$B$500,$A188))</x:f>
      </x:c>
      <x:c r="J188" s="19"/>
      <x:c r="K188" s="26"/>
      <x:c r="L188" s="19"/>
      <x:c r="M188" s="26"/>
      <x:c r="N188" s="19"/>
      <x:c r="O188" s="19"/>
    </x:row>
    <x:row r="189">
      <x:c r="A189" s="19"/>
      <x:c r="B189" s="19"/>
      <x:c r="C189" s="19"/>
      <x:c r="D189" s="19"/>
      <x:c r="E189" s="19"/>
      <x:c r="F189" s="25"/>
      <x:c r="G189" s="25"/>
      <x:c r="H189" s="62"/>
      <x:c r="I189" s="120" t="str">
        <x:f>IF($A189="","",SUMIFS('InventoryTransactions'!$D$2:$D$500,'InventoryTransactions'!$B$2:$B$500,$A189))</x:f>
      </x:c>
      <x:c r="J189" s="19"/>
      <x:c r="K189" s="26"/>
      <x:c r="L189" s="19"/>
      <x:c r="M189" s="26"/>
      <x:c r="N189" s="19"/>
      <x:c r="O189" s="19"/>
    </x:row>
    <x:row r="190">
      <x:c r="A190" s="19"/>
      <x:c r="B190" s="19"/>
      <x:c r="C190" s="19"/>
      <x:c r="D190" s="19"/>
      <x:c r="E190" s="19"/>
      <x:c r="F190" s="25"/>
      <x:c r="G190" s="25"/>
      <x:c r="H190" s="62"/>
      <x:c r="I190" s="120" t="str">
        <x:f>IF($A190="","",SUMIFS('InventoryTransactions'!$D$2:$D$500,'InventoryTransactions'!$B$2:$B$500,$A190))</x:f>
      </x:c>
      <x:c r="J190" s="19"/>
      <x:c r="K190" s="26"/>
      <x:c r="L190" s="19"/>
      <x:c r="M190" s="26"/>
      <x:c r="N190" s="19"/>
      <x:c r="O190" s="19"/>
    </x:row>
    <x:row r="191">
      <x:c r="A191" s="19"/>
      <x:c r="B191" s="19"/>
      <x:c r="C191" s="19"/>
      <x:c r="D191" s="19"/>
      <x:c r="E191" s="19"/>
      <x:c r="F191" s="25"/>
      <x:c r="G191" s="25"/>
      <x:c r="H191" s="62"/>
      <x:c r="I191" s="120" t="str">
        <x:f>IF($A191="","",SUMIFS('InventoryTransactions'!$D$2:$D$500,'InventoryTransactions'!$B$2:$B$500,$A191))</x:f>
      </x:c>
      <x:c r="J191" s="19"/>
      <x:c r="K191" s="26"/>
      <x:c r="L191" s="19"/>
      <x:c r="M191" s="26"/>
      <x:c r="N191" s="19"/>
      <x:c r="O191" s="19"/>
    </x:row>
    <x:row r="192">
      <x:c r="A192" s="19"/>
      <x:c r="B192" s="19"/>
      <x:c r="C192" s="19"/>
      <x:c r="D192" s="19"/>
      <x:c r="E192" s="19"/>
      <x:c r="F192" s="25"/>
      <x:c r="G192" s="25"/>
      <x:c r="H192" s="62"/>
      <x:c r="I192" s="120" t="str">
        <x:f>IF($A192="","",SUMIFS('InventoryTransactions'!$D$2:$D$500,'InventoryTransactions'!$B$2:$B$500,$A192))</x:f>
      </x:c>
      <x:c r="J192" s="19"/>
      <x:c r="K192" s="26"/>
      <x:c r="L192" s="19"/>
      <x:c r="M192" s="26"/>
      <x:c r="N192" s="19"/>
      <x:c r="O192" s="19"/>
    </x:row>
    <x:row r="193">
      <x:c r="A193" s="19"/>
      <x:c r="B193" s="19"/>
      <x:c r="C193" s="19"/>
      <x:c r="D193" s="19"/>
      <x:c r="E193" s="19"/>
      <x:c r="F193" s="25"/>
      <x:c r="G193" s="25"/>
      <x:c r="H193" s="62"/>
      <x:c r="I193" s="120" t="str">
        <x:f>IF($A193="","",SUMIFS('InventoryTransactions'!$D$2:$D$500,'InventoryTransactions'!$B$2:$B$500,$A193))</x:f>
      </x:c>
      <x:c r="J193" s="19"/>
      <x:c r="K193" s="26"/>
      <x:c r="L193" s="19"/>
      <x:c r="M193" s="26"/>
      <x:c r="N193" s="19"/>
      <x:c r="O193" s="19"/>
    </x:row>
    <x:row r="194">
      <x:c r="A194" s="19"/>
      <x:c r="B194" s="19"/>
      <x:c r="C194" s="19"/>
      <x:c r="D194" s="19"/>
      <x:c r="E194" s="19"/>
      <x:c r="F194" s="25"/>
      <x:c r="G194" s="25"/>
      <x:c r="H194" s="62"/>
      <x:c r="I194" s="120" t="str">
        <x:f>IF($A194="","",SUMIFS('InventoryTransactions'!$D$2:$D$500,'InventoryTransactions'!$B$2:$B$500,$A194))</x:f>
      </x:c>
      <x:c r="J194" s="19"/>
      <x:c r="K194" s="26"/>
      <x:c r="L194" s="19"/>
      <x:c r="M194" s="26"/>
      <x:c r="N194" s="19"/>
      <x:c r="O194" s="19"/>
    </x:row>
    <x:row r="195">
      <x:c r="A195" s="19"/>
      <x:c r="B195" s="19"/>
      <x:c r="C195" s="19"/>
      <x:c r="D195" s="19"/>
      <x:c r="E195" s="19"/>
      <x:c r="F195" s="25"/>
      <x:c r="G195" s="25"/>
      <x:c r="H195" s="62"/>
      <x:c r="I195" s="120" t="str">
        <x:f>IF($A195="","",SUMIFS('InventoryTransactions'!$D$2:$D$500,'InventoryTransactions'!$B$2:$B$500,$A195))</x:f>
      </x:c>
      <x:c r="J195" s="19"/>
      <x:c r="K195" s="26"/>
      <x:c r="L195" s="19"/>
      <x:c r="M195" s="26"/>
      <x:c r="N195" s="19"/>
      <x:c r="O195" s="19"/>
    </x:row>
    <x:row r="196">
      <x:c r="A196" s="19"/>
      <x:c r="B196" s="19"/>
      <x:c r="C196" s="19"/>
      <x:c r="D196" s="19"/>
      <x:c r="E196" s="19"/>
      <x:c r="F196" s="25"/>
      <x:c r="G196" s="25"/>
      <x:c r="H196" s="62"/>
      <x:c r="I196" s="120" t="str">
        <x:f>IF($A196="","",SUMIFS('InventoryTransactions'!$D$2:$D$500,'InventoryTransactions'!$B$2:$B$500,$A196))</x:f>
      </x:c>
      <x:c r="J196" s="19"/>
      <x:c r="K196" s="26"/>
      <x:c r="L196" s="19"/>
      <x:c r="M196" s="26"/>
      <x:c r="N196" s="19"/>
      <x:c r="O196" s="19"/>
    </x:row>
    <x:row r="197">
      <x:c r="A197" s="19"/>
      <x:c r="B197" s="19"/>
      <x:c r="C197" s="19"/>
      <x:c r="D197" s="19"/>
      <x:c r="E197" s="19"/>
      <x:c r="F197" s="25"/>
      <x:c r="G197" s="25"/>
      <x:c r="H197" s="62"/>
      <x:c r="I197" s="120" t="str">
        <x:f>IF($A197="","",SUMIFS('InventoryTransactions'!$D$2:$D$500,'InventoryTransactions'!$B$2:$B$500,$A197))</x:f>
      </x:c>
      <x:c r="J197" s="19"/>
      <x:c r="K197" s="26"/>
      <x:c r="L197" s="19"/>
      <x:c r="M197" s="26"/>
      <x:c r="N197" s="19"/>
      <x:c r="O197" s="19"/>
    </x:row>
    <x:row r="198">
      <x:c r="A198" s="19"/>
      <x:c r="B198" s="19"/>
      <x:c r="C198" s="19"/>
      <x:c r="D198" s="19"/>
      <x:c r="E198" s="19"/>
      <x:c r="F198" s="25"/>
      <x:c r="G198" s="25"/>
      <x:c r="H198" s="62"/>
      <x:c r="I198" s="120" t="str">
        <x:f>IF($A198="","",SUMIFS('InventoryTransactions'!$D$2:$D$500,'InventoryTransactions'!$B$2:$B$500,$A198))</x:f>
      </x:c>
      <x:c r="J198" s="19"/>
      <x:c r="K198" s="26"/>
      <x:c r="L198" s="19"/>
      <x:c r="M198" s="26"/>
      <x:c r="N198" s="19"/>
      <x:c r="O198" s="19"/>
    </x:row>
    <x:row r="199">
      <x:c r="A199" s="19"/>
      <x:c r="B199" s="19"/>
      <x:c r="C199" s="19"/>
      <x:c r="D199" s="19"/>
      <x:c r="E199" s="19"/>
      <x:c r="F199" s="25"/>
      <x:c r="G199" s="25"/>
      <x:c r="H199" s="62"/>
      <x:c r="I199" s="120" t="str">
        <x:f>IF($A199="","",SUMIFS('InventoryTransactions'!$D$2:$D$500,'InventoryTransactions'!$B$2:$B$500,$A199))</x:f>
      </x:c>
      <x:c r="J199" s="19"/>
      <x:c r="K199" s="26"/>
      <x:c r="L199" s="19"/>
      <x:c r="M199" s="26"/>
      <x:c r="N199" s="19"/>
      <x:c r="O199" s="19"/>
    </x:row>
    <x:row r="200">
      <x:c r="A200" s="19"/>
      <x:c r="B200" s="19"/>
      <x:c r="C200" s="19"/>
      <x:c r="D200" s="19"/>
      <x:c r="E200" s="19"/>
      <x:c r="F200" s="25"/>
      <x:c r="G200" s="25"/>
      <x:c r="H200" s="62"/>
      <x:c r="I200" s="120" t="str">
        <x:f>IF($A200="","",SUMIFS('InventoryTransactions'!$D$2:$D$500,'InventoryTransactions'!$B$2:$B$500,$A200))</x:f>
      </x:c>
      <x:c r="J200" s="19"/>
      <x:c r="K200" s="26"/>
      <x:c r="L200" s="19"/>
      <x:c r="M200" s="26"/>
      <x:c r="N200" s="19"/>
      <x:c r="O200" s="19"/>
    </x:row>
    <x:row r="201">
      <x:c r="A201" s="19"/>
      <x:c r="B201" s="19"/>
      <x:c r="C201" s="19"/>
      <x:c r="D201" s="19"/>
      <x:c r="E201" s="19"/>
      <x:c r="F201" s="25"/>
      <x:c r="G201" s="25"/>
      <x:c r="H201" s="62"/>
      <x:c r="I201" s="120" t="str">
        <x:f>IF($A201="","",SUMIFS('InventoryTransactions'!$D$2:$D$500,'InventoryTransactions'!$B$2:$B$500,$A201))</x:f>
      </x:c>
      <x:c r="J201" s="19"/>
      <x:c r="K201" s="26"/>
      <x:c r="L201" s="19"/>
      <x:c r="M201" s="26"/>
      <x:c r="N201" s="19"/>
      <x:c r="O201" s="19"/>
    </x:row>
    <x:row r="202">
      <x:c r="A202" s="19"/>
      <x:c r="B202" s="19"/>
      <x:c r="C202" s="19"/>
      <x:c r="D202" s="19"/>
      <x:c r="E202" s="19"/>
      <x:c r="F202" s="25"/>
      <x:c r="G202" s="25"/>
      <x:c r="H202" s="62"/>
      <x:c r="I202" s="120" t="str">
        <x:f>IF($A202="","",SUMIFS('InventoryTransactions'!$D$2:$D$500,'InventoryTransactions'!$B$2:$B$500,$A202))</x:f>
      </x:c>
      <x:c r="J202" s="19"/>
      <x:c r="K202" s="26"/>
      <x:c r="L202" s="19"/>
      <x:c r="M202" s="26"/>
      <x:c r="N202" s="19"/>
      <x:c r="O202" s="19"/>
    </x:row>
    <x:row r="203">
      <x:c r="A203" s="19"/>
      <x:c r="B203" s="19"/>
      <x:c r="C203" s="19"/>
      <x:c r="D203" s="19"/>
      <x:c r="E203" s="19"/>
      <x:c r="F203" s="25"/>
      <x:c r="G203" s="25"/>
      <x:c r="H203" s="62"/>
      <x:c r="I203" s="120" t="str">
        <x:f>IF($A203="","",SUMIFS('InventoryTransactions'!$D$2:$D$500,'InventoryTransactions'!$B$2:$B$500,$A203))</x:f>
      </x:c>
      <x:c r="J203" s="19"/>
      <x:c r="K203" s="26"/>
      <x:c r="L203" s="19"/>
      <x:c r="M203" s="26"/>
      <x:c r="N203" s="19"/>
      <x:c r="O203" s="19"/>
    </x:row>
    <x:row r="204">
      <x:c r="A204" s="19"/>
      <x:c r="B204" s="19"/>
      <x:c r="C204" s="19"/>
      <x:c r="D204" s="19"/>
      <x:c r="E204" s="19"/>
      <x:c r="F204" s="25"/>
      <x:c r="G204" s="25"/>
      <x:c r="H204" s="62"/>
      <x:c r="I204" s="120" t="str">
        <x:f>IF($A204="","",SUMIFS('InventoryTransactions'!$D$2:$D$500,'InventoryTransactions'!$B$2:$B$500,$A204))</x:f>
      </x:c>
      <x:c r="J204" s="19"/>
      <x:c r="K204" s="26"/>
      <x:c r="L204" s="19"/>
      <x:c r="M204" s="26"/>
      <x:c r="N204" s="19"/>
      <x:c r="O204" s="19"/>
    </x:row>
    <x:row r="205">
      <x:c r="A205" s="19"/>
      <x:c r="B205" s="19"/>
      <x:c r="C205" s="19"/>
      <x:c r="D205" s="19"/>
      <x:c r="E205" s="19"/>
      <x:c r="F205" s="25"/>
      <x:c r="G205" s="25"/>
      <x:c r="H205" s="62"/>
      <x:c r="I205" s="120" t="str">
        <x:f>IF($A205="","",SUMIFS('InventoryTransactions'!$D$2:$D$500,'InventoryTransactions'!$B$2:$B$500,$A205))</x:f>
      </x:c>
      <x:c r="J205" s="19"/>
      <x:c r="K205" s="26"/>
      <x:c r="L205" s="19"/>
      <x:c r="M205" s="26"/>
      <x:c r="N205" s="19"/>
      <x:c r="O205" s="19"/>
    </x:row>
    <x:row r="206">
      <x:c r="A206" s="19"/>
      <x:c r="B206" s="19"/>
      <x:c r="C206" s="19"/>
      <x:c r="D206" s="19"/>
      <x:c r="E206" s="19"/>
      <x:c r="F206" s="25"/>
      <x:c r="G206" s="25"/>
      <x:c r="H206" s="62"/>
      <x:c r="I206" s="120" t="str">
        <x:f>IF($A206="","",SUMIFS('InventoryTransactions'!$D$2:$D$500,'InventoryTransactions'!$B$2:$B$500,$A206))</x:f>
      </x:c>
      <x:c r="J206" s="19"/>
      <x:c r="K206" s="26"/>
      <x:c r="L206" s="19"/>
      <x:c r="M206" s="26"/>
      <x:c r="N206" s="19"/>
      <x:c r="O206" s="19"/>
    </x:row>
    <x:row r="207">
      <x:c r="A207" s="19"/>
      <x:c r="B207" s="19"/>
      <x:c r="C207" s="19"/>
      <x:c r="D207" s="19"/>
      <x:c r="E207" s="19"/>
      <x:c r="F207" s="25"/>
      <x:c r="G207" s="25"/>
      <x:c r="H207" s="62"/>
      <x:c r="I207" s="120" t="str">
        <x:f>IF($A207="","",SUMIFS('InventoryTransactions'!$D$2:$D$500,'InventoryTransactions'!$B$2:$B$500,$A207))</x:f>
      </x:c>
      <x:c r="J207" s="19"/>
      <x:c r="K207" s="26"/>
      <x:c r="L207" s="19"/>
      <x:c r="M207" s="26"/>
      <x:c r="N207" s="19"/>
      <x:c r="O207" s="19"/>
    </x:row>
    <x:row r="208">
      <x:c r="A208" s="19"/>
      <x:c r="B208" s="19"/>
      <x:c r="C208" s="19"/>
      <x:c r="D208" s="19"/>
      <x:c r="E208" s="19"/>
      <x:c r="F208" s="25"/>
      <x:c r="G208" s="25"/>
      <x:c r="H208" s="62"/>
      <x:c r="I208" s="120" t="str">
        <x:f>IF($A208="","",SUMIFS('InventoryTransactions'!$D$2:$D$500,'InventoryTransactions'!$B$2:$B$500,$A208))</x:f>
      </x:c>
      <x:c r="J208" s="19"/>
      <x:c r="K208" s="26"/>
      <x:c r="L208" s="19"/>
      <x:c r="M208" s="26"/>
      <x:c r="N208" s="19"/>
      <x:c r="O208" s="19"/>
    </x:row>
    <x:row r="209">
      <x:c r="A209" s="19"/>
      <x:c r="B209" s="19"/>
      <x:c r="C209" s="19"/>
      <x:c r="D209" s="19"/>
      <x:c r="E209" s="19"/>
      <x:c r="F209" s="25"/>
      <x:c r="G209" s="25"/>
      <x:c r="H209" s="62"/>
      <x:c r="I209" s="120" t="str">
        <x:f>IF($A209="","",SUMIFS('InventoryTransactions'!$D$2:$D$500,'InventoryTransactions'!$B$2:$B$500,$A209))</x:f>
      </x:c>
      <x:c r="J209" s="19"/>
      <x:c r="K209" s="26"/>
      <x:c r="L209" s="19"/>
      <x:c r="M209" s="26"/>
      <x:c r="N209" s="19"/>
      <x:c r="O209" s="19"/>
    </x:row>
    <x:row r="210">
      <x:c r="A210" s="19"/>
      <x:c r="B210" s="19"/>
      <x:c r="C210" s="19"/>
      <x:c r="D210" s="19"/>
      <x:c r="E210" s="19"/>
      <x:c r="F210" s="25"/>
      <x:c r="G210" s="25"/>
      <x:c r="H210" s="62"/>
      <x:c r="I210" s="120" t="str">
        <x:f>IF($A210="","",SUMIFS('InventoryTransactions'!$D$2:$D$500,'InventoryTransactions'!$B$2:$B$500,$A210))</x:f>
      </x:c>
      <x:c r="J210" s="19"/>
      <x:c r="K210" s="26"/>
      <x:c r="L210" s="19"/>
      <x:c r="M210" s="26"/>
      <x:c r="N210" s="19"/>
      <x:c r="O210" s="19"/>
    </x:row>
    <x:row r="211">
      <x:c r="A211" s="19"/>
      <x:c r="B211" s="19"/>
      <x:c r="C211" s="19"/>
      <x:c r="D211" s="19"/>
      <x:c r="E211" s="19"/>
      <x:c r="F211" s="25"/>
      <x:c r="G211" s="25"/>
      <x:c r="H211" s="62"/>
      <x:c r="I211" s="120" t="str">
        <x:f>IF($A211="","",SUMIFS('InventoryTransactions'!$D$2:$D$500,'InventoryTransactions'!$B$2:$B$500,$A211))</x:f>
      </x:c>
      <x:c r="J211" s="19"/>
      <x:c r="K211" s="26"/>
      <x:c r="L211" s="19"/>
      <x:c r="M211" s="26"/>
      <x:c r="N211" s="19"/>
      <x:c r="O211" s="19"/>
    </x:row>
    <x:row r="212">
      <x:c r="A212" s="19"/>
      <x:c r="B212" s="19"/>
      <x:c r="C212" s="19"/>
      <x:c r="D212" s="19"/>
      <x:c r="E212" s="19"/>
      <x:c r="F212" s="25"/>
      <x:c r="G212" s="25"/>
      <x:c r="H212" s="62"/>
      <x:c r="I212" s="120" t="str">
        <x:f>IF($A212="","",SUMIFS('InventoryTransactions'!$D$2:$D$500,'InventoryTransactions'!$B$2:$B$500,$A212))</x:f>
      </x:c>
      <x:c r="J212" s="19"/>
      <x:c r="K212" s="26"/>
      <x:c r="L212" s="19"/>
      <x:c r="M212" s="26"/>
      <x:c r="N212" s="19"/>
      <x:c r="O212" s="19"/>
    </x:row>
    <x:row r="213">
      <x:c r="A213" s="19"/>
      <x:c r="B213" s="19"/>
      <x:c r="C213" s="19"/>
      <x:c r="D213" s="19"/>
      <x:c r="E213" s="19"/>
      <x:c r="F213" s="25"/>
      <x:c r="G213" s="25"/>
      <x:c r="H213" s="62"/>
      <x:c r="I213" s="120" t="str">
        <x:f>IF($A213="","",SUMIFS('InventoryTransactions'!$D$2:$D$500,'InventoryTransactions'!$B$2:$B$500,$A213))</x:f>
      </x:c>
      <x:c r="J213" s="19"/>
      <x:c r="K213" s="26"/>
      <x:c r="L213" s="19"/>
      <x:c r="M213" s="26"/>
      <x:c r="N213" s="19"/>
      <x:c r="O213" s="19"/>
    </x:row>
    <x:row r="214">
      <x:c r="A214" s="19"/>
      <x:c r="B214" s="19"/>
      <x:c r="C214" s="19"/>
      <x:c r="D214" s="19"/>
      <x:c r="E214" s="19"/>
      <x:c r="F214" s="25"/>
      <x:c r="G214" s="25"/>
      <x:c r="H214" s="62"/>
      <x:c r="I214" s="120" t="str">
        <x:f>IF($A214="","",SUMIFS('InventoryTransactions'!$D$2:$D$500,'InventoryTransactions'!$B$2:$B$500,$A214))</x:f>
      </x:c>
      <x:c r="J214" s="19"/>
      <x:c r="K214" s="26"/>
      <x:c r="L214" s="19"/>
      <x:c r="M214" s="26"/>
      <x:c r="N214" s="19"/>
      <x:c r="O214" s="19"/>
    </x:row>
    <x:row r="215">
      <x:c r="A215" s="19"/>
      <x:c r="B215" s="19"/>
      <x:c r="C215" s="19"/>
      <x:c r="D215" s="19"/>
      <x:c r="E215" s="19"/>
      <x:c r="F215" s="25"/>
      <x:c r="G215" s="25"/>
      <x:c r="H215" s="62"/>
      <x:c r="I215" s="120" t="str">
        <x:f>IF($A215="","",SUMIFS('InventoryTransactions'!$D$2:$D$500,'InventoryTransactions'!$B$2:$B$500,$A215))</x:f>
      </x:c>
      <x:c r="J215" s="19"/>
      <x:c r="K215" s="26"/>
      <x:c r="L215" s="19"/>
      <x:c r="M215" s="26"/>
      <x:c r="N215" s="19"/>
      <x:c r="O215" s="19"/>
    </x:row>
    <x:row r="216">
      <x:c r="A216" s="19"/>
      <x:c r="B216" s="19"/>
      <x:c r="C216" s="19"/>
      <x:c r="D216" s="19"/>
      <x:c r="E216" s="19"/>
      <x:c r="F216" s="25"/>
      <x:c r="G216" s="25"/>
      <x:c r="H216" s="62"/>
      <x:c r="I216" s="120" t="str">
        <x:f>IF($A216="","",SUMIFS('InventoryTransactions'!$D$2:$D$500,'InventoryTransactions'!$B$2:$B$500,$A216))</x:f>
      </x:c>
      <x:c r="J216" s="19"/>
      <x:c r="K216" s="26"/>
      <x:c r="L216" s="19"/>
      <x:c r="M216" s="26"/>
      <x:c r="N216" s="19"/>
      <x:c r="O216" s="19"/>
    </x:row>
    <x:row r="217">
      <x:c r="A217" s="19"/>
      <x:c r="B217" s="19"/>
      <x:c r="C217" s="19"/>
      <x:c r="D217" s="19"/>
      <x:c r="E217" s="19"/>
      <x:c r="F217" s="25"/>
      <x:c r="G217" s="25"/>
      <x:c r="H217" s="62"/>
      <x:c r="I217" s="120" t="str">
        <x:f>IF($A217="","",SUMIFS('InventoryTransactions'!$D$2:$D$500,'InventoryTransactions'!$B$2:$B$500,$A217))</x:f>
      </x:c>
      <x:c r="J217" s="19"/>
      <x:c r="K217" s="26"/>
      <x:c r="L217" s="19"/>
      <x:c r="M217" s="26"/>
      <x:c r="N217" s="19"/>
      <x:c r="O217" s="19"/>
    </x:row>
    <x:row r="218">
      <x:c r="A218" s="19"/>
      <x:c r="B218" s="19"/>
      <x:c r="C218" s="19"/>
      <x:c r="D218" s="19"/>
      <x:c r="E218" s="19"/>
      <x:c r="F218" s="25"/>
      <x:c r="G218" s="25"/>
      <x:c r="H218" s="62"/>
      <x:c r="I218" s="120" t="str">
        <x:f>IF($A218="","",SUMIFS('InventoryTransactions'!$D$2:$D$500,'InventoryTransactions'!$B$2:$B$500,$A218))</x:f>
      </x:c>
      <x:c r="J218" s="19"/>
      <x:c r="K218" s="26"/>
      <x:c r="L218" s="19"/>
      <x:c r="M218" s="26"/>
      <x:c r="N218" s="19"/>
      <x:c r="O218" s="19"/>
    </x:row>
    <x:row r="219">
      <x:c r="A219" s="19"/>
      <x:c r="B219" s="19"/>
      <x:c r="C219" s="19"/>
      <x:c r="D219" s="19"/>
      <x:c r="E219" s="19"/>
      <x:c r="F219" s="25"/>
      <x:c r="G219" s="25"/>
      <x:c r="H219" s="62"/>
      <x:c r="I219" s="120" t="str">
        <x:f>IF($A219="","",SUMIFS('InventoryTransactions'!$D$2:$D$500,'InventoryTransactions'!$B$2:$B$500,$A219))</x:f>
      </x:c>
      <x:c r="J219" s="19"/>
      <x:c r="K219" s="26"/>
      <x:c r="L219" s="19"/>
      <x:c r="M219" s="26"/>
      <x:c r="N219" s="19"/>
      <x:c r="O219" s="19"/>
    </x:row>
    <x:row r="220">
      <x:c r="A220" s="19"/>
      <x:c r="B220" s="19"/>
      <x:c r="C220" s="19"/>
      <x:c r="D220" s="19"/>
      <x:c r="E220" s="19"/>
      <x:c r="F220" s="25"/>
      <x:c r="G220" s="25"/>
      <x:c r="H220" s="62"/>
      <x:c r="I220" s="120" t="str">
        <x:f>IF($A220="","",SUMIFS('InventoryTransactions'!$D$2:$D$500,'InventoryTransactions'!$B$2:$B$500,$A220))</x:f>
      </x:c>
      <x:c r="J220" s="19"/>
      <x:c r="K220" s="26"/>
      <x:c r="L220" s="19"/>
      <x:c r="M220" s="26"/>
      <x:c r="N220" s="19"/>
      <x:c r="O220" s="19"/>
    </x:row>
    <x:row r="221">
      <x:c r="A221" s="19"/>
      <x:c r="B221" s="19"/>
      <x:c r="C221" s="19"/>
      <x:c r="D221" s="19"/>
      <x:c r="E221" s="19"/>
      <x:c r="F221" s="25"/>
      <x:c r="G221" s="25"/>
      <x:c r="H221" s="62"/>
      <x:c r="I221" s="120" t="str">
        <x:f>IF($A221="","",SUMIFS('InventoryTransactions'!$D$2:$D$500,'InventoryTransactions'!$B$2:$B$500,$A221))</x:f>
      </x:c>
      <x:c r="J221" s="19"/>
      <x:c r="K221" s="26"/>
      <x:c r="L221" s="19"/>
      <x:c r="M221" s="26"/>
      <x:c r="N221" s="19"/>
      <x:c r="O221" s="19"/>
    </x:row>
    <x:row r="222">
      <x:c r="A222" s="19"/>
      <x:c r="B222" s="19"/>
      <x:c r="C222" s="19"/>
      <x:c r="D222" s="19"/>
      <x:c r="E222" s="19"/>
      <x:c r="F222" s="25"/>
      <x:c r="G222" s="25"/>
      <x:c r="H222" s="62"/>
      <x:c r="I222" s="120" t="str">
        <x:f>IF($A222="","",SUMIFS('InventoryTransactions'!$D$2:$D$500,'InventoryTransactions'!$B$2:$B$500,$A222))</x:f>
      </x:c>
      <x:c r="J222" s="19"/>
      <x:c r="K222" s="26"/>
      <x:c r="L222" s="19"/>
      <x:c r="M222" s="26"/>
      <x:c r="N222" s="19"/>
      <x:c r="O222" s="19"/>
    </x:row>
    <x:row r="223">
      <x:c r="A223" s="19"/>
      <x:c r="B223" s="19"/>
      <x:c r="C223" s="19"/>
      <x:c r="D223" s="19"/>
      <x:c r="E223" s="19"/>
      <x:c r="F223" s="25"/>
      <x:c r="G223" s="25"/>
      <x:c r="H223" s="62"/>
      <x:c r="I223" s="120" t="str">
        <x:f>IF($A223="","",SUMIFS('InventoryTransactions'!$D$2:$D$500,'InventoryTransactions'!$B$2:$B$500,$A223))</x:f>
      </x:c>
      <x:c r="J223" s="19"/>
      <x:c r="K223" s="26"/>
      <x:c r="L223" s="19"/>
      <x:c r="M223" s="26"/>
      <x:c r="N223" s="19"/>
      <x:c r="O223" s="19"/>
    </x:row>
    <x:row r="224">
      <x:c r="A224" s="19"/>
      <x:c r="B224" s="19"/>
      <x:c r="C224" s="19"/>
      <x:c r="D224" s="19"/>
      <x:c r="E224" s="19"/>
      <x:c r="F224" s="25"/>
      <x:c r="G224" s="25"/>
      <x:c r="H224" s="62"/>
      <x:c r="I224" s="120" t="str">
        <x:f>IF($A224="","",SUMIFS('InventoryTransactions'!$D$2:$D$500,'InventoryTransactions'!$B$2:$B$500,$A224))</x:f>
      </x:c>
      <x:c r="J224" s="19"/>
      <x:c r="K224" s="26"/>
      <x:c r="L224" s="19"/>
      <x:c r="M224" s="26"/>
      <x:c r="N224" s="19"/>
      <x:c r="O224" s="19"/>
    </x:row>
    <x:row r="225">
      <x:c r="A225" s="19"/>
      <x:c r="B225" s="19"/>
      <x:c r="C225" s="19"/>
      <x:c r="D225" s="19"/>
      <x:c r="E225" s="19"/>
      <x:c r="F225" s="25"/>
      <x:c r="G225" s="25"/>
      <x:c r="H225" s="62"/>
      <x:c r="I225" s="120" t="str">
        <x:f>IF($A225="","",SUMIFS('InventoryTransactions'!$D$2:$D$500,'InventoryTransactions'!$B$2:$B$500,$A225))</x:f>
      </x:c>
      <x:c r="J225" s="19"/>
      <x:c r="K225" s="26"/>
      <x:c r="L225" s="19"/>
      <x:c r="M225" s="26"/>
      <x:c r="N225" s="19"/>
      <x:c r="O225" s="19"/>
    </x:row>
    <x:row r="226">
      <x:c r="A226" s="19"/>
      <x:c r="B226" s="19"/>
      <x:c r="C226" s="19"/>
      <x:c r="D226" s="19"/>
      <x:c r="E226" s="19"/>
      <x:c r="F226" s="25"/>
      <x:c r="G226" s="25"/>
      <x:c r="H226" s="62"/>
      <x:c r="I226" s="120" t="str">
        <x:f>IF($A226="","",SUMIFS('InventoryTransactions'!$D$2:$D$500,'InventoryTransactions'!$B$2:$B$500,$A226))</x:f>
      </x:c>
      <x:c r="J226" s="19"/>
      <x:c r="K226" s="26"/>
      <x:c r="L226" s="19"/>
      <x:c r="M226" s="26"/>
      <x:c r="N226" s="19"/>
      <x:c r="O226" s="19"/>
    </x:row>
    <x:row r="227">
      <x:c r="A227" s="19"/>
      <x:c r="B227" s="19"/>
      <x:c r="C227" s="19"/>
      <x:c r="D227" s="19"/>
      <x:c r="E227" s="19"/>
      <x:c r="F227" s="25"/>
      <x:c r="G227" s="25"/>
      <x:c r="H227" s="62"/>
      <x:c r="I227" s="120" t="str">
        <x:f>IF($A227="","",SUMIFS('InventoryTransactions'!$D$2:$D$500,'InventoryTransactions'!$B$2:$B$500,$A227))</x:f>
      </x:c>
      <x:c r="J227" s="19"/>
      <x:c r="K227" s="26"/>
      <x:c r="L227" s="19"/>
      <x:c r="M227" s="26"/>
      <x:c r="N227" s="19"/>
      <x:c r="O227" s="19"/>
    </x:row>
    <x:row r="228">
      <x:c r="A228" s="19"/>
      <x:c r="B228" s="19"/>
      <x:c r="C228" s="19"/>
      <x:c r="D228" s="19"/>
      <x:c r="E228" s="19"/>
      <x:c r="F228" s="25"/>
      <x:c r="G228" s="25"/>
      <x:c r="H228" s="62"/>
      <x:c r="I228" s="120" t="str">
        <x:f>IF($A228="","",SUMIFS('InventoryTransactions'!$D$2:$D$500,'InventoryTransactions'!$B$2:$B$500,$A228))</x:f>
      </x:c>
      <x:c r="J228" s="19"/>
      <x:c r="K228" s="26"/>
      <x:c r="L228" s="19"/>
      <x:c r="M228" s="26"/>
      <x:c r="N228" s="19"/>
      <x:c r="O228" s="19"/>
    </x:row>
    <x:row r="229">
      <x:c r="A229" s="19"/>
      <x:c r="B229" s="19"/>
      <x:c r="C229" s="19"/>
      <x:c r="D229" s="19"/>
      <x:c r="E229" s="19"/>
      <x:c r="F229" s="25"/>
      <x:c r="G229" s="25"/>
      <x:c r="H229" s="62"/>
      <x:c r="I229" s="120" t="str">
        <x:f>IF($A229="","",SUMIFS('InventoryTransactions'!$D$2:$D$500,'InventoryTransactions'!$B$2:$B$500,$A229))</x:f>
      </x:c>
      <x:c r="J229" s="19"/>
      <x:c r="K229" s="26"/>
      <x:c r="L229" s="19"/>
      <x:c r="M229" s="26"/>
      <x:c r="N229" s="19"/>
      <x:c r="O229" s="19"/>
    </x:row>
    <x:row r="230">
      <x:c r="A230" s="19"/>
      <x:c r="B230" s="19"/>
      <x:c r="C230" s="19"/>
      <x:c r="D230" s="19"/>
      <x:c r="E230" s="19"/>
      <x:c r="F230" s="25"/>
      <x:c r="G230" s="25"/>
      <x:c r="H230" s="62"/>
      <x:c r="I230" s="120" t="str">
        <x:f>IF($A230="","",SUMIFS('InventoryTransactions'!$D$2:$D$500,'InventoryTransactions'!$B$2:$B$500,$A230))</x:f>
      </x:c>
      <x:c r="J230" s="19"/>
      <x:c r="K230" s="26"/>
      <x:c r="L230" s="19"/>
      <x:c r="M230" s="26"/>
      <x:c r="N230" s="19"/>
      <x:c r="O230" s="19"/>
    </x:row>
    <x:row r="231">
      <x:c r="A231" s="19"/>
      <x:c r="B231" s="19"/>
      <x:c r="C231" s="19"/>
      <x:c r="D231" s="19"/>
      <x:c r="E231" s="19"/>
      <x:c r="F231" s="25"/>
      <x:c r="G231" s="25"/>
      <x:c r="H231" s="62"/>
      <x:c r="I231" s="120" t="str">
        <x:f>IF($A231="","",SUMIFS('InventoryTransactions'!$D$2:$D$500,'InventoryTransactions'!$B$2:$B$500,$A231))</x:f>
      </x:c>
      <x:c r="J231" s="19"/>
      <x:c r="K231" s="26"/>
      <x:c r="L231" s="19"/>
      <x:c r="M231" s="26"/>
      <x:c r="N231" s="19"/>
      <x:c r="O231" s="19"/>
    </x:row>
    <x:row r="232">
      <x:c r="A232" s="19"/>
      <x:c r="B232" s="19"/>
      <x:c r="C232" s="19"/>
      <x:c r="D232" s="19"/>
      <x:c r="E232" s="19"/>
      <x:c r="F232" s="25"/>
      <x:c r="G232" s="25"/>
      <x:c r="H232" s="62"/>
      <x:c r="I232" s="120" t="str">
        <x:f>IF($A232="","",SUMIFS('InventoryTransactions'!$D$2:$D$500,'InventoryTransactions'!$B$2:$B$500,$A232))</x:f>
      </x:c>
      <x:c r="J232" s="19"/>
      <x:c r="K232" s="26"/>
      <x:c r="L232" s="19"/>
      <x:c r="M232" s="26"/>
      <x:c r="N232" s="19"/>
      <x:c r="O232" s="19"/>
    </x:row>
    <x:row r="233">
      <x:c r="A233" s="19"/>
      <x:c r="B233" s="19"/>
      <x:c r="C233" s="19"/>
      <x:c r="D233" s="19"/>
      <x:c r="E233" s="19"/>
      <x:c r="F233" s="25"/>
      <x:c r="G233" s="25"/>
      <x:c r="H233" s="62"/>
      <x:c r="I233" s="120" t="str">
        <x:f>IF($A233="","",SUMIFS('InventoryTransactions'!$D$2:$D$500,'InventoryTransactions'!$B$2:$B$500,$A233))</x:f>
      </x:c>
      <x:c r="J233" s="19"/>
      <x:c r="K233" s="26"/>
      <x:c r="L233" s="19"/>
      <x:c r="M233" s="26"/>
      <x:c r="N233" s="19"/>
      <x:c r="O233" s="19"/>
    </x:row>
    <x:row r="234">
      <x:c r="A234" s="19"/>
      <x:c r="B234" s="19"/>
      <x:c r="C234" s="19"/>
      <x:c r="D234" s="19"/>
      <x:c r="E234" s="19"/>
      <x:c r="F234" s="25"/>
      <x:c r="G234" s="25"/>
      <x:c r="H234" s="62"/>
      <x:c r="I234" s="120" t="str">
        <x:f>IF($A234="","",SUMIFS('InventoryTransactions'!$D$2:$D$500,'InventoryTransactions'!$B$2:$B$500,$A234))</x:f>
      </x:c>
      <x:c r="J234" s="19"/>
      <x:c r="K234" s="26"/>
      <x:c r="L234" s="19"/>
      <x:c r="M234" s="26"/>
      <x:c r="N234" s="19"/>
      <x:c r="O234" s="19"/>
    </x:row>
    <x:row r="235">
      <x:c r="A235" s="19"/>
      <x:c r="B235" s="19"/>
      <x:c r="C235" s="19"/>
      <x:c r="D235" s="19"/>
      <x:c r="E235" s="19"/>
      <x:c r="F235" s="25"/>
      <x:c r="G235" s="25"/>
      <x:c r="H235" s="62"/>
      <x:c r="I235" s="120" t="str">
        <x:f>IF($A235="","",SUMIFS('InventoryTransactions'!$D$2:$D$500,'InventoryTransactions'!$B$2:$B$500,$A235))</x:f>
      </x:c>
      <x:c r="J235" s="19"/>
      <x:c r="K235" s="26"/>
      <x:c r="L235" s="19"/>
      <x:c r="M235" s="26"/>
      <x:c r="N235" s="19"/>
      <x:c r="O235" s="19"/>
    </x:row>
    <x:row r="236">
      <x:c r="A236" s="19"/>
      <x:c r="B236" s="19"/>
      <x:c r="C236" s="19"/>
      <x:c r="D236" s="19"/>
      <x:c r="E236" s="19"/>
      <x:c r="F236" s="25"/>
      <x:c r="G236" s="25"/>
      <x:c r="H236" s="62"/>
      <x:c r="I236" s="120" t="str">
        <x:f>IF($A236="","",SUMIFS('InventoryTransactions'!$D$2:$D$500,'InventoryTransactions'!$B$2:$B$500,$A236))</x:f>
      </x:c>
      <x:c r="J236" s="19"/>
      <x:c r="K236" s="26"/>
      <x:c r="L236" s="19"/>
      <x:c r="M236" s="26"/>
      <x:c r="N236" s="19"/>
      <x:c r="O236" s="19"/>
    </x:row>
    <x:row r="237">
      <x:c r="A237" s="19"/>
      <x:c r="B237" s="19"/>
      <x:c r="C237" s="19"/>
      <x:c r="D237" s="19"/>
      <x:c r="E237" s="19"/>
      <x:c r="F237" s="25"/>
      <x:c r="G237" s="25"/>
      <x:c r="H237" s="62"/>
      <x:c r="I237" s="120" t="str">
        <x:f>IF($A237="","",SUMIFS('InventoryTransactions'!$D$2:$D$500,'InventoryTransactions'!$B$2:$B$500,$A237))</x:f>
      </x:c>
      <x:c r="J237" s="19"/>
      <x:c r="K237" s="26"/>
      <x:c r="L237" s="19"/>
      <x:c r="M237" s="26"/>
      <x:c r="N237" s="19"/>
      <x:c r="O237" s="19"/>
    </x:row>
    <x:row r="238">
      <x:c r="A238" s="19"/>
      <x:c r="B238" s="19"/>
      <x:c r="C238" s="19"/>
      <x:c r="D238" s="19"/>
      <x:c r="E238" s="19"/>
      <x:c r="F238" s="25"/>
      <x:c r="G238" s="25"/>
      <x:c r="H238" s="62"/>
      <x:c r="I238" s="120" t="str">
        <x:f>IF($A238="","",SUMIFS('InventoryTransactions'!$D$2:$D$500,'InventoryTransactions'!$B$2:$B$500,$A238))</x:f>
      </x:c>
      <x:c r="J238" s="19"/>
      <x:c r="K238" s="26"/>
      <x:c r="L238" s="19"/>
      <x:c r="M238" s="26"/>
      <x:c r="N238" s="19"/>
      <x:c r="O238" s="19"/>
    </x:row>
    <x:row r="239">
      <x:c r="A239" s="19"/>
      <x:c r="B239" s="19"/>
      <x:c r="C239" s="19"/>
      <x:c r="D239" s="19"/>
      <x:c r="E239" s="19"/>
      <x:c r="F239" s="25"/>
      <x:c r="G239" s="25"/>
      <x:c r="H239" s="62"/>
      <x:c r="I239" s="120" t="str">
        <x:f>IF($A239="","",SUMIFS('InventoryTransactions'!$D$2:$D$500,'InventoryTransactions'!$B$2:$B$500,$A239))</x:f>
      </x:c>
      <x:c r="J239" s="19"/>
      <x:c r="K239" s="26"/>
      <x:c r="L239" s="19"/>
      <x:c r="M239" s="26"/>
      <x:c r="N239" s="19"/>
      <x:c r="O239" s="19"/>
    </x:row>
    <x:row r="240">
      <x:c r="A240" s="19"/>
      <x:c r="B240" s="19"/>
      <x:c r="C240" s="19"/>
      <x:c r="D240" s="19"/>
      <x:c r="E240" s="19"/>
      <x:c r="F240" s="25"/>
      <x:c r="G240" s="25"/>
      <x:c r="H240" s="62"/>
      <x:c r="I240" s="120" t="str">
        <x:f>IF($A240="","",SUMIFS('InventoryTransactions'!$D$2:$D$500,'InventoryTransactions'!$B$2:$B$500,$A240))</x:f>
      </x:c>
      <x:c r="J240" s="19"/>
      <x:c r="K240" s="26"/>
      <x:c r="L240" s="19"/>
      <x:c r="M240" s="26"/>
      <x:c r="N240" s="19"/>
      <x:c r="O240" s="19"/>
    </x:row>
    <x:row r="241">
      <x:c r="A241" s="19"/>
      <x:c r="B241" s="19"/>
      <x:c r="C241" s="19"/>
      <x:c r="D241" s="19"/>
      <x:c r="E241" s="19"/>
      <x:c r="F241" s="25"/>
      <x:c r="G241" s="25"/>
      <x:c r="H241" s="62"/>
      <x:c r="I241" s="120" t="str">
        <x:f>IF($A241="","",SUMIFS('InventoryTransactions'!$D$2:$D$500,'InventoryTransactions'!$B$2:$B$500,$A241))</x:f>
      </x:c>
      <x:c r="J241" s="19"/>
      <x:c r="K241" s="26"/>
      <x:c r="L241" s="19"/>
      <x:c r="M241" s="26"/>
      <x:c r="N241" s="19"/>
      <x:c r="O241" s="19"/>
    </x:row>
    <x:row r="242">
      <x:c r="A242" s="19"/>
      <x:c r="B242" s="19"/>
      <x:c r="C242" s="19"/>
      <x:c r="D242" s="19"/>
      <x:c r="E242" s="19"/>
      <x:c r="F242" s="25"/>
      <x:c r="G242" s="25"/>
      <x:c r="H242" s="62"/>
      <x:c r="I242" s="120" t="str">
        <x:f>IF($A242="","",SUMIFS('InventoryTransactions'!$D$2:$D$500,'InventoryTransactions'!$B$2:$B$500,$A242))</x:f>
      </x:c>
      <x:c r="J242" s="19"/>
      <x:c r="K242" s="26"/>
      <x:c r="L242" s="19"/>
      <x:c r="M242" s="26"/>
      <x:c r="N242" s="19"/>
      <x:c r="O242" s="19"/>
    </x:row>
    <x:row r="243">
      <x:c r="A243" s="19"/>
      <x:c r="B243" s="19"/>
      <x:c r="C243" s="19"/>
      <x:c r="D243" s="19"/>
      <x:c r="E243" s="19"/>
      <x:c r="F243" s="25"/>
      <x:c r="G243" s="25"/>
      <x:c r="H243" s="62"/>
      <x:c r="I243" s="120" t="str">
        <x:f>IF($A243="","",SUMIFS('InventoryTransactions'!$D$2:$D$500,'InventoryTransactions'!$B$2:$B$500,$A243))</x:f>
      </x:c>
      <x:c r="J243" s="19"/>
      <x:c r="K243" s="26"/>
      <x:c r="L243" s="19"/>
      <x:c r="M243" s="26"/>
      <x:c r="N243" s="19"/>
      <x:c r="O243" s="19"/>
    </x:row>
    <x:row r="244">
      <x:c r="A244" s="19"/>
      <x:c r="B244" s="19"/>
      <x:c r="C244" s="19"/>
      <x:c r="D244" s="19"/>
      <x:c r="E244" s="19"/>
      <x:c r="F244" s="25"/>
      <x:c r="G244" s="25"/>
      <x:c r="H244" s="62"/>
      <x:c r="I244" s="120" t="str">
        <x:f>IF($A244="","",SUMIFS('InventoryTransactions'!$D$2:$D$500,'InventoryTransactions'!$B$2:$B$500,$A244))</x:f>
      </x:c>
      <x:c r="J244" s="19"/>
      <x:c r="K244" s="26"/>
      <x:c r="L244" s="19"/>
      <x:c r="M244" s="26"/>
      <x:c r="N244" s="19"/>
      <x:c r="O244" s="19"/>
    </x:row>
    <x:row r="245">
      <x:c r="A245" s="19"/>
      <x:c r="B245" s="19"/>
      <x:c r="C245" s="19"/>
      <x:c r="D245" s="19"/>
      <x:c r="E245" s="19"/>
      <x:c r="F245" s="25"/>
      <x:c r="G245" s="25"/>
      <x:c r="H245" s="62"/>
      <x:c r="I245" s="120" t="str">
        <x:f>IF($A245="","",SUMIFS('InventoryTransactions'!$D$2:$D$500,'InventoryTransactions'!$B$2:$B$500,$A245))</x:f>
      </x:c>
      <x:c r="J245" s="19"/>
      <x:c r="K245" s="26"/>
      <x:c r="L245" s="19"/>
      <x:c r="M245" s="26"/>
      <x:c r="N245" s="19"/>
      <x:c r="O245" s="19"/>
    </x:row>
    <x:row r="246">
      <x:c r="A246" s="19"/>
      <x:c r="B246" s="19"/>
      <x:c r="C246" s="19"/>
      <x:c r="D246" s="19"/>
      <x:c r="E246" s="19"/>
      <x:c r="F246" s="25"/>
      <x:c r="G246" s="25"/>
      <x:c r="H246" s="62"/>
      <x:c r="I246" s="120" t="str">
        <x:f>IF($A246="","",SUMIFS('InventoryTransactions'!$D$2:$D$500,'InventoryTransactions'!$B$2:$B$500,$A246))</x:f>
      </x:c>
      <x:c r="J246" s="19"/>
      <x:c r="K246" s="26"/>
      <x:c r="L246" s="19"/>
      <x:c r="M246" s="26"/>
      <x:c r="N246" s="19"/>
      <x:c r="O246" s="19"/>
    </x:row>
    <x:row r="247">
      <x:c r="A247" s="19"/>
      <x:c r="B247" s="19"/>
      <x:c r="C247" s="19"/>
      <x:c r="D247" s="19"/>
      <x:c r="E247" s="19"/>
      <x:c r="F247" s="25"/>
      <x:c r="G247" s="25"/>
      <x:c r="H247" s="62"/>
      <x:c r="I247" s="120" t="str">
        <x:f>IF($A247="","",SUMIFS('InventoryTransactions'!$D$2:$D$500,'InventoryTransactions'!$B$2:$B$500,$A247))</x:f>
      </x:c>
      <x:c r="J247" s="19"/>
      <x:c r="K247" s="26"/>
      <x:c r="L247" s="19"/>
      <x:c r="M247" s="26"/>
      <x:c r="N247" s="19"/>
      <x:c r="O247" s="19"/>
    </x:row>
    <x:row r="248">
      <x:c r="A248" s="19"/>
      <x:c r="B248" s="19"/>
      <x:c r="C248" s="19"/>
      <x:c r="D248" s="19"/>
      <x:c r="E248" s="19"/>
      <x:c r="F248" s="25"/>
      <x:c r="G248" s="25"/>
      <x:c r="H248" s="62"/>
      <x:c r="I248" s="120" t="str">
        <x:f>IF($A248="","",SUMIFS('InventoryTransactions'!$D$2:$D$500,'InventoryTransactions'!$B$2:$B$500,$A248))</x:f>
      </x:c>
      <x:c r="J248" s="19"/>
      <x:c r="K248" s="26"/>
      <x:c r="L248" s="19"/>
      <x:c r="M248" s="26"/>
      <x:c r="N248" s="19"/>
      <x:c r="O248" s="19"/>
    </x:row>
    <x:row r="249">
      <x:c r="A249" s="19"/>
      <x:c r="B249" s="19"/>
      <x:c r="C249" s="19"/>
      <x:c r="D249" s="19"/>
      <x:c r="E249" s="19"/>
      <x:c r="F249" s="25"/>
      <x:c r="G249" s="25"/>
      <x:c r="H249" s="62"/>
      <x:c r="I249" s="120" t="str">
        <x:f>IF($A249="","",SUMIFS('InventoryTransactions'!$D$2:$D$500,'InventoryTransactions'!$B$2:$B$500,$A249))</x:f>
      </x:c>
      <x:c r="J249" s="19"/>
      <x:c r="K249" s="26"/>
      <x:c r="L249" s="19"/>
      <x:c r="M249" s="26"/>
      <x:c r="N249" s="19"/>
      <x:c r="O249" s="19"/>
    </x:row>
    <x:row r="250">
      <x:c r="A250" s="19"/>
      <x:c r="B250" s="19"/>
      <x:c r="C250" s="19"/>
      <x:c r="D250" s="19"/>
      <x:c r="E250" s="19"/>
      <x:c r="F250" s="25"/>
      <x:c r="G250" s="25"/>
      <x:c r="H250" s="62"/>
      <x:c r="I250" s="120" t="str">
        <x:f>IF($A250="","",SUMIFS('InventoryTransactions'!$D$2:$D$500,'InventoryTransactions'!$B$2:$B$500,$A250))</x:f>
      </x:c>
      <x:c r="J250" s="19"/>
      <x:c r="K250" s="26"/>
      <x:c r="L250" s="19"/>
      <x:c r="M250" s="26"/>
      <x:c r="N250" s="19"/>
      <x:c r="O250" s="19"/>
    </x:row>
    <x:row r="251">
      <x:c r="A251" s="19"/>
      <x:c r="B251" s="19"/>
      <x:c r="C251" s="19"/>
      <x:c r="D251" s="19"/>
      <x:c r="E251" s="19"/>
      <x:c r="F251" s="25"/>
      <x:c r="G251" s="25"/>
      <x:c r="H251" s="62"/>
      <x:c r="I251" s="120" t="str">
        <x:f>IF($A251="","",SUMIFS('InventoryTransactions'!$D$2:$D$500,'InventoryTransactions'!$B$2:$B$500,$A251))</x:f>
      </x:c>
      <x:c r="J251" s="19"/>
      <x:c r="K251" s="26"/>
      <x:c r="L251" s="19"/>
      <x:c r="M251" s="26"/>
      <x:c r="N251" s="19"/>
      <x:c r="O251" s="19"/>
    </x:row>
    <x:row r="252">
      <x:c r="A252" s="19"/>
      <x:c r="B252" s="19"/>
      <x:c r="C252" s="19"/>
      <x:c r="D252" s="19"/>
      <x:c r="E252" s="19"/>
      <x:c r="F252" s="25"/>
      <x:c r="G252" s="25"/>
      <x:c r="H252" s="62"/>
      <x:c r="I252" s="120" t="str">
        <x:f>IF($A252="","",SUMIFS('InventoryTransactions'!$D$2:$D$500,'InventoryTransactions'!$B$2:$B$500,$A252))</x:f>
      </x:c>
      <x:c r="J252" s="19"/>
      <x:c r="K252" s="26"/>
      <x:c r="L252" s="19"/>
      <x:c r="M252" s="26"/>
      <x:c r="N252" s="19"/>
      <x:c r="O252" s="19"/>
    </x:row>
    <x:row r="253">
      <x:c r="A253" s="19"/>
      <x:c r="B253" s="19"/>
      <x:c r="C253" s="19"/>
      <x:c r="D253" s="19"/>
      <x:c r="E253" s="19"/>
      <x:c r="F253" s="25"/>
      <x:c r="G253" s="25"/>
      <x:c r="H253" s="62"/>
      <x:c r="I253" s="120" t="str">
        <x:f>IF($A253="","",SUMIFS('InventoryTransactions'!$D$2:$D$500,'InventoryTransactions'!$B$2:$B$500,$A253))</x:f>
      </x:c>
      <x:c r="J253" s="19"/>
      <x:c r="K253" s="26"/>
      <x:c r="L253" s="19"/>
      <x:c r="M253" s="26"/>
      <x:c r="N253" s="19"/>
      <x:c r="O253" s="19"/>
    </x:row>
    <x:row r="254">
      <x:c r="A254" s="19"/>
      <x:c r="B254" s="19"/>
      <x:c r="C254" s="19"/>
      <x:c r="D254" s="19"/>
      <x:c r="E254" s="19"/>
      <x:c r="F254" s="25"/>
      <x:c r="G254" s="25"/>
      <x:c r="H254" s="62"/>
      <x:c r="I254" s="120" t="str">
        <x:f>IF($A254="","",SUMIFS('InventoryTransactions'!$D$2:$D$500,'InventoryTransactions'!$B$2:$B$500,$A254))</x:f>
      </x:c>
      <x:c r="J254" s="19"/>
      <x:c r="K254" s="26"/>
      <x:c r="L254" s="19"/>
      <x:c r="M254" s="26"/>
      <x:c r="N254" s="19"/>
      <x:c r="O254" s="19"/>
    </x:row>
    <x:row r="255">
      <x:c r="A255" s="19"/>
      <x:c r="B255" s="19"/>
      <x:c r="C255" s="19"/>
      <x:c r="D255" s="19"/>
      <x:c r="E255" s="19"/>
      <x:c r="F255" s="25"/>
      <x:c r="G255" s="25"/>
      <x:c r="H255" s="62"/>
      <x:c r="I255" s="120" t="str">
        <x:f>IF($A255="","",SUMIFS('InventoryTransactions'!$D$2:$D$500,'InventoryTransactions'!$B$2:$B$500,$A255))</x:f>
      </x:c>
      <x:c r="J255" s="19"/>
      <x:c r="K255" s="26"/>
      <x:c r="L255" s="19"/>
      <x:c r="M255" s="26"/>
      <x:c r="N255" s="19"/>
      <x:c r="O255" s="19"/>
    </x:row>
    <x:row r="256">
      <x:c r="A256" s="19"/>
      <x:c r="B256" s="19"/>
      <x:c r="C256" s="19"/>
      <x:c r="D256" s="19"/>
      <x:c r="E256" s="19"/>
      <x:c r="F256" s="25"/>
      <x:c r="G256" s="25"/>
      <x:c r="H256" s="62"/>
      <x:c r="I256" s="120" t="str">
        <x:f>IF($A256="","",SUMIFS('InventoryTransactions'!$D$2:$D$500,'InventoryTransactions'!$B$2:$B$500,$A256))</x:f>
      </x:c>
      <x:c r="J256" s="19"/>
      <x:c r="K256" s="26"/>
      <x:c r="L256" s="19"/>
      <x:c r="M256" s="26"/>
      <x:c r="N256" s="19"/>
      <x:c r="O256" s="19"/>
    </x:row>
    <x:row r="257">
      <x:c r="A257" s="19"/>
      <x:c r="B257" s="19"/>
      <x:c r="C257" s="19"/>
      <x:c r="D257" s="19"/>
      <x:c r="E257" s="19"/>
      <x:c r="F257" s="25"/>
      <x:c r="G257" s="25"/>
      <x:c r="H257" s="62"/>
      <x:c r="I257" s="120" t="str">
        <x:f>IF($A257="","",SUMIFS('InventoryTransactions'!$D$2:$D$500,'InventoryTransactions'!$B$2:$B$500,$A257))</x:f>
      </x:c>
      <x:c r="J257" s="19"/>
      <x:c r="K257" s="26"/>
      <x:c r="L257" s="19"/>
      <x:c r="M257" s="26"/>
      <x:c r="N257" s="19"/>
      <x:c r="O257" s="19"/>
    </x:row>
    <x:row r="258">
      <x:c r="A258" s="19"/>
      <x:c r="B258" s="19"/>
      <x:c r="C258" s="19"/>
      <x:c r="D258" s="19"/>
      <x:c r="E258" s="19"/>
      <x:c r="F258" s="25"/>
      <x:c r="G258" s="25"/>
      <x:c r="H258" s="62"/>
      <x:c r="I258" s="120" t="str">
        <x:f>IF($A258="","",SUMIFS('InventoryTransactions'!$D$2:$D$500,'InventoryTransactions'!$B$2:$B$500,$A258))</x:f>
      </x:c>
      <x:c r="J258" s="19"/>
      <x:c r="K258" s="26"/>
      <x:c r="L258" s="19"/>
      <x:c r="M258" s="26"/>
      <x:c r="N258" s="19"/>
      <x:c r="O258" s="19"/>
    </x:row>
    <x:row r="259">
      <x:c r="A259" s="19"/>
      <x:c r="B259" s="19"/>
      <x:c r="C259" s="19"/>
      <x:c r="D259" s="19"/>
      <x:c r="E259" s="19"/>
      <x:c r="F259" s="25"/>
      <x:c r="G259" s="25"/>
      <x:c r="H259" s="62"/>
      <x:c r="I259" s="120" t="str">
        <x:f>IF($A259="","",SUMIFS('InventoryTransactions'!$D$2:$D$500,'InventoryTransactions'!$B$2:$B$500,$A259))</x:f>
      </x:c>
      <x:c r="J259" s="19"/>
      <x:c r="K259" s="26"/>
      <x:c r="L259" s="19"/>
      <x:c r="M259" s="26"/>
      <x:c r="N259" s="19"/>
      <x:c r="O259" s="19"/>
    </x:row>
    <x:row r="260">
      <x:c r="A260" s="19"/>
      <x:c r="B260" s="19"/>
      <x:c r="C260" s="19"/>
      <x:c r="D260" s="19"/>
      <x:c r="E260" s="19"/>
      <x:c r="F260" s="25"/>
      <x:c r="G260" s="25"/>
      <x:c r="H260" s="62"/>
      <x:c r="I260" s="120" t="str">
        <x:f>IF($A260="","",SUMIFS('InventoryTransactions'!$D$2:$D$500,'InventoryTransactions'!$B$2:$B$500,$A260))</x:f>
      </x:c>
      <x:c r="J260" s="19"/>
      <x:c r="K260" s="26"/>
      <x:c r="L260" s="19"/>
      <x:c r="M260" s="26"/>
      <x:c r="N260" s="19"/>
      <x:c r="O260" s="19"/>
    </x:row>
    <x:row r="261">
      <x:c r="A261" s="19"/>
      <x:c r="B261" s="19"/>
      <x:c r="C261" s="19"/>
      <x:c r="D261" s="19"/>
      <x:c r="E261" s="19"/>
      <x:c r="F261" s="25"/>
      <x:c r="G261" s="25"/>
      <x:c r="H261" s="62"/>
      <x:c r="I261" s="120" t="str">
        <x:f>IF($A261="","",SUMIFS('InventoryTransactions'!$D$2:$D$500,'InventoryTransactions'!$B$2:$B$500,$A261))</x:f>
      </x:c>
      <x:c r="J261" s="19"/>
      <x:c r="K261" s="26"/>
      <x:c r="L261" s="19"/>
      <x:c r="M261" s="26"/>
      <x:c r="N261" s="19"/>
      <x:c r="O261" s="19"/>
    </x:row>
    <x:row r="262">
      <x:c r="A262" s="19"/>
      <x:c r="B262" s="19"/>
      <x:c r="C262" s="19"/>
      <x:c r="D262" s="19"/>
      <x:c r="E262" s="19"/>
      <x:c r="F262" s="25"/>
      <x:c r="G262" s="25"/>
      <x:c r="H262" s="62"/>
      <x:c r="I262" s="120" t="str">
        <x:f>IF($A262="","",SUMIFS('InventoryTransactions'!$D$2:$D$500,'InventoryTransactions'!$B$2:$B$500,$A262))</x:f>
      </x:c>
      <x:c r="J262" s="19"/>
      <x:c r="K262" s="26"/>
      <x:c r="L262" s="19"/>
      <x:c r="M262" s="26"/>
      <x:c r="N262" s="19"/>
      <x:c r="O262" s="19"/>
    </x:row>
    <x:row r="263">
      <x:c r="A263" s="19"/>
      <x:c r="B263" s="19"/>
      <x:c r="C263" s="19"/>
      <x:c r="D263" s="19"/>
      <x:c r="E263" s="19"/>
      <x:c r="F263" s="25"/>
      <x:c r="G263" s="25"/>
      <x:c r="H263" s="62"/>
      <x:c r="I263" s="120" t="str">
        <x:f>IF($A263="","",SUMIFS('InventoryTransactions'!$D$2:$D$500,'InventoryTransactions'!$B$2:$B$500,$A263))</x:f>
      </x:c>
      <x:c r="J263" s="19"/>
      <x:c r="K263" s="26"/>
      <x:c r="L263" s="19"/>
      <x:c r="M263" s="26"/>
      <x:c r="N263" s="19"/>
      <x:c r="O263" s="19"/>
    </x:row>
    <x:row r="264">
      <x:c r="A264" s="19"/>
      <x:c r="B264" s="19"/>
      <x:c r="C264" s="19"/>
      <x:c r="D264" s="19"/>
      <x:c r="E264" s="19"/>
      <x:c r="F264" s="25"/>
      <x:c r="G264" s="25"/>
      <x:c r="H264" s="62"/>
      <x:c r="I264" s="120" t="str">
        <x:f>IF($A264="","",SUMIFS('InventoryTransactions'!$D$2:$D$500,'InventoryTransactions'!$B$2:$B$500,$A264))</x:f>
      </x:c>
      <x:c r="J264" s="19"/>
      <x:c r="K264" s="26"/>
      <x:c r="L264" s="19"/>
      <x:c r="M264" s="26"/>
      <x:c r="N264" s="19"/>
      <x:c r="O264" s="19"/>
    </x:row>
    <x:row r="265">
      <x:c r="A265" s="19"/>
      <x:c r="B265" s="19"/>
      <x:c r="C265" s="19"/>
      <x:c r="D265" s="19"/>
      <x:c r="E265" s="19"/>
      <x:c r="F265" s="25"/>
      <x:c r="G265" s="25"/>
      <x:c r="H265" s="62"/>
      <x:c r="I265" s="120" t="str">
        <x:f>IF($A265="","",SUMIFS('InventoryTransactions'!$D$2:$D$500,'InventoryTransactions'!$B$2:$B$500,$A265))</x:f>
      </x:c>
      <x:c r="J265" s="19"/>
      <x:c r="K265" s="26"/>
      <x:c r="L265" s="19"/>
      <x:c r="M265" s="26"/>
      <x:c r="N265" s="19"/>
      <x:c r="O265" s="19"/>
    </x:row>
    <x:row r="266">
      <x:c r="A266" s="19"/>
      <x:c r="B266" s="19"/>
      <x:c r="C266" s="19"/>
      <x:c r="D266" s="19"/>
      <x:c r="E266" s="19"/>
      <x:c r="F266" s="25"/>
      <x:c r="G266" s="25"/>
      <x:c r="H266" s="62"/>
      <x:c r="I266" s="120" t="str">
        <x:f>IF($A266="","",SUMIFS('InventoryTransactions'!$D$2:$D$500,'InventoryTransactions'!$B$2:$B$500,$A266))</x:f>
      </x:c>
      <x:c r="J266" s="19"/>
      <x:c r="K266" s="26"/>
      <x:c r="L266" s="19"/>
      <x:c r="M266" s="26"/>
      <x:c r="N266" s="19"/>
      <x:c r="O266" s="19"/>
    </x:row>
    <x:row r="267">
      <x:c r="A267" s="19"/>
      <x:c r="B267" s="19"/>
      <x:c r="C267" s="19"/>
      <x:c r="D267" s="19"/>
      <x:c r="E267" s="19"/>
      <x:c r="F267" s="25"/>
      <x:c r="G267" s="25"/>
      <x:c r="H267" s="62"/>
      <x:c r="I267" s="120" t="str">
        <x:f>IF($A267="","",SUMIFS('InventoryTransactions'!$D$2:$D$500,'InventoryTransactions'!$B$2:$B$500,$A267))</x:f>
      </x:c>
      <x:c r="J267" s="19"/>
      <x:c r="K267" s="26"/>
      <x:c r="L267" s="19"/>
      <x:c r="M267" s="26"/>
      <x:c r="N267" s="19"/>
      <x:c r="O267" s="19"/>
    </x:row>
    <x:row r="268">
      <x:c r="A268" s="19"/>
      <x:c r="B268" s="19"/>
      <x:c r="C268" s="19"/>
      <x:c r="D268" s="19"/>
      <x:c r="E268" s="19"/>
      <x:c r="F268" s="25"/>
      <x:c r="G268" s="25"/>
      <x:c r="H268" s="62"/>
      <x:c r="I268" s="120" t="str">
        <x:f>IF($A268="","",SUMIFS('InventoryTransactions'!$D$2:$D$500,'InventoryTransactions'!$B$2:$B$500,$A268))</x:f>
      </x:c>
      <x:c r="J268" s="19"/>
      <x:c r="K268" s="26"/>
      <x:c r="L268" s="19"/>
      <x:c r="M268" s="26"/>
      <x:c r="N268" s="19"/>
      <x:c r="O268" s="19"/>
    </x:row>
    <x:row r="269">
      <x:c r="A269" s="19"/>
      <x:c r="B269" s="19"/>
      <x:c r="C269" s="19"/>
      <x:c r="D269" s="19"/>
      <x:c r="E269" s="19"/>
      <x:c r="F269" s="25"/>
      <x:c r="G269" s="25"/>
      <x:c r="H269" s="62"/>
      <x:c r="I269" s="120" t="str">
        <x:f>IF($A269="","",SUMIFS('InventoryTransactions'!$D$2:$D$500,'InventoryTransactions'!$B$2:$B$500,$A269))</x:f>
      </x:c>
      <x:c r="J269" s="19"/>
      <x:c r="K269" s="26"/>
      <x:c r="L269" s="19"/>
      <x:c r="M269" s="26"/>
      <x:c r="N269" s="19"/>
      <x:c r="O269" s="19"/>
    </x:row>
    <x:row r="270">
      <x:c r="A270" s="19"/>
      <x:c r="B270" s="19"/>
      <x:c r="C270" s="19"/>
      <x:c r="D270" s="19"/>
      <x:c r="E270" s="19"/>
      <x:c r="F270" s="25"/>
      <x:c r="G270" s="25"/>
      <x:c r="H270" s="62"/>
      <x:c r="I270" s="120" t="str">
        <x:f>IF($A270="","",SUMIFS('InventoryTransactions'!$D$2:$D$500,'InventoryTransactions'!$B$2:$B$500,$A270))</x:f>
      </x:c>
      <x:c r="J270" s="19"/>
      <x:c r="K270" s="26"/>
      <x:c r="L270" s="19"/>
      <x:c r="M270" s="26"/>
      <x:c r="N270" s="19"/>
      <x:c r="O270" s="19"/>
    </x:row>
    <x:row r="271">
      <x:c r="A271" s="19"/>
      <x:c r="B271" s="19"/>
      <x:c r="C271" s="19"/>
      <x:c r="D271" s="19"/>
      <x:c r="E271" s="19"/>
      <x:c r="F271" s="25"/>
      <x:c r="G271" s="25"/>
      <x:c r="H271" s="62"/>
      <x:c r="I271" s="120" t="str">
        <x:f>IF($A271="","",SUMIFS('InventoryTransactions'!$D$2:$D$500,'InventoryTransactions'!$B$2:$B$500,$A271))</x:f>
      </x:c>
      <x:c r="J271" s="19"/>
      <x:c r="K271" s="26"/>
      <x:c r="L271" s="19"/>
      <x:c r="M271" s="26"/>
      <x:c r="N271" s="19"/>
      <x:c r="O271" s="19"/>
    </x:row>
    <x:row r="272">
      <x:c r="A272" s="19"/>
      <x:c r="B272" s="19"/>
      <x:c r="C272" s="19"/>
      <x:c r="D272" s="19"/>
      <x:c r="E272" s="19"/>
      <x:c r="F272" s="25"/>
      <x:c r="G272" s="25"/>
      <x:c r="H272" s="62"/>
      <x:c r="I272" s="120" t="str">
        <x:f>IF($A272="","",SUMIFS('InventoryTransactions'!$D$2:$D$500,'InventoryTransactions'!$B$2:$B$500,$A272))</x:f>
      </x:c>
      <x:c r="J272" s="19"/>
      <x:c r="K272" s="26"/>
      <x:c r="L272" s="19"/>
      <x:c r="M272" s="26"/>
      <x:c r="N272" s="19"/>
      <x:c r="O272" s="19"/>
    </x:row>
    <x:row r="273">
      <x:c r="A273" s="19"/>
      <x:c r="B273" s="19"/>
      <x:c r="C273" s="19"/>
      <x:c r="D273" s="19"/>
      <x:c r="E273" s="19"/>
      <x:c r="F273" s="25"/>
      <x:c r="G273" s="25"/>
      <x:c r="H273" s="62"/>
      <x:c r="I273" s="120" t="str">
        <x:f>IF($A273="","",SUMIFS('InventoryTransactions'!$D$2:$D$500,'InventoryTransactions'!$B$2:$B$500,$A273))</x:f>
      </x:c>
      <x:c r="J273" s="19"/>
      <x:c r="K273" s="26"/>
      <x:c r="L273" s="19"/>
      <x:c r="M273" s="26"/>
      <x:c r="N273" s="19"/>
      <x:c r="O273" s="19"/>
    </x:row>
    <x:row r="274">
      <x:c r="A274" s="19"/>
      <x:c r="B274" s="19"/>
      <x:c r="C274" s="19"/>
      <x:c r="D274" s="19"/>
      <x:c r="E274" s="19"/>
      <x:c r="F274" s="25"/>
      <x:c r="G274" s="25"/>
      <x:c r="H274" s="62"/>
      <x:c r="I274" s="120" t="str">
        <x:f>IF($A274="","",SUMIFS('InventoryTransactions'!$D$2:$D$500,'InventoryTransactions'!$B$2:$B$500,$A274))</x:f>
      </x:c>
      <x:c r="J274" s="19"/>
      <x:c r="K274" s="26"/>
      <x:c r="L274" s="19"/>
      <x:c r="M274" s="26"/>
      <x:c r="N274" s="19"/>
      <x:c r="O274" s="19"/>
    </x:row>
    <x:row r="275">
      <x:c r="A275" s="19"/>
      <x:c r="B275" s="19"/>
      <x:c r="C275" s="19"/>
      <x:c r="D275" s="19"/>
      <x:c r="E275" s="19"/>
      <x:c r="F275" s="25"/>
      <x:c r="G275" s="25"/>
      <x:c r="H275" s="62"/>
      <x:c r="I275" s="120" t="str">
        <x:f>IF($A275="","",SUMIFS('InventoryTransactions'!$D$2:$D$500,'InventoryTransactions'!$B$2:$B$500,$A275))</x:f>
      </x:c>
      <x:c r="J275" s="19"/>
      <x:c r="K275" s="26"/>
      <x:c r="L275" s="19"/>
      <x:c r="M275" s="26"/>
      <x:c r="N275" s="19"/>
      <x:c r="O275" s="19"/>
    </x:row>
    <x:row r="276">
      <x:c r="A276" s="19"/>
      <x:c r="B276" s="19"/>
      <x:c r="C276" s="19"/>
      <x:c r="D276" s="19"/>
      <x:c r="E276" s="19"/>
      <x:c r="F276" s="25"/>
      <x:c r="G276" s="25"/>
      <x:c r="H276" s="62"/>
      <x:c r="I276" s="120" t="str">
        <x:f>IF($A276="","",SUMIFS('InventoryTransactions'!$D$2:$D$500,'InventoryTransactions'!$B$2:$B$500,$A276))</x:f>
      </x:c>
      <x:c r="J276" s="19"/>
      <x:c r="K276" s="26"/>
      <x:c r="L276" s="19"/>
      <x:c r="M276" s="26"/>
      <x:c r="N276" s="19"/>
      <x:c r="O276" s="19"/>
    </x:row>
    <x:row r="277">
      <x:c r="A277" s="19"/>
      <x:c r="B277" s="19"/>
      <x:c r="C277" s="19"/>
      <x:c r="D277" s="19"/>
      <x:c r="E277" s="19"/>
      <x:c r="F277" s="25"/>
      <x:c r="G277" s="25"/>
      <x:c r="H277" s="62"/>
      <x:c r="I277" s="120" t="str">
        <x:f>IF($A277="","",SUMIFS('InventoryTransactions'!$D$2:$D$500,'InventoryTransactions'!$B$2:$B$500,$A277))</x:f>
      </x:c>
      <x:c r="J277" s="19"/>
      <x:c r="K277" s="26"/>
      <x:c r="L277" s="19"/>
      <x:c r="M277" s="26"/>
      <x:c r="N277" s="19"/>
      <x:c r="O277" s="19"/>
    </x:row>
    <x:row r="278">
      <x:c r="A278" s="19"/>
      <x:c r="B278" s="19"/>
      <x:c r="C278" s="19"/>
      <x:c r="D278" s="19"/>
      <x:c r="E278" s="19"/>
      <x:c r="F278" s="25"/>
      <x:c r="G278" s="25"/>
      <x:c r="H278" s="62"/>
      <x:c r="I278" s="120" t="str">
        <x:f>IF($A278="","",SUMIFS('InventoryTransactions'!$D$2:$D$500,'InventoryTransactions'!$B$2:$B$500,$A278))</x:f>
      </x:c>
      <x:c r="J278" s="19"/>
      <x:c r="K278" s="26"/>
      <x:c r="L278" s="19"/>
      <x:c r="M278" s="26"/>
      <x:c r="N278" s="19"/>
      <x:c r="O278" s="19"/>
    </x:row>
    <x:row r="279">
      <x:c r="A279" s="19"/>
      <x:c r="B279" s="19"/>
      <x:c r="C279" s="19"/>
      <x:c r="D279" s="19"/>
      <x:c r="E279" s="19"/>
      <x:c r="F279" s="25"/>
      <x:c r="G279" s="25"/>
      <x:c r="H279" s="62"/>
      <x:c r="I279" s="120" t="str">
        <x:f>IF($A279="","",SUMIFS('InventoryTransactions'!$D$2:$D$500,'InventoryTransactions'!$B$2:$B$500,$A279))</x:f>
      </x:c>
      <x:c r="J279" s="19"/>
      <x:c r="K279" s="26"/>
      <x:c r="L279" s="19"/>
      <x:c r="M279" s="26"/>
      <x:c r="N279" s="19"/>
      <x:c r="O279" s="19"/>
    </x:row>
    <x:row r="280">
      <x:c r="A280" s="19"/>
      <x:c r="B280" s="19"/>
      <x:c r="C280" s="19"/>
      <x:c r="D280" s="19"/>
      <x:c r="E280" s="19"/>
      <x:c r="F280" s="25"/>
      <x:c r="G280" s="25"/>
      <x:c r="H280" s="62"/>
      <x:c r="I280" s="120" t="str">
        <x:f>IF($A280="","",SUMIFS('InventoryTransactions'!$D$2:$D$500,'InventoryTransactions'!$B$2:$B$500,$A280))</x:f>
      </x:c>
      <x:c r="J280" s="19"/>
      <x:c r="K280" s="26"/>
      <x:c r="L280" s="19"/>
      <x:c r="M280" s="26"/>
      <x:c r="N280" s="19"/>
      <x:c r="O280" s="19"/>
    </x:row>
    <x:row r="281">
      <x:c r="A281" s="19"/>
      <x:c r="B281" s="19"/>
      <x:c r="C281" s="19"/>
      <x:c r="D281" s="19"/>
      <x:c r="E281" s="19"/>
      <x:c r="F281" s="25"/>
      <x:c r="G281" s="25"/>
      <x:c r="H281" s="62"/>
      <x:c r="I281" s="120" t="str">
        <x:f>IF($A281="","",SUMIFS('InventoryTransactions'!$D$2:$D$500,'InventoryTransactions'!$B$2:$B$500,$A281))</x:f>
      </x:c>
      <x:c r="J281" s="19"/>
      <x:c r="K281" s="26"/>
      <x:c r="L281" s="19"/>
      <x:c r="M281" s="26"/>
      <x:c r="N281" s="19"/>
      <x:c r="O281" s="19"/>
    </x:row>
    <x:row r="282">
      <x:c r="A282" s="19"/>
      <x:c r="B282" s="19"/>
      <x:c r="C282" s="19"/>
      <x:c r="D282" s="19"/>
      <x:c r="E282" s="19"/>
      <x:c r="F282" s="25"/>
      <x:c r="G282" s="25"/>
      <x:c r="H282" s="62"/>
      <x:c r="I282" s="120" t="str">
        <x:f>IF($A282="","",SUMIFS('InventoryTransactions'!$D$2:$D$500,'InventoryTransactions'!$B$2:$B$500,$A282))</x:f>
      </x:c>
      <x:c r="J282" s="19"/>
      <x:c r="K282" s="26"/>
      <x:c r="L282" s="19"/>
      <x:c r="M282" s="26"/>
      <x:c r="N282" s="19"/>
      <x:c r="O282" s="19"/>
    </x:row>
    <x:row r="283">
      <x:c r="A283" s="19"/>
      <x:c r="B283" s="19"/>
      <x:c r="C283" s="19"/>
      <x:c r="D283" s="19"/>
      <x:c r="E283" s="19"/>
      <x:c r="F283" s="25"/>
      <x:c r="G283" s="25"/>
      <x:c r="H283" s="62"/>
      <x:c r="I283" s="120" t="str">
        <x:f>IF($A283="","",SUMIFS('InventoryTransactions'!$D$2:$D$500,'InventoryTransactions'!$B$2:$B$500,$A283))</x:f>
      </x:c>
      <x:c r="J283" s="19"/>
      <x:c r="K283" s="26"/>
      <x:c r="L283" s="19"/>
      <x:c r="M283" s="26"/>
      <x:c r="N283" s="19"/>
      <x:c r="O283" s="19"/>
    </x:row>
    <x:row r="284">
      <x:c r="A284" s="19"/>
      <x:c r="B284" s="19"/>
      <x:c r="C284" s="19"/>
      <x:c r="D284" s="19"/>
      <x:c r="E284" s="19"/>
      <x:c r="F284" s="25"/>
      <x:c r="G284" s="25"/>
      <x:c r="H284" s="62"/>
      <x:c r="I284" s="120" t="str">
        <x:f>IF($A284="","",SUMIFS('InventoryTransactions'!$D$2:$D$500,'InventoryTransactions'!$B$2:$B$500,$A284))</x:f>
      </x:c>
      <x:c r="J284" s="19"/>
      <x:c r="K284" s="26"/>
      <x:c r="L284" s="19"/>
      <x:c r="M284" s="26"/>
      <x:c r="N284" s="19"/>
      <x:c r="O284" s="19"/>
    </x:row>
    <x:row r="285">
      <x:c r="A285" s="19"/>
      <x:c r="B285" s="19"/>
      <x:c r="C285" s="19"/>
      <x:c r="D285" s="19"/>
      <x:c r="E285" s="19"/>
      <x:c r="F285" s="25"/>
      <x:c r="G285" s="25"/>
      <x:c r="H285" s="62"/>
      <x:c r="I285" s="120" t="str">
        <x:f>IF($A285="","",SUMIFS('InventoryTransactions'!$D$2:$D$500,'InventoryTransactions'!$B$2:$B$500,$A285))</x:f>
      </x:c>
      <x:c r="J285" s="19"/>
      <x:c r="K285" s="26"/>
      <x:c r="L285" s="19"/>
      <x:c r="M285" s="26"/>
      <x:c r="N285" s="19"/>
      <x:c r="O285" s="19"/>
    </x:row>
    <x:row r="286">
      <x:c r="A286" s="19"/>
      <x:c r="B286" s="19"/>
      <x:c r="C286" s="19"/>
      <x:c r="D286" s="19"/>
      <x:c r="E286" s="19"/>
      <x:c r="F286" s="25"/>
      <x:c r="G286" s="25"/>
      <x:c r="H286" s="62"/>
      <x:c r="I286" s="120" t="str">
        <x:f>IF($A286="","",SUMIFS('InventoryTransactions'!$D$2:$D$500,'InventoryTransactions'!$B$2:$B$500,$A286))</x:f>
      </x:c>
      <x:c r="J286" s="19"/>
      <x:c r="K286" s="26"/>
      <x:c r="L286" s="19"/>
      <x:c r="M286" s="26"/>
      <x:c r="N286" s="19"/>
      <x:c r="O286" s="19"/>
    </x:row>
    <x:row r="287">
      <x:c r="A287" s="19"/>
      <x:c r="B287" s="19"/>
      <x:c r="C287" s="19"/>
      <x:c r="D287" s="19"/>
      <x:c r="E287" s="19"/>
      <x:c r="F287" s="25"/>
      <x:c r="G287" s="25"/>
      <x:c r="H287" s="62"/>
      <x:c r="I287" s="120" t="str">
        <x:f>IF($A287="","",SUMIFS('InventoryTransactions'!$D$2:$D$500,'InventoryTransactions'!$B$2:$B$500,$A287))</x:f>
      </x:c>
      <x:c r="J287" s="19"/>
      <x:c r="K287" s="26"/>
      <x:c r="L287" s="19"/>
      <x:c r="M287" s="26"/>
      <x:c r="N287" s="19"/>
      <x:c r="O287" s="19"/>
    </x:row>
    <x:row r="288">
      <x:c r="A288" s="19"/>
      <x:c r="B288" s="19"/>
      <x:c r="C288" s="19"/>
      <x:c r="D288" s="19"/>
      <x:c r="E288" s="19"/>
      <x:c r="F288" s="25"/>
      <x:c r="G288" s="25"/>
      <x:c r="H288" s="62"/>
      <x:c r="I288" s="120" t="str">
        <x:f>IF($A288="","",SUMIFS('InventoryTransactions'!$D$2:$D$500,'InventoryTransactions'!$B$2:$B$500,$A288))</x:f>
      </x:c>
      <x:c r="J288" s="19"/>
      <x:c r="K288" s="26"/>
      <x:c r="L288" s="19"/>
      <x:c r="M288" s="26"/>
      <x:c r="N288" s="19"/>
      <x:c r="O288" s="19"/>
    </x:row>
    <x:row r="289">
      <x:c r="A289" s="19"/>
      <x:c r="B289" s="19"/>
      <x:c r="C289" s="19"/>
      <x:c r="D289" s="19"/>
      <x:c r="E289" s="19"/>
      <x:c r="F289" s="25"/>
      <x:c r="G289" s="25"/>
      <x:c r="H289" s="62"/>
      <x:c r="I289" s="120" t="str">
        <x:f>IF($A289="","",SUMIFS('InventoryTransactions'!$D$2:$D$500,'InventoryTransactions'!$B$2:$B$500,$A289))</x:f>
      </x:c>
      <x:c r="J289" s="19"/>
      <x:c r="K289" s="26"/>
      <x:c r="L289" s="19"/>
      <x:c r="M289" s="26"/>
      <x:c r="N289" s="19"/>
      <x:c r="O289" s="19"/>
    </x:row>
    <x:row r="290">
      <x:c r="A290" s="19"/>
      <x:c r="B290" s="19"/>
      <x:c r="C290" s="19"/>
      <x:c r="D290" s="19"/>
      <x:c r="E290" s="19"/>
      <x:c r="F290" s="25"/>
      <x:c r="G290" s="25"/>
      <x:c r="H290" s="62"/>
      <x:c r="I290" s="120" t="str">
        <x:f>IF($A290="","",SUMIFS('InventoryTransactions'!$D$2:$D$500,'InventoryTransactions'!$B$2:$B$500,$A290))</x:f>
      </x:c>
      <x:c r="J290" s="19"/>
      <x:c r="K290" s="26"/>
      <x:c r="L290" s="19"/>
      <x:c r="M290" s="26"/>
      <x:c r="N290" s="19"/>
      <x:c r="O290" s="19"/>
    </x:row>
    <x:row r="291">
      <x:c r="A291" s="19"/>
      <x:c r="B291" s="19"/>
      <x:c r="C291" s="19"/>
      <x:c r="D291" s="19"/>
      <x:c r="E291" s="19"/>
      <x:c r="F291" s="25"/>
      <x:c r="G291" s="25"/>
      <x:c r="H291" s="62"/>
      <x:c r="I291" s="120" t="str">
        <x:f>IF($A291="","",SUMIFS('InventoryTransactions'!$D$2:$D$500,'InventoryTransactions'!$B$2:$B$500,$A291))</x:f>
      </x:c>
      <x:c r="J291" s="19"/>
      <x:c r="K291" s="26"/>
      <x:c r="L291" s="19"/>
      <x:c r="M291" s="26"/>
      <x:c r="N291" s="19"/>
      <x:c r="O291" s="19"/>
    </x:row>
    <x:row r="292">
      <x:c r="A292" s="19"/>
      <x:c r="B292" s="19"/>
      <x:c r="C292" s="19"/>
      <x:c r="D292" s="19"/>
      <x:c r="E292" s="19"/>
      <x:c r="F292" s="25"/>
      <x:c r="G292" s="25"/>
      <x:c r="H292" s="62"/>
      <x:c r="I292" s="120" t="str">
        <x:f>IF($A292="","",SUMIFS('InventoryTransactions'!$D$2:$D$500,'InventoryTransactions'!$B$2:$B$500,$A292))</x:f>
      </x:c>
      <x:c r="J292" s="19"/>
      <x:c r="K292" s="26"/>
      <x:c r="L292" s="19"/>
      <x:c r="M292" s="26"/>
      <x:c r="N292" s="19"/>
      <x:c r="O292" s="19"/>
    </x:row>
    <x:row r="293">
      <x:c r="A293" s="19"/>
      <x:c r="B293" s="19"/>
      <x:c r="C293" s="19"/>
      <x:c r="D293" s="19"/>
      <x:c r="E293" s="19"/>
      <x:c r="F293" s="25"/>
      <x:c r="G293" s="25"/>
      <x:c r="H293" s="62"/>
      <x:c r="I293" s="120" t="str">
        <x:f>IF($A293="","",SUMIFS('InventoryTransactions'!$D$2:$D$500,'InventoryTransactions'!$B$2:$B$500,$A293))</x:f>
      </x:c>
      <x:c r="J293" s="19"/>
      <x:c r="K293" s="26"/>
      <x:c r="L293" s="19"/>
      <x:c r="M293" s="26"/>
      <x:c r="N293" s="19"/>
      <x:c r="O293" s="19"/>
    </x:row>
    <x:row r="294">
      <x:c r="A294" s="19"/>
      <x:c r="B294" s="19"/>
      <x:c r="C294" s="19"/>
      <x:c r="D294" s="19"/>
      <x:c r="E294" s="19"/>
      <x:c r="F294" s="25"/>
      <x:c r="G294" s="25"/>
      <x:c r="H294" s="62"/>
      <x:c r="I294" s="120" t="str">
        <x:f>IF($A294="","",SUMIFS('InventoryTransactions'!$D$2:$D$500,'InventoryTransactions'!$B$2:$B$500,$A294))</x:f>
      </x:c>
      <x:c r="J294" s="19"/>
      <x:c r="K294" s="26"/>
      <x:c r="L294" s="19"/>
      <x:c r="M294" s="26"/>
      <x:c r="N294" s="19"/>
      <x:c r="O294" s="19"/>
    </x:row>
    <x:row r="295">
      <x:c r="A295" s="19"/>
      <x:c r="B295" s="19"/>
      <x:c r="C295" s="19"/>
      <x:c r="D295" s="19"/>
      <x:c r="E295" s="19"/>
      <x:c r="F295" s="25"/>
      <x:c r="G295" s="25"/>
      <x:c r="H295" s="62"/>
      <x:c r="I295" s="120" t="str">
        <x:f>IF($A295="","",SUMIFS('InventoryTransactions'!$D$2:$D$500,'InventoryTransactions'!$B$2:$B$500,$A295))</x:f>
      </x:c>
      <x:c r="J295" s="19"/>
      <x:c r="K295" s="26"/>
      <x:c r="L295" s="19"/>
      <x:c r="M295" s="26"/>
      <x:c r="N295" s="19"/>
      <x:c r="O295" s="19"/>
    </x:row>
    <x:row r="296">
      <x:c r="A296" s="19"/>
      <x:c r="B296" s="19"/>
      <x:c r="C296" s="19"/>
      <x:c r="D296" s="19"/>
      <x:c r="E296" s="19"/>
      <x:c r="F296" s="25"/>
      <x:c r="G296" s="25"/>
      <x:c r="H296" s="62"/>
      <x:c r="I296" s="120" t="str">
        <x:f>IF($A296="","",SUMIFS('InventoryTransactions'!$D$2:$D$500,'InventoryTransactions'!$B$2:$B$500,$A296))</x:f>
      </x:c>
      <x:c r="J296" s="19"/>
      <x:c r="K296" s="26"/>
      <x:c r="L296" s="19"/>
      <x:c r="M296" s="26"/>
      <x:c r="N296" s="19"/>
      <x:c r="O296" s="19"/>
    </x:row>
    <x:row r="297">
      <x:c r="A297" s="19"/>
      <x:c r="B297" s="19"/>
      <x:c r="C297" s="19"/>
      <x:c r="D297" s="19"/>
      <x:c r="E297" s="19"/>
      <x:c r="F297" s="25"/>
      <x:c r="G297" s="25"/>
      <x:c r="H297" s="62"/>
      <x:c r="I297" s="120" t="str">
        <x:f>IF($A297="","",SUMIFS('InventoryTransactions'!$D$2:$D$500,'InventoryTransactions'!$B$2:$B$500,$A297))</x:f>
      </x:c>
      <x:c r="J297" s="19"/>
      <x:c r="K297" s="26"/>
      <x:c r="L297" s="19"/>
      <x:c r="M297" s="26"/>
      <x:c r="N297" s="19"/>
      <x:c r="O297" s="19"/>
    </x:row>
    <x:row r="298">
      <x:c r="A298" s="19"/>
      <x:c r="B298" s="19"/>
      <x:c r="C298" s="19"/>
      <x:c r="D298" s="19"/>
      <x:c r="E298" s="19"/>
      <x:c r="F298" s="25"/>
      <x:c r="G298" s="25"/>
      <x:c r="H298" s="62"/>
      <x:c r="I298" s="120" t="str">
        <x:f>IF($A298="","",SUMIFS('InventoryTransactions'!$D$2:$D$500,'InventoryTransactions'!$B$2:$B$500,$A298))</x:f>
      </x:c>
      <x:c r="J298" s="19"/>
      <x:c r="K298" s="26"/>
      <x:c r="L298" s="19"/>
      <x:c r="M298" s="26"/>
      <x:c r="N298" s="19"/>
      <x:c r="O298" s="19"/>
    </x:row>
    <x:row r="299">
      <x:c r="A299" s="19"/>
      <x:c r="B299" s="19"/>
      <x:c r="C299" s="19"/>
      <x:c r="D299" s="19"/>
      <x:c r="E299" s="19"/>
      <x:c r="F299" s="25"/>
      <x:c r="G299" s="25"/>
      <x:c r="H299" s="62"/>
      <x:c r="I299" s="120" t="str">
        <x:f>IF($A299="","",SUMIFS('InventoryTransactions'!$D$2:$D$500,'InventoryTransactions'!$B$2:$B$500,$A299))</x:f>
      </x:c>
      <x:c r="J299" s="19"/>
      <x:c r="K299" s="26"/>
      <x:c r="L299" s="19"/>
      <x:c r="M299" s="26"/>
      <x:c r="N299" s="19"/>
      <x:c r="O299" s="19"/>
    </x:row>
    <x:row r="300">
      <x:c r="A300" s="19"/>
      <x:c r="B300" s="19"/>
      <x:c r="C300" s="19"/>
      <x:c r="D300" s="19"/>
      <x:c r="E300" s="19"/>
      <x:c r="F300" s="25"/>
      <x:c r="G300" s="25"/>
      <x:c r="H300" s="62"/>
      <x:c r="I300" s="120" t="str">
        <x:f>IF($A300="","",SUMIFS('InventoryTransactions'!$D$2:$D$500,'InventoryTransactions'!$B$2:$B$500,$A300))</x:f>
      </x:c>
      <x:c r="J300" s="19"/>
      <x:c r="K300" s="26"/>
      <x:c r="L300" s="19"/>
      <x:c r="M300" s="26"/>
      <x:c r="N300" s="19"/>
      <x:c r="O300" s="19"/>
    </x:row>
    <x:row r="301">
      <x:c r="A301" s="19"/>
      <x:c r="B301" s="19"/>
      <x:c r="C301" s="19"/>
      <x:c r="D301" s="19"/>
      <x:c r="E301" s="19"/>
      <x:c r="F301" s="25"/>
      <x:c r="G301" s="25"/>
      <x:c r="H301" s="62"/>
      <x:c r="I301" s="120" t="str">
        <x:f>IF($A301="","",SUMIFS('InventoryTransactions'!$D$2:$D$500,'InventoryTransactions'!$B$2:$B$500,$A301))</x:f>
      </x:c>
      <x:c r="J301" s="19"/>
      <x:c r="K301" s="26"/>
      <x:c r="L301" s="19"/>
      <x:c r="M301" s="26"/>
      <x:c r="N301" s="19"/>
      <x:c r="O301" s="19"/>
    </x:row>
    <x:row r="302">
      <x:c r="A302" s="19"/>
      <x:c r="B302" s="19"/>
      <x:c r="C302" s="19"/>
      <x:c r="D302" s="19"/>
      <x:c r="E302" s="19"/>
      <x:c r="F302" s="25"/>
      <x:c r="G302" s="25"/>
      <x:c r="H302" s="62"/>
      <x:c r="I302" s="120" t="str">
        <x:f>IF($A302="","",SUMIFS('InventoryTransactions'!$D$2:$D$500,'InventoryTransactions'!$B$2:$B$500,$A302))</x:f>
      </x:c>
      <x:c r="J302" s="19"/>
      <x:c r="K302" s="26"/>
      <x:c r="L302" s="19"/>
      <x:c r="M302" s="26"/>
      <x:c r="N302" s="19"/>
      <x:c r="O302" s="19"/>
    </x:row>
    <x:row r="303">
      <x:c r="A303" s="19"/>
      <x:c r="B303" s="19"/>
      <x:c r="C303" s="19"/>
      <x:c r="D303" s="19"/>
      <x:c r="E303" s="19"/>
      <x:c r="F303" s="25"/>
      <x:c r="G303" s="25"/>
      <x:c r="H303" s="62"/>
      <x:c r="I303" s="120" t="str">
        <x:f>IF($A303="","",SUMIFS('InventoryTransactions'!$D$2:$D$500,'InventoryTransactions'!$B$2:$B$500,$A303))</x:f>
      </x:c>
      <x:c r="J303" s="19"/>
      <x:c r="K303" s="26"/>
      <x:c r="L303" s="19"/>
      <x:c r="M303" s="26"/>
      <x:c r="N303" s="19"/>
      <x:c r="O303" s="19"/>
    </x:row>
    <x:row r="304">
      <x:c r="A304" s="19"/>
      <x:c r="B304" s="19"/>
      <x:c r="C304" s="19"/>
      <x:c r="D304" s="19"/>
      <x:c r="E304" s="19"/>
      <x:c r="F304" s="25"/>
      <x:c r="G304" s="25"/>
      <x:c r="H304" s="62"/>
      <x:c r="I304" s="120" t="str">
        <x:f>IF($A304="","",SUMIFS('InventoryTransactions'!$D$2:$D$500,'InventoryTransactions'!$B$2:$B$500,$A304))</x:f>
      </x:c>
      <x:c r="J304" s="19"/>
      <x:c r="K304" s="26"/>
      <x:c r="L304" s="19"/>
      <x:c r="M304" s="26"/>
      <x:c r="N304" s="19"/>
      <x:c r="O304" s="19"/>
    </x:row>
    <x:row r="305">
      <x:c r="A305" s="19"/>
      <x:c r="B305" s="19"/>
      <x:c r="C305" s="19"/>
      <x:c r="D305" s="19"/>
      <x:c r="E305" s="19"/>
      <x:c r="F305" s="25"/>
      <x:c r="G305" s="25"/>
      <x:c r="H305" s="62"/>
      <x:c r="I305" s="120" t="str">
        <x:f>IF($A305="","",SUMIFS('InventoryTransactions'!$D$2:$D$500,'InventoryTransactions'!$B$2:$B$500,$A305))</x:f>
      </x:c>
      <x:c r="J305" s="19"/>
      <x:c r="K305" s="26"/>
      <x:c r="L305" s="19"/>
      <x:c r="M305" s="26"/>
      <x:c r="N305" s="19"/>
      <x:c r="O305" s="19"/>
    </x:row>
    <x:row r="306">
      <x:c r="A306" s="19"/>
      <x:c r="B306" s="19"/>
      <x:c r="C306" s="19"/>
      <x:c r="D306" s="19"/>
      <x:c r="E306" s="19"/>
      <x:c r="F306" s="25"/>
      <x:c r="G306" s="25"/>
      <x:c r="H306" s="62"/>
      <x:c r="I306" s="120" t="str">
        <x:f>IF($A306="","",SUMIFS('InventoryTransactions'!$D$2:$D$500,'InventoryTransactions'!$B$2:$B$500,$A306))</x:f>
      </x:c>
      <x:c r="J306" s="19"/>
      <x:c r="K306" s="26"/>
      <x:c r="L306" s="19"/>
      <x:c r="M306" s="26"/>
      <x:c r="N306" s="19"/>
      <x:c r="O306" s="19"/>
    </x:row>
    <x:row r="307">
      <x:c r="A307" s="19"/>
      <x:c r="B307" s="19"/>
      <x:c r="C307" s="19"/>
      <x:c r="D307" s="19"/>
      <x:c r="E307" s="19"/>
      <x:c r="F307" s="25"/>
      <x:c r="G307" s="25"/>
      <x:c r="H307" s="62"/>
      <x:c r="I307" s="120" t="str">
        <x:f>IF($A307="","",SUMIFS('InventoryTransactions'!$D$2:$D$500,'InventoryTransactions'!$B$2:$B$500,$A307))</x:f>
      </x:c>
      <x:c r="J307" s="19"/>
      <x:c r="K307" s="26"/>
      <x:c r="L307" s="19"/>
      <x:c r="M307" s="26"/>
      <x:c r="N307" s="19"/>
      <x:c r="O307" s="19"/>
    </x:row>
    <x:row r="308">
      <x:c r="A308" s="19"/>
      <x:c r="B308" s="19"/>
      <x:c r="C308" s="19"/>
      <x:c r="D308" s="19"/>
      <x:c r="E308" s="19"/>
      <x:c r="F308" s="25"/>
      <x:c r="G308" s="25"/>
      <x:c r="H308" s="62"/>
      <x:c r="I308" s="120" t="str">
        <x:f>IF($A308="","",SUMIFS('InventoryTransactions'!$D$2:$D$500,'InventoryTransactions'!$B$2:$B$500,$A308))</x:f>
      </x:c>
      <x:c r="J308" s="19"/>
      <x:c r="K308" s="26"/>
      <x:c r="L308" s="19"/>
      <x:c r="M308" s="26"/>
      <x:c r="N308" s="19"/>
      <x:c r="O308" s="19"/>
    </x:row>
    <x:row r="309">
      <x:c r="A309" s="19"/>
      <x:c r="B309" s="19"/>
      <x:c r="C309" s="19"/>
      <x:c r="D309" s="19"/>
      <x:c r="E309" s="19"/>
      <x:c r="F309" s="25"/>
      <x:c r="G309" s="25"/>
      <x:c r="H309" s="62"/>
      <x:c r="I309" s="120" t="str">
        <x:f>IF($A309="","",SUMIFS('InventoryTransactions'!$D$2:$D$500,'InventoryTransactions'!$B$2:$B$500,$A309))</x:f>
      </x:c>
      <x:c r="J309" s="19"/>
      <x:c r="K309" s="26"/>
      <x:c r="L309" s="19"/>
      <x:c r="M309" s="26"/>
      <x:c r="N309" s="19"/>
      <x:c r="O309" s="19"/>
    </x:row>
    <x:row r="310">
      <x:c r="A310" s="19"/>
      <x:c r="B310" s="19"/>
      <x:c r="C310" s="19"/>
      <x:c r="D310" s="19"/>
      <x:c r="E310" s="19"/>
      <x:c r="F310" s="25"/>
      <x:c r="G310" s="25"/>
      <x:c r="H310" s="62"/>
      <x:c r="I310" s="120" t="str">
        <x:f>IF($A310="","",SUMIFS('InventoryTransactions'!$D$2:$D$500,'InventoryTransactions'!$B$2:$B$500,$A310))</x:f>
      </x:c>
      <x:c r="J310" s="19"/>
      <x:c r="K310" s="26"/>
      <x:c r="L310" s="19"/>
      <x:c r="M310" s="26"/>
      <x:c r="N310" s="19"/>
      <x:c r="O310" s="19"/>
    </x:row>
    <x:row r="311">
      <x:c r="A311" s="19"/>
      <x:c r="B311" s="19"/>
      <x:c r="C311" s="19"/>
      <x:c r="D311" s="19"/>
      <x:c r="E311" s="19"/>
      <x:c r="F311" s="25"/>
      <x:c r="G311" s="25"/>
      <x:c r="H311" s="62"/>
      <x:c r="I311" s="120" t="str">
        <x:f>IF($A311="","",SUMIFS('InventoryTransactions'!$D$2:$D$500,'InventoryTransactions'!$B$2:$B$500,$A311))</x:f>
      </x:c>
      <x:c r="J311" s="19"/>
      <x:c r="K311" s="26"/>
      <x:c r="L311" s="19"/>
      <x:c r="M311" s="26"/>
      <x:c r="N311" s="19"/>
      <x:c r="O311" s="19"/>
    </x:row>
    <x:row r="312">
      <x:c r="A312" s="19"/>
      <x:c r="B312" s="19"/>
      <x:c r="C312" s="19"/>
      <x:c r="D312" s="19"/>
      <x:c r="E312" s="19"/>
      <x:c r="F312" s="25"/>
      <x:c r="G312" s="25"/>
      <x:c r="H312" s="62"/>
      <x:c r="I312" s="120" t="str">
        <x:f>IF($A312="","",SUMIFS('InventoryTransactions'!$D$2:$D$500,'InventoryTransactions'!$B$2:$B$500,$A312))</x:f>
      </x:c>
      <x:c r="J312" s="19"/>
      <x:c r="K312" s="26"/>
      <x:c r="L312" s="19"/>
      <x:c r="M312" s="26"/>
      <x:c r="N312" s="19"/>
      <x:c r="O312" s="19"/>
    </x:row>
    <x:row r="313">
      <x:c r="A313" s="19"/>
      <x:c r="B313" s="19"/>
      <x:c r="C313" s="19"/>
      <x:c r="D313" s="19"/>
      <x:c r="E313" s="19"/>
      <x:c r="F313" s="25"/>
      <x:c r="G313" s="25"/>
      <x:c r="H313" s="62"/>
      <x:c r="I313" s="120" t="str">
        <x:f>IF($A313="","",SUMIFS('InventoryTransactions'!$D$2:$D$500,'InventoryTransactions'!$B$2:$B$500,$A313))</x:f>
      </x:c>
      <x:c r="J313" s="19"/>
      <x:c r="K313" s="26"/>
      <x:c r="L313" s="19"/>
      <x:c r="M313" s="26"/>
      <x:c r="N313" s="19"/>
      <x:c r="O313" s="19"/>
    </x:row>
    <x:row r="314">
      <x:c r="A314" s="19"/>
      <x:c r="B314" s="19"/>
      <x:c r="C314" s="19"/>
      <x:c r="D314" s="19"/>
      <x:c r="E314" s="19"/>
      <x:c r="F314" s="25"/>
      <x:c r="G314" s="25"/>
      <x:c r="H314" s="62"/>
      <x:c r="I314" s="120" t="str">
        <x:f>IF($A314="","",SUMIFS('InventoryTransactions'!$D$2:$D$500,'InventoryTransactions'!$B$2:$B$500,$A314))</x:f>
      </x:c>
      <x:c r="J314" s="19"/>
      <x:c r="K314" s="26"/>
      <x:c r="L314" s="19"/>
      <x:c r="M314" s="26"/>
      <x:c r="N314" s="19"/>
      <x:c r="O314" s="19"/>
    </x:row>
    <x:row r="315">
      <x:c r="A315" s="19"/>
      <x:c r="B315" s="19"/>
      <x:c r="C315" s="19"/>
      <x:c r="D315" s="19"/>
      <x:c r="E315" s="19"/>
      <x:c r="F315" s="25"/>
      <x:c r="G315" s="25"/>
      <x:c r="H315" s="62"/>
      <x:c r="I315" s="120" t="str">
        <x:f>IF($A315="","",SUMIFS('InventoryTransactions'!$D$2:$D$500,'InventoryTransactions'!$B$2:$B$500,$A315))</x:f>
      </x:c>
      <x:c r="J315" s="19"/>
      <x:c r="K315" s="26"/>
      <x:c r="L315" s="19"/>
      <x:c r="M315" s="26"/>
      <x:c r="N315" s="19"/>
      <x:c r="O315" s="19"/>
    </x:row>
    <x:row r="316">
      <x:c r="A316" s="19"/>
      <x:c r="B316" s="19"/>
      <x:c r="C316" s="19"/>
      <x:c r="D316" s="19"/>
      <x:c r="E316" s="19"/>
      <x:c r="F316" s="25"/>
      <x:c r="G316" s="25"/>
      <x:c r="H316" s="62"/>
      <x:c r="I316" s="120" t="str">
        <x:f>IF($A316="","",SUMIFS('InventoryTransactions'!$D$2:$D$500,'InventoryTransactions'!$B$2:$B$500,$A316))</x:f>
      </x:c>
      <x:c r="J316" s="19"/>
      <x:c r="K316" s="26"/>
      <x:c r="L316" s="19"/>
      <x:c r="M316" s="26"/>
      <x:c r="N316" s="19"/>
      <x:c r="O316" s="19"/>
    </x:row>
    <x:row r="317">
      <x:c r="A317" s="19"/>
      <x:c r="B317" s="19"/>
      <x:c r="C317" s="19"/>
      <x:c r="D317" s="19"/>
      <x:c r="E317" s="19"/>
      <x:c r="F317" s="25"/>
      <x:c r="G317" s="25"/>
      <x:c r="H317" s="62"/>
      <x:c r="I317" s="120" t="str">
        <x:f>IF($A317="","",SUMIFS('InventoryTransactions'!$D$2:$D$500,'InventoryTransactions'!$B$2:$B$500,$A317))</x:f>
      </x:c>
      <x:c r="J317" s="19"/>
      <x:c r="K317" s="26"/>
      <x:c r="L317" s="19"/>
      <x:c r="M317" s="26"/>
      <x:c r="N317" s="19"/>
      <x:c r="O317" s="19"/>
    </x:row>
    <x:row r="318">
      <x:c r="A318" s="19"/>
      <x:c r="B318" s="19"/>
      <x:c r="C318" s="19"/>
      <x:c r="D318" s="19"/>
      <x:c r="E318" s="19"/>
      <x:c r="F318" s="25"/>
      <x:c r="G318" s="25"/>
      <x:c r="H318" s="62"/>
      <x:c r="I318" s="120" t="str">
        <x:f>IF($A318="","",SUMIFS('InventoryTransactions'!$D$2:$D$500,'InventoryTransactions'!$B$2:$B$500,$A318))</x:f>
      </x:c>
      <x:c r="J318" s="19"/>
      <x:c r="K318" s="26"/>
      <x:c r="L318" s="19"/>
      <x:c r="M318" s="26"/>
      <x:c r="N318" s="19"/>
      <x:c r="O318" s="19"/>
    </x:row>
    <x:row r="319">
      <x:c r="A319" s="19"/>
      <x:c r="B319" s="19"/>
      <x:c r="C319" s="19"/>
      <x:c r="D319" s="19"/>
      <x:c r="E319" s="19"/>
      <x:c r="F319" s="25"/>
      <x:c r="G319" s="25"/>
      <x:c r="H319" s="62"/>
      <x:c r="I319" s="120" t="str">
        <x:f>IF($A319="","",SUMIFS('InventoryTransactions'!$D$2:$D$500,'InventoryTransactions'!$B$2:$B$500,$A319))</x:f>
      </x:c>
      <x:c r="J319" s="19"/>
      <x:c r="K319" s="26"/>
      <x:c r="L319" s="19"/>
      <x:c r="M319" s="26"/>
      <x:c r="N319" s="19"/>
      <x:c r="O319" s="19"/>
    </x:row>
    <x:row r="320">
      <x:c r="A320" s="19"/>
      <x:c r="B320" s="19"/>
      <x:c r="C320" s="19"/>
      <x:c r="D320" s="19"/>
      <x:c r="E320" s="19"/>
      <x:c r="F320" s="25"/>
      <x:c r="G320" s="25"/>
      <x:c r="H320" s="62"/>
      <x:c r="I320" s="120" t="str">
        <x:f>IF($A320="","",SUMIFS('InventoryTransactions'!$D$2:$D$500,'InventoryTransactions'!$B$2:$B$500,$A320))</x:f>
      </x:c>
      <x:c r="J320" s="19"/>
      <x:c r="K320" s="26"/>
      <x:c r="L320" s="19"/>
      <x:c r="M320" s="26"/>
      <x:c r="N320" s="19"/>
      <x:c r="O320" s="19"/>
    </x:row>
    <x:row r="321">
      <x:c r="A321" s="19"/>
      <x:c r="B321" s="19"/>
      <x:c r="C321" s="19"/>
      <x:c r="D321" s="19"/>
      <x:c r="E321" s="19"/>
      <x:c r="F321" s="25"/>
      <x:c r="G321" s="25"/>
      <x:c r="H321" s="62"/>
      <x:c r="I321" s="120" t="str">
        <x:f>IF($A321="","",SUMIFS('InventoryTransactions'!$D$2:$D$500,'InventoryTransactions'!$B$2:$B$500,$A321))</x:f>
      </x:c>
      <x:c r="J321" s="19"/>
      <x:c r="K321" s="26"/>
      <x:c r="L321" s="19"/>
      <x:c r="M321" s="26"/>
      <x:c r="N321" s="19"/>
      <x:c r="O321" s="19"/>
    </x:row>
    <x:row r="322">
      <x:c r="A322" s="19"/>
      <x:c r="B322" s="19"/>
      <x:c r="C322" s="19"/>
      <x:c r="D322" s="19"/>
      <x:c r="E322" s="19"/>
      <x:c r="F322" s="25"/>
      <x:c r="G322" s="25"/>
      <x:c r="H322" s="62"/>
      <x:c r="I322" s="120" t="str">
        <x:f>IF($A322="","",SUMIFS('InventoryTransactions'!$D$2:$D$500,'InventoryTransactions'!$B$2:$B$500,$A322))</x:f>
      </x:c>
      <x:c r="J322" s="19"/>
      <x:c r="K322" s="26"/>
      <x:c r="L322" s="19"/>
      <x:c r="M322" s="26"/>
      <x:c r="N322" s="19"/>
      <x:c r="O322" s="19"/>
    </x:row>
    <x:row r="323">
      <x:c r="A323" s="19"/>
      <x:c r="B323" s="19"/>
      <x:c r="C323" s="19"/>
      <x:c r="D323" s="19"/>
      <x:c r="E323" s="19"/>
      <x:c r="F323" s="25"/>
      <x:c r="G323" s="25"/>
      <x:c r="H323" s="62"/>
      <x:c r="I323" s="120" t="str">
        <x:f>IF($A323="","",SUMIFS('InventoryTransactions'!$D$2:$D$500,'InventoryTransactions'!$B$2:$B$500,$A323))</x:f>
      </x:c>
      <x:c r="J323" s="19"/>
      <x:c r="K323" s="26"/>
      <x:c r="L323" s="19"/>
      <x:c r="M323" s="26"/>
      <x:c r="N323" s="19"/>
      <x:c r="O323" s="19"/>
    </x:row>
    <x:row r="324">
      <x:c r="A324" s="19"/>
      <x:c r="B324" s="19"/>
      <x:c r="C324" s="19"/>
      <x:c r="D324" s="19"/>
      <x:c r="E324" s="19"/>
      <x:c r="F324" s="25"/>
      <x:c r="G324" s="25"/>
      <x:c r="H324" s="62"/>
      <x:c r="I324" s="120" t="str">
        <x:f>IF($A324="","",SUMIFS('InventoryTransactions'!$D$2:$D$500,'InventoryTransactions'!$B$2:$B$500,$A324))</x:f>
      </x:c>
      <x:c r="J324" s="19"/>
      <x:c r="K324" s="26"/>
      <x:c r="L324" s="19"/>
      <x:c r="M324" s="26"/>
      <x:c r="N324" s="19"/>
      <x:c r="O324" s="19"/>
    </x:row>
    <x:row r="325">
      <x:c r="A325" s="19"/>
      <x:c r="B325" s="19"/>
      <x:c r="C325" s="19"/>
      <x:c r="D325" s="19"/>
      <x:c r="E325" s="19"/>
      <x:c r="F325" s="25"/>
      <x:c r="G325" s="25"/>
      <x:c r="H325" s="62"/>
      <x:c r="I325" s="120" t="str">
        <x:f>IF($A325="","",SUMIFS('InventoryTransactions'!$D$2:$D$500,'InventoryTransactions'!$B$2:$B$500,$A325))</x:f>
      </x:c>
      <x:c r="J325" s="19"/>
      <x:c r="K325" s="26"/>
      <x:c r="L325" s="19"/>
      <x:c r="M325" s="26"/>
      <x:c r="N325" s="19"/>
      <x:c r="O325" s="19"/>
    </x:row>
    <x:row r="326">
      <x:c r="A326" s="19"/>
      <x:c r="B326" s="19"/>
      <x:c r="C326" s="19"/>
      <x:c r="D326" s="19"/>
      <x:c r="E326" s="19"/>
      <x:c r="F326" s="25"/>
      <x:c r="G326" s="25"/>
      <x:c r="H326" s="62"/>
      <x:c r="I326" s="120" t="str">
        <x:f>IF($A326="","",SUMIFS('InventoryTransactions'!$D$2:$D$500,'InventoryTransactions'!$B$2:$B$500,$A326))</x:f>
      </x:c>
      <x:c r="J326" s="19"/>
      <x:c r="K326" s="26"/>
      <x:c r="L326" s="19"/>
      <x:c r="M326" s="26"/>
      <x:c r="N326" s="19"/>
      <x:c r="O326" s="19"/>
    </x:row>
    <x:row r="327">
      <x:c r="A327" s="19"/>
      <x:c r="B327" s="19"/>
      <x:c r="C327" s="19"/>
      <x:c r="D327" s="19"/>
      <x:c r="E327" s="19"/>
      <x:c r="F327" s="25"/>
      <x:c r="G327" s="25"/>
      <x:c r="H327" s="62"/>
      <x:c r="I327" s="120" t="str">
        <x:f>IF($A327="","",SUMIFS('InventoryTransactions'!$D$2:$D$500,'InventoryTransactions'!$B$2:$B$500,$A327))</x:f>
      </x:c>
      <x:c r="J327" s="19"/>
      <x:c r="K327" s="26"/>
      <x:c r="L327" s="19"/>
      <x:c r="M327" s="26"/>
      <x:c r="N327" s="19"/>
      <x:c r="O327" s="19"/>
    </x:row>
    <x:row r="328">
      <x:c r="A328" s="19"/>
      <x:c r="B328" s="19"/>
      <x:c r="C328" s="19"/>
      <x:c r="D328" s="19"/>
      <x:c r="E328" s="19"/>
      <x:c r="F328" s="25"/>
      <x:c r="G328" s="25"/>
      <x:c r="H328" s="62"/>
      <x:c r="I328" s="120" t="str">
        <x:f>IF($A328="","",SUMIFS('InventoryTransactions'!$D$2:$D$500,'InventoryTransactions'!$B$2:$B$500,$A328))</x:f>
      </x:c>
      <x:c r="J328" s="19"/>
      <x:c r="K328" s="26"/>
      <x:c r="L328" s="19"/>
      <x:c r="M328" s="26"/>
      <x:c r="N328" s="19"/>
      <x:c r="O328" s="19"/>
    </x:row>
    <x:row r="329">
      <x:c r="A329" s="19"/>
      <x:c r="B329" s="19"/>
      <x:c r="C329" s="19"/>
      <x:c r="D329" s="19"/>
      <x:c r="E329" s="19"/>
      <x:c r="F329" s="25"/>
      <x:c r="G329" s="25"/>
      <x:c r="H329" s="62"/>
      <x:c r="I329" s="120" t="str">
        <x:f>IF($A329="","",SUMIFS('InventoryTransactions'!$D$2:$D$500,'InventoryTransactions'!$B$2:$B$500,$A329))</x:f>
      </x:c>
      <x:c r="J329" s="19"/>
      <x:c r="K329" s="26"/>
      <x:c r="L329" s="19"/>
      <x:c r="M329" s="26"/>
      <x:c r="N329" s="19"/>
      <x:c r="O329" s="19"/>
    </x:row>
    <x:row r="330">
      <x:c r="A330" s="19"/>
      <x:c r="B330" s="19"/>
      <x:c r="C330" s="19"/>
      <x:c r="D330" s="19"/>
      <x:c r="E330" s="19"/>
      <x:c r="F330" s="25"/>
      <x:c r="G330" s="25"/>
      <x:c r="H330" s="62"/>
      <x:c r="I330" s="120" t="str">
        <x:f>IF($A330="","",SUMIFS('InventoryTransactions'!$D$2:$D$500,'InventoryTransactions'!$B$2:$B$500,$A330))</x:f>
      </x:c>
      <x:c r="J330" s="19"/>
      <x:c r="K330" s="26"/>
      <x:c r="L330" s="19"/>
      <x:c r="M330" s="26"/>
      <x:c r="N330" s="19"/>
      <x:c r="O330" s="19"/>
    </x:row>
    <x:row r="331">
      <x:c r="A331" s="19"/>
      <x:c r="B331" s="19"/>
      <x:c r="C331" s="19"/>
      <x:c r="D331" s="19"/>
      <x:c r="E331" s="19"/>
      <x:c r="F331" s="25"/>
      <x:c r="G331" s="25"/>
      <x:c r="H331" s="62"/>
      <x:c r="I331" s="120" t="str">
        <x:f>IF($A331="","",SUMIFS('InventoryTransactions'!$D$2:$D$500,'InventoryTransactions'!$B$2:$B$500,$A331))</x:f>
      </x:c>
      <x:c r="J331" s="19"/>
      <x:c r="K331" s="26"/>
      <x:c r="L331" s="19"/>
      <x:c r="M331" s="26"/>
      <x:c r="N331" s="19"/>
      <x:c r="O331" s="19"/>
    </x:row>
    <x:row r="332">
      <x:c r="A332" s="19"/>
      <x:c r="B332" s="19"/>
      <x:c r="C332" s="19"/>
      <x:c r="D332" s="19"/>
      <x:c r="E332" s="19"/>
      <x:c r="F332" s="25"/>
      <x:c r="G332" s="25"/>
      <x:c r="H332" s="62"/>
      <x:c r="I332" s="120" t="str">
        <x:f>IF($A332="","",SUMIFS('InventoryTransactions'!$D$2:$D$500,'InventoryTransactions'!$B$2:$B$500,$A332))</x:f>
      </x:c>
      <x:c r="J332" s="19"/>
      <x:c r="K332" s="26"/>
      <x:c r="L332" s="19"/>
      <x:c r="M332" s="26"/>
      <x:c r="N332" s="19"/>
      <x:c r="O332" s="19"/>
    </x:row>
    <x:row r="333">
      <x:c r="A333" s="19"/>
      <x:c r="B333" s="19"/>
      <x:c r="C333" s="19"/>
      <x:c r="D333" s="19"/>
      <x:c r="E333" s="19"/>
      <x:c r="F333" s="25"/>
      <x:c r="G333" s="25"/>
      <x:c r="H333" s="62"/>
      <x:c r="I333" s="120" t="str">
        <x:f>IF($A333="","",SUMIFS('InventoryTransactions'!$D$2:$D$500,'InventoryTransactions'!$B$2:$B$500,$A333))</x:f>
      </x:c>
      <x:c r="J333" s="19"/>
      <x:c r="K333" s="26"/>
      <x:c r="L333" s="19"/>
      <x:c r="M333" s="26"/>
      <x:c r="N333" s="19"/>
      <x:c r="O333" s="19"/>
    </x:row>
    <x:row r="334">
      <x:c r="A334" s="19"/>
      <x:c r="B334" s="19"/>
      <x:c r="C334" s="19"/>
      <x:c r="D334" s="19"/>
      <x:c r="E334" s="19"/>
      <x:c r="F334" s="25"/>
      <x:c r="G334" s="25"/>
      <x:c r="H334" s="62"/>
      <x:c r="I334" s="120" t="str">
        <x:f>IF($A334="","",SUMIFS('InventoryTransactions'!$D$2:$D$500,'InventoryTransactions'!$B$2:$B$500,$A334))</x:f>
      </x:c>
      <x:c r="J334" s="19"/>
      <x:c r="K334" s="26"/>
      <x:c r="L334" s="19"/>
      <x:c r="M334" s="26"/>
      <x:c r="N334" s="19"/>
      <x:c r="O334" s="19"/>
    </x:row>
    <x:row r="335">
      <x:c r="A335" s="19"/>
      <x:c r="B335" s="19"/>
      <x:c r="C335" s="19"/>
      <x:c r="D335" s="19"/>
      <x:c r="E335" s="19"/>
      <x:c r="F335" s="25"/>
      <x:c r="G335" s="25"/>
      <x:c r="H335" s="62"/>
      <x:c r="I335" s="120" t="str">
        <x:f>IF($A335="","",SUMIFS('InventoryTransactions'!$D$2:$D$500,'InventoryTransactions'!$B$2:$B$500,$A335))</x:f>
      </x:c>
      <x:c r="J335" s="19"/>
      <x:c r="K335" s="26"/>
      <x:c r="L335" s="19"/>
      <x:c r="M335" s="26"/>
      <x:c r="N335" s="19"/>
      <x:c r="O335" s="19"/>
    </x:row>
    <x:row r="336">
      <x:c r="A336" s="19"/>
      <x:c r="B336" s="19"/>
      <x:c r="C336" s="19"/>
      <x:c r="D336" s="19"/>
      <x:c r="E336" s="19"/>
      <x:c r="F336" s="25"/>
      <x:c r="G336" s="25"/>
      <x:c r="H336" s="62"/>
      <x:c r="I336" s="120" t="str">
        <x:f>IF($A336="","",SUMIFS('InventoryTransactions'!$D$2:$D$500,'InventoryTransactions'!$B$2:$B$500,$A336))</x:f>
      </x:c>
      <x:c r="J336" s="19"/>
      <x:c r="K336" s="26"/>
      <x:c r="L336" s="19"/>
      <x:c r="M336" s="26"/>
      <x:c r="N336" s="19"/>
      <x:c r="O336" s="19"/>
    </x:row>
    <x:row r="337">
      <x:c r="A337" s="19"/>
      <x:c r="B337" s="19"/>
      <x:c r="C337" s="19"/>
      <x:c r="D337" s="19"/>
      <x:c r="E337" s="19"/>
      <x:c r="F337" s="25"/>
      <x:c r="G337" s="25"/>
      <x:c r="H337" s="62"/>
      <x:c r="I337" s="120" t="str">
        <x:f>IF($A337="","",SUMIFS('InventoryTransactions'!$D$2:$D$500,'InventoryTransactions'!$B$2:$B$500,$A337))</x:f>
      </x:c>
      <x:c r="J337" s="19"/>
      <x:c r="K337" s="26"/>
      <x:c r="L337" s="19"/>
      <x:c r="M337" s="26"/>
      <x:c r="N337" s="19"/>
      <x:c r="O337" s="19"/>
    </x:row>
    <x:row r="338">
      <x:c r="A338" s="19"/>
      <x:c r="B338" s="19"/>
      <x:c r="C338" s="19"/>
      <x:c r="D338" s="19"/>
      <x:c r="E338" s="19"/>
      <x:c r="F338" s="25"/>
      <x:c r="G338" s="25"/>
      <x:c r="H338" s="62"/>
      <x:c r="I338" s="120" t="str">
        <x:f>IF($A338="","",SUMIFS('InventoryTransactions'!$D$2:$D$500,'InventoryTransactions'!$B$2:$B$500,$A338))</x:f>
      </x:c>
      <x:c r="J338" s="19"/>
      <x:c r="K338" s="26"/>
      <x:c r="L338" s="19"/>
      <x:c r="M338" s="26"/>
      <x:c r="N338" s="19"/>
      <x:c r="O338" s="19"/>
    </x:row>
    <x:row r="339">
      <x:c r="A339" s="19"/>
      <x:c r="B339" s="19"/>
      <x:c r="C339" s="19"/>
      <x:c r="D339" s="19"/>
      <x:c r="E339" s="19"/>
      <x:c r="F339" s="25"/>
      <x:c r="G339" s="25"/>
      <x:c r="H339" s="62"/>
      <x:c r="I339" s="120" t="str">
        <x:f>IF($A339="","",SUMIFS('InventoryTransactions'!$D$2:$D$500,'InventoryTransactions'!$B$2:$B$500,$A339))</x:f>
      </x:c>
      <x:c r="J339" s="19"/>
      <x:c r="K339" s="26"/>
      <x:c r="L339" s="19"/>
      <x:c r="M339" s="26"/>
      <x:c r="N339" s="19"/>
      <x:c r="O339" s="19"/>
    </x:row>
    <x:row r="340">
      <x:c r="A340" s="19"/>
      <x:c r="B340" s="19"/>
      <x:c r="C340" s="19"/>
      <x:c r="D340" s="19"/>
      <x:c r="E340" s="19"/>
      <x:c r="F340" s="25"/>
      <x:c r="G340" s="25"/>
      <x:c r="H340" s="62"/>
      <x:c r="I340" s="120" t="str">
        <x:f>IF($A340="","",SUMIFS('InventoryTransactions'!$D$2:$D$500,'InventoryTransactions'!$B$2:$B$500,$A340))</x:f>
      </x:c>
      <x:c r="J340" s="19"/>
      <x:c r="K340" s="26"/>
      <x:c r="L340" s="19"/>
      <x:c r="M340" s="26"/>
      <x:c r="N340" s="19"/>
      <x:c r="O340" s="19"/>
    </x:row>
    <x:row r="341">
      <x:c r="A341" s="19"/>
      <x:c r="B341" s="19"/>
      <x:c r="C341" s="19"/>
      <x:c r="D341" s="19"/>
      <x:c r="E341" s="19"/>
      <x:c r="F341" s="25"/>
      <x:c r="G341" s="25"/>
      <x:c r="H341" s="62"/>
      <x:c r="I341" s="120" t="str">
        <x:f>IF($A341="","",SUMIFS('InventoryTransactions'!$D$2:$D$500,'InventoryTransactions'!$B$2:$B$500,$A341))</x:f>
      </x:c>
      <x:c r="J341" s="19"/>
      <x:c r="K341" s="26"/>
      <x:c r="L341" s="19"/>
      <x:c r="M341" s="26"/>
      <x:c r="N341" s="19"/>
      <x:c r="O341" s="19"/>
    </x:row>
    <x:row r="342">
      <x:c r="A342" s="19"/>
      <x:c r="B342" s="19"/>
      <x:c r="C342" s="19"/>
      <x:c r="D342" s="19"/>
      <x:c r="E342" s="19"/>
      <x:c r="F342" s="25"/>
      <x:c r="G342" s="25"/>
      <x:c r="H342" s="62"/>
      <x:c r="I342" s="120" t="str">
        <x:f>IF($A342="","",SUMIFS('InventoryTransactions'!$D$2:$D$500,'InventoryTransactions'!$B$2:$B$500,$A342))</x:f>
      </x:c>
      <x:c r="J342" s="19"/>
      <x:c r="K342" s="26"/>
      <x:c r="L342" s="19"/>
      <x:c r="M342" s="26"/>
      <x:c r="N342" s="19"/>
      <x:c r="O342" s="19"/>
    </x:row>
    <x:row r="343">
      <x:c r="A343" s="19"/>
      <x:c r="B343" s="19"/>
      <x:c r="C343" s="19"/>
      <x:c r="D343" s="19"/>
      <x:c r="E343" s="19"/>
      <x:c r="F343" s="25"/>
      <x:c r="G343" s="25"/>
      <x:c r="H343" s="62"/>
      <x:c r="I343" s="120" t="str">
        <x:f>IF($A343="","",SUMIFS('InventoryTransactions'!$D$2:$D$500,'InventoryTransactions'!$B$2:$B$500,$A343))</x:f>
      </x:c>
      <x:c r="J343" s="19"/>
      <x:c r="K343" s="26"/>
      <x:c r="L343" s="19"/>
      <x:c r="M343" s="26"/>
      <x:c r="N343" s="19"/>
      <x:c r="O343" s="19"/>
    </x:row>
    <x:row r="344">
      <x:c r="A344" s="19"/>
      <x:c r="B344" s="19"/>
      <x:c r="C344" s="19"/>
      <x:c r="D344" s="19"/>
      <x:c r="E344" s="19"/>
      <x:c r="F344" s="25"/>
      <x:c r="G344" s="25"/>
      <x:c r="H344" s="62"/>
      <x:c r="I344" s="120" t="str">
        <x:f>IF($A344="","",SUMIFS('InventoryTransactions'!$D$2:$D$500,'InventoryTransactions'!$B$2:$B$500,$A344))</x:f>
      </x:c>
      <x:c r="J344" s="19"/>
      <x:c r="K344" s="26"/>
      <x:c r="L344" s="19"/>
      <x:c r="M344" s="26"/>
      <x:c r="N344" s="19"/>
      <x:c r="O344" s="19"/>
    </x:row>
    <x:row r="345">
      <x:c r="A345" s="19"/>
      <x:c r="B345" s="19"/>
      <x:c r="C345" s="19"/>
      <x:c r="D345" s="19"/>
      <x:c r="E345" s="19"/>
      <x:c r="F345" s="25"/>
      <x:c r="G345" s="25"/>
      <x:c r="H345" s="62"/>
      <x:c r="I345" s="120" t="str">
        <x:f>IF($A345="","",SUMIFS('InventoryTransactions'!$D$2:$D$500,'InventoryTransactions'!$B$2:$B$500,$A345))</x:f>
      </x:c>
      <x:c r="J345" s="19"/>
      <x:c r="K345" s="26"/>
      <x:c r="L345" s="19"/>
      <x:c r="M345" s="26"/>
      <x:c r="N345" s="19"/>
      <x:c r="O345" s="19"/>
    </x:row>
    <x:row r="346">
      <x:c r="A346" s="19"/>
      <x:c r="B346" s="19"/>
      <x:c r="C346" s="19"/>
      <x:c r="D346" s="19"/>
      <x:c r="E346" s="19"/>
      <x:c r="F346" s="25"/>
      <x:c r="G346" s="25"/>
      <x:c r="H346" s="62"/>
      <x:c r="I346" s="120" t="str">
        <x:f>IF($A346="","",SUMIFS('InventoryTransactions'!$D$2:$D$500,'InventoryTransactions'!$B$2:$B$500,$A346))</x:f>
      </x:c>
      <x:c r="J346" s="19"/>
      <x:c r="K346" s="26"/>
      <x:c r="L346" s="19"/>
      <x:c r="M346" s="26"/>
      <x:c r="N346" s="19"/>
      <x:c r="O346" s="19"/>
    </x:row>
    <x:row r="347">
      <x:c r="A347" s="19"/>
      <x:c r="B347" s="19"/>
      <x:c r="C347" s="19"/>
      <x:c r="D347" s="19"/>
      <x:c r="E347" s="19"/>
      <x:c r="F347" s="25"/>
      <x:c r="G347" s="25"/>
      <x:c r="H347" s="62"/>
      <x:c r="I347" s="120" t="str">
        <x:f>IF($A347="","",SUMIFS('InventoryTransactions'!$D$2:$D$500,'InventoryTransactions'!$B$2:$B$500,$A347))</x:f>
      </x:c>
      <x:c r="J347" s="19"/>
      <x:c r="K347" s="26"/>
      <x:c r="L347" s="19"/>
      <x:c r="M347" s="26"/>
      <x:c r="N347" s="19"/>
      <x:c r="O347" s="19"/>
    </x:row>
    <x:row r="348">
      <x:c r="A348" s="19"/>
      <x:c r="B348" s="19"/>
      <x:c r="C348" s="19"/>
      <x:c r="D348" s="19"/>
      <x:c r="E348" s="19"/>
      <x:c r="F348" s="25"/>
      <x:c r="G348" s="25"/>
      <x:c r="H348" s="62"/>
      <x:c r="I348" s="120" t="str">
        <x:f>IF($A348="","",SUMIFS('InventoryTransactions'!$D$2:$D$500,'InventoryTransactions'!$B$2:$B$500,$A348))</x:f>
      </x:c>
      <x:c r="J348" s="19"/>
      <x:c r="K348" s="26"/>
      <x:c r="L348" s="19"/>
      <x:c r="M348" s="26"/>
      <x:c r="N348" s="19"/>
      <x:c r="O348" s="19"/>
    </x:row>
    <x:row r="349">
      <x:c r="A349" s="19"/>
      <x:c r="B349" s="19"/>
      <x:c r="C349" s="19"/>
      <x:c r="D349" s="19"/>
      <x:c r="E349" s="19"/>
      <x:c r="F349" s="25"/>
      <x:c r="G349" s="25"/>
      <x:c r="H349" s="62"/>
      <x:c r="I349" s="120" t="str">
        <x:f>IF($A349="","",SUMIFS('InventoryTransactions'!$D$2:$D$500,'InventoryTransactions'!$B$2:$B$500,$A349))</x:f>
      </x:c>
      <x:c r="J349" s="19"/>
      <x:c r="K349" s="26"/>
      <x:c r="L349" s="19"/>
      <x:c r="M349" s="26"/>
      <x:c r="N349" s="19"/>
      <x:c r="O349" s="19"/>
    </x:row>
    <x:row r="350">
      <x:c r="A350" s="19"/>
      <x:c r="B350" s="19"/>
      <x:c r="C350" s="19"/>
      <x:c r="D350" s="19"/>
      <x:c r="E350" s="19"/>
      <x:c r="F350" s="25"/>
      <x:c r="G350" s="25"/>
      <x:c r="H350" s="62"/>
      <x:c r="I350" s="120" t="str">
        <x:f>IF($A350="","",SUMIFS('InventoryTransactions'!$D$2:$D$500,'InventoryTransactions'!$B$2:$B$500,$A350))</x:f>
      </x:c>
      <x:c r="J350" s="19"/>
      <x:c r="K350" s="26"/>
      <x:c r="L350" s="19"/>
      <x:c r="M350" s="26"/>
      <x:c r="N350" s="19"/>
      <x:c r="O350" s="19"/>
    </x:row>
    <x:row r="351">
      <x:c r="A351" s="19"/>
      <x:c r="B351" s="19"/>
      <x:c r="C351" s="19"/>
      <x:c r="D351" s="19"/>
      <x:c r="E351" s="19"/>
      <x:c r="F351" s="25"/>
      <x:c r="G351" s="25"/>
      <x:c r="H351" s="62"/>
      <x:c r="I351" s="120" t="str">
        <x:f>IF($A351="","",SUMIFS('InventoryTransactions'!$D$2:$D$500,'InventoryTransactions'!$B$2:$B$500,$A351))</x:f>
      </x:c>
      <x:c r="J351" s="19"/>
      <x:c r="K351" s="26"/>
      <x:c r="L351" s="19"/>
      <x:c r="M351" s="26"/>
      <x:c r="N351" s="19"/>
      <x:c r="O351" s="19"/>
    </x:row>
    <x:row r="352">
      <x:c r="A352" s="19"/>
      <x:c r="B352" s="19"/>
      <x:c r="C352" s="19"/>
      <x:c r="D352" s="19"/>
      <x:c r="E352" s="19"/>
      <x:c r="F352" s="25"/>
      <x:c r="G352" s="25"/>
      <x:c r="H352" s="62"/>
      <x:c r="I352" s="120" t="str">
        <x:f>IF($A352="","",SUMIFS('InventoryTransactions'!$D$2:$D$500,'InventoryTransactions'!$B$2:$B$500,$A352))</x:f>
      </x:c>
      <x:c r="J352" s="19"/>
      <x:c r="K352" s="26"/>
      <x:c r="L352" s="19"/>
      <x:c r="M352" s="26"/>
      <x:c r="N352" s="19"/>
      <x:c r="O352" s="19"/>
    </x:row>
    <x:row r="353">
      <x:c r="A353" s="19"/>
      <x:c r="B353" s="19"/>
      <x:c r="C353" s="19"/>
      <x:c r="D353" s="19"/>
      <x:c r="E353" s="19"/>
      <x:c r="F353" s="25"/>
      <x:c r="G353" s="25"/>
      <x:c r="H353" s="62"/>
      <x:c r="I353" s="120" t="str">
        <x:f>IF($A353="","",SUMIFS('InventoryTransactions'!$D$2:$D$500,'InventoryTransactions'!$B$2:$B$500,$A353))</x:f>
      </x:c>
      <x:c r="J353" s="19"/>
      <x:c r="K353" s="26"/>
      <x:c r="L353" s="19"/>
      <x:c r="M353" s="26"/>
      <x:c r="N353" s="19"/>
      <x:c r="O353" s="19"/>
    </x:row>
    <x:row r="354">
      <x:c r="A354" s="19"/>
      <x:c r="B354" s="19"/>
      <x:c r="C354" s="19"/>
      <x:c r="D354" s="19"/>
      <x:c r="E354" s="19"/>
      <x:c r="F354" s="25"/>
      <x:c r="G354" s="25"/>
      <x:c r="H354" s="62"/>
      <x:c r="I354" s="120" t="str">
        <x:f>IF($A354="","",SUMIFS('InventoryTransactions'!$D$2:$D$500,'InventoryTransactions'!$B$2:$B$500,$A354))</x:f>
      </x:c>
      <x:c r="J354" s="19"/>
      <x:c r="K354" s="26"/>
      <x:c r="L354" s="19"/>
      <x:c r="M354" s="26"/>
      <x:c r="N354" s="19"/>
      <x:c r="O354" s="19"/>
    </x:row>
    <x:row r="355">
      <x:c r="A355" s="19"/>
      <x:c r="B355" s="19"/>
      <x:c r="C355" s="19"/>
      <x:c r="D355" s="19"/>
      <x:c r="E355" s="19"/>
      <x:c r="F355" s="25"/>
      <x:c r="G355" s="25"/>
      <x:c r="H355" s="62"/>
      <x:c r="I355" s="120" t="str">
        <x:f>IF($A355="","",SUMIFS('InventoryTransactions'!$D$2:$D$500,'InventoryTransactions'!$B$2:$B$500,$A355))</x:f>
      </x:c>
      <x:c r="J355" s="19"/>
      <x:c r="K355" s="26"/>
      <x:c r="L355" s="19"/>
      <x:c r="M355" s="26"/>
      <x:c r="N355" s="19"/>
      <x:c r="O355" s="19"/>
    </x:row>
    <x:row r="356">
      <x:c r="A356" s="19"/>
      <x:c r="B356" s="19"/>
      <x:c r="C356" s="19"/>
      <x:c r="D356" s="19"/>
      <x:c r="E356" s="19"/>
      <x:c r="F356" s="25"/>
      <x:c r="G356" s="25"/>
      <x:c r="H356" s="62"/>
      <x:c r="I356" s="120" t="str">
        <x:f>IF($A356="","",SUMIFS('InventoryTransactions'!$D$2:$D$500,'InventoryTransactions'!$B$2:$B$500,$A356))</x:f>
      </x:c>
      <x:c r="J356" s="19"/>
      <x:c r="K356" s="26"/>
      <x:c r="L356" s="19"/>
      <x:c r="M356" s="26"/>
      <x:c r="N356" s="19"/>
      <x:c r="O356" s="19"/>
    </x:row>
    <x:row r="357">
      <x:c r="A357" s="19"/>
      <x:c r="B357" s="19"/>
      <x:c r="C357" s="19"/>
      <x:c r="D357" s="19"/>
      <x:c r="E357" s="19"/>
      <x:c r="F357" s="25"/>
      <x:c r="G357" s="25"/>
      <x:c r="H357" s="62"/>
      <x:c r="I357" s="120" t="str">
        <x:f>IF($A357="","",SUMIFS('InventoryTransactions'!$D$2:$D$500,'InventoryTransactions'!$B$2:$B$500,$A357))</x:f>
      </x:c>
      <x:c r="J357" s="19"/>
      <x:c r="K357" s="26"/>
      <x:c r="L357" s="19"/>
      <x:c r="M357" s="26"/>
      <x:c r="N357" s="19"/>
      <x:c r="O357" s="19"/>
    </x:row>
    <x:row r="358">
      <x:c r="A358" s="19"/>
      <x:c r="B358" s="19"/>
      <x:c r="C358" s="19"/>
      <x:c r="D358" s="19"/>
      <x:c r="E358" s="19"/>
      <x:c r="F358" s="25"/>
      <x:c r="G358" s="25"/>
      <x:c r="H358" s="62"/>
      <x:c r="I358" s="120" t="str">
        <x:f>IF($A358="","",SUMIFS('InventoryTransactions'!$D$2:$D$500,'InventoryTransactions'!$B$2:$B$500,$A358))</x:f>
      </x:c>
      <x:c r="J358" s="19"/>
      <x:c r="K358" s="26"/>
      <x:c r="L358" s="19"/>
      <x:c r="M358" s="26"/>
      <x:c r="N358" s="19"/>
      <x:c r="O358" s="19"/>
    </x:row>
    <x:row r="359">
      <x:c r="A359" s="19"/>
      <x:c r="B359" s="19"/>
      <x:c r="C359" s="19"/>
      <x:c r="D359" s="19"/>
      <x:c r="E359" s="19"/>
      <x:c r="F359" s="25"/>
      <x:c r="G359" s="25"/>
      <x:c r="H359" s="62"/>
      <x:c r="I359" s="120" t="str">
        <x:f>IF($A359="","",SUMIFS('InventoryTransactions'!$D$2:$D$500,'InventoryTransactions'!$B$2:$B$500,$A359))</x:f>
      </x:c>
      <x:c r="J359" s="19"/>
      <x:c r="K359" s="26"/>
      <x:c r="L359" s="19"/>
      <x:c r="M359" s="26"/>
      <x:c r="N359" s="19"/>
      <x:c r="O359" s="19"/>
    </x:row>
    <x:row r="360">
      <x:c r="A360" s="19"/>
      <x:c r="B360" s="19"/>
      <x:c r="C360" s="19"/>
      <x:c r="D360" s="19"/>
      <x:c r="E360" s="19"/>
      <x:c r="F360" s="25"/>
      <x:c r="G360" s="25"/>
      <x:c r="H360" s="62"/>
      <x:c r="I360" s="120" t="str">
        <x:f>IF($A360="","",SUMIFS('InventoryTransactions'!$D$2:$D$500,'InventoryTransactions'!$B$2:$B$500,$A360))</x:f>
      </x:c>
      <x:c r="J360" s="19"/>
      <x:c r="K360" s="26"/>
      <x:c r="L360" s="19"/>
      <x:c r="M360" s="26"/>
      <x:c r="N360" s="19"/>
      <x:c r="O360" s="19"/>
    </x:row>
    <x:row r="361">
      <x:c r="A361" s="19"/>
      <x:c r="B361" s="19"/>
      <x:c r="C361" s="19"/>
      <x:c r="D361" s="19"/>
      <x:c r="E361" s="19"/>
      <x:c r="F361" s="25"/>
      <x:c r="G361" s="25"/>
      <x:c r="H361" s="62"/>
      <x:c r="I361" s="120" t="str">
        <x:f>IF($A361="","",SUMIFS('InventoryTransactions'!$D$2:$D$500,'InventoryTransactions'!$B$2:$B$500,$A361))</x:f>
      </x:c>
      <x:c r="J361" s="19"/>
      <x:c r="K361" s="26"/>
      <x:c r="L361" s="19"/>
      <x:c r="M361" s="26"/>
      <x:c r="N361" s="19"/>
      <x:c r="O361" s="19"/>
    </x:row>
    <x:row r="362">
      <x:c r="A362" s="19"/>
      <x:c r="B362" s="19"/>
      <x:c r="C362" s="19"/>
      <x:c r="D362" s="19"/>
      <x:c r="E362" s="19"/>
      <x:c r="F362" s="25"/>
      <x:c r="G362" s="25"/>
      <x:c r="H362" s="62"/>
      <x:c r="I362" s="120" t="str">
        <x:f>IF($A362="","",SUMIFS('InventoryTransactions'!$D$2:$D$500,'InventoryTransactions'!$B$2:$B$500,$A362))</x:f>
      </x:c>
      <x:c r="J362" s="19"/>
      <x:c r="K362" s="26"/>
      <x:c r="L362" s="19"/>
      <x:c r="M362" s="26"/>
      <x:c r="N362" s="19"/>
      <x:c r="O362" s="19"/>
    </x:row>
    <x:row r="363">
      <x:c r="A363" s="19"/>
      <x:c r="B363" s="19"/>
      <x:c r="C363" s="19"/>
      <x:c r="D363" s="19"/>
      <x:c r="E363" s="19"/>
      <x:c r="F363" s="25"/>
      <x:c r="G363" s="25"/>
      <x:c r="H363" s="62"/>
      <x:c r="I363" s="120" t="str">
        <x:f>IF($A363="","",SUMIFS('InventoryTransactions'!$D$2:$D$500,'InventoryTransactions'!$B$2:$B$500,$A363))</x:f>
      </x:c>
      <x:c r="J363" s="19"/>
      <x:c r="K363" s="26"/>
      <x:c r="L363" s="19"/>
      <x:c r="M363" s="26"/>
      <x:c r="N363" s="19"/>
      <x:c r="O363" s="19"/>
    </x:row>
    <x:row r="364">
      <x:c r="A364" s="19"/>
      <x:c r="B364" s="19"/>
      <x:c r="C364" s="19"/>
      <x:c r="D364" s="19"/>
      <x:c r="E364" s="19"/>
      <x:c r="F364" s="25"/>
      <x:c r="G364" s="25"/>
      <x:c r="H364" s="62"/>
      <x:c r="I364" s="120" t="str">
        <x:f>IF($A364="","",SUMIFS('InventoryTransactions'!$D$2:$D$500,'InventoryTransactions'!$B$2:$B$500,$A364))</x:f>
      </x:c>
      <x:c r="J364" s="19"/>
      <x:c r="K364" s="26"/>
      <x:c r="L364" s="19"/>
      <x:c r="M364" s="26"/>
      <x:c r="N364" s="19"/>
      <x:c r="O364" s="19"/>
    </x:row>
    <x:row r="365">
      <x:c r="A365" s="19"/>
      <x:c r="B365" s="19"/>
      <x:c r="C365" s="19"/>
      <x:c r="D365" s="19"/>
      <x:c r="E365" s="19"/>
      <x:c r="F365" s="25"/>
      <x:c r="G365" s="25"/>
      <x:c r="H365" s="62"/>
      <x:c r="I365" s="120" t="str">
        <x:f>IF($A365="","",SUMIFS('InventoryTransactions'!$D$2:$D$500,'InventoryTransactions'!$B$2:$B$500,$A365))</x:f>
      </x:c>
      <x:c r="J365" s="19"/>
      <x:c r="K365" s="26"/>
      <x:c r="L365" s="19"/>
      <x:c r="M365" s="26"/>
      <x:c r="N365" s="19"/>
      <x:c r="O365" s="19"/>
    </x:row>
    <x:row r="366">
      <x:c r="A366" s="19"/>
      <x:c r="B366" s="19"/>
      <x:c r="C366" s="19"/>
      <x:c r="D366" s="19"/>
      <x:c r="E366" s="19"/>
      <x:c r="F366" s="25"/>
      <x:c r="G366" s="25"/>
      <x:c r="H366" s="62"/>
      <x:c r="I366" s="120" t="str">
        <x:f>IF($A366="","",SUMIFS('InventoryTransactions'!$D$2:$D$500,'InventoryTransactions'!$B$2:$B$500,$A366))</x:f>
      </x:c>
      <x:c r="J366" s="19"/>
      <x:c r="K366" s="26"/>
      <x:c r="L366" s="19"/>
      <x:c r="M366" s="26"/>
      <x:c r="N366" s="19"/>
      <x:c r="O366" s="19"/>
    </x:row>
    <x:row r="367">
      <x:c r="A367" s="19"/>
      <x:c r="B367" s="19"/>
      <x:c r="C367" s="19"/>
      <x:c r="D367" s="19"/>
      <x:c r="E367" s="19"/>
      <x:c r="F367" s="25"/>
      <x:c r="G367" s="25"/>
      <x:c r="H367" s="62"/>
      <x:c r="I367" s="120" t="str">
        <x:f>IF($A367="","",SUMIFS('InventoryTransactions'!$D$2:$D$500,'InventoryTransactions'!$B$2:$B$500,$A367))</x:f>
      </x:c>
      <x:c r="J367" s="19"/>
      <x:c r="K367" s="26"/>
      <x:c r="L367" s="19"/>
      <x:c r="M367" s="26"/>
      <x:c r="N367" s="19"/>
      <x:c r="O367" s="19"/>
    </x:row>
    <x:row r="368">
      <x:c r="A368" s="19"/>
      <x:c r="B368" s="19"/>
      <x:c r="C368" s="19"/>
      <x:c r="D368" s="19"/>
      <x:c r="E368" s="19"/>
      <x:c r="F368" s="25"/>
      <x:c r="G368" s="25"/>
      <x:c r="H368" s="62"/>
      <x:c r="I368" s="120" t="str">
        <x:f>IF($A368="","",SUMIFS('InventoryTransactions'!$D$2:$D$500,'InventoryTransactions'!$B$2:$B$500,$A368))</x:f>
      </x:c>
      <x:c r="J368" s="19"/>
      <x:c r="K368" s="26"/>
      <x:c r="L368" s="19"/>
      <x:c r="M368" s="26"/>
      <x:c r="N368" s="19"/>
      <x:c r="O368" s="19"/>
    </x:row>
    <x:row r="369">
      <x:c r="A369" s="19"/>
      <x:c r="B369" s="19"/>
      <x:c r="C369" s="19"/>
      <x:c r="D369" s="19"/>
      <x:c r="E369" s="19"/>
      <x:c r="F369" s="25"/>
      <x:c r="G369" s="25"/>
      <x:c r="H369" s="62"/>
      <x:c r="I369" s="120" t="str">
        <x:f>IF($A369="","",SUMIFS('InventoryTransactions'!$D$2:$D$500,'InventoryTransactions'!$B$2:$B$500,$A369))</x:f>
      </x:c>
      <x:c r="J369" s="19"/>
      <x:c r="K369" s="26"/>
      <x:c r="L369" s="19"/>
      <x:c r="M369" s="26"/>
      <x:c r="N369" s="19"/>
      <x:c r="O369" s="19"/>
    </x:row>
    <x:row r="370">
      <x:c r="A370" s="19"/>
      <x:c r="B370" s="19"/>
      <x:c r="C370" s="19"/>
      <x:c r="D370" s="19"/>
      <x:c r="E370" s="19"/>
      <x:c r="F370" s="25"/>
      <x:c r="G370" s="25"/>
      <x:c r="H370" s="62"/>
      <x:c r="I370" s="120" t="str">
        <x:f>IF($A370="","",SUMIFS('InventoryTransactions'!$D$2:$D$500,'InventoryTransactions'!$B$2:$B$500,$A370))</x:f>
      </x:c>
      <x:c r="J370" s="19"/>
      <x:c r="K370" s="26"/>
      <x:c r="L370" s="19"/>
      <x:c r="M370" s="26"/>
      <x:c r="N370" s="19"/>
      <x:c r="O370" s="19"/>
    </x:row>
    <x:row r="371">
      <x:c r="A371" s="19"/>
      <x:c r="B371" s="19"/>
      <x:c r="C371" s="19"/>
      <x:c r="D371" s="19"/>
      <x:c r="E371" s="19"/>
      <x:c r="F371" s="25"/>
      <x:c r="G371" s="25"/>
      <x:c r="H371" s="62"/>
      <x:c r="I371" s="120" t="str">
        <x:f>IF($A371="","",SUMIFS('InventoryTransactions'!$D$2:$D$500,'InventoryTransactions'!$B$2:$B$500,$A371))</x:f>
      </x:c>
      <x:c r="J371" s="19"/>
      <x:c r="K371" s="26"/>
      <x:c r="L371" s="19"/>
      <x:c r="M371" s="26"/>
      <x:c r="N371" s="19"/>
      <x:c r="O371" s="19"/>
    </x:row>
    <x:row r="372">
      <x:c r="A372" s="19"/>
      <x:c r="B372" s="19"/>
      <x:c r="C372" s="19"/>
      <x:c r="D372" s="19"/>
      <x:c r="E372" s="19"/>
      <x:c r="F372" s="25"/>
      <x:c r="G372" s="25"/>
      <x:c r="H372" s="62"/>
      <x:c r="I372" s="120" t="str">
        <x:f>IF($A372="","",SUMIFS('InventoryTransactions'!$D$2:$D$500,'InventoryTransactions'!$B$2:$B$500,$A372))</x:f>
      </x:c>
      <x:c r="J372" s="19"/>
      <x:c r="K372" s="26"/>
      <x:c r="L372" s="19"/>
      <x:c r="M372" s="26"/>
      <x:c r="N372" s="19"/>
      <x:c r="O372" s="19"/>
    </x:row>
    <x:row r="373">
      <x:c r="A373" s="19"/>
      <x:c r="B373" s="19"/>
      <x:c r="C373" s="19"/>
      <x:c r="D373" s="19"/>
      <x:c r="E373" s="19"/>
      <x:c r="F373" s="25"/>
      <x:c r="G373" s="25"/>
      <x:c r="H373" s="62"/>
      <x:c r="I373" s="120" t="str">
        <x:f>IF($A373="","",SUMIFS('InventoryTransactions'!$D$2:$D$500,'InventoryTransactions'!$B$2:$B$500,$A373))</x:f>
      </x:c>
      <x:c r="J373" s="19"/>
      <x:c r="K373" s="26"/>
      <x:c r="L373" s="19"/>
      <x:c r="M373" s="26"/>
      <x:c r="N373" s="19"/>
      <x:c r="O373" s="19"/>
    </x:row>
    <x:row r="374">
      <x:c r="A374" s="19"/>
      <x:c r="B374" s="19"/>
      <x:c r="C374" s="19"/>
      <x:c r="D374" s="19"/>
      <x:c r="E374" s="19"/>
      <x:c r="F374" s="25"/>
      <x:c r="G374" s="25"/>
      <x:c r="H374" s="62"/>
      <x:c r="I374" s="120" t="str">
        <x:f>IF($A374="","",SUMIFS('InventoryTransactions'!$D$2:$D$500,'InventoryTransactions'!$B$2:$B$500,$A374))</x:f>
      </x:c>
      <x:c r="J374" s="19"/>
      <x:c r="K374" s="26"/>
      <x:c r="L374" s="19"/>
      <x:c r="M374" s="26"/>
      <x:c r="N374" s="19"/>
      <x:c r="O374" s="19"/>
    </x:row>
    <x:row r="375">
      <x:c r="A375" s="19"/>
      <x:c r="B375" s="19"/>
      <x:c r="C375" s="19"/>
      <x:c r="D375" s="19"/>
      <x:c r="E375" s="19"/>
      <x:c r="F375" s="25"/>
      <x:c r="G375" s="25"/>
      <x:c r="H375" s="62"/>
      <x:c r="I375" s="120" t="str">
        <x:f>IF($A375="","",SUMIFS('InventoryTransactions'!$D$2:$D$500,'InventoryTransactions'!$B$2:$B$500,$A375))</x:f>
      </x:c>
      <x:c r="J375" s="19"/>
      <x:c r="K375" s="26"/>
      <x:c r="L375" s="19"/>
      <x:c r="M375" s="26"/>
      <x:c r="N375" s="19"/>
      <x:c r="O375" s="19"/>
    </x:row>
    <x:row r="376">
      <x:c r="A376" s="19"/>
      <x:c r="B376" s="19"/>
      <x:c r="C376" s="19"/>
      <x:c r="D376" s="19"/>
      <x:c r="E376" s="19"/>
      <x:c r="F376" s="25"/>
      <x:c r="G376" s="25"/>
      <x:c r="H376" s="62"/>
      <x:c r="I376" s="120" t="str">
        <x:f>IF($A376="","",SUMIFS('InventoryTransactions'!$D$2:$D$500,'InventoryTransactions'!$B$2:$B$500,$A376))</x:f>
      </x:c>
      <x:c r="J376" s="19"/>
      <x:c r="K376" s="26"/>
      <x:c r="L376" s="19"/>
      <x:c r="M376" s="26"/>
      <x:c r="N376" s="19"/>
      <x:c r="O376" s="19"/>
    </x:row>
    <x:row r="377">
      <x:c r="A377" s="19"/>
      <x:c r="B377" s="19"/>
      <x:c r="C377" s="19"/>
      <x:c r="D377" s="19"/>
      <x:c r="E377" s="19"/>
      <x:c r="F377" s="25"/>
      <x:c r="G377" s="25"/>
      <x:c r="H377" s="62"/>
      <x:c r="I377" s="120" t="str">
        <x:f>IF($A377="","",SUMIFS('InventoryTransactions'!$D$2:$D$500,'InventoryTransactions'!$B$2:$B$500,$A377))</x:f>
      </x:c>
      <x:c r="J377" s="19"/>
      <x:c r="K377" s="26"/>
      <x:c r="L377" s="19"/>
      <x:c r="M377" s="26"/>
      <x:c r="N377" s="19"/>
      <x:c r="O377" s="19"/>
    </x:row>
    <x:row r="378">
      <x:c r="A378" s="19"/>
      <x:c r="B378" s="19"/>
      <x:c r="C378" s="19"/>
      <x:c r="D378" s="19"/>
      <x:c r="E378" s="19"/>
      <x:c r="F378" s="25"/>
      <x:c r="G378" s="25"/>
      <x:c r="H378" s="62"/>
      <x:c r="I378" s="120" t="str">
        <x:f>IF($A378="","",SUMIFS('InventoryTransactions'!$D$2:$D$500,'InventoryTransactions'!$B$2:$B$500,$A378))</x:f>
      </x:c>
      <x:c r="J378" s="19"/>
      <x:c r="K378" s="26"/>
      <x:c r="L378" s="19"/>
      <x:c r="M378" s="26"/>
      <x:c r="N378" s="19"/>
      <x:c r="O378" s="19"/>
    </x:row>
    <x:row r="379">
      <x:c r="A379" s="19"/>
      <x:c r="B379" s="19"/>
      <x:c r="C379" s="19"/>
      <x:c r="D379" s="19"/>
      <x:c r="E379" s="19"/>
      <x:c r="F379" s="25"/>
      <x:c r="G379" s="25"/>
      <x:c r="H379" s="62"/>
      <x:c r="I379" s="120" t="str">
        <x:f>IF($A379="","",SUMIFS('InventoryTransactions'!$D$2:$D$500,'InventoryTransactions'!$B$2:$B$500,$A379))</x:f>
      </x:c>
      <x:c r="J379" s="19"/>
      <x:c r="K379" s="26"/>
      <x:c r="L379" s="19"/>
      <x:c r="M379" s="26"/>
      <x:c r="N379" s="19"/>
      <x:c r="O379" s="19"/>
    </x:row>
    <x:row r="380">
      <x:c r="A380" s="19"/>
      <x:c r="B380" s="19"/>
      <x:c r="C380" s="19"/>
      <x:c r="D380" s="19"/>
      <x:c r="E380" s="19"/>
      <x:c r="F380" s="25"/>
      <x:c r="G380" s="25"/>
      <x:c r="H380" s="62"/>
      <x:c r="I380" s="120" t="str">
        <x:f>IF($A380="","",SUMIFS('InventoryTransactions'!$D$2:$D$500,'InventoryTransactions'!$B$2:$B$500,$A380))</x:f>
      </x:c>
      <x:c r="J380" s="19"/>
      <x:c r="K380" s="26"/>
      <x:c r="L380" s="19"/>
      <x:c r="M380" s="26"/>
      <x:c r="N380" s="19"/>
      <x:c r="O380" s="19"/>
    </x:row>
    <x:row r="381">
      <x:c r="A381" s="19"/>
      <x:c r="B381" s="19"/>
      <x:c r="C381" s="19"/>
      <x:c r="D381" s="19"/>
      <x:c r="E381" s="19"/>
      <x:c r="F381" s="25"/>
      <x:c r="G381" s="25"/>
      <x:c r="H381" s="62"/>
      <x:c r="I381" s="120" t="str">
        <x:f>IF($A381="","",SUMIFS('InventoryTransactions'!$D$2:$D$500,'InventoryTransactions'!$B$2:$B$500,$A381))</x:f>
      </x:c>
      <x:c r="J381" s="19"/>
      <x:c r="K381" s="26"/>
      <x:c r="L381" s="19"/>
      <x:c r="M381" s="26"/>
      <x:c r="N381" s="19"/>
      <x:c r="O381" s="19"/>
    </x:row>
    <x:row r="382">
      <x:c r="A382" s="19"/>
      <x:c r="B382" s="19"/>
      <x:c r="C382" s="19"/>
      <x:c r="D382" s="19"/>
      <x:c r="E382" s="19"/>
      <x:c r="F382" s="25"/>
      <x:c r="G382" s="25"/>
      <x:c r="H382" s="62"/>
      <x:c r="I382" s="120" t="str">
        <x:f>IF($A382="","",SUMIFS('InventoryTransactions'!$D$2:$D$500,'InventoryTransactions'!$B$2:$B$500,$A382))</x:f>
      </x:c>
      <x:c r="J382" s="19"/>
      <x:c r="K382" s="26"/>
      <x:c r="L382" s="19"/>
      <x:c r="M382" s="26"/>
      <x:c r="N382" s="19"/>
      <x:c r="O382" s="19"/>
    </x:row>
    <x:row r="383">
      <x:c r="A383" s="19"/>
      <x:c r="B383" s="19"/>
      <x:c r="C383" s="19"/>
      <x:c r="D383" s="19"/>
      <x:c r="E383" s="19"/>
      <x:c r="F383" s="25"/>
      <x:c r="G383" s="25"/>
      <x:c r="H383" s="62"/>
      <x:c r="I383" s="120" t="str">
        <x:f>IF($A383="","",SUMIFS('InventoryTransactions'!$D$2:$D$500,'InventoryTransactions'!$B$2:$B$500,$A383))</x:f>
      </x:c>
      <x:c r="J383" s="19"/>
      <x:c r="K383" s="26"/>
      <x:c r="L383" s="19"/>
      <x:c r="M383" s="26"/>
      <x:c r="N383" s="19"/>
      <x:c r="O383" s="19"/>
    </x:row>
    <x:row r="384">
      <x:c r="A384" s="19"/>
      <x:c r="B384" s="19"/>
      <x:c r="C384" s="19"/>
      <x:c r="D384" s="19"/>
      <x:c r="E384" s="19"/>
      <x:c r="F384" s="25"/>
      <x:c r="G384" s="25"/>
      <x:c r="H384" s="62"/>
      <x:c r="I384" s="120" t="str">
        <x:f>IF($A384="","",SUMIFS('InventoryTransactions'!$D$2:$D$500,'InventoryTransactions'!$B$2:$B$500,$A384))</x:f>
      </x:c>
      <x:c r="J384" s="19"/>
      <x:c r="K384" s="26"/>
      <x:c r="L384" s="19"/>
      <x:c r="M384" s="26"/>
      <x:c r="N384" s="19"/>
      <x:c r="O384" s="19"/>
    </x:row>
    <x:row r="385">
      <x:c r="A385" s="19"/>
      <x:c r="B385" s="19"/>
      <x:c r="C385" s="19"/>
      <x:c r="D385" s="19"/>
      <x:c r="E385" s="19"/>
      <x:c r="F385" s="25"/>
      <x:c r="G385" s="25"/>
      <x:c r="H385" s="62"/>
      <x:c r="I385" s="120" t="str">
        <x:f>IF($A385="","",SUMIFS('InventoryTransactions'!$D$2:$D$500,'InventoryTransactions'!$B$2:$B$500,$A385))</x:f>
      </x:c>
      <x:c r="J385" s="19"/>
      <x:c r="K385" s="26"/>
      <x:c r="L385" s="19"/>
      <x:c r="M385" s="26"/>
      <x:c r="N385" s="19"/>
      <x:c r="O385" s="19"/>
    </x:row>
    <x:row r="386">
      <x:c r="A386" s="19"/>
      <x:c r="B386" s="19"/>
      <x:c r="C386" s="19"/>
      <x:c r="D386" s="19"/>
      <x:c r="E386" s="19"/>
      <x:c r="F386" s="25"/>
      <x:c r="G386" s="25"/>
      <x:c r="H386" s="62"/>
      <x:c r="I386" s="120" t="str">
        <x:f>IF($A386="","",SUMIFS('InventoryTransactions'!$D$2:$D$500,'InventoryTransactions'!$B$2:$B$500,$A386))</x:f>
      </x:c>
      <x:c r="J386" s="19"/>
      <x:c r="K386" s="26"/>
      <x:c r="L386" s="19"/>
      <x:c r="M386" s="26"/>
      <x:c r="N386" s="19"/>
      <x:c r="O386" s="19"/>
    </x:row>
    <x:row r="387">
      <x:c r="A387" s="19"/>
      <x:c r="B387" s="19"/>
      <x:c r="C387" s="19"/>
      <x:c r="D387" s="19"/>
      <x:c r="E387" s="19"/>
      <x:c r="F387" s="25"/>
      <x:c r="G387" s="25"/>
      <x:c r="H387" s="62"/>
      <x:c r="I387" s="120" t="str">
        <x:f>IF($A387="","",SUMIFS('InventoryTransactions'!$D$2:$D$500,'InventoryTransactions'!$B$2:$B$500,$A387))</x:f>
      </x:c>
      <x:c r="J387" s="19"/>
      <x:c r="K387" s="26"/>
      <x:c r="L387" s="19"/>
      <x:c r="M387" s="26"/>
      <x:c r="N387" s="19"/>
      <x:c r="O387" s="19"/>
    </x:row>
    <x:row r="388">
      <x:c r="A388" s="19"/>
      <x:c r="B388" s="19"/>
      <x:c r="C388" s="19"/>
      <x:c r="D388" s="19"/>
      <x:c r="E388" s="19"/>
      <x:c r="F388" s="25"/>
      <x:c r="G388" s="25"/>
      <x:c r="H388" s="62"/>
      <x:c r="I388" s="120" t="str">
        <x:f>IF($A388="","",SUMIFS('InventoryTransactions'!$D$2:$D$500,'InventoryTransactions'!$B$2:$B$500,$A388))</x:f>
      </x:c>
      <x:c r="J388" s="19"/>
      <x:c r="K388" s="26"/>
      <x:c r="L388" s="19"/>
      <x:c r="M388" s="26"/>
      <x:c r="N388" s="19"/>
      <x:c r="O388" s="19"/>
    </x:row>
    <x:row r="389">
      <x:c r="A389" s="19"/>
      <x:c r="B389" s="19"/>
      <x:c r="C389" s="19"/>
      <x:c r="D389" s="19"/>
      <x:c r="E389" s="19"/>
      <x:c r="F389" s="25"/>
      <x:c r="G389" s="25"/>
      <x:c r="H389" s="62"/>
      <x:c r="I389" s="120" t="str">
        <x:f>IF($A389="","",SUMIFS('InventoryTransactions'!$D$2:$D$500,'InventoryTransactions'!$B$2:$B$500,$A389))</x:f>
      </x:c>
      <x:c r="J389" s="19"/>
      <x:c r="K389" s="26"/>
      <x:c r="L389" s="19"/>
      <x:c r="M389" s="26"/>
      <x:c r="N389" s="19"/>
      <x:c r="O389" s="19"/>
    </x:row>
    <x:row r="390">
      <x:c r="A390" s="19"/>
      <x:c r="B390" s="19"/>
      <x:c r="C390" s="19"/>
      <x:c r="D390" s="19"/>
      <x:c r="E390" s="19"/>
      <x:c r="F390" s="25"/>
      <x:c r="G390" s="25"/>
      <x:c r="H390" s="62"/>
      <x:c r="I390" s="120" t="str">
        <x:f>IF($A390="","",SUMIFS('InventoryTransactions'!$D$2:$D$500,'InventoryTransactions'!$B$2:$B$500,$A390))</x:f>
      </x:c>
      <x:c r="J390" s="19"/>
      <x:c r="K390" s="26"/>
      <x:c r="L390" s="19"/>
      <x:c r="M390" s="26"/>
      <x:c r="N390" s="19"/>
      <x:c r="O390" s="19"/>
    </x:row>
    <x:row r="391">
      <x:c r="A391" s="19"/>
      <x:c r="B391" s="19"/>
      <x:c r="C391" s="19"/>
      <x:c r="D391" s="19"/>
      <x:c r="E391" s="19"/>
      <x:c r="F391" s="25"/>
      <x:c r="G391" s="25"/>
      <x:c r="H391" s="62"/>
      <x:c r="I391" s="120" t="str">
        <x:f>IF($A391="","",SUMIFS('InventoryTransactions'!$D$2:$D$500,'InventoryTransactions'!$B$2:$B$500,$A391))</x:f>
      </x:c>
      <x:c r="J391" s="19"/>
      <x:c r="K391" s="26"/>
      <x:c r="L391" s="19"/>
      <x:c r="M391" s="26"/>
      <x:c r="N391" s="19"/>
      <x:c r="O391" s="19"/>
    </x:row>
    <x:row r="392">
      <x:c r="A392" s="19"/>
      <x:c r="B392" s="19"/>
      <x:c r="C392" s="19"/>
      <x:c r="D392" s="19"/>
      <x:c r="E392" s="19"/>
      <x:c r="F392" s="25"/>
      <x:c r="G392" s="25"/>
      <x:c r="H392" s="62"/>
      <x:c r="I392" s="120" t="str">
        <x:f>IF($A392="","",SUMIFS('InventoryTransactions'!$D$2:$D$500,'InventoryTransactions'!$B$2:$B$500,$A392))</x:f>
      </x:c>
      <x:c r="J392" s="19"/>
      <x:c r="K392" s="26"/>
      <x:c r="L392" s="19"/>
      <x:c r="M392" s="26"/>
      <x:c r="N392" s="19"/>
      <x:c r="O392" s="19"/>
    </x:row>
    <x:row r="393">
      <x:c r="A393" s="19"/>
      <x:c r="B393" s="19"/>
      <x:c r="C393" s="19"/>
      <x:c r="D393" s="19"/>
      <x:c r="E393" s="19"/>
      <x:c r="F393" s="25"/>
      <x:c r="G393" s="25"/>
      <x:c r="H393" s="62"/>
      <x:c r="I393" s="120" t="str">
        <x:f>IF($A393="","",SUMIFS('InventoryTransactions'!$D$2:$D$500,'InventoryTransactions'!$B$2:$B$500,$A393))</x:f>
      </x:c>
      <x:c r="J393" s="19"/>
      <x:c r="K393" s="26"/>
      <x:c r="L393" s="19"/>
      <x:c r="M393" s="26"/>
      <x:c r="N393" s="19"/>
      <x:c r="O393" s="19"/>
    </x:row>
    <x:row r="394">
      <x:c r="A394" s="19"/>
      <x:c r="B394" s="19"/>
      <x:c r="C394" s="19"/>
      <x:c r="D394" s="19"/>
      <x:c r="E394" s="19"/>
      <x:c r="F394" s="25"/>
      <x:c r="G394" s="25"/>
      <x:c r="H394" s="62"/>
      <x:c r="I394" s="120" t="str">
        <x:f>IF($A394="","",SUMIFS('InventoryTransactions'!$D$2:$D$500,'InventoryTransactions'!$B$2:$B$500,$A394))</x:f>
      </x:c>
      <x:c r="J394" s="19"/>
      <x:c r="K394" s="26"/>
      <x:c r="L394" s="19"/>
      <x:c r="M394" s="26"/>
      <x:c r="N394" s="19"/>
      <x:c r="O394" s="19"/>
    </x:row>
    <x:row r="395">
      <x:c r="A395" s="19"/>
      <x:c r="B395" s="19"/>
      <x:c r="C395" s="19"/>
      <x:c r="D395" s="19"/>
      <x:c r="E395" s="19"/>
      <x:c r="F395" s="25"/>
      <x:c r="G395" s="25"/>
      <x:c r="H395" s="62"/>
      <x:c r="I395" s="120" t="str">
        <x:f>IF($A395="","",SUMIFS('InventoryTransactions'!$D$2:$D$500,'InventoryTransactions'!$B$2:$B$500,$A395))</x:f>
      </x:c>
      <x:c r="J395" s="19"/>
      <x:c r="K395" s="26"/>
      <x:c r="L395" s="19"/>
      <x:c r="M395" s="26"/>
      <x:c r="N395" s="19"/>
      <x:c r="O395" s="19"/>
    </x:row>
    <x:row r="396">
      <x:c r="A396" s="19"/>
      <x:c r="B396" s="19"/>
      <x:c r="C396" s="19"/>
      <x:c r="D396" s="19"/>
      <x:c r="E396" s="19"/>
      <x:c r="F396" s="25"/>
      <x:c r="G396" s="25"/>
      <x:c r="H396" s="62"/>
      <x:c r="I396" s="120" t="str">
        <x:f>IF($A396="","",SUMIFS('InventoryTransactions'!$D$2:$D$500,'InventoryTransactions'!$B$2:$B$500,$A396))</x:f>
      </x:c>
      <x:c r="J396" s="19"/>
      <x:c r="K396" s="26"/>
      <x:c r="L396" s="19"/>
      <x:c r="M396" s="26"/>
      <x:c r="N396" s="19"/>
      <x:c r="O396" s="19"/>
    </x:row>
    <x:row r="397">
      <x:c r="A397" s="19"/>
      <x:c r="B397" s="19"/>
      <x:c r="C397" s="19"/>
      <x:c r="D397" s="19"/>
      <x:c r="E397" s="19"/>
      <x:c r="F397" s="25"/>
      <x:c r="G397" s="25"/>
      <x:c r="H397" s="62"/>
      <x:c r="I397" s="120" t="str">
        <x:f>IF($A397="","",SUMIFS('InventoryTransactions'!$D$2:$D$500,'InventoryTransactions'!$B$2:$B$500,$A397))</x:f>
      </x:c>
      <x:c r="J397" s="19"/>
      <x:c r="K397" s="26"/>
      <x:c r="L397" s="19"/>
      <x:c r="M397" s="26"/>
      <x:c r="N397" s="19"/>
      <x:c r="O397" s="19"/>
    </x:row>
    <x:row r="398">
      <x:c r="A398" s="19"/>
      <x:c r="B398" s="19"/>
      <x:c r="C398" s="19"/>
      <x:c r="D398" s="19"/>
      <x:c r="E398" s="19"/>
      <x:c r="F398" s="25"/>
      <x:c r="G398" s="25"/>
      <x:c r="H398" s="62"/>
      <x:c r="I398" s="120" t="str">
        <x:f>IF($A398="","",SUMIFS('InventoryTransactions'!$D$2:$D$500,'InventoryTransactions'!$B$2:$B$500,$A398))</x:f>
      </x:c>
      <x:c r="J398" s="19"/>
      <x:c r="K398" s="26"/>
      <x:c r="L398" s="19"/>
      <x:c r="M398" s="26"/>
      <x:c r="N398" s="19"/>
      <x:c r="O398" s="19"/>
    </x:row>
    <x:row r="399">
      <x:c r="A399" s="19"/>
      <x:c r="B399" s="19"/>
      <x:c r="C399" s="19"/>
      <x:c r="D399" s="19"/>
      <x:c r="E399" s="19"/>
      <x:c r="F399" s="25"/>
      <x:c r="G399" s="25"/>
      <x:c r="H399" s="62"/>
      <x:c r="I399" s="120" t="str">
        <x:f>IF($A399="","",SUMIFS('InventoryTransactions'!$D$2:$D$500,'InventoryTransactions'!$B$2:$B$500,$A399))</x:f>
      </x:c>
      <x:c r="J399" s="19"/>
      <x:c r="K399" s="26"/>
      <x:c r="L399" s="19"/>
      <x:c r="M399" s="26"/>
      <x:c r="N399" s="19"/>
      <x:c r="O399" s="19"/>
    </x:row>
    <x:row r="400">
      <x:c r="A400" s="19"/>
      <x:c r="B400" s="19"/>
      <x:c r="C400" s="19"/>
      <x:c r="D400" s="19"/>
      <x:c r="E400" s="19"/>
      <x:c r="F400" s="25"/>
      <x:c r="G400" s="25"/>
      <x:c r="H400" s="62"/>
      <x:c r="I400" s="120" t="str">
        <x:f>IF($A400="","",SUMIFS('InventoryTransactions'!$D$2:$D$500,'InventoryTransactions'!$B$2:$B$500,$A400))</x:f>
      </x:c>
      <x:c r="J400" s="19"/>
      <x:c r="K400" s="26"/>
      <x:c r="L400" s="19"/>
      <x:c r="M400" s="26"/>
      <x:c r="N400" s="19"/>
      <x:c r="O400" s="19"/>
    </x:row>
    <x:row r="401">
      <x:c r="A401" s="19"/>
      <x:c r="B401" s="19"/>
      <x:c r="C401" s="19"/>
      <x:c r="D401" s="19"/>
      <x:c r="E401" s="19"/>
      <x:c r="F401" s="25"/>
      <x:c r="G401" s="25"/>
      <x:c r="H401" s="62"/>
      <x:c r="I401" s="120" t="str">
        <x:f>IF($A401="","",SUMIFS('InventoryTransactions'!$D$2:$D$500,'InventoryTransactions'!$B$2:$B$500,$A401))</x:f>
      </x:c>
      <x:c r="J401" s="19"/>
      <x:c r="K401" s="26"/>
      <x:c r="L401" s="19"/>
      <x:c r="M401" s="26"/>
      <x:c r="N401" s="19"/>
      <x:c r="O401" s="19"/>
    </x:row>
    <x:row r="402">
      <x:c r="A402" s="19"/>
      <x:c r="B402" s="19"/>
      <x:c r="C402" s="19"/>
      <x:c r="D402" s="19"/>
      <x:c r="E402" s="19"/>
      <x:c r="F402" s="25"/>
      <x:c r="G402" s="25"/>
      <x:c r="H402" s="62"/>
      <x:c r="I402" s="120" t="str">
        <x:f>IF($A402="","",SUMIFS('InventoryTransactions'!$D$2:$D$500,'InventoryTransactions'!$B$2:$B$500,$A402))</x:f>
      </x:c>
      <x:c r="J402" s="19"/>
      <x:c r="K402" s="26"/>
      <x:c r="L402" s="19"/>
      <x:c r="M402" s="26"/>
      <x:c r="N402" s="19"/>
      <x:c r="O402" s="19"/>
    </x:row>
    <x:row r="403">
      <x:c r="A403" s="19"/>
      <x:c r="B403" s="19"/>
      <x:c r="C403" s="19"/>
      <x:c r="D403" s="19"/>
      <x:c r="E403" s="19"/>
      <x:c r="F403" s="25"/>
      <x:c r="G403" s="25"/>
      <x:c r="H403" s="62"/>
      <x:c r="I403" s="120" t="str">
        <x:f>IF($A403="","",SUMIFS('InventoryTransactions'!$D$2:$D$500,'InventoryTransactions'!$B$2:$B$500,$A403))</x:f>
      </x:c>
      <x:c r="J403" s="19"/>
      <x:c r="K403" s="26"/>
      <x:c r="L403" s="19"/>
      <x:c r="M403" s="26"/>
      <x:c r="N403" s="19"/>
      <x:c r="O403" s="19"/>
    </x:row>
    <x:row r="404">
      <x:c r="A404" s="19"/>
      <x:c r="B404" s="19"/>
      <x:c r="C404" s="19"/>
      <x:c r="D404" s="19"/>
      <x:c r="E404" s="19"/>
      <x:c r="F404" s="25"/>
      <x:c r="G404" s="25"/>
      <x:c r="H404" s="62"/>
      <x:c r="I404" s="120" t="str">
        <x:f>IF($A404="","",SUMIFS('InventoryTransactions'!$D$2:$D$500,'InventoryTransactions'!$B$2:$B$500,$A404))</x:f>
      </x:c>
      <x:c r="J404" s="19"/>
      <x:c r="K404" s="26"/>
      <x:c r="L404" s="19"/>
      <x:c r="M404" s="26"/>
      <x:c r="N404" s="19"/>
      <x:c r="O404" s="19"/>
    </x:row>
    <x:row r="405">
      <x:c r="A405" s="19"/>
      <x:c r="B405" s="19"/>
      <x:c r="C405" s="19"/>
      <x:c r="D405" s="19"/>
      <x:c r="E405" s="19"/>
      <x:c r="F405" s="25"/>
      <x:c r="G405" s="25"/>
      <x:c r="H405" s="62"/>
      <x:c r="I405" s="120" t="str">
        <x:f>IF($A405="","",SUMIFS('InventoryTransactions'!$D$2:$D$500,'InventoryTransactions'!$B$2:$B$500,$A405))</x:f>
      </x:c>
      <x:c r="J405" s="19"/>
      <x:c r="K405" s="26"/>
      <x:c r="L405" s="19"/>
      <x:c r="M405" s="26"/>
      <x:c r="N405" s="19"/>
      <x:c r="O405" s="19"/>
    </x:row>
    <x:row r="406">
      <x:c r="A406" s="19"/>
      <x:c r="B406" s="19"/>
      <x:c r="C406" s="19"/>
      <x:c r="D406" s="19"/>
      <x:c r="E406" s="19"/>
      <x:c r="F406" s="25"/>
      <x:c r="G406" s="25"/>
      <x:c r="H406" s="62"/>
      <x:c r="I406" s="120" t="str">
        <x:f>IF($A406="","",SUMIFS('InventoryTransactions'!$D$2:$D$500,'InventoryTransactions'!$B$2:$B$500,$A406))</x:f>
      </x:c>
      <x:c r="J406" s="19"/>
      <x:c r="K406" s="26"/>
      <x:c r="L406" s="19"/>
      <x:c r="M406" s="26"/>
      <x:c r="N406" s="19"/>
      <x:c r="O406" s="19"/>
    </x:row>
    <x:row r="407">
      <x:c r="A407" s="19"/>
      <x:c r="B407" s="19"/>
      <x:c r="C407" s="19"/>
      <x:c r="D407" s="19"/>
      <x:c r="E407" s="19"/>
      <x:c r="F407" s="25"/>
      <x:c r="G407" s="25"/>
      <x:c r="H407" s="62"/>
      <x:c r="I407" s="120" t="str">
        <x:f>IF($A407="","",SUMIFS('InventoryTransactions'!$D$2:$D$500,'InventoryTransactions'!$B$2:$B$500,$A407))</x:f>
      </x:c>
      <x:c r="J407" s="19"/>
      <x:c r="K407" s="26"/>
      <x:c r="L407" s="19"/>
      <x:c r="M407" s="26"/>
      <x:c r="N407" s="19"/>
      <x:c r="O407" s="19"/>
    </x:row>
    <x:row r="408">
      <x:c r="A408" s="19"/>
      <x:c r="B408" s="19"/>
      <x:c r="C408" s="19"/>
      <x:c r="D408" s="19"/>
      <x:c r="E408" s="19"/>
      <x:c r="F408" s="25"/>
      <x:c r="G408" s="25"/>
      <x:c r="H408" s="62"/>
      <x:c r="I408" s="120" t="str">
        <x:f>IF($A408="","",SUMIFS('InventoryTransactions'!$D$2:$D$500,'InventoryTransactions'!$B$2:$B$500,$A408))</x:f>
      </x:c>
      <x:c r="J408" s="19"/>
      <x:c r="K408" s="26"/>
      <x:c r="L408" s="19"/>
      <x:c r="M408" s="26"/>
      <x:c r="N408" s="19"/>
      <x:c r="O408" s="19"/>
    </x:row>
    <x:row r="409">
      <x:c r="A409" s="19"/>
      <x:c r="B409" s="19"/>
      <x:c r="C409" s="19"/>
      <x:c r="D409" s="19"/>
      <x:c r="E409" s="19"/>
      <x:c r="F409" s="25"/>
      <x:c r="G409" s="25"/>
      <x:c r="H409" s="62"/>
      <x:c r="I409" s="120" t="str">
        <x:f>IF($A409="","",SUMIFS('InventoryTransactions'!$D$2:$D$500,'InventoryTransactions'!$B$2:$B$500,$A409))</x:f>
      </x:c>
      <x:c r="J409" s="19"/>
      <x:c r="K409" s="26"/>
      <x:c r="L409" s="19"/>
      <x:c r="M409" s="26"/>
      <x:c r="N409" s="19"/>
      <x:c r="O409" s="19"/>
    </x:row>
    <x:row r="410">
      <x:c r="A410" s="19"/>
      <x:c r="B410" s="19"/>
      <x:c r="C410" s="19"/>
      <x:c r="D410" s="19"/>
      <x:c r="E410" s="19"/>
      <x:c r="F410" s="25"/>
      <x:c r="G410" s="25"/>
      <x:c r="H410" s="62"/>
      <x:c r="I410" s="120" t="str">
        <x:f>IF($A410="","",SUMIFS('InventoryTransactions'!$D$2:$D$500,'InventoryTransactions'!$B$2:$B$500,$A410))</x:f>
      </x:c>
      <x:c r="J410" s="19"/>
      <x:c r="K410" s="26"/>
      <x:c r="L410" s="19"/>
      <x:c r="M410" s="26"/>
      <x:c r="N410" s="19"/>
      <x:c r="O410" s="19"/>
    </x:row>
    <x:row r="411">
      <x:c r="A411" s="19"/>
      <x:c r="B411" s="19"/>
      <x:c r="C411" s="19"/>
      <x:c r="D411" s="19"/>
      <x:c r="E411" s="19"/>
      <x:c r="F411" s="25"/>
      <x:c r="G411" s="25"/>
      <x:c r="H411" s="62"/>
      <x:c r="I411" s="120" t="str">
        <x:f>IF($A411="","",SUMIFS('InventoryTransactions'!$D$2:$D$500,'InventoryTransactions'!$B$2:$B$500,$A411))</x:f>
      </x:c>
      <x:c r="J411" s="19"/>
      <x:c r="K411" s="26"/>
      <x:c r="L411" s="19"/>
      <x:c r="M411" s="26"/>
      <x:c r="N411" s="19"/>
      <x:c r="O411" s="19"/>
    </x:row>
    <x:row r="412">
      <x:c r="A412" s="19"/>
      <x:c r="B412" s="19"/>
      <x:c r="C412" s="19"/>
      <x:c r="D412" s="19"/>
      <x:c r="E412" s="19"/>
      <x:c r="F412" s="25"/>
      <x:c r="G412" s="25"/>
      <x:c r="H412" s="62"/>
      <x:c r="I412" s="120" t="str">
        <x:f>IF($A412="","",SUMIFS('InventoryTransactions'!$D$2:$D$500,'InventoryTransactions'!$B$2:$B$500,$A412))</x:f>
      </x:c>
      <x:c r="J412" s="19"/>
      <x:c r="K412" s="26"/>
      <x:c r="L412" s="19"/>
      <x:c r="M412" s="26"/>
      <x:c r="N412" s="19"/>
      <x:c r="O412" s="19"/>
    </x:row>
    <x:row r="413">
      <x:c r="A413" s="19"/>
      <x:c r="B413" s="19"/>
      <x:c r="C413" s="19"/>
      <x:c r="D413" s="19"/>
      <x:c r="E413" s="19"/>
      <x:c r="F413" s="25"/>
      <x:c r="G413" s="25"/>
      <x:c r="H413" s="62"/>
      <x:c r="I413" s="120" t="str">
        <x:f>IF($A413="","",SUMIFS('InventoryTransactions'!$D$2:$D$500,'InventoryTransactions'!$B$2:$B$500,$A413))</x:f>
      </x:c>
      <x:c r="J413" s="19"/>
      <x:c r="K413" s="26"/>
      <x:c r="L413" s="19"/>
      <x:c r="M413" s="26"/>
      <x:c r="N413" s="19"/>
      <x:c r="O413" s="19"/>
    </x:row>
    <x:row r="414">
      <x:c r="A414" s="19"/>
      <x:c r="B414" s="19"/>
      <x:c r="C414" s="19"/>
      <x:c r="D414" s="19"/>
      <x:c r="E414" s="19"/>
      <x:c r="F414" s="25"/>
      <x:c r="G414" s="25"/>
      <x:c r="H414" s="62"/>
      <x:c r="I414" s="120" t="str">
        <x:f>IF($A414="","",SUMIFS('InventoryTransactions'!$D$2:$D$500,'InventoryTransactions'!$B$2:$B$500,$A414))</x:f>
      </x:c>
      <x:c r="J414" s="19"/>
      <x:c r="K414" s="26"/>
      <x:c r="L414" s="19"/>
      <x:c r="M414" s="26"/>
      <x:c r="N414" s="19"/>
      <x:c r="O414" s="19"/>
    </x:row>
    <x:row r="415">
      <x:c r="A415" s="19"/>
      <x:c r="B415" s="19"/>
      <x:c r="C415" s="19"/>
      <x:c r="D415" s="19"/>
      <x:c r="E415" s="19"/>
      <x:c r="F415" s="25"/>
      <x:c r="G415" s="25"/>
      <x:c r="H415" s="62"/>
      <x:c r="I415" s="120" t="str">
        <x:f>IF($A415="","",SUMIFS('InventoryTransactions'!$D$2:$D$500,'InventoryTransactions'!$B$2:$B$500,$A415))</x:f>
      </x:c>
      <x:c r="J415" s="19"/>
      <x:c r="K415" s="26"/>
      <x:c r="L415" s="19"/>
      <x:c r="M415" s="26"/>
      <x:c r="N415" s="19"/>
      <x:c r="O415" s="19"/>
    </x:row>
    <x:row r="416">
      <x:c r="A416" s="19"/>
      <x:c r="B416" s="19"/>
      <x:c r="C416" s="19"/>
      <x:c r="D416" s="19"/>
      <x:c r="E416" s="19"/>
      <x:c r="F416" s="25"/>
      <x:c r="G416" s="25"/>
      <x:c r="H416" s="62"/>
      <x:c r="I416" s="120" t="str">
        <x:f>IF($A416="","",SUMIFS('InventoryTransactions'!$D$2:$D$500,'InventoryTransactions'!$B$2:$B$500,$A416))</x:f>
      </x:c>
      <x:c r="J416" s="19"/>
      <x:c r="K416" s="26"/>
      <x:c r="L416" s="19"/>
      <x:c r="M416" s="26"/>
      <x:c r="N416" s="19"/>
      <x:c r="O416" s="19"/>
    </x:row>
    <x:row r="417">
      <x:c r="A417" s="19"/>
      <x:c r="B417" s="19"/>
      <x:c r="C417" s="19"/>
      <x:c r="D417" s="19"/>
      <x:c r="E417" s="19"/>
      <x:c r="F417" s="25"/>
      <x:c r="G417" s="25"/>
      <x:c r="H417" s="62"/>
      <x:c r="I417" s="120" t="str">
        <x:f>IF($A417="","",SUMIFS('InventoryTransactions'!$D$2:$D$500,'InventoryTransactions'!$B$2:$B$500,$A417))</x:f>
      </x:c>
      <x:c r="J417" s="19"/>
      <x:c r="K417" s="26"/>
      <x:c r="L417" s="19"/>
      <x:c r="M417" s="26"/>
      <x:c r="N417" s="19"/>
      <x:c r="O417" s="19"/>
    </x:row>
    <x:row r="418">
      <x:c r="A418" s="19"/>
      <x:c r="B418" s="19"/>
      <x:c r="C418" s="19"/>
      <x:c r="D418" s="19"/>
      <x:c r="E418" s="19"/>
      <x:c r="F418" s="25"/>
      <x:c r="G418" s="25"/>
      <x:c r="H418" s="62"/>
      <x:c r="I418" s="120" t="str">
        <x:f>IF($A418="","",SUMIFS('InventoryTransactions'!$D$2:$D$500,'InventoryTransactions'!$B$2:$B$500,$A418))</x:f>
      </x:c>
      <x:c r="J418" s="19"/>
      <x:c r="K418" s="26"/>
      <x:c r="L418" s="19"/>
      <x:c r="M418" s="26"/>
      <x:c r="N418" s="19"/>
      <x:c r="O418" s="19"/>
    </x:row>
    <x:row r="419">
      <x:c r="A419" s="19"/>
      <x:c r="B419" s="19"/>
      <x:c r="C419" s="19"/>
      <x:c r="D419" s="19"/>
      <x:c r="E419" s="19"/>
      <x:c r="F419" s="25"/>
      <x:c r="G419" s="25"/>
      <x:c r="H419" s="62"/>
      <x:c r="I419" s="120" t="str">
        <x:f>IF($A419="","",SUMIFS('InventoryTransactions'!$D$2:$D$500,'InventoryTransactions'!$B$2:$B$500,$A419))</x:f>
      </x:c>
      <x:c r="J419" s="19"/>
      <x:c r="K419" s="26"/>
      <x:c r="L419" s="19"/>
      <x:c r="M419" s="26"/>
      <x:c r="N419" s="19"/>
      <x:c r="O419" s="19"/>
    </x:row>
    <x:row r="420">
      <x:c r="A420" s="19"/>
      <x:c r="B420" s="19"/>
      <x:c r="C420" s="19"/>
      <x:c r="D420" s="19"/>
      <x:c r="E420" s="19"/>
      <x:c r="F420" s="25"/>
      <x:c r="G420" s="25"/>
      <x:c r="H420" s="62"/>
      <x:c r="I420" s="120" t="str">
        <x:f>IF($A420="","",SUMIFS('InventoryTransactions'!$D$2:$D$500,'InventoryTransactions'!$B$2:$B$500,$A420))</x:f>
      </x:c>
      <x:c r="J420" s="19"/>
      <x:c r="K420" s="26"/>
      <x:c r="L420" s="19"/>
      <x:c r="M420" s="26"/>
      <x:c r="N420" s="19"/>
      <x:c r="O420" s="19"/>
    </x:row>
    <x:row r="421">
      <x:c r="A421" s="19"/>
      <x:c r="B421" s="19"/>
      <x:c r="C421" s="19"/>
      <x:c r="D421" s="19"/>
      <x:c r="E421" s="19"/>
      <x:c r="F421" s="25"/>
      <x:c r="G421" s="25"/>
      <x:c r="H421" s="62"/>
      <x:c r="I421" s="120" t="str">
        <x:f>IF($A421="","",SUMIFS('InventoryTransactions'!$D$2:$D$500,'InventoryTransactions'!$B$2:$B$500,$A421))</x:f>
      </x:c>
      <x:c r="J421" s="19"/>
      <x:c r="K421" s="26"/>
      <x:c r="L421" s="19"/>
      <x:c r="M421" s="26"/>
      <x:c r="N421" s="19"/>
      <x:c r="O421" s="19"/>
    </x:row>
    <x:row r="422">
      <x:c r="A422" s="19"/>
      <x:c r="B422" s="19"/>
      <x:c r="C422" s="19"/>
      <x:c r="D422" s="19"/>
      <x:c r="E422" s="19"/>
      <x:c r="F422" s="25"/>
      <x:c r="G422" s="25"/>
      <x:c r="H422" s="62"/>
      <x:c r="I422" s="120" t="str">
        <x:f>IF($A422="","",SUMIFS('InventoryTransactions'!$D$2:$D$500,'InventoryTransactions'!$B$2:$B$500,$A422))</x:f>
      </x:c>
      <x:c r="J422" s="19"/>
      <x:c r="K422" s="26"/>
      <x:c r="L422" s="19"/>
      <x:c r="M422" s="26"/>
      <x:c r="N422" s="19"/>
      <x:c r="O422" s="19"/>
    </x:row>
    <x:row r="423">
      <x:c r="A423" s="19"/>
      <x:c r="B423" s="19"/>
      <x:c r="C423" s="19"/>
      <x:c r="D423" s="19"/>
      <x:c r="E423" s="19"/>
      <x:c r="F423" s="25"/>
      <x:c r="G423" s="25"/>
      <x:c r="H423" s="62"/>
      <x:c r="I423" s="120" t="str">
        <x:f>IF($A423="","",SUMIFS('InventoryTransactions'!$D$2:$D$500,'InventoryTransactions'!$B$2:$B$500,$A423))</x:f>
      </x:c>
      <x:c r="J423" s="19"/>
      <x:c r="K423" s="26"/>
      <x:c r="L423" s="19"/>
      <x:c r="M423" s="26"/>
      <x:c r="N423" s="19"/>
      <x:c r="O423" s="19"/>
    </x:row>
    <x:row r="424">
      <x:c r="A424" s="19"/>
      <x:c r="B424" s="19"/>
      <x:c r="C424" s="19"/>
      <x:c r="D424" s="19"/>
      <x:c r="E424" s="19"/>
      <x:c r="F424" s="25"/>
      <x:c r="G424" s="25"/>
      <x:c r="H424" s="62"/>
      <x:c r="I424" s="120" t="str">
        <x:f>IF($A424="","",SUMIFS('InventoryTransactions'!$D$2:$D$500,'InventoryTransactions'!$B$2:$B$500,$A424))</x:f>
      </x:c>
      <x:c r="J424" s="19"/>
      <x:c r="K424" s="26"/>
      <x:c r="L424" s="19"/>
      <x:c r="M424" s="26"/>
      <x:c r="N424" s="19"/>
      <x:c r="O424" s="19"/>
    </x:row>
    <x:row r="425">
      <x:c r="A425" s="19"/>
      <x:c r="B425" s="19"/>
      <x:c r="C425" s="19"/>
      <x:c r="D425" s="19"/>
      <x:c r="E425" s="19"/>
      <x:c r="F425" s="25"/>
      <x:c r="G425" s="25"/>
      <x:c r="H425" s="62"/>
      <x:c r="I425" s="120" t="str">
        <x:f>IF($A425="","",SUMIFS('InventoryTransactions'!$D$2:$D$500,'InventoryTransactions'!$B$2:$B$500,$A425))</x:f>
      </x:c>
      <x:c r="J425" s="19"/>
      <x:c r="K425" s="26"/>
      <x:c r="L425" s="19"/>
      <x:c r="M425" s="26"/>
      <x:c r="N425" s="19"/>
      <x:c r="O425" s="19"/>
    </x:row>
    <x:row r="426">
      <x:c r="A426" s="19"/>
      <x:c r="B426" s="19"/>
      <x:c r="C426" s="19"/>
      <x:c r="D426" s="19"/>
      <x:c r="E426" s="19"/>
      <x:c r="F426" s="25"/>
      <x:c r="G426" s="25"/>
      <x:c r="H426" s="62"/>
      <x:c r="I426" s="120" t="str">
        <x:f>IF($A426="","",SUMIFS('InventoryTransactions'!$D$2:$D$500,'InventoryTransactions'!$B$2:$B$500,$A426))</x:f>
      </x:c>
      <x:c r="J426" s="19"/>
      <x:c r="K426" s="26"/>
      <x:c r="L426" s="19"/>
      <x:c r="M426" s="26"/>
      <x:c r="N426" s="19"/>
      <x:c r="O426" s="19"/>
    </x:row>
    <x:row r="427">
      <x:c r="A427" s="19"/>
      <x:c r="B427" s="19"/>
      <x:c r="C427" s="19"/>
      <x:c r="D427" s="19"/>
      <x:c r="E427" s="19"/>
      <x:c r="F427" s="25"/>
      <x:c r="G427" s="25"/>
      <x:c r="H427" s="62"/>
      <x:c r="I427" s="120" t="str">
        <x:f>IF($A427="","",SUMIFS('InventoryTransactions'!$D$2:$D$500,'InventoryTransactions'!$B$2:$B$500,$A427))</x:f>
      </x:c>
      <x:c r="J427" s="19"/>
      <x:c r="K427" s="26"/>
      <x:c r="L427" s="19"/>
      <x:c r="M427" s="26"/>
      <x:c r="N427" s="19"/>
      <x:c r="O427" s="19"/>
    </x:row>
    <x:row r="428">
      <x:c r="A428" s="19"/>
      <x:c r="B428" s="19"/>
      <x:c r="C428" s="19"/>
      <x:c r="D428" s="19"/>
      <x:c r="E428" s="19"/>
      <x:c r="F428" s="25"/>
      <x:c r="G428" s="25"/>
      <x:c r="H428" s="62"/>
      <x:c r="I428" s="120" t="str">
        <x:f>IF($A428="","",SUMIFS('InventoryTransactions'!$D$2:$D$500,'InventoryTransactions'!$B$2:$B$500,$A428))</x:f>
      </x:c>
      <x:c r="J428" s="19"/>
      <x:c r="K428" s="26"/>
      <x:c r="L428" s="19"/>
      <x:c r="M428" s="26"/>
      <x:c r="N428" s="19"/>
      <x:c r="O428" s="19"/>
    </x:row>
    <x:row r="429">
      <x:c r="A429" s="19"/>
      <x:c r="B429" s="19"/>
      <x:c r="C429" s="19"/>
      <x:c r="D429" s="19"/>
      <x:c r="E429" s="19"/>
      <x:c r="F429" s="25"/>
      <x:c r="G429" s="25"/>
      <x:c r="H429" s="62"/>
      <x:c r="I429" s="120" t="str">
        <x:f>IF($A429="","",SUMIFS('InventoryTransactions'!$D$2:$D$500,'InventoryTransactions'!$B$2:$B$500,$A429))</x:f>
      </x:c>
      <x:c r="J429" s="19"/>
      <x:c r="K429" s="26"/>
      <x:c r="L429" s="19"/>
      <x:c r="M429" s="26"/>
      <x:c r="N429" s="19"/>
      <x:c r="O429" s="19"/>
    </x:row>
    <x:row r="430">
      <x:c r="A430" s="19"/>
      <x:c r="B430" s="19"/>
      <x:c r="C430" s="19"/>
      <x:c r="D430" s="19"/>
      <x:c r="E430" s="19"/>
      <x:c r="F430" s="25"/>
      <x:c r="G430" s="25"/>
      <x:c r="H430" s="62"/>
      <x:c r="I430" s="120" t="str">
        <x:f>IF($A430="","",SUMIFS('InventoryTransactions'!$D$2:$D$500,'InventoryTransactions'!$B$2:$B$500,$A430))</x:f>
      </x:c>
      <x:c r="J430" s="19"/>
      <x:c r="K430" s="26"/>
      <x:c r="L430" s="19"/>
      <x:c r="M430" s="26"/>
      <x:c r="N430" s="19"/>
      <x:c r="O430" s="19"/>
    </x:row>
    <x:row r="431">
      <x:c r="A431" s="19"/>
      <x:c r="B431" s="19"/>
      <x:c r="C431" s="19"/>
      <x:c r="D431" s="19"/>
      <x:c r="E431" s="19"/>
      <x:c r="F431" s="25"/>
      <x:c r="G431" s="25"/>
      <x:c r="H431" s="62"/>
      <x:c r="I431" s="120" t="str">
        <x:f>IF($A431="","",SUMIFS('InventoryTransactions'!$D$2:$D$500,'InventoryTransactions'!$B$2:$B$500,$A431))</x:f>
      </x:c>
      <x:c r="J431" s="19"/>
      <x:c r="K431" s="26"/>
      <x:c r="L431" s="19"/>
      <x:c r="M431" s="26"/>
      <x:c r="N431" s="19"/>
      <x:c r="O431" s="19"/>
    </x:row>
    <x:row r="432">
      <x:c r="A432" s="19"/>
      <x:c r="B432" s="19"/>
      <x:c r="C432" s="19"/>
      <x:c r="D432" s="19"/>
      <x:c r="E432" s="19"/>
      <x:c r="F432" s="25"/>
      <x:c r="G432" s="25"/>
      <x:c r="H432" s="62"/>
      <x:c r="I432" s="120" t="str">
        <x:f>IF($A432="","",SUMIFS('InventoryTransactions'!$D$2:$D$500,'InventoryTransactions'!$B$2:$B$500,$A432))</x:f>
      </x:c>
      <x:c r="J432" s="19"/>
      <x:c r="K432" s="26"/>
      <x:c r="L432" s="19"/>
      <x:c r="M432" s="26"/>
      <x:c r="N432" s="19"/>
      <x:c r="O432" s="19"/>
    </x:row>
    <x:row r="433">
      <x:c r="A433" s="19"/>
      <x:c r="B433" s="19"/>
      <x:c r="C433" s="19"/>
      <x:c r="D433" s="19"/>
      <x:c r="E433" s="19"/>
      <x:c r="F433" s="25"/>
      <x:c r="G433" s="25"/>
      <x:c r="H433" s="62"/>
      <x:c r="I433" s="120" t="str">
        <x:f>IF($A433="","",SUMIFS('InventoryTransactions'!$D$2:$D$500,'InventoryTransactions'!$B$2:$B$500,$A433))</x:f>
      </x:c>
      <x:c r="J433" s="19"/>
      <x:c r="K433" s="26"/>
      <x:c r="L433" s="19"/>
      <x:c r="M433" s="26"/>
      <x:c r="N433" s="19"/>
      <x:c r="O433" s="19"/>
    </x:row>
    <x:row r="434">
      <x:c r="A434" s="19"/>
      <x:c r="B434" s="19"/>
      <x:c r="C434" s="19"/>
      <x:c r="D434" s="19"/>
      <x:c r="E434" s="19"/>
      <x:c r="F434" s="25"/>
      <x:c r="G434" s="25"/>
      <x:c r="H434" s="62"/>
      <x:c r="I434" s="120" t="str">
        <x:f>IF($A434="","",SUMIFS('InventoryTransactions'!$D$2:$D$500,'InventoryTransactions'!$B$2:$B$500,$A434))</x:f>
      </x:c>
      <x:c r="J434" s="19"/>
      <x:c r="K434" s="26"/>
      <x:c r="L434" s="19"/>
      <x:c r="M434" s="26"/>
      <x:c r="N434" s="19"/>
      <x:c r="O434" s="19"/>
    </x:row>
    <x:row r="435">
      <x:c r="A435" s="19"/>
      <x:c r="B435" s="19"/>
      <x:c r="C435" s="19"/>
      <x:c r="D435" s="19"/>
      <x:c r="E435" s="19"/>
      <x:c r="F435" s="25"/>
      <x:c r="G435" s="25"/>
      <x:c r="H435" s="62"/>
      <x:c r="I435" s="120" t="str">
        <x:f>IF($A435="","",SUMIFS('InventoryTransactions'!$D$2:$D$500,'InventoryTransactions'!$B$2:$B$500,$A435))</x:f>
      </x:c>
      <x:c r="J435" s="19"/>
      <x:c r="K435" s="26"/>
      <x:c r="L435" s="19"/>
      <x:c r="M435" s="26"/>
      <x:c r="N435" s="19"/>
      <x:c r="O435" s="19"/>
    </x:row>
    <x:row r="436">
      <x:c r="A436" s="19"/>
      <x:c r="B436" s="19"/>
      <x:c r="C436" s="19"/>
      <x:c r="D436" s="19"/>
      <x:c r="E436" s="19"/>
      <x:c r="F436" s="25"/>
      <x:c r="G436" s="25"/>
      <x:c r="H436" s="62"/>
      <x:c r="I436" s="120" t="str">
        <x:f>IF($A436="","",SUMIFS('InventoryTransactions'!$D$2:$D$500,'InventoryTransactions'!$B$2:$B$500,$A436))</x:f>
      </x:c>
      <x:c r="J436" s="19"/>
      <x:c r="K436" s="26"/>
      <x:c r="L436" s="19"/>
      <x:c r="M436" s="26"/>
      <x:c r="N436" s="19"/>
      <x:c r="O436" s="19"/>
    </x:row>
    <x:row r="437">
      <x:c r="A437" s="19"/>
      <x:c r="B437" s="19"/>
      <x:c r="C437" s="19"/>
      <x:c r="D437" s="19"/>
      <x:c r="E437" s="19"/>
      <x:c r="F437" s="25"/>
      <x:c r="G437" s="25"/>
      <x:c r="H437" s="62"/>
      <x:c r="I437" s="120" t="str">
        <x:f>IF($A437="","",SUMIFS('InventoryTransactions'!$D$2:$D$500,'InventoryTransactions'!$B$2:$B$500,$A437))</x:f>
      </x:c>
      <x:c r="J437" s="19"/>
      <x:c r="K437" s="26"/>
      <x:c r="L437" s="19"/>
      <x:c r="M437" s="26"/>
      <x:c r="N437" s="19"/>
      <x:c r="O437" s="19"/>
    </x:row>
    <x:row r="438">
      <x:c r="A438" s="19"/>
      <x:c r="B438" s="19"/>
      <x:c r="C438" s="19"/>
      <x:c r="D438" s="19"/>
      <x:c r="E438" s="19"/>
      <x:c r="F438" s="25"/>
      <x:c r="G438" s="25"/>
      <x:c r="H438" s="62"/>
      <x:c r="I438" s="120" t="str">
        <x:f>IF($A438="","",SUMIFS('InventoryTransactions'!$D$2:$D$500,'InventoryTransactions'!$B$2:$B$500,$A438))</x:f>
      </x:c>
      <x:c r="J438" s="19"/>
      <x:c r="K438" s="26"/>
      <x:c r="L438" s="19"/>
      <x:c r="M438" s="26"/>
      <x:c r="N438" s="19"/>
      <x:c r="O438" s="19"/>
    </x:row>
    <x:row r="439">
      <x:c r="A439" s="19"/>
      <x:c r="B439" s="19"/>
      <x:c r="C439" s="19"/>
      <x:c r="D439" s="19"/>
      <x:c r="E439" s="19"/>
      <x:c r="F439" s="25"/>
      <x:c r="G439" s="25"/>
      <x:c r="H439" s="62"/>
      <x:c r="I439" s="120" t="str">
        <x:f>IF($A439="","",SUMIFS('InventoryTransactions'!$D$2:$D$500,'InventoryTransactions'!$B$2:$B$500,$A439))</x:f>
      </x:c>
      <x:c r="J439" s="19"/>
      <x:c r="K439" s="26"/>
      <x:c r="L439" s="19"/>
      <x:c r="M439" s="26"/>
      <x:c r="N439" s="19"/>
      <x:c r="O439" s="19"/>
    </x:row>
    <x:row r="440">
      <x:c r="A440" s="19"/>
      <x:c r="B440" s="19"/>
      <x:c r="C440" s="19"/>
      <x:c r="D440" s="19"/>
      <x:c r="E440" s="19"/>
      <x:c r="F440" s="25"/>
      <x:c r="G440" s="25"/>
      <x:c r="H440" s="62"/>
      <x:c r="I440" s="120" t="str">
        <x:f>IF($A440="","",SUMIFS('InventoryTransactions'!$D$2:$D$500,'InventoryTransactions'!$B$2:$B$500,$A440))</x:f>
      </x:c>
      <x:c r="J440" s="19"/>
      <x:c r="K440" s="26"/>
      <x:c r="L440" s="19"/>
      <x:c r="M440" s="26"/>
      <x:c r="N440" s="19"/>
      <x:c r="O440" s="19"/>
    </x:row>
    <x:row r="441">
      <x:c r="A441" s="19"/>
      <x:c r="B441" s="19"/>
      <x:c r="C441" s="19"/>
      <x:c r="D441" s="19"/>
      <x:c r="E441" s="19"/>
      <x:c r="F441" s="25"/>
      <x:c r="G441" s="25"/>
      <x:c r="H441" s="62"/>
      <x:c r="I441" s="120" t="str">
        <x:f>IF($A441="","",SUMIFS('InventoryTransactions'!$D$2:$D$500,'InventoryTransactions'!$B$2:$B$500,$A441))</x:f>
      </x:c>
      <x:c r="J441" s="19"/>
      <x:c r="K441" s="26"/>
      <x:c r="L441" s="19"/>
      <x:c r="M441" s="26"/>
      <x:c r="N441" s="19"/>
      <x:c r="O441" s="19"/>
    </x:row>
    <x:row r="442">
      <x:c r="A442" s="19"/>
      <x:c r="B442" s="19"/>
      <x:c r="C442" s="19"/>
      <x:c r="D442" s="19"/>
      <x:c r="E442" s="19"/>
      <x:c r="F442" s="25"/>
      <x:c r="G442" s="25"/>
      <x:c r="H442" s="62"/>
      <x:c r="I442" s="120" t="str">
        <x:f>IF($A442="","",SUMIFS('InventoryTransactions'!$D$2:$D$500,'InventoryTransactions'!$B$2:$B$500,$A442))</x:f>
      </x:c>
      <x:c r="J442" s="19"/>
      <x:c r="K442" s="26"/>
      <x:c r="L442" s="19"/>
      <x:c r="M442" s="26"/>
      <x:c r="N442" s="19"/>
      <x:c r="O442" s="19"/>
    </x:row>
    <x:row r="443">
      <x:c r="A443" s="19"/>
      <x:c r="B443" s="19"/>
      <x:c r="C443" s="19"/>
      <x:c r="D443" s="19"/>
      <x:c r="E443" s="19"/>
      <x:c r="F443" s="25"/>
      <x:c r="G443" s="25"/>
      <x:c r="H443" s="62"/>
      <x:c r="I443" s="120" t="str">
        <x:f>IF($A443="","",SUMIFS('InventoryTransactions'!$D$2:$D$500,'InventoryTransactions'!$B$2:$B$500,$A443))</x:f>
      </x:c>
      <x:c r="J443" s="19"/>
      <x:c r="K443" s="26"/>
      <x:c r="L443" s="19"/>
      <x:c r="M443" s="26"/>
      <x:c r="N443" s="19"/>
      <x:c r="O443" s="19"/>
    </x:row>
    <x:row r="444">
      <x:c r="A444" s="19"/>
      <x:c r="B444" s="19"/>
      <x:c r="C444" s="19"/>
      <x:c r="D444" s="19"/>
      <x:c r="E444" s="19"/>
      <x:c r="F444" s="25"/>
      <x:c r="G444" s="25"/>
      <x:c r="H444" s="62"/>
      <x:c r="I444" s="120" t="str">
        <x:f>IF($A444="","",SUMIFS('InventoryTransactions'!$D$2:$D$500,'InventoryTransactions'!$B$2:$B$500,$A444))</x:f>
      </x:c>
      <x:c r="J444" s="19"/>
      <x:c r="K444" s="26"/>
      <x:c r="L444" s="19"/>
      <x:c r="M444" s="26"/>
      <x:c r="N444" s="19"/>
      <x:c r="O444" s="19"/>
    </x:row>
    <x:row r="445">
      <x:c r="A445" s="19"/>
      <x:c r="B445" s="19"/>
      <x:c r="C445" s="19"/>
      <x:c r="D445" s="19"/>
      <x:c r="E445" s="19"/>
      <x:c r="F445" s="25"/>
      <x:c r="G445" s="25"/>
      <x:c r="H445" s="62"/>
      <x:c r="I445" s="120" t="str">
        <x:f>IF($A445="","",SUMIFS('InventoryTransactions'!$D$2:$D$500,'InventoryTransactions'!$B$2:$B$500,$A445))</x:f>
      </x:c>
      <x:c r="J445" s="19"/>
      <x:c r="K445" s="26"/>
      <x:c r="L445" s="19"/>
      <x:c r="M445" s="26"/>
      <x:c r="N445" s="19"/>
      <x:c r="O445" s="19"/>
    </x:row>
    <x:row r="446">
      <x:c r="A446" s="19"/>
      <x:c r="B446" s="19"/>
      <x:c r="C446" s="19"/>
      <x:c r="D446" s="19"/>
      <x:c r="E446" s="19"/>
      <x:c r="F446" s="25"/>
      <x:c r="G446" s="25"/>
      <x:c r="H446" s="62"/>
      <x:c r="I446" s="120" t="str">
        <x:f>IF($A446="","",SUMIFS('InventoryTransactions'!$D$2:$D$500,'InventoryTransactions'!$B$2:$B$500,$A446))</x:f>
      </x:c>
      <x:c r="J446" s="19"/>
      <x:c r="K446" s="26"/>
      <x:c r="L446" s="19"/>
      <x:c r="M446" s="26"/>
      <x:c r="N446" s="19"/>
      <x:c r="O446" s="19"/>
    </x:row>
    <x:row r="447">
      <x:c r="A447" s="19"/>
      <x:c r="B447" s="19"/>
      <x:c r="C447" s="19"/>
      <x:c r="D447" s="19"/>
      <x:c r="E447" s="19"/>
      <x:c r="F447" s="25"/>
      <x:c r="G447" s="25"/>
      <x:c r="H447" s="62"/>
      <x:c r="I447" s="120" t="str">
        <x:f>IF($A447="","",SUMIFS('InventoryTransactions'!$D$2:$D$500,'InventoryTransactions'!$B$2:$B$500,$A447))</x:f>
      </x:c>
      <x:c r="J447" s="19"/>
      <x:c r="K447" s="26"/>
      <x:c r="L447" s="19"/>
      <x:c r="M447" s="26"/>
      <x:c r="N447" s="19"/>
      <x:c r="O447" s="19"/>
    </x:row>
    <x:row r="448">
      <x:c r="A448" s="19"/>
      <x:c r="B448" s="19"/>
      <x:c r="C448" s="19"/>
      <x:c r="D448" s="19"/>
      <x:c r="E448" s="19"/>
      <x:c r="F448" s="25"/>
      <x:c r="G448" s="25"/>
      <x:c r="H448" s="62"/>
      <x:c r="I448" s="120" t="str">
        <x:f>IF($A448="","",SUMIFS('InventoryTransactions'!$D$2:$D$500,'InventoryTransactions'!$B$2:$B$500,$A448))</x:f>
      </x:c>
      <x:c r="J448" s="19"/>
      <x:c r="K448" s="26"/>
      <x:c r="L448" s="19"/>
      <x:c r="M448" s="26"/>
      <x:c r="N448" s="19"/>
      <x:c r="O448" s="19"/>
    </x:row>
    <x:row r="449">
      <x:c r="A449" s="19"/>
      <x:c r="B449" s="19"/>
      <x:c r="C449" s="19"/>
      <x:c r="D449" s="19"/>
      <x:c r="E449" s="19"/>
      <x:c r="F449" s="25"/>
      <x:c r="G449" s="25"/>
      <x:c r="H449" s="62"/>
      <x:c r="I449" s="120" t="str">
        <x:f>IF($A449="","",SUMIFS('InventoryTransactions'!$D$2:$D$500,'InventoryTransactions'!$B$2:$B$500,$A449))</x:f>
      </x:c>
      <x:c r="J449" s="19"/>
      <x:c r="K449" s="26"/>
      <x:c r="L449" s="19"/>
      <x:c r="M449" s="26"/>
      <x:c r="N449" s="19"/>
      <x:c r="O449" s="19"/>
    </x:row>
    <x:row r="450">
      <x:c r="A450" s="19"/>
      <x:c r="B450" s="19"/>
      <x:c r="C450" s="19"/>
      <x:c r="D450" s="19"/>
      <x:c r="E450" s="19"/>
      <x:c r="F450" s="25"/>
      <x:c r="G450" s="25"/>
      <x:c r="H450" s="62"/>
      <x:c r="I450" s="120" t="str">
        <x:f>IF($A450="","",SUMIFS('InventoryTransactions'!$D$2:$D$500,'InventoryTransactions'!$B$2:$B$500,$A450))</x:f>
      </x:c>
      <x:c r="J450" s="19"/>
      <x:c r="K450" s="26"/>
      <x:c r="L450" s="19"/>
      <x:c r="M450" s="26"/>
      <x:c r="N450" s="19"/>
      <x:c r="O450" s="19"/>
    </x:row>
    <x:row r="451">
      <x:c r="A451" s="19"/>
      <x:c r="B451" s="19"/>
      <x:c r="C451" s="19"/>
      <x:c r="D451" s="19"/>
      <x:c r="E451" s="19"/>
      <x:c r="F451" s="25"/>
      <x:c r="G451" s="25"/>
      <x:c r="H451" s="62"/>
      <x:c r="I451" s="120" t="str">
        <x:f>IF($A451="","",SUMIFS('InventoryTransactions'!$D$2:$D$500,'InventoryTransactions'!$B$2:$B$500,$A451))</x:f>
      </x:c>
      <x:c r="J451" s="19"/>
      <x:c r="K451" s="26"/>
      <x:c r="L451" s="19"/>
      <x:c r="M451" s="26"/>
      <x:c r="N451" s="19"/>
      <x:c r="O451" s="19"/>
    </x:row>
    <x:row r="452">
      <x:c r="A452" s="19"/>
      <x:c r="B452" s="19"/>
      <x:c r="C452" s="19"/>
      <x:c r="D452" s="19"/>
      <x:c r="E452" s="19"/>
      <x:c r="F452" s="25"/>
      <x:c r="G452" s="25"/>
      <x:c r="H452" s="62"/>
      <x:c r="I452" s="120" t="str">
        <x:f>IF($A452="","",SUMIFS('InventoryTransactions'!$D$2:$D$500,'InventoryTransactions'!$B$2:$B$500,$A452))</x:f>
      </x:c>
      <x:c r="J452" s="19"/>
      <x:c r="K452" s="26"/>
      <x:c r="L452" s="19"/>
      <x:c r="M452" s="26"/>
      <x:c r="N452" s="19"/>
      <x:c r="O452" s="19"/>
    </x:row>
    <x:row r="453">
      <x:c r="A453" s="19"/>
      <x:c r="B453" s="19"/>
      <x:c r="C453" s="19"/>
      <x:c r="D453" s="19"/>
      <x:c r="E453" s="19"/>
      <x:c r="F453" s="25"/>
      <x:c r="G453" s="25"/>
      <x:c r="H453" s="62"/>
      <x:c r="I453" s="120" t="str">
        <x:f>IF($A453="","",SUMIFS('InventoryTransactions'!$D$2:$D$500,'InventoryTransactions'!$B$2:$B$500,$A453))</x:f>
      </x:c>
      <x:c r="J453" s="19"/>
      <x:c r="K453" s="26"/>
      <x:c r="L453" s="19"/>
      <x:c r="M453" s="26"/>
      <x:c r="N453" s="19"/>
      <x:c r="O453" s="19"/>
    </x:row>
    <x:row r="454">
      <x:c r="A454" s="19"/>
      <x:c r="B454" s="19"/>
      <x:c r="C454" s="19"/>
      <x:c r="D454" s="19"/>
      <x:c r="E454" s="19"/>
      <x:c r="F454" s="25"/>
      <x:c r="G454" s="25"/>
      <x:c r="H454" s="62"/>
      <x:c r="I454" s="120" t="str">
        <x:f>IF($A454="","",SUMIFS('InventoryTransactions'!$D$2:$D$500,'InventoryTransactions'!$B$2:$B$500,$A454))</x:f>
      </x:c>
      <x:c r="J454" s="19"/>
      <x:c r="K454" s="26"/>
      <x:c r="L454" s="19"/>
      <x:c r="M454" s="26"/>
      <x:c r="N454" s="19"/>
      <x:c r="O454" s="19"/>
    </x:row>
    <x:row r="455">
      <x:c r="A455" s="19"/>
      <x:c r="B455" s="19"/>
      <x:c r="C455" s="19"/>
      <x:c r="D455" s="19"/>
      <x:c r="E455" s="19"/>
      <x:c r="F455" s="25"/>
      <x:c r="G455" s="25"/>
      <x:c r="H455" s="62"/>
      <x:c r="I455" s="120" t="str">
        <x:f>IF($A455="","",SUMIFS('InventoryTransactions'!$D$2:$D$500,'InventoryTransactions'!$B$2:$B$500,$A455))</x:f>
      </x:c>
      <x:c r="J455" s="19"/>
      <x:c r="K455" s="26"/>
      <x:c r="L455" s="19"/>
      <x:c r="M455" s="26"/>
      <x:c r="N455" s="19"/>
      <x:c r="O455" s="19"/>
    </x:row>
    <x:row r="456">
      <x:c r="A456" s="19"/>
      <x:c r="B456" s="19"/>
      <x:c r="C456" s="19"/>
      <x:c r="D456" s="19"/>
      <x:c r="E456" s="19"/>
      <x:c r="F456" s="25"/>
      <x:c r="G456" s="25"/>
      <x:c r="H456" s="62"/>
      <x:c r="I456" s="120" t="str">
        <x:f>IF($A456="","",SUMIFS('InventoryTransactions'!$D$2:$D$500,'InventoryTransactions'!$B$2:$B$500,$A456))</x:f>
      </x:c>
      <x:c r="J456" s="19"/>
      <x:c r="K456" s="26"/>
      <x:c r="L456" s="19"/>
      <x:c r="M456" s="26"/>
      <x:c r="N456" s="19"/>
      <x:c r="O456" s="19"/>
    </x:row>
    <x:row r="457">
      <x:c r="A457" s="19"/>
      <x:c r="B457" s="19"/>
      <x:c r="C457" s="19"/>
      <x:c r="D457" s="19"/>
      <x:c r="E457" s="19"/>
      <x:c r="F457" s="25"/>
      <x:c r="G457" s="25"/>
      <x:c r="H457" s="62"/>
      <x:c r="I457" s="120" t="str">
        <x:f>IF($A457="","",SUMIFS('InventoryTransactions'!$D$2:$D$500,'InventoryTransactions'!$B$2:$B$500,$A457))</x:f>
      </x:c>
      <x:c r="J457" s="19"/>
      <x:c r="K457" s="26"/>
      <x:c r="L457" s="19"/>
      <x:c r="M457" s="26"/>
      <x:c r="N457" s="19"/>
      <x:c r="O457" s="19"/>
    </x:row>
    <x:row r="458">
      <x:c r="A458" s="19"/>
      <x:c r="B458" s="19"/>
      <x:c r="C458" s="19"/>
      <x:c r="D458" s="19"/>
      <x:c r="E458" s="19"/>
      <x:c r="F458" s="25"/>
      <x:c r="G458" s="25"/>
      <x:c r="H458" s="62"/>
      <x:c r="I458" s="120" t="str">
        <x:f>IF($A458="","",SUMIFS('InventoryTransactions'!$D$2:$D$500,'InventoryTransactions'!$B$2:$B$500,$A458))</x:f>
      </x:c>
      <x:c r="J458" s="19"/>
      <x:c r="K458" s="26"/>
      <x:c r="L458" s="19"/>
      <x:c r="M458" s="26"/>
      <x:c r="N458" s="19"/>
      <x:c r="O458" s="19"/>
    </x:row>
    <x:row r="459">
      <x:c r="A459" s="19"/>
      <x:c r="B459" s="19"/>
      <x:c r="C459" s="19"/>
      <x:c r="D459" s="19"/>
      <x:c r="E459" s="19"/>
      <x:c r="F459" s="25"/>
      <x:c r="G459" s="25"/>
      <x:c r="H459" s="62"/>
      <x:c r="I459" s="120" t="str">
        <x:f>IF($A459="","",SUMIFS('InventoryTransactions'!$D$2:$D$500,'InventoryTransactions'!$B$2:$B$500,$A459))</x:f>
      </x:c>
      <x:c r="J459" s="19"/>
      <x:c r="K459" s="26"/>
      <x:c r="L459" s="19"/>
      <x:c r="M459" s="26"/>
      <x:c r="N459" s="19"/>
      <x:c r="O459" s="19"/>
    </x:row>
    <x:row r="460">
      <x:c r="A460" s="19"/>
      <x:c r="B460" s="19"/>
      <x:c r="C460" s="19"/>
      <x:c r="D460" s="19"/>
      <x:c r="E460" s="19"/>
      <x:c r="F460" s="25"/>
      <x:c r="G460" s="25"/>
      <x:c r="H460" s="62"/>
      <x:c r="I460" s="120" t="str">
        <x:f>IF($A460="","",SUMIFS('InventoryTransactions'!$D$2:$D$500,'InventoryTransactions'!$B$2:$B$500,$A460))</x:f>
      </x:c>
      <x:c r="J460" s="19"/>
      <x:c r="K460" s="26"/>
      <x:c r="L460" s="19"/>
      <x:c r="M460" s="26"/>
      <x:c r="N460" s="19"/>
      <x:c r="O460" s="19"/>
    </x:row>
    <x:row r="461">
      <x:c r="A461" s="19"/>
      <x:c r="B461" s="19"/>
      <x:c r="C461" s="19"/>
      <x:c r="D461" s="19"/>
      <x:c r="E461" s="19"/>
      <x:c r="F461" s="25"/>
      <x:c r="G461" s="25"/>
      <x:c r="H461" s="62"/>
      <x:c r="I461" s="120" t="str">
        <x:f>IF($A461="","",SUMIFS('InventoryTransactions'!$D$2:$D$500,'InventoryTransactions'!$B$2:$B$500,$A461))</x:f>
      </x:c>
      <x:c r="J461" s="19"/>
      <x:c r="K461" s="26"/>
      <x:c r="L461" s="19"/>
      <x:c r="M461" s="26"/>
      <x:c r="N461" s="19"/>
      <x:c r="O461" s="19"/>
    </x:row>
    <x:row r="462">
      <x:c r="A462" s="19"/>
      <x:c r="B462" s="19"/>
      <x:c r="C462" s="19"/>
      <x:c r="D462" s="19"/>
      <x:c r="E462" s="19"/>
      <x:c r="F462" s="25"/>
      <x:c r="G462" s="25"/>
      <x:c r="H462" s="62"/>
      <x:c r="I462" s="120" t="str">
        <x:f>IF($A462="","",SUMIFS('InventoryTransactions'!$D$2:$D$500,'InventoryTransactions'!$B$2:$B$500,$A462))</x:f>
      </x:c>
      <x:c r="J462" s="19"/>
      <x:c r="K462" s="26"/>
      <x:c r="L462" s="19"/>
      <x:c r="M462" s="26"/>
      <x:c r="N462" s="19"/>
      <x:c r="O462" s="19"/>
    </x:row>
    <x:row r="463">
      <x:c r="A463" s="19"/>
      <x:c r="B463" s="19"/>
      <x:c r="C463" s="19"/>
      <x:c r="D463" s="19"/>
      <x:c r="E463" s="19"/>
      <x:c r="F463" s="25"/>
      <x:c r="G463" s="25"/>
      <x:c r="H463" s="62"/>
      <x:c r="I463" s="120" t="str">
        <x:f>IF($A463="","",SUMIFS('InventoryTransactions'!$D$2:$D$500,'InventoryTransactions'!$B$2:$B$500,$A463))</x:f>
      </x:c>
      <x:c r="J463" s="19"/>
      <x:c r="K463" s="26"/>
      <x:c r="L463" s="19"/>
      <x:c r="M463" s="26"/>
      <x:c r="N463" s="19"/>
      <x:c r="O463" s="19"/>
    </x:row>
    <x:row r="464">
      <x:c r="A464" s="19"/>
      <x:c r="B464" s="19"/>
      <x:c r="C464" s="19"/>
      <x:c r="D464" s="19"/>
      <x:c r="E464" s="19"/>
      <x:c r="F464" s="25"/>
      <x:c r="G464" s="25"/>
      <x:c r="H464" s="62"/>
      <x:c r="I464" s="120" t="str">
        <x:f>IF($A464="","",SUMIFS('InventoryTransactions'!$D$2:$D$500,'InventoryTransactions'!$B$2:$B$500,$A464))</x:f>
      </x:c>
      <x:c r="J464" s="19"/>
      <x:c r="K464" s="26"/>
      <x:c r="L464" s="19"/>
      <x:c r="M464" s="26"/>
      <x:c r="N464" s="19"/>
      <x:c r="O464" s="19"/>
    </x:row>
    <x:row r="465">
      <x:c r="A465" s="19"/>
      <x:c r="B465" s="19"/>
      <x:c r="C465" s="19"/>
      <x:c r="D465" s="19"/>
      <x:c r="E465" s="19"/>
      <x:c r="F465" s="25"/>
      <x:c r="G465" s="25"/>
      <x:c r="H465" s="62"/>
      <x:c r="I465" s="120" t="str">
        <x:f>IF($A465="","",SUMIFS('InventoryTransactions'!$D$2:$D$500,'InventoryTransactions'!$B$2:$B$500,$A465))</x:f>
      </x:c>
      <x:c r="J465" s="19"/>
      <x:c r="K465" s="26"/>
      <x:c r="L465" s="19"/>
      <x:c r="M465" s="26"/>
      <x:c r="N465" s="19"/>
      <x:c r="O465" s="19"/>
    </x:row>
    <x:row r="466">
      <x:c r="A466" s="19"/>
      <x:c r="B466" s="19"/>
      <x:c r="C466" s="19"/>
      <x:c r="D466" s="19"/>
      <x:c r="E466" s="19"/>
      <x:c r="F466" s="25"/>
      <x:c r="G466" s="25"/>
      <x:c r="H466" s="62"/>
      <x:c r="I466" s="120" t="str">
        <x:f>IF($A466="","",SUMIFS('InventoryTransactions'!$D$2:$D$500,'InventoryTransactions'!$B$2:$B$500,$A466))</x:f>
      </x:c>
      <x:c r="J466" s="19"/>
      <x:c r="K466" s="26"/>
      <x:c r="L466" s="19"/>
      <x:c r="M466" s="26"/>
      <x:c r="N466" s="19"/>
      <x:c r="O466" s="19"/>
    </x:row>
    <x:row r="467">
      <x:c r="A467" s="19"/>
      <x:c r="B467" s="19"/>
      <x:c r="C467" s="19"/>
      <x:c r="D467" s="19"/>
      <x:c r="E467" s="19"/>
      <x:c r="F467" s="25"/>
      <x:c r="G467" s="25"/>
      <x:c r="H467" s="62"/>
      <x:c r="I467" s="120" t="str">
        <x:f>IF($A467="","",SUMIFS('InventoryTransactions'!$D$2:$D$500,'InventoryTransactions'!$B$2:$B$500,$A467))</x:f>
      </x:c>
      <x:c r="J467" s="19"/>
      <x:c r="K467" s="26"/>
      <x:c r="L467" s="19"/>
      <x:c r="M467" s="26"/>
      <x:c r="N467" s="19"/>
      <x:c r="O467" s="19"/>
    </x:row>
    <x:row r="468">
      <x:c r="A468" s="19"/>
      <x:c r="B468" s="19"/>
      <x:c r="C468" s="19"/>
      <x:c r="D468" s="19"/>
      <x:c r="E468" s="19"/>
      <x:c r="F468" s="25"/>
      <x:c r="G468" s="25"/>
      <x:c r="H468" s="62"/>
      <x:c r="I468" s="120" t="str">
        <x:f>IF($A468="","",SUMIFS('InventoryTransactions'!$D$2:$D$500,'InventoryTransactions'!$B$2:$B$500,$A468))</x:f>
      </x:c>
      <x:c r="J468" s="19"/>
      <x:c r="K468" s="26"/>
      <x:c r="L468" s="19"/>
      <x:c r="M468" s="26"/>
      <x:c r="N468" s="19"/>
      <x:c r="O468" s="19"/>
    </x:row>
    <x:row r="469">
      <x:c r="A469" s="19"/>
      <x:c r="B469" s="19"/>
      <x:c r="C469" s="19"/>
      <x:c r="D469" s="19"/>
      <x:c r="E469" s="19"/>
      <x:c r="F469" s="25"/>
      <x:c r="G469" s="25"/>
      <x:c r="H469" s="62"/>
      <x:c r="I469" s="120" t="str">
        <x:f>IF($A469="","",SUMIFS('InventoryTransactions'!$D$2:$D$500,'InventoryTransactions'!$B$2:$B$500,$A469))</x:f>
      </x:c>
      <x:c r="J469" s="19"/>
      <x:c r="K469" s="26"/>
      <x:c r="L469" s="19"/>
      <x:c r="M469" s="26"/>
      <x:c r="N469" s="19"/>
      <x:c r="O469" s="19"/>
    </x:row>
    <x:row r="470">
      <x:c r="A470" s="19"/>
      <x:c r="B470" s="19"/>
      <x:c r="C470" s="19"/>
      <x:c r="D470" s="19"/>
      <x:c r="E470" s="19"/>
      <x:c r="F470" s="25"/>
      <x:c r="G470" s="25"/>
      <x:c r="H470" s="62"/>
      <x:c r="I470" s="120" t="str">
        <x:f>IF($A470="","",SUMIFS('InventoryTransactions'!$D$2:$D$500,'InventoryTransactions'!$B$2:$B$500,$A470))</x:f>
      </x:c>
      <x:c r="J470" s="19"/>
      <x:c r="K470" s="26"/>
      <x:c r="L470" s="19"/>
      <x:c r="M470" s="26"/>
      <x:c r="N470" s="19"/>
      <x:c r="O470" s="19"/>
    </x:row>
    <x:row r="471">
      <x:c r="A471" s="19"/>
      <x:c r="B471" s="19"/>
      <x:c r="C471" s="19"/>
      <x:c r="D471" s="19"/>
      <x:c r="E471" s="19"/>
      <x:c r="F471" s="25"/>
      <x:c r="G471" s="25"/>
      <x:c r="H471" s="62"/>
      <x:c r="I471" s="120" t="str">
        <x:f>IF($A471="","",SUMIFS('InventoryTransactions'!$D$2:$D$500,'InventoryTransactions'!$B$2:$B$500,$A471))</x:f>
      </x:c>
      <x:c r="J471" s="19"/>
      <x:c r="K471" s="26"/>
      <x:c r="L471" s="19"/>
      <x:c r="M471" s="26"/>
      <x:c r="N471" s="19"/>
      <x:c r="O471" s="19"/>
    </x:row>
    <x:row r="472">
      <x:c r="A472" s="19"/>
      <x:c r="B472" s="19"/>
      <x:c r="C472" s="19"/>
      <x:c r="D472" s="19"/>
      <x:c r="E472" s="19"/>
      <x:c r="F472" s="25"/>
      <x:c r="G472" s="25"/>
      <x:c r="H472" s="62"/>
      <x:c r="I472" s="120" t="str">
        <x:f>IF($A472="","",SUMIFS('InventoryTransactions'!$D$2:$D$500,'InventoryTransactions'!$B$2:$B$500,$A472))</x:f>
      </x:c>
      <x:c r="J472" s="19"/>
      <x:c r="K472" s="26"/>
      <x:c r="L472" s="19"/>
      <x:c r="M472" s="26"/>
      <x:c r="N472" s="19"/>
      <x:c r="O472" s="19"/>
    </x:row>
    <x:row r="473">
      <x:c r="A473" s="19"/>
      <x:c r="B473" s="19"/>
      <x:c r="C473" s="19"/>
      <x:c r="D473" s="19"/>
      <x:c r="E473" s="19"/>
      <x:c r="F473" s="25"/>
      <x:c r="G473" s="25"/>
      <x:c r="H473" s="62"/>
      <x:c r="I473" s="120" t="str">
        <x:f>IF($A473="","",SUMIFS('InventoryTransactions'!$D$2:$D$500,'InventoryTransactions'!$B$2:$B$500,$A473))</x:f>
      </x:c>
      <x:c r="J473" s="19"/>
      <x:c r="K473" s="26"/>
      <x:c r="L473" s="19"/>
      <x:c r="M473" s="26"/>
      <x:c r="N473" s="19"/>
      <x:c r="O473" s="19"/>
    </x:row>
    <x:row r="474">
      <x:c r="A474" s="19"/>
      <x:c r="B474" s="19"/>
      <x:c r="C474" s="19"/>
      <x:c r="D474" s="19"/>
      <x:c r="E474" s="19"/>
      <x:c r="F474" s="25"/>
      <x:c r="G474" s="25"/>
      <x:c r="H474" s="62"/>
      <x:c r="I474" s="120" t="str">
        <x:f>IF($A474="","",SUMIFS('InventoryTransactions'!$D$2:$D$500,'InventoryTransactions'!$B$2:$B$500,$A474))</x:f>
      </x:c>
      <x:c r="J474" s="19"/>
      <x:c r="K474" s="26"/>
      <x:c r="L474" s="19"/>
      <x:c r="M474" s="26"/>
      <x:c r="N474" s="19"/>
      <x:c r="O474" s="19"/>
    </x:row>
    <x:row r="475">
      <x:c r="A475" s="19"/>
      <x:c r="B475" s="19"/>
      <x:c r="C475" s="19"/>
      <x:c r="D475" s="19"/>
      <x:c r="E475" s="19"/>
      <x:c r="F475" s="25"/>
      <x:c r="G475" s="25"/>
      <x:c r="H475" s="62"/>
      <x:c r="I475" s="120" t="str">
        <x:f>IF($A475="","",SUMIFS('InventoryTransactions'!$D$2:$D$500,'InventoryTransactions'!$B$2:$B$500,$A475))</x:f>
      </x:c>
      <x:c r="J475" s="19"/>
      <x:c r="K475" s="26"/>
      <x:c r="L475" s="19"/>
      <x:c r="M475" s="26"/>
      <x:c r="N475" s="19"/>
      <x:c r="O475" s="19"/>
    </x:row>
    <x:row r="476">
      <x:c r="A476" s="19"/>
      <x:c r="B476" s="19"/>
      <x:c r="C476" s="19"/>
      <x:c r="D476" s="19"/>
      <x:c r="E476" s="19"/>
      <x:c r="F476" s="25"/>
      <x:c r="G476" s="25"/>
      <x:c r="H476" s="62"/>
      <x:c r="I476" s="120" t="str">
        <x:f>IF($A476="","",SUMIFS('InventoryTransactions'!$D$2:$D$500,'InventoryTransactions'!$B$2:$B$500,$A476))</x:f>
      </x:c>
      <x:c r="J476" s="19"/>
      <x:c r="K476" s="26"/>
      <x:c r="L476" s="19"/>
      <x:c r="M476" s="26"/>
      <x:c r="N476" s="19"/>
      <x:c r="O476" s="19"/>
    </x:row>
    <x:row r="477">
      <x:c r="A477" s="19"/>
      <x:c r="B477" s="19"/>
      <x:c r="C477" s="19"/>
      <x:c r="D477" s="19"/>
      <x:c r="E477" s="19"/>
      <x:c r="F477" s="25"/>
      <x:c r="G477" s="25"/>
      <x:c r="H477" s="62"/>
      <x:c r="I477" s="120" t="str">
        <x:f>IF($A477="","",SUMIFS('InventoryTransactions'!$D$2:$D$500,'InventoryTransactions'!$B$2:$B$500,$A477))</x:f>
      </x:c>
      <x:c r="J477" s="19"/>
      <x:c r="K477" s="26"/>
      <x:c r="L477" s="19"/>
      <x:c r="M477" s="26"/>
      <x:c r="N477" s="19"/>
      <x:c r="O477" s="19"/>
    </x:row>
    <x:row r="478">
      <x:c r="A478" s="19"/>
      <x:c r="B478" s="19"/>
      <x:c r="C478" s="19"/>
      <x:c r="D478" s="19"/>
      <x:c r="E478" s="19"/>
      <x:c r="F478" s="25"/>
      <x:c r="G478" s="25"/>
      <x:c r="H478" s="62"/>
      <x:c r="I478" s="120" t="str">
        <x:f>IF($A478="","",SUMIFS('InventoryTransactions'!$D$2:$D$500,'InventoryTransactions'!$B$2:$B$500,$A478))</x:f>
      </x:c>
      <x:c r="J478" s="19"/>
      <x:c r="K478" s="26"/>
      <x:c r="L478" s="19"/>
      <x:c r="M478" s="26"/>
      <x:c r="N478" s="19"/>
      <x:c r="O478" s="19"/>
    </x:row>
    <x:row r="479">
      <x:c r="A479" s="19"/>
      <x:c r="B479" s="19"/>
      <x:c r="C479" s="19"/>
      <x:c r="D479" s="19"/>
      <x:c r="E479" s="19"/>
      <x:c r="F479" s="25"/>
      <x:c r="G479" s="25"/>
      <x:c r="H479" s="62"/>
      <x:c r="I479" s="120" t="str">
        <x:f>IF($A479="","",SUMIFS('InventoryTransactions'!$D$2:$D$500,'InventoryTransactions'!$B$2:$B$500,$A479))</x:f>
      </x:c>
      <x:c r="J479" s="19"/>
      <x:c r="K479" s="26"/>
      <x:c r="L479" s="19"/>
      <x:c r="M479" s="26"/>
      <x:c r="N479" s="19"/>
      <x:c r="O479" s="19"/>
    </x:row>
    <x:row r="480">
      <x:c r="A480" s="19"/>
      <x:c r="B480" s="19"/>
      <x:c r="C480" s="19"/>
      <x:c r="D480" s="19"/>
      <x:c r="E480" s="19"/>
      <x:c r="F480" s="25"/>
      <x:c r="G480" s="25"/>
      <x:c r="H480" s="62"/>
      <x:c r="I480" s="120" t="str">
        <x:f>IF($A480="","",SUMIFS('InventoryTransactions'!$D$2:$D$500,'InventoryTransactions'!$B$2:$B$500,$A480))</x:f>
      </x:c>
      <x:c r="J480" s="19"/>
      <x:c r="K480" s="26"/>
      <x:c r="L480" s="19"/>
      <x:c r="M480" s="26"/>
      <x:c r="N480" s="19"/>
      <x:c r="O480" s="19"/>
    </x:row>
    <x:row r="481">
      <x:c r="A481" s="19"/>
      <x:c r="B481" s="19"/>
      <x:c r="C481" s="19"/>
      <x:c r="D481" s="19"/>
      <x:c r="E481" s="19"/>
      <x:c r="F481" s="25"/>
      <x:c r="G481" s="25"/>
      <x:c r="H481" s="62"/>
      <x:c r="I481" s="120" t="str">
        <x:f>IF($A481="","",SUMIFS('InventoryTransactions'!$D$2:$D$500,'InventoryTransactions'!$B$2:$B$500,$A481))</x:f>
      </x:c>
      <x:c r="J481" s="19"/>
      <x:c r="K481" s="26"/>
      <x:c r="L481" s="19"/>
      <x:c r="M481" s="26"/>
      <x:c r="N481" s="19"/>
      <x:c r="O481" s="19"/>
    </x:row>
    <x:row r="482">
      <x:c r="A482" s="19"/>
      <x:c r="B482" s="19"/>
      <x:c r="C482" s="19"/>
      <x:c r="D482" s="19"/>
      <x:c r="E482" s="19"/>
      <x:c r="F482" s="25"/>
      <x:c r="G482" s="25"/>
      <x:c r="H482" s="62"/>
      <x:c r="I482" s="120" t="str">
        <x:f>IF($A482="","",SUMIFS('InventoryTransactions'!$D$2:$D$500,'InventoryTransactions'!$B$2:$B$500,$A482))</x:f>
      </x:c>
      <x:c r="J482" s="19"/>
      <x:c r="K482" s="26"/>
      <x:c r="L482" s="19"/>
      <x:c r="M482" s="26"/>
      <x:c r="N482" s="19"/>
      <x:c r="O482" s="19"/>
    </x:row>
    <x:row r="483">
      <x:c r="A483" s="19"/>
      <x:c r="B483" s="19"/>
      <x:c r="C483" s="19"/>
      <x:c r="D483" s="19"/>
      <x:c r="E483" s="19"/>
      <x:c r="F483" s="25"/>
      <x:c r="G483" s="25"/>
      <x:c r="H483" s="62"/>
      <x:c r="I483" s="120" t="str">
        <x:f>IF($A483="","",SUMIFS('InventoryTransactions'!$D$2:$D$500,'InventoryTransactions'!$B$2:$B$500,$A483))</x:f>
      </x:c>
      <x:c r="J483" s="19"/>
      <x:c r="K483" s="26"/>
      <x:c r="L483" s="19"/>
      <x:c r="M483" s="26"/>
      <x:c r="N483" s="19"/>
      <x:c r="O483" s="19"/>
    </x:row>
    <x:row r="484">
      <x:c r="A484" s="19"/>
      <x:c r="B484" s="19"/>
      <x:c r="C484" s="19"/>
      <x:c r="D484" s="19"/>
      <x:c r="E484" s="19"/>
      <x:c r="F484" s="25"/>
      <x:c r="G484" s="25"/>
      <x:c r="H484" s="62"/>
      <x:c r="I484" s="120" t="str">
        <x:f>IF($A484="","",SUMIFS('InventoryTransactions'!$D$2:$D$500,'InventoryTransactions'!$B$2:$B$500,$A484))</x:f>
      </x:c>
      <x:c r="J484" s="19"/>
      <x:c r="K484" s="26"/>
      <x:c r="L484" s="19"/>
      <x:c r="M484" s="26"/>
      <x:c r="N484" s="19"/>
      <x:c r="O484" s="19"/>
    </x:row>
    <x:row r="485">
      <x:c r="A485" s="19"/>
      <x:c r="B485" s="19"/>
      <x:c r="C485" s="19"/>
      <x:c r="D485" s="19"/>
      <x:c r="E485" s="19"/>
      <x:c r="F485" s="25"/>
      <x:c r="G485" s="25"/>
      <x:c r="H485" s="62"/>
      <x:c r="I485" s="120" t="str">
        <x:f>IF($A485="","",SUMIFS('InventoryTransactions'!$D$2:$D$500,'InventoryTransactions'!$B$2:$B$500,$A485))</x:f>
      </x:c>
      <x:c r="J485" s="19"/>
      <x:c r="K485" s="26"/>
      <x:c r="L485" s="19"/>
      <x:c r="M485" s="26"/>
      <x:c r="N485" s="19"/>
      <x:c r="O485" s="19"/>
    </x:row>
    <x:row r="486">
      <x:c r="A486" s="19"/>
      <x:c r="B486" s="19"/>
      <x:c r="C486" s="19"/>
      <x:c r="D486" s="19"/>
      <x:c r="E486" s="19"/>
      <x:c r="F486" s="25"/>
      <x:c r="G486" s="25"/>
      <x:c r="H486" s="62"/>
      <x:c r="I486" s="120" t="str">
        <x:f>IF($A486="","",SUMIFS('InventoryTransactions'!$D$2:$D$500,'InventoryTransactions'!$B$2:$B$500,$A486))</x:f>
      </x:c>
      <x:c r="J486" s="19"/>
      <x:c r="K486" s="26"/>
      <x:c r="L486" s="19"/>
      <x:c r="M486" s="26"/>
      <x:c r="N486" s="19"/>
      <x:c r="O486" s="19"/>
    </x:row>
    <x:row r="487">
      <x:c r="A487" s="19"/>
      <x:c r="B487" s="19"/>
      <x:c r="C487" s="19"/>
      <x:c r="D487" s="19"/>
      <x:c r="E487" s="19"/>
      <x:c r="F487" s="25"/>
      <x:c r="G487" s="25"/>
      <x:c r="H487" s="62"/>
      <x:c r="I487" s="120" t="str">
        <x:f>IF($A487="","",SUMIFS('InventoryTransactions'!$D$2:$D$500,'InventoryTransactions'!$B$2:$B$500,$A487))</x:f>
      </x:c>
      <x:c r="J487" s="19"/>
      <x:c r="K487" s="26"/>
      <x:c r="L487" s="19"/>
      <x:c r="M487" s="26"/>
      <x:c r="N487" s="19"/>
      <x:c r="O487" s="19"/>
    </x:row>
    <x:row r="488">
      <x:c r="A488" s="19"/>
      <x:c r="B488" s="19"/>
      <x:c r="C488" s="19"/>
      <x:c r="D488" s="19"/>
      <x:c r="E488" s="19"/>
      <x:c r="F488" s="25"/>
      <x:c r="G488" s="25"/>
      <x:c r="H488" s="62"/>
      <x:c r="I488" s="120" t="str">
        <x:f>IF($A488="","",SUMIFS('InventoryTransactions'!$D$2:$D$500,'InventoryTransactions'!$B$2:$B$500,$A488))</x:f>
      </x:c>
      <x:c r="J488" s="19"/>
      <x:c r="K488" s="26"/>
      <x:c r="L488" s="19"/>
      <x:c r="M488" s="26"/>
      <x:c r="N488" s="19"/>
      <x:c r="O488" s="19"/>
    </x:row>
    <x:row r="489">
      <x:c r="A489" s="19"/>
      <x:c r="B489" s="19"/>
      <x:c r="C489" s="19"/>
      <x:c r="D489" s="19"/>
      <x:c r="E489" s="19"/>
      <x:c r="F489" s="25"/>
      <x:c r="G489" s="25"/>
      <x:c r="H489" s="62"/>
      <x:c r="I489" s="120" t="str">
        <x:f>IF($A489="","",SUMIFS('InventoryTransactions'!$D$2:$D$500,'InventoryTransactions'!$B$2:$B$500,$A489))</x:f>
      </x:c>
      <x:c r="J489" s="19"/>
      <x:c r="K489" s="26"/>
      <x:c r="L489" s="19"/>
      <x:c r="M489" s="26"/>
      <x:c r="N489" s="19"/>
      <x:c r="O489" s="19"/>
    </x:row>
    <x:row r="490">
      <x:c r="A490" s="19"/>
      <x:c r="B490" s="19"/>
      <x:c r="C490" s="19"/>
      <x:c r="D490" s="19"/>
      <x:c r="E490" s="19"/>
      <x:c r="F490" s="25"/>
      <x:c r="G490" s="25"/>
      <x:c r="H490" s="62"/>
      <x:c r="I490" s="120" t="str">
        <x:f>IF($A490="","",SUMIFS('InventoryTransactions'!$D$2:$D$500,'InventoryTransactions'!$B$2:$B$500,$A490))</x:f>
      </x:c>
      <x:c r="J490" s="19"/>
      <x:c r="K490" s="26"/>
      <x:c r="L490" s="19"/>
      <x:c r="M490" s="26"/>
      <x:c r="N490" s="19"/>
      <x:c r="O490" s="19"/>
    </x:row>
    <x:row r="491">
      <x:c r="A491" s="19"/>
      <x:c r="B491" s="19"/>
      <x:c r="C491" s="19"/>
      <x:c r="D491" s="19"/>
      <x:c r="E491" s="19"/>
      <x:c r="F491" s="25"/>
      <x:c r="G491" s="25"/>
      <x:c r="H491" s="62"/>
      <x:c r="I491" s="120" t="str">
        <x:f>IF($A491="","",SUMIFS('InventoryTransactions'!$D$2:$D$500,'InventoryTransactions'!$B$2:$B$500,$A491))</x:f>
      </x:c>
      <x:c r="J491" s="19"/>
      <x:c r="K491" s="26"/>
      <x:c r="L491" s="19"/>
      <x:c r="M491" s="26"/>
      <x:c r="N491" s="19"/>
      <x:c r="O491" s="19"/>
    </x:row>
    <x:row r="492">
      <x:c r="A492" s="19"/>
      <x:c r="B492" s="19"/>
      <x:c r="C492" s="19"/>
      <x:c r="D492" s="19"/>
      <x:c r="E492" s="19"/>
      <x:c r="F492" s="25"/>
      <x:c r="G492" s="25"/>
      <x:c r="H492" s="62"/>
      <x:c r="I492" s="120" t="str">
        <x:f>IF($A492="","",SUMIFS('InventoryTransactions'!$D$2:$D$500,'InventoryTransactions'!$B$2:$B$500,$A492))</x:f>
      </x:c>
      <x:c r="J492" s="19"/>
      <x:c r="K492" s="26"/>
      <x:c r="L492" s="19"/>
      <x:c r="M492" s="26"/>
      <x:c r="N492" s="19"/>
      <x:c r="O492" s="19"/>
    </x:row>
    <x:row r="493">
      <x:c r="A493" s="19"/>
      <x:c r="B493" s="19"/>
      <x:c r="C493" s="19"/>
      <x:c r="D493" s="19"/>
      <x:c r="E493" s="19"/>
      <x:c r="F493" s="25"/>
      <x:c r="G493" s="25"/>
      <x:c r="H493" s="62"/>
      <x:c r="I493" s="120" t="str">
        <x:f>IF($A493="","",SUMIFS('InventoryTransactions'!$D$2:$D$500,'InventoryTransactions'!$B$2:$B$500,$A493))</x:f>
      </x:c>
      <x:c r="J493" s="19"/>
      <x:c r="K493" s="26"/>
      <x:c r="L493" s="19"/>
      <x:c r="M493" s="26"/>
      <x:c r="N493" s="19"/>
      <x:c r="O493" s="19"/>
    </x:row>
    <x:row r="494">
      <x:c r="A494" s="19"/>
      <x:c r="B494" s="19"/>
      <x:c r="C494" s="19"/>
      <x:c r="D494" s="19"/>
      <x:c r="E494" s="19"/>
      <x:c r="F494" s="25"/>
      <x:c r="G494" s="25"/>
      <x:c r="H494" s="62"/>
      <x:c r="I494" s="120" t="str">
        <x:f>IF($A494="","",SUMIFS('InventoryTransactions'!$D$2:$D$500,'InventoryTransactions'!$B$2:$B$500,$A494))</x:f>
      </x:c>
      <x:c r="J494" s="19"/>
      <x:c r="K494" s="26"/>
      <x:c r="L494" s="19"/>
      <x:c r="M494" s="26"/>
      <x:c r="N494" s="19"/>
      <x:c r="O494" s="19"/>
    </x:row>
    <x:row r="495">
      <x:c r="A495" s="19"/>
      <x:c r="B495" s="19"/>
      <x:c r="C495" s="19"/>
      <x:c r="D495" s="19"/>
      <x:c r="E495" s="19"/>
      <x:c r="F495" s="25"/>
      <x:c r="G495" s="25"/>
      <x:c r="H495" s="62"/>
      <x:c r="I495" s="120" t="str">
        <x:f>IF($A495="","",SUMIFS('InventoryTransactions'!$D$2:$D$500,'InventoryTransactions'!$B$2:$B$500,$A495))</x:f>
      </x:c>
      <x:c r="J495" s="19"/>
      <x:c r="K495" s="26"/>
      <x:c r="L495" s="19"/>
      <x:c r="M495" s="26"/>
      <x:c r="N495" s="19"/>
      <x:c r="O495" s="19"/>
    </x:row>
    <x:row r="496">
      <x:c r="A496" s="19"/>
      <x:c r="B496" s="19"/>
      <x:c r="C496" s="19"/>
      <x:c r="D496" s="19"/>
      <x:c r="E496" s="19"/>
      <x:c r="F496" s="25"/>
      <x:c r="G496" s="25"/>
      <x:c r="H496" s="62"/>
      <x:c r="I496" s="120" t="str">
        <x:f>IF($A496="","",SUMIFS('InventoryTransactions'!$D$2:$D$500,'InventoryTransactions'!$B$2:$B$500,$A496))</x:f>
      </x:c>
      <x:c r="J496" s="19"/>
      <x:c r="K496" s="26"/>
      <x:c r="L496" s="19"/>
      <x:c r="M496" s="26"/>
      <x:c r="N496" s="19"/>
      <x:c r="O496" s="19"/>
    </x:row>
    <x:row r="497">
      <x:c r="A497" s="19"/>
      <x:c r="B497" s="19"/>
      <x:c r="C497" s="19"/>
      <x:c r="D497" s="19"/>
      <x:c r="E497" s="19"/>
      <x:c r="F497" s="25"/>
      <x:c r="G497" s="25"/>
      <x:c r="H497" s="62"/>
      <x:c r="I497" s="120" t="str">
        <x:f>IF($A497="","",SUMIFS('InventoryTransactions'!$D$2:$D$500,'InventoryTransactions'!$B$2:$B$500,$A497))</x:f>
      </x:c>
      <x:c r="J497" s="19"/>
      <x:c r="K497" s="26"/>
      <x:c r="L497" s="19"/>
      <x:c r="M497" s="26"/>
      <x:c r="N497" s="19"/>
      <x:c r="O497" s="19"/>
    </x:row>
    <x:row r="498">
      <x:c r="A498" s="19"/>
      <x:c r="B498" s="19"/>
      <x:c r="C498" s="19"/>
      <x:c r="D498" s="19"/>
      <x:c r="E498" s="19"/>
      <x:c r="F498" s="25"/>
      <x:c r="G498" s="25"/>
      <x:c r="H498" s="62"/>
      <x:c r="I498" s="120" t="str">
        <x:f>IF($A498="","",SUMIFS('InventoryTransactions'!$D$2:$D$500,'InventoryTransactions'!$B$2:$B$500,$A498))</x:f>
      </x:c>
      <x:c r="J498" s="19"/>
      <x:c r="K498" s="26"/>
      <x:c r="L498" s="19"/>
      <x:c r="M498" s="26"/>
      <x:c r="N498" s="19"/>
      <x:c r="O498" s="19"/>
    </x:row>
    <x:row r="499">
      <x:c r="A499" s="19"/>
      <x:c r="B499" s="19"/>
      <x:c r="C499" s="19"/>
      <x:c r="D499" s="19"/>
      <x:c r="E499" s="19"/>
      <x:c r="F499" s="25"/>
      <x:c r="G499" s="25"/>
      <x:c r="H499" s="62"/>
      <x:c r="I499" s="120" t="str">
        <x:f>IF($A499="","",SUMIFS('InventoryTransactions'!$D$2:$D$500,'InventoryTransactions'!$B$2:$B$500,$A499))</x:f>
      </x:c>
      <x:c r="J499" s="19"/>
      <x:c r="K499" s="26"/>
      <x:c r="L499" s="19"/>
      <x:c r="M499" s="26"/>
      <x:c r="N499" s="19"/>
      <x:c r="O499" s="19"/>
    </x:row>
    <x:row r="500">
      <x:c r="A500" s="19"/>
      <x:c r="B500" s="19"/>
      <x:c r="C500" s="19"/>
      <x:c r="D500" s="19"/>
      <x:c r="E500" s="19"/>
      <x:c r="F500" s="25"/>
      <x:c r="G500" s="25"/>
      <x:c r="H500" s="62"/>
      <x:c r="I500" s="120" t="str">
        <x:f>IF($A500="","",SUMIFS('InventoryTransactions'!$D$2:$D$500,'InventoryTransactions'!$B$2:$B$500,$A500))</x:f>
      </x:c>
      <x:c r="J500" s="19"/>
      <x:c r="K500" s="26"/>
      <x:c r="L500" s="19"/>
      <x:c r="M500" s="26"/>
      <x:c r="N500" s="19"/>
      <x:c r="O500" s="19"/>
    </x:row>
  </x:sheetData>
  <x:conditionalFormatting sqref="B2:B500">
    <x:cfRule type="expression" dxfId="80" priority="1">
      <x:formula>AND($A2&lt;&gt;"",B2="")</x:formula>
    </x:cfRule>
  </x:conditionalFormatting>
  <x:conditionalFormatting sqref="C2:C500">
    <x:cfRule type="expression" dxfId="81" priority="2">
      <x:formula>AND($A2&lt;&gt;"",C2="")</x:formula>
    </x:cfRule>
  </x:conditionalFormatting>
  <x:conditionalFormatting sqref="D2:D500">
    <x:cfRule type="expression" dxfId="82" priority="3">
      <x:formula>AND($A2&lt;&gt;"",D2="")</x:formula>
    </x:cfRule>
  </x:conditionalFormatting>
  <x:conditionalFormatting sqref="E2:E500">
    <x:cfRule type="expression" dxfId="83" priority="4">
      <x:formula>AND($A2&lt;&gt;"",E2="")</x:formula>
    </x:cfRule>
  </x:conditionalFormatting>
  <x:conditionalFormatting sqref="J2:J500">
    <x:cfRule type="expression" dxfId="84" priority="5">
      <x:formula>AND($A2&lt;&gt;"",J2="")</x:formula>
    </x:cfRule>
  </x:conditionalFormatting>
  <x:conditionalFormatting sqref="K2:K500">
    <x:cfRule type="expression" dxfId="85" priority="6">
      <x:formula>AND($A2&lt;&gt;"",K2="")</x:formula>
    </x:cfRule>
  </x:conditionalFormatting>
  <x:conditionalFormatting sqref="L2:L500">
    <x:cfRule type="expression" dxfId="86" priority="7">
      <x:formula>AND($A2&lt;&gt;"",L2="")</x:formula>
    </x:cfRule>
  </x:conditionalFormatting>
  <x:conditionalFormatting sqref="M2:M500">
    <x:cfRule type="expression" dxfId="87" priority="8">
      <x:formula>AND($A2&lt;&gt;"",M2="")</x:formula>
    </x:cfRule>
  </x:conditionalFormatting>
  <x:conditionalFormatting sqref="N2:N500">
    <x:cfRule type="expression" dxfId="88" priority="9">
      <x:formula>AND($A2&lt;&gt;"",N2="")</x:formula>
    </x:cfRule>
  </x:conditionalFormatting>
  <x:conditionalFormatting sqref="O2:O500">
    <x:cfRule type="expression" dxfId="89" priority="10">
      <x:formula>AND($A2&lt;&gt;"",O2="")</x:formula>
    </x:cfRule>
  </x:conditionalFormatting>
  <x:conditionalFormatting sqref="I2:I500">
    <x:cfRule type="expression" dxfId="90" priority="11">
      <x:formula>AND($A2&lt;&gt;"",$J2=TRUE,$I2&lt;=$H2)</x:formula>
    </x:cfRule>
  </x:conditionalFormatting>
  <x:dataValidations count="3">
    <x:dataValidation type="list" sqref="E2:E500">
      <x:formula1>"عدد,کیلوگرم,تن,متر,مترمربع,بسته,ساعت,خدمت"</x:formula1>
    </x:dataValidation>
    <x:dataValidation type="list" sqref="J2:J500">
      <x:formula1>"TRUE,FALSE"</x:formula1>
    </x:dataValidation>
    <x:dataValidation type="list" sqref="O2:O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239505f81642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28" hidden="0" customWidth="1"/>
    <x:col min="5" max="5" width="18" hidden="0" customWidth="1"/>
    <x:col min="6" max="6" width="13" hidden="0" customWidth="1"/>
    <x:col min="7" max="7" width="19" hidden="0" customWidth="1"/>
    <x:col min="8" max="8" width="15" hidden="0" customWidth="1"/>
    <x:col min="9" max="9" width="19" hidden="0" customWidth="1"/>
    <x:col min="10" max="10" width="30" hidden="0" customWidth="1"/>
    <x:col min="11" max="11" width="19" hidden="0" customWidth="1"/>
    <x:col min="12" max="12" width="18" hidden="0" customWidth="1"/>
    <x:col min="13" max="13" width="19" hidden="0" customWidth="1"/>
    <x:col min="14" max="14" width="18" hidden="0" customWidth="1"/>
    <x:col min="15" max="15" width="12" hidden="0" customWidth="1"/>
  </x:cols>
  <x:sheetData>
    <x:row r="1" ht="46" customHeight="1">
      <x:c r="A1" s="12" t="str">
        <x:v>شناسه کار *
(task_id)</x:v>
      </x:c>
      <x:c r="B1" s="13" t="str">
        <x:v>نوع مرتبط
(related_type)</x:v>
      </x:c>
      <x:c r="C1" s="13" t="str">
        <x:v>شناسه مرتبط
(related_id)</x:v>
      </x:c>
      <x:c r="D1" s="13" t="str">
        <x:v>عنوان *
(title)</x:v>
      </x:c>
      <x:c r="E1" s="13" t="str">
        <x:v>مسئول *
(assigned_user_id)</x:v>
      </x:c>
      <x:c r="F1" s="13" t="str">
        <x:v>اولویت *
(priority)</x:v>
      </x:c>
      <x:c r="G1" s="13" t="str">
        <x:v>موعد
(due_at)</x:v>
      </x:c>
      <x:c r="H1" s="13" t="str">
        <x:v>وضعیت *
(status)</x:v>
      </x:c>
      <x:c r="I1" s="13" t="str">
        <x:v>پایان
(completed_at)</x:v>
      </x:c>
      <x:c r="J1" s="13" t="str">
        <x:v>شرح
(notes)</x:v>
      </x:c>
      <x:c r="K1" s="13" t="str">
        <x:v>زمان ایجاد *
(created_at)</x:v>
      </x:c>
      <x:c r="L1" s="13" t="str">
        <x:v>ایجادکننده *
(created_by)</x:v>
      </x:c>
      <x:c r="M1" s="13" t="str">
        <x:v>آخرین تغییر *
(updated_at)</x:v>
      </x:c>
      <x:c r="N1" s="13" t="str">
        <x:v>تغییردهنده *
(updated_by)</x:v>
      </x:c>
      <x:c r="O1" s="14" t="str">
        <x:v>حذف نرم *
(is_deleted)</x:v>
      </x:c>
    </x:row>
    <x:row r="2">
      <x:c r="A2" s="28" t="str">
        <x:v>tsk_001</x:v>
      </x:c>
      <x:c r="B2" s="29" t="str">
        <x:v>opportunity</x:v>
      </x:c>
      <x:c r="C2" s="29" t="str">
        <x:v>opp_003</x:v>
      </x:c>
      <x:c r="D2" s="29" t="str">
        <x:v>تأیید شرایط پرداخت</x:v>
      </x:c>
      <x:c r="E2" s="29" t="str">
        <x:v>usr_sara</x:v>
      </x:c>
      <x:c r="F2" s="29" t="str">
        <x:v>high</x:v>
      </x:c>
      <x:c r="G2" s="33" t="n">
        <x:v>46215.354166666664</x:v>
      </x:c>
      <x:c r="H2" s="29" t="str">
        <x:v>open</x:v>
      </x:c>
      <x:c r="I2" s="33"/>
      <x:c r="J2" s="29" t="str">
        <x:v>با مدیر مالی مشتری</x:v>
      </x:c>
      <x:c r="K2" s="33" t="n">
        <x:v>46215.229166666664</x:v>
      </x:c>
      <x:c r="L2" s="29" t="str">
        <x:v>usr_owner</x:v>
      </x:c>
      <x:c r="M2" s="33" t="n">
        <x:v>46215.229166666664</x:v>
      </x:c>
      <x:c r="N2" s="29" t="str">
        <x:v>usr_owner</x:v>
      </x:c>
      <x:c r="O2" s="55" t="b">
        <x:v>0</x:v>
      </x:c>
    </x:row>
    <x:row r="3">
      <x:c r="A3" s="46" t="str">
        <x:v>tsk_002</x:v>
      </x:c>
      <x:c r="B3" s="47" t="str">
        <x:v>product</x:v>
      </x:c>
      <x:c r="C3" s="47" t="str">
        <x:v>prd_005</x:v>
      </x:c>
      <x:c r="D3" s="47" t="str">
        <x:v>بررسی محصول کم‌فروش</x:v>
      </x:c>
      <x:c r="E3" s="47" t="str">
        <x:v>usr_owner</x:v>
      </x:c>
      <x:c r="F3" s="47" t="str">
        <x:v>normal</x:v>
      </x:c>
      <x:c r="G3" s="51" t="n">
        <x:v>46218.229166666664</x:v>
      </x:c>
      <x:c r="H3" s="47" t="str">
        <x:v>open</x:v>
      </x:c>
      <x:c r="I3" s="51"/>
      <x:c r="J3" s="47" t="str">
        <x:v>تصمیم درباره کمپین</x:v>
      </x:c>
      <x:c r="K3" s="51" t="n">
        <x:v>46215.229166666664</x:v>
      </x:c>
      <x:c r="L3" s="47" t="str">
        <x:v>usr_owner</x:v>
      </x:c>
      <x:c r="M3" s="51" t="n">
        <x:v>46215.229166666664</x:v>
      </x:c>
      <x:c r="N3" s="47" t="str">
        <x:v>usr_owner</x:v>
      </x:c>
      <x:c r="O3" s="57" t="b">
        <x:v>0</x:v>
      </x:c>
    </x:row>
    <x:row r="4">
      <x:c r="A4" s="19"/>
      <x:c r="B4" s="19"/>
      <x:c r="C4" s="19"/>
      <x:c r="D4" s="19"/>
      <x:c r="E4" s="19"/>
      <x:c r="F4" s="19"/>
      <x:c r="G4" s="26"/>
      <x:c r="H4" s="19"/>
      <x:c r="I4" s="26"/>
      <x:c r="J4" s="19"/>
      <x:c r="K4" s="26"/>
      <x:c r="L4" s="19"/>
      <x:c r="M4" s="26"/>
      <x:c r="N4" s="19"/>
      <x:c r="O4" s="19"/>
    </x:row>
    <x:row r="5">
      <x:c r="A5" s="19"/>
      <x:c r="B5" s="19"/>
      <x:c r="C5" s="19"/>
      <x:c r="D5" s="19"/>
      <x:c r="E5" s="19"/>
      <x:c r="F5" s="19"/>
      <x:c r="G5" s="26"/>
      <x:c r="H5" s="19"/>
      <x:c r="I5" s="26"/>
      <x:c r="J5" s="19"/>
      <x:c r="K5" s="26"/>
      <x:c r="L5" s="19"/>
      <x:c r="M5" s="26"/>
      <x:c r="N5" s="19"/>
      <x:c r="O5" s="19"/>
    </x:row>
    <x:row r="6">
      <x:c r="A6" s="19"/>
      <x:c r="B6" s="19"/>
      <x:c r="C6" s="19"/>
      <x:c r="D6" s="19"/>
      <x:c r="E6" s="19"/>
      <x:c r="F6" s="19"/>
      <x:c r="G6" s="26"/>
      <x:c r="H6" s="19"/>
      <x:c r="I6" s="26"/>
      <x:c r="J6" s="19"/>
      <x:c r="K6" s="26"/>
      <x:c r="L6" s="19"/>
      <x:c r="M6" s="26"/>
      <x:c r="N6" s="19"/>
      <x:c r="O6" s="19"/>
    </x:row>
    <x:row r="7">
      <x:c r="A7" s="19"/>
      <x:c r="B7" s="19"/>
      <x:c r="C7" s="19"/>
      <x:c r="D7" s="19"/>
      <x:c r="E7" s="19"/>
      <x:c r="F7" s="19"/>
      <x:c r="G7" s="26"/>
      <x:c r="H7" s="19"/>
      <x:c r="I7" s="26"/>
      <x:c r="J7" s="19"/>
      <x:c r="K7" s="26"/>
      <x:c r="L7" s="19"/>
      <x:c r="M7" s="26"/>
      <x:c r="N7" s="19"/>
      <x:c r="O7" s="19"/>
    </x:row>
    <x:row r="8">
      <x:c r="A8" s="19"/>
      <x:c r="B8" s="19"/>
      <x:c r="C8" s="19"/>
      <x:c r="D8" s="19"/>
      <x:c r="E8" s="19"/>
      <x:c r="F8" s="19"/>
      <x:c r="G8" s="26"/>
      <x:c r="H8" s="19"/>
      <x:c r="I8" s="26"/>
      <x:c r="J8" s="19"/>
      <x:c r="K8" s="26"/>
      <x:c r="L8" s="19"/>
      <x:c r="M8" s="26"/>
      <x:c r="N8" s="19"/>
      <x:c r="O8" s="19"/>
    </x:row>
    <x:row r="9">
      <x:c r="A9" s="19"/>
      <x:c r="B9" s="19"/>
      <x:c r="C9" s="19"/>
      <x:c r="D9" s="19"/>
      <x:c r="E9" s="19"/>
      <x:c r="F9" s="19"/>
      <x:c r="G9" s="26"/>
      <x:c r="H9" s="19"/>
      <x:c r="I9" s="26"/>
      <x:c r="J9" s="19"/>
      <x:c r="K9" s="26"/>
      <x:c r="L9" s="19"/>
      <x:c r="M9" s="26"/>
      <x:c r="N9" s="19"/>
      <x:c r="O9" s="19"/>
    </x:row>
    <x:row r="10">
      <x:c r="A10" s="19"/>
      <x:c r="B10" s="19"/>
      <x:c r="C10" s="19"/>
      <x:c r="D10" s="19"/>
      <x:c r="E10" s="19"/>
      <x:c r="F10" s="19"/>
      <x:c r="G10" s="26"/>
      <x:c r="H10" s="19"/>
      <x:c r="I10" s="26"/>
      <x:c r="J10" s="19"/>
      <x:c r="K10" s="26"/>
      <x:c r="L10" s="19"/>
      <x:c r="M10" s="26"/>
      <x:c r="N10" s="19"/>
      <x:c r="O10" s="19"/>
    </x:row>
    <x:row r="11">
      <x:c r="A11" s="19"/>
      <x:c r="B11" s="19"/>
      <x:c r="C11" s="19"/>
      <x:c r="D11" s="19"/>
      <x:c r="E11" s="19"/>
      <x:c r="F11" s="19"/>
      <x:c r="G11" s="26"/>
      <x:c r="H11" s="19"/>
      <x:c r="I11" s="26"/>
      <x:c r="J11" s="19"/>
      <x:c r="K11" s="26"/>
      <x:c r="L11" s="19"/>
      <x:c r="M11" s="26"/>
      <x:c r="N11" s="19"/>
      <x:c r="O11" s="19"/>
    </x:row>
    <x:row r="12">
      <x:c r="A12" s="19"/>
      <x:c r="B12" s="19"/>
      <x:c r="C12" s="19"/>
      <x:c r="D12" s="19"/>
      <x:c r="E12" s="19"/>
      <x:c r="F12" s="19"/>
      <x:c r="G12" s="26"/>
      <x:c r="H12" s="19"/>
      <x:c r="I12" s="26"/>
      <x:c r="J12" s="19"/>
      <x:c r="K12" s="26"/>
      <x:c r="L12" s="19"/>
      <x:c r="M12" s="26"/>
      <x:c r="N12" s="19"/>
      <x:c r="O12" s="19"/>
    </x:row>
    <x:row r="13">
      <x:c r="A13" s="19"/>
      <x:c r="B13" s="19"/>
      <x:c r="C13" s="19"/>
      <x:c r="D13" s="19"/>
      <x:c r="E13" s="19"/>
      <x:c r="F13" s="19"/>
      <x:c r="G13" s="26"/>
      <x:c r="H13" s="19"/>
      <x:c r="I13" s="26"/>
      <x:c r="J13" s="19"/>
      <x:c r="K13" s="26"/>
      <x:c r="L13" s="19"/>
      <x:c r="M13" s="26"/>
      <x:c r="N13" s="19"/>
      <x:c r="O13" s="19"/>
    </x:row>
    <x:row r="14">
      <x:c r="A14" s="19"/>
      <x:c r="B14" s="19"/>
      <x:c r="C14" s="19"/>
      <x:c r="D14" s="19"/>
      <x:c r="E14" s="19"/>
      <x:c r="F14" s="19"/>
      <x:c r="G14" s="26"/>
      <x:c r="H14" s="19"/>
      <x:c r="I14" s="26"/>
      <x:c r="J14" s="19"/>
      <x:c r="K14" s="26"/>
      <x:c r="L14" s="19"/>
      <x:c r="M14" s="26"/>
      <x:c r="N14" s="19"/>
      <x:c r="O14" s="19"/>
    </x:row>
    <x:row r="15">
      <x:c r="A15" s="19"/>
      <x:c r="B15" s="19"/>
      <x:c r="C15" s="19"/>
      <x:c r="D15" s="19"/>
      <x:c r="E15" s="19"/>
      <x:c r="F15" s="19"/>
      <x:c r="G15" s="26"/>
      <x:c r="H15" s="19"/>
      <x:c r="I15" s="26"/>
      <x:c r="J15" s="19"/>
      <x:c r="K15" s="26"/>
      <x:c r="L15" s="19"/>
      <x:c r="M15" s="26"/>
      <x:c r="N15" s="19"/>
      <x:c r="O15" s="19"/>
    </x:row>
    <x:row r="16">
      <x:c r="A16" s="19"/>
      <x:c r="B16" s="19"/>
      <x:c r="C16" s="19"/>
      <x:c r="D16" s="19"/>
      <x:c r="E16" s="19"/>
      <x:c r="F16" s="19"/>
      <x:c r="G16" s="26"/>
      <x:c r="H16" s="19"/>
      <x:c r="I16" s="26"/>
      <x:c r="J16" s="19"/>
      <x:c r="K16" s="26"/>
      <x:c r="L16" s="19"/>
      <x:c r="M16" s="26"/>
      <x:c r="N16" s="19"/>
      <x:c r="O16" s="19"/>
    </x:row>
    <x:row r="17">
      <x:c r="A17" s="19"/>
      <x:c r="B17" s="19"/>
      <x:c r="C17" s="19"/>
      <x:c r="D17" s="19"/>
      <x:c r="E17" s="19"/>
      <x:c r="F17" s="19"/>
      <x:c r="G17" s="26"/>
      <x:c r="H17" s="19"/>
      <x:c r="I17" s="26"/>
      <x:c r="J17" s="19"/>
      <x:c r="K17" s="26"/>
      <x:c r="L17" s="19"/>
      <x:c r="M17" s="26"/>
      <x:c r="N17" s="19"/>
      <x:c r="O17" s="19"/>
    </x:row>
    <x:row r="18">
      <x:c r="A18" s="19"/>
      <x:c r="B18" s="19"/>
      <x:c r="C18" s="19"/>
      <x:c r="D18" s="19"/>
      <x:c r="E18" s="19"/>
      <x:c r="F18" s="19"/>
      <x:c r="G18" s="26"/>
      <x:c r="H18" s="19"/>
      <x:c r="I18" s="26"/>
      <x:c r="J18" s="19"/>
      <x:c r="K18" s="26"/>
      <x:c r="L18" s="19"/>
      <x:c r="M18" s="26"/>
      <x:c r="N18" s="19"/>
      <x:c r="O18" s="19"/>
    </x:row>
    <x:row r="19">
      <x:c r="A19" s="19"/>
      <x:c r="B19" s="19"/>
      <x:c r="C19" s="19"/>
      <x:c r="D19" s="19"/>
      <x:c r="E19" s="19"/>
      <x:c r="F19" s="19"/>
      <x:c r="G19" s="26"/>
      <x:c r="H19" s="19"/>
      <x:c r="I19" s="26"/>
      <x:c r="J19" s="19"/>
      <x:c r="K19" s="26"/>
      <x:c r="L19" s="19"/>
      <x:c r="M19" s="26"/>
      <x:c r="N19" s="19"/>
      <x:c r="O19" s="19"/>
    </x:row>
    <x:row r="20">
      <x:c r="A20" s="19"/>
      <x:c r="B20" s="19"/>
      <x:c r="C20" s="19"/>
      <x:c r="D20" s="19"/>
      <x:c r="E20" s="19"/>
      <x:c r="F20" s="19"/>
      <x:c r="G20" s="26"/>
      <x:c r="H20" s="19"/>
      <x:c r="I20" s="26"/>
      <x:c r="J20" s="19"/>
      <x:c r="K20" s="26"/>
      <x:c r="L20" s="19"/>
      <x:c r="M20" s="26"/>
      <x:c r="N20" s="19"/>
      <x:c r="O20" s="19"/>
    </x:row>
    <x:row r="21">
      <x:c r="A21" s="19"/>
      <x:c r="B21" s="19"/>
      <x:c r="C21" s="19"/>
      <x:c r="D21" s="19"/>
      <x:c r="E21" s="19"/>
      <x:c r="F21" s="19"/>
      <x:c r="G21" s="26"/>
      <x:c r="H21" s="19"/>
      <x:c r="I21" s="26"/>
      <x:c r="J21" s="19"/>
      <x:c r="K21" s="26"/>
      <x:c r="L21" s="19"/>
      <x:c r="M21" s="26"/>
      <x:c r="N21" s="19"/>
      <x:c r="O21" s="19"/>
    </x:row>
    <x:row r="22">
      <x:c r="A22" s="19"/>
      <x:c r="B22" s="19"/>
      <x:c r="C22" s="19"/>
      <x:c r="D22" s="19"/>
      <x:c r="E22" s="19"/>
      <x:c r="F22" s="19"/>
      <x:c r="G22" s="26"/>
      <x:c r="H22" s="19"/>
      <x:c r="I22" s="26"/>
      <x:c r="J22" s="19"/>
      <x:c r="K22" s="26"/>
      <x:c r="L22" s="19"/>
      <x:c r="M22" s="26"/>
      <x:c r="N22" s="19"/>
      <x:c r="O22" s="19"/>
    </x:row>
    <x:row r="23">
      <x:c r="A23" s="19"/>
      <x:c r="B23" s="19"/>
      <x:c r="C23" s="19"/>
      <x:c r="D23" s="19"/>
      <x:c r="E23" s="19"/>
      <x:c r="F23" s="19"/>
      <x:c r="G23" s="26"/>
      <x:c r="H23" s="19"/>
      <x:c r="I23" s="26"/>
      <x:c r="J23" s="19"/>
      <x:c r="K23" s="26"/>
      <x:c r="L23" s="19"/>
      <x:c r="M23" s="26"/>
      <x:c r="N23" s="19"/>
      <x:c r="O23" s="19"/>
    </x:row>
    <x:row r="24">
      <x:c r="A24" s="19"/>
      <x:c r="B24" s="19"/>
      <x:c r="C24" s="19"/>
      <x:c r="D24" s="19"/>
      <x:c r="E24" s="19"/>
      <x:c r="F24" s="19"/>
      <x:c r="G24" s="26"/>
      <x:c r="H24" s="19"/>
      <x:c r="I24" s="26"/>
      <x:c r="J24" s="19"/>
      <x:c r="K24" s="26"/>
      <x:c r="L24" s="19"/>
      <x:c r="M24" s="26"/>
      <x:c r="N24" s="19"/>
      <x:c r="O24" s="19"/>
    </x:row>
    <x:row r="25">
      <x:c r="A25" s="19"/>
      <x:c r="B25" s="19"/>
      <x:c r="C25" s="19"/>
      <x:c r="D25" s="19"/>
      <x:c r="E25" s="19"/>
      <x:c r="F25" s="19"/>
      <x:c r="G25" s="26"/>
      <x:c r="H25" s="19"/>
      <x:c r="I25" s="26"/>
      <x:c r="J25" s="19"/>
      <x:c r="K25" s="26"/>
      <x:c r="L25" s="19"/>
      <x:c r="M25" s="26"/>
      <x:c r="N25" s="19"/>
      <x:c r="O25" s="19"/>
    </x:row>
    <x:row r="26">
      <x:c r="A26" s="19"/>
      <x:c r="B26" s="19"/>
      <x:c r="C26" s="19"/>
      <x:c r="D26" s="19"/>
      <x:c r="E26" s="19"/>
      <x:c r="F26" s="19"/>
      <x:c r="G26" s="26"/>
      <x:c r="H26" s="19"/>
      <x:c r="I26" s="26"/>
      <x:c r="J26" s="19"/>
      <x:c r="K26" s="26"/>
      <x:c r="L26" s="19"/>
      <x:c r="M26" s="26"/>
      <x:c r="N26" s="19"/>
      <x:c r="O26" s="19"/>
    </x:row>
    <x:row r="27">
      <x:c r="A27" s="19"/>
      <x:c r="B27" s="19"/>
      <x:c r="C27" s="19"/>
      <x:c r="D27" s="19"/>
      <x:c r="E27" s="19"/>
      <x:c r="F27" s="19"/>
      <x:c r="G27" s="26"/>
      <x:c r="H27" s="19"/>
      <x:c r="I27" s="26"/>
      <x:c r="J27" s="19"/>
      <x:c r="K27" s="26"/>
      <x:c r="L27" s="19"/>
      <x:c r="M27" s="26"/>
      <x:c r="N27" s="19"/>
      <x:c r="O27" s="19"/>
    </x:row>
    <x:row r="28">
      <x:c r="A28" s="19"/>
      <x:c r="B28" s="19"/>
      <x:c r="C28" s="19"/>
      <x:c r="D28" s="19"/>
      <x:c r="E28" s="19"/>
      <x:c r="F28" s="19"/>
      <x:c r="G28" s="26"/>
      <x:c r="H28" s="19"/>
      <x:c r="I28" s="26"/>
      <x:c r="J28" s="19"/>
      <x:c r="K28" s="26"/>
      <x:c r="L28" s="19"/>
      <x:c r="M28" s="26"/>
      <x:c r="N28" s="19"/>
      <x:c r="O28" s="19"/>
    </x:row>
    <x:row r="29">
      <x:c r="A29" s="19"/>
      <x:c r="B29" s="19"/>
      <x:c r="C29" s="19"/>
      <x:c r="D29" s="19"/>
      <x:c r="E29" s="19"/>
      <x:c r="F29" s="19"/>
      <x:c r="G29" s="26"/>
      <x:c r="H29" s="19"/>
      <x:c r="I29" s="26"/>
      <x:c r="J29" s="19"/>
      <x:c r="K29" s="26"/>
      <x:c r="L29" s="19"/>
      <x:c r="M29" s="26"/>
      <x:c r="N29" s="19"/>
      <x:c r="O29" s="19"/>
    </x:row>
    <x:row r="30">
      <x:c r="A30" s="19"/>
      <x:c r="B30" s="19"/>
      <x:c r="C30" s="19"/>
      <x:c r="D30" s="19"/>
      <x:c r="E30" s="19"/>
      <x:c r="F30" s="19"/>
      <x:c r="G30" s="26"/>
      <x:c r="H30" s="19"/>
      <x:c r="I30" s="26"/>
      <x:c r="J30" s="19"/>
      <x:c r="K30" s="26"/>
      <x:c r="L30" s="19"/>
      <x:c r="M30" s="26"/>
      <x:c r="N30" s="19"/>
      <x:c r="O30" s="19"/>
    </x:row>
    <x:row r="31">
      <x:c r="A31" s="19"/>
      <x:c r="B31" s="19"/>
      <x:c r="C31" s="19"/>
      <x:c r="D31" s="19"/>
      <x:c r="E31" s="19"/>
      <x:c r="F31" s="19"/>
      <x:c r="G31" s="26"/>
      <x:c r="H31" s="19"/>
      <x:c r="I31" s="26"/>
      <x:c r="J31" s="19"/>
      <x:c r="K31" s="26"/>
      <x:c r="L31" s="19"/>
      <x:c r="M31" s="26"/>
      <x:c r="N31" s="19"/>
      <x:c r="O31" s="19"/>
    </x:row>
    <x:row r="32">
      <x:c r="A32" s="19"/>
      <x:c r="B32" s="19"/>
      <x:c r="C32" s="19"/>
      <x:c r="D32" s="19"/>
      <x:c r="E32" s="19"/>
      <x:c r="F32" s="19"/>
      <x:c r="G32" s="26"/>
      <x:c r="H32" s="19"/>
      <x:c r="I32" s="26"/>
      <x:c r="J32" s="19"/>
      <x:c r="K32" s="26"/>
      <x:c r="L32" s="19"/>
      <x:c r="M32" s="26"/>
      <x:c r="N32" s="19"/>
      <x:c r="O32" s="19"/>
    </x:row>
    <x:row r="33">
      <x:c r="A33" s="19"/>
      <x:c r="B33" s="19"/>
      <x:c r="C33" s="19"/>
      <x:c r="D33" s="19"/>
      <x:c r="E33" s="19"/>
      <x:c r="F33" s="19"/>
      <x:c r="G33" s="26"/>
      <x:c r="H33" s="19"/>
      <x:c r="I33" s="26"/>
      <x:c r="J33" s="19"/>
      <x:c r="K33" s="26"/>
      <x:c r="L33" s="19"/>
      <x:c r="M33" s="26"/>
      <x:c r="N33" s="19"/>
      <x:c r="O33" s="19"/>
    </x:row>
    <x:row r="34">
      <x:c r="A34" s="19"/>
      <x:c r="B34" s="19"/>
      <x:c r="C34" s="19"/>
      <x:c r="D34" s="19"/>
      <x:c r="E34" s="19"/>
      <x:c r="F34" s="19"/>
      <x:c r="G34" s="26"/>
      <x:c r="H34" s="19"/>
      <x:c r="I34" s="26"/>
      <x:c r="J34" s="19"/>
      <x:c r="K34" s="26"/>
      <x:c r="L34" s="19"/>
      <x:c r="M34" s="26"/>
      <x:c r="N34" s="19"/>
      <x:c r="O34" s="19"/>
    </x:row>
    <x:row r="35">
      <x:c r="A35" s="19"/>
      <x:c r="B35" s="19"/>
      <x:c r="C35" s="19"/>
      <x:c r="D35" s="19"/>
      <x:c r="E35" s="19"/>
      <x:c r="F35" s="19"/>
      <x:c r="G35" s="26"/>
      <x:c r="H35" s="19"/>
      <x:c r="I35" s="26"/>
      <x:c r="J35" s="19"/>
      <x:c r="K35" s="26"/>
      <x:c r="L35" s="19"/>
      <x:c r="M35" s="26"/>
      <x:c r="N35" s="19"/>
      <x:c r="O35" s="19"/>
    </x:row>
    <x:row r="36">
      <x:c r="A36" s="19"/>
      <x:c r="B36" s="19"/>
      <x:c r="C36" s="19"/>
      <x:c r="D36" s="19"/>
      <x:c r="E36" s="19"/>
      <x:c r="F36" s="19"/>
      <x:c r="G36" s="26"/>
      <x:c r="H36" s="19"/>
      <x:c r="I36" s="26"/>
      <x:c r="J36" s="19"/>
      <x:c r="K36" s="26"/>
      <x:c r="L36" s="19"/>
      <x:c r="M36" s="26"/>
      <x:c r="N36" s="19"/>
      <x:c r="O36" s="19"/>
    </x:row>
    <x:row r="37">
      <x:c r="A37" s="19"/>
      <x:c r="B37" s="19"/>
      <x:c r="C37" s="19"/>
      <x:c r="D37" s="19"/>
      <x:c r="E37" s="19"/>
      <x:c r="F37" s="19"/>
      <x:c r="G37" s="26"/>
      <x:c r="H37" s="19"/>
      <x:c r="I37" s="26"/>
      <x:c r="J37" s="19"/>
      <x:c r="K37" s="26"/>
      <x:c r="L37" s="19"/>
      <x:c r="M37" s="26"/>
      <x:c r="N37" s="19"/>
      <x:c r="O37" s="19"/>
    </x:row>
    <x:row r="38">
      <x:c r="A38" s="19"/>
      <x:c r="B38" s="19"/>
      <x:c r="C38" s="19"/>
      <x:c r="D38" s="19"/>
      <x:c r="E38" s="19"/>
      <x:c r="F38" s="19"/>
      <x:c r="G38" s="26"/>
      <x:c r="H38" s="19"/>
      <x:c r="I38" s="26"/>
      <x:c r="J38" s="19"/>
      <x:c r="K38" s="26"/>
      <x:c r="L38" s="19"/>
      <x:c r="M38" s="26"/>
      <x:c r="N38" s="19"/>
      <x:c r="O38" s="19"/>
    </x:row>
    <x:row r="39">
      <x:c r="A39" s="19"/>
      <x:c r="B39" s="19"/>
      <x:c r="C39" s="19"/>
      <x:c r="D39" s="19"/>
      <x:c r="E39" s="19"/>
      <x:c r="F39" s="19"/>
      <x:c r="G39" s="26"/>
      <x:c r="H39" s="19"/>
      <x:c r="I39" s="26"/>
      <x:c r="J39" s="19"/>
      <x:c r="K39" s="26"/>
      <x:c r="L39" s="19"/>
      <x:c r="M39" s="26"/>
      <x:c r="N39" s="19"/>
      <x:c r="O39" s="19"/>
    </x:row>
    <x:row r="40">
      <x:c r="A40" s="19"/>
      <x:c r="B40" s="19"/>
      <x:c r="C40" s="19"/>
      <x:c r="D40" s="19"/>
      <x:c r="E40" s="19"/>
      <x:c r="F40" s="19"/>
      <x:c r="G40" s="26"/>
      <x:c r="H40" s="19"/>
      <x:c r="I40" s="26"/>
      <x:c r="J40" s="19"/>
      <x:c r="K40" s="26"/>
      <x:c r="L40" s="19"/>
      <x:c r="M40" s="26"/>
      <x:c r="N40" s="19"/>
      <x:c r="O40" s="19"/>
    </x:row>
    <x:row r="41">
      <x:c r="A41" s="19"/>
      <x:c r="B41" s="19"/>
      <x:c r="C41" s="19"/>
      <x:c r="D41" s="19"/>
      <x:c r="E41" s="19"/>
      <x:c r="F41" s="19"/>
      <x:c r="G41" s="26"/>
      <x:c r="H41" s="19"/>
      <x:c r="I41" s="26"/>
      <x:c r="J41" s="19"/>
      <x:c r="K41" s="26"/>
      <x:c r="L41" s="19"/>
      <x:c r="M41" s="26"/>
      <x:c r="N41" s="19"/>
      <x:c r="O41" s="19"/>
    </x:row>
    <x:row r="42">
      <x:c r="A42" s="19"/>
      <x:c r="B42" s="19"/>
      <x:c r="C42" s="19"/>
      <x:c r="D42" s="19"/>
      <x:c r="E42" s="19"/>
      <x:c r="F42" s="19"/>
      <x:c r="G42" s="26"/>
      <x:c r="H42" s="19"/>
      <x:c r="I42" s="26"/>
      <x:c r="J42" s="19"/>
      <x:c r="K42" s="26"/>
      <x:c r="L42" s="19"/>
      <x:c r="M42" s="26"/>
      <x:c r="N42" s="19"/>
      <x:c r="O42" s="19"/>
    </x:row>
    <x:row r="43">
      <x:c r="A43" s="19"/>
      <x:c r="B43" s="19"/>
      <x:c r="C43" s="19"/>
      <x:c r="D43" s="19"/>
      <x:c r="E43" s="19"/>
      <x:c r="F43" s="19"/>
      <x:c r="G43" s="26"/>
      <x:c r="H43" s="19"/>
      <x:c r="I43" s="26"/>
      <x:c r="J43" s="19"/>
      <x:c r="K43" s="26"/>
      <x:c r="L43" s="19"/>
      <x:c r="M43" s="26"/>
      <x:c r="N43" s="19"/>
      <x:c r="O43" s="19"/>
    </x:row>
    <x:row r="44">
      <x:c r="A44" s="19"/>
      <x:c r="B44" s="19"/>
      <x:c r="C44" s="19"/>
      <x:c r="D44" s="19"/>
      <x:c r="E44" s="19"/>
      <x:c r="F44" s="19"/>
      <x:c r="G44" s="26"/>
      <x:c r="H44" s="19"/>
      <x:c r="I44" s="26"/>
      <x:c r="J44" s="19"/>
      <x:c r="K44" s="26"/>
      <x:c r="L44" s="19"/>
      <x:c r="M44" s="26"/>
      <x:c r="N44" s="19"/>
      <x:c r="O44" s="19"/>
    </x:row>
    <x:row r="45">
      <x:c r="A45" s="19"/>
      <x:c r="B45" s="19"/>
      <x:c r="C45" s="19"/>
      <x:c r="D45" s="19"/>
      <x:c r="E45" s="19"/>
      <x:c r="F45" s="19"/>
      <x:c r="G45" s="26"/>
      <x:c r="H45" s="19"/>
      <x:c r="I45" s="26"/>
      <x:c r="J45" s="19"/>
      <x:c r="K45" s="26"/>
      <x:c r="L45" s="19"/>
      <x:c r="M45" s="26"/>
      <x:c r="N45" s="19"/>
      <x:c r="O45" s="19"/>
    </x:row>
    <x:row r="46">
      <x:c r="A46" s="19"/>
      <x:c r="B46" s="19"/>
      <x:c r="C46" s="19"/>
      <x:c r="D46" s="19"/>
      <x:c r="E46" s="19"/>
      <x:c r="F46" s="19"/>
      <x:c r="G46" s="26"/>
      <x:c r="H46" s="19"/>
      <x:c r="I46" s="26"/>
      <x:c r="J46" s="19"/>
      <x:c r="K46" s="26"/>
      <x:c r="L46" s="19"/>
      <x:c r="M46" s="26"/>
      <x:c r="N46" s="19"/>
      <x:c r="O46" s="19"/>
    </x:row>
    <x:row r="47">
      <x:c r="A47" s="19"/>
      <x:c r="B47" s="19"/>
      <x:c r="C47" s="19"/>
      <x:c r="D47" s="19"/>
      <x:c r="E47" s="19"/>
      <x:c r="F47" s="19"/>
      <x:c r="G47" s="26"/>
      <x:c r="H47" s="19"/>
      <x:c r="I47" s="26"/>
      <x:c r="J47" s="19"/>
      <x:c r="K47" s="26"/>
      <x:c r="L47" s="19"/>
      <x:c r="M47" s="26"/>
      <x:c r="N47" s="19"/>
      <x:c r="O47" s="19"/>
    </x:row>
    <x:row r="48">
      <x:c r="A48" s="19"/>
      <x:c r="B48" s="19"/>
      <x:c r="C48" s="19"/>
      <x:c r="D48" s="19"/>
      <x:c r="E48" s="19"/>
      <x:c r="F48" s="19"/>
      <x:c r="G48" s="26"/>
      <x:c r="H48" s="19"/>
      <x:c r="I48" s="26"/>
      <x:c r="J48" s="19"/>
      <x:c r="K48" s="26"/>
      <x:c r="L48" s="19"/>
      <x:c r="M48" s="26"/>
      <x:c r="N48" s="19"/>
      <x:c r="O48" s="19"/>
    </x:row>
    <x:row r="49">
      <x:c r="A49" s="19"/>
      <x:c r="B49" s="19"/>
      <x:c r="C49" s="19"/>
      <x:c r="D49" s="19"/>
      <x:c r="E49" s="19"/>
      <x:c r="F49" s="19"/>
      <x:c r="G49" s="26"/>
      <x:c r="H49" s="19"/>
      <x:c r="I49" s="26"/>
      <x:c r="J49" s="19"/>
      <x:c r="K49" s="26"/>
      <x:c r="L49" s="19"/>
      <x:c r="M49" s="26"/>
      <x:c r="N49" s="19"/>
      <x:c r="O49" s="19"/>
    </x:row>
    <x:row r="50">
      <x:c r="A50" s="19"/>
      <x:c r="B50" s="19"/>
      <x:c r="C50" s="19"/>
      <x:c r="D50" s="19"/>
      <x:c r="E50" s="19"/>
      <x:c r="F50" s="19"/>
      <x:c r="G50" s="26"/>
      <x:c r="H50" s="19"/>
      <x:c r="I50" s="26"/>
      <x:c r="J50" s="19"/>
      <x:c r="K50" s="26"/>
      <x:c r="L50" s="19"/>
      <x:c r="M50" s="26"/>
      <x:c r="N50" s="19"/>
      <x:c r="O50" s="19"/>
    </x:row>
    <x:row r="51">
      <x:c r="A51" s="19"/>
      <x:c r="B51" s="19"/>
      <x:c r="C51" s="19"/>
      <x:c r="D51" s="19"/>
      <x:c r="E51" s="19"/>
      <x:c r="F51" s="19"/>
      <x:c r="G51" s="26"/>
      <x:c r="H51" s="19"/>
      <x:c r="I51" s="26"/>
      <x:c r="J51" s="19"/>
      <x:c r="K51" s="26"/>
      <x:c r="L51" s="19"/>
      <x:c r="M51" s="26"/>
      <x:c r="N51" s="19"/>
      <x:c r="O51" s="19"/>
    </x:row>
    <x:row r="52">
      <x:c r="A52" s="19"/>
      <x:c r="B52" s="19"/>
      <x:c r="C52" s="19"/>
      <x:c r="D52" s="19"/>
      <x:c r="E52" s="19"/>
      <x:c r="F52" s="19"/>
      <x:c r="G52" s="26"/>
      <x:c r="H52" s="19"/>
      <x:c r="I52" s="26"/>
      <x:c r="J52" s="19"/>
      <x:c r="K52" s="26"/>
      <x:c r="L52" s="19"/>
      <x:c r="M52" s="26"/>
      <x:c r="N52" s="19"/>
      <x:c r="O52" s="19"/>
    </x:row>
    <x:row r="53">
      <x:c r="A53" s="19"/>
      <x:c r="B53" s="19"/>
      <x:c r="C53" s="19"/>
      <x:c r="D53" s="19"/>
      <x:c r="E53" s="19"/>
      <x:c r="F53" s="19"/>
      <x:c r="G53" s="26"/>
      <x:c r="H53" s="19"/>
      <x:c r="I53" s="26"/>
      <x:c r="J53" s="19"/>
      <x:c r="K53" s="26"/>
      <x:c r="L53" s="19"/>
      <x:c r="M53" s="26"/>
      <x:c r="N53" s="19"/>
      <x:c r="O53" s="19"/>
    </x:row>
    <x:row r="54">
      <x:c r="A54" s="19"/>
      <x:c r="B54" s="19"/>
      <x:c r="C54" s="19"/>
      <x:c r="D54" s="19"/>
      <x:c r="E54" s="19"/>
      <x:c r="F54" s="19"/>
      <x:c r="G54" s="26"/>
      <x:c r="H54" s="19"/>
      <x:c r="I54" s="26"/>
      <x:c r="J54" s="19"/>
      <x:c r="K54" s="26"/>
      <x:c r="L54" s="19"/>
      <x:c r="M54" s="26"/>
      <x:c r="N54" s="19"/>
      <x:c r="O54" s="19"/>
    </x:row>
    <x:row r="55">
      <x:c r="A55" s="19"/>
      <x:c r="B55" s="19"/>
      <x:c r="C55" s="19"/>
      <x:c r="D55" s="19"/>
      <x:c r="E55" s="19"/>
      <x:c r="F55" s="19"/>
      <x:c r="G55" s="26"/>
      <x:c r="H55" s="19"/>
      <x:c r="I55" s="26"/>
      <x:c r="J55" s="19"/>
      <x:c r="K55" s="26"/>
      <x:c r="L55" s="19"/>
      <x:c r="M55" s="26"/>
      <x:c r="N55" s="19"/>
      <x:c r="O55" s="19"/>
    </x:row>
    <x:row r="56">
      <x:c r="A56" s="19"/>
      <x:c r="B56" s="19"/>
      <x:c r="C56" s="19"/>
      <x:c r="D56" s="19"/>
      <x:c r="E56" s="19"/>
      <x:c r="F56" s="19"/>
      <x:c r="G56" s="26"/>
      <x:c r="H56" s="19"/>
      <x:c r="I56" s="26"/>
      <x:c r="J56" s="19"/>
      <x:c r="K56" s="26"/>
      <x:c r="L56" s="19"/>
      <x:c r="M56" s="26"/>
      <x:c r="N56" s="19"/>
      <x:c r="O56" s="19"/>
    </x:row>
    <x:row r="57">
      <x:c r="A57" s="19"/>
      <x:c r="B57" s="19"/>
      <x:c r="C57" s="19"/>
      <x:c r="D57" s="19"/>
      <x:c r="E57" s="19"/>
      <x:c r="F57" s="19"/>
      <x:c r="G57" s="26"/>
      <x:c r="H57" s="19"/>
      <x:c r="I57" s="26"/>
      <x:c r="J57" s="19"/>
      <x:c r="K57" s="26"/>
      <x:c r="L57" s="19"/>
      <x:c r="M57" s="26"/>
      <x:c r="N57" s="19"/>
      <x:c r="O57" s="19"/>
    </x:row>
    <x:row r="58">
      <x:c r="A58" s="19"/>
      <x:c r="B58" s="19"/>
      <x:c r="C58" s="19"/>
      <x:c r="D58" s="19"/>
      <x:c r="E58" s="19"/>
      <x:c r="F58" s="19"/>
      <x:c r="G58" s="26"/>
      <x:c r="H58" s="19"/>
      <x:c r="I58" s="26"/>
      <x:c r="J58" s="19"/>
      <x:c r="K58" s="26"/>
      <x:c r="L58" s="19"/>
      <x:c r="M58" s="26"/>
      <x:c r="N58" s="19"/>
      <x:c r="O58" s="19"/>
    </x:row>
    <x:row r="59">
      <x:c r="A59" s="19"/>
      <x:c r="B59" s="19"/>
      <x:c r="C59" s="19"/>
      <x:c r="D59" s="19"/>
      <x:c r="E59" s="19"/>
      <x:c r="F59" s="19"/>
      <x:c r="G59" s="26"/>
      <x:c r="H59" s="19"/>
      <x:c r="I59" s="26"/>
      <x:c r="J59" s="19"/>
      <x:c r="K59" s="26"/>
      <x:c r="L59" s="19"/>
      <x:c r="M59" s="26"/>
      <x:c r="N59" s="19"/>
      <x:c r="O59" s="19"/>
    </x:row>
    <x:row r="60">
      <x:c r="A60" s="19"/>
      <x:c r="B60" s="19"/>
      <x:c r="C60" s="19"/>
      <x:c r="D60" s="19"/>
      <x:c r="E60" s="19"/>
      <x:c r="F60" s="19"/>
      <x:c r="G60" s="26"/>
      <x:c r="H60" s="19"/>
      <x:c r="I60" s="26"/>
      <x:c r="J60" s="19"/>
      <x:c r="K60" s="26"/>
      <x:c r="L60" s="19"/>
      <x:c r="M60" s="26"/>
      <x:c r="N60" s="19"/>
      <x:c r="O60" s="19"/>
    </x:row>
    <x:row r="61">
      <x:c r="A61" s="19"/>
      <x:c r="B61" s="19"/>
      <x:c r="C61" s="19"/>
      <x:c r="D61" s="19"/>
      <x:c r="E61" s="19"/>
      <x:c r="F61" s="19"/>
      <x:c r="G61" s="26"/>
      <x:c r="H61" s="19"/>
      <x:c r="I61" s="26"/>
      <x:c r="J61" s="19"/>
      <x:c r="K61" s="26"/>
      <x:c r="L61" s="19"/>
      <x:c r="M61" s="26"/>
      <x:c r="N61" s="19"/>
      <x:c r="O61" s="19"/>
    </x:row>
    <x:row r="62">
      <x:c r="A62" s="19"/>
      <x:c r="B62" s="19"/>
      <x:c r="C62" s="19"/>
      <x:c r="D62" s="19"/>
      <x:c r="E62" s="19"/>
      <x:c r="F62" s="19"/>
      <x:c r="G62" s="26"/>
      <x:c r="H62" s="19"/>
      <x:c r="I62" s="26"/>
      <x:c r="J62" s="19"/>
      <x:c r="K62" s="26"/>
      <x:c r="L62" s="19"/>
      <x:c r="M62" s="26"/>
      <x:c r="N62" s="19"/>
      <x:c r="O62" s="19"/>
    </x:row>
    <x:row r="63">
      <x:c r="A63" s="19"/>
      <x:c r="B63" s="19"/>
      <x:c r="C63" s="19"/>
      <x:c r="D63" s="19"/>
      <x:c r="E63" s="19"/>
      <x:c r="F63" s="19"/>
      <x:c r="G63" s="26"/>
      <x:c r="H63" s="19"/>
      <x:c r="I63" s="26"/>
      <x:c r="J63" s="19"/>
      <x:c r="K63" s="26"/>
      <x:c r="L63" s="19"/>
      <x:c r="M63" s="26"/>
      <x:c r="N63" s="19"/>
      <x:c r="O63" s="19"/>
    </x:row>
    <x:row r="64">
      <x:c r="A64" s="19"/>
      <x:c r="B64" s="19"/>
      <x:c r="C64" s="19"/>
      <x:c r="D64" s="19"/>
      <x:c r="E64" s="19"/>
      <x:c r="F64" s="19"/>
      <x:c r="G64" s="26"/>
      <x:c r="H64" s="19"/>
      <x:c r="I64" s="26"/>
      <x:c r="J64" s="19"/>
      <x:c r="K64" s="26"/>
      <x:c r="L64" s="19"/>
      <x:c r="M64" s="26"/>
      <x:c r="N64" s="19"/>
      <x:c r="O64" s="19"/>
    </x:row>
    <x:row r="65">
      <x:c r="A65" s="19"/>
      <x:c r="B65" s="19"/>
      <x:c r="C65" s="19"/>
      <x:c r="D65" s="19"/>
      <x:c r="E65" s="19"/>
      <x:c r="F65" s="19"/>
      <x:c r="G65" s="26"/>
      <x:c r="H65" s="19"/>
      <x:c r="I65" s="26"/>
      <x:c r="J65" s="19"/>
      <x:c r="K65" s="26"/>
      <x:c r="L65" s="19"/>
      <x:c r="M65" s="26"/>
      <x:c r="N65" s="19"/>
      <x:c r="O65" s="19"/>
    </x:row>
    <x:row r="66">
      <x:c r="A66" s="19"/>
      <x:c r="B66" s="19"/>
      <x:c r="C66" s="19"/>
      <x:c r="D66" s="19"/>
      <x:c r="E66" s="19"/>
      <x:c r="F66" s="19"/>
      <x:c r="G66" s="26"/>
      <x:c r="H66" s="19"/>
      <x:c r="I66" s="26"/>
      <x:c r="J66" s="19"/>
      <x:c r="K66" s="26"/>
      <x:c r="L66" s="19"/>
      <x:c r="M66" s="26"/>
      <x:c r="N66" s="19"/>
      <x:c r="O66" s="19"/>
    </x:row>
    <x:row r="67">
      <x:c r="A67" s="19"/>
      <x:c r="B67" s="19"/>
      <x:c r="C67" s="19"/>
      <x:c r="D67" s="19"/>
      <x:c r="E67" s="19"/>
      <x:c r="F67" s="19"/>
      <x:c r="G67" s="26"/>
      <x:c r="H67" s="19"/>
      <x:c r="I67" s="26"/>
      <x:c r="J67" s="19"/>
      <x:c r="K67" s="26"/>
      <x:c r="L67" s="19"/>
      <x:c r="M67" s="26"/>
      <x:c r="N67" s="19"/>
      <x:c r="O67" s="19"/>
    </x:row>
    <x:row r="68">
      <x:c r="A68" s="19"/>
      <x:c r="B68" s="19"/>
      <x:c r="C68" s="19"/>
      <x:c r="D68" s="19"/>
      <x:c r="E68" s="19"/>
      <x:c r="F68" s="19"/>
      <x:c r="G68" s="26"/>
      <x:c r="H68" s="19"/>
      <x:c r="I68" s="26"/>
      <x:c r="J68" s="19"/>
      <x:c r="K68" s="26"/>
      <x:c r="L68" s="19"/>
      <x:c r="M68" s="26"/>
      <x:c r="N68" s="19"/>
      <x:c r="O68" s="19"/>
    </x:row>
    <x:row r="69">
      <x:c r="A69" s="19"/>
      <x:c r="B69" s="19"/>
      <x:c r="C69" s="19"/>
      <x:c r="D69" s="19"/>
      <x:c r="E69" s="19"/>
      <x:c r="F69" s="19"/>
      <x:c r="G69" s="26"/>
      <x:c r="H69" s="19"/>
      <x:c r="I69" s="26"/>
      <x:c r="J69" s="19"/>
      <x:c r="K69" s="26"/>
      <x:c r="L69" s="19"/>
      <x:c r="M69" s="26"/>
      <x:c r="N69" s="19"/>
      <x:c r="O69" s="19"/>
    </x:row>
    <x:row r="70">
      <x:c r="A70" s="19"/>
      <x:c r="B70" s="19"/>
      <x:c r="C70" s="19"/>
      <x:c r="D70" s="19"/>
      <x:c r="E70" s="19"/>
      <x:c r="F70" s="19"/>
      <x:c r="G70" s="26"/>
      <x:c r="H70" s="19"/>
      <x:c r="I70" s="26"/>
      <x:c r="J70" s="19"/>
      <x:c r="K70" s="26"/>
      <x:c r="L70" s="19"/>
      <x:c r="M70" s="26"/>
      <x:c r="N70" s="19"/>
      <x:c r="O70" s="19"/>
    </x:row>
    <x:row r="71">
      <x:c r="A71" s="19"/>
      <x:c r="B71" s="19"/>
      <x:c r="C71" s="19"/>
      <x:c r="D71" s="19"/>
      <x:c r="E71" s="19"/>
      <x:c r="F71" s="19"/>
      <x:c r="G71" s="26"/>
      <x:c r="H71" s="19"/>
      <x:c r="I71" s="26"/>
      <x:c r="J71" s="19"/>
      <x:c r="K71" s="26"/>
      <x:c r="L71" s="19"/>
      <x:c r="M71" s="26"/>
      <x:c r="N71" s="19"/>
      <x:c r="O71" s="19"/>
    </x:row>
    <x:row r="72">
      <x:c r="A72" s="19"/>
      <x:c r="B72" s="19"/>
      <x:c r="C72" s="19"/>
      <x:c r="D72" s="19"/>
      <x:c r="E72" s="19"/>
      <x:c r="F72" s="19"/>
      <x:c r="G72" s="26"/>
      <x:c r="H72" s="19"/>
      <x:c r="I72" s="26"/>
      <x:c r="J72" s="19"/>
      <x:c r="K72" s="26"/>
      <x:c r="L72" s="19"/>
      <x:c r="M72" s="26"/>
      <x:c r="N72" s="19"/>
      <x:c r="O72" s="19"/>
    </x:row>
    <x:row r="73">
      <x:c r="A73" s="19"/>
      <x:c r="B73" s="19"/>
      <x:c r="C73" s="19"/>
      <x:c r="D73" s="19"/>
      <x:c r="E73" s="19"/>
      <x:c r="F73" s="19"/>
      <x:c r="G73" s="26"/>
      <x:c r="H73" s="19"/>
      <x:c r="I73" s="26"/>
      <x:c r="J73" s="19"/>
      <x:c r="K73" s="26"/>
      <x:c r="L73" s="19"/>
      <x:c r="M73" s="26"/>
      <x:c r="N73" s="19"/>
      <x:c r="O73" s="19"/>
    </x:row>
    <x:row r="74">
      <x:c r="A74" s="19"/>
      <x:c r="B74" s="19"/>
      <x:c r="C74" s="19"/>
      <x:c r="D74" s="19"/>
      <x:c r="E74" s="19"/>
      <x:c r="F74" s="19"/>
      <x:c r="G74" s="26"/>
      <x:c r="H74" s="19"/>
      <x:c r="I74" s="26"/>
      <x:c r="J74" s="19"/>
      <x:c r="K74" s="26"/>
      <x:c r="L74" s="19"/>
      <x:c r="M74" s="26"/>
      <x:c r="N74" s="19"/>
      <x:c r="O74" s="19"/>
    </x:row>
    <x:row r="75">
      <x:c r="A75" s="19"/>
      <x:c r="B75" s="19"/>
      <x:c r="C75" s="19"/>
      <x:c r="D75" s="19"/>
      <x:c r="E75" s="19"/>
      <x:c r="F75" s="19"/>
      <x:c r="G75" s="26"/>
      <x:c r="H75" s="19"/>
      <x:c r="I75" s="26"/>
      <x:c r="J75" s="19"/>
      <x:c r="K75" s="26"/>
      <x:c r="L75" s="19"/>
      <x:c r="M75" s="26"/>
      <x:c r="N75" s="19"/>
      <x:c r="O75" s="19"/>
    </x:row>
    <x:row r="76">
      <x:c r="A76" s="19"/>
      <x:c r="B76" s="19"/>
      <x:c r="C76" s="19"/>
      <x:c r="D76" s="19"/>
      <x:c r="E76" s="19"/>
      <x:c r="F76" s="19"/>
      <x:c r="G76" s="26"/>
      <x:c r="H76" s="19"/>
      <x:c r="I76" s="26"/>
      <x:c r="J76" s="19"/>
      <x:c r="K76" s="26"/>
      <x:c r="L76" s="19"/>
      <x:c r="M76" s="26"/>
      <x:c r="N76" s="19"/>
      <x:c r="O76" s="19"/>
    </x:row>
    <x:row r="77">
      <x:c r="A77" s="19"/>
      <x:c r="B77" s="19"/>
      <x:c r="C77" s="19"/>
      <x:c r="D77" s="19"/>
      <x:c r="E77" s="19"/>
      <x:c r="F77" s="19"/>
      <x:c r="G77" s="26"/>
      <x:c r="H77" s="19"/>
      <x:c r="I77" s="26"/>
      <x:c r="J77" s="19"/>
      <x:c r="K77" s="26"/>
      <x:c r="L77" s="19"/>
      <x:c r="M77" s="26"/>
      <x:c r="N77" s="19"/>
      <x:c r="O77" s="19"/>
    </x:row>
    <x:row r="78">
      <x:c r="A78" s="19"/>
      <x:c r="B78" s="19"/>
      <x:c r="C78" s="19"/>
      <x:c r="D78" s="19"/>
      <x:c r="E78" s="19"/>
      <x:c r="F78" s="19"/>
      <x:c r="G78" s="26"/>
      <x:c r="H78" s="19"/>
      <x:c r="I78" s="26"/>
      <x:c r="J78" s="19"/>
      <x:c r="K78" s="26"/>
      <x:c r="L78" s="19"/>
      <x:c r="M78" s="26"/>
      <x:c r="N78" s="19"/>
      <x:c r="O78" s="19"/>
    </x:row>
    <x:row r="79">
      <x:c r="A79" s="19"/>
      <x:c r="B79" s="19"/>
      <x:c r="C79" s="19"/>
      <x:c r="D79" s="19"/>
      <x:c r="E79" s="19"/>
      <x:c r="F79" s="19"/>
      <x:c r="G79" s="26"/>
      <x:c r="H79" s="19"/>
      <x:c r="I79" s="26"/>
      <x:c r="J79" s="19"/>
      <x:c r="K79" s="26"/>
      <x:c r="L79" s="19"/>
      <x:c r="M79" s="26"/>
      <x:c r="N79" s="19"/>
      <x:c r="O79" s="19"/>
    </x:row>
    <x:row r="80">
      <x:c r="A80" s="19"/>
      <x:c r="B80" s="19"/>
      <x:c r="C80" s="19"/>
      <x:c r="D80" s="19"/>
      <x:c r="E80" s="19"/>
      <x:c r="F80" s="19"/>
      <x:c r="G80" s="26"/>
      <x:c r="H80" s="19"/>
      <x:c r="I80" s="26"/>
      <x:c r="J80" s="19"/>
      <x:c r="K80" s="26"/>
      <x:c r="L80" s="19"/>
      <x:c r="M80" s="26"/>
      <x:c r="N80" s="19"/>
      <x:c r="O80" s="19"/>
    </x:row>
    <x:row r="81">
      <x:c r="A81" s="19"/>
      <x:c r="B81" s="19"/>
      <x:c r="C81" s="19"/>
      <x:c r="D81" s="19"/>
      <x:c r="E81" s="19"/>
      <x:c r="F81" s="19"/>
      <x:c r="G81" s="26"/>
      <x:c r="H81" s="19"/>
      <x:c r="I81" s="26"/>
      <x:c r="J81" s="19"/>
      <x:c r="K81" s="26"/>
      <x:c r="L81" s="19"/>
      <x:c r="M81" s="26"/>
      <x:c r="N81" s="19"/>
      <x:c r="O81" s="19"/>
    </x:row>
    <x:row r="82">
      <x:c r="A82" s="19"/>
      <x:c r="B82" s="19"/>
      <x:c r="C82" s="19"/>
      <x:c r="D82" s="19"/>
      <x:c r="E82" s="19"/>
      <x:c r="F82" s="19"/>
      <x:c r="G82" s="26"/>
      <x:c r="H82" s="19"/>
      <x:c r="I82" s="26"/>
      <x:c r="J82" s="19"/>
      <x:c r="K82" s="26"/>
      <x:c r="L82" s="19"/>
      <x:c r="M82" s="26"/>
      <x:c r="N82" s="19"/>
      <x:c r="O82" s="19"/>
    </x:row>
    <x:row r="83">
      <x:c r="A83" s="19"/>
      <x:c r="B83" s="19"/>
      <x:c r="C83" s="19"/>
      <x:c r="D83" s="19"/>
      <x:c r="E83" s="19"/>
      <x:c r="F83" s="19"/>
      <x:c r="G83" s="26"/>
      <x:c r="H83" s="19"/>
      <x:c r="I83" s="26"/>
      <x:c r="J83" s="19"/>
      <x:c r="K83" s="26"/>
      <x:c r="L83" s="19"/>
      <x:c r="M83" s="26"/>
      <x:c r="N83" s="19"/>
      <x:c r="O83" s="19"/>
    </x:row>
    <x:row r="84">
      <x:c r="A84" s="19"/>
      <x:c r="B84" s="19"/>
      <x:c r="C84" s="19"/>
      <x:c r="D84" s="19"/>
      <x:c r="E84" s="19"/>
      <x:c r="F84" s="19"/>
      <x:c r="G84" s="26"/>
      <x:c r="H84" s="19"/>
      <x:c r="I84" s="26"/>
      <x:c r="J84" s="19"/>
      <x:c r="K84" s="26"/>
      <x:c r="L84" s="19"/>
      <x:c r="M84" s="26"/>
      <x:c r="N84" s="19"/>
      <x:c r="O84" s="19"/>
    </x:row>
    <x:row r="85">
      <x:c r="A85" s="19"/>
      <x:c r="B85" s="19"/>
      <x:c r="C85" s="19"/>
      <x:c r="D85" s="19"/>
      <x:c r="E85" s="19"/>
      <x:c r="F85" s="19"/>
      <x:c r="G85" s="26"/>
      <x:c r="H85" s="19"/>
      <x:c r="I85" s="26"/>
      <x:c r="J85" s="19"/>
      <x:c r="K85" s="26"/>
      <x:c r="L85" s="19"/>
      <x:c r="M85" s="26"/>
      <x:c r="N85" s="19"/>
      <x:c r="O85" s="19"/>
    </x:row>
    <x:row r="86">
      <x:c r="A86" s="19"/>
      <x:c r="B86" s="19"/>
      <x:c r="C86" s="19"/>
      <x:c r="D86" s="19"/>
      <x:c r="E86" s="19"/>
      <x:c r="F86" s="19"/>
      <x:c r="G86" s="26"/>
      <x:c r="H86" s="19"/>
      <x:c r="I86" s="26"/>
      <x:c r="J86" s="19"/>
      <x:c r="K86" s="26"/>
      <x:c r="L86" s="19"/>
      <x:c r="M86" s="26"/>
      <x:c r="N86" s="19"/>
      <x:c r="O86" s="19"/>
    </x:row>
    <x:row r="87">
      <x:c r="A87" s="19"/>
      <x:c r="B87" s="19"/>
      <x:c r="C87" s="19"/>
      <x:c r="D87" s="19"/>
      <x:c r="E87" s="19"/>
      <x:c r="F87" s="19"/>
      <x:c r="G87" s="26"/>
      <x:c r="H87" s="19"/>
      <x:c r="I87" s="26"/>
      <x:c r="J87" s="19"/>
      <x:c r="K87" s="26"/>
      <x:c r="L87" s="19"/>
      <x:c r="M87" s="26"/>
      <x:c r="N87" s="19"/>
      <x:c r="O87" s="19"/>
    </x:row>
    <x:row r="88">
      <x:c r="A88" s="19"/>
      <x:c r="B88" s="19"/>
      <x:c r="C88" s="19"/>
      <x:c r="D88" s="19"/>
      <x:c r="E88" s="19"/>
      <x:c r="F88" s="19"/>
      <x:c r="G88" s="26"/>
      <x:c r="H88" s="19"/>
      <x:c r="I88" s="26"/>
      <x:c r="J88" s="19"/>
      <x:c r="K88" s="26"/>
      <x:c r="L88" s="19"/>
      <x:c r="M88" s="26"/>
      <x:c r="N88" s="19"/>
      <x:c r="O88" s="19"/>
    </x:row>
    <x:row r="89">
      <x:c r="A89" s="19"/>
      <x:c r="B89" s="19"/>
      <x:c r="C89" s="19"/>
      <x:c r="D89" s="19"/>
      <x:c r="E89" s="19"/>
      <x:c r="F89" s="19"/>
      <x:c r="G89" s="26"/>
      <x:c r="H89" s="19"/>
      <x:c r="I89" s="26"/>
      <x:c r="J89" s="19"/>
      <x:c r="K89" s="26"/>
      <x:c r="L89" s="19"/>
      <x:c r="M89" s="26"/>
      <x:c r="N89" s="19"/>
      <x:c r="O89" s="19"/>
    </x:row>
    <x:row r="90">
      <x:c r="A90" s="19"/>
      <x:c r="B90" s="19"/>
      <x:c r="C90" s="19"/>
      <x:c r="D90" s="19"/>
      <x:c r="E90" s="19"/>
      <x:c r="F90" s="19"/>
      <x:c r="G90" s="26"/>
      <x:c r="H90" s="19"/>
      <x:c r="I90" s="26"/>
      <x:c r="J90" s="19"/>
      <x:c r="K90" s="26"/>
      <x:c r="L90" s="19"/>
      <x:c r="M90" s="26"/>
      <x:c r="N90" s="19"/>
      <x:c r="O90" s="19"/>
    </x:row>
    <x:row r="91">
      <x:c r="A91" s="19"/>
      <x:c r="B91" s="19"/>
      <x:c r="C91" s="19"/>
      <x:c r="D91" s="19"/>
      <x:c r="E91" s="19"/>
      <x:c r="F91" s="19"/>
      <x:c r="G91" s="26"/>
      <x:c r="H91" s="19"/>
      <x:c r="I91" s="26"/>
      <x:c r="J91" s="19"/>
      <x:c r="K91" s="26"/>
      <x:c r="L91" s="19"/>
      <x:c r="M91" s="26"/>
      <x:c r="N91" s="19"/>
      <x:c r="O91" s="19"/>
    </x:row>
    <x:row r="92">
      <x:c r="A92" s="19"/>
      <x:c r="B92" s="19"/>
      <x:c r="C92" s="19"/>
      <x:c r="D92" s="19"/>
      <x:c r="E92" s="19"/>
      <x:c r="F92" s="19"/>
      <x:c r="G92" s="26"/>
      <x:c r="H92" s="19"/>
      <x:c r="I92" s="26"/>
      <x:c r="J92" s="19"/>
      <x:c r="K92" s="26"/>
      <x:c r="L92" s="19"/>
      <x:c r="M92" s="26"/>
      <x:c r="N92" s="19"/>
      <x:c r="O92" s="19"/>
    </x:row>
    <x:row r="93">
      <x:c r="A93" s="19"/>
      <x:c r="B93" s="19"/>
      <x:c r="C93" s="19"/>
      <x:c r="D93" s="19"/>
      <x:c r="E93" s="19"/>
      <x:c r="F93" s="19"/>
      <x:c r="G93" s="26"/>
      <x:c r="H93" s="19"/>
      <x:c r="I93" s="26"/>
      <x:c r="J93" s="19"/>
      <x:c r="K93" s="26"/>
      <x:c r="L93" s="19"/>
      <x:c r="M93" s="26"/>
      <x:c r="N93" s="19"/>
      <x:c r="O93" s="19"/>
    </x:row>
    <x:row r="94">
      <x:c r="A94" s="19"/>
      <x:c r="B94" s="19"/>
      <x:c r="C94" s="19"/>
      <x:c r="D94" s="19"/>
      <x:c r="E94" s="19"/>
      <x:c r="F94" s="19"/>
      <x:c r="G94" s="26"/>
      <x:c r="H94" s="19"/>
      <x:c r="I94" s="26"/>
      <x:c r="J94" s="19"/>
      <x:c r="K94" s="26"/>
      <x:c r="L94" s="19"/>
      <x:c r="M94" s="26"/>
      <x:c r="N94" s="19"/>
      <x:c r="O94" s="19"/>
    </x:row>
    <x:row r="95">
      <x:c r="A95" s="19"/>
      <x:c r="B95" s="19"/>
      <x:c r="C95" s="19"/>
      <x:c r="D95" s="19"/>
      <x:c r="E95" s="19"/>
      <x:c r="F95" s="19"/>
      <x:c r="G95" s="26"/>
      <x:c r="H95" s="19"/>
      <x:c r="I95" s="26"/>
      <x:c r="J95" s="19"/>
      <x:c r="K95" s="26"/>
      <x:c r="L95" s="19"/>
      <x:c r="M95" s="26"/>
      <x:c r="N95" s="19"/>
      <x:c r="O95" s="19"/>
    </x:row>
    <x:row r="96">
      <x:c r="A96" s="19"/>
      <x:c r="B96" s="19"/>
      <x:c r="C96" s="19"/>
      <x:c r="D96" s="19"/>
      <x:c r="E96" s="19"/>
      <x:c r="F96" s="19"/>
      <x:c r="G96" s="26"/>
      <x:c r="H96" s="19"/>
      <x:c r="I96" s="26"/>
      <x:c r="J96" s="19"/>
      <x:c r="K96" s="26"/>
      <x:c r="L96" s="19"/>
      <x:c r="M96" s="26"/>
      <x:c r="N96" s="19"/>
      <x:c r="O96" s="19"/>
    </x:row>
    <x:row r="97">
      <x:c r="A97" s="19"/>
      <x:c r="B97" s="19"/>
      <x:c r="C97" s="19"/>
      <x:c r="D97" s="19"/>
      <x:c r="E97" s="19"/>
      <x:c r="F97" s="19"/>
      <x:c r="G97" s="26"/>
      <x:c r="H97" s="19"/>
      <x:c r="I97" s="26"/>
      <x:c r="J97" s="19"/>
      <x:c r="K97" s="26"/>
      <x:c r="L97" s="19"/>
      <x:c r="M97" s="26"/>
      <x:c r="N97" s="19"/>
      <x:c r="O97" s="19"/>
    </x:row>
    <x:row r="98">
      <x:c r="A98" s="19"/>
      <x:c r="B98" s="19"/>
      <x:c r="C98" s="19"/>
      <x:c r="D98" s="19"/>
      <x:c r="E98" s="19"/>
      <x:c r="F98" s="19"/>
      <x:c r="G98" s="26"/>
      <x:c r="H98" s="19"/>
      <x:c r="I98" s="26"/>
      <x:c r="J98" s="19"/>
      <x:c r="K98" s="26"/>
      <x:c r="L98" s="19"/>
      <x:c r="M98" s="26"/>
      <x:c r="N98" s="19"/>
      <x:c r="O98" s="19"/>
    </x:row>
    <x:row r="99">
      <x:c r="A99" s="19"/>
      <x:c r="B99" s="19"/>
      <x:c r="C99" s="19"/>
      <x:c r="D99" s="19"/>
      <x:c r="E99" s="19"/>
      <x:c r="F99" s="19"/>
      <x:c r="G99" s="26"/>
      <x:c r="H99" s="19"/>
      <x:c r="I99" s="26"/>
      <x:c r="J99" s="19"/>
      <x:c r="K99" s="26"/>
      <x:c r="L99" s="19"/>
      <x:c r="M99" s="26"/>
      <x:c r="N99" s="19"/>
      <x:c r="O99" s="19"/>
    </x:row>
    <x:row r="100">
      <x:c r="A100" s="19"/>
      <x:c r="B100" s="19"/>
      <x:c r="C100" s="19"/>
      <x:c r="D100" s="19"/>
      <x:c r="E100" s="19"/>
      <x:c r="F100" s="19"/>
      <x:c r="G100" s="26"/>
      <x:c r="H100" s="19"/>
      <x:c r="I100" s="26"/>
      <x:c r="J100" s="19"/>
      <x:c r="K100" s="26"/>
      <x:c r="L100" s="19"/>
      <x:c r="M100" s="26"/>
      <x:c r="N100" s="19"/>
      <x:c r="O100" s="19"/>
    </x:row>
    <x:row r="101">
      <x:c r="A101" s="19"/>
      <x:c r="B101" s="19"/>
      <x:c r="C101" s="19"/>
      <x:c r="D101" s="19"/>
      <x:c r="E101" s="19"/>
      <x:c r="F101" s="19"/>
      <x:c r="G101" s="26"/>
      <x:c r="H101" s="19"/>
      <x:c r="I101" s="26"/>
      <x:c r="J101" s="19"/>
      <x:c r="K101" s="26"/>
      <x:c r="L101" s="19"/>
      <x:c r="M101" s="26"/>
      <x:c r="N101" s="19"/>
      <x:c r="O101" s="19"/>
    </x:row>
    <x:row r="102">
      <x:c r="A102" s="19"/>
      <x:c r="B102" s="19"/>
      <x:c r="C102" s="19"/>
      <x:c r="D102" s="19"/>
      <x:c r="E102" s="19"/>
      <x:c r="F102" s="19"/>
      <x:c r="G102" s="26"/>
      <x:c r="H102" s="19"/>
      <x:c r="I102" s="26"/>
      <x:c r="J102" s="19"/>
      <x:c r="K102" s="26"/>
      <x:c r="L102" s="19"/>
      <x:c r="M102" s="26"/>
      <x:c r="N102" s="19"/>
      <x:c r="O102" s="19"/>
    </x:row>
    <x:row r="103">
      <x:c r="A103" s="19"/>
      <x:c r="B103" s="19"/>
      <x:c r="C103" s="19"/>
      <x:c r="D103" s="19"/>
      <x:c r="E103" s="19"/>
      <x:c r="F103" s="19"/>
      <x:c r="G103" s="26"/>
      <x:c r="H103" s="19"/>
      <x:c r="I103" s="26"/>
      <x:c r="J103" s="19"/>
      <x:c r="K103" s="26"/>
      <x:c r="L103" s="19"/>
      <x:c r="M103" s="26"/>
      <x:c r="N103" s="19"/>
      <x:c r="O103" s="19"/>
    </x:row>
    <x:row r="104">
      <x:c r="A104" s="19"/>
      <x:c r="B104" s="19"/>
      <x:c r="C104" s="19"/>
      <x:c r="D104" s="19"/>
      <x:c r="E104" s="19"/>
      <x:c r="F104" s="19"/>
      <x:c r="G104" s="26"/>
      <x:c r="H104" s="19"/>
      <x:c r="I104" s="26"/>
      <x:c r="J104" s="19"/>
      <x:c r="K104" s="26"/>
      <x:c r="L104" s="19"/>
      <x:c r="M104" s="26"/>
      <x:c r="N104" s="19"/>
      <x:c r="O104" s="19"/>
    </x:row>
    <x:row r="105">
      <x:c r="A105" s="19"/>
      <x:c r="B105" s="19"/>
      <x:c r="C105" s="19"/>
      <x:c r="D105" s="19"/>
      <x:c r="E105" s="19"/>
      <x:c r="F105" s="19"/>
      <x:c r="G105" s="26"/>
      <x:c r="H105" s="19"/>
      <x:c r="I105" s="26"/>
      <x:c r="J105" s="19"/>
      <x:c r="K105" s="26"/>
      <x:c r="L105" s="19"/>
      <x:c r="M105" s="26"/>
      <x:c r="N105" s="19"/>
      <x:c r="O105" s="19"/>
    </x:row>
    <x:row r="106">
      <x:c r="A106" s="19"/>
      <x:c r="B106" s="19"/>
      <x:c r="C106" s="19"/>
      <x:c r="D106" s="19"/>
      <x:c r="E106" s="19"/>
      <x:c r="F106" s="19"/>
      <x:c r="G106" s="26"/>
      <x:c r="H106" s="19"/>
      <x:c r="I106" s="26"/>
      <x:c r="J106" s="19"/>
      <x:c r="K106" s="26"/>
      <x:c r="L106" s="19"/>
      <x:c r="M106" s="26"/>
      <x:c r="N106" s="19"/>
      <x:c r="O106" s="19"/>
    </x:row>
    <x:row r="107">
      <x:c r="A107" s="19"/>
      <x:c r="B107" s="19"/>
      <x:c r="C107" s="19"/>
      <x:c r="D107" s="19"/>
      <x:c r="E107" s="19"/>
      <x:c r="F107" s="19"/>
      <x:c r="G107" s="26"/>
      <x:c r="H107" s="19"/>
      <x:c r="I107" s="26"/>
      <x:c r="J107" s="19"/>
      <x:c r="K107" s="26"/>
      <x:c r="L107" s="19"/>
      <x:c r="M107" s="26"/>
      <x:c r="N107" s="19"/>
      <x:c r="O107" s="19"/>
    </x:row>
    <x:row r="108">
      <x:c r="A108" s="19"/>
      <x:c r="B108" s="19"/>
      <x:c r="C108" s="19"/>
      <x:c r="D108" s="19"/>
      <x:c r="E108" s="19"/>
      <x:c r="F108" s="19"/>
      <x:c r="G108" s="26"/>
      <x:c r="H108" s="19"/>
      <x:c r="I108" s="26"/>
      <x:c r="J108" s="19"/>
      <x:c r="K108" s="26"/>
      <x:c r="L108" s="19"/>
      <x:c r="M108" s="26"/>
      <x:c r="N108" s="19"/>
      <x:c r="O108" s="19"/>
    </x:row>
    <x:row r="109">
      <x:c r="A109" s="19"/>
      <x:c r="B109" s="19"/>
      <x:c r="C109" s="19"/>
      <x:c r="D109" s="19"/>
      <x:c r="E109" s="19"/>
      <x:c r="F109" s="19"/>
      <x:c r="G109" s="26"/>
      <x:c r="H109" s="19"/>
      <x:c r="I109" s="26"/>
      <x:c r="J109" s="19"/>
      <x:c r="K109" s="26"/>
      <x:c r="L109" s="19"/>
      <x:c r="M109" s="26"/>
      <x:c r="N109" s="19"/>
      <x:c r="O109" s="19"/>
    </x:row>
    <x:row r="110">
      <x:c r="A110" s="19"/>
      <x:c r="B110" s="19"/>
      <x:c r="C110" s="19"/>
      <x:c r="D110" s="19"/>
      <x:c r="E110" s="19"/>
      <x:c r="F110" s="19"/>
      <x:c r="G110" s="26"/>
      <x:c r="H110" s="19"/>
      <x:c r="I110" s="26"/>
      <x:c r="J110" s="19"/>
      <x:c r="K110" s="26"/>
      <x:c r="L110" s="19"/>
      <x:c r="M110" s="26"/>
      <x:c r="N110" s="19"/>
      <x:c r="O110" s="19"/>
    </x:row>
    <x:row r="111">
      <x:c r="A111" s="19"/>
      <x:c r="B111" s="19"/>
      <x:c r="C111" s="19"/>
      <x:c r="D111" s="19"/>
      <x:c r="E111" s="19"/>
      <x:c r="F111" s="19"/>
      <x:c r="G111" s="26"/>
      <x:c r="H111" s="19"/>
      <x:c r="I111" s="26"/>
      <x:c r="J111" s="19"/>
      <x:c r="K111" s="26"/>
      <x:c r="L111" s="19"/>
      <x:c r="M111" s="26"/>
      <x:c r="N111" s="19"/>
      <x:c r="O111" s="19"/>
    </x:row>
    <x:row r="112">
      <x:c r="A112" s="19"/>
      <x:c r="B112" s="19"/>
      <x:c r="C112" s="19"/>
      <x:c r="D112" s="19"/>
      <x:c r="E112" s="19"/>
      <x:c r="F112" s="19"/>
      <x:c r="G112" s="26"/>
      <x:c r="H112" s="19"/>
      <x:c r="I112" s="26"/>
      <x:c r="J112" s="19"/>
      <x:c r="K112" s="26"/>
      <x:c r="L112" s="19"/>
      <x:c r="M112" s="26"/>
      <x:c r="N112" s="19"/>
      <x:c r="O112" s="19"/>
    </x:row>
    <x:row r="113">
      <x:c r="A113" s="19"/>
      <x:c r="B113" s="19"/>
      <x:c r="C113" s="19"/>
      <x:c r="D113" s="19"/>
      <x:c r="E113" s="19"/>
      <x:c r="F113" s="19"/>
      <x:c r="G113" s="26"/>
      <x:c r="H113" s="19"/>
      <x:c r="I113" s="26"/>
      <x:c r="J113" s="19"/>
      <x:c r="K113" s="26"/>
      <x:c r="L113" s="19"/>
      <x:c r="M113" s="26"/>
      <x:c r="N113" s="19"/>
      <x:c r="O113" s="19"/>
    </x:row>
    <x:row r="114">
      <x:c r="A114" s="19"/>
      <x:c r="B114" s="19"/>
      <x:c r="C114" s="19"/>
      <x:c r="D114" s="19"/>
      <x:c r="E114" s="19"/>
      <x:c r="F114" s="19"/>
      <x:c r="G114" s="26"/>
      <x:c r="H114" s="19"/>
      <x:c r="I114" s="26"/>
      <x:c r="J114" s="19"/>
      <x:c r="K114" s="26"/>
      <x:c r="L114" s="19"/>
      <x:c r="M114" s="26"/>
      <x:c r="N114" s="19"/>
      <x:c r="O114" s="19"/>
    </x:row>
    <x:row r="115">
      <x:c r="A115" s="19"/>
      <x:c r="B115" s="19"/>
      <x:c r="C115" s="19"/>
      <x:c r="D115" s="19"/>
      <x:c r="E115" s="19"/>
      <x:c r="F115" s="19"/>
      <x:c r="G115" s="26"/>
      <x:c r="H115" s="19"/>
      <x:c r="I115" s="26"/>
      <x:c r="J115" s="19"/>
      <x:c r="K115" s="26"/>
      <x:c r="L115" s="19"/>
      <x:c r="M115" s="26"/>
      <x:c r="N115" s="19"/>
      <x:c r="O115" s="19"/>
    </x:row>
    <x:row r="116">
      <x:c r="A116" s="19"/>
      <x:c r="B116" s="19"/>
      <x:c r="C116" s="19"/>
      <x:c r="D116" s="19"/>
      <x:c r="E116" s="19"/>
      <x:c r="F116" s="19"/>
      <x:c r="G116" s="26"/>
      <x:c r="H116" s="19"/>
      <x:c r="I116" s="26"/>
      <x:c r="J116" s="19"/>
      <x:c r="K116" s="26"/>
      <x:c r="L116" s="19"/>
      <x:c r="M116" s="26"/>
      <x:c r="N116" s="19"/>
      <x:c r="O116" s="19"/>
    </x:row>
    <x:row r="117">
      <x:c r="A117" s="19"/>
      <x:c r="B117" s="19"/>
      <x:c r="C117" s="19"/>
      <x:c r="D117" s="19"/>
      <x:c r="E117" s="19"/>
      <x:c r="F117" s="19"/>
      <x:c r="G117" s="26"/>
      <x:c r="H117" s="19"/>
      <x:c r="I117" s="26"/>
      <x:c r="J117" s="19"/>
      <x:c r="K117" s="26"/>
      <x:c r="L117" s="19"/>
      <x:c r="M117" s="26"/>
      <x:c r="N117" s="19"/>
      <x:c r="O117" s="19"/>
    </x:row>
    <x:row r="118">
      <x:c r="A118" s="19"/>
      <x:c r="B118" s="19"/>
      <x:c r="C118" s="19"/>
      <x:c r="D118" s="19"/>
      <x:c r="E118" s="19"/>
      <x:c r="F118" s="19"/>
      <x:c r="G118" s="26"/>
      <x:c r="H118" s="19"/>
      <x:c r="I118" s="26"/>
      <x:c r="J118" s="19"/>
      <x:c r="K118" s="26"/>
      <x:c r="L118" s="19"/>
      <x:c r="M118" s="26"/>
      <x:c r="N118" s="19"/>
      <x:c r="O118" s="19"/>
    </x:row>
    <x:row r="119">
      <x:c r="A119" s="19"/>
      <x:c r="B119" s="19"/>
      <x:c r="C119" s="19"/>
      <x:c r="D119" s="19"/>
      <x:c r="E119" s="19"/>
      <x:c r="F119" s="19"/>
      <x:c r="G119" s="26"/>
      <x:c r="H119" s="19"/>
      <x:c r="I119" s="26"/>
      <x:c r="J119" s="19"/>
      <x:c r="K119" s="26"/>
      <x:c r="L119" s="19"/>
      <x:c r="M119" s="26"/>
      <x:c r="N119" s="19"/>
      <x:c r="O119" s="19"/>
    </x:row>
    <x:row r="120">
      <x:c r="A120" s="19"/>
      <x:c r="B120" s="19"/>
      <x:c r="C120" s="19"/>
      <x:c r="D120" s="19"/>
      <x:c r="E120" s="19"/>
      <x:c r="F120" s="19"/>
      <x:c r="G120" s="26"/>
      <x:c r="H120" s="19"/>
      <x:c r="I120" s="26"/>
      <x:c r="J120" s="19"/>
      <x:c r="K120" s="26"/>
      <x:c r="L120" s="19"/>
      <x:c r="M120" s="26"/>
      <x:c r="N120" s="19"/>
      <x:c r="O120" s="19"/>
    </x:row>
    <x:row r="121">
      <x:c r="A121" s="19"/>
      <x:c r="B121" s="19"/>
      <x:c r="C121" s="19"/>
      <x:c r="D121" s="19"/>
      <x:c r="E121" s="19"/>
      <x:c r="F121" s="19"/>
      <x:c r="G121" s="26"/>
      <x:c r="H121" s="19"/>
      <x:c r="I121" s="26"/>
      <x:c r="J121" s="19"/>
      <x:c r="K121" s="26"/>
      <x:c r="L121" s="19"/>
      <x:c r="M121" s="26"/>
      <x:c r="N121" s="19"/>
      <x:c r="O121" s="19"/>
    </x:row>
    <x:row r="122">
      <x:c r="A122" s="19"/>
      <x:c r="B122" s="19"/>
      <x:c r="C122" s="19"/>
      <x:c r="D122" s="19"/>
      <x:c r="E122" s="19"/>
      <x:c r="F122" s="19"/>
      <x:c r="G122" s="26"/>
      <x:c r="H122" s="19"/>
      <x:c r="I122" s="26"/>
      <x:c r="J122" s="19"/>
      <x:c r="K122" s="26"/>
      <x:c r="L122" s="19"/>
      <x:c r="M122" s="26"/>
      <x:c r="N122" s="19"/>
      <x:c r="O122" s="19"/>
    </x:row>
    <x:row r="123">
      <x:c r="A123" s="19"/>
      <x:c r="B123" s="19"/>
      <x:c r="C123" s="19"/>
      <x:c r="D123" s="19"/>
      <x:c r="E123" s="19"/>
      <x:c r="F123" s="19"/>
      <x:c r="G123" s="26"/>
      <x:c r="H123" s="19"/>
      <x:c r="I123" s="26"/>
      <x:c r="J123" s="19"/>
      <x:c r="K123" s="26"/>
      <x:c r="L123" s="19"/>
      <x:c r="M123" s="26"/>
      <x:c r="N123" s="19"/>
      <x:c r="O123" s="19"/>
    </x:row>
    <x:row r="124">
      <x:c r="A124" s="19"/>
      <x:c r="B124" s="19"/>
      <x:c r="C124" s="19"/>
      <x:c r="D124" s="19"/>
      <x:c r="E124" s="19"/>
      <x:c r="F124" s="19"/>
      <x:c r="G124" s="26"/>
      <x:c r="H124" s="19"/>
      <x:c r="I124" s="26"/>
      <x:c r="J124" s="19"/>
      <x:c r="K124" s="26"/>
      <x:c r="L124" s="19"/>
      <x:c r="M124" s="26"/>
      <x:c r="N124" s="19"/>
      <x:c r="O124" s="19"/>
    </x:row>
    <x:row r="125">
      <x:c r="A125" s="19"/>
      <x:c r="B125" s="19"/>
      <x:c r="C125" s="19"/>
      <x:c r="D125" s="19"/>
      <x:c r="E125" s="19"/>
      <x:c r="F125" s="19"/>
      <x:c r="G125" s="26"/>
      <x:c r="H125" s="19"/>
      <x:c r="I125" s="26"/>
      <x:c r="J125" s="19"/>
      <x:c r="K125" s="26"/>
      <x:c r="L125" s="19"/>
      <x:c r="M125" s="26"/>
      <x:c r="N125" s="19"/>
      <x:c r="O125" s="19"/>
    </x:row>
    <x:row r="126">
      <x:c r="A126" s="19"/>
      <x:c r="B126" s="19"/>
      <x:c r="C126" s="19"/>
      <x:c r="D126" s="19"/>
      <x:c r="E126" s="19"/>
      <x:c r="F126" s="19"/>
      <x:c r="G126" s="26"/>
      <x:c r="H126" s="19"/>
      <x:c r="I126" s="26"/>
      <x:c r="J126" s="19"/>
      <x:c r="K126" s="26"/>
      <x:c r="L126" s="19"/>
      <x:c r="M126" s="26"/>
      <x:c r="N126" s="19"/>
      <x:c r="O126" s="19"/>
    </x:row>
    <x:row r="127">
      <x:c r="A127" s="19"/>
      <x:c r="B127" s="19"/>
      <x:c r="C127" s="19"/>
      <x:c r="D127" s="19"/>
      <x:c r="E127" s="19"/>
      <x:c r="F127" s="19"/>
      <x:c r="G127" s="26"/>
      <x:c r="H127" s="19"/>
      <x:c r="I127" s="26"/>
      <x:c r="J127" s="19"/>
      <x:c r="K127" s="26"/>
      <x:c r="L127" s="19"/>
      <x:c r="M127" s="26"/>
      <x:c r="N127" s="19"/>
      <x:c r="O127" s="19"/>
    </x:row>
    <x:row r="128">
      <x:c r="A128" s="19"/>
      <x:c r="B128" s="19"/>
      <x:c r="C128" s="19"/>
      <x:c r="D128" s="19"/>
      <x:c r="E128" s="19"/>
      <x:c r="F128" s="19"/>
      <x:c r="G128" s="26"/>
      <x:c r="H128" s="19"/>
      <x:c r="I128" s="26"/>
      <x:c r="J128" s="19"/>
      <x:c r="K128" s="26"/>
      <x:c r="L128" s="19"/>
      <x:c r="M128" s="26"/>
      <x:c r="N128" s="19"/>
      <x:c r="O128" s="19"/>
    </x:row>
    <x:row r="129">
      <x:c r="A129" s="19"/>
      <x:c r="B129" s="19"/>
      <x:c r="C129" s="19"/>
      <x:c r="D129" s="19"/>
      <x:c r="E129" s="19"/>
      <x:c r="F129" s="19"/>
      <x:c r="G129" s="26"/>
      <x:c r="H129" s="19"/>
      <x:c r="I129" s="26"/>
      <x:c r="J129" s="19"/>
      <x:c r="K129" s="26"/>
      <x:c r="L129" s="19"/>
      <x:c r="M129" s="26"/>
      <x:c r="N129" s="19"/>
      <x:c r="O129" s="19"/>
    </x:row>
    <x:row r="130">
      <x:c r="A130" s="19"/>
      <x:c r="B130" s="19"/>
      <x:c r="C130" s="19"/>
      <x:c r="D130" s="19"/>
      <x:c r="E130" s="19"/>
      <x:c r="F130" s="19"/>
      <x:c r="G130" s="26"/>
      <x:c r="H130" s="19"/>
      <x:c r="I130" s="26"/>
      <x:c r="J130" s="19"/>
      <x:c r="K130" s="26"/>
      <x:c r="L130" s="19"/>
      <x:c r="M130" s="26"/>
      <x:c r="N130" s="19"/>
      <x:c r="O130" s="19"/>
    </x:row>
    <x:row r="131">
      <x:c r="A131" s="19"/>
      <x:c r="B131" s="19"/>
      <x:c r="C131" s="19"/>
      <x:c r="D131" s="19"/>
      <x:c r="E131" s="19"/>
      <x:c r="F131" s="19"/>
      <x:c r="G131" s="26"/>
      <x:c r="H131" s="19"/>
      <x:c r="I131" s="26"/>
      <x:c r="J131" s="19"/>
      <x:c r="K131" s="26"/>
      <x:c r="L131" s="19"/>
      <x:c r="M131" s="26"/>
      <x:c r="N131" s="19"/>
      <x:c r="O131" s="19"/>
    </x:row>
    <x:row r="132">
      <x:c r="A132" s="19"/>
      <x:c r="B132" s="19"/>
      <x:c r="C132" s="19"/>
      <x:c r="D132" s="19"/>
      <x:c r="E132" s="19"/>
      <x:c r="F132" s="19"/>
      <x:c r="G132" s="26"/>
      <x:c r="H132" s="19"/>
      <x:c r="I132" s="26"/>
      <x:c r="J132" s="19"/>
      <x:c r="K132" s="26"/>
      <x:c r="L132" s="19"/>
      <x:c r="M132" s="26"/>
      <x:c r="N132" s="19"/>
      <x:c r="O132" s="19"/>
    </x:row>
    <x:row r="133">
      <x:c r="A133" s="19"/>
      <x:c r="B133" s="19"/>
      <x:c r="C133" s="19"/>
      <x:c r="D133" s="19"/>
      <x:c r="E133" s="19"/>
      <x:c r="F133" s="19"/>
      <x:c r="G133" s="26"/>
      <x:c r="H133" s="19"/>
      <x:c r="I133" s="26"/>
      <x:c r="J133" s="19"/>
      <x:c r="K133" s="26"/>
      <x:c r="L133" s="19"/>
      <x:c r="M133" s="26"/>
      <x:c r="N133" s="19"/>
      <x:c r="O133" s="19"/>
    </x:row>
    <x:row r="134">
      <x:c r="A134" s="19"/>
      <x:c r="B134" s="19"/>
      <x:c r="C134" s="19"/>
      <x:c r="D134" s="19"/>
      <x:c r="E134" s="19"/>
      <x:c r="F134" s="19"/>
      <x:c r="G134" s="26"/>
      <x:c r="H134" s="19"/>
      <x:c r="I134" s="26"/>
      <x:c r="J134" s="19"/>
      <x:c r="K134" s="26"/>
      <x:c r="L134" s="19"/>
      <x:c r="M134" s="26"/>
      <x:c r="N134" s="19"/>
      <x:c r="O134" s="19"/>
    </x:row>
    <x:row r="135">
      <x:c r="A135" s="19"/>
      <x:c r="B135" s="19"/>
      <x:c r="C135" s="19"/>
      <x:c r="D135" s="19"/>
      <x:c r="E135" s="19"/>
      <x:c r="F135" s="19"/>
      <x:c r="G135" s="26"/>
      <x:c r="H135" s="19"/>
      <x:c r="I135" s="26"/>
      <x:c r="J135" s="19"/>
      <x:c r="K135" s="26"/>
      <x:c r="L135" s="19"/>
      <x:c r="M135" s="26"/>
      <x:c r="N135" s="19"/>
      <x:c r="O135" s="19"/>
    </x:row>
    <x:row r="136">
      <x:c r="A136" s="19"/>
      <x:c r="B136" s="19"/>
      <x:c r="C136" s="19"/>
      <x:c r="D136" s="19"/>
      <x:c r="E136" s="19"/>
      <x:c r="F136" s="19"/>
      <x:c r="G136" s="26"/>
      <x:c r="H136" s="19"/>
      <x:c r="I136" s="26"/>
      <x:c r="J136" s="19"/>
      <x:c r="K136" s="26"/>
      <x:c r="L136" s="19"/>
      <x:c r="M136" s="26"/>
      <x:c r="N136" s="19"/>
      <x:c r="O136" s="19"/>
    </x:row>
    <x:row r="137">
      <x:c r="A137" s="19"/>
      <x:c r="B137" s="19"/>
      <x:c r="C137" s="19"/>
      <x:c r="D137" s="19"/>
      <x:c r="E137" s="19"/>
      <x:c r="F137" s="19"/>
      <x:c r="G137" s="26"/>
      <x:c r="H137" s="19"/>
      <x:c r="I137" s="26"/>
      <x:c r="J137" s="19"/>
      <x:c r="K137" s="26"/>
      <x:c r="L137" s="19"/>
      <x:c r="M137" s="26"/>
      <x:c r="N137" s="19"/>
      <x:c r="O137" s="19"/>
    </x:row>
    <x:row r="138">
      <x:c r="A138" s="19"/>
      <x:c r="B138" s="19"/>
      <x:c r="C138" s="19"/>
      <x:c r="D138" s="19"/>
      <x:c r="E138" s="19"/>
      <x:c r="F138" s="19"/>
      <x:c r="G138" s="26"/>
      <x:c r="H138" s="19"/>
      <x:c r="I138" s="26"/>
      <x:c r="J138" s="19"/>
      <x:c r="K138" s="26"/>
      <x:c r="L138" s="19"/>
      <x:c r="M138" s="26"/>
      <x:c r="N138" s="19"/>
      <x:c r="O138" s="19"/>
    </x:row>
    <x:row r="139">
      <x:c r="A139" s="19"/>
      <x:c r="B139" s="19"/>
      <x:c r="C139" s="19"/>
      <x:c r="D139" s="19"/>
      <x:c r="E139" s="19"/>
      <x:c r="F139" s="19"/>
      <x:c r="G139" s="26"/>
      <x:c r="H139" s="19"/>
      <x:c r="I139" s="26"/>
      <x:c r="J139" s="19"/>
      <x:c r="K139" s="26"/>
      <x:c r="L139" s="19"/>
      <x:c r="M139" s="26"/>
      <x:c r="N139" s="19"/>
      <x:c r="O139" s="19"/>
    </x:row>
    <x:row r="140">
      <x:c r="A140" s="19"/>
      <x:c r="B140" s="19"/>
      <x:c r="C140" s="19"/>
      <x:c r="D140" s="19"/>
      <x:c r="E140" s="19"/>
      <x:c r="F140" s="19"/>
      <x:c r="G140" s="26"/>
      <x:c r="H140" s="19"/>
      <x:c r="I140" s="26"/>
      <x:c r="J140" s="19"/>
      <x:c r="K140" s="26"/>
      <x:c r="L140" s="19"/>
      <x:c r="M140" s="26"/>
      <x:c r="N140" s="19"/>
      <x:c r="O140" s="19"/>
    </x:row>
    <x:row r="141">
      <x:c r="A141" s="19"/>
      <x:c r="B141" s="19"/>
      <x:c r="C141" s="19"/>
      <x:c r="D141" s="19"/>
      <x:c r="E141" s="19"/>
      <x:c r="F141" s="19"/>
      <x:c r="G141" s="26"/>
      <x:c r="H141" s="19"/>
      <x:c r="I141" s="26"/>
      <x:c r="J141" s="19"/>
      <x:c r="K141" s="26"/>
      <x:c r="L141" s="19"/>
      <x:c r="M141" s="26"/>
      <x:c r="N141" s="19"/>
      <x:c r="O141" s="19"/>
    </x:row>
    <x:row r="142">
      <x:c r="A142" s="19"/>
      <x:c r="B142" s="19"/>
      <x:c r="C142" s="19"/>
      <x:c r="D142" s="19"/>
      <x:c r="E142" s="19"/>
      <x:c r="F142" s="19"/>
      <x:c r="G142" s="26"/>
      <x:c r="H142" s="19"/>
      <x:c r="I142" s="26"/>
      <x:c r="J142" s="19"/>
      <x:c r="K142" s="26"/>
      <x:c r="L142" s="19"/>
      <x:c r="M142" s="26"/>
      <x:c r="N142" s="19"/>
      <x:c r="O142" s="19"/>
    </x:row>
    <x:row r="143">
      <x:c r="A143" s="19"/>
      <x:c r="B143" s="19"/>
      <x:c r="C143" s="19"/>
      <x:c r="D143" s="19"/>
      <x:c r="E143" s="19"/>
      <x:c r="F143" s="19"/>
      <x:c r="G143" s="26"/>
      <x:c r="H143" s="19"/>
      <x:c r="I143" s="26"/>
      <x:c r="J143" s="19"/>
      <x:c r="K143" s="26"/>
      <x:c r="L143" s="19"/>
      <x:c r="M143" s="26"/>
      <x:c r="N143" s="19"/>
      <x:c r="O143" s="19"/>
    </x:row>
    <x:row r="144">
      <x:c r="A144" s="19"/>
      <x:c r="B144" s="19"/>
      <x:c r="C144" s="19"/>
      <x:c r="D144" s="19"/>
      <x:c r="E144" s="19"/>
      <x:c r="F144" s="19"/>
      <x:c r="G144" s="26"/>
      <x:c r="H144" s="19"/>
      <x:c r="I144" s="26"/>
      <x:c r="J144" s="19"/>
      <x:c r="K144" s="26"/>
      <x:c r="L144" s="19"/>
      <x:c r="M144" s="26"/>
      <x:c r="N144" s="19"/>
      <x:c r="O144" s="19"/>
    </x:row>
    <x:row r="145">
      <x:c r="A145" s="19"/>
      <x:c r="B145" s="19"/>
      <x:c r="C145" s="19"/>
      <x:c r="D145" s="19"/>
      <x:c r="E145" s="19"/>
      <x:c r="F145" s="19"/>
      <x:c r="G145" s="26"/>
      <x:c r="H145" s="19"/>
      <x:c r="I145" s="26"/>
      <x:c r="J145" s="19"/>
      <x:c r="K145" s="26"/>
      <x:c r="L145" s="19"/>
      <x:c r="M145" s="26"/>
      <x:c r="N145" s="19"/>
      <x:c r="O145" s="19"/>
    </x:row>
    <x:row r="146">
      <x:c r="A146" s="19"/>
      <x:c r="B146" s="19"/>
      <x:c r="C146" s="19"/>
      <x:c r="D146" s="19"/>
      <x:c r="E146" s="19"/>
      <x:c r="F146" s="19"/>
      <x:c r="G146" s="26"/>
      <x:c r="H146" s="19"/>
      <x:c r="I146" s="26"/>
      <x:c r="J146" s="19"/>
      <x:c r="K146" s="26"/>
      <x:c r="L146" s="19"/>
      <x:c r="M146" s="26"/>
      <x:c r="N146" s="19"/>
      <x:c r="O146" s="19"/>
    </x:row>
    <x:row r="147">
      <x:c r="A147" s="19"/>
      <x:c r="B147" s="19"/>
      <x:c r="C147" s="19"/>
      <x:c r="D147" s="19"/>
      <x:c r="E147" s="19"/>
      <x:c r="F147" s="19"/>
      <x:c r="G147" s="26"/>
      <x:c r="H147" s="19"/>
      <x:c r="I147" s="26"/>
      <x:c r="J147" s="19"/>
      <x:c r="K147" s="26"/>
      <x:c r="L147" s="19"/>
      <x:c r="M147" s="26"/>
      <x:c r="N147" s="19"/>
      <x:c r="O147" s="19"/>
    </x:row>
    <x:row r="148">
      <x:c r="A148" s="19"/>
      <x:c r="B148" s="19"/>
      <x:c r="C148" s="19"/>
      <x:c r="D148" s="19"/>
      <x:c r="E148" s="19"/>
      <x:c r="F148" s="19"/>
      <x:c r="G148" s="26"/>
      <x:c r="H148" s="19"/>
      <x:c r="I148" s="26"/>
      <x:c r="J148" s="19"/>
      <x:c r="K148" s="26"/>
      <x:c r="L148" s="19"/>
      <x:c r="M148" s="26"/>
      <x:c r="N148" s="19"/>
      <x:c r="O148" s="19"/>
    </x:row>
    <x:row r="149">
      <x:c r="A149" s="19"/>
      <x:c r="B149" s="19"/>
      <x:c r="C149" s="19"/>
      <x:c r="D149" s="19"/>
      <x:c r="E149" s="19"/>
      <x:c r="F149" s="19"/>
      <x:c r="G149" s="26"/>
      <x:c r="H149" s="19"/>
      <x:c r="I149" s="26"/>
      <x:c r="J149" s="19"/>
      <x:c r="K149" s="26"/>
      <x:c r="L149" s="19"/>
      <x:c r="M149" s="26"/>
      <x:c r="N149" s="19"/>
      <x:c r="O149" s="19"/>
    </x:row>
    <x:row r="150">
      <x:c r="A150" s="19"/>
      <x:c r="B150" s="19"/>
      <x:c r="C150" s="19"/>
      <x:c r="D150" s="19"/>
      <x:c r="E150" s="19"/>
      <x:c r="F150" s="19"/>
      <x:c r="G150" s="26"/>
      <x:c r="H150" s="19"/>
      <x:c r="I150" s="26"/>
      <x:c r="J150" s="19"/>
      <x:c r="K150" s="26"/>
      <x:c r="L150" s="19"/>
      <x:c r="M150" s="26"/>
      <x:c r="N150" s="19"/>
      <x:c r="O150" s="19"/>
    </x:row>
    <x:row r="151">
      <x:c r="A151" s="19"/>
      <x:c r="B151" s="19"/>
      <x:c r="C151" s="19"/>
      <x:c r="D151" s="19"/>
      <x:c r="E151" s="19"/>
      <x:c r="F151" s="19"/>
      <x:c r="G151" s="26"/>
      <x:c r="H151" s="19"/>
      <x:c r="I151" s="26"/>
      <x:c r="J151" s="19"/>
      <x:c r="K151" s="26"/>
      <x:c r="L151" s="19"/>
      <x:c r="M151" s="26"/>
      <x:c r="N151" s="19"/>
      <x:c r="O151" s="19"/>
    </x:row>
    <x:row r="152">
      <x:c r="A152" s="19"/>
      <x:c r="B152" s="19"/>
      <x:c r="C152" s="19"/>
      <x:c r="D152" s="19"/>
      <x:c r="E152" s="19"/>
      <x:c r="F152" s="19"/>
      <x:c r="G152" s="26"/>
      <x:c r="H152" s="19"/>
      <x:c r="I152" s="26"/>
      <x:c r="J152" s="19"/>
      <x:c r="K152" s="26"/>
      <x:c r="L152" s="19"/>
      <x:c r="M152" s="26"/>
      <x:c r="N152" s="19"/>
      <x:c r="O152" s="19"/>
    </x:row>
    <x:row r="153">
      <x:c r="A153" s="19"/>
      <x:c r="B153" s="19"/>
      <x:c r="C153" s="19"/>
      <x:c r="D153" s="19"/>
      <x:c r="E153" s="19"/>
      <x:c r="F153" s="19"/>
      <x:c r="G153" s="26"/>
      <x:c r="H153" s="19"/>
      <x:c r="I153" s="26"/>
      <x:c r="J153" s="19"/>
      <x:c r="K153" s="26"/>
      <x:c r="L153" s="19"/>
      <x:c r="M153" s="26"/>
      <x:c r="N153" s="19"/>
      <x:c r="O153" s="19"/>
    </x:row>
    <x:row r="154">
      <x:c r="A154" s="19"/>
      <x:c r="B154" s="19"/>
      <x:c r="C154" s="19"/>
      <x:c r="D154" s="19"/>
      <x:c r="E154" s="19"/>
      <x:c r="F154" s="19"/>
      <x:c r="G154" s="26"/>
      <x:c r="H154" s="19"/>
      <x:c r="I154" s="26"/>
      <x:c r="J154" s="19"/>
      <x:c r="K154" s="26"/>
      <x:c r="L154" s="19"/>
      <x:c r="M154" s="26"/>
      <x:c r="N154" s="19"/>
      <x:c r="O154" s="19"/>
    </x:row>
    <x:row r="155">
      <x:c r="A155" s="19"/>
      <x:c r="B155" s="19"/>
      <x:c r="C155" s="19"/>
      <x:c r="D155" s="19"/>
      <x:c r="E155" s="19"/>
      <x:c r="F155" s="19"/>
      <x:c r="G155" s="26"/>
      <x:c r="H155" s="19"/>
      <x:c r="I155" s="26"/>
      <x:c r="J155" s="19"/>
      <x:c r="K155" s="26"/>
      <x:c r="L155" s="19"/>
      <x:c r="M155" s="26"/>
      <x:c r="N155" s="19"/>
      <x:c r="O155" s="19"/>
    </x:row>
    <x:row r="156">
      <x:c r="A156" s="19"/>
      <x:c r="B156" s="19"/>
      <x:c r="C156" s="19"/>
      <x:c r="D156" s="19"/>
      <x:c r="E156" s="19"/>
      <x:c r="F156" s="19"/>
      <x:c r="G156" s="26"/>
      <x:c r="H156" s="19"/>
      <x:c r="I156" s="26"/>
      <x:c r="J156" s="19"/>
      <x:c r="K156" s="26"/>
      <x:c r="L156" s="19"/>
      <x:c r="M156" s="26"/>
      <x:c r="N156" s="19"/>
      <x:c r="O156" s="19"/>
    </x:row>
    <x:row r="157">
      <x:c r="A157" s="19"/>
      <x:c r="B157" s="19"/>
      <x:c r="C157" s="19"/>
      <x:c r="D157" s="19"/>
      <x:c r="E157" s="19"/>
      <x:c r="F157" s="19"/>
      <x:c r="G157" s="26"/>
      <x:c r="H157" s="19"/>
      <x:c r="I157" s="26"/>
      <x:c r="J157" s="19"/>
      <x:c r="K157" s="26"/>
      <x:c r="L157" s="19"/>
      <x:c r="M157" s="26"/>
      <x:c r="N157" s="19"/>
      <x:c r="O157" s="19"/>
    </x:row>
    <x:row r="158">
      <x:c r="A158" s="19"/>
      <x:c r="B158" s="19"/>
      <x:c r="C158" s="19"/>
      <x:c r="D158" s="19"/>
      <x:c r="E158" s="19"/>
      <x:c r="F158" s="19"/>
      <x:c r="G158" s="26"/>
      <x:c r="H158" s="19"/>
      <x:c r="I158" s="26"/>
      <x:c r="J158" s="19"/>
      <x:c r="K158" s="26"/>
      <x:c r="L158" s="19"/>
      <x:c r="M158" s="26"/>
      <x:c r="N158" s="19"/>
      <x:c r="O158" s="19"/>
    </x:row>
    <x:row r="159">
      <x:c r="A159" s="19"/>
      <x:c r="B159" s="19"/>
      <x:c r="C159" s="19"/>
      <x:c r="D159" s="19"/>
      <x:c r="E159" s="19"/>
      <x:c r="F159" s="19"/>
      <x:c r="G159" s="26"/>
      <x:c r="H159" s="19"/>
      <x:c r="I159" s="26"/>
      <x:c r="J159" s="19"/>
      <x:c r="K159" s="26"/>
      <x:c r="L159" s="19"/>
      <x:c r="M159" s="26"/>
      <x:c r="N159" s="19"/>
      <x:c r="O159" s="19"/>
    </x:row>
    <x:row r="160">
      <x:c r="A160" s="19"/>
      <x:c r="B160" s="19"/>
      <x:c r="C160" s="19"/>
      <x:c r="D160" s="19"/>
      <x:c r="E160" s="19"/>
      <x:c r="F160" s="19"/>
      <x:c r="G160" s="26"/>
      <x:c r="H160" s="19"/>
      <x:c r="I160" s="26"/>
      <x:c r="J160" s="19"/>
      <x:c r="K160" s="26"/>
      <x:c r="L160" s="19"/>
      <x:c r="M160" s="26"/>
      <x:c r="N160" s="19"/>
      <x:c r="O160" s="19"/>
    </x:row>
    <x:row r="161">
      <x:c r="A161" s="19"/>
      <x:c r="B161" s="19"/>
      <x:c r="C161" s="19"/>
      <x:c r="D161" s="19"/>
      <x:c r="E161" s="19"/>
      <x:c r="F161" s="19"/>
      <x:c r="G161" s="26"/>
      <x:c r="H161" s="19"/>
      <x:c r="I161" s="26"/>
      <x:c r="J161" s="19"/>
      <x:c r="K161" s="26"/>
      <x:c r="L161" s="19"/>
      <x:c r="M161" s="26"/>
      <x:c r="N161" s="19"/>
      <x:c r="O161" s="19"/>
    </x:row>
    <x:row r="162">
      <x:c r="A162" s="19"/>
      <x:c r="B162" s="19"/>
      <x:c r="C162" s="19"/>
      <x:c r="D162" s="19"/>
      <x:c r="E162" s="19"/>
      <x:c r="F162" s="19"/>
      <x:c r="G162" s="26"/>
      <x:c r="H162" s="19"/>
      <x:c r="I162" s="26"/>
      <x:c r="J162" s="19"/>
      <x:c r="K162" s="26"/>
      <x:c r="L162" s="19"/>
      <x:c r="M162" s="26"/>
      <x:c r="N162" s="19"/>
      <x:c r="O162" s="19"/>
    </x:row>
    <x:row r="163">
      <x:c r="A163" s="19"/>
      <x:c r="B163" s="19"/>
      <x:c r="C163" s="19"/>
      <x:c r="D163" s="19"/>
      <x:c r="E163" s="19"/>
      <x:c r="F163" s="19"/>
      <x:c r="G163" s="26"/>
      <x:c r="H163" s="19"/>
      <x:c r="I163" s="26"/>
      <x:c r="J163" s="19"/>
      <x:c r="K163" s="26"/>
      <x:c r="L163" s="19"/>
      <x:c r="M163" s="26"/>
      <x:c r="N163" s="19"/>
      <x:c r="O163" s="19"/>
    </x:row>
    <x:row r="164">
      <x:c r="A164" s="19"/>
      <x:c r="B164" s="19"/>
      <x:c r="C164" s="19"/>
      <x:c r="D164" s="19"/>
      <x:c r="E164" s="19"/>
      <x:c r="F164" s="19"/>
      <x:c r="G164" s="26"/>
      <x:c r="H164" s="19"/>
      <x:c r="I164" s="26"/>
      <x:c r="J164" s="19"/>
      <x:c r="K164" s="26"/>
      <x:c r="L164" s="19"/>
      <x:c r="M164" s="26"/>
      <x:c r="N164" s="19"/>
      <x:c r="O164" s="19"/>
    </x:row>
    <x:row r="165">
      <x:c r="A165" s="19"/>
      <x:c r="B165" s="19"/>
      <x:c r="C165" s="19"/>
      <x:c r="D165" s="19"/>
      <x:c r="E165" s="19"/>
      <x:c r="F165" s="19"/>
      <x:c r="G165" s="26"/>
      <x:c r="H165" s="19"/>
      <x:c r="I165" s="26"/>
      <x:c r="J165" s="19"/>
      <x:c r="K165" s="26"/>
      <x:c r="L165" s="19"/>
      <x:c r="M165" s="26"/>
      <x:c r="N165" s="19"/>
      <x:c r="O165" s="19"/>
    </x:row>
    <x:row r="166">
      <x:c r="A166" s="19"/>
      <x:c r="B166" s="19"/>
      <x:c r="C166" s="19"/>
      <x:c r="D166" s="19"/>
      <x:c r="E166" s="19"/>
      <x:c r="F166" s="19"/>
      <x:c r="G166" s="26"/>
      <x:c r="H166" s="19"/>
      <x:c r="I166" s="26"/>
      <x:c r="J166" s="19"/>
      <x:c r="K166" s="26"/>
      <x:c r="L166" s="19"/>
      <x:c r="M166" s="26"/>
      <x:c r="N166" s="19"/>
      <x:c r="O166" s="19"/>
    </x:row>
    <x:row r="167">
      <x:c r="A167" s="19"/>
      <x:c r="B167" s="19"/>
      <x:c r="C167" s="19"/>
      <x:c r="D167" s="19"/>
      <x:c r="E167" s="19"/>
      <x:c r="F167" s="19"/>
      <x:c r="G167" s="26"/>
      <x:c r="H167" s="19"/>
      <x:c r="I167" s="26"/>
      <x:c r="J167" s="19"/>
      <x:c r="K167" s="26"/>
      <x:c r="L167" s="19"/>
      <x:c r="M167" s="26"/>
      <x:c r="N167" s="19"/>
      <x:c r="O167" s="19"/>
    </x:row>
    <x:row r="168">
      <x:c r="A168" s="19"/>
      <x:c r="B168" s="19"/>
      <x:c r="C168" s="19"/>
      <x:c r="D168" s="19"/>
      <x:c r="E168" s="19"/>
      <x:c r="F168" s="19"/>
      <x:c r="G168" s="26"/>
      <x:c r="H168" s="19"/>
      <x:c r="I168" s="26"/>
      <x:c r="J168" s="19"/>
      <x:c r="K168" s="26"/>
      <x:c r="L168" s="19"/>
      <x:c r="M168" s="26"/>
      <x:c r="N168" s="19"/>
      <x:c r="O168" s="19"/>
    </x:row>
    <x:row r="169">
      <x:c r="A169" s="19"/>
      <x:c r="B169" s="19"/>
      <x:c r="C169" s="19"/>
      <x:c r="D169" s="19"/>
      <x:c r="E169" s="19"/>
      <x:c r="F169" s="19"/>
      <x:c r="G169" s="26"/>
      <x:c r="H169" s="19"/>
      <x:c r="I169" s="26"/>
      <x:c r="J169" s="19"/>
      <x:c r="K169" s="26"/>
      <x:c r="L169" s="19"/>
      <x:c r="M169" s="26"/>
      <x:c r="N169" s="19"/>
      <x:c r="O169" s="19"/>
    </x:row>
    <x:row r="170">
      <x:c r="A170" s="19"/>
      <x:c r="B170" s="19"/>
      <x:c r="C170" s="19"/>
      <x:c r="D170" s="19"/>
      <x:c r="E170" s="19"/>
      <x:c r="F170" s="19"/>
      <x:c r="G170" s="26"/>
      <x:c r="H170" s="19"/>
      <x:c r="I170" s="26"/>
      <x:c r="J170" s="19"/>
      <x:c r="K170" s="26"/>
      <x:c r="L170" s="19"/>
      <x:c r="M170" s="26"/>
      <x:c r="N170" s="19"/>
      <x:c r="O170" s="19"/>
    </x:row>
    <x:row r="171">
      <x:c r="A171" s="19"/>
      <x:c r="B171" s="19"/>
      <x:c r="C171" s="19"/>
      <x:c r="D171" s="19"/>
      <x:c r="E171" s="19"/>
      <x:c r="F171" s="19"/>
      <x:c r="G171" s="26"/>
      <x:c r="H171" s="19"/>
      <x:c r="I171" s="26"/>
      <x:c r="J171" s="19"/>
      <x:c r="K171" s="26"/>
      <x:c r="L171" s="19"/>
      <x:c r="M171" s="26"/>
      <x:c r="N171" s="19"/>
      <x:c r="O171" s="19"/>
    </x:row>
    <x:row r="172">
      <x:c r="A172" s="19"/>
      <x:c r="B172" s="19"/>
      <x:c r="C172" s="19"/>
      <x:c r="D172" s="19"/>
      <x:c r="E172" s="19"/>
      <x:c r="F172" s="19"/>
      <x:c r="G172" s="26"/>
      <x:c r="H172" s="19"/>
      <x:c r="I172" s="26"/>
      <x:c r="J172" s="19"/>
      <x:c r="K172" s="26"/>
      <x:c r="L172" s="19"/>
      <x:c r="M172" s="26"/>
      <x:c r="N172" s="19"/>
      <x:c r="O172" s="19"/>
    </x:row>
    <x:row r="173">
      <x:c r="A173" s="19"/>
      <x:c r="B173" s="19"/>
      <x:c r="C173" s="19"/>
      <x:c r="D173" s="19"/>
      <x:c r="E173" s="19"/>
      <x:c r="F173" s="19"/>
      <x:c r="G173" s="26"/>
      <x:c r="H173" s="19"/>
      <x:c r="I173" s="26"/>
      <x:c r="J173" s="19"/>
      <x:c r="K173" s="26"/>
      <x:c r="L173" s="19"/>
      <x:c r="M173" s="26"/>
      <x:c r="N173" s="19"/>
      <x:c r="O173" s="19"/>
    </x:row>
    <x:row r="174">
      <x:c r="A174" s="19"/>
      <x:c r="B174" s="19"/>
      <x:c r="C174" s="19"/>
      <x:c r="D174" s="19"/>
      <x:c r="E174" s="19"/>
      <x:c r="F174" s="19"/>
      <x:c r="G174" s="26"/>
      <x:c r="H174" s="19"/>
      <x:c r="I174" s="26"/>
      <x:c r="J174" s="19"/>
      <x:c r="K174" s="26"/>
      <x:c r="L174" s="19"/>
      <x:c r="M174" s="26"/>
      <x:c r="N174" s="19"/>
      <x:c r="O174" s="19"/>
    </x:row>
    <x:row r="175">
      <x:c r="A175" s="19"/>
      <x:c r="B175" s="19"/>
      <x:c r="C175" s="19"/>
      <x:c r="D175" s="19"/>
      <x:c r="E175" s="19"/>
      <x:c r="F175" s="19"/>
      <x:c r="G175" s="26"/>
      <x:c r="H175" s="19"/>
      <x:c r="I175" s="26"/>
      <x:c r="J175" s="19"/>
      <x:c r="K175" s="26"/>
      <x:c r="L175" s="19"/>
      <x:c r="M175" s="26"/>
      <x:c r="N175" s="19"/>
      <x:c r="O175" s="19"/>
    </x:row>
    <x:row r="176">
      <x:c r="A176" s="19"/>
      <x:c r="B176" s="19"/>
      <x:c r="C176" s="19"/>
      <x:c r="D176" s="19"/>
      <x:c r="E176" s="19"/>
      <x:c r="F176" s="19"/>
      <x:c r="G176" s="26"/>
      <x:c r="H176" s="19"/>
      <x:c r="I176" s="26"/>
      <x:c r="J176" s="19"/>
      <x:c r="K176" s="26"/>
      <x:c r="L176" s="19"/>
      <x:c r="M176" s="26"/>
      <x:c r="N176" s="19"/>
      <x:c r="O176" s="19"/>
    </x:row>
    <x:row r="177">
      <x:c r="A177" s="19"/>
      <x:c r="B177" s="19"/>
      <x:c r="C177" s="19"/>
      <x:c r="D177" s="19"/>
      <x:c r="E177" s="19"/>
      <x:c r="F177" s="19"/>
      <x:c r="G177" s="26"/>
      <x:c r="H177" s="19"/>
      <x:c r="I177" s="26"/>
      <x:c r="J177" s="19"/>
      <x:c r="K177" s="26"/>
      <x:c r="L177" s="19"/>
      <x:c r="M177" s="26"/>
      <x:c r="N177" s="19"/>
      <x:c r="O177" s="19"/>
    </x:row>
    <x:row r="178">
      <x:c r="A178" s="19"/>
      <x:c r="B178" s="19"/>
      <x:c r="C178" s="19"/>
      <x:c r="D178" s="19"/>
      <x:c r="E178" s="19"/>
      <x:c r="F178" s="19"/>
      <x:c r="G178" s="26"/>
      <x:c r="H178" s="19"/>
      <x:c r="I178" s="26"/>
      <x:c r="J178" s="19"/>
      <x:c r="K178" s="26"/>
      <x:c r="L178" s="19"/>
      <x:c r="M178" s="26"/>
      <x:c r="N178" s="19"/>
      <x:c r="O178" s="19"/>
    </x:row>
    <x:row r="179">
      <x:c r="A179" s="19"/>
      <x:c r="B179" s="19"/>
      <x:c r="C179" s="19"/>
      <x:c r="D179" s="19"/>
      <x:c r="E179" s="19"/>
      <x:c r="F179" s="19"/>
      <x:c r="G179" s="26"/>
      <x:c r="H179" s="19"/>
      <x:c r="I179" s="26"/>
      <x:c r="J179" s="19"/>
      <x:c r="K179" s="26"/>
      <x:c r="L179" s="19"/>
      <x:c r="M179" s="26"/>
      <x:c r="N179" s="19"/>
      <x:c r="O179" s="19"/>
    </x:row>
    <x:row r="180">
      <x:c r="A180" s="19"/>
      <x:c r="B180" s="19"/>
      <x:c r="C180" s="19"/>
      <x:c r="D180" s="19"/>
      <x:c r="E180" s="19"/>
      <x:c r="F180" s="19"/>
      <x:c r="G180" s="26"/>
      <x:c r="H180" s="19"/>
      <x:c r="I180" s="26"/>
      <x:c r="J180" s="19"/>
      <x:c r="K180" s="26"/>
      <x:c r="L180" s="19"/>
      <x:c r="M180" s="26"/>
      <x:c r="N180" s="19"/>
      <x:c r="O180" s="19"/>
    </x:row>
    <x:row r="181">
      <x:c r="A181" s="19"/>
      <x:c r="B181" s="19"/>
      <x:c r="C181" s="19"/>
      <x:c r="D181" s="19"/>
      <x:c r="E181" s="19"/>
      <x:c r="F181" s="19"/>
      <x:c r="G181" s="26"/>
      <x:c r="H181" s="19"/>
      <x:c r="I181" s="26"/>
      <x:c r="J181" s="19"/>
      <x:c r="K181" s="26"/>
      <x:c r="L181" s="19"/>
      <x:c r="M181" s="26"/>
      <x:c r="N181" s="19"/>
      <x:c r="O181" s="19"/>
    </x:row>
    <x:row r="182">
      <x:c r="A182" s="19"/>
      <x:c r="B182" s="19"/>
      <x:c r="C182" s="19"/>
      <x:c r="D182" s="19"/>
      <x:c r="E182" s="19"/>
      <x:c r="F182" s="19"/>
      <x:c r="G182" s="26"/>
      <x:c r="H182" s="19"/>
      <x:c r="I182" s="26"/>
      <x:c r="J182" s="19"/>
      <x:c r="K182" s="26"/>
      <x:c r="L182" s="19"/>
      <x:c r="M182" s="26"/>
      <x:c r="N182" s="19"/>
      <x:c r="O182" s="19"/>
    </x:row>
    <x:row r="183">
      <x:c r="A183" s="19"/>
      <x:c r="B183" s="19"/>
      <x:c r="C183" s="19"/>
      <x:c r="D183" s="19"/>
      <x:c r="E183" s="19"/>
      <x:c r="F183" s="19"/>
      <x:c r="G183" s="26"/>
      <x:c r="H183" s="19"/>
      <x:c r="I183" s="26"/>
      <x:c r="J183" s="19"/>
      <x:c r="K183" s="26"/>
      <x:c r="L183" s="19"/>
      <x:c r="M183" s="26"/>
      <x:c r="N183" s="19"/>
      <x:c r="O183" s="19"/>
    </x:row>
    <x:row r="184">
      <x:c r="A184" s="19"/>
      <x:c r="B184" s="19"/>
      <x:c r="C184" s="19"/>
      <x:c r="D184" s="19"/>
      <x:c r="E184" s="19"/>
      <x:c r="F184" s="19"/>
      <x:c r="G184" s="26"/>
      <x:c r="H184" s="19"/>
      <x:c r="I184" s="26"/>
      <x:c r="J184" s="19"/>
      <x:c r="K184" s="26"/>
      <x:c r="L184" s="19"/>
      <x:c r="M184" s="26"/>
      <x:c r="N184" s="19"/>
      <x:c r="O184" s="19"/>
    </x:row>
    <x:row r="185">
      <x:c r="A185" s="19"/>
      <x:c r="B185" s="19"/>
      <x:c r="C185" s="19"/>
      <x:c r="D185" s="19"/>
      <x:c r="E185" s="19"/>
      <x:c r="F185" s="19"/>
      <x:c r="G185" s="26"/>
      <x:c r="H185" s="19"/>
      <x:c r="I185" s="26"/>
      <x:c r="J185" s="19"/>
      <x:c r="K185" s="26"/>
      <x:c r="L185" s="19"/>
      <x:c r="M185" s="26"/>
      <x:c r="N185" s="19"/>
      <x:c r="O185" s="19"/>
    </x:row>
    <x:row r="186">
      <x:c r="A186" s="19"/>
      <x:c r="B186" s="19"/>
      <x:c r="C186" s="19"/>
      <x:c r="D186" s="19"/>
      <x:c r="E186" s="19"/>
      <x:c r="F186" s="19"/>
      <x:c r="G186" s="26"/>
      <x:c r="H186" s="19"/>
      <x:c r="I186" s="26"/>
      <x:c r="J186" s="19"/>
      <x:c r="K186" s="26"/>
      <x:c r="L186" s="19"/>
      <x:c r="M186" s="26"/>
      <x:c r="N186" s="19"/>
      <x:c r="O186" s="19"/>
    </x:row>
    <x:row r="187">
      <x:c r="A187" s="19"/>
      <x:c r="B187" s="19"/>
      <x:c r="C187" s="19"/>
      <x:c r="D187" s="19"/>
      <x:c r="E187" s="19"/>
      <x:c r="F187" s="19"/>
      <x:c r="G187" s="26"/>
      <x:c r="H187" s="19"/>
      <x:c r="I187" s="26"/>
      <x:c r="J187" s="19"/>
      <x:c r="K187" s="26"/>
      <x:c r="L187" s="19"/>
      <x:c r="M187" s="26"/>
      <x:c r="N187" s="19"/>
      <x:c r="O187" s="19"/>
    </x:row>
    <x:row r="188">
      <x:c r="A188" s="19"/>
      <x:c r="B188" s="19"/>
      <x:c r="C188" s="19"/>
      <x:c r="D188" s="19"/>
      <x:c r="E188" s="19"/>
      <x:c r="F188" s="19"/>
      <x:c r="G188" s="26"/>
      <x:c r="H188" s="19"/>
      <x:c r="I188" s="26"/>
      <x:c r="J188" s="19"/>
      <x:c r="K188" s="26"/>
      <x:c r="L188" s="19"/>
      <x:c r="M188" s="26"/>
      <x:c r="N188" s="19"/>
      <x:c r="O188" s="19"/>
    </x:row>
    <x:row r="189">
      <x:c r="A189" s="19"/>
      <x:c r="B189" s="19"/>
      <x:c r="C189" s="19"/>
      <x:c r="D189" s="19"/>
      <x:c r="E189" s="19"/>
      <x:c r="F189" s="19"/>
      <x:c r="G189" s="26"/>
      <x:c r="H189" s="19"/>
      <x:c r="I189" s="26"/>
      <x:c r="J189" s="19"/>
      <x:c r="K189" s="26"/>
      <x:c r="L189" s="19"/>
      <x:c r="M189" s="26"/>
      <x:c r="N189" s="19"/>
      <x:c r="O189" s="19"/>
    </x:row>
    <x:row r="190">
      <x:c r="A190" s="19"/>
      <x:c r="B190" s="19"/>
      <x:c r="C190" s="19"/>
      <x:c r="D190" s="19"/>
      <x:c r="E190" s="19"/>
      <x:c r="F190" s="19"/>
      <x:c r="G190" s="26"/>
      <x:c r="H190" s="19"/>
      <x:c r="I190" s="26"/>
      <x:c r="J190" s="19"/>
      <x:c r="K190" s="26"/>
      <x:c r="L190" s="19"/>
      <x:c r="M190" s="26"/>
      <x:c r="N190" s="19"/>
      <x:c r="O190" s="19"/>
    </x:row>
    <x:row r="191">
      <x:c r="A191" s="19"/>
      <x:c r="B191" s="19"/>
      <x:c r="C191" s="19"/>
      <x:c r="D191" s="19"/>
      <x:c r="E191" s="19"/>
      <x:c r="F191" s="19"/>
      <x:c r="G191" s="26"/>
      <x:c r="H191" s="19"/>
      <x:c r="I191" s="26"/>
      <x:c r="J191" s="19"/>
      <x:c r="K191" s="26"/>
      <x:c r="L191" s="19"/>
      <x:c r="M191" s="26"/>
      <x:c r="N191" s="19"/>
      <x:c r="O191" s="19"/>
    </x:row>
    <x:row r="192">
      <x:c r="A192" s="19"/>
      <x:c r="B192" s="19"/>
      <x:c r="C192" s="19"/>
      <x:c r="D192" s="19"/>
      <x:c r="E192" s="19"/>
      <x:c r="F192" s="19"/>
      <x:c r="G192" s="26"/>
      <x:c r="H192" s="19"/>
      <x:c r="I192" s="26"/>
      <x:c r="J192" s="19"/>
      <x:c r="K192" s="26"/>
      <x:c r="L192" s="19"/>
      <x:c r="M192" s="26"/>
      <x:c r="N192" s="19"/>
      <x:c r="O192" s="19"/>
    </x:row>
    <x:row r="193">
      <x:c r="A193" s="19"/>
      <x:c r="B193" s="19"/>
      <x:c r="C193" s="19"/>
      <x:c r="D193" s="19"/>
      <x:c r="E193" s="19"/>
      <x:c r="F193" s="19"/>
      <x:c r="G193" s="26"/>
      <x:c r="H193" s="19"/>
      <x:c r="I193" s="26"/>
      <x:c r="J193" s="19"/>
      <x:c r="K193" s="26"/>
      <x:c r="L193" s="19"/>
      <x:c r="M193" s="26"/>
      <x:c r="N193" s="19"/>
      <x:c r="O193" s="19"/>
    </x:row>
    <x:row r="194">
      <x:c r="A194" s="19"/>
      <x:c r="B194" s="19"/>
      <x:c r="C194" s="19"/>
      <x:c r="D194" s="19"/>
      <x:c r="E194" s="19"/>
      <x:c r="F194" s="19"/>
      <x:c r="G194" s="26"/>
      <x:c r="H194" s="19"/>
      <x:c r="I194" s="26"/>
      <x:c r="J194" s="19"/>
      <x:c r="K194" s="26"/>
      <x:c r="L194" s="19"/>
      <x:c r="M194" s="26"/>
      <x:c r="N194" s="19"/>
      <x:c r="O194" s="19"/>
    </x:row>
    <x:row r="195">
      <x:c r="A195" s="19"/>
      <x:c r="B195" s="19"/>
      <x:c r="C195" s="19"/>
      <x:c r="D195" s="19"/>
      <x:c r="E195" s="19"/>
      <x:c r="F195" s="19"/>
      <x:c r="G195" s="26"/>
      <x:c r="H195" s="19"/>
      <x:c r="I195" s="26"/>
      <x:c r="J195" s="19"/>
      <x:c r="K195" s="26"/>
      <x:c r="L195" s="19"/>
      <x:c r="M195" s="26"/>
      <x:c r="N195" s="19"/>
      <x:c r="O195" s="19"/>
    </x:row>
    <x:row r="196">
      <x:c r="A196" s="19"/>
      <x:c r="B196" s="19"/>
      <x:c r="C196" s="19"/>
      <x:c r="D196" s="19"/>
      <x:c r="E196" s="19"/>
      <x:c r="F196" s="19"/>
      <x:c r="G196" s="26"/>
      <x:c r="H196" s="19"/>
      <x:c r="I196" s="26"/>
      <x:c r="J196" s="19"/>
      <x:c r="K196" s="26"/>
      <x:c r="L196" s="19"/>
      <x:c r="M196" s="26"/>
      <x:c r="N196" s="19"/>
      <x:c r="O196" s="19"/>
    </x:row>
    <x:row r="197">
      <x:c r="A197" s="19"/>
      <x:c r="B197" s="19"/>
      <x:c r="C197" s="19"/>
      <x:c r="D197" s="19"/>
      <x:c r="E197" s="19"/>
      <x:c r="F197" s="19"/>
      <x:c r="G197" s="26"/>
      <x:c r="H197" s="19"/>
      <x:c r="I197" s="26"/>
      <x:c r="J197" s="19"/>
      <x:c r="K197" s="26"/>
      <x:c r="L197" s="19"/>
      <x:c r="M197" s="26"/>
      <x:c r="N197" s="19"/>
      <x:c r="O197" s="19"/>
    </x:row>
    <x:row r="198">
      <x:c r="A198" s="19"/>
      <x:c r="B198" s="19"/>
      <x:c r="C198" s="19"/>
      <x:c r="D198" s="19"/>
      <x:c r="E198" s="19"/>
      <x:c r="F198" s="19"/>
      <x:c r="G198" s="26"/>
      <x:c r="H198" s="19"/>
      <x:c r="I198" s="26"/>
      <x:c r="J198" s="19"/>
      <x:c r="K198" s="26"/>
      <x:c r="L198" s="19"/>
      <x:c r="M198" s="26"/>
      <x:c r="N198" s="19"/>
      <x:c r="O198" s="19"/>
    </x:row>
    <x:row r="199">
      <x:c r="A199" s="19"/>
      <x:c r="B199" s="19"/>
      <x:c r="C199" s="19"/>
      <x:c r="D199" s="19"/>
      <x:c r="E199" s="19"/>
      <x:c r="F199" s="19"/>
      <x:c r="G199" s="26"/>
      <x:c r="H199" s="19"/>
      <x:c r="I199" s="26"/>
      <x:c r="J199" s="19"/>
      <x:c r="K199" s="26"/>
      <x:c r="L199" s="19"/>
      <x:c r="M199" s="26"/>
      <x:c r="N199" s="19"/>
      <x:c r="O199" s="19"/>
    </x:row>
    <x:row r="200">
      <x:c r="A200" s="19"/>
      <x:c r="B200" s="19"/>
      <x:c r="C200" s="19"/>
      <x:c r="D200" s="19"/>
      <x:c r="E200" s="19"/>
      <x:c r="F200" s="19"/>
      <x:c r="G200" s="26"/>
      <x:c r="H200" s="19"/>
      <x:c r="I200" s="26"/>
      <x:c r="J200" s="19"/>
      <x:c r="K200" s="26"/>
      <x:c r="L200" s="19"/>
      <x:c r="M200" s="26"/>
      <x:c r="N200" s="19"/>
      <x:c r="O200" s="19"/>
    </x:row>
    <x:row r="201">
      <x:c r="A201" s="19"/>
      <x:c r="B201" s="19"/>
      <x:c r="C201" s="19"/>
      <x:c r="D201" s="19"/>
      <x:c r="E201" s="19"/>
      <x:c r="F201" s="19"/>
      <x:c r="G201" s="26"/>
      <x:c r="H201" s="19"/>
      <x:c r="I201" s="26"/>
      <x:c r="J201" s="19"/>
      <x:c r="K201" s="26"/>
      <x:c r="L201" s="19"/>
      <x:c r="M201" s="26"/>
      <x:c r="N201" s="19"/>
      <x:c r="O201" s="19"/>
    </x:row>
    <x:row r="202">
      <x:c r="A202" s="19"/>
      <x:c r="B202" s="19"/>
      <x:c r="C202" s="19"/>
      <x:c r="D202" s="19"/>
      <x:c r="E202" s="19"/>
      <x:c r="F202" s="19"/>
      <x:c r="G202" s="26"/>
      <x:c r="H202" s="19"/>
      <x:c r="I202" s="26"/>
      <x:c r="J202" s="19"/>
      <x:c r="K202" s="26"/>
      <x:c r="L202" s="19"/>
      <x:c r="M202" s="26"/>
      <x:c r="N202" s="19"/>
      <x:c r="O202" s="19"/>
    </x:row>
    <x:row r="203">
      <x:c r="A203" s="19"/>
      <x:c r="B203" s="19"/>
      <x:c r="C203" s="19"/>
      <x:c r="D203" s="19"/>
      <x:c r="E203" s="19"/>
      <x:c r="F203" s="19"/>
      <x:c r="G203" s="26"/>
      <x:c r="H203" s="19"/>
      <x:c r="I203" s="26"/>
      <x:c r="J203" s="19"/>
      <x:c r="K203" s="26"/>
      <x:c r="L203" s="19"/>
      <x:c r="M203" s="26"/>
      <x:c r="N203" s="19"/>
      <x:c r="O203" s="19"/>
    </x:row>
    <x:row r="204">
      <x:c r="A204" s="19"/>
      <x:c r="B204" s="19"/>
      <x:c r="C204" s="19"/>
      <x:c r="D204" s="19"/>
      <x:c r="E204" s="19"/>
      <x:c r="F204" s="19"/>
      <x:c r="G204" s="26"/>
      <x:c r="H204" s="19"/>
      <x:c r="I204" s="26"/>
      <x:c r="J204" s="19"/>
      <x:c r="K204" s="26"/>
      <x:c r="L204" s="19"/>
      <x:c r="M204" s="26"/>
      <x:c r="N204" s="19"/>
      <x:c r="O204" s="19"/>
    </x:row>
    <x:row r="205">
      <x:c r="A205" s="19"/>
      <x:c r="B205" s="19"/>
      <x:c r="C205" s="19"/>
      <x:c r="D205" s="19"/>
      <x:c r="E205" s="19"/>
      <x:c r="F205" s="19"/>
      <x:c r="G205" s="26"/>
      <x:c r="H205" s="19"/>
      <x:c r="I205" s="26"/>
      <x:c r="J205" s="19"/>
      <x:c r="K205" s="26"/>
      <x:c r="L205" s="19"/>
      <x:c r="M205" s="26"/>
      <x:c r="N205" s="19"/>
      <x:c r="O205" s="19"/>
    </x:row>
    <x:row r="206">
      <x:c r="A206" s="19"/>
      <x:c r="B206" s="19"/>
      <x:c r="C206" s="19"/>
      <x:c r="D206" s="19"/>
      <x:c r="E206" s="19"/>
      <x:c r="F206" s="19"/>
      <x:c r="G206" s="26"/>
      <x:c r="H206" s="19"/>
      <x:c r="I206" s="26"/>
      <x:c r="J206" s="19"/>
      <x:c r="K206" s="26"/>
      <x:c r="L206" s="19"/>
      <x:c r="M206" s="26"/>
      <x:c r="N206" s="19"/>
      <x:c r="O206" s="19"/>
    </x:row>
    <x:row r="207">
      <x:c r="A207" s="19"/>
      <x:c r="B207" s="19"/>
      <x:c r="C207" s="19"/>
      <x:c r="D207" s="19"/>
      <x:c r="E207" s="19"/>
      <x:c r="F207" s="19"/>
      <x:c r="G207" s="26"/>
      <x:c r="H207" s="19"/>
      <x:c r="I207" s="26"/>
      <x:c r="J207" s="19"/>
      <x:c r="K207" s="26"/>
      <x:c r="L207" s="19"/>
      <x:c r="M207" s="26"/>
      <x:c r="N207" s="19"/>
      <x:c r="O207" s="19"/>
    </x:row>
    <x:row r="208">
      <x:c r="A208" s="19"/>
      <x:c r="B208" s="19"/>
      <x:c r="C208" s="19"/>
      <x:c r="D208" s="19"/>
      <x:c r="E208" s="19"/>
      <x:c r="F208" s="19"/>
      <x:c r="G208" s="26"/>
      <x:c r="H208" s="19"/>
      <x:c r="I208" s="26"/>
      <x:c r="J208" s="19"/>
      <x:c r="K208" s="26"/>
      <x:c r="L208" s="19"/>
      <x:c r="M208" s="26"/>
      <x:c r="N208" s="19"/>
      <x:c r="O208" s="19"/>
    </x:row>
    <x:row r="209">
      <x:c r="A209" s="19"/>
      <x:c r="B209" s="19"/>
      <x:c r="C209" s="19"/>
      <x:c r="D209" s="19"/>
      <x:c r="E209" s="19"/>
      <x:c r="F209" s="19"/>
      <x:c r="G209" s="26"/>
      <x:c r="H209" s="19"/>
      <x:c r="I209" s="26"/>
      <x:c r="J209" s="19"/>
      <x:c r="K209" s="26"/>
      <x:c r="L209" s="19"/>
      <x:c r="M209" s="26"/>
      <x:c r="N209" s="19"/>
      <x:c r="O209" s="19"/>
    </x:row>
    <x:row r="210">
      <x:c r="A210" s="19"/>
      <x:c r="B210" s="19"/>
      <x:c r="C210" s="19"/>
      <x:c r="D210" s="19"/>
      <x:c r="E210" s="19"/>
      <x:c r="F210" s="19"/>
      <x:c r="G210" s="26"/>
      <x:c r="H210" s="19"/>
      <x:c r="I210" s="26"/>
      <x:c r="J210" s="19"/>
      <x:c r="K210" s="26"/>
      <x:c r="L210" s="19"/>
      <x:c r="M210" s="26"/>
      <x:c r="N210" s="19"/>
      <x:c r="O210" s="19"/>
    </x:row>
    <x:row r="211">
      <x:c r="A211" s="19"/>
      <x:c r="B211" s="19"/>
      <x:c r="C211" s="19"/>
      <x:c r="D211" s="19"/>
      <x:c r="E211" s="19"/>
      <x:c r="F211" s="19"/>
      <x:c r="G211" s="26"/>
      <x:c r="H211" s="19"/>
      <x:c r="I211" s="26"/>
      <x:c r="J211" s="19"/>
      <x:c r="K211" s="26"/>
      <x:c r="L211" s="19"/>
      <x:c r="M211" s="26"/>
      <x:c r="N211" s="19"/>
      <x:c r="O211" s="19"/>
    </x:row>
    <x:row r="212">
      <x:c r="A212" s="19"/>
      <x:c r="B212" s="19"/>
      <x:c r="C212" s="19"/>
      <x:c r="D212" s="19"/>
      <x:c r="E212" s="19"/>
      <x:c r="F212" s="19"/>
      <x:c r="G212" s="26"/>
      <x:c r="H212" s="19"/>
      <x:c r="I212" s="26"/>
      <x:c r="J212" s="19"/>
      <x:c r="K212" s="26"/>
      <x:c r="L212" s="19"/>
      <x:c r="M212" s="26"/>
      <x:c r="N212" s="19"/>
      <x:c r="O212" s="19"/>
    </x:row>
    <x:row r="213">
      <x:c r="A213" s="19"/>
      <x:c r="B213" s="19"/>
      <x:c r="C213" s="19"/>
      <x:c r="D213" s="19"/>
      <x:c r="E213" s="19"/>
      <x:c r="F213" s="19"/>
      <x:c r="G213" s="26"/>
      <x:c r="H213" s="19"/>
      <x:c r="I213" s="26"/>
      <x:c r="J213" s="19"/>
      <x:c r="K213" s="26"/>
      <x:c r="L213" s="19"/>
      <x:c r="M213" s="26"/>
      <x:c r="N213" s="19"/>
      <x:c r="O213" s="19"/>
    </x:row>
    <x:row r="214">
      <x:c r="A214" s="19"/>
      <x:c r="B214" s="19"/>
      <x:c r="C214" s="19"/>
      <x:c r="D214" s="19"/>
      <x:c r="E214" s="19"/>
      <x:c r="F214" s="19"/>
      <x:c r="G214" s="26"/>
      <x:c r="H214" s="19"/>
      <x:c r="I214" s="26"/>
      <x:c r="J214" s="19"/>
      <x:c r="K214" s="26"/>
      <x:c r="L214" s="19"/>
      <x:c r="M214" s="26"/>
      <x:c r="N214" s="19"/>
      <x:c r="O214" s="19"/>
    </x:row>
    <x:row r="215">
      <x:c r="A215" s="19"/>
      <x:c r="B215" s="19"/>
      <x:c r="C215" s="19"/>
      <x:c r="D215" s="19"/>
      <x:c r="E215" s="19"/>
      <x:c r="F215" s="19"/>
      <x:c r="G215" s="26"/>
      <x:c r="H215" s="19"/>
      <x:c r="I215" s="26"/>
      <x:c r="J215" s="19"/>
      <x:c r="K215" s="26"/>
      <x:c r="L215" s="19"/>
      <x:c r="M215" s="26"/>
      <x:c r="N215" s="19"/>
      <x:c r="O215" s="19"/>
    </x:row>
    <x:row r="216">
      <x:c r="A216" s="19"/>
      <x:c r="B216" s="19"/>
      <x:c r="C216" s="19"/>
      <x:c r="D216" s="19"/>
      <x:c r="E216" s="19"/>
      <x:c r="F216" s="19"/>
      <x:c r="G216" s="26"/>
      <x:c r="H216" s="19"/>
      <x:c r="I216" s="26"/>
      <x:c r="J216" s="19"/>
      <x:c r="K216" s="26"/>
      <x:c r="L216" s="19"/>
      <x:c r="M216" s="26"/>
      <x:c r="N216" s="19"/>
      <x:c r="O216" s="19"/>
    </x:row>
    <x:row r="217">
      <x:c r="A217" s="19"/>
      <x:c r="B217" s="19"/>
      <x:c r="C217" s="19"/>
      <x:c r="D217" s="19"/>
      <x:c r="E217" s="19"/>
      <x:c r="F217" s="19"/>
      <x:c r="G217" s="26"/>
      <x:c r="H217" s="19"/>
      <x:c r="I217" s="26"/>
      <x:c r="J217" s="19"/>
      <x:c r="K217" s="26"/>
      <x:c r="L217" s="19"/>
      <x:c r="M217" s="26"/>
      <x:c r="N217" s="19"/>
      <x:c r="O217" s="19"/>
    </x:row>
    <x:row r="218">
      <x:c r="A218" s="19"/>
      <x:c r="B218" s="19"/>
      <x:c r="C218" s="19"/>
      <x:c r="D218" s="19"/>
      <x:c r="E218" s="19"/>
      <x:c r="F218" s="19"/>
      <x:c r="G218" s="26"/>
      <x:c r="H218" s="19"/>
      <x:c r="I218" s="26"/>
      <x:c r="J218" s="19"/>
      <x:c r="K218" s="26"/>
      <x:c r="L218" s="19"/>
      <x:c r="M218" s="26"/>
      <x:c r="N218" s="19"/>
      <x:c r="O218" s="19"/>
    </x:row>
    <x:row r="219">
      <x:c r="A219" s="19"/>
      <x:c r="B219" s="19"/>
      <x:c r="C219" s="19"/>
      <x:c r="D219" s="19"/>
      <x:c r="E219" s="19"/>
      <x:c r="F219" s="19"/>
      <x:c r="G219" s="26"/>
      <x:c r="H219" s="19"/>
      <x:c r="I219" s="26"/>
      <x:c r="J219" s="19"/>
      <x:c r="K219" s="26"/>
      <x:c r="L219" s="19"/>
      <x:c r="M219" s="26"/>
      <x:c r="N219" s="19"/>
      <x:c r="O219" s="19"/>
    </x:row>
    <x:row r="220">
      <x:c r="A220" s="19"/>
      <x:c r="B220" s="19"/>
      <x:c r="C220" s="19"/>
      <x:c r="D220" s="19"/>
      <x:c r="E220" s="19"/>
      <x:c r="F220" s="19"/>
      <x:c r="G220" s="26"/>
      <x:c r="H220" s="19"/>
      <x:c r="I220" s="26"/>
      <x:c r="J220" s="19"/>
      <x:c r="K220" s="26"/>
      <x:c r="L220" s="19"/>
      <x:c r="M220" s="26"/>
      <x:c r="N220" s="19"/>
      <x:c r="O220" s="19"/>
    </x:row>
    <x:row r="221">
      <x:c r="A221" s="19"/>
      <x:c r="B221" s="19"/>
      <x:c r="C221" s="19"/>
      <x:c r="D221" s="19"/>
      <x:c r="E221" s="19"/>
      <x:c r="F221" s="19"/>
      <x:c r="G221" s="26"/>
      <x:c r="H221" s="19"/>
      <x:c r="I221" s="26"/>
      <x:c r="J221" s="19"/>
      <x:c r="K221" s="26"/>
      <x:c r="L221" s="19"/>
      <x:c r="M221" s="26"/>
      <x:c r="N221" s="19"/>
      <x:c r="O221" s="19"/>
    </x:row>
    <x:row r="222">
      <x:c r="A222" s="19"/>
      <x:c r="B222" s="19"/>
      <x:c r="C222" s="19"/>
      <x:c r="D222" s="19"/>
      <x:c r="E222" s="19"/>
      <x:c r="F222" s="19"/>
      <x:c r="G222" s="26"/>
      <x:c r="H222" s="19"/>
      <x:c r="I222" s="26"/>
      <x:c r="J222" s="19"/>
      <x:c r="K222" s="26"/>
      <x:c r="L222" s="19"/>
      <x:c r="M222" s="26"/>
      <x:c r="N222" s="19"/>
      <x:c r="O222" s="19"/>
    </x:row>
    <x:row r="223">
      <x:c r="A223" s="19"/>
      <x:c r="B223" s="19"/>
      <x:c r="C223" s="19"/>
      <x:c r="D223" s="19"/>
      <x:c r="E223" s="19"/>
      <x:c r="F223" s="19"/>
      <x:c r="G223" s="26"/>
      <x:c r="H223" s="19"/>
      <x:c r="I223" s="26"/>
      <x:c r="J223" s="19"/>
      <x:c r="K223" s="26"/>
      <x:c r="L223" s="19"/>
      <x:c r="M223" s="26"/>
      <x:c r="N223" s="19"/>
      <x:c r="O223" s="19"/>
    </x:row>
    <x:row r="224">
      <x:c r="A224" s="19"/>
      <x:c r="B224" s="19"/>
      <x:c r="C224" s="19"/>
      <x:c r="D224" s="19"/>
      <x:c r="E224" s="19"/>
      <x:c r="F224" s="19"/>
      <x:c r="G224" s="26"/>
      <x:c r="H224" s="19"/>
      <x:c r="I224" s="26"/>
      <x:c r="J224" s="19"/>
      <x:c r="K224" s="26"/>
      <x:c r="L224" s="19"/>
      <x:c r="M224" s="26"/>
      <x:c r="N224" s="19"/>
      <x:c r="O224" s="19"/>
    </x:row>
    <x:row r="225">
      <x:c r="A225" s="19"/>
      <x:c r="B225" s="19"/>
      <x:c r="C225" s="19"/>
      <x:c r="D225" s="19"/>
      <x:c r="E225" s="19"/>
      <x:c r="F225" s="19"/>
      <x:c r="G225" s="26"/>
      <x:c r="H225" s="19"/>
      <x:c r="I225" s="26"/>
      <x:c r="J225" s="19"/>
      <x:c r="K225" s="26"/>
      <x:c r="L225" s="19"/>
      <x:c r="M225" s="26"/>
      <x:c r="N225" s="19"/>
      <x:c r="O225" s="19"/>
    </x:row>
    <x:row r="226">
      <x:c r="A226" s="19"/>
      <x:c r="B226" s="19"/>
      <x:c r="C226" s="19"/>
      <x:c r="D226" s="19"/>
      <x:c r="E226" s="19"/>
      <x:c r="F226" s="19"/>
      <x:c r="G226" s="26"/>
      <x:c r="H226" s="19"/>
      <x:c r="I226" s="26"/>
      <x:c r="J226" s="19"/>
      <x:c r="K226" s="26"/>
      <x:c r="L226" s="19"/>
      <x:c r="M226" s="26"/>
      <x:c r="N226" s="19"/>
      <x:c r="O226" s="19"/>
    </x:row>
    <x:row r="227">
      <x:c r="A227" s="19"/>
      <x:c r="B227" s="19"/>
      <x:c r="C227" s="19"/>
      <x:c r="D227" s="19"/>
      <x:c r="E227" s="19"/>
      <x:c r="F227" s="19"/>
      <x:c r="G227" s="26"/>
      <x:c r="H227" s="19"/>
      <x:c r="I227" s="26"/>
      <x:c r="J227" s="19"/>
      <x:c r="K227" s="26"/>
      <x:c r="L227" s="19"/>
      <x:c r="M227" s="26"/>
      <x:c r="N227" s="19"/>
      <x:c r="O227" s="19"/>
    </x:row>
    <x:row r="228">
      <x:c r="A228" s="19"/>
      <x:c r="B228" s="19"/>
      <x:c r="C228" s="19"/>
      <x:c r="D228" s="19"/>
      <x:c r="E228" s="19"/>
      <x:c r="F228" s="19"/>
      <x:c r="G228" s="26"/>
      <x:c r="H228" s="19"/>
      <x:c r="I228" s="26"/>
      <x:c r="J228" s="19"/>
      <x:c r="K228" s="26"/>
      <x:c r="L228" s="19"/>
      <x:c r="M228" s="26"/>
      <x:c r="N228" s="19"/>
      <x:c r="O228" s="19"/>
    </x:row>
    <x:row r="229">
      <x:c r="A229" s="19"/>
      <x:c r="B229" s="19"/>
      <x:c r="C229" s="19"/>
      <x:c r="D229" s="19"/>
      <x:c r="E229" s="19"/>
      <x:c r="F229" s="19"/>
      <x:c r="G229" s="26"/>
      <x:c r="H229" s="19"/>
      <x:c r="I229" s="26"/>
      <x:c r="J229" s="19"/>
      <x:c r="K229" s="26"/>
      <x:c r="L229" s="19"/>
      <x:c r="M229" s="26"/>
      <x:c r="N229" s="19"/>
      <x:c r="O229" s="19"/>
    </x:row>
    <x:row r="230">
      <x:c r="A230" s="19"/>
      <x:c r="B230" s="19"/>
      <x:c r="C230" s="19"/>
      <x:c r="D230" s="19"/>
      <x:c r="E230" s="19"/>
      <x:c r="F230" s="19"/>
      <x:c r="G230" s="26"/>
      <x:c r="H230" s="19"/>
      <x:c r="I230" s="26"/>
      <x:c r="J230" s="19"/>
      <x:c r="K230" s="26"/>
      <x:c r="L230" s="19"/>
      <x:c r="M230" s="26"/>
      <x:c r="N230" s="19"/>
      <x:c r="O230" s="19"/>
    </x:row>
    <x:row r="231">
      <x:c r="A231" s="19"/>
      <x:c r="B231" s="19"/>
      <x:c r="C231" s="19"/>
      <x:c r="D231" s="19"/>
      <x:c r="E231" s="19"/>
      <x:c r="F231" s="19"/>
      <x:c r="G231" s="26"/>
      <x:c r="H231" s="19"/>
      <x:c r="I231" s="26"/>
      <x:c r="J231" s="19"/>
      <x:c r="K231" s="26"/>
      <x:c r="L231" s="19"/>
      <x:c r="M231" s="26"/>
      <x:c r="N231" s="19"/>
      <x:c r="O231" s="19"/>
    </x:row>
    <x:row r="232">
      <x:c r="A232" s="19"/>
      <x:c r="B232" s="19"/>
      <x:c r="C232" s="19"/>
      <x:c r="D232" s="19"/>
      <x:c r="E232" s="19"/>
      <x:c r="F232" s="19"/>
      <x:c r="G232" s="26"/>
      <x:c r="H232" s="19"/>
      <x:c r="I232" s="26"/>
      <x:c r="J232" s="19"/>
      <x:c r="K232" s="26"/>
      <x:c r="L232" s="19"/>
      <x:c r="M232" s="26"/>
      <x:c r="N232" s="19"/>
      <x:c r="O232" s="19"/>
    </x:row>
    <x:row r="233">
      <x:c r="A233" s="19"/>
      <x:c r="B233" s="19"/>
      <x:c r="C233" s="19"/>
      <x:c r="D233" s="19"/>
      <x:c r="E233" s="19"/>
      <x:c r="F233" s="19"/>
      <x:c r="G233" s="26"/>
      <x:c r="H233" s="19"/>
      <x:c r="I233" s="26"/>
      <x:c r="J233" s="19"/>
      <x:c r="K233" s="26"/>
      <x:c r="L233" s="19"/>
      <x:c r="M233" s="26"/>
      <x:c r="N233" s="19"/>
      <x:c r="O233" s="19"/>
    </x:row>
    <x:row r="234">
      <x:c r="A234" s="19"/>
      <x:c r="B234" s="19"/>
      <x:c r="C234" s="19"/>
      <x:c r="D234" s="19"/>
      <x:c r="E234" s="19"/>
      <x:c r="F234" s="19"/>
      <x:c r="G234" s="26"/>
      <x:c r="H234" s="19"/>
      <x:c r="I234" s="26"/>
      <x:c r="J234" s="19"/>
      <x:c r="K234" s="26"/>
      <x:c r="L234" s="19"/>
      <x:c r="M234" s="26"/>
      <x:c r="N234" s="19"/>
      <x:c r="O234" s="19"/>
    </x:row>
    <x:row r="235">
      <x:c r="A235" s="19"/>
      <x:c r="B235" s="19"/>
      <x:c r="C235" s="19"/>
      <x:c r="D235" s="19"/>
      <x:c r="E235" s="19"/>
      <x:c r="F235" s="19"/>
      <x:c r="G235" s="26"/>
      <x:c r="H235" s="19"/>
      <x:c r="I235" s="26"/>
      <x:c r="J235" s="19"/>
      <x:c r="K235" s="26"/>
      <x:c r="L235" s="19"/>
      <x:c r="M235" s="26"/>
      <x:c r="N235" s="19"/>
      <x:c r="O235" s="19"/>
    </x:row>
    <x:row r="236">
      <x:c r="A236" s="19"/>
      <x:c r="B236" s="19"/>
      <x:c r="C236" s="19"/>
      <x:c r="D236" s="19"/>
      <x:c r="E236" s="19"/>
      <x:c r="F236" s="19"/>
      <x:c r="G236" s="26"/>
      <x:c r="H236" s="19"/>
      <x:c r="I236" s="26"/>
      <x:c r="J236" s="19"/>
      <x:c r="K236" s="26"/>
      <x:c r="L236" s="19"/>
      <x:c r="M236" s="26"/>
      <x:c r="N236" s="19"/>
      <x:c r="O236" s="19"/>
    </x:row>
    <x:row r="237">
      <x:c r="A237" s="19"/>
      <x:c r="B237" s="19"/>
      <x:c r="C237" s="19"/>
      <x:c r="D237" s="19"/>
      <x:c r="E237" s="19"/>
      <x:c r="F237" s="19"/>
      <x:c r="G237" s="26"/>
      <x:c r="H237" s="19"/>
      <x:c r="I237" s="26"/>
      <x:c r="J237" s="19"/>
      <x:c r="K237" s="26"/>
      <x:c r="L237" s="19"/>
      <x:c r="M237" s="26"/>
      <x:c r="N237" s="19"/>
      <x:c r="O237" s="19"/>
    </x:row>
    <x:row r="238">
      <x:c r="A238" s="19"/>
      <x:c r="B238" s="19"/>
      <x:c r="C238" s="19"/>
      <x:c r="D238" s="19"/>
      <x:c r="E238" s="19"/>
      <x:c r="F238" s="19"/>
      <x:c r="G238" s="26"/>
      <x:c r="H238" s="19"/>
      <x:c r="I238" s="26"/>
      <x:c r="J238" s="19"/>
      <x:c r="K238" s="26"/>
      <x:c r="L238" s="19"/>
      <x:c r="M238" s="26"/>
      <x:c r="N238" s="19"/>
      <x:c r="O238" s="19"/>
    </x:row>
    <x:row r="239">
      <x:c r="A239" s="19"/>
      <x:c r="B239" s="19"/>
      <x:c r="C239" s="19"/>
      <x:c r="D239" s="19"/>
      <x:c r="E239" s="19"/>
      <x:c r="F239" s="19"/>
      <x:c r="G239" s="26"/>
      <x:c r="H239" s="19"/>
      <x:c r="I239" s="26"/>
      <x:c r="J239" s="19"/>
      <x:c r="K239" s="26"/>
      <x:c r="L239" s="19"/>
      <x:c r="M239" s="26"/>
      <x:c r="N239" s="19"/>
      <x:c r="O239" s="19"/>
    </x:row>
    <x:row r="240">
      <x:c r="A240" s="19"/>
      <x:c r="B240" s="19"/>
      <x:c r="C240" s="19"/>
      <x:c r="D240" s="19"/>
      <x:c r="E240" s="19"/>
      <x:c r="F240" s="19"/>
      <x:c r="G240" s="26"/>
      <x:c r="H240" s="19"/>
      <x:c r="I240" s="26"/>
      <x:c r="J240" s="19"/>
      <x:c r="K240" s="26"/>
      <x:c r="L240" s="19"/>
      <x:c r="M240" s="26"/>
      <x:c r="N240" s="19"/>
      <x:c r="O240" s="19"/>
    </x:row>
    <x:row r="241">
      <x:c r="A241" s="19"/>
      <x:c r="B241" s="19"/>
      <x:c r="C241" s="19"/>
      <x:c r="D241" s="19"/>
      <x:c r="E241" s="19"/>
      <x:c r="F241" s="19"/>
      <x:c r="G241" s="26"/>
      <x:c r="H241" s="19"/>
      <x:c r="I241" s="26"/>
      <x:c r="J241" s="19"/>
      <x:c r="K241" s="26"/>
      <x:c r="L241" s="19"/>
      <x:c r="M241" s="26"/>
      <x:c r="N241" s="19"/>
      <x:c r="O241" s="19"/>
    </x:row>
    <x:row r="242">
      <x:c r="A242" s="19"/>
      <x:c r="B242" s="19"/>
      <x:c r="C242" s="19"/>
      <x:c r="D242" s="19"/>
      <x:c r="E242" s="19"/>
      <x:c r="F242" s="19"/>
      <x:c r="G242" s="26"/>
      <x:c r="H242" s="19"/>
      <x:c r="I242" s="26"/>
      <x:c r="J242" s="19"/>
      <x:c r="K242" s="26"/>
      <x:c r="L242" s="19"/>
      <x:c r="M242" s="26"/>
      <x:c r="N242" s="19"/>
      <x:c r="O242" s="19"/>
    </x:row>
    <x:row r="243">
      <x:c r="A243" s="19"/>
      <x:c r="B243" s="19"/>
      <x:c r="C243" s="19"/>
      <x:c r="D243" s="19"/>
      <x:c r="E243" s="19"/>
      <x:c r="F243" s="19"/>
      <x:c r="G243" s="26"/>
      <x:c r="H243" s="19"/>
      <x:c r="I243" s="26"/>
      <x:c r="J243" s="19"/>
      <x:c r="K243" s="26"/>
      <x:c r="L243" s="19"/>
      <x:c r="M243" s="26"/>
      <x:c r="N243" s="19"/>
      <x:c r="O243" s="19"/>
    </x:row>
    <x:row r="244">
      <x:c r="A244" s="19"/>
      <x:c r="B244" s="19"/>
      <x:c r="C244" s="19"/>
      <x:c r="D244" s="19"/>
      <x:c r="E244" s="19"/>
      <x:c r="F244" s="19"/>
      <x:c r="G244" s="26"/>
      <x:c r="H244" s="19"/>
      <x:c r="I244" s="26"/>
      <x:c r="J244" s="19"/>
      <x:c r="K244" s="26"/>
      <x:c r="L244" s="19"/>
      <x:c r="M244" s="26"/>
      <x:c r="N244" s="19"/>
      <x:c r="O244" s="19"/>
    </x:row>
    <x:row r="245">
      <x:c r="A245" s="19"/>
      <x:c r="B245" s="19"/>
      <x:c r="C245" s="19"/>
      <x:c r="D245" s="19"/>
      <x:c r="E245" s="19"/>
      <x:c r="F245" s="19"/>
      <x:c r="G245" s="26"/>
      <x:c r="H245" s="19"/>
      <x:c r="I245" s="26"/>
      <x:c r="J245" s="19"/>
      <x:c r="K245" s="26"/>
      <x:c r="L245" s="19"/>
      <x:c r="M245" s="26"/>
      <x:c r="N245" s="19"/>
      <x:c r="O245" s="19"/>
    </x:row>
    <x:row r="246">
      <x:c r="A246" s="19"/>
      <x:c r="B246" s="19"/>
      <x:c r="C246" s="19"/>
      <x:c r="D246" s="19"/>
      <x:c r="E246" s="19"/>
      <x:c r="F246" s="19"/>
      <x:c r="G246" s="26"/>
      <x:c r="H246" s="19"/>
      <x:c r="I246" s="26"/>
      <x:c r="J246" s="19"/>
      <x:c r="K246" s="26"/>
      <x:c r="L246" s="19"/>
      <x:c r="M246" s="26"/>
      <x:c r="N246" s="19"/>
      <x:c r="O246" s="19"/>
    </x:row>
    <x:row r="247">
      <x:c r="A247" s="19"/>
      <x:c r="B247" s="19"/>
      <x:c r="C247" s="19"/>
      <x:c r="D247" s="19"/>
      <x:c r="E247" s="19"/>
      <x:c r="F247" s="19"/>
      <x:c r="G247" s="26"/>
      <x:c r="H247" s="19"/>
      <x:c r="I247" s="26"/>
      <x:c r="J247" s="19"/>
      <x:c r="K247" s="26"/>
      <x:c r="L247" s="19"/>
      <x:c r="M247" s="26"/>
      <x:c r="N247" s="19"/>
      <x:c r="O247" s="19"/>
    </x:row>
    <x:row r="248">
      <x:c r="A248" s="19"/>
      <x:c r="B248" s="19"/>
      <x:c r="C248" s="19"/>
      <x:c r="D248" s="19"/>
      <x:c r="E248" s="19"/>
      <x:c r="F248" s="19"/>
      <x:c r="G248" s="26"/>
      <x:c r="H248" s="19"/>
      <x:c r="I248" s="26"/>
      <x:c r="J248" s="19"/>
      <x:c r="K248" s="26"/>
      <x:c r="L248" s="19"/>
      <x:c r="M248" s="26"/>
      <x:c r="N248" s="19"/>
      <x:c r="O248" s="19"/>
    </x:row>
    <x:row r="249">
      <x:c r="A249" s="19"/>
      <x:c r="B249" s="19"/>
      <x:c r="C249" s="19"/>
      <x:c r="D249" s="19"/>
      <x:c r="E249" s="19"/>
      <x:c r="F249" s="19"/>
      <x:c r="G249" s="26"/>
      <x:c r="H249" s="19"/>
      <x:c r="I249" s="26"/>
      <x:c r="J249" s="19"/>
      <x:c r="K249" s="26"/>
      <x:c r="L249" s="19"/>
      <x:c r="M249" s="26"/>
      <x:c r="N249" s="19"/>
      <x:c r="O249" s="19"/>
    </x:row>
    <x:row r="250">
      <x:c r="A250" s="19"/>
      <x:c r="B250" s="19"/>
      <x:c r="C250" s="19"/>
      <x:c r="D250" s="19"/>
      <x:c r="E250" s="19"/>
      <x:c r="F250" s="19"/>
      <x:c r="G250" s="26"/>
      <x:c r="H250" s="19"/>
      <x:c r="I250" s="26"/>
      <x:c r="J250" s="19"/>
      <x:c r="K250" s="26"/>
      <x:c r="L250" s="19"/>
      <x:c r="M250" s="26"/>
      <x:c r="N250" s="19"/>
      <x:c r="O250" s="19"/>
    </x:row>
    <x:row r="251">
      <x:c r="A251" s="19"/>
      <x:c r="B251" s="19"/>
      <x:c r="C251" s="19"/>
      <x:c r="D251" s="19"/>
      <x:c r="E251" s="19"/>
      <x:c r="F251" s="19"/>
      <x:c r="G251" s="26"/>
      <x:c r="H251" s="19"/>
      <x:c r="I251" s="26"/>
      <x:c r="J251" s="19"/>
      <x:c r="K251" s="26"/>
      <x:c r="L251" s="19"/>
      <x:c r="M251" s="26"/>
      <x:c r="N251" s="19"/>
      <x:c r="O251" s="19"/>
    </x:row>
    <x:row r="252">
      <x:c r="A252" s="19"/>
      <x:c r="B252" s="19"/>
      <x:c r="C252" s="19"/>
      <x:c r="D252" s="19"/>
      <x:c r="E252" s="19"/>
      <x:c r="F252" s="19"/>
      <x:c r="G252" s="26"/>
      <x:c r="H252" s="19"/>
      <x:c r="I252" s="26"/>
      <x:c r="J252" s="19"/>
      <x:c r="K252" s="26"/>
      <x:c r="L252" s="19"/>
      <x:c r="M252" s="26"/>
      <x:c r="N252" s="19"/>
      <x:c r="O252" s="19"/>
    </x:row>
    <x:row r="253">
      <x:c r="A253" s="19"/>
      <x:c r="B253" s="19"/>
      <x:c r="C253" s="19"/>
      <x:c r="D253" s="19"/>
      <x:c r="E253" s="19"/>
      <x:c r="F253" s="19"/>
      <x:c r="G253" s="26"/>
      <x:c r="H253" s="19"/>
      <x:c r="I253" s="26"/>
      <x:c r="J253" s="19"/>
      <x:c r="K253" s="26"/>
      <x:c r="L253" s="19"/>
      <x:c r="M253" s="26"/>
      <x:c r="N253" s="19"/>
      <x:c r="O253" s="19"/>
    </x:row>
    <x:row r="254">
      <x:c r="A254" s="19"/>
      <x:c r="B254" s="19"/>
      <x:c r="C254" s="19"/>
      <x:c r="D254" s="19"/>
      <x:c r="E254" s="19"/>
      <x:c r="F254" s="19"/>
      <x:c r="G254" s="26"/>
      <x:c r="H254" s="19"/>
      <x:c r="I254" s="26"/>
      <x:c r="J254" s="19"/>
      <x:c r="K254" s="26"/>
      <x:c r="L254" s="19"/>
      <x:c r="M254" s="26"/>
      <x:c r="N254" s="19"/>
      <x:c r="O254" s="19"/>
    </x:row>
    <x:row r="255">
      <x:c r="A255" s="19"/>
      <x:c r="B255" s="19"/>
      <x:c r="C255" s="19"/>
      <x:c r="D255" s="19"/>
      <x:c r="E255" s="19"/>
      <x:c r="F255" s="19"/>
      <x:c r="G255" s="26"/>
      <x:c r="H255" s="19"/>
      <x:c r="I255" s="26"/>
      <x:c r="J255" s="19"/>
      <x:c r="K255" s="26"/>
      <x:c r="L255" s="19"/>
      <x:c r="M255" s="26"/>
      <x:c r="N255" s="19"/>
      <x:c r="O255" s="19"/>
    </x:row>
    <x:row r="256">
      <x:c r="A256" s="19"/>
      <x:c r="B256" s="19"/>
      <x:c r="C256" s="19"/>
      <x:c r="D256" s="19"/>
      <x:c r="E256" s="19"/>
      <x:c r="F256" s="19"/>
      <x:c r="G256" s="26"/>
      <x:c r="H256" s="19"/>
      <x:c r="I256" s="26"/>
      <x:c r="J256" s="19"/>
      <x:c r="K256" s="26"/>
      <x:c r="L256" s="19"/>
      <x:c r="M256" s="26"/>
      <x:c r="N256" s="19"/>
      <x:c r="O256" s="19"/>
    </x:row>
    <x:row r="257">
      <x:c r="A257" s="19"/>
      <x:c r="B257" s="19"/>
      <x:c r="C257" s="19"/>
      <x:c r="D257" s="19"/>
      <x:c r="E257" s="19"/>
      <x:c r="F257" s="19"/>
      <x:c r="G257" s="26"/>
      <x:c r="H257" s="19"/>
      <x:c r="I257" s="26"/>
      <x:c r="J257" s="19"/>
      <x:c r="K257" s="26"/>
      <x:c r="L257" s="19"/>
      <x:c r="M257" s="26"/>
      <x:c r="N257" s="19"/>
      <x:c r="O257" s="19"/>
    </x:row>
    <x:row r="258">
      <x:c r="A258" s="19"/>
      <x:c r="B258" s="19"/>
      <x:c r="C258" s="19"/>
      <x:c r="D258" s="19"/>
      <x:c r="E258" s="19"/>
      <x:c r="F258" s="19"/>
      <x:c r="G258" s="26"/>
      <x:c r="H258" s="19"/>
      <x:c r="I258" s="26"/>
      <x:c r="J258" s="19"/>
      <x:c r="K258" s="26"/>
      <x:c r="L258" s="19"/>
      <x:c r="M258" s="26"/>
      <x:c r="N258" s="19"/>
      <x:c r="O258" s="19"/>
    </x:row>
    <x:row r="259">
      <x:c r="A259" s="19"/>
      <x:c r="B259" s="19"/>
      <x:c r="C259" s="19"/>
      <x:c r="D259" s="19"/>
      <x:c r="E259" s="19"/>
      <x:c r="F259" s="19"/>
      <x:c r="G259" s="26"/>
      <x:c r="H259" s="19"/>
      <x:c r="I259" s="26"/>
      <x:c r="J259" s="19"/>
      <x:c r="K259" s="26"/>
      <x:c r="L259" s="19"/>
      <x:c r="M259" s="26"/>
      <x:c r="N259" s="19"/>
      <x:c r="O259" s="19"/>
    </x:row>
    <x:row r="260">
      <x:c r="A260" s="19"/>
      <x:c r="B260" s="19"/>
      <x:c r="C260" s="19"/>
      <x:c r="D260" s="19"/>
      <x:c r="E260" s="19"/>
      <x:c r="F260" s="19"/>
      <x:c r="G260" s="26"/>
      <x:c r="H260" s="19"/>
      <x:c r="I260" s="26"/>
      <x:c r="J260" s="19"/>
      <x:c r="K260" s="26"/>
      <x:c r="L260" s="19"/>
      <x:c r="M260" s="26"/>
      <x:c r="N260" s="19"/>
      <x:c r="O260" s="19"/>
    </x:row>
    <x:row r="261">
      <x:c r="A261" s="19"/>
      <x:c r="B261" s="19"/>
      <x:c r="C261" s="19"/>
      <x:c r="D261" s="19"/>
      <x:c r="E261" s="19"/>
      <x:c r="F261" s="19"/>
      <x:c r="G261" s="26"/>
      <x:c r="H261" s="19"/>
      <x:c r="I261" s="26"/>
      <x:c r="J261" s="19"/>
      <x:c r="K261" s="26"/>
      <x:c r="L261" s="19"/>
      <x:c r="M261" s="26"/>
      <x:c r="N261" s="19"/>
      <x:c r="O261" s="19"/>
    </x:row>
    <x:row r="262">
      <x:c r="A262" s="19"/>
      <x:c r="B262" s="19"/>
      <x:c r="C262" s="19"/>
      <x:c r="D262" s="19"/>
      <x:c r="E262" s="19"/>
      <x:c r="F262" s="19"/>
      <x:c r="G262" s="26"/>
      <x:c r="H262" s="19"/>
      <x:c r="I262" s="26"/>
      <x:c r="J262" s="19"/>
      <x:c r="K262" s="26"/>
      <x:c r="L262" s="19"/>
      <x:c r="M262" s="26"/>
      <x:c r="N262" s="19"/>
      <x:c r="O262" s="19"/>
    </x:row>
    <x:row r="263">
      <x:c r="A263" s="19"/>
      <x:c r="B263" s="19"/>
      <x:c r="C263" s="19"/>
      <x:c r="D263" s="19"/>
      <x:c r="E263" s="19"/>
      <x:c r="F263" s="19"/>
      <x:c r="G263" s="26"/>
      <x:c r="H263" s="19"/>
      <x:c r="I263" s="26"/>
      <x:c r="J263" s="19"/>
      <x:c r="K263" s="26"/>
      <x:c r="L263" s="19"/>
      <x:c r="M263" s="26"/>
      <x:c r="N263" s="19"/>
      <x:c r="O263" s="19"/>
    </x:row>
    <x:row r="264">
      <x:c r="A264" s="19"/>
      <x:c r="B264" s="19"/>
      <x:c r="C264" s="19"/>
      <x:c r="D264" s="19"/>
      <x:c r="E264" s="19"/>
      <x:c r="F264" s="19"/>
      <x:c r="G264" s="26"/>
      <x:c r="H264" s="19"/>
      <x:c r="I264" s="26"/>
      <x:c r="J264" s="19"/>
      <x:c r="K264" s="26"/>
      <x:c r="L264" s="19"/>
      <x:c r="M264" s="26"/>
      <x:c r="N264" s="19"/>
      <x:c r="O264" s="19"/>
    </x:row>
    <x:row r="265">
      <x:c r="A265" s="19"/>
      <x:c r="B265" s="19"/>
      <x:c r="C265" s="19"/>
      <x:c r="D265" s="19"/>
      <x:c r="E265" s="19"/>
      <x:c r="F265" s="19"/>
      <x:c r="G265" s="26"/>
      <x:c r="H265" s="19"/>
      <x:c r="I265" s="26"/>
      <x:c r="J265" s="19"/>
      <x:c r="K265" s="26"/>
      <x:c r="L265" s="19"/>
      <x:c r="M265" s="26"/>
      <x:c r="N265" s="19"/>
      <x:c r="O265" s="19"/>
    </x:row>
    <x:row r="266">
      <x:c r="A266" s="19"/>
      <x:c r="B266" s="19"/>
      <x:c r="C266" s="19"/>
      <x:c r="D266" s="19"/>
      <x:c r="E266" s="19"/>
      <x:c r="F266" s="19"/>
      <x:c r="G266" s="26"/>
      <x:c r="H266" s="19"/>
      <x:c r="I266" s="26"/>
      <x:c r="J266" s="19"/>
      <x:c r="K266" s="26"/>
      <x:c r="L266" s="19"/>
      <x:c r="M266" s="26"/>
      <x:c r="N266" s="19"/>
      <x:c r="O266" s="19"/>
    </x:row>
    <x:row r="267">
      <x:c r="A267" s="19"/>
      <x:c r="B267" s="19"/>
      <x:c r="C267" s="19"/>
      <x:c r="D267" s="19"/>
      <x:c r="E267" s="19"/>
      <x:c r="F267" s="19"/>
      <x:c r="G267" s="26"/>
      <x:c r="H267" s="19"/>
      <x:c r="I267" s="26"/>
      <x:c r="J267" s="19"/>
      <x:c r="K267" s="26"/>
      <x:c r="L267" s="19"/>
      <x:c r="M267" s="26"/>
      <x:c r="N267" s="19"/>
      <x:c r="O267" s="19"/>
    </x:row>
    <x:row r="268">
      <x:c r="A268" s="19"/>
      <x:c r="B268" s="19"/>
      <x:c r="C268" s="19"/>
      <x:c r="D268" s="19"/>
      <x:c r="E268" s="19"/>
      <x:c r="F268" s="19"/>
      <x:c r="G268" s="26"/>
      <x:c r="H268" s="19"/>
      <x:c r="I268" s="26"/>
      <x:c r="J268" s="19"/>
      <x:c r="K268" s="26"/>
      <x:c r="L268" s="19"/>
      <x:c r="M268" s="26"/>
      <x:c r="N268" s="19"/>
      <x:c r="O268" s="19"/>
    </x:row>
    <x:row r="269">
      <x:c r="A269" s="19"/>
      <x:c r="B269" s="19"/>
      <x:c r="C269" s="19"/>
      <x:c r="D269" s="19"/>
      <x:c r="E269" s="19"/>
      <x:c r="F269" s="19"/>
      <x:c r="G269" s="26"/>
      <x:c r="H269" s="19"/>
      <x:c r="I269" s="26"/>
      <x:c r="J269" s="19"/>
      <x:c r="K269" s="26"/>
      <x:c r="L269" s="19"/>
      <x:c r="M269" s="26"/>
      <x:c r="N269" s="19"/>
      <x:c r="O269" s="19"/>
    </x:row>
    <x:row r="270">
      <x:c r="A270" s="19"/>
      <x:c r="B270" s="19"/>
      <x:c r="C270" s="19"/>
      <x:c r="D270" s="19"/>
      <x:c r="E270" s="19"/>
      <x:c r="F270" s="19"/>
      <x:c r="G270" s="26"/>
      <x:c r="H270" s="19"/>
      <x:c r="I270" s="26"/>
      <x:c r="J270" s="19"/>
      <x:c r="K270" s="26"/>
      <x:c r="L270" s="19"/>
      <x:c r="M270" s="26"/>
      <x:c r="N270" s="19"/>
      <x:c r="O270" s="19"/>
    </x:row>
    <x:row r="271">
      <x:c r="A271" s="19"/>
      <x:c r="B271" s="19"/>
      <x:c r="C271" s="19"/>
      <x:c r="D271" s="19"/>
      <x:c r="E271" s="19"/>
      <x:c r="F271" s="19"/>
      <x:c r="G271" s="26"/>
      <x:c r="H271" s="19"/>
      <x:c r="I271" s="26"/>
      <x:c r="J271" s="19"/>
      <x:c r="K271" s="26"/>
      <x:c r="L271" s="19"/>
      <x:c r="M271" s="26"/>
      <x:c r="N271" s="19"/>
      <x:c r="O271" s="19"/>
    </x:row>
    <x:row r="272">
      <x:c r="A272" s="19"/>
      <x:c r="B272" s="19"/>
      <x:c r="C272" s="19"/>
      <x:c r="D272" s="19"/>
      <x:c r="E272" s="19"/>
      <x:c r="F272" s="19"/>
      <x:c r="G272" s="26"/>
      <x:c r="H272" s="19"/>
      <x:c r="I272" s="26"/>
      <x:c r="J272" s="19"/>
      <x:c r="K272" s="26"/>
      <x:c r="L272" s="19"/>
      <x:c r="M272" s="26"/>
      <x:c r="N272" s="19"/>
      <x:c r="O272" s="19"/>
    </x:row>
    <x:row r="273">
      <x:c r="A273" s="19"/>
      <x:c r="B273" s="19"/>
      <x:c r="C273" s="19"/>
      <x:c r="D273" s="19"/>
      <x:c r="E273" s="19"/>
      <x:c r="F273" s="19"/>
      <x:c r="G273" s="26"/>
      <x:c r="H273" s="19"/>
      <x:c r="I273" s="26"/>
      <x:c r="J273" s="19"/>
      <x:c r="K273" s="26"/>
      <x:c r="L273" s="19"/>
      <x:c r="M273" s="26"/>
      <x:c r="N273" s="19"/>
      <x:c r="O273" s="19"/>
    </x:row>
    <x:row r="274">
      <x:c r="A274" s="19"/>
      <x:c r="B274" s="19"/>
      <x:c r="C274" s="19"/>
      <x:c r="D274" s="19"/>
      <x:c r="E274" s="19"/>
      <x:c r="F274" s="19"/>
      <x:c r="G274" s="26"/>
      <x:c r="H274" s="19"/>
      <x:c r="I274" s="26"/>
      <x:c r="J274" s="19"/>
      <x:c r="K274" s="26"/>
      <x:c r="L274" s="19"/>
      <x:c r="M274" s="26"/>
      <x:c r="N274" s="19"/>
      <x:c r="O274" s="19"/>
    </x:row>
    <x:row r="275">
      <x:c r="A275" s="19"/>
      <x:c r="B275" s="19"/>
      <x:c r="C275" s="19"/>
      <x:c r="D275" s="19"/>
      <x:c r="E275" s="19"/>
      <x:c r="F275" s="19"/>
      <x:c r="G275" s="26"/>
      <x:c r="H275" s="19"/>
      <x:c r="I275" s="26"/>
      <x:c r="J275" s="19"/>
      <x:c r="K275" s="26"/>
      <x:c r="L275" s="19"/>
      <x:c r="M275" s="26"/>
      <x:c r="N275" s="19"/>
      <x:c r="O275" s="19"/>
    </x:row>
    <x:row r="276">
      <x:c r="A276" s="19"/>
      <x:c r="B276" s="19"/>
      <x:c r="C276" s="19"/>
      <x:c r="D276" s="19"/>
      <x:c r="E276" s="19"/>
      <x:c r="F276" s="19"/>
      <x:c r="G276" s="26"/>
      <x:c r="H276" s="19"/>
      <x:c r="I276" s="26"/>
      <x:c r="J276" s="19"/>
      <x:c r="K276" s="26"/>
      <x:c r="L276" s="19"/>
      <x:c r="M276" s="26"/>
      <x:c r="N276" s="19"/>
      <x:c r="O276" s="19"/>
    </x:row>
    <x:row r="277">
      <x:c r="A277" s="19"/>
      <x:c r="B277" s="19"/>
      <x:c r="C277" s="19"/>
      <x:c r="D277" s="19"/>
      <x:c r="E277" s="19"/>
      <x:c r="F277" s="19"/>
      <x:c r="G277" s="26"/>
      <x:c r="H277" s="19"/>
      <x:c r="I277" s="26"/>
      <x:c r="J277" s="19"/>
      <x:c r="K277" s="26"/>
      <x:c r="L277" s="19"/>
      <x:c r="M277" s="26"/>
      <x:c r="N277" s="19"/>
      <x:c r="O277" s="19"/>
    </x:row>
    <x:row r="278">
      <x:c r="A278" s="19"/>
      <x:c r="B278" s="19"/>
      <x:c r="C278" s="19"/>
      <x:c r="D278" s="19"/>
      <x:c r="E278" s="19"/>
      <x:c r="F278" s="19"/>
      <x:c r="G278" s="26"/>
      <x:c r="H278" s="19"/>
      <x:c r="I278" s="26"/>
      <x:c r="J278" s="19"/>
      <x:c r="K278" s="26"/>
      <x:c r="L278" s="19"/>
      <x:c r="M278" s="26"/>
      <x:c r="N278" s="19"/>
      <x:c r="O278" s="19"/>
    </x:row>
    <x:row r="279">
      <x:c r="A279" s="19"/>
      <x:c r="B279" s="19"/>
      <x:c r="C279" s="19"/>
      <x:c r="D279" s="19"/>
      <x:c r="E279" s="19"/>
      <x:c r="F279" s="19"/>
      <x:c r="G279" s="26"/>
      <x:c r="H279" s="19"/>
      <x:c r="I279" s="26"/>
      <x:c r="J279" s="19"/>
      <x:c r="K279" s="26"/>
      <x:c r="L279" s="19"/>
      <x:c r="M279" s="26"/>
      <x:c r="N279" s="19"/>
      <x:c r="O279" s="19"/>
    </x:row>
    <x:row r="280">
      <x:c r="A280" s="19"/>
      <x:c r="B280" s="19"/>
      <x:c r="C280" s="19"/>
      <x:c r="D280" s="19"/>
      <x:c r="E280" s="19"/>
      <x:c r="F280" s="19"/>
      <x:c r="G280" s="26"/>
      <x:c r="H280" s="19"/>
      <x:c r="I280" s="26"/>
      <x:c r="J280" s="19"/>
      <x:c r="K280" s="26"/>
      <x:c r="L280" s="19"/>
      <x:c r="M280" s="26"/>
      <x:c r="N280" s="19"/>
      <x:c r="O280" s="19"/>
    </x:row>
    <x:row r="281">
      <x:c r="A281" s="19"/>
      <x:c r="B281" s="19"/>
      <x:c r="C281" s="19"/>
      <x:c r="D281" s="19"/>
      <x:c r="E281" s="19"/>
      <x:c r="F281" s="19"/>
      <x:c r="G281" s="26"/>
      <x:c r="H281" s="19"/>
      <x:c r="I281" s="26"/>
      <x:c r="J281" s="19"/>
      <x:c r="K281" s="26"/>
      <x:c r="L281" s="19"/>
      <x:c r="M281" s="26"/>
      <x:c r="N281" s="19"/>
      <x:c r="O281" s="19"/>
    </x:row>
    <x:row r="282">
      <x:c r="A282" s="19"/>
      <x:c r="B282" s="19"/>
      <x:c r="C282" s="19"/>
      <x:c r="D282" s="19"/>
      <x:c r="E282" s="19"/>
      <x:c r="F282" s="19"/>
      <x:c r="G282" s="26"/>
      <x:c r="H282" s="19"/>
      <x:c r="I282" s="26"/>
      <x:c r="J282" s="19"/>
      <x:c r="K282" s="26"/>
      <x:c r="L282" s="19"/>
      <x:c r="M282" s="26"/>
      <x:c r="N282" s="19"/>
      <x:c r="O282" s="19"/>
    </x:row>
    <x:row r="283">
      <x:c r="A283" s="19"/>
      <x:c r="B283" s="19"/>
      <x:c r="C283" s="19"/>
      <x:c r="D283" s="19"/>
      <x:c r="E283" s="19"/>
      <x:c r="F283" s="19"/>
      <x:c r="G283" s="26"/>
      <x:c r="H283" s="19"/>
      <x:c r="I283" s="26"/>
      <x:c r="J283" s="19"/>
      <x:c r="K283" s="26"/>
      <x:c r="L283" s="19"/>
      <x:c r="M283" s="26"/>
      <x:c r="N283" s="19"/>
      <x:c r="O283" s="19"/>
    </x:row>
    <x:row r="284">
      <x:c r="A284" s="19"/>
      <x:c r="B284" s="19"/>
      <x:c r="C284" s="19"/>
      <x:c r="D284" s="19"/>
      <x:c r="E284" s="19"/>
      <x:c r="F284" s="19"/>
      <x:c r="G284" s="26"/>
      <x:c r="H284" s="19"/>
      <x:c r="I284" s="26"/>
      <x:c r="J284" s="19"/>
      <x:c r="K284" s="26"/>
      <x:c r="L284" s="19"/>
      <x:c r="M284" s="26"/>
      <x:c r="N284" s="19"/>
      <x:c r="O284" s="19"/>
    </x:row>
    <x:row r="285">
      <x:c r="A285" s="19"/>
      <x:c r="B285" s="19"/>
      <x:c r="C285" s="19"/>
      <x:c r="D285" s="19"/>
      <x:c r="E285" s="19"/>
      <x:c r="F285" s="19"/>
      <x:c r="G285" s="26"/>
      <x:c r="H285" s="19"/>
      <x:c r="I285" s="26"/>
      <x:c r="J285" s="19"/>
      <x:c r="K285" s="26"/>
      <x:c r="L285" s="19"/>
      <x:c r="M285" s="26"/>
      <x:c r="N285" s="19"/>
      <x:c r="O285" s="19"/>
    </x:row>
    <x:row r="286">
      <x:c r="A286" s="19"/>
      <x:c r="B286" s="19"/>
      <x:c r="C286" s="19"/>
      <x:c r="D286" s="19"/>
      <x:c r="E286" s="19"/>
      <x:c r="F286" s="19"/>
      <x:c r="G286" s="26"/>
      <x:c r="H286" s="19"/>
      <x:c r="I286" s="26"/>
      <x:c r="J286" s="19"/>
      <x:c r="K286" s="26"/>
      <x:c r="L286" s="19"/>
      <x:c r="M286" s="26"/>
      <x:c r="N286" s="19"/>
      <x:c r="O286" s="19"/>
    </x:row>
    <x:row r="287">
      <x:c r="A287" s="19"/>
      <x:c r="B287" s="19"/>
      <x:c r="C287" s="19"/>
      <x:c r="D287" s="19"/>
      <x:c r="E287" s="19"/>
      <x:c r="F287" s="19"/>
      <x:c r="G287" s="26"/>
      <x:c r="H287" s="19"/>
      <x:c r="I287" s="26"/>
      <x:c r="J287" s="19"/>
      <x:c r="K287" s="26"/>
      <x:c r="L287" s="19"/>
      <x:c r="M287" s="26"/>
      <x:c r="N287" s="19"/>
      <x:c r="O287" s="19"/>
    </x:row>
    <x:row r="288">
      <x:c r="A288" s="19"/>
      <x:c r="B288" s="19"/>
      <x:c r="C288" s="19"/>
      <x:c r="D288" s="19"/>
      <x:c r="E288" s="19"/>
      <x:c r="F288" s="19"/>
      <x:c r="G288" s="26"/>
      <x:c r="H288" s="19"/>
      <x:c r="I288" s="26"/>
      <x:c r="J288" s="19"/>
      <x:c r="K288" s="26"/>
      <x:c r="L288" s="19"/>
      <x:c r="M288" s="26"/>
      <x:c r="N288" s="19"/>
      <x:c r="O288" s="19"/>
    </x:row>
    <x:row r="289">
      <x:c r="A289" s="19"/>
      <x:c r="B289" s="19"/>
      <x:c r="C289" s="19"/>
      <x:c r="D289" s="19"/>
      <x:c r="E289" s="19"/>
      <x:c r="F289" s="19"/>
      <x:c r="G289" s="26"/>
      <x:c r="H289" s="19"/>
      <x:c r="I289" s="26"/>
      <x:c r="J289" s="19"/>
      <x:c r="K289" s="26"/>
      <x:c r="L289" s="19"/>
      <x:c r="M289" s="26"/>
      <x:c r="N289" s="19"/>
      <x:c r="O289" s="19"/>
    </x:row>
    <x:row r="290">
      <x:c r="A290" s="19"/>
      <x:c r="B290" s="19"/>
      <x:c r="C290" s="19"/>
      <x:c r="D290" s="19"/>
      <x:c r="E290" s="19"/>
      <x:c r="F290" s="19"/>
      <x:c r="G290" s="26"/>
      <x:c r="H290" s="19"/>
      <x:c r="I290" s="26"/>
      <x:c r="J290" s="19"/>
      <x:c r="K290" s="26"/>
      <x:c r="L290" s="19"/>
      <x:c r="M290" s="26"/>
      <x:c r="N290" s="19"/>
      <x:c r="O290" s="19"/>
    </x:row>
    <x:row r="291">
      <x:c r="A291" s="19"/>
      <x:c r="B291" s="19"/>
      <x:c r="C291" s="19"/>
      <x:c r="D291" s="19"/>
      <x:c r="E291" s="19"/>
      <x:c r="F291" s="19"/>
      <x:c r="G291" s="26"/>
      <x:c r="H291" s="19"/>
      <x:c r="I291" s="26"/>
      <x:c r="J291" s="19"/>
      <x:c r="K291" s="26"/>
      <x:c r="L291" s="19"/>
      <x:c r="M291" s="26"/>
      <x:c r="N291" s="19"/>
      <x:c r="O291" s="19"/>
    </x:row>
    <x:row r="292">
      <x:c r="A292" s="19"/>
      <x:c r="B292" s="19"/>
      <x:c r="C292" s="19"/>
      <x:c r="D292" s="19"/>
      <x:c r="E292" s="19"/>
      <x:c r="F292" s="19"/>
      <x:c r="G292" s="26"/>
      <x:c r="H292" s="19"/>
      <x:c r="I292" s="26"/>
      <x:c r="J292" s="19"/>
      <x:c r="K292" s="26"/>
      <x:c r="L292" s="19"/>
      <x:c r="M292" s="26"/>
      <x:c r="N292" s="19"/>
      <x:c r="O292" s="19"/>
    </x:row>
    <x:row r="293">
      <x:c r="A293" s="19"/>
      <x:c r="B293" s="19"/>
      <x:c r="C293" s="19"/>
      <x:c r="D293" s="19"/>
      <x:c r="E293" s="19"/>
      <x:c r="F293" s="19"/>
      <x:c r="G293" s="26"/>
      <x:c r="H293" s="19"/>
      <x:c r="I293" s="26"/>
      <x:c r="J293" s="19"/>
      <x:c r="K293" s="26"/>
      <x:c r="L293" s="19"/>
      <x:c r="M293" s="26"/>
      <x:c r="N293" s="19"/>
      <x:c r="O293" s="19"/>
    </x:row>
    <x:row r="294">
      <x:c r="A294" s="19"/>
      <x:c r="B294" s="19"/>
      <x:c r="C294" s="19"/>
      <x:c r="D294" s="19"/>
      <x:c r="E294" s="19"/>
      <x:c r="F294" s="19"/>
      <x:c r="G294" s="26"/>
      <x:c r="H294" s="19"/>
      <x:c r="I294" s="26"/>
      <x:c r="J294" s="19"/>
      <x:c r="K294" s="26"/>
      <x:c r="L294" s="19"/>
      <x:c r="M294" s="26"/>
      <x:c r="N294" s="19"/>
      <x:c r="O294" s="19"/>
    </x:row>
    <x:row r="295">
      <x:c r="A295" s="19"/>
      <x:c r="B295" s="19"/>
      <x:c r="C295" s="19"/>
      <x:c r="D295" s="19"/>
      <x:c r="E295" s="19"/>
      <x:c r="F295" s="19"/>
      <x:c r="G295" s="26"/>
      <x:c r="H295" s="19"/>
      <x:c r="I295" s="26"/>
      <x:c r="J295" s="19"/>
      <x:c r="K295" s="26"/>
      <x:c r="L295" s="19"/>
      <x:c r="M295" s="26"/>
      <x:c r="N295" s="19"/>
      <x:c r="O295" s="19"/>
    </x:row>
    <x:row r="296">
      <x:c r="A296" s="19"/>
      <x:c r="B296" s="19"/>
      <x:c r="C296" s="19"/>
      <x:c r="D296" s="19"/>
      <x:c r="E296" s="19"/>
      <x:c r="F296" s="19"/>
      <x:c r="G296" s="26"/>
      <x:c r="H296" s="19"/>
      <x:c r="I296" s="26"/>
      <x:c r="J296" s="19"/>
      <x:c r="K296" s="26"/>
      <x:c r="L296" s="19"/>
      <x:c r="M296" s="26"/>
      <x:c r="N296" s="19"/>
      <x:c r="O296" s="19"/>
    </x:row>
    <x:row r="297">
      <x:c r="A297" s="19"/>
      <x:c r="B297" s="19"/>
      <x:c r="C297" s="19"/>
      <x:c r="D297" s="19"/>
      <x:c r="E297" s="19"/>
      <x:c r="F297" s="19"/>
      <x:c r="G297" s="26"/>
      <x:c r="H297" s="19"/>
      <x:c r="I297" s="26"/>
      <x:c r="J297" s="19"/>
      <x:c r="K297" s="26"/>
      <x:c r="L297" s="19"/>
      <x:c r="M297" s="26"/>
      <x:c r="N297" s="19"/>
      <x:c r="O297" s="19"/>
    </x:row>
    <x:row r="298">
      <x:c r="A298" s="19"/>
      <x:c r="B298" s="19"/>
      <x:c r="C298" s="19"/>
      <x:c r="D298" s="19"/>
      <x:c r="E298" s="19"/>
      <x:c r="F298" s="19"/>
      <x:c r="G298" s="26"/>
      <x:c r="H298" s="19"/>
      <x:c r="I298" s="26"/>
      <x:c r="J298" s="19"/>
      <x:c r="K298" s="26"/>
      <x:c r="L298" s="19"/>
      <x:c r="M298" s="26"/>
      <x:c r="N298" s="19"/>
      <x:c r="O298" s="19"/>
    </x:row>
    <x:row r="299">
      <x:c r="A299" s="19"/>
      <x:c r="B299" s="19"/>
      <x:c r="C299" s="19"/>
      <x:c r="D299" s="19"/>
      <x:c r="E299" s="19"/>
      <x:c r="F299" s="19"/>
      <x:c r="G299" s="26"/>
      <x:c r="H299" s="19"/>
      <x:c r="I299" s="26"/>
      <x:c r="J299" s="19"/>
      <x:c r="K299" s="26"/>
      <x:c r="L299" s="19"/>
      <x:c r="M299" s="26"/>
      <x:c r="N299" s="19"/>
      <x:c r="O299" s="19"/>
    </x:row>
    <x:row r="300">
      <x:c r="A300" s="19"/>
      <x:c r="B300" s="19"/>
      <x:c r="C300" s="19"/>
      <x:c r="D300" s="19"/>
      <x:c r="E300" s="19"/>
      <x:c r="F300" s="19"/>
      <x:c r="G300" s="26"/>
      <x:c r="H300" s="19"/>
      <x:c r="I300" s="26"/>
      <x:c r="J300" s="19"/>
      <x:c r="K300" s="26"/>
      <x:c r="L300" s="19"/>
      <x:c r="M300" s="26"/>
      <x:c r="N300" s="19"/>
      <x:c r="O300" s="19"/>
    </x:row>
    <x:row r="301">
      <x:c r="A301" s="19"/>
      <x:c r="B301" s="19"/>
      <x:c r="C301" s="19"/>
      <x:c r="D301" s="19"/>
      <x:c r="E301" s="19"/>
      <x:c r="F301" s="19"/>
      <x:c r="G301" s="26"/>
      <x:c r="H301" s="19"/>
      <x:c r="I301" s="26"/>
      <x:c r="J301" s="19"/>
      <x:c r="K301" s="26"/>
      <x:c r="L301" s="19"/>
      <x:c r="M301" s="26"/>
      <x:c r="N301" s="19"/>
      <x:c r="O301" s="19"/>
    </x:row>
    <x:row r="302">
      <x:c r="A302" s="19"/>
      <x:c r="B302" s="19"/>
      <x:c r="C302" s="19"/>
      <x:c r="D302" s="19"/>
      <x:c r="E302" s="19"/>
      <x:c r="F302" s="19"/>
      <x:c r="G302" s="26"/>
      <x:c r="H302" s="19"/>
      <x:c r="I302" s="26"/>
      <x:c r="J302" s="19"/>
      <x:c r="K302" s="26"/>
      <x:c r="L302" s="19"/>
      <x:c r="M302" s="26"/>
      <x:c r="N302" s="19"/>
      <x:c r="O302" s="19"/>
    </x:row>
    <x:row r="303">
      <x:c r="A303" s="19"/>
      <x:c r="B303" s="19"/>
      <x:c r="C303" s="19"/>
      <x:c r="D303" s="19"/>
      <x:c r="E303" s="19"/>
      <x:c r="F303" s="19"/>
      <x:c r="G303" s="26"/>
      <x:c r="H303" s="19"/>
      <x:c r="I303" s="26"/>
      <x:c r="J303" s="19"/>
      <x:c r="K303" s="26"/>
      <x:c r="L303" s="19"/>
      <x:c r="M303" s="26"/>
      <x:c r="N303" s="19"/>
      <x:c r="O303" s="19"/>
    </x:row>
    <x:row r="304">
      <x:c r="A304" s="19"/>
      <x:c r="B304" s="19"/>
      <x:c r="C304" s="19"/>
      <x:c r="D304" s="19"/>
      <x:c r="E304" s="19"/>
      <x:c r="F304" s="19"/>
      <x:c r="G304" s="26"/>
      <x:c r="H304" s="19"/>
      <x:c r="I304" s="26"/>
      <x:c r="J304" s="19"/>
      <x:c r="K304" s="26"/>
      <x:c r="L304" s="19"/>
      <x:c r="M304" s="26"/>
      <x:c r="N304" s="19"/>
      <x:c r="O304" s="19"/>
    </x:row>
    <x:row r="305">
      <x:c r="A305" s="19"/>
      <x:c r="B305" s="19"/>
      <x:c r="C305" s="19"/>
      <x:c r="D305" s="19"/>
      <x:c r="E305" s="19"/>
      <x:c r="F305" s="19"/>
      <x:c r="G305" s="26"/>
      <x:c r="H305" s="19"/>
      <x:c r="I305" s="26"/>
      <x:c r="J305" s="19"/>
      <x:c r="K305" s="26"/>
      <x:c r="L305" s="19"/>
      <x:c r="M305" s="26"/>
      <x:c r="N305" s="19"/>
      <x:c r="O305" s="19"/>
    </x:row>
    <x:row r="306">
      <x:c r="A306" s="19"/>
      <x:c r="B306" s="19"/>
      <x:c r="C306" s="19"/>
      <x:c r="D306" s="19"/>
      <x:c r="E306" s="19"/>
      <x:c r="F306" s="19"/>
      <x:c r="G306" s="26"/>
      <x:c r="H306" s="19"/>
      <x:c r="I306" s="26"/>
      <x:c r="J306" s="19"/>
      <x:c r="K306" s="26"/>
      <x:c r="L306" s="19"/>
      <x:c r="M306" s="26"/>
      <x:c r="N306" s="19"/>
      <x:c r="O306" s="19"/>
    </x:row>
    <x:row r="307">
      <x:c r="A307" s="19"/>
      <x:c r="B307" s="19"/>
      <x:c r="C307" s="19"/>
      <x:c r="D307" s="19"/>
      <x:c r="E307" s="19"/>
      <x:c r="F307" s="19"/>
      <x:c r="G307" s="26"/>
      <x:c r="H307" s="19"/>
      <x:c r="I307" s="26"/>
      <x:c r="J307" s="19"/>
      <x:c r="K307" s="26"/>
      <x:c r="L307" s="19"/>
      <x:c r="M307" s="26"/>
      <x:c r="N307" s="19"/>
      <x:c r="O307" s="19"/>
    </x:row>
    <x:row r="308">
      <x:c r="A308" s="19"/>
      <x:c r="B308" s="19"/>
      <x:c r="C308" s="19"/>
      <x:c r="D308" s="19"/>
      <x:c r="E308" s="19"/>
      <x:c r="F308" s="19"/>
      <x:c r="G308" s="26"/>
      <x:c r="H308" s="19"/>
      <x:c r="I308" s="26"/>
      <x:c r="J308" s="19"/>
      <x:c r="K308" s="26"/>
      <x:c r="L308" s="19"/>
      <x:c r="M308" s="26"/>
      <x:c r="N308" s="19"/>
      <x:c r="O308" s="19"/>
    </x:row>
    <x:row r="309">
      <x:c r="A309" s="19"/>
      <x:c r="B309" s="19"/>
      <x:c r="C309" s="19"/>
      <x:c r="D309" s="19"/>
      <x:c r="E309" s="19"/>
      <x:c r="F309" s="19"/>
      <x:c r="G309" s="26"/>
      <x:c r="H309" s="19"/>
      <x:c r="I309" s="26"/>
      <x:c r="J309" s="19"/>
      <x:c r="K309" s="26"/>
      <x:c r="L309" s="19"/>
      <x:c r="M309" s="26"/>
      <x:c r="N309" s="19"/>
      <x:c r="O309" s="19"/>
    </x:row>
    <x:row r="310">
      <x:c r="A310" s="19"/>
      <x:c r="B310" s="19"/>
      <x:c r="C310" s="19"/>
      <x:c r="D310" s="19"/>
      <x:c r="E310" s="19"/>
      <x:c r="F310" s="19"/>
      <x:c r="G310" s="26"/>
      <x:c r="H310" s="19"/>
      <x:c r="I310" s="26"/>
      <x:c r="J310" s="19"/>
      <x:c r="K310" s="26"/>
      <x:c r="L310" s="19"/>
      <x:c r="M310" s="26"/>
      <x:c r="N310" s="19"/>
      <x:c r="O310" s="19"/>
    </x:row>
    <x:row r="311">
      <x:c r="A311" s="19"/>
      <x:c r="B311" s="19"/>
      <x:c r="C311" s="19"/>
      <x:c r="D311" s="19"/>
      <x:c r="E311" s="19"/>
      <x:c r="F311" s="19"/>
      <x:c r="G311" s="26"/>
      <x:c r="H311" s="19"/>
      <x:c r="I311" s="26"/>
      <x:c r="J311" s="19"/>
      <x:c r="K311" s="26"/>
      <x:c r="L311" s="19"/>
      <x:c r="M311" s="26"/>
      <x:c r="N311" s="19"/>
      <x:c r="O311" s="19"/>
    </x:row>
    <x:row r="312">
      <x:c r="A312" s="19"/>
      <x:c r="B312" s="19"/>
      <x:c r="C312" s="19"/>
      <x:c r="D312" s="19"/>
      <x:c r="E312" s="19"/>
      <x:c r="F312" s="19"/>
      <x:c r="G312" s="26"/>
      <x:c r="H312" s="19"/>
      <x:c r="I312" s="26"/>
      <x:c r="J312" s="19"/>
      <x:c r="K312" s="26"/>
      <x:c r="L312" s="19"/>
      <x:c r="M312" s="26"/>
      <x:c r="N312" s="19"/>
      <x:c r="O312" s="19"/>
    </x:row>
    <x:row r="313">
      <x:c r="A313" s="19"/>
      <x:c r="B313" s="19"/>
      <x:c r="C313" s="19"/>
      <x:c r="D313" s="19"/>
      <x:c r="E313" s="19"/>
      <x:c r="F313" s="19"/>
      <x:c r="G313" s="26"/>
      <x:c r="H313" s="19"/>
      <x:c r="I313" s="26"/>
      <x:c r="J313" s="19"/>
      <x:c r="K313" s="26"/>
      <x:c r="L313" s="19"/>
      <x:c r="M313" s="26"/>
      <x:c r="N313" s="19"/>
      <x:c r="O313" s="19"/>
    </x:row>
    <x:row r="314">
      <x:c r="A314" s="19"/>
      <x:c r="B314" s="19"/>
      <x:c r="C314" s="19"/>
      <x:c r="D314" s="19"/>
      <x:c r="E314" s="19"/>
      <x:c r="F314" s="19"/>
      <x:c r="G314" s="26"/>
      <x:c r="H314" s="19"/>
      <x:c r="I314" s="26"/>
      <x:c r="J314" s="19"/>
      <x:c r="K314" s="26"/>
      <x:c r="L314" s="19"/>
      <x:c r="M314" s="26"/>
      <x:c r="N314" s="19"/>
      <x:c r="O314" s="19"/>
    </x:row>
    <x:row r="315">
      <x:c r="A315" s="19"/>
      <x:c r="B315" s="19"/>
      <x:c r="C315" s="19"/>
      <x:c r="D315" s="19"/>
      <x:c r="E315" s="19"/>
      <x:c r="F315" s="19"/>
      <x:c r="G315" s="26"/>
      <x:c r="H315" s="19"/>
      <x:c r="I315" s="26"/>
      <x:c r="J315" s="19"/>
      <x:c r="K315" s="26"/>
      <x:c r="L315" s="19"/>
      <x:c r="M315" s="26"/>
      <x:c r="N315" s="19"/>
      <x:c r="O315" s="19"/>
    </x:row>
    <x:row r="316">
      <x:c r="A316" s="19"/>
      <x:c r="B316" s="19"/>
      <x:c r="C316" s="19"/>
      <x:c r="D316" s="19"/>
      <x:c r="E316" s="19"/>
      <x:c r="F316" s="19"/>
      <x:c r="G316" s="26"/>
      <x:c r="H316" s="19"/>
      <x:c r="I316" s="26"/>
      <x:c r="J316" s="19"/>
      <x:c r="K316" s="26"/>
      <x:c r="L316" s="19"/>
      <x:c r="M316" s="26"/>
      <x:c r="N316" s="19"/>
      <x:c r="O316" s="19"/>
    </x:row>
    <x:row r="317">
      <x:c r="A317" s="19"/>
      <x:c r="B317" s="19"/>
      <x:c r="C317" s="19"/>
      <x:c r="D317" s="19"/>
      <x:c r="E317" s="19"/>
      <x:c r="F317" s="19"/>
      <x:c r="G317" s="26"/>
      <x:c r="H317" s="19"/>
      <x:c r="I317" s="26"/>
      <x:c r="J317" s="19"/>
      <x:c r="K317" s="26"/>
      <x:c r="L317" s="19"/>
      <x:c r="M317" s="26"/>
      <x:c r="N317" s="19"/>
      <x:c r="O317" s="19"/>
    </x:row>
    <x:row r="318">
      <x:c r="A318" s="19"/>
      <x:c r="B318" s="19"/>
      <x:c r="C318" s="19"/>
      <x:c r="D318" s="19"/>
      <x:c r="E318" s="19"/>
      <x:c r="F318" s="19"/>
      <x:c r="G318" s="26"/>
      <x:c r="H318" s="19"/>
      <x:c r="I318" s="26"/>
      <x:c r="J318" s="19"/>
      <x:c r="K318" s="26"/>
      <x:c r="L318" s="19"/>
      <x:c r="M318" s="26"/>
      <x:c r="N318" s="19"/>
      <x:c r="O318" s="19"/>
    </x:row>
    <x:row r="319">
      <x:c r="A319" s="19"/>
      <x:c r="B319" s="19"/>
      <x:c r="C319" s="19"/>
      <x:c r="D319" s="19"/>
      <x:c r="E319" s="19"/>
      <x:c r="F319" s="19"/>
      <x:c r="G319" s="26"/>
      <x:c r="H319" s="19"/>
      <x:c r="I319" s="26"/>
      <x:c r="J319" s="19"/>
      <x:c r="K319" s="26"/>
      <x:c r="L319" s="19"/>
      <x:c r="M319" s="26"/>
      <x:c r="N319" s="19"/>
      <x:c r="O319" s="19"/>
    </x:row>
    <x:row r="320">
      <x:c r="A320" s="19"/>
      <x:c r="B320" s="19"/>
      <x:c r="C320" s="19"/>
      <x:c r="D320" s="19"/>
      <x:c r="E320" s="19"/>
      <x:c r="F320" s="19"/>
      <x:c r="G320" s="26"/>
      <x:c r="H320" s="19"/>
      <x:c r="I320" s="26"/>
      <x:c r="J320" s="19"/>
      <x:c r="K320" s="26"/>
      <x:c r="L320" s="19"/>
      <x:c r="M320" s="26"/>
      <x:c r="N320" s="19"/>
      <x:c r="O320" s="19"/>
    </x:row>
    <x:row r="321">
      <x:c r="A321" s="19"/>
      <x:c r="B321" s="19"/>
      <x:c r="C321" s="19"/>
      <x:c r="D321" s="19"/>
      <x:c r="E321" s="19"/>
      <x:c r="F321" s="19"/>
      <x:c r="G321" s="26"/>
      <x:c r="H321" s="19"/>
      <x:c r="I321" s="26"/>
      <x:c r="J321" s="19"/>
      <x:c r="K321" s="26"/>
      <x:c r="L321" s="19"/>
      <x:c r="M321" s="26"/>
      <x:c r="N321" s="19"/>
      <x:c r="O321" s="19"/>
    </x:row>
    <x:row r="322">
      <x:c r="A322" s="19"/>
      <x:c r="B322" s="19"/>
      <x:c r="C322" s="19"/>
      <x:c r="D322" s="19"/>
      <x:c r="E322" s="19"/>
      <x:c r="F322" s="19"/>
      <x:c r="G322" s="26"/>
      <x:c r="H322" s="19"/>
      <x:c r="I322" s="26"/>
      <x:c r="J322" s="19"/>
      <x:c r="K322" s="26"/>
      <x:c r="L322" s="19"/>
      <x:c r="M322" s="26"/>
      <x:c r="N322" s="19"/>
      <x:c r="O322" s="19"/>
    </x:row>
    <x:row r="323">
      <x:c r="A323" s="19"/>
      <x:c r="B323" s="19"/>
      <x:c r="C323" s="19"/>
      <x:c r="D323" s="19"/>
      <x:c r="E323" s="19"/>
      <x:c r="F323" s="19"/>
      <x:c r="G323" s="26"/>
      <x:c r="H323" s="19"/>
      <x:c r="I323" s="26"/>
      <x:c r="J323" s="19"/>
      <x:c r="K323" s="26"/>
      <x:c r="L323" s="19"/>
      <x:c r="M323" s="26"/>
      <x:c r="N323" s="19"/>
      <x:c r="O323" s="19"/>
    </x:row>
    <x:row r="324">
      <x:c r="A324" s="19"/>
      <x:c r="B324" s="19"/>
      <x:c r="C324" s="19"/>
      <x:c r="D324" s="19"/>
      <x:c r="E324" s="19"/>
      <x:c r="F324" s="19"/>
      <x:c r="G324" s="26"/>
      <x:c r="H324" s="19"/>
      <x:c r="I324" s="26"/>
      <x:c r="J324" s="19"/>
      <x:c r="K324" s="26"/>
      <x:c r="L324" s="19"/>
      <x:c r="M324" s="26"/>
      <x:c r="N324" s="19"/>
      <x:c r="O324" s="19"/>
    </x:row>
    <x:row r="325">
      <x:c r="A325" s="19"/>
      <x:c r="B325" s="19"/>
      <x:c r="C325" s="19"/>
      <x:c r="D325" s="19"/>
      <x:c r="E325" s="19"/>
      <x:c r="F325" s="19"/>
      <x:c r="G325" s="26"/>
      <x:c r="H325" s="19"/>
      <x:c r="I325" s="26"/>
      <x:c r="J325" s="19"/>
      <x:c r="K325" s="26"/>
      <x:c r="L325" s="19"/>
      <x:c r="M325" s="26"/>
      <x:c r="N325" s="19"/>
      <x:c r="O325" s="19"/>
    </x:row>
    <x:row r="326">
      <x:c r="A326" s="19"/>
      <x:c r="B326" s="19"/>
      <x:c r="C326" s="19"/>
      <x:c r="D326" s="19"/>
      <x:c r="E326" s="19"/>
      <x:c r="F326" s="19"/>
      <x:c r="G326" s="26"/>
      <x:c r="H326" s="19"/>
      <x:c r="I326" s="26"/>
      <x:c r="J326" s="19"/>
      <x:c r="K326" s="26"/>
      <x:c r="L326" s="19"/>
      <x:c r="M326" s="26"/>
      <x:c r="N326" s="19"/>
      <x:c r="O326" s="19"/>
    </x:row>
    <x:row r="327">
      <x:c r="A327" s="19"/>
      <x:c r="B327" s="19"/>
      <x:c r="C327" s="19"/>
      <x:c r="D327" s="19"/>
      <x:c r="E327" s="19"/>
      <x:c r="F327" s="19"/>
      <x:c r="G327" s="26"/>
      <x:c r="H327" s="19"/>
      <x:c r="I327" s="26"/>
      <x:c r="J327" s="19"/>
      <x:c r="K327" s="26"/>
      <x:c r="L327" s="19"/>
      <x:c r="M327" s="26"/>
      <x:c r="N327" s="19"/>
      <x:c r="O327" s="19"/>
    </x:row>
    <x:row r="328">
      <x:c r="A328" s="19"/>
      <x:c r="B328" s="19"/>
      <x:c r="C328" s="19"/>
      <x:c r="D328" s="19"/>
      <x:c r="E328" s="19"/>
      <x:c r="F328" s="19"/>
      <x:c r="G328" s="26"/>
      <x:c r="H328" s="19"/>
      <x:c r="I328" s="26"/>
      <x:c r="J328" s="19"/>
      <x:c r="K328" s="26"/>
      <x:c r="L328" s="19"/>
      <x:c r="M328" s="26"/>
      <x:c r="N328" s="19"/>
      <x:c r="O328" s="19"/>
    </x:row>
    <x:row r="329">
      <x:c r="A329" s="19"/>
      <x:c r="B329" s="19"/>
      <x:c r="C329" s="19"/>
      <x:c r="D329" s="19"/>
      <x:c r="E329" s="19"/>
      <x:c r="F329" s="19"/>
      <x:c r="G329" s="26"/>
      <x:c r="H329" s="19"/>
      <x:c r="I329" s="26"/>
      <x:c r="J329" s="19"/>
      <x:c r="K329" s="26"/>
      <x:c r="L329" s="19"/>
      <x:c r="M329" s="26"/>
      <x:c r="N329" s="19"/>
      <x:c r="O329" s="19"/>
    </x:row>
    <x:row r="330">
      <x:c r="A330" s="19"/>
      <x:c r="B330" s="19"/>
      <x:c r="C330" s="19"/>
      <x:c r="D330" s="19"/>
      <x:c r="E330" s="19"/>
      <x:c r="F330" s="19"/>
      <x:c r="G330" s="26"/>
      <x:c r="H330" s="19"/>
      <x:c r="I330" s="26"/>
      <x:c r="J330" s="19"/>
      <x:c r="K330" s="26"/>
      <x:c r="L330" s="19"/>
      <x:c r="M330" s="26"/>
      <x:c r="N330" s="19"/>
      <x:c r="O330" s="19"/>
    </x:row>
    <x:row r="331">
      <x:c r="A331" s="19"/>
      <x:c r="B331" s="19"/>
      <x:c r="C331" s="19"/>
      <x:c r="D331" s="19"/>
      <x:c r="E331" s="19"/>
      <x:c r="F331" s="19"/>
      <x:c r="G331" s="26"/>
      <x:c r="H331" s="19"/>
      <x:c r="I331" s="26"/>
      <x:c r="J331" s="19"/>
      <x:c r="K331" s="26"/>
      <x:c r="L331" s="19"/>
      <x:c r="M331" s="26"/>
      <x:c r="N331" s="19"/>
      <x:c r="O331" s="19"/>
    </x:row>
    <x:row r="332">
      <x:c r="A332" s="19"/>
      <x:c r="B332" s="19"/>
      <x:c r="C332" s="19"/>
      <x:c r="D332" s="19"/>
      <x:c r="E332" s="19"/>
      <x:c r="F332" s="19"/>
      <x:c r="G332" s="26"/>
      <x:c r="H332" s="19"/>
      <x:c r="I332" s="26"/>
      <x:c r="J332" s="19"/>
      <x:c r="K332" s="26"/>
      <x:c r="L332" s="19"/>
      <x:c r="M332" s="26"/>
      <x:c r="N332" s="19"/>
      <x:c r="O332" s="19"/>
    </x:row>
    <x:row r="333">
      <x:c r="A333" s="19"/>
      <x:c r="B333" s="19"/>
      <x:c r="C333" s="19"/>
      <x:c r="D333" s="19"/>
      <x:c r="E333" s="19"/>
      <x:c r="F333" s="19"/>
      <x:c r="G333" s="26"/>
      <x:c r="H333" s="19"/>
      <x:c r="I333" s="26"/>
      <x:c r="J333" s="19"/>
      <x:c r="K333" s="26"/>
      <x:c r="L333" s="19"/>
      <x:c r="M333" s="26"/>
      <x:c r="N333" s="19"/>
      <x:c r="O333" s="19"/>
    </x:row>
    <x:row r="334">
      <x:c r="A334" s="19"/>
      <x:c r="B334" s="19"/>
      <x:c r="C334" s="19"/>
      <x:c r="D334" s="19"/>
      <x:c r="E334" s="19"/>
      <x:c r="F334" s="19"/>
      <x:c r="G334" s="26"/>
      <x:c r="H334" s="19"/>
      <x:c r="I334" s="26"/>
      <x:c r="J334" s="19"/>
      <x:c r="K334" s="26"/>
      <x:c r="L334" s="19"/>
      <x:c r="M334" s="26"/>
      <x:c r="N334" s="19"/>
      <x:c r="O334" s="19"/>
    </x:row>
    <x:row r="335">
      <x:c r="A335" s="19"/>
      <x:c r="B335" s="19"/>
      <x:c r="C335" s="19"/>
      <x:c r="D335" s="19"/>
      <x:c r="E335" s="19"/>
      <x:c r="F335" s="19"/>
      <x:c r="G335" s="26"/>
      <x:c r="H335" s="19"/>
      <x:c r="I335" s="26"/>
      <x:c r="J335" s="19"/>
      <x:c r="K335" s="26"/>
      <x:c r="L335" s="19"/>
      <x:c r="M335" s="26"/>
      <x:c r="N335" s="19"/>
      <x:c r="O335" s="19"/>
    </x:row>
    <x:row r="336">
      <x:c r="A336" s="19"/>
      <x:c r="B336" s="19"/>
      <x:c r="C336" s="19"/>
      <x:c r="D336" s="19"/>
      <x:c r="E336" s="19"/>
      <x:c r="F336" s="19"/>
      <x:c r="G336" s="26"/>
      <x:c r="H336" s="19"/>
      <x:c r="I336" s="26"/>
      <x:c r="J336" s="19"/>
      <x:c r="K336" s="26"/>
      <x:c r="L336" s="19"/>
      <x:c r="M336" s="26"/>
      <x:c r="N336" s="19"/>
      <x:c r="O336" s="19"/>
    </x:row>
    <x:row r="337">
      <x:c r="A337" s="19"/>
      <x:c r="B337" s="19"/>
      <x:c r="C337" s="19"/>
      <x:c r="D337" s="19"/>
      <x:c r="E337" s="19"/>
      <x:c r="F337" s="19"/>
      <x:c r="G337" s="26"/>
      <x:c r="H337" s="19"/>
      <x:c r="I337" s="26"/>
      <x:c r="J337" s="19"/>
      <x:c r="K337" s="26"/>
      <x:c r="L337" s="19"/>
      <x:c r="M337" s="26"/>
      <x:c r="N337" s="19"/>
      <x:c r="O337" s="19"/>
    </x:row>
    <x:row r="338">
      <x:c r="A338" s="19"/>
      <x:c r="B338" s="19"/>
      <x:c r="C338" s="19"/>
      <x:c r="D338" s="19"/>
      <x:c r="E338" s="19"/>
      <x:c r="F338" s="19"/>
      <x:c r="G338" s="26"/>
      <x:c r="H338" s="19"/>
      <x:c r="I338" s="26"/>
      <x:c r="J338" s="19"/>
      <x:c r="K338" s="26"/>
      <x:c r="L338" s="19"/>
      <x:c r="M338" s="26"/>
      <x:c r="N338" s="19"/>
      <x:c r="O338" s="19"/>
    </x:row>
    <x:row r="339">
      <x:c r="A339" s="19"/>
      <x:c r="B339" s="19"/>
      <x:c r="C339" s="19"/>
      <x:c r="D339" s="19"/>
      <x:c r="E339" s="19"/>
      <x:c r="F339" s="19"/>
      <x:c r="G339" s="26"/>
      <x:c r="H339" s="19"/>
      <x:c r="I339" s="26"/>
      <x:c r="J339" s="19"/>
      <x:c r="K339" s="26"/>
      <x:c r="L339" s="19"/>
      <x:c r="M339" s="26"/>
      <x:c r="N339" s="19"/>
      <x:c r="O339" s="19"/>
    </x:row>
    <x:row r="340">
      <x:c r="A340" s="19"/>
      <x:c r="B340" s="19"/>
      <x:c r="C340" s="19"/>
      <x:c r="D340" s="19"/>
      <x:c r="E340" s="19"/>
      <x:c r="F340" s="19"/>
      <x:c r="G340" s="26"/>
      <x:c r="H340" s="19"/>
      <x:c r="I340" s="26"/>
      <x:c r="J340" s="19"/>
      <x:c r="K340" s="26"/>
      <x:c r="L340" s="19"/>
      <x:c r="M340" s="26"/>
      <x:c r="N340" s="19"/>
      <x:c r="O340" s="19"/>
    </x:row>
    <x:row r="341">
      <x:c r="A341" s="19"/>
      <x:c r="B341" s="19"/>
      <x:c r="C341" s="19"/>
      <x:c r="D341" s="19"/>
      <x:c r="E341" s="19"/>
      <x:c r="F341" s="19"/>
      <x:c r="G341" s="26"/>
      <x:c r="H341" s="19"/>
      <x:c r="I341" s="26"/>
      <x:c r="J341" s="19"/>
      <x:c r="K341" s="26"/>
      <x:c r="L341" s="19"/>
      <x:c r="M341" s="26"/>
      <x:c r="N341" s="19"/>
      <x:c r="O341" s="19"/>
    </x:row>
    <x:row r="342">
      <x:c r="A342" s="19"/>
      <x:c r="B342" s="19"/>
      <x:c r="C342" s="19"/>
      <x:c r="D342" s="19"/>
      <x:c r="E342" s="19"/>
      <x:c r="F342" s="19"/>
      <x:c r="G342" s="26"/>
      <x:c r="H342" s="19"/>
      <x:c r="I342" s="26"/>
      <x:c r="J342" s="19"/>
      <x:c r="K342" s="26"/>
      <x:c r="L342" s="19"/>
      <x:c r="M342" s="26"/>
      <x:c r="N342" s="19"/>
      <x:c r="O342" s="19"/>
    </x:row>
    <x:row r="343">
      <x:c r="A343" s="19"/>
      <x:c r="B343" s="19"/>
      <x:c r="C343" s="19"/>
      <x:c r="D343" s="19"/>
      <x:c r="E343" s="19"/>
      <x:c r="F343" s="19"/>
      <x:c r="G343" s="26"/>
      <x:c r="H343" s="19"/>
      <x:c r="I343" s="26"/>
      <x:c r="J343" s="19"/>
      <x:c r="K343" s="26"/>
      <x:c r="L343" s="19"/>
      <x:c r="M343" s="26"/>
      <x:c r="N343" s="19"/>
      <x:c r="O343" s="19"/>
    </x:row>
    <x:row r="344">
      <x:c r="A344" s="19"/>
      <x:c r="B344" s="19"/>
      <x:c r="C344" s="19"/>
      <x:c r="D344" s="19"/>
      <x:c r="E344" s="19"/>
      <x:c r="F344" s="19"/>
      <x:c r="G344" s="26"/>
      <x:c r="H344" s="19"/>
      <x:c r="I344" s="26"/>
      <x:c r="J344" s="19"/>
      <x:c r="K344" s="26"/>
      <x:c r="L344" s="19"/>
      <x:c r="M344" s="26"/>
      <x:c r="N344" s="19"/>
      <x:c r="O344" s="19"/>
    </x:row>
    <x:row r="345">
      <x:c r="A345" s="19"/>
      <x:c r="B345" s="19"/>
      <x:c r="C345" s="19"/>
      <x:c r="D345" s="19"/>
      <x:c r="E345" s="19"/>
      <x:c r="F345" s="19"/>
      <x:c r="G345" s="26"/>
      <x:c r="H345" s="19"/>
      <x:c r="I345" s="26"/>
      <x:c r="J345" s="19"/>
      <x:c r="K345" s="26"/>
      <x:c r="L345" s="19"/>
      <x:c r="M345" s="26"/>
      <x:c r="N345" s="19"/>
      <x:c r="O345" s="19"/>
    </x:row>
    <x:row r="346">
      <x:c r="A346" s="19"/>
      <x:c r="B346" s="19"/>
      <x:c r="C346" s="19"/>
      <x:c r="D346" s="19"/>
      <x:c r="E346" s="19"/>
      <x:c r="F346" s="19"/>
      <x:c r="G346" s="26"/>
      <x:c r="H346" s="19"/>
      <x:c r="I346" s="26"/>
      <x:c r="J346" s="19"/>
      <x:c r="K346" s="26"/>
      <x:c r="L346" s="19"/>
      <x:c r="M346" s="26"/>
      <x:c r="N346" s="19"/>
      <x:c r="O346" s="19"/>
    </x:row>
    <x:row r="347">
      <x:c r="A347" s="19"/>
      <x:c r="B347" s="19"/>
      <x:c r="C347" s="19"/>
      <x:c r="D347" s="19"/>
      <x:c r="E347" s="19"/>
      <x:c r="F347" s="19"/>
      <x:c r="G347" s="26"/>
      <x:c r="H347" s="19"/>
      <x:c r="I347" s="26"/>
      <x:c r="J347" s="19"/>
      <x:c r="K347" s="26"/>
      <x:c r="L347" s="19"/>
      <x:c r="M347" s="26"/>
      <x:c r="N347" s="19"/>
      <x:c r="O347" s="19"/>
    </x:row>
    <x:row r="348">
      <x:c r="A348" s="19"/>
      <x:c r="B348" s="19"/>
      <x:c r="C348" s="19"/>
      <x:c r="D348" s="19"/>
      <x:c r="E348" s="19"/>
      <x:c r="F348" s="19"/>
      <x:c r="G348" s="26"/>
      <x:c r="H348" s="19"/>
      <x:c r="I348" s="26"/>
      <x:c r="J348" s="19"/>
      <x:c r="K348" s="26"/>
      <x:c r="L348" s="19"/>
      <x:c r="M348" s="26"/>
      <x:c r="N348" s="19"/>
      <x:c r="O348" s="19"/>
    </x:row>
    <x:row r="349">
      <x:c r="A349" s="19"/>
      <x:c r="B349" s="19"/>
      <x:c r="C349" s="19"/>
      <x:c r="D349" s="19"/>
      <x:c r="E349" s="19"/>
      <x:c r="F349" s="19"/>
      <x:c r="G349" s="26"/>
      <x:c r="H349" s="19"/>
      <x:c r="I349" s="26"/>
      <x:c r="J349" s="19"/>
      <x:c r="K349" s="26"/>
      <x:c r="L349" s="19"/>
      <x:c r="M349" s="26"/>
      <x:c r="N349" s="19"/>
      <x:c r="O349" s="19"/>
    </x:row>
    <x:row r="350">
      <x:c r="A350" s="19"/>
      <x:c r="B350" s="19"/>
      <x:c r="C350" s="19"/>
      <x:c r="D350" s="19"/>
      <x:c r="E350" s="19"/>
      <x:c r="F350" s="19"/>
      <x:c r="G350" s="26"/>
      <x:c r="H350" s="19"/>
      <x:c r="I350" s="26"/>
      <x:c r="J350" s="19"/>
      <x:c r="K350" s="26"/>
      <x:c r="L350" s="19"/>
      <x:c r="M350" s="26"/>
      <x:c r="N350" s="19"/>
      <x:c r="O350" s="19"/>
    </x:row>
    <x:row r="351">
      <x:c r="A351" s="19"/>
      <x:c r="B351" s="19"/>
      <x:c r="C351" s="19"/>
      <x:c r="D351" s="19"/>
      <x:c r="E351" s="19"/>
      <x:c r="F351" s="19"/>
      <x:c r="G351" s="26"/>
      <x:c r="H351" s="19"/>
      <x:c r="I351" s="26"/>
      <x:c r="J351" s="19"/>
      <x:c r="K351" s="26"/>
      <x:c r="L351" s="19"/>
      <x:c r="M351" s="26"/>
      <x:c r="N351" s="19"/>
      <x:c r="O351" s="19"/>
    </x:row>
    <x:row r="352">
      <x:c r="A352" s="19"/>
      <x:c r="B352" s="19"/>
      <x:c r="C352" s="19"/>
      <x:c r="D352" s="19"/>
      <x:c r="E352" s="19"/>
      <x:c r="F352" s="19"/>
      <x:c r="G352" s="26"/>
      <x:c r="H352" s="19"/>
      <x:c r="I352" s="26"/>
      <x:c r="J352" s="19"/>
      <x:c r="K352" s="26"/>
      <x:c r="L352" s="19"/>
      <x:c r="M352" s="26"/>
      <x:c r="N352" s="19"/>
      <x:c r="O352" s="19"/>
    </x:row>
    <x:row r="353">
      <x:c r="A353" s="19"/>
      <x:c r="B353" s="19"/>
      <x:c r="C353" s="19"/>
      <x:c r="D353" s="19"/>
      <x:c r="E353" s="19"/>
      <x:c r="F353" s="19"/>
      <x:c r="G353" s="26"/>
      <x:c r="H353" s="19"/>
      <x:c r="I353" s="26"/>
      <x:c r="J353" s="19"/>
      <x:c r="K353" s="26"/>
      <x:c r="L353" s="19"/>
      <x:c r="M353" s="26"/>
      <x:c r="N353" s="19"/>
      <x:c r="O353" s="19"/>
    </x:row>
    <x:row r="354">
      <x:c r="A354" s="19"/>
      <x:c r="B354" s="19"/>
      <x:c r="C354" s="19"/>
      <x:c r="D354" s="19"/>
      <x:c r="E354" s="19"/>
      <x:c r="F354" s="19"/>
      <x:c r="G354" s="26"/>
      <x:c r="H354" s="19"/>
      <x:c r="I354" s="26"/>
      <x:c r="J354" s="19"/>
      <x:c r="K354" s="26"/>
      <x:c r="L354" s="19"/>
      <x:c r="M354" s="26"/>
      <x:c r="N354" s="19"/>
      <x:c r="O354" s="19"/>
    </x:row>
    <x:row r="355">
      <x:c r="A355" s="19"/>
      <x:c r="B355" s="19"/>
      <x:c r="C355" s="19"/>
      <x:c r="D355" s="19"/>
      <x:c r="E355" s="19"/>
      <x:c r="F355" s="19"/>
      <x:c r="G355" s="26"/>
      <x:c r="H355" s="19"/>
      <x:c r="I355" s="26"/>
      <x:c r="J355" s="19"/>
      <x:c r="K355" s="26"/>
      <x:c r="L355" s="19"/>
      <x:c r="M355" s="26"/>
      <x:c r="N355" s="19"/>
      <x:c r="O355" s="19"/>
    </x:row>
    <x:row r="356">
      <x:c r="A356" s="19"/>
      <x:c r="B356" s="19"/>
      <x:c r="C356" s="19"/>
      <x:c r="D356" s="19"/>
      <x:c r="E356" s="19"/>
      <x:c r="F356" s="19"/>
      <x:c r="G356" s="26"/>
      <x:c r="H356" s="19"/>
      <x:c r="I356" s="26"/>
      <x:c r="J356" s="19"/>
      <x:c r="K356" s="26"/>
      <x:c r="L356" s="19"/>
      <x:c r="M356" s="26"/>
      <x:c r="N356" s="19"/>
      <x:c r="O356" s="19"/>
    </x:row>
    <x:row r="357">
      <x:c r="A357" s="19"/>
      <x:c r="B357" s="19"/>
      <x:c r="C357" s="19"/>
      <x:c r="D357" s="19"/>
      <x:c r="E357" s="19"/>
      <x:c r="F357" s="19"/>
      <x:c r="G357" s="26"/>
      <x:c r="H357" s="19"/>
      <x:c r="I357" s="26"/>
      <x:c r="J357" s="19"/>
      <x:c r="K357" s="26"/>
      <x:c r="L357" s="19"/>
      <x:c r="M357" s="26"/>
      <x:c r="N357" s="19"/>
      <x:c r="O357" s="19"/>
    </x:row>
    <x:row r="358">
      <x:c r="A358" s="19"/>
      <x:c r="B358" s="19"/>
      <x:c r="C358" s="19"/>
      <x:c r="D358" s="19"/>
      <x:c r="E358" s="19"/>
      <x:c r="F358" s="19"/>
      <x:c r="G358" s="26"/>
      <x:c r="H358" s="19"/>
      <x:c r="I358" s="26"/>
      <x:c r="J358" s="19"/>
      <x:c r="K358" s="26"/>
      <x:c r="L358" s="19"/>
      <x:c r="M358" s="26"/>
      <x:c r="N358" s="19"/>
      <x:c r="O358" s="19"/>
    </x:row>
    <x:row r="359">
      <x:c r="A359" s="19"/>
      <x:c r="B359" s="19"/>
      <x:c r="C359" s="19"/>
      <x:c r="D359" s="19"/>
      <x:c r="E359" s="19"/>
      <x:c r="F359" s="19"/>
      <x:c r="G359" s="26"/>
      <x:c r="H359" s="19"/>
      <x:c r="I359" s="26"/>
      <x:c r="J359" s="19"/>
      <x:c r="K359" s="26"/>
      <x:c r="L359" s="19"/>
      <x:c r="M359" s="26"/>
      <x:c r="N359" s="19"/>
      <x:c r="O359" s="19"/>
    </x:row>
    <x:row r="360">
      <x:c r="A360" s="19"/>
      <x:c r="B360" s="19"/>
      <x:c r="C360" s="19"/>
      <x:c r="D360" s="19"/>
      <x:c r="E360" s="19"/>
      <x:c r="F360" s="19"/>
      <x:c r="G360" s="26"/>
      <x:c r="H360" s="19"/>
      <x:c r="I360" s="26"/>
      <x:c r="J360" s="19"/>
      <x:c r="K360" s="26"/>
      <x:c r="L360" s="19"/>
      <x:c r="M360" s="26"/>
      <x:c r="N360" s="19"/>
      <x:c r="O360" s="19"/>
    </x:row>
    <x:row r="361">
      <x:c r="A361" s="19"/>
      <x:c r="B361" s="19"/>
      <x:c r="C361" s="19"/>
      <x:c r="D361" s="19"/>
      <x:c r="E361" s="19"/>
      <x:c r="F361" s="19"/>
      <x:c r="G361" s="26"/>
      <x:c r="H361" s="19"/>
      <x:c r="I361" s="26"/>
      <x:c r="J361" s="19"/>
      <x:c r="K361" s="26"/>
      <x:c r="L361" s="19"/>
      <x:c r="M361" s="26"/>
      <x:c r="N361" s="19"/>
      <x:c r="O361" s="19"/>
    </x:row>
    <x:row r="362">
      <x:c r="A362" s="19"/>
      <x:c r="B362" s="19"/>
      <x:c r="C362" s="19"/>
      <x:c r="D362" s="19"/>
      <x:c r="E362" s="19"/>
      <x:c r="F362" s="19"/>
      <x:c r="G362" s="26"/>
      <x:c r="H362" s="19"/>
      <x:c r="I362" s="26"/>
      <x:c r="J362" s="19"/>
      <x:c r="K362" s="26"/>
      <x:c r="L362" s="19"/>
      <x:c r="M362" s="26"/>
      <x:c r="N362" s="19"/>
      <x:c r="O362" s="19"/>
    </x:row>
    <x:row r="363">
      <x:c r="A363" s="19"/>
      <x:c r="B363" s="19"/>
      <x:c r="C363" s="19"/>
      <x:c r="D363" s="19"/>
      <x:c r="E363" s="19"/>
      <x:c r="F363" s="19"/>
      <x:c r="G363" s="26"/>
      <x:c r="H363" s="19"/>
      <x:c r="I363" s="26"/>
      <x:c r="J363" s="19"/>
      <x:c r="K363" s="26"/>
      <x:c r="L363" s="19"/>
      <x:c r="M363" s="26"/>
      <x:c r="N363" s="19"/>
      <x:c r="O363" s="19"/>
    </x:row>
    <x:row r="364">
      <x:c r="A364" s="19"/>
      <x:c r="B364" s="19"/>
      <x:c r="C364" s="19"/>
      <x:c r="D364" s="19"/>
      <x:c r="E364" s="19"/>
      <x:c r="F364" s="19"/>
      <x:c r="G364" s="26"/>
      <x:c r="H364" s="19"/>
      <x:c r="I364" s="26"/>
      <x:c r="J364" s="19"/>
      <x:c r="K364" s="26"/>
      <x:c r="L364" s="19"/>
      <x:c r="M364" s="26"/>
      <x:c r="N364" s="19"/>
      <x:c r="O364" s="19"/>
    </x:row>
    <x:row r="365">
      <x:c r="A365" s="19"/>
      <x:c r="B365" s="19"/>
      <x:c r="C365" s="19"/>
      <x:c r="D365" s="19"/>
      <x:c r="E365" s="19"/>
      <x:c r="F365" s="19"/>
      <x:c r="G365" s="26"/>
      <x:c r="H365" s="19"/>
      <x:c r="I365" s="26"/>
      <x:c r="J365" s="19"/>
      <x:c r="K365" s="26"/>
      <x:c r="L365" s="19"/>
      <x:c r="M365" s="26"/>
      <x:c r="N365" s="19"/>
      <x:c r="O365" s="19"/>
    </x:row>
    <x:row r="366">
      <x:c r="A366" s="19"/>
      <x:c r="B366" s="19"/>
      <x:c r="C366" s="19"/>
      <x:c r="D366" s="19"/>
      <x:c r="E366" s="19"/>
      <x:c r="F366" s="19"/>
      <x:c r="G366" s="26"/>
      <x:c r="H366" s="19"/>
      <x:c r="I366" s="26"/>
      <x:c r="J366" s="19"/>
      <x:c r="K366" s="26"/>
      <x:c r="L366" s="19"/>
      <x:c r="M366" s="26"/>
      <x:c r="N366" s="19"/>
      <x:c r="O366" s="19"/>
    </x:row>
    <x:row r="367">
      <x:c r="A367" s="19"/>
      <x:c r="B367" s="19"/>
      <x:c r="C367" s="19"/>
      <x:c r="D367" s="19"/>
      <x:c r="E367" s="19"/>
      <x:c r="F367" s="19"/>
      <x:c r="G367" s="26"/>
      <x:c r="H367" s="19"/>
      <x:c r="I367" s="26"/>
      <x:c r="J367" s="19"/>
      <x:c r="K367" s="26"/>
      <x:c r="L367" s="19"/>
      <x:c r="M367" s="26"/>
      <x:c r="N367" s="19"/>
      <x:c r="O367" s="19"/>
    </x:row>
    <x:row r="368">
      <x:c r="A368" s="19"/>
      <x:c r="B368" s="19"/>
      <x:c r="C368" s="19"/>
      <x:c r="D368" s="19"/>
      <x:c r="E368" s="19"/>
      <x:c r="F368" s="19"/>
      <x:c r="G368" s="26"/>
      <x:c r="H368" s="19"/>
      <x:c r="I368" s="26"/>
      <x:c r="J368" s="19"/>
      <x:c r="K368" s="26"/>
      <x:c r="L368" s="19"/>
      <x:c r="M368" s="26"/>
      <x:c r="N368" s="19"/>
      <x:c r="O368" s="19"/>
    </x:row>
    <x:row r="369">
      <x:c r="A369" s="19"/>
      <x:c r="B369" s="19"/>
      <x:c r="C369" s="19"/>
      <x:c r="D369" s="19"/>
      <x:c r="E369" s="19"/>
      <x:c r="F369" s="19"/>
      <x:c r="G369" s="26"/>
      <x:c r="H369" s="19"/>
      <x:c r="I369" s="26"/>
      <x:c r="J369" s="19"/>
      <x:c r="K369" s="26"/>
      <x:c r="L369" s="19"/>
      <x:c r="M369" s="26"/>
      <x:c r="N369" s="19"/>
      <x:c r="O369" s="19"/>
    </x:row>
    <x:row r="370">
      <x:c r="A370" s="19"/>
      <x:c r="B370" s="19"/>
      <x:c r="C370" s="19"/>
      <x:c r="D370" s="19"/>
      <x:c r="E370" s="19"/>
      <x:c r="F370" s="19"/>
      <x:c r="G370" s="26"/>
      <x:c r="H370" s="19"/>
      <x:c r="I370" s="26"/>
      <x:c r="J370" s="19"/>
      <x:c r="K370" s="26"/>
      <x:c r="L370" s="19"/>
      <x:c r="M370" s="26"/>
      <x:c r="N370" s="19"/>
      <x:c r="O370" s="19"/>
    </x:row>
    <x:row r="371">
      <x:c r="A371" s="19"/>
      <x:c r="B371" s="19"/>
      <x:c r="C371" s="19"/>
      <x:c r="D371" s="19"/>
      <x:c r="E371" s="19"/>
      <x:c r="F371" s="19"/>
      <x:c r="G371" s="26"/>
      <x:c r="H371" s="19"/>
      <x:c r="I371" s="26"/>
      <x:c r="J371" s="19"/>
      <x:c r="K371" s="26"/>
      <x:c r="L371" s="19"/>
      <x:c r="M371" s="26"/>
      <x:c r="N371" s="19"/>
      <x:c r="O371" s="19"/>
    </x:row>
    <x:row r="372">
      <x:c r="A372" s="19"/>
      <x:c r="B372" s="19"/>
      <x:c r="C372" s="19"/>
      <x:c r="D372" s="19"/>
      <x:c r="E372" s="19"/>
      <x:c r="F372" s="19"/>
      <x:c r="G372" s="26"/>
      <x:c r="H372" s="19"/>
      <x:c r="I372" s="26"/>
      <x:c r="J372" s="19"/>
      <x:c r="K372" s="26"/>
      <x:c r="L372" s="19"/>
      <x:c r="M372" s="26"/>
      <x:c r="N372" s="19"/>
      <x:c r="O372" s="19"/>
    </x:row>
    <x:row r="373">
      <x:c r="A373" s="19"/>
      <x:c r="B373" s="19"/>
      <x:c r="C373" s="19"/>
      <x:c r="D373" s="19"/>
      <x:c r="E373" s="19"/>
      <x:c r="F373" s="19"/>
      <x:c r="G373" s="26"/>
      <x:c r="H373" s="19"/>
      <x:c r="I373" s="26"/>
      <x:c r="J373" s="19"/>
      <x:c r="K373" s="26"/>
      <x:c r="L373" s="19"/>
      <x:c r="M373" s="26"/>
      <x:c r="N373" s="19"/>
      <x:c r="O373" s="19"/>
    </x:row>
    <x:row r="374">
      <x:c r="A374" s="19"/>
      <x:c r="B374" s="19"/>
      <x:c r="C374" s="19"/>
      <x:c r="D374" s="19"/>
      <x:c r="E374" s="19"/>
      <x:c r="F374" s="19"/>
      <x:c r="G374" s="26"/>
      <x:c r="H374" s="19"/>
      <x:c r="I374" s="26"/>
      <x:c r="J374" s="19"/>
      <x:c r="K374" s="26"/>
      <x:c r="L374" s="19"/>
      <x:c r="M374" s="26"/>
      <x:c r="N374" s="19"/>
      <x:c r="O374" s="19"/>
    </x:row>
    <x:row r="375">
      <x:c r="A375" s="19"/>
      <x:c r="B375" s="19"/>
      <x:c r="C375" s="19"/>
      <x:c r="D375" s="19"/>
      <x:c r="E375" s="19"/>
      <x:c r="F375" s="19"/>
      <x:c r="G375" s="26"/>
      <x:c r="H375" s="19"/>
      <x:c r="I375" s="26"/>
      <x:c r="J375" s="19"/>
      <x:c r="K375" s="26"/>
      <x:c r="L375" s="19"/>
      <x:c r="M375" s="26"/>
      <x:c r="N375" s="19"/>
      <x:c r="O375" s="19"/>
    </x:row>
    <x:row r="376">
      <x:c r="A376" s="19"/>
      <x:c r="B376" s="19"/>
      <x:c r="C376" s="19"/>
      <x:c r="D376" s="19"/>
      <x:c r="E376" s="19"/>
      <x:c r="F376" s="19"/>
      <x:c r="G376" s="26"/>
      <x:c r="H376" s="19"/>
      <x:c r="I376" s="26"/>
      <x:c r="J376" s="19"/>
      <x:c r="K376" s="26"/>
      <x:c r="L376" s="19"/>
      <x:c r="M376" s="26"/>
      <x:c r="N376" s="19"/>
      <x:c r="O376" s="19"/>
    </x:row>
    <x:row r="377">
      <x:c r="A377" s="19"/>
      <x:c r="B377" s="19"/>
      <x:c r="C377" s="19"/>
      <x:c r="D377" s="19"/>
      <x:c r="E377" s="19"/>
      <x:c r="F377" s="19"/>
      <x:c r="G377" s="26"/>
      <x:c r="H377" s="19"/>
      <x:c r="I377" s="26"/>
      <x:c r="J377" s="19"/>
      <x:c r="K377" s="26"/>
      <x:c r="L377" s="19"/>
      <x:c r="M377" s="26"/>
      <x:c r="N377" s="19"/>
      <x:c r="O377" s="19"/>
    </x:row>
    <x:row r="378">
      <x:c r="A378" s="19"/>
      <x:c r="B378" s="19"/>
      <x:c r="C378" s="19"/>
      <x:c r="D378" s="19"/>
      <x:c r="E378" s="19"/>
      <x:c r="F378" s="19"/>
      <x:c r="G378" s="26"/>
      <x:c r="H378" s="19"/>
      <x:c r="I378" s="26"/>
      <x:c r="J378" s="19"/>
      <x:c r="K378" s="26"/>
      <x:c r="L378" s="19"/>
      <x:c r="M378" s="26"/>
      <x:c r="N378" s="19"/>
      <x:c r="O378" s="19"/>
    </x:row>
    <x:row r="379">
      <x:c r="A379" s="19"/>
      <x:c r="B379" s="19"/>
      <x:c r="C379" s="19"/>
      <x:c r="D379" s="19"/>
      <x:c r="E379" s="19"/>
      <x:c r="F379" s="19"/>
      <x:c r="G379" s="26"/>
      <x:c r="H379" s="19"/>
      <x:c r="I379" s="26"/>
      <x:c r="J379" s="19"/>
      <x:c r="K379" s="26"/>
      <x:c r="L379" s="19"/>
      <x:c r="M379" s="26"/>
      <x:c r="N379" s="19"/>
      <x:c r="O379" s="19"/>
    </x:row>
    <x:row r="380">
      <x:c r="A380" s="19"/>
      <x:c r="B380" s="19"/>
      <x:c r="C380" s="19"/>
      <x:c r="D380" s="19"/>
      <x:c r="E380" s="19"/>
      <x:c r="F380" s="19"/>
      <x:c r="G380" s="26"/>
      <x:c r="H380" s="19"/>
      <x:c r="I380" s="26"/>
      <x:c r="J380" s="19"/>
      <x:c r="K380" s="26"/>
      <x:c r="L380" s="19"/>
      <x:c r="M380" s="26"/>
      <x:c r="N380" s="19"/>
      <x:c r="O380" s="19"/>
    </x:row>
    <x:row r="381">
      <x:c r="A381" s="19"/>
      <x:c r="B381" s="19"/>
      <x:c r="C381" s="19"/>
      <x:c r="D381" s="19"/>
      <x:c r="E381" s="19"/>
      <x:c r="F381" s="19"/>
      <x:c r="G381" s="26"/>
      <x:c r="H381" s="19"/>
      <x:c r="I381" s="26"/>
      <x:c r="J381" s="19"/>
      <x:c r="K381" s="26"/>
      <x:c r="L381" s="19"/>
      <x:c r="M381" s="26"/>
      <x:c r="N381" s="19"/>
      <x:c r="O381" s="19"/>
    </x:row>
    <x:row r="382">
      <x:c r="A382" s="19"/>
      <x:c r="B382" s="19"/>
      <x:c r="C382" s="19"/>
      <x:c r="D382" s="19"/>
      <x:c r="E382" s="19"/>
      <x:c r="F382" s="19"/>
      <x:c r="G382" s="26"/>
      <x:c r="H382" s="19"/>
      <x:c r="I382" s="26"/>
      <x:c r="J382" s="19"/>
      <x:c r="K382" s="26"/>
      <x:c r="L382" s="19"/>
      <x:c r="M382" s="26"/>
      <x:c r="N382" s="19"/>
      <x:c r="O382" s="19"/>
    </x:row>
    <x:row r="383">
      <x:c r="A383" s="19"/>
      <x:c r="B383" s="19"/>
      <x:c r="C383" s="19"/>
      <x:c r="D383" s="19"/>
      <x:c r="E383" s="19"/>
      <x:c r="F383" s="19"/>
      <x:c r="G383" s="26"/>
      <x:c r="H383" s="19"/>
      <x:c r="I383" s="26"/>
      <x:c r="J383" s="19"/>
      <x:c r="K383" s="26"/>
      <x:c r="L383" s="19"/>
      <x:c r="M383" s="26"/>
      <x:c r="N383" s="19"/>
      <x:c r="O383" s="19"/>
    </x:row>
    <x:row r="384">
      <x:c r="A384" s="19"/>
      <x:c r="B384" s="19"/>
      <x:c r="C384" s="19"/>
      <x:c r="D384" s="19"/>
      <x:c r="E384" s="19"/>
      <x:c r="F384" s="19"/>
      <x:c r="G384" s="26"/>
      <x:c r="H384" s="19"/>
      <x:c r="I384" s="26"/>
      <x:c r="J384" s="19"/>
      <x:c r="K384" s="26"/>
      <x:c r="L384" s="19"/>
      <x:c r="M384" s="26"/>
      <x:c r="N384" s="19"/>
      <x:c r="O384" s="19"/>
    </x:row>
    <x:row r="385">
      <x:c r="A385" s="19"/>
      <x:c r="B385" s="19"/>
      <x:c r="C385" s="19"/>
      <x:c r="D385" s="19"/>
      <x:c r="E385" s="19"/>
      <x:c r="F385" s="19"/>
      <x:c r="G385" s="26"/>
      <x:c r="H385" s="19"/>
      <x:c r="I385" s="26"/>
      <x:c r="J385" s="19"/>
      <x:c r="K385" s="26"/>
      <x:c r="L385" s="19"/>
      <x:c r="M385" s="26"/>
      <x:c r="N385" s="19"/>
      <x:c r="O385" s="19"/>
    </x:row>
    <x:row r="386">
      <x:c r="A386" s="19"/>
      <x:c r="B386" s="19"/>
      <x:c r="C386" s="19"/>
      <x:c r="D386" s="19"/>
      <x:c r="E386" s="19"/>
      <x:c r="F386" s="19"/>
      <x:c r="G386" s="26"/>
      <x:c r="H386" s="19"/>
      <x:c r="I386" s="26"/>
      <x:c r="J386" s="19"/>
      <x:c r="K386" s="26"/>
      <x:c r="L386" s="19"/>
      <x:c r="M386" s="26"/>
      <x:c r="N386" s="19"/>
      <x:c r="O386" s="19"/>
    </x:row>
    <x:row r="387">
      <x:c r="A387" s="19"/>
      <x:c r="B387" s="19"/>
      <x:c r="C387" s="19"/>
      <x:c r="D387" s="19"/>
      <x:c r="E387" s="19"/>
      <x:c r="F387" s="19"/>
      <x:c r="G387" s="26"/>
      <x:c r="H387" s="19"/>
      <x:c r="I387" s="26"/>
      <x:c r="J387" s="19"/>
      <x:c r="K387" s="26"/>
      <x:c r="L387" s="19"/>
      <x:c r="M387" s="26"/>
      <x:c r="N387" s="19"/>
      <x:c r="O387" s="19"/>
    </x:row>
    <x:row r="388">
      <x:c r="A388" s="19"/>
      <x:c r="B388" s="19"/>
      <x:c r="C388" s="19"/>
      <x:c r="D388" s="19"/>
      <x:c r="E388" s="19"/>
      <x:c r="F388" s="19"/>
      <x:c r="G388" s="26"/>
      <x:c r="H388" s="19"/>
      <x:c r="I388" s="26"/>
      <x:c r="J388" s="19"/>
      <x:c r="K388" s="26"/>
      <x:c r="L388" s="19"/>
      <x:c r="M388" s="26"/>
      <x:c r="N388" s="19"/>
      <x:c r="O388" s="19"/>
    </x:row>
    <x:row r="389">
      <x:c r="A389" s="19"/>
      <x:c r="B389" s="19"/>
      <x:c r="C389" s="19"/>
      <x:c r="D389" s="19"/>
      <x:c r="E389" s="19"/>
      <x:c r="F389" s="19"/>
      <x:c r="G389" s="26"/>
      <x:c r="H389" s="19"/>
      <x:c r="I389" s="26"/>
      <x:c r="J389" s="19"/>
      <x:c r="K389" s="26"/>
      <x:c r="L389" s="19"/>
      <x:c r="M389" s="26"/>
      <x:c r="N389" s="19"/>
      <x:c r="O389" s="19"/>
    </x:row>
    <x:row r="390">
      <x:c r="A390" s="19"/>
      <x:c r="B390" s="19"/>
      <x:c r="C390" s="19"/>
      <x:c r="D390" s="19"/>
      <x:c r="E390" s="19"/>
      <x:c r="F390" s="19"/>
      <x:c r="G390" s="26"/>
      <x:c r="H390" s="19"/>
      <x:c r="I390" s="26"/>
      <x:c r="J390" s="19"/>
      <x:c r="K390" s="26"/>
      <x:c r="L390" s="19"/>
      <x:c r="M390" s="26"/>
      <x:c r="N390" s="19"/>
      <x:c r="O390" s="19"/>
    </x:row>
    <x:row r="391">
      <x:c r="A391" s="19"/>
      <x:c r="B391" s="19"/>
      <x:c r="C391" s="19"/>
      <x:c r="D391" s="19"/>
      <x:c r="E391" s="19"/>
      <x:c r="F391" s="19"/>
      <x:c r="G391" s="26"/>
      <x:c r="H391" s="19"/>
      <x:c r="I391" s="26"/>
      <x:c r="J391" s="19"/>
      <x:c r="K391" s="26"/>
      <x:c r="L391" s="19"/>
      <x:c r="M391" s="26"/>
      <x:c r="N391" s="19"/>
      <x:c r="O391" s="19"/>
    </x:row>
    <x:row r="392">
      <x:c r="A392" s="19"/>
      <x:c r="B392" s="19"/>
      <x:c r="C392" s="19"/>
      <x:c r="D392" s="19"/>
      <x:c r="E392" s="19"/>
      <x:c r="F392" s="19"/>
      <x:c r="G392" s="26"/>
      <x:c r="H392" s="19"/>
      <x:c r="I392" s="26"/>
      <x:c r="J392" s="19"/>
      <x:c r="K392" s="26"/>
      <x:c r="L392" s="19"/>
      <x:c r="M392" s="26"/>
      <x:c r="N392" s="19"/>
      <x:c r="O392" s="19"/>
    </x:row>
    <x:row r="393">
      <x:c r="A393" s="19"/>
      <x:c r="B393" s="19"/>
      <x:c r="C393" s="19"/>
      <x:c r="D393" s="19"/>
      <x:c r="E393" s="19"/>
      <x:c r="F393" s="19"/>
      <x:c r="G393" s="26"/>
      <x:c r="H393" s="19"/>
      <x:c r="I393" s="26"/>
      <x:c r="J393" s="19"/>
      <x:c r="K393" s="26"/>
      <x:c r="L393" s="19"/>
      <x:c r="M393" s="26"/>
      <x:c r="N393" s="19"/>
      <x:c r="O393" s="19"/>
    </x:row>
    <x:row r="394">
      <x:c r="A394" s="19"/>
      <x:c r="B394" s="19"/>
      <x:c r="C394" s="19"/>
      <x:c r="D394" s="19"/>
      <x:c r="E394" s="19"/>
      <x:c r="F394" s="19"/>
      <x:c r="G394" s="26"/>
      <x:c r="H394" s="19"/>
      <x:c r="I394" s="26"/>
      <x:c r="J394" s="19"/>
      <x:c r="K394" s="26"/>
      <x:c r="L394" s="19"/>
      <x:c r="M394" s="26"/>
      <x:c r="N394" s="19"/>
      <x:c r="O394" s="19"/>
    </x:row>
    <x:row r="395">
      <x:c r="A395" s="19"/>
      <x:c r="B395" s="19"/>
      <x:c r="C395" s="19"/>
      <x:c r="D395" s="19"/>
      <x:c r="E395" s="19"/>
      <x:c r="F395" s="19"/>
      <x:c r="G395" s="26"/>
      <x:c r="H395" s="19"/>
      <x:c r="I395" s="26"/>
      <x:c r="J395" s="19"/>
      <x:c r="K395" s="26"/>
      <x:c r="L395" s="19"/>
      <x:c r="M395" s="26"/>
      <x:c r="N395" s="19"/>
      <x:c r="O395" s="19"/>
    </x:row>
    <x:row r="396">
      <x:c r="A396" s="19"/>
      <x:c r="B396" s="19"/>
      <x:c r="C396" s="19"/>
      <x:c r="D396" s="19"/>
      <x:c r="E396" s="19"/>
      <x:c r="F396" s="19"/>
      <x:c r="G396" s="26"/>
      <x:c r="H396" s="19"/>
      <x:c r="I396" s="26"/>
      <x:c r="J396" s="19"/>
      <x:c r="K396" s="26"/>
      <x:c r="L396" s="19"/>
      <x:c r="M396" s="26"/>
      <x:c r="N396" s="19"/>
      <x:c r="O396" s="19"/>
    </x:row>
    <x:row r="397">
      <x:c r="A397" s="19"/>
      <x:c r="B397" s="19"/>
      <x:c r="C397" s="19"/>
      <x:c r="D397" s="19"/>
      <x:c r="E397" s="19"/>
      <x:c r="F397" s="19"/>
      <x:c r="G397" s="26"/>
      <x:c r="H397" s="19"/>
      <x:c r="I397" s="26"/>
      <x:c r="J397" s="19"/>
      <x:c r="K397" s="26"/>
      <x:c r="L397" s="19"/>
      <x:c r="M397" s="26"/>
      <x:c r="N397" s="19"/>
      <x:c r="O397" s="19"/>
    </x:row>
    <x:row r="398">
      <x:c r="A398" s="19"/>
      <x:c r="B398" s="19"/>
      <x:c r="C398" s="19"/>
      <x:c r="D398" s="19"/>
      <x:c r="E398" s="19"/>
      <x:c r="F398" s="19"/>
      <x:c r="G398" s="26"/>
      <x:c r="H398" s="19"/>
      <x:c r="I398" s="26"/>
      <x:c r="J398" s="19"/>
      <x:c r="K398" s="26"/>
      <x:c r="L398" s="19"/>
      <x:c r="M398" s="26"/>
      <x:c r="N398" s="19"/>
      <x:c r="O398" s="19"/>
    </x:row>
    <x:row r="399">
      <x:c r="A399" s="19"/>
      <x:c r="B399" s="19"/>
      <x:c r="C399" s="19"/>
      <x:c r="D399" s="19"/>
      <x:c r="E399" s="19"/>
      <x:c r="F399" s="19"/>
      <x:c r="G399" s="26"/>
      <x:c r="H399" s="19"/>
      <x:c r="I399" s="26"/>
      <x:c r="J399" s="19"/>
      <x:c r="K399" s="26"/>
      <x:c r="L399" s="19"/>
      <x:c r="M399" s="26"/>
      <x:c r="N399" s="19"/>
      <x:c r="O399" s="19"/>
    </x:row>
    <x:row r="400">
      <x:c r="A400" s="19"/>
      <x:c r="B400" s="19"/>
      <x:c r="C400" s="19"/>
      <x:c r="D400" s="19"/>
      <x:c r="E400" s="19"/>
      <x:c r="F400" s="19"/>
      <x:c r="G400" s="26"/>
      <x:c r="H400" s="19"/>
      <x:c r="I400" s="26"/>
      <x:c r="J400" s="19"/>
      <x:c r="K400" s="26"/>
      <x:c r="L400" s="19"/>
      <x:c r="M400" s="26"/>
      <x:c r="N400" s="19"/>
      <x:c r="O400" s="19"/>
    </x:row>
    <x:row r="401">
      <x:c r="A401" s="19"/>
      <x:c r="B401" s="19"/>
      <x:c r="C401" s="19"/>
      <x:c r="D401" s="19"/>
      <x:c r="E401" s="19"/>
      <x:c r="F401" s="19"/>
      <x:c r="G401" s="26"/>
      <x:c r="H401" s="19"/>
      <x:c r="I401" s="26"/>
      <x:c r="J401" s="19"/>
      <x:c r="K401" s="26"/>
      <x:c r="L401" s="19"/>
      <x:c r="M401" s="26"/>
      <x:c r="N401" s="19"/>
      <x:c r="O401" s="19"/>
    </x:row>
    <x:row r="402">
      <x:c r="A402" s="19"/>
      <x:c r="B402" s="19"/>
      <x:c r="C402" s="19"/>
      <x:c r="D402" s="19"/>
      <x:c r="E402" s="19"/>
      <x:c r="F402" s="19"/>
      <x:c r="G402" s="26"/>
      <x:c r="H402" s="19"/>
      <x:c r="I402" s="26"/>
      <x:c r="J402" s="19"/>
      <x:c r="K402" s="26"/>
      <x:c r="L402" s="19"/>
      <x:c r="M402" s="26"/>
      <x:c r="N402" s="19"/>
      <x:c r="O402" s="19"/>
    </x:row>
    <x:row r="403">
      <x:c r="A403" s="19"/>
      <x:c r="B403" s="19"/>
      <x:c r="C403" s="19"/>
      <x:c r="D403" s="19"/>
      <x:c r="E403" s="19"/>
      <x:c r="F403" s="19"/>
      <x:c r="G403" s="26"/>
      <x:c r="H403" s="19"/>
      <x:c r="I403" s="26"/>
      <x:c r="J403" s="19"/>
      <x:c r="K403" s="26"/>
      <x:c r="L403" s="19"/>
      <x:c r="M403" s="26"/>
      <x:c r="N403" s="19"/>
      <x:c r="O403" s="19"/>
    </x:row>
    <x:row r="404">
      <x:c r="A404" s="19"/>
      <x:c r="B404" s="19"/>
      <x:c r="C404" s="19"/>
      <x:c r="D404" s="19"/>
      <x:c r="E404" s="19"/>
      <x:c r="F404" s="19"/>
      <x:c r="G404" s="26"/>
      <x:c r="H404" s="19"/>
      <x:c r="I404" s="26"/>
      <x:c r="J404" s="19"/>
      <x:c r="K404" s="26"/>
      <x:c r="L404" s="19"/>
      <x:c r="M404" s="26"/>
      <x:c r="N404" s="19"/>
      <x:c r="O404" s="19"/>
    </x:row>
    <x:row r="405">
      <x:c r="A405" s="19"/>
      <x:c r="B405" s="19"/>
      <x:c r="C405" s="19"/>
      <x:c r="D405" s="19"/>
      <x:c r="E405" s="19"/>
      <x:c r="F405" s="19"/>
      <x:c r="G405" s="26"/>
      <x:c r="H405" s="19"/>
      <x:c r="I405" s="26"/>
      <x:c r="J405" s="19"/>
      <x:c r="K405" s="26"/>
      <x:c r="L405" s="19"/>
      <x:c r="M405" s="26"/>
      <x:c r="N405" s="19"/>
      <x:c r="O405" s="19"/>
    </x:row>
    <x:row r="406">
      <x:c r="A406" s="19"/>
      <x:c r="B406" s="19"/>
      <x:c r="C406" s="19"/>
      <x:c r="D406" s="19"/>
      <x:c r="E406" s="19"/>
      <x:c r="F406" s="19"/>
      <x:c r="G406" s="26"/>
      <x:c r="H406" s="19"/>
      <x:c r="I406" s="26"/>
      <x:c r="J406" s="19"/>
      <x:c r="K406" s="26"/>
      <x:c r="L406" s="19"/>
      <x:c r="M406" s="26"/>
      <x:c r="N406" s="19"/>
      <x:c r="O406" s="19"/>
    </x:row>
    <x:row r="407">
      <x:c r="A407" s="19"/>
      <x:c r="B407" s="19"/>
      <x:c r="C407" s="19"/>
      <x:c r="D407" s="19"/>
      <x:c r="E407" s="19"/>
      <x:c r="F407" s="19"/>
      <x:c r="G407" s="26"/>
      <x:c r="H407" s="19"/>
      <x:c r="I407" s="26"/>
      <x:c r="J407" s="19"/>
      <x:c r="K407" s="26"/>
      <x:c r="L407" s="19"/>
      <x:c r="M407" s="26"/>
      <x:c r="N407" s="19"/>
      <x:c r="O407" s="19"/>
    </x:row>
    <x:row r="408">
      <x:c r="A408" s="19"/>
      <x:c r="B408" s="19"/>
      <x:c r="C408" s="19"/>
      <x:c r="D408" s="19"/>
      <x:c r="E408" s="19"/>
      <x:c r="F408" s="19"/>
      <x:c r="G408" s="26"/>
      <x:c r="H408" s="19"/>
      <x:c r="I408" s="26"/>
      <x:c r="J408" s="19"/>
      <x:c r="K408" s="26"/>
      <x:c r="L408" s="19"/>
      <x:c r="M408" s="26"/>
      <x:c r="N408" s="19"/>
      <x:c r="O408" s="19"/>
    </x:row>
    <x:row r="409">
      <x:c r="A409" s="19"/>
      <x:c r="B409" s="19"/>
      <x:c r="C409" s="19"/>
      <x:c r="D409" s="19"/>
      <x:c r="E409" s="19"/>
      <x:c r="F409" s="19"/>
      <x:c r="G409" s="26"/>
      <x:c r="H409" s="19"/>
      <x:c r="I409" s="26"/>
      <x:c r="J409" s="19"/>
      <x:c r="K409" s="26"/>
      <x:c r="L409" s="19"/>
      <x:c r="M409" s="26"/>
      <x:c r="N409" s="19"/>
      <x:c r="O409" s="19"/>
    </x:row>
    <x:row r="410">
      <x:c r="A410" s="19"/>
      <x:c r="B410" s="19"/>
      <x:c r="C410" s="19"/>
      <x:c r="D410" s="19"/>
      <x:c r="E410" s="19"/>
      <x:c r="F410" s="19"/>
      <x:c r="G410" s="26"/>
      <x:c r="H410" s="19"/>
      <x:c r="I410" s="26"/>
      <x:c r="J410" s="19"/>
      <x:c r="K410" s="26"/>
      <x:c r="L410" s="19"/>
      <x:c r="M410" s="26"/>
      <x:c r="N410" s="19"/>
      <x:c r="O410" s="19"/>
    </x:row>
    <x:row r="411">
      <x:c r="A411" s="19"/>
      <x:c r="B411" s="19"/>
      <x:c r="C411" s="19"/>
      <x:c r="D411" s="19"/>
      <x:c r="E411" s="19"/>
      <x:c r="F411" s="19"/>
      <x:c r="G411" s="26"/>
      <x:c r="H411" s="19"/>
      <x:c r="I411" s="26"/>
      <x:c r="J411" s="19"/>
      <x:c r="K411" s="26"/>
      <x:c r="L411" s="19"/>
      <x:c r="M411" s="26"/>
      <x:c r="N411" s="19"/>
      <x:c r="O411" s="19"/>
    </x:row>
    <x:row r="412">
      <x:c r="A412" s="19"/>
      <x:c r="B412" s="19"/>
      <x:c r="C412" s="19"/>
      <x:c r="D412" s="19"/>
      <x:c r="E412" s="19"/>
      <x:c r="F412" s="19"/>
      <x:c r="G412" s="26"/>
      <x:c r="H412" s="19"/>
      <x:c r="I412" s="26"/>
      <x:c r="J412" s="19"/>
      <x:c r="K412" s="26"/>
      <x:c r="L412" s="19"/>
      <x:c r="M412" s="26"/>
      <x:c r="N412" s="19"/>
      <x:c r="O412" s="19"/>
    </x:row>
    <x:row r="413">
      <x:c r="A413" s="19"/>
      <x:c r="B413" s="19"/>
      <x:c r="C413" s="19"/>
      <x:c r="D413" s="19"/>
      <x:c r="E413" s="19"/>
      <x:c r="F413" s="19"/>
      <x:c r="G413" s="26"/>
      <x:c r="H413" s="19"/>
      <x:c r="I413" s="26"/>
      <x:c r="J413" s="19"/>
      <x:c r="K413" s="26"/>
      <x:c r="L413" s="19"/>
      <x:c r="M413" s="26"/>
      <x:c r="N413" s="19"/>
      <x:c r="O413" s="19"/>
    </x:row>
    <x:row r="414">
      <x:c r="A414" s="19"/>
      <x:c r="B414" s="19"/>
      <x:c r="C414" s="19"/>
      <x:c r="D414" s="19"/>
      <x:c r="E414" s="19"/>
      <x:c r="F414" s="19"/>
      <x:c r="G414" s="26"/>
      <x:c r="H414" s="19"/>
      <x:c r="I414" s="26"/>
      <x:c r="J414" s="19"/>
      <x:c r="K414" s="26"/>
      <x:c r="L414" s="19"/>
      <x:c r="M414" s="26"/>
      <x:c r="N414" s="19"/>
      <x:c r="O414" s="19"/>
    </x:row>
    <x:row r="415">
      <x:c r="A415" s="19"/>
      <x:c r="B415" s="19"/>
      <x:c r="C415" s="19"/>
      <x:c r="D415" s="19"/>
      <x:c r="E415" s="19"/>
      <x:c r="F415" s="19"/>
      <x:c r="G415" s="26"/>
      <x:c r="H415" s="19"/>
      <x:c r="I415" s="26"/>
      <x:c r="J415" s="19"/>
      <x:c r="K415" s="26"/>
      <x:c r="L415" s="19"/>
      <x:c r="M415" s="26"/>
      <x:c r="N415" s="19"/>
      <x:c r="O415" s="19"/>
    </x:row>
    <x:row r="416">
      <x:c r="A416" s="19"/>
      <x:c r="B416" s="19"/>
      <x:c r="C416" s="19"/>
      <x:c r="D416" s="19"/>
      <x:c r="E416" s="19"/>
      <x:c r="F416" s="19"/>
      <x:c r="G416" s="26"/>
      <x:c r="H416" s="19"/>
      <x:c r="I416" s="26"/>
      <x:c r="J416" s="19"/>
      <x:c r="K416" s="26"/>
      <x:c r="L416" s="19"/>
      <x:c r="M416" s="26"/>
      <x:c r="N416" s="19"/>
      <x:c r="O416" s="19"/>
    </x:row>
    <x:row r="417">
      <x:c r="A417" s="19"/>
      <x:c r="B417" s="19"/>
      <x:c r="C417" s="19"/>
      <x:c r="D417" s="19"/>
      <x:c r="E417" s="19"/>
      <x:c r="F417" s="19"/>
      <x:c r="G417" s="26"/>
      <x:c r="H417" s="19"/>
      <x:c r="I417" s="26"/>
      <x:c r="J417" s="19"/>
      <x:c r="K417" s="26"/>
      <x:c r="L417" s="19"/>
      <x:c r="M417" s="26"/>
      <x:c r="N417" s="19"/>
      <x:c r="O417" s="19"/>
    </x:row>
    <x:row r="418">
      <x:c r="A418" s="19"/>
      <x:c r="B418" s="19"/>
      <x:c r="C418" s="19"/>
      <x:c r="D418" s="19"/>
      <x:c r="E418" s="19"/>
      <x:c r="F418" s="19"/>
      <x:c r="G418" s="26"/>
      <x:c r="H418" s="19"/>
      <x:c r="I418" s="26"/>
      <x:c r="J418" s="19"/>
      <x:c r="K418" s="26"/>
      <x:c r="L418" s="19"/>
      <x:c r="M418" s="26"/>
      <x:c r="N418" s="19"/>
      <x:c r="O418" s="19"/>
    </x:row>
    <x:row r="419">
      <x:c r="A419" s="19"/>
      <x:c r="B419" s="19"/>
      <x:c r="C419" s="19"/>
      <x:c r="D419" s="19"/>
      <x:c r="E419" s="19"/>
      <x:c r="F419" s="19"/>
      <x:c r="G419" s="26"/>
      <x:c r="H419" s="19"/>
      <x:c r="I419" s="26"/>
      <x:c r="J419" s="19"/>
      <x:c r="K419" s="26"/>
      <x:c r="L419" s="19"/>
      <x:c r="M419" s="26"/>
      <x:c r="N419" s="19"/>
      <x:c r="O419" s="19"/>
    </x:row>
    <x:row r="420">
      <x:c r="A420" s="19"/>
      <x:c r="B420" s="19"/>
      <x:c r="C420" s="19"/>
      <x:c r="D420" s="19"/>
      <x:c r="E420" s="19"/>
      <x:c r="F420" s="19"/>
      <x:c r="G420" s="26"/>
      <x:c r="H420" s="19"/>
      <x:c r="I420" s="26"/>
      <x:c r="J420" s="19"/>
      <x:c r="K420" s="26"/>
      <x:c r="L420" s="19"/>
      <x:c r="M420" s="26"/>
      <x:c r="N420" s="19"/>
      <x:c r="O420" s="19"/>
    </x:row>
    <x:row r="421">
      <x:c r="A421" s="19"/>
      <x:c r="B421" s="19"/>
      <x:c r="C421" s="19"/>
      <x:c r="D421" s="19"/>
      <x:c r="E421" s="19"/>
      <x:c r="F421" s="19"/>
      <x:c r="G421" s="26"/>
      <x:c r="H421" s="19"/>
      <x:c r="I421" s="26"/>
      <x:c r="J421" s="19"/>
      <x:c r="K421" s="26"/>
      <x:c r="L421" s="19"/>
      <x:c r="M421" s="26"/>
      <x:c r="N421" s="19"/>
      <x:c r="O421" s="19"/>
    </x:row>
    <x:row r="422">
      <x:c r="A422" s="19"/>
      <x:c r="B422" s="19"/>
      <x:c r="C422" s="19"/>
      <x:c r="D422" s="19"/>
      <x:c r="E422" s="19"/>
      <x:c r="F422" s="19"/>
      <x:c r="G422" s="26"/>
      <x:c r="H422" s="19"/>
      <x:c r="I422" s="26"/>
      <x:c r="J422" s="19"/>
      <x:c r="K422" s="26"/>
      <x:c r="L422" s="19"/>
      <x:c r="M422" s="26"/>
      <x:c r="N422" s="19"/>
      <x:c r="O422" s="19"/>
    </x:row>
    <x:row r="423">
      <x:c r="A423" s="19"/>
      <x:c r="B423" s="19"/>
      <x:c r="C423" s="19"/>
      <x:c r="D423" s="19"/>
      <x:c r="E423" s="19"/>
      <x:c r="F423" s="19"/>
      <x:c r="G423" s="26"/>
      <x:c r="H423" s="19"/>
      <x:c r="I423" s="26"/>
      <x:c r="J423" s="19"/>
      <x:c r="K423" s="26"/>
      <x:c r="L423" s="19"/>
      <x:c r="M423" s="26"/>
      <x:c r="N423" s="19"/>
      <x:c r="O423" s="19"/>
    </x:row>
    <x:row r="424">
      <x:c r="A424" s="19"/>
      <x:c r="B424" s="19"/>
      <x:c r="C424" s="19"/>
      <x:c r="D424" s="19"/>
      <x:c r="E424" s="19"/>
      <x:c r="F424" s="19"/>
      <x:c r="G424" s="26"/>
      <x:c r="H424" s="19"/>
      <x:c r="I424" s="26"/>
      <x:c r="J424" s="19"/>
      <x:c r="K424" s="26"/>
      <x:c r="L424" s="19"/>
      <x:c r="M424" s="26"/>
      <x:c r="N424" s="19"/>
      <x:c r="O424" s="19"/>
    </x:row>
    <x:row r="425">
      <x:c r="A425" s="19"/>
      <x:c r="B425" s="19"/>
      <x:c r="C425" s="19"/>
      <x:c r="D425" s="19"/>
      <x:c r="E425" s="19"/>
      <x:c r="F425" s="19"/>
      <x:c r="G425" s="26"/>
      <x:c r="H425" s="19"/>
      <x:c r="I425" s="26"/>
      <x:c r="J425" s="19"/>
      <x:c r="K425" s="26"/>
      <x:c r="L425" s="19"/>
      <x:c r="M425" s="26"/>
      <x:c r="N425" s="19"/>
      <x:c r="O425" s="19"/>
    </x:row>
    <x:row r="426">
      <x:c r="A426" s="19"/>
      <x:c r="B426" s="19"/>
      <x:c r="C426" s="19"/>
      <x:c r="D426" s="19"/>
      <x:c r="E426" s="19"/>
      <x:c r="F426" s="19"/>
      <x:c r="G426" s="26"/>
      <x:c r="H426" s="19"/>
      <x:c r="I426" s="26"/>
      <x:c r="J426" s="19"/>
      <x:c r="K426" s="26"/>
      <x:c r="L426" s="19"/>
      <x:c r="M426" s="26"/>
      <x:c r="N426" s="19"/>
      <x:c r="O426" s="19"/>
    </x:row>
    <x:row r="427">
      <x:c r="A427" s="19"/>
      <x:c r="B427" s="19"/>
      <x:c r="C427" s="19"/>
      <x:c r="D427" s="19"/>
      <x:c r="E427" s="19"/>
      <x:c r="F427" s="19"/>
      <x:c r="G427" s="26"/>
      <x:c r="H427" s="19"/>
      <x:c r="I427" s="26"/>
      <x:c r="J427" s="19"/>
      <x:c r="K427" s="26"/>
      <x:c r="L427" s="19"/>
      <x:c r="M427" s="26"/>
      <x:c r="N427" s="19"/>
      <x:c r="O427" s="19"/>
    </x:row>
    <x:row r="428">
      <x:c r="A428" s="19"/>
      <x:c r="B428" s="19"/>
      <x:c r="C428" s="19"/>
      <x:c r="D428" s="19"/>
      <x:c r="E428" s="19"/>
      <x:c r="F428" s="19"/>
      <x:c r="G428" s="26"/>
      <x:c r="H428" s="19"/>
      <x:c r="I428" s="26"/>
      <x:c r="J428" s="19"/>
      <x:c r="K428" s="26"/>
      <x:c r="L428" s="19"/>
      <x:c r="M428" s="26"/>
      <x:c r="N428" s="19"/>
      <x:c r="O428" s="19"/>
    </x:row>
    <x:row r="429">
      <x:c r="A429" s="19"/>
      <x:c r="B429" s="19"/>
      <x:c r="C429" s="19"/>
      <x:c r="D429" s="19"/>
      <x:c r="E429" s="19"/>
      <x:c r="F429" s="19"/>
      <x:c r="G429" s="26"/>
      <x:c r="H429" s="19"/>
      <x:c r="I429" s="26"/>
      <x:c r="J429" s="19"/>
      <x:c r="K429" s="26"/>
      <x:c r="L429" s="19"/>
      <x:c r="M429" s="26"/>
      <x:c r="N429" s="19"/>
      <x:c r="O429" s="19"/>
    </x:row>
    <x:row r="430">
      <x:c r="A430" s="19"/>
      <x:c r="B430" s="19"/>
      <x:c r="C430" s="19"/>
      <x:c r="D430" s="19"/>
      <x:c r="E430" s="19"/>
      <x:c r="F430" s="19"/>
      <x:c r="G430" s="26"/>
      <x:c r="H430" s="19"/>
      <x:c r="I430" s="26"/>
      <x:c r="J430" s="19"/>
      <x:c r="K430" s="26"/>
      <x:c r="L430" s="19"/>
      <x:c r="M430" s="26"/>
      <x:c r="N430" s="19"/>
      <x:c r="O430" s="19"/>
    </x:row>
    <x:row r="431">
      <x:c r="A431" s="19"/>
      <x:c r="B431" s="19"/>
      <x:c r="C431" s="19"/>
      <x:c r="D431" s="19"/>
      <x:c r="E431" s="19"/>
      <x:c r="F431" s="19"/>
      <x:c r="G431" s="26"/>
      <x:c r="H431" s="19"/>
      <x:c r="I431" s="26"/>
      <x:c r="J431" s="19"/>
      <x:c r="K431" s="26"/>
      <x:c r="L431" s="19"/>
      <x:c r="M431" s="26"/>
      <x:c r="N431" s="19"/>
      <x:c r="O431" s="19"/>
    </x:row>
    <x:row r="432">
      <x:c r="A432" s="19"/>
      <x:c r="B432" s="19"/>
      <x:c r="C432" s="19"/>
      <x:c r="D432" s="19"/>
      <x:c r="E432" s="19"/>
      <x:c r="F432" s="19"/>
      <x:c r="G432" s="26"/>
      <x:c r="H432" s="19"/>
      <x:c r="I432" s="26"/>
      <x:c r="J432" s="19"/>
      <x:c r="K432" s="26"/>
      <x:c r="L432" s="19"/>
      <x:c r="M432" s="26"/>
      <x:c r="N432" s="19"/>
      <x:c r="O432" s="19"/>
    </x:row>
    <x:row r="433">
      <x:c r="A433" s="19"/>
      <x:c r="B433" s="19"/>
      <x:c r="C433" s="19"/>
      <x:c r="D433" s="19"/>
      <x:c r="E433" s="19"/>
      <x:c r="F433" s="19"/>
      <x:c r="G433" s="26"/>
      <x:c r="H433" s="19"/>
      <x:c r="I433" s="26"/>
      <x:c r="J433" s="19"/>
      <x:c r="K433" s="26"/>
      <x:c r="L433" s="19"/>
      <x:c r="M433" s="26"/>
      <x:c r="N433" s="19"/>
      <x:c r="O433" s="19"/>
    </x:row>
    <x:row r="434">
      <x:c r="A434" s="19"/>
      <x:c r="B434" s="19"/>
      <x:c r="C434" s="19"/>
      <x:c r="D434" s="19"/>
      <x:c r="E434" s="19"/>
      <x:c r="F434" s="19"/>
      <x:c r="G434" s="26"/>
      <x:c r="H434" s="19"/>
      <x:c r="I434" s="26"/>
      <x:c r="J434" s="19"/>
      <x:c r="K434" s="26"/>
      <x:c r="L434" s="19"/>
      <x:c r="M434" s="26"/>
      <x:c r="N434" s="19"/>
      <x:c r="O434" s="19"/>
    </x:row>
    <x:row r="435">
      <x:c r="A435" s="19"/>
      <x:c r="B435" s="19"/>
      <x:c r="C435" s="19"/>
      <x:c r="D435" s="19"/>
      <x:c r="E435" s="19"/>
      <x:c r="F435" s="19"/>
      <x:c r="G435" s="26"/>
      <x:c r="H435" s="19"/>
      <x:c r="I435" s="26"/>
      <x:c r="J435" s="19"/>
      <x:c r="K435" s="26"/>
      <x:c r="L435" s="19"/>
      <x:c r="M435" s="26"/>
      <x:c r="N435" s="19"/>
      <x:c r="O435" s="19"/>
    </x:row>
    <x:row r="436">
      <x:c r="A436" s="19"/>
      <x:c r="B436" s="19"/>
      <x:c r="C436" s="19"/>
      <x:c r="D436" s="19"/>
      <x:c r="E436" s="19"/>
      <x:c r="F436" s="19"/>
      <x:c r="G436" s="26"/>
      <x:c r="H436" s="19"/>
      <x:c r="I436" s="26"/>
      <x:c r="J436" s="19"/>
      <x:c r="K436" s="26"/>
      <x:c r="L436" s="19"/>
      <x:c r="M436" s="26"/>
      <x:c r="N436" s="19"/>
      <x:c r="O436" s="19"/>
    </x:row>
    <x:row r="437">
      <x:c r="A437" s="19"/>
      <x:c r="B437" s="19"/>
      <x:c r="C437" s="19"/>
      <x:c r="D437" s="19"/>
      <x:c r="E437" s="19"/>
      <x:c r="F437" s="19"/>
      <x:c r="G437" s="26"/>
      <x:c r="H437" s="19"/>
      <x:c r="I437" s="26"/>
      <x:c r="J437" s="19"/>
      <x:c r="K437" s="26"/>
      <x:c r="L437" s="19"/>
      <x:c r="M437" s="26"/>
      <x:c r="N437" s="19"/>
      <x:c r="O437" s="19"/>
    </x:row>
    <x:row r="438">
      <x:c r="A438" s="19"/>
      <x:c r="B438" s="19"/>
      <x:c r="C438" s="19"/>
      <x:c r="D438" s="19"/>
      <x:c r="E438" s="19"/>
      <x:c r="F438" s="19"/>
      <x:c r="G438" s="26"/>
      <x:c r="H438" s="19"/>
      <x:c r="I438" s="26"/>
      <x:c r="J438" s="19"/>
      <x:c r="K438" s="26"/>
      <x:c r="L438" s="19"/>
      <x:c r="M438" s="26"/>
      <x:c r="N438" s="19"/>
      <x:c r="O438" s="19"/>
    </x:row>
    <x:row r="439">
      <x:c r="A439" s="19"/>
      <x:c r="B439" s="19"/>
      <x:c r="C439" s="19"/>
      <x:c r="D439" s="19"/>
      <x:c r="E439" s="19"/>
      <x:c r="F439" s="19"/>
      <x:c r="G439" s="26"/>
      <x:c r="H439" s="19"/>
      <x:c r="I439" s="26"/>
      <x:c r="J439" s="19"/>
      <x:c r="K439" s="26"/>
      <x:c r="L439" s="19"/>
      <x:c r="M439" s="26"/>
      <x:c r="N439" s="19"/>
      <x:c r="O439" s="19"/>
    </x:row>
    <x:row r="440">
      <x:c r="A440" s="19"/>
      <x:c r="B440" s="19"/>
      <x:c r="C440" s="19"/>
      <x:c r="D440" s="19"/>
      <x:c r="E440" s="19"/>
      <x:c r="F440" s="19"/>
      <x:c r="G440" s="26"/>
      <x:c r="H440" s="19"/>
      <x:c r="I440" s="26"/>
      <x:c r="J440" s="19"/>
      <x:c r="K440" s="26"/>
      <x:c r="L440" s="19"/>
      <x:c r="M440" s="26"/>
      <x:c r="N440" s="19"/>
      <x:c r="O440" s="19"/>
    </x:row>
    <x:row r="441">
      <x:c r="A441" s="19"/>
      <x:c r="B441" s="19"/>
      <x:c r="C441" s="19"/>
      <x:c r="D441" s="19"/>
      <x:c r="E441" s="19"/>
      <x:c r="F441" s="19"/>
      <x:c r="G441" s="26"/>
      <x:c r="H441" s="19"/>
      <x:c r="I441" s="26"/>
      <x:c r="J441" s="19"/>
      <x:c r="K441" s="26"/>
      <x:c r="L441" s="19"/>
      <x:c r="M441" s="26"/>
      <x:c r="N441" s="19"/>
      <x:c r="O441" s="19"/>
    </x:row>
    <x:row r="442">
      <x:c r="A442" s="19"/>
      <x:c r="B442" s="19"/>
      <x:c r="C442" s="19"/>
      <x:c r="D442" s="19"/>
      <x:c r="E442" s="19"/>
      <x:c r="F442" s="19"/>
      <x:c r="G442" s="26"/>
      <x:c r="H442" s="19"/>
      <x:c r="I442" s="26"/>
      <x:c r="J442" s="19"/>
      <x:c r="K442" s="26"/>
      <x:c r="L442" s="19"/>
      <x:c r="M442" s="26"/>
      <x:c r="N442" s="19"/>
      <x:c r="O442" s="19"/>
    </x:row>
    <x:row r="443">
      <x:c r="A443" s="19"/>
      <x:c r="B443" s="19"/>
      <x:c r="C443" s="19"/>
      <x:c r="D443" s="19"/>
      <x:c r="E443" s="19"/>
      <x:c r="F443" s="19"/>
      <x:c r="G443" s="26"/>
      <x:c r="H443" s="19"/>
      <x:c r="I443" s="26"/>
      <x:c r="J443" s="19"/>
      <x:c r="K443" s="26"/>
      <x:c r="L443" s="19"/>
      <x:c r="M443" s="26"/>
      <x:c r="N443" s="19"/>
      <x:c r="O443" s="19"/>
    </x:row>
    <x:row r="444">
      <x:c r="A444" s="19"/>
      <x:c r="B444" s="19"/>
      <x:c r="C444" s="19"/>
      <x:c r="D444" s="19"/>
      <x:c r="E444" s="19"/>
      <x:c r="F444" s="19"/>
      <x:c r="G444" s="26"/>
      <x:c r="H444" s="19"/>
      <x:c r="I444" s="26"/>
      <x:c r="J444" s="19"/>
      <x:c r="K444" s="26"/>
      <x:c r="L444" s="19"/>
      <x:c r="M444" s="26"/>
      <x:c r="N444" s="19"/>
      <x:c r="O444" s="19"/>
    </x:row>
    <x:row r="445">
      <x:c r="A445" s="19"/>
      <x:c r="B445" s="19"/>
      <x:c r="C445" s="19"/>
      <x:c r="D445" s="19"/>
      <x:c r="E445" s="19"/>
      <x:c r="F445" s="19"/>
      <x:c r="G445" s="26"/>
      <x:c r="H445" s="19"/>
      <x:c r="I445" s="26"/>
      <x:c r="J445" s="19"/>
      <x:c r="K445" s="26"/>
      <x:c r="L445" s="19"/>
      <x:c r="M445" s="26"/>
      <x:c r="N445" s="19"/>
      <x:c r="O445" s="19"/>
    </x:row>
    <x:row r="446">
      <x:c r="A446" s="19"/>
      <x:c r="B446" s="19"/>
      <x:c r="C446" s="19"/>
      <x:c r="D446" s="19"/>
      <x:c r="E446" s="19"/>
      <x:c r="F446" s="19"/>
      <x:c r="G446" s="26"/>
      <x:c r="H446" s="19"/>
      <x:c r="I446" s="26"/>
      <x:c r="J446" s="19"/>
      <x:c r="K446" s="26"/>
      <x:c r="L446" s="19"/>
      <x:c r="M446" s="26"/>
      <x:c r="N446" s="19"/>
      <x:c r="O446" s="19"/>
    </x:row>
    <x:row r="447">
      <x:c r="A447" s="19"/>
      <x:c r="B447" s="19"/>
      <x:c r="C447" s="19"/>
      <x:c r="D447" s="19"/>
      <x:c r="E447" s="19"/>
      <x:c r="F447" s="19"/>
      <x:c r="G447" s="26"/>
      <x:c r="H447" s="19"/>
      <x:c r="I447" s="26"/>
      <x:c r="J447" s="19"/>
      <x:c r="K447" s="26"/>
      <x:c r="L447" s="19"/>
      <x:c r="M447" s="26"/>
      <x:c r="N447" s="19"/>
      <x:c r="O447" s="19"/>
    </x:row>
    <x:row r="448">
      <x:c r="A448" s="19"/>
      <x:c r="B448" s="19"/>
      <x:c r="C448" s="19"/>
      <x:c r="D448" s="19"/>
      <x:c r="E448" s="19"/>
      <x:c r="F448" s="19"/>
      <x:c r="G448" s="26"/>
      <x:c r="H448" s="19"/>
      <x:c r="I448" s="26"/>
      <x:c r="J448" s="19"/>
      <x:c r="K448" s="26"/>
      <x:c r="L448" s="19"/>
      <x:c r="M448" s="26"/>
      <x:c r="N448" s="19"/>
      <x:c r="O448" s="19"/>
    </x:row>
    <x:row r="449">
      <x:c r="A449" s="19"/>
      <x:c r="B449" s="19"/>
      <x:c r="C449" s="19"/>
      <x:c r="D449" s="19"/>
      <x:c r="E449" s="19"/>
      <x:c r="F449" s="19"/>
      <x:c r="G449" s="26"/>
      <x:c r="H449" s="19"/>
      <x:c r="I449" s="26"/>
      <x:c r="J449" s="19"/>
      <x:c r="K449" s="26"/>
      <x:c r="L449" s="19"/>
      <x:c r="M449" s="26"/>
      <x:c r="N449" s="19"/>
      <x:c r="O449" s="19"/>
    </x:row>
    <x:row r="450">
      <x:c r="A450" s="19"/>
      <x:c r="B450" s="19"/>
      <x:c r="C450" s="19"/>
      <x:c r="D450" s="19"/>
      <x:c r="E450" s="19"/>
      <x:c r="F450" s="19"/>
      <x:c r="G450" s="26"/>
      <x:c r="H450" s="19"/>
      <x:c r="I450" s="26"/>
      <x:c r="J450" s="19"/>
      <x:c r="K450" s="26"/>
      <x:c r="L450" s="19"/>
      <x:c r="M450" s="26"/>
      <x:c r="N450" s="19"/>
      <x:c r="O450" s="19"/>
    </x:row>
    <x:row r="451">
      <x:c r="A451" s="19"/>
      <x:c r="B451" s="19"/>
      <x:c r="C451" s="19"/>
      <x:c r="D451" s="19"/>
      <x:c r="E451" s="19"/>
      <x:c r="F451" s="19"/>
      <x:c r="G451" s="26"/>
      <x:c r="H451" s="19"/>
      <x:c r="I451" s="26"/>
      <x:c r="J451" s="19"/>
      <x:c r="K451" s="26"/>
      <x:c r="L451" s="19"/>
      <x:c r="M451" s="26"/>
      <x:c r="N451" s="19"/>
      <x:c r="O451" s="19"/>
    </x:row>
    <x:row r="452">
      <x:c r="A452" s="19"/>
      <x:c r="B452" s="19"/>
      <x:c r="C452" s="19"/>
      <x:c r="D452" s="19"/>
      <x:c r="E452" s="19"/>
      <x:c r="F452" s="19"/>
      <x:c r="G452" s="26"/>
      <x:c r="H452" s="19"/>
      <x:c r="I452" s="26"/>
      <x:c r="J452" s="19"/>
      <x:c r="K452" s="26"/>
      <x:c r="L452" s="19"/>
      <x:c r="M452" s="26"/>
      <x:c r="N452" s="19"/>
      <x:c r="O452" s="19"/>
    </x:row>
    <x:row r="453">
      <x:c r="A453" s="19"/>
      <x:c r="B453" s="19"/>
      <x:c r="C453" s="19"/>
      <x:c r="D453" s="19"/>
      <x:c r="E453" s="19"/>
      <x:c r="F453" s="19"/>
      <x:c r="G453" s="26"/>
      <x:c r="H453" s="19"/>
      <x:c r="I453" s="26"/>
      <x:c r="J453" s="19"/>
      <x:c r="K453" s="26"/>
      <x:c r="L453" s="19"/>
      <x:c r="M453" s="26"/>
      <x:c r="N453" s="19"/>
      <x:c r="O453" s="19"/>
    </x:row>
    <x:row r="454">
      <x:c r="A454" s="19"/>
      <x:c r="B454" s="19"/>
      <x:c r="C454" s="19"/>
      <x:c r="D454" s="19"/>
      <x:c r="E454" s="19"/>
      <x:c r="F454" s="19"/>
      <x:c r="G454" s="26"/>
      <x:c r="H454" s="19"/>
      <x:c r="I454" s="26"/>
      <x:c r="J454" s="19"/>
      <x:c r="K454" s="26"/>
      <x:c r="L454" s="19"/>
      <x:c r="M454" s="26"/>
      <x:c r="N454" s="19"/>
      <x:c r="O454" s="19"/>
    </x:row>
    <x:row r="455">
      <x:c r="A455" s="19"/>
      <x:c r="B455" s="19"/>
      <x:c r="C455" s="19"/>
      <x:c r="D455" s="19"/>
      <x:c r="E455" s="19"/>
      <x:c r="F455" s="19"/>
      <x:c r="G455" s="26"/>
      <x:c r="H455" s="19"/>
      <x:c r="I455" s="26"/>
      <x:c r="J455" s="19"/>
      <x:c r="K455" s="26"/>
      <x:c r="L455" s="19"/>
      <x:c r="M455" s="26"/>
      <x:c r="N455" s="19"/>
      <x:c r="O455" s="19"/>
    </x:row>
    <x:row r="456">
      <x:c r="A456" s="19"/>
      <x:c r="B456" s="19"/>
      <x:c r="C456" s="19"/>
      <x:c r="D456" s="19"/>
      <x:c r="E456" s="19"/>
      <x:c r="F456" s="19"/>
      <x:c r="G456" s="26"/>
      <x:c r="H456" s="19"/>
      <x:c r="I456" s="26"/>
      <x:c r="J456" s="19"/>
      <x:c r="K456" s="26"/>
      <x:c r="L456" s="19"/>
      <x:c r="M456" s="26"/>
      <x:c r="N456" s="19"/>
      <x:c r="O456" s="19"/>
    </x:row>
    <x:row r="457">
      <x:c r="A457" s="19"/>
      <x:c r="B457" s="19"/>
      <x:c r="C457" s="19"/>
      <x:c r="D457" s="19"/>
      <x:c r="E457" s="19"/>
      <x:c r="F457" s="19"/>
      <x:c r="G457" s="26"/>
      <x:c r="H457" s="19"/>
      <x:c r="I457" s="26"/>
      <x:c r="J457" s="19"/>
      <x:c r="K457" s="26"/>
      <x:c r="L457" s="19"/>
      <x:c r="M457" s="26"/>
      <x:c r="N457" s="19"/>
      <x:c r="O457" s="19"/>
    </x:row>
    <x:row r="458">
      <x:c r="A458" s="19"/>
      <x:c r="B458" s="19"/>
      <x:c r="C458" s="19"/>
      <x:c r="D458" s="19"/>
      <x:c r="E458" s="19"/>
      <x:c r="F458" s="19"/>
      <x:c r="G458" s="26"/>
      <x:c r="H458" s="19"/>
      <x:c r="I458" s="26"/>
      <x:c r="J458" s="19"/>
      <x:c r="K458" s="26"/>
      <x:c r="L458" s="19"/>
      <x:c r="M458" s="26"/>
      <x:c r="N458" s="19"/>
      <x:c r="O458" s="19"/>
    </x:row>
    <x:row r="459">
      <x:c r="A459" s="19"/>
      <x:c r="B459" s="19"/>
      <x:c r="C459" s="19"/>
      <x:c r="D459" s="19"/>
      <x:c r="E459" s="19"/>
      <x:c r="F459" s="19"/>
      <x:c r="G459" s="26"/>
      <x:c r="H459" s="19"/>
      <x:c r="I459" s="26"/>
      <x:c r="J459" s="19"/>
      <x:c r="K459" s="26"/>
      <x:c r="L459" s="19"/>
      <x:c r="M459" s="26"/>
      <x:c r="N459" s="19"/>
      <x:c r="O459" s="19"/>
    </x:row>
    <x:row r="460">
      <x:c r="A460" s="19"/>
      <x:c r="B460" s="19"/>
      <x:c r="C460" s="19"/>
      <x:c r="D460" s="19"/>
      <x:c r="E460" s="19"/>
      <x:c r="F460" s="19"/>
      <x:c r="G460" s="26"/>
      <x:c r="H460" s="19"/>
      <x:c r="I460" s="26"/>
      <x:c r="J460" s="19"/>
      <x:c r="K460" s="26"/>
      <x:c r="L460" s="19"/>
      <x:c r="M460" s="26"/>
      <x:c r="N460" s="19"/>
      <x:c r="O460" s="19"/>
    </x:row>
    <x:row r="461">
      <x:c r="A461" s="19"/>
      <x:c r="B461" s="19"/>
      <x:c r="C461" s="19"/>
      <x:c r="D461" s="19"/>
      <x:c r="E461" s="19"/>
      <x:c r="F461" s="19"/>
      <x:c r="G461" s="26"/>
      <x:c r="H461" s="19"/>
      <x:c r="I461" s="26"/>
      <x:c r="J461" s="19"/>
      <x:c r="K461" s="26"/>
      <x:c r="L461" s="19"/>
      <x:c r="M461" s="26"/>
      <x:c r="N461" s="19"/>
      <x:c r="O461" s="19"/>
    </x:row>
    <x:row r="462">
      <x:c r="A462" s="19"/>
      <x:c r="B462" s="19"/>
      <x:c r="C462" s="19"/>
      <x:c r="D462" s="19"/>
      <x:c r="E462" s="19"/>
      <x:c r="F462" s="19"/>
      <x:c r="G462" s="26"/>
      <x:c r="H462" s="19"/>
      <x:c r="I462" s="26"/>
      <x:c r="J462" s="19"/>
      <x:c r="K462" s="26"/>
      <x:c r="L462" s="19"/>
      <x:c r="M462" s="26"/>
      <x:c r="N462" s="19"/>
      <x:c r="O462" s="19"/>
    </x:row>
    <x:row r="463">
      <x:c r="A463" s="19"/>
      <x:c r="B463" s="19"/>
      <x:c r="C463" s="19"/>
      <x:c r="D463" s="19"/>
      <x:c r="E463" s="19"/>
      <x:c r="F463" s="19"/>
      <x:c r="G463" s="26"/>
      <x:c r="H463" s="19"/>
      <x:c r="I463" s="26"/>
      <x:c r="J463" s="19"/>
      <x:c r="K463" s="26"/>
      <x:c r="L463" s="19"/>
      <x:c r="M463" s="26"/>
      <x:c r="N463" s="19"/>
      <x:c r="O463" s="19"/>
    </x:row>
    <x:row r="464">
      <x:c r="A464" s="19"/>
      <x:c r="B464" s="19"/>
      <x:c r="C464" s="19"/>
      <x:c r="D464" s="19"/>
      <x:c r="E464" s="19"/>
      <x:c r="F464" s="19"/>
      <x:c r="G464" s="26"/>
      <x:c r="H464" s="19"/>
      <x:c r="I464" s="26"/>
      <x:c r="J464" s="19"/>
      <x:c r="K464" s="26"/>
      <x:c r="L464" s="19"/>
      <x:c r="M464" s="26"/>
      <x:c r="N464" s="19"/>
      <x:c r="O464" s="19"/>
    </x:row>
    <x:row r="465">
      <x:c r="A465" s="19"/>
      <x:c r="B465" s="19"/>
      <x:c r="C465" s="19"/>
      <x:c r="D465" s="19"/>
      <x:c r="E465" s="19"/>
      <x:c r="F465" s="19"/>
      <x:c r="G465" s="26"/>
      <x:c r="H465" s="19"/>
      <x:c r="I465" s="26"/>
      <x:c r="J465" s="19"/>
      <x:c r="K465" s="26"/>
      <x:c r="L465" s="19"/>
      <x:c r="M465" s="26"/>
      <x:c r="N465" s="19"/>
      <x:c r="O465" s="19"/>
    </x:row>
    <x:row r="466">
      <x:c r="A466" s="19"/>
      <x:c r="B466" s="19"/>
      <x:c r="C466" s="19"/>
      <x:c r="D466" s="19"/>
      <x:c r="E466" s="19"/>
      <x:c r="F466" s="19"/>
      <x:c r="G466" s="26"/>
      <x:c r="H466" s="19"/>
      <x:c r="I466" s="26"/>
      <x:c r="J466" s="19"/>
      <x:c r="K466" s="26"/>
      <x:c r="L466" s="19"/>
      <x:c r="M466" s="26"/>
      <x:c r="N466" s="19"/>
      <x:c r="O466" s="19"/>
    </x:row>
    <x:row r="467">
      <x:c r="A467" s="19"/>
      <x:c r="B467" s="19"/>
      <x:c r="C467" s="19"/>
      <x:c r="D467" s="19"/>
      <x:c r="E467" s="19"/>
      <x:c r="F467" s="19"/>
      <x:c r="G467" s="26"/>
      <x:c r="H467" s="19"/>
      <x:c r="I467" s="26"/>
      <x:c r="J467" s="19"/>
      <x:c r="K467" s="26"/>
      <x:c r="L467" s="19"/>
      <x:c r="M467" s="26"/>
      <x:c r="N467" s="19"/>
      <x:c r="O467" s="19"/>
    </x:row>
    <x:row r="468">
      <x:c r="A468" s="19"/>
      <x:c r="B468" s="19"/>
      <x:c r="C468" s="19"/>
      <x:c r="D468" s="19"/>
      <x:c r="E468" s="19"/>
      <x:c r="F468" s="19"/>
      <x:c r="G468" s="26"/>
      <x:c r="H468" s="19"/>
      <x:c r="I468" s="26"/>
      <x:c r="J468" s="19"/>
      <x:c r="K468" s="26"/>
      <x:c r="L468" s="19"/>
      <x:c r="M468" s="26"/>
      <x:c r="N468" s="19"/>
      <x:c r="O468" s="19"/>
    </x:row>
    <x:row r="469">
      <x:c r="A469" s="19"/>
      <x:c r="B469" s="19"/>
      <x:c r="C469" s="19"/>
      <x:c r="D469" s="19"/>
      <x:c r="E469" s="19"/>
      <x:c r="F469" s="19"/>
      <x:c r="G469" s="26"/>
      <x:c r="H469" s="19"/>
      <x:c r="I469" s="26"/>
      <x:c r="J469" s="19"/>
      <x:c r="K469" s="26"/>
      <x:c r="L469" s="19"/>
      <x:c r="M469" s="26"/>
      <x:c r="N469" s="19"/>
      <x:c r="O469" s="19"/>
    </x:row>
    <x:row r="470">
      <x:c r="A470" s="19"/>
      <x:c r="B470" s="19"/>
      <x:c r="C470" s="19"/>
      <x:c r="D470" s="19"/>
      <x:c r="E470" s="19"/>
      <x:c r="F470" s="19"/>
      <x:c r="G470" s="26"/>
      <x:c r="H470" s="19"/>
      <x:c r="I470" s="26"/>
      <x:c r="J470" s="19"/>
      <x:c r="K470" s="26"/>
      <x:c r="L470" s="19"/>
      <x:c r="M470" s="26"/>
      <x:c r="N470" s="19"/>
      <x:c r="O470" s="19"/>
    </x:row>
    <x:row r="471">
      <x:c r="A471" s="19"/>
      <x:c r="B471" s="19"/>
      <x:c r="C471" s="19"/>
      <x:c r="D471" s="19"/>
      <x:c r="E471" s="19"/>
      <x:c r="F471" s="19"/>
      <x:c r="G471" s="26"/>
      <x:c r="H471" s="19"/>
      <x:c r="I471" s="26"/>
      <x:c r="J471" s="19"/>
      <x:c r="K471" s="26"/>
      <x:c r="L471" s="19"/>
      <x:c r="M471" s="26"/>
      <x:c r="N471" s="19"/>
      <x:c r="O471" s="19"/>
    </x:row>
    <x:row r="472">
      <x:c r="A472" s="19"/>
      <x:c r="B472" s="19"/>
      <x:c r="C472" s="19"/>
      <x:c r="D472" s="19"/>
      <x:c r="E472" s="19"/>
      <x:c r="F472" s="19"/>
      <x:c r="G472" s="26"/>
      <x:c r="H472" s="19"/>
      <x:c r="I472" s="26"/>
      <x:c r="J472" s="19"/>
      <x:c r="K472" s="26"/>
      <x:c r="L472" s="19"/>
      <x:c r="M472" s="26"/>
      <x:c r="N472" s="19"/>
      <x:c r="O472" s="19"/>
    </x:row>
    <x:row r="473">
      <x:c r="A473" s="19"/>
      <x:c r="B473" s="19"/>
      <x:c r="C473" s="19"/>
      <x:c r="D473" s="19"/>
      <x:c r="E473" s="19"/>
      <x:c r="F473" s="19"/>
      <x:c r="G473" s="26"/>
      <x:c r="H473" s="19"/>
      <x:c r="I473" s="26"/>
      <x:c r="J473" s="19"/>
      <x:c r="K473" s="26"/>
      <x:c r="L473" s="19"/>
      <x:c r="M473" s="26"/>
      <x:c r="N473" s="19"/>
      <x:c r="O473" s="19"/>
    </x:row>
    <x:row r="474">
      <x:c r="A474" s="19"/>
      <x:c r="B474" s="19"/>
      <x:c r="C474" s="19"/>
      <x:c r="D474" s="19"/>
      <x:c r="E474" s="19"/>
      <x:c r="F474" s="19"/>
      <x:c r="G474" s="26"/>
      <x:c r="H474" s="19"/>
      <x:c r="I474" s="26"/>
      <x:c r="J474" s="19"/>
      <x:c r="K474" s="26"/>
      <x:c r="L474" s="19"/>
      <x:c r="M474" s="26"/>
      <x:c r="N474" s="19"/>
      <x:c r="O474" s="19"/>
    </x:row>
    <x:row r="475">
      <x:c r="A475" s="19"/>
      <x:c r="B475" s="19"/>
      <x:c r="C475" s="19"/>
      <x:c r="D475" s="19"/>
      <x:c r="E475" s="19"/>
      <x:c r="F475" s="19"/>
      <x:c r="G475" s="26"/>
      <x:c r="H475" s="19"/>
      <x:c r="I475" s="26"/>
      <x:c r="J475" s="19"/>
      <x:c r="K475" s="26"/>
      <x:c r="L475" s="19"/>
      <x:c r="M475" s="26"/>
      <x:c r="N475" s="19"/>
      <x:c r="O475" s="19"/>
    </x:row>
    <x:row r="476">
      <x:c r="A476" s="19"/>
      <x:c r="B476" s="19"/>
      <x:c r="C476" s="19"/>
      <x:c r="D476" s="19"/>
      <x:c r="E476" s="19"/>
      <x:c r="F476" s="19"/>
      <x:c r="G476" s="26"/>
      <x:c r="H476" s="19"/>
      <x:c r="I476" s="26"/>
      <x:c r="J476" s="19"/>
      <x:c r="K476" s="26"/>
      <x:c r="L476" s="19"/>
      <x:c r="M476" s="26"/>
      <x:c r="N476" s="19"/>
      <x:c r="O476" s="19"/>
    </x:row>
    <x:row r="477">
      <x:c r="A477" s="19"/>
      <x:c r="B477" s="19"/>
      <x:c r="C477" s="19"/>
      <x:c r="D477" s="19"/>
      <x:c r="E477" s="19"/>
      <x:c r="F477" s="19"/>
      <x:c r="G477" s="26"/>
      <x:c r="H477" s="19"/>
      <x:c r="I477" s="26"/>
      <x:c r="J477" s="19"/>
      <x:c r="K477" s="26"/>
      <x:c r="L477" s="19"/>
      <x:c r="M477" s="26"/>
      <x:c r="N477" s="19"/>
      <x:c r="O477" s="19"/>
    </x:row>
    <x:row r="478">
      <x:c r="A478" s="19"/>
      <x:c r="B478" s="19"/>
      <x:c r="C478" s="19"/>
      <x:c r="D478" s="19"/>
      <x:c r="E478" s="19"/>
      <x:c r="F478" s="19"/>
      <x:c r="G478" s="26"/>
      <x:c r="H478" s="19"/>
      <x:c r="I478" s="26"/>
      <x:c r="J478" s="19"/>
      <x:c r="K478" s="26"/>
      <x:c r="L478" s="19"/>
      <x:c r="M478" s="26"/>
      <x:c r="N478" s="19"/>
      <x:c r="O478" s="19"/>
    </x:row>
    <x:row r="479">
      <x:c r="A479" s="19"/>
      <x:c r="B479" s="19"/>
      <x:c r="C479" s="19"/>
      <x:c r="D479" s="19"/>
      <x:c r="E479" s="19"/>
      <x:c r="F479" s="19"/>
      <x:c r="G479" s="26"/>
      <x:c r="H479" s="19"/>
      <x:c r="I479" s="26"/>
      <x:c r="J479" s="19"/>
      <x:c r="K479" s="26"/>
      <x:c r="L479" s="19"/>
      <x:c r="M479" s="26"/>
      <x:c r="N479" s="19"/>
      <x:c r="O479" s="19"/>
    </x:row>
    <x:row r="480">
      <x:c r="A480" s="19"/>
      <x:c r="B480" s="19"/>
      <x:c r="C480" s="19"/>
      <x:c r="D480" s="19"/>
      <x:c r="E480" s="19"/>
      <x:c r="F480" s="19"/>
      <x:c r="G480" s="26"/>
      <x:c r="H480" s="19"/>
      <x:c r="I480" s="26"/>
      <x:c r="J480" s="19"/>
      <x:c r="K480" s="26"/>
      <x:c r="L480" s="19"/>
      <x:c r="M480" s="26"/>
      <x:c r="N480" s="19"/>
      <x:c r="O480" s="19"/>
    </x:row>
    <x:row r="481">
      <x:c r="A481" s="19"/>
      <x:c r="B481" s="19"/>
      <x:c r="C481" s="19"/>
      <x:c r="D481" s="19"/>
      <x:c r="E481" s="19"/>
      <x:c r="F481" s="19"/>
      <x:c r="G481" s="26"/>
      <x:c r="H481" s="19"/>
      <x:c r="I481" s="26"/>
      <x:c r="J481" s="19"/>
      <x:c r="K481" s="26"/>
      <x:c r="L481" s="19"/>
      <x:c r="M481" s="26"/>
      <x:c r="N481" s="19"/>
      <x:c r="O481" s="19"/>
    </x:row>
    <x:row r="482">
      <x:c r="A482" s="19"/>
      <x:c r="B482" s="19"/>
      <x:c r="C482" s="19"/>
      <x:c r="D482" s="19"/>
      <x:c r="E482" s="19"/>
      <x:c r="F482" s="19"/>
      <x:c r="G482" s="26"/>
      <x:c r="H482" s="19"/>
      <x:c r="I482" s="26"/>
      <x:c r="J482" s="19"/>
      <x:c r="K482" s="26"/>
      <x:c r="L482" s="19"/>
      <x:c r="M482" s="26"/>
      <x:c r="N482" s="19"/>
      <x:c r="O482" s="19"/>
    </x:row>
    <x:row r="483">
      <x:c r="A483" s="19"/>
      <x:c r="B483" s="19"/>
      <x:c r="C483" s="19"/>
      <x:c r="D483" s="19"/>
      <x:c r="E483" s="19"/>
      <x:c r="F483" s="19"/>
      <x:c r="G483" s="26"/>
      <x:c r="H483" s="19"/>
      <x:c r="I483" s="26"/>
      <x:c r="J483" s="19"/>
      <x:c r="K483" s="26"/>
      <x:c r="L483" s="19"/>
      <x:c r="M483" s="26"/>
      <x:c r="N483" s="19"/>
      <x:c r="O483" s="19"/>
    </x:row>
    <x:row r="484">
      <x:c r="A484" s="19"/>
      <x:c r="B484" s="19"/>
      <x:c r="C484" s="19"/>
      <x:c r="D484" s="19"/>
      <x:c r="E484" s="19"/>
      <x:c r="F484" s="19"/>
      <x:c r="G484" s="26"/>
      <x:c r="H484" s="19"/>
      <x:c r="I484" s="26"/>
      <x:c r="J484" s="19"/>
      <x:c r="K484" s="26"/>
      <x:c r="L484" s="19"/>
      <x:c r="M484" s="26"/>
      <x:c r="N484" s="19"/>
      <x:c r="O484" s="19"/>
    </x:row>
    <x:row r="485">
      <x:c r="A485" s="19"/>
      <x:c r="B485" s="19"/>
      <x:c r="C485" s="19"/>
      <x:c r="D485" s="19"/>
      <x:c r="E485" s="19"/>
      <x:c r="F485" s="19"/>
      <x:c r="G485" s="26"/>
      <x:c r="H485" s="19"/>
      <x:c r="I485" s="26"/>
      <x:c r="J485" s="19"/>
      <x:c r="K485" s="26"/>
      <x:c r="L485" s="19"/>
      <x:c r="M485" s="26"/>
      <x:c r="N485" s="19"/>
      <x:c r="O485" s="19"/>
    </x:row>
    <x:row r="486">
      <x:c r="A486" s="19"/>
      <x:c r="B486" s="19"/>
      <x:c r="C486" s="19"/>
      <x:c r="D486" s="19"/>
      <x:c r="E486" s="19"/>
      <x:c r="F486" s="19"/>
      <x:c r="G486" s="26"/>
      <x:c r="H486" s="19"/>
      <x:c r="I486" s="26"/>
      <x:c r="J486" s="19"/>
      <x:c r="K486" s="26"/>
      <x:c r="L486" s="19"/>
      <x:c r="M486" s="26"/>
      <x:c r="N486" s="19"/>
      <x:c r="O486" s="19"/>
    </x:row>
    <x:row r="487">
      <x:c r="A487" s="19"/>
      <x:c r="B487" s="19"/>
      <x:c r="C487" s="19"/>
      <x:c r="D487" s="19"/>
      <x:c r="E487" s="19"/>
      <x:c r="F487" s="19"/>
      <x:c r="G487" s="26"/>
      <x:c r="H487" s="19"/>
      <x:c r="I487" s="26"/>
      <x:c r="J487" s="19"/>
      <x:c r="K487" s="26"/>
      <x:c r="L487" s="19"/>
      <x:c r="M487" s="26"/>
      <x:c r="N487" s="19"/>
      <x:c r="O487" s="19"/>
    </x:row>
    <x:row r="488">
      <x:c r="A488" s="19"/>
      <x:c r="B488" s="19"/>
      <x:c r="C488" s="19"/>
      <x:c r="D488" s="19"/>
      <x:c r="E488" s="19"/>
      <x:c r="F488" s="19"/>
      <x:c r="G488" s="26"/>
      <x:c r="H488" s="19"/>
      <x:c r="I488" s="26"/>
      <x:c r="J488" s="19"/>
      <x:c r="K488" s="26"/>
      <x:c r="L488" s="19"/>
      <x:c r="M488" s="26"/>
      <x:c r="N488" s="19"/>
      <x:c r="O488" s="19"/>
    </x:row>
    <x:row r="489">
      <x:c r="A489" s="19"/>
      <x:c r="B489" s="19"/>
      <x:c r="C489" s="19"/>
      <x:c r="D489" s="19"/>
      <x:c r="E489" s="19"/>
      <x:c r="F489" s="19"/>
      <x:c r="G489" s="26"/>
      <x:c r="H489" s="19"/>
      <x:c r="I489" s="26"/>
      <x:c r="J489" s="19"/>
      <x:c r="K489" s="26"/>
      <x:c r="L489" s="19"/>
      <x:c r="M489" s="26"/>
      <x:c r="N489" s="19"/>
      <x:c r="O489" s="19"/>
    </x:row>
    <x:row r="490">
      <x:c r="A490" s="19"/>
      <x:c r="B490" s="19"/>
      <x:c r="C490" s="19"/>
      <x:c r="D490" s="19"/>
      <x:c r="E490" s="19"/>
      <x:c r="F490" s="19"/>
      <x:c r="G490" s="26"/>
      <x:c r="H490" s="19"/>
      <x:c r="I490" s="26"/>
      <x:c r="J490" s="19"/>
      <x:c r="K490" s="26"/>
      <x:c r="L490" s="19"/>
      <x:c r="M490" s="26"/>
      <x:c r="N490" s="19"/>
      <x:c r="O490" s="19"/>
    </x:row>
    <x:row r="491">
      <x:c r="A491" s="19"/>
      <x:c r="B491" s="19"/>
      <x:c r="C491" s="19"/>
      <x:c r="D491" s="19"/>
      <x:c r="E491" s="19"/>
      <x:c r="F491" s="19"/>
      <x:c r="G491" s="26"/>
      <x:c r="H491" s="19"/>
      <x:c r="I491" s="26"/>
      <x:c r="J491" s="19"/>
      <x:c r="K491" s="26"/>
      <x:c r="L491" s="19"/>
      <x:c r="M491" s="26"/>
      <x:c r="N491" s="19"/>
      <x:c r="O491" s="19"/>
    </x:row>
    <x:row r="492">
      <x:c r="A492" s="19"/>
      <x:c r="B492" s="19"/>
      <x:c r="C492" s="19"/>
      <x:c r="D492" s="19"/>
      <x:c r="E492" s="19"/>
      <x:c r="F492" s="19"/>
      <x:c r="G492" s="26"/>
      <x:c r="H492" s="19"/>
      <x:c r="I492" s="26"/>
      <x:c r="J492" s="19"/>
      <x:c r="K492" s="26"/>
      <x:c r="L492" s="19"/>
      <x:c r="M492" s="26"/>
      <x:c r="N492" s="19"/>
      <x:c r="O492" s="19"/>
    </x:row>
    <x:row r="493">
      <x:c r="A493" s="19"/>
      <x:c r="B493" s="19"/>
      <x:c r="C493" s="19"/>
      <x:c r="D493" s="19"/>
      <x:c r="E493" s="19"/>
      <x:c r="F493" s="19"/>
      <x:c r="G493" s="26"/>
      <x:c r="H493" s="19"/>
      <x:c r="I493" s="26"/>
      <x:c r="J493" s="19"/>
      <x:c r="K493" s="26"/>
      <x:c r="L493" s="19"/>
      <x:c r="M493" s="26"/>
      <x:c r="N493" s="19"/>
      <x:c r="O493" s="19"/>
    </x:row>
    <x:row r="494">
      <x:c r="A494" s="19"/>
      <x:c r="B494" s="19"/>
      <x:c r="C494" s="19"/>
      <x:c r="D494" s="19"/>
      <x:c r="E494" s="19"/>
      <x:c r="F494" s="19"/>
      <x:c r="G494" s="26"/>
      <x:c r="H494" s="19"/>
      <x:c r="I494" s="26"/>
      <x:c r="J494" s="19"/>
      <x:c r="K494" s="26"/>
      <x:c r="L494" s="19"/>
      <x:c r="M494" s="26"/>
      <x:c r="N494" s="19"/>
      <x:c r="O494" s="19"/>
    </x:row>
    <x:row r="495">
      <x:c r="A495" s="19"/>
      <x:c r="B495" s="19"/>
      <x:c r="C495" s="19"/>
      <x:c r="D495" s="19"/>
      <x:c r="E495" s="19"/>
      <x:c r="F495" s="19"/>
      <x:c r="G495" s="26"/>
      <x:c r="H495" s="19"/>
      <x:c r="I495" s="26"/>
      <x:c r="J495" s="19"/>
      <x:c r="K495" s="26"/>
      <x:c r="L495" s="19"/>
      <x:c r="M495" s="26"/>
      <x:c r="N495" s="19"/>
      <x:c r="O495" s="19"/>
    </x:row>
    <x:row r="496">
      <x:c r="A496" s="19"/>
      <x:c r="B496" s="19"/>
      <x:c r="C496" s="19"/>
      <x:c r="D496" s="19"/>
      <x:c r="E496" s="19"/>
      <x:c r="F496" s="19"/>
      <x:c r="G496" s="26"/>
      <x:c r="H496" s="19"/>
      <x:c r="I496" s="26"/>
      <x:c r="J496" s="19"/>
      <x:c r="K496" s="26"/>
      <x:c r="L496" s="19"/>
      <x:c r="M496" s="26"/>
      <x:c r="N496" s="19"/>
      <x:c r="O496" s="19"/>
    </x:row>
    <x:row r="497">
      <x:c r="A497" s="19"/>
      <x:c r="B497" s="19"/>
      <x:c r="C497" s="19"/>
      <x:c r="D497" s="19"/>
      <x:c r="E497" s="19"/>
      <x:c r="F497" s="19"/>
      <x:c r="G497" s="26"/>
      <x:c r="H497" s="19"/>
      <x:c r="I497" s="26"/>
      <x:c r="J497" s="19"/>
      <x:c r="K497" s="26"/>
      <x:c r="L497" s="19"/>
      <x:c r="M497" s="26"/>
      <x:c r="N497" s="19"/>
      <x:c r="O497" s="19"/>
    </x:row>
    <x:row r="498">
      <x:c r="A498" s="19"/>
      <x:c r="B498" s="19"/>
      <x:c r="C498" s="19"/>
      <x:c r="D498" s="19"/>
      <x:c r="E498" s="19"/>
      <x:c r="F498" s="19"/>
      <x:c r="G498" s="26"/>
      <x:c r="H498" s="19"/>
      <x:c r="I498" s="26"/>
      <x:c r="J498" s="19"/>
      <x:c r="K498" s="26"/>
      <x:c r="L498" s="19"/>
      <x:c r="M498" s="26"/>
      <x:c r="N498" s="19"/>
      <x:c r="O498" s="19"/>
    </x:row>
    <x:row r="499">
      <x:c r="A499" s="19"/>
      <x:c r="B499" s="19"/>
      <x:c r="C499" s="19"/>
      <x:c r="D499" s="19"/>
      <x:c r="E499" s="19"/>
      <x:c r="F499" s="19"/>
      <x:c r="G499" s="26"/>
      <x:c r="H499" s="19"/>
      <x:c r="I499" s="26"/>
      <x:c r="J499" s="19"/>
      <x:c r="K499" s="26"/>
      <x:c r="L499" s="19"/>
      <x:c r="M499" s="26"/>
      <x:c r="N499" s="19"/>
      <x:c r="O499" s="19"/>
    </x:row>
    <x:row r="500">
      <x:c r="A500" s="19"/>
      <x:c r="B500" s="19"/>
      <x:c r="C500" s="19"/>
      <x:c r="D500" s="19"/>
      <x:c r="E500" s="19"/>
      <x:c r="F500" s="19"/>
      <x:c r="G500" s="26"/>
      <x:c r="H500" s="19"/>
      <x:c r="I500" s="26"/>
      <x:c r="J500" s="19"/>
      <x:c r="K500" s="26"/>
      <x:c r="L500" s="19"/>
      <x:c r="M500" s="26"/>
      <x:c r="N500" s="19"/>
      <x:c r="O500" s="19"/>
    </x:row>
  </x:sheetData>
  <x:conditionalFormatting sqref="D2:D500">
    <x:cfRule type="expression" dxfId="91" priority="1">
      <x:formula>AND($A2&lt;&gt;"",D2="")</x:formula>
    </x:cfRule>
  </x:conditionalFormatting>
  <x:conditionalFormatting sqref="E2:E500">
    <x:cfRule type="expression" dxfId="92" priority="2">
      <x:formula>AND($A2&lt;&gt;"",E2="")</x:formula>
    </x:cfRule>
  </x:conditionalFormatting>
  <x:conditionalFormatting sqref="F2:F500">
    <x:cfRule type="expression" dxfId="93" priority="3">
      <x:formula>AND($A2&lt;&gt;"",F2="")</x:formula>
    </x:cfRule>
    <x:cfRule type="containsText" dxfId="100" priority="10" operator="containsText" text="urgent"/>
    <x:cfRule type="containsText" dxfId="101" priority="11" operator="containsText" text="high"/>
  </x:conditionalFormatting>
  <x:conditionalFormatting sqref="H2:H500">
    <x:cfRule type="expression" dxfId="94" priority="4">
      <x:formula>AND($A2&lt;&gt;"",H2="")</x:formula>
    </x:cfRule>
    <x:cfRule type="containsText" dxfId="102" priority="12" operator="containsText" text="done"/>
  </x:conditionalFormatting>
  <x:conditionalFormatting sqref="K2:K500">
    <x:cfRule type="expression" dxfId="95" priority="5">
      <x:formula>AND($A2&lt;&gt;"",K2="")</x:formula>
    </x:cfRule>
  </x:conditionalFormatting>
  <x:conditionalFormatting sqref="L2:L500">
    <x:cfRule type="expression" dxfId="96" priority="6">
      <x:formula>AND($A2&lt;&gt;"",L2="")</x:formula>
    </x:cfRule>
  </x:conditionalFormatting>
  <x:conditionalFormatting sqref="M2:M500">
    <x:cfRule type="expression" dxfId="97" priority="7">
      <x:formula>AND($A2&lt;&gt;"",M2="")</x:formula>
    </x:cfRule>
  </x:conditionalFormatting>
  <x:conditionalFormatting sqref="N2:N500">
    <x:cfRule type="expression" dxfId="98" priority="8">
      <x:formula>AND($A2&lt;&gt;"",N2="")</x:formula>
    </x:cfRule>
  </x:conditionalFormatting>
  <x:conditionalFormatting sqref="O2:O500">
    <x:cfRule type="expression" dxfId="99" priority="9">
      <x:formula>AND($A2&lt;&gt;"",O2="")</x:formula>
    </x:cfRule>
  </x:conditionalFormatting>
  <x:dataValidations count="3">
    <x:dataValidation type="list" sqref="F2:F500">
      <x:formula1>"low,normal,high,urgent"</x:formula1>
    </x:dataValidation>
    <x:dataValidation type="list" sqref="H2:H500">
      <x:formula1>"open,in_progress,done,cancelled"</x:formula1>
    </x:dataValidation>
    <x:dataValidation type="list" sqref="O2:O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cc6e25d36e42c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8" hidden="0" customWidth="1"/>
    <x:col min="5" max="5" width="18" hidden="0" customWidth="1"/>
    <x:col min="6" max="6" width="26" hidden="0" customWidth="1"/>
    <x:col min="7" max="7" width="10" hidden="0" customWidth="1"/>
    <x:col min="8" max="8" width="14" hidden="0" customWidth="1"/>
    <x:col min="9" max="9" width="19" hidden="0" customWidth="1"/>
    <x:col min="10" max="10" width="18" hidden="0" customWidth="1"/>
  </x:cols>
  <x:sheetData>
    <x:row r="1" ht="46" customHeight="1">
      <x:c r="A1" s="12" t="str">
        <x:v>شناسه کاربر *
(user_id)</x:v>
      </x:c>
      <x:c r="B1" s="13" t="str">
        <x:v>نام *
(full_name)</x:v>
      </x:c>
      <x:c r="C1" s="13" t="str">
        <x:v>نقش *
(role)</x:v>
      </x:c>
      <x:c r="D1" s="13" t="str">
        <x:v>شناسه تلگرام
(telegram_user_id)</x:v>
      </x:c>
      <x:c r="E1" s="13" t="str">
        <x:v>چت اعلان
(telegram_chat_id)</x:v>
      </x:c>
      <x:c r="F1" s="13" t="str">
        <x:v>ایمیل
(email)</x:v>
      </x:c>
      <x:c r="G1" s="13" t="str">
        <x:v>فعال *
(active)</x:v>
      </x:c>
      <x:c r="H1" s="13" t="str">
        <x:v>دامنه داده *
(data_scope)</x:v>
      </x:c>
      <x:c r="I1" s="13" t="str">
        <x:v>زمان ایجاد *
(created_at)</x:v>
      </x:c>
      <x:c r="J1" s="14" t="str">
        <x:v>ایجادکننده *
(created_by)</x:v>
      </x:c>
    </x:row>
    <x:row r="2">
      <x:c r="A2" s="28" t="str">
        <x:v>usr_owner</x:v>
      </x:c>
      <x:c r="B2" s="29" t="str">
        <x:v>مدیر فروشگاه نمونه</x:v>
      </x:c>
      <x:c r="C2" s="29" t="str">
        <x:v>owner</x:v>
      </x:c>
      <x:c r="D2" s="29" t="str">
        <x:v>100000001</x:v>
      </x:c>
      <x:c r="E2" s="29" t="str">
        <x:v>100000001</x:v>
      </x:c>
      <x:c r="F2" s="29" t="str">
        <x:v>owner@example.com</x:v>
      </x:c>
      <x:c r="G2" s="66" t="b">
        <x:v>1</x:v>
      </x:c>
      <x:c r="H2" s="29" t="str">
        <x:v>all</x:v>
      </x:c>
      <x:c r="I2" s="33" t="n">
        <x:v>46174.229166666664</x:v>
      </x:c>
      <x:c r="J2" s="36" t="str">
        <x:v>usr_owner</x:v>
      </x:c>
    </x:row>
    <x:row r="3">
      <x:c r="A3" s="37" t="str">
        <x:v>usr_sara</x:v>
      </x:c>
      <x:c r="B3" s="38" t="str">
        <x:v>سارا محمدی</x:v>
      </x:c>
      <x:c r="C3" s="38" t="str">
        <x:v>seller</x:v>
      </x:c>
      <x:c r="D3" s="38" t="str">
        <x:v>100000002</x:v>
      </x:c>
      <x:c r="E3" s="38" t="str">
        <x:v>100000002</x:v>
      </x:c>
      <x:c r="F3" s="38" t="str">
        <x:v>sara@example.com</x:v>
      </x:c>
      <x:c r="G3" s="67" t="b">
        <x:v>1</x:v>
      </x:c>
      <x:c r="H3" s="38" t="str">
        <x:v>own</x:v>
      </x:c>
      <x:c r="I3" s="42" t="n">
        <x:v>46174.23611111111</x:v>
      </x:c>
      <x:c r="J3" s="45" t="str">
        <x:v>usr_owner</x:v>
      </x:c>
    </x:row>
    <x:row r="4">
      <x:c r="A4" s="46" t="str">
        <x:v>usr_ali</x:v>
      </x:c>
      <x:c r="B4" s="47" t="str">
        <x:v>علی کریمی</x:v>
      </x:c>
      <x:c r="C4" s="47" t="str">
        <x:v>seller</x:v>
      </x:c>
      <x:c r="D4" s="47" t="str">
        <x:v>100000003</x:v>
      </x:c>
      <x:c r="E4" s="47" t="str">
        <x:v>100000003</x:v>
      </x:c>
      <x:c r="F4" s="47" t="str">
        <x:v>ali@example.com</x:v>
      </x:c>
      <x:c r="G4" s="68" t="b">
        <x:v>1</x:v>
      </x:c>
      <x:c r="H4" s="47" t="str">
        <x:v>own</x:v>
      </x:c>
      <x:c r="I4" s="51" t="n">
        <x:v>46174.243055555555</x:v>
      </x:c>
      <x:c r="J4" s="54" t="str">
        <x:v>usr_owner</x:v>
      </x:c>
    </x:row>
    <x:row r="5">
      <x:c r="A5" s="19"/>
      <x:c r="B5" s="19"/>
      <x:c r="C5" s="19"/>
      <x:c r="D5" s="19"/>
      <x:c r="E5" s="19"/>
      <x:c r="F5" s="19"/>
      <x:c r="G5" s="19"/>
      <x:c r="H5" s="19"/>
      <x:c r="I5" s="26"/>
      <x:c r="J5" s="19"/>
    </x:row>
    <x:row r="6">
      <x:c r="A6" s="19"/>
      <x:c r="B6" s="19"/>
      <x:c r="C6" s="19"/>
      <x:c r="D6" s="19"/>
      <x:c r="E6" s="19"/>
      <x:c r="F6" s="19"/>
      <x:c r="G6" s="19"/>
      <x:c r="H6" s="19"/>
      <x:c r="I6" s="26"/>
      <x:c r="J6" s="19"/>
    </x:row>
    <x:row r="7">
      <x:c r="A7" s="19"/>
      <x:c r="B7" s="19"/>
      <x:c r="C7" s="19"/>
      <x:c r="D7" s="19"/>
      <x:c r="E7" s="19"/>
      <x:c r="F7" s="19"/>
      <x:c r="G7" s="19"/>
      <x:c r="H7" s="19"/>
      <x:c r="I7" s="26"/>
      <x:c r="J7" s="19"/>
    </x:row>
    <x:row r="8">
      <x:c r="A8" s="19"/>
      <x:c r="B8" s="19"/>
      <x:c r="C8" s="19"/>
      <x:c r="D8" s="19"/>
      <x:c r="E8" s="19"/>
      <x:c r="F8" s="19"/>
      <x:c r="G8" s="19"/>
      <x:c r="H8" s="19"/>
      <x:c r="I8" s="26"/>
      <x:c r="J8" s="19"/>
    </x:row>
    <x:row r="9">
      <x:c r="A9" s="19"/>
      <x:c r="B9" s="19"/>
      <x:c r="C9" s="19"/>
      <x:c r="D9" s="19"/>
      <x:c r="E9" s="19"/>
      <x:c r="F9" s="19"/>
      <x:c r="G9" s="19"/>
      <x:c r="H9" s="19"/>
      <x:c r="I9" s="26"/>
      <x:c r="J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26"/>
      <x:c r="J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26"/>
      <x:c r="J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26"/>
      <x:c r="J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26"/>
      <x:c r="J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26"/>
      <x:c r="J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26"/>
      <x:c r="J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26"/>
      <x:c r="J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26"/>
      <x:c r="J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26"/>
      <x:c r="J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26"/>
      <x:c r="J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26"/>
      <x:c r="J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26"/>
      <x:c r="J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26"/>
      <x:c r="J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26"/>
      <x:c r="J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26"/>
      <x:c r="J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26"/>
      <x:c r="J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26"/>
      <x:c r="J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26"/>
      <x:c r="J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26"/>
      <x:c r="J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26"/>
      <x:c r="J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26"/>
      <x:c r="J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26"/>
      <x:c r="J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26"/>
      <x:c r="J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26"/>
      <x:c r="J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26"/>
      <x:c r="J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26"/>
      <x:c r="J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26"/>
      <x:c r="J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26"/>
      <x:c r="J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26"/>
      <x:c r="J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26"/>
      <x:c r="J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26"/>
      <x:c r="J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26"/>
      <x:c r="J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26"/>
      <x:c r="J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26"/>
      <x:c r="J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26"/>
      <x:c r="J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26"/>
      <x:c r="J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26"/>
      <x:c r="J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26"/>
      <x:c r="J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26"/>
      <x:c r="J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26"/>
      <x:c r="J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26"/>
      <x:c r="J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26"/>
      <x:c r="J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26"/>
      <x:c r="J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26"/>
      <x:c r="J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26"/>
      <x:c r="J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26"/>
      <x:c r="J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26"/>
      <x:c r="J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26"/>
      <x:c r="J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26"/>
      <x:c r="J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26"/>
      <x:c r="J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26"/>
      <x:c r="J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26"/>
      <x:c r="J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26"/>
      <x:c r="J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26"/>
      <x:c r="J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26"/>
      <x:c r="J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26"/>
      <x:c r="J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26"/>
      <x:c r="J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26"/>
      <x:c r="J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26"/>
      <x:c r="J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26"/>
      <x:c r="J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26"/>
      <x:c r="J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26"/>
      <x:c r="J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26"/>
      <x:c r="J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26"/>
      <x:c r="J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26"/>
      <x:c r="J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26"/>
      <x:c r="J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26"/>
      <x:c r="J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26"/>
      <x:c r="J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26"/>
      <x:c r="J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26"/>
      <x:c r="J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26"/>
      <x:c r="J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26"/>
      <x:c r="J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26"/>
      <x:c r="J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26"/>
      <x:c r="J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26"/>
      <x:c r="J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26"/>
      <x:c r="J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26"/>
      <x:c r="J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26"/>
      <x:c r="J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26"/>
      <x:c r="J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26"/>
      <x:c r="J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26"/>
      <x:c r="J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26"/>
      <x:c r="J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26"/>
      <x:c r="J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26"/>
      <x:c r="J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26"/>
      <x:c r="J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26"/>
      <x:c r="J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26"/>
      <x:c r="J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26"/>
      <x:c r="J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26"/>
      <x:c r="J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26"/>
      <x:c r="J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26"/>
      <x:c r="J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26"/>
      <x:c r="J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26"/>
      <x:c r="J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26"/>
      <x:c r="J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26"/>
      <x:c r="J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26"/>
      <x:c r="J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26"/>
      <x:c r="J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26"/>
      <x:c r="J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26"/>
      <x:c r="J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26"/>
      <x:c r="J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26"/>
      <x:c r="J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26"/>
      <x:c r="J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26"/>
      <x:c r="J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26"/>
      <x:c r="J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26"/>
      <x:c r="J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26"/>
      <x:c r="J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26"/>
      <x:c r="J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26"/>
      <x:c r="J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26"/>
      <x:c r="J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26"/>
      <x:c r="J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26"/>
      <x:c r="J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26"/>
      <x:c r="J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26"/>
      <x:c r="J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26"/>
      <x:c r="J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26"/>
      <x:c r="J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26"/>
      <x:c r="J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26"/>
      <x:c r="J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26"/>
      <x:c r="J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26"/>
      <x:c r="J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26"/>
      <x:c r="J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26"/>
      <x:c r="J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26"/>
      <x:c r="J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26"/>
      <x:c r="J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26"/>
      <x:c r="J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26"/>
      <x:c r="J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26"/>
      <x:c r="J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26"/>
      <x:c r="J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26"/>
      <x:c r="J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26"/>
      <x:c r="J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26"/>
      <x:c r="J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26"/>
      <x:c r="J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26"/>
      <x:c r="J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26"/>
      <x:c r="J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26"/>
      <x:c r="J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26"/>
      <x:c r="J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26"/>
      <x:c r="J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26"/>
      <x:c r="J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26"/>
      <x:c r="J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26"/>
      <x:c r="J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26"/>
      <x:c r="J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26"/>
      <x:c r="J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26"/>
      <x:c r="J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26"/>
      <x:c r="J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26"/>
      <x:c r="J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26"/>
      <x:c r="J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26"/>
      <x:c r="J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26"/>
      <x:c r="J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26"/>
      <x:c r="J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26"/>
      <x:c r="J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26"/>
      <x:c r="J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26"/>
      <x:c r="J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26"/>
      <x:c r="J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26"/>
      <x:c r="J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26"/>
      <x:c r="J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26"/>
      <x:c r="J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26"/>
      <x:c r="J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26"/>
      <x:c r="J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26"/>
      <x:c r="J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26"/>
      <x:c r="J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26"/>
      <x:c r="J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26"/>
      <x:c r="J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26"/>
      <x:c r="J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26"/>
      <x:c r="J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26"/>
      <x:c r="J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26"/>
      <x:c r="J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26"/>
      <x:c r="J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26"/>
      <x:c r="J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26"/>
      <x:c r="J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26"/>
      <x:c r="J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26"/>
      <x:c r="J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26"/>
      <x:c r="J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26"/>
      <x:c r="J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26"/>
      <x:c r="J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26"/>
      <x:c r="J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26"/>
      <x:c r="J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26"/>
      <x:c r="J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26"/>
      <x:c r="J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26"/>
      <x:c r="J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26"/>
      <x:c r="J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26"/>
      <x:c r="J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26"/>
      <x:c r="J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26"/>
      <x:c r="J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26"/>
      <x:c r="J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26"/>
      <x:c r="J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26"/>
      <x:c r="J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26"/>
      <x:c r="J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26"/>
      <x:c r="J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26"/>
      <x:c r="J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26"/>
      <x:c r="J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26"/>
      <x:c r="J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26"/>
      <x:c r="J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26"/>
      <x:c r="J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26"/>
      <x:c r="J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26"/>
      <x:c r="J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26"/>
      <x:c r="J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26"/>
      <x:c r="J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26"/>
      <x:c r="J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26"/>
      <x:c r="J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26"/>
      <x:c r="J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26"/>
      <x:c r="J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26"/>
      <x:c r="J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26"/>
      <x:c r="J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26"/>
      <x:c r="J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26"/>
      <x:c r="J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26"/>
      <x:c r="J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26"/>
      <x:c r="J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26"/>
      <x:c r="J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26"/>
      <x:c r="J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26"/>
      <x:c r="J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26"/>
      <x:c r="J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26"/>
      <x:c r="J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26"/>
      <x:c r="J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26"/>
      <x:c r="J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26"/>
      <x:c r="J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26"/>
      <x:c r="J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26"/>
      <x:c r="J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26"/>
      <x:c r="J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26"/>
      <x:c r="J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26"/>
      <x:c r="J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26"/>
      <x:c r="J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26"/>
      <x:c r="J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26"/>
      <x:c r="J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26"/>
      <x:c r="J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26"/>
      <x:c r="J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26"/>
      <x:c r="J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26"/>
      <x:c r="J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26"/>
      <x:c r="J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26"/>
      <x:c r="J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26"/>
      <x:c r="J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26"/>
      <x:c r="J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26"/>
      <x:c r="J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26"/>
      <x:c r="J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26"/>
      <x:c r="J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26"/>
      <x:c r="J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26"/>
      <x:c r="J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26"/>
      <x:c r="J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26"/>
      <x:c r="J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26"/>
      <x:c r="J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26"/>
      <x:c r="J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26"/>
      <x:c r="J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26"/>
      <x:c r="J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26"/>
      <x:c r="J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26"/>
      <x:c r="J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26"/>
      <x:c r="J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26"/>
      <x:c r="J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26"/>
      <x:c r="J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26"/>
      <x:c r="J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26"/>
      <x:c r="J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26"/>
      <x:c r="J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26"/>
      <x:c r="J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26"/>
      <x:c r="J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26"/>
      <x:c r="J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26"/>
      <x:c r="J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26"/>
      <x:c r="J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26"/>
      <x:c r="J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26"/>
      <x:c r="J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26"/>
      <x:c r="J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26"/>
      <x:c r="J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26"/>
      <x:c r="J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26"/>
      <x:c r="J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26"/>
      <x:c r="J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26"/>
      <x:c r="J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26"/>
      <x:c r="J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26"/>
      <x:c r="J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26"/>
      <x:c r="J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26"/>
      <x:c r="J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26"/>
      <x:c r="J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26"/>
      <x:c r="J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26"/>
      <x:c r="J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26"/>
      <x:c r="J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26"/>
      <x:c r="J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26"/>
      <x:c r="J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26"/>
      <x:c r="J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26"/>
      <x:c r="J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26"/>
      <x:c r="J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26"/>
      <x:c r="J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26"/>
      <x:c r="J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26"/>
      <x:c r="J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26"/>
      <x:c r="J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26"/>
      <x:c r="J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26"/>
      <x:c r="J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26"/>
      <x:c r="J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26"/>
      <x:c r="J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26"/>
      <x:c r="J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26"/>
      <x:c r="J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26"/>
      <x:c r="J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26"/>
      <x:c r="J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26"/>
      <x:c r="J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26"/>
      <x:c r="J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26"/>
      <x:c r="J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26"/>
      <x:c r="J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26"/>
      <x:c r="J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26"/>
      <x:c r="J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26"/>
      <x:c r="J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26"/>
      <x:c r="J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26"/>
      <x:c r="J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26"/>
      <x:c r="J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26"/>
      <x:c r="J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26"/>
      <x:c r="J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26"/>
      <x:c r="J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26"/>
      <x:c r="J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26"/>
      <x:c r="J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26"/>
      <x:c r="J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26"/>
      <x:c r="J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26"/>
      <x:c r="J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26"/>
      <x:c r="J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26"/>
      <x:c r="J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26"/>
      <x:c r="J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26"/>
      <x:c r="J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26"/>
      <x:c r="J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26"/>
      <x:c r="J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26"/>
      <x:c r="J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26"/>
      <x:c r="J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26"/>
      <x:c r="J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26"/>
      <x:c r="J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26"/>
      <x:c r="J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26"/>
      <x:c r="J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26"/>
      <x:c r="J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26"/>
      <x:c r="J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26"/>
      <x:c r="J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26"/>
      <x:c r="J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26"/>
      <x:c r="J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26"/>
      <x:c r="J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26"/>
      <x:c r="J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26"/>
      <x:c r="J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26"/>
      <x:c r="J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26"/>
      <x:c r="J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26"/>
      <x:c r="J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26"/>
      <x:c r="J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26"/>
      <x:c r="J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26"/>
      <x:c r="J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26"/>
      <x:c r="J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26"/>
      <x:c r="J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26"/>
      <x:c r="J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26"/>
      <x:c r="J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26"/>
      <x:c r="J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26"/>
      <x:c r="J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26"/>
      <x:c r="J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26"/>
      <x:c r="J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26"/>
      <x:c r="J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26"/>
      <x:c r="J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26"/>
      <x:c r="J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26"/>
      <x:c r="J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26"/>
      <x:c r="J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26"/>
      <x:c r="J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26"/>
      <x:c r="J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26"/>
      <x:c r="J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26"/>
      <x:c r="J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26"/>
      <x:c r="J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26"/>
      <x:c r="J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26"/>
      <x:c r="J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26"/>
      <x:c r="J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26"/>
      <x:c r="J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26"/>
      <x:c r="J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26"/>
      <x:c r="J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26"/>
      <x:c r="J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26"/>
      <x:c r="J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26"/>
      <x:c r="J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26"/>
      <x:c r="J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26"/>
      <x:c r="J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26"/>
      <x:c r="J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26"/>
      <x:c r="J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26"/>
      <x:c r="J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26"/>
      <x:c r="J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26"/>
      <x:c r="J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26"/>
      <x:c r="J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26"/>
      <x:c r="J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26"/>
      <x:c r="J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26"/>
      <x:c r="J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26"/>
      <x:c r="J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26"/>
      <x:c r="J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26"/>
      <x:c r="J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26"/>
      <x:c r="J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26"/>
      <x:c r="J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26"/>
      <x:c r="J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26"/>
      <x:c r="J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26"/>
      <x:c r="J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26"/>
      <x:c r="J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26"/>
      <x:c r="J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26"/>
      <x:c r="J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26"/>
      <x:c r="J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26"/>
      <x:c r="J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26"/>
      <x:c r="J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26"/>
      <x:c r="J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26"/>
      <x:c r="J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26"/>
      <x:c r="J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26"/>
      <x:c r="J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26"/>
      <x:c r="J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26"/>
      <x:c r="J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26"/>
      <x:c r="J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26"/>
      <x:c r="J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26"/>
      <x:c r="J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26"/>
      <x:c r="J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26"/>
      <x:c r="J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26"/>
      <x:c r="J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26"/>
      <x:c r="J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26"/>
      <x:c r="J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26"/>
      <x:c r="J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26"/>
      <x:c r="J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26"/>
      <x:c r="J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26"/>
      <x:c r="J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26"/>
      <x:c r="J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26"/>
      <x:c r="J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26"/>
      <x:c r="J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26"/>
      <x:c r="J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26"/>
      <x:c r="J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26"/>
      <x:c r="J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26"/>
      <x:c r="J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26"/>
      <x:c r="J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26"/>
      <x:c r="J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26"/>
      <x:c r="J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26"/>
      <x:c r="J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26"/>
      <x:c r="J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26"/>
      <x:c r="J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26"/>
      <x:c r="J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26"/>
      <x:c r="J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26"/>
      <x:c r="J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26"/>
      <x:c r="J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26"/>
      <x:c r="J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26"/>
      <x:c r="J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26"/>
      <x:c r="J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26"/>
      <x:c r="J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26"/>
      <x:c r="J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26"/>
      <x:c r="J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26"/>
      <x:c r="J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26"/>
      <x:c r="J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26"/>
      <x:c r="J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26"/>
      <x:c r="J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26"/>
      <x:c r="J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26"/>
      <x:c r="J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26"/>
      <x:c r="J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26"/>
      <x:c r="J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26"/>
      <x:c r="J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26"/>
      <x:c r="J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26"/>
      <x:c r="J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26"/>
      <x:c r="J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26"/>
      <x:c r="J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26"/>
      <x:c r="J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26"/>
      <x:c r="J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26"/>
      <x:c r="J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26"/>
      <x:c r="J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26"/>
      <x:c r="J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26"/>
      <x:c r="J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26"/>
      <x:c r="J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26"/>
      <x:c r="J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26"/>
      <x:c r="J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26"/>
      <x:c r="J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26"/>
      <x:c r="J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26"/>
      <x:c r="J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26"/>
      <x:c r="J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26"/>
      <x:c r="J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26"/>
      <x:c r="J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26"/>
      <x:c r="J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26"/>
      <x:c r="J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26"/>
      <x:c r="J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26"/>
      <x:c r="J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26"/>
      <x:c r="J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26"/>
      <x:c r="J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26"/>
      <x:c r="J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26"/>
      <x:c r="J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26"/>
      <x:c r="J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26"/>
      <x:c r="J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26"/>
      <x:c r="J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26"/>
      <x:c r="J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26"/>
      <x:c r="J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26"/>
      <x:c r="J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26"/>
      <x:c r="J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26"/>
      <x:c r="J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26"/>
      <x:c r="J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26"/>
      <x:c r="J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26"/>
      <x:c r="J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26"/>
      <x:c r="J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26"/>
      <x:c r="J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26"/>
      <x:c r="J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26"/>
      <x:c r="J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26"/>
      <x:c r="J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26"/>
      <x:c r="J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26"/>
      <x:c r="J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26"/>
      <x:c r="J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26"/>
      <x:c r="J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26"/>
      <x:c r="J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26"/>
      <x:c r="J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26"/>
      <x:c r="J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26"/>
      <x:c r="J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26"/>
      <x:c r="J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26"/>
      <x:c r="J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26"/>
      <x:c r="J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26"/>
      <x:c r="J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26"/>
      <x:c r="J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26"/>
      <x:c r="J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26"/>
      <x:c r="J500" s="19"/>
    </x:row>
  </x:sheetData>
  <x:conditionalFormatting sqref="B2:B500">
    <x:cfRule type="expression" dxfId="103" priority="1">
      <x:formula>AND($A2&lt;&gt;"",B2="")</x:formula>
    </x:cfRule>
  </x:conditionalFormatting>
  <x:conditionalFormatting sqref="C2:C500">
    <x:cfRule type="expression" dxfId="104" priority="2">
      <x:formula>AND($A2&lt;&gt;"",C2="")</x:formula>
    </x:cfRule>
  </x:conditionalFormatting>
  <x:conditionalFormatting sqref="G2:G500">
    <x:cfRule type="expression" dxfId="105" priority="3">
      <x:formula>AND($A2&lt;&gt;"",G2="")</x:formula>
    </x:cfRule>
  </x:conditionalFormatting>
  <x:conditionalFormatting sqref="H2:H500">
    <x:cfRule type="expression" dxfId="106" priority="4">
      <x:formula>AND($A2&lt;&gt;"",H2="")</x:formula>
    </x:cfRule>
  </x:conditionalFormatting>
  <x:conditionalFormatting sqref="I2:I500">
    <x:cfRule type="expression" dxfId="107" priority="5">
      <x:formula>AND($A2&lt;&gt;"",I2="")</x:formula>
    </x:cfRule>
  </x:conditionalFormatting>
  <x:conditionalFormatting sqref="J2:J500">
    <x:cfRule type="expression" dxfId="108" priority="6">
      <x:formula>AND($A2&lt;&gt;"",J2="")</x:formula>
    </x:cfRule>
  </x:conditionalFormatting>
  <x:dataValidations count="3">
    <x:dataValidation type="list" sqref="C2:C500">
      <x:formula1>"owner,manager,seller,viewer"</x:formula1>
    </x:dataValidation>
    <x:dataValidation type="list" sqref="G2:G500">
      <x:formula1>"TRUE,FALSE"</x:formula1>
    </x:dataValidation>
    <x:dataValidation type="list" sqref="H2:H500">
      <x:formula1>"own,team,all"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701c25e08144e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5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14" hidden="0" customWidth="1"/>
    <x:col min="9" max="9" width="20" hidden="0" customWidth="1"/>
    <x:col min="10" max="10" width="13" hidden="0" customWidth="1"/>
    <x:col min="11" max="11" width="19" hidden="0" customWidth="1"/>
    <x:col min="12" max="12" width="18" hidden="0" customWidth="1"/>
    <x:col min="13" max="13" width="19" hidden="0" customWidth="1"/>
    <x:col min="14" max="14" width="18" hidden="0" customWidth="1"/>
    <x:col min="15" max="15" width="12" hidden="0" customWidth="1"/>
  </x:cols>
  <x:sheetData>
    <x:row r="1" ht="46" customHeight="1">
      <x:c r="A1" s="12" t="str">
        <x:v>شناسه کمپین *
(campaign_id)</x:v>
      </x:c>
      <x:c r="B1" s="13" t="str">
        <x:v>نام کمپین *
(name)</x:v>
      </x:c>
      <x:c r="C1" s="13" t="str">
        <x:v>کانال *
(channel)</x:v>
      </x:c>
      <x:c r="D1" s="13" t="str">
        <x:v>شروع
(start_at)</x:v>
      </x:c>
      <x:c r="E1" s="13" t="str">
        <x:v>پایان
(end_at)</x:v>
      </x:c>
      <x:c r="F1" s="13" t="str">
        <x:v>بودجه (ریال)
(budget)</x:v>
      </x:c>
      <x:c r="G1" s="13" t="str">
        <x:v>کد رهگیری
(tracking_code)</x:v>
      </x:c>
      <x:c r="H1" s="13" t="str">
        <x:v>تعداد ورودی
(leads_count)</x:v>
      </x:c>
      <x:c r="I1" s="13" t="str">
        <x:v>درآمد برده (ریال)
(won_revenue)</x:v>
      </x:c>
      <x:c r="J1" s="13" t="str">
        <x:v>وضعیت *
(status)</x:v>
      </x:c>
      <x:c r="K1" s="13" t="str">
        <x:v>زمان ایجاد *
(created_at)</x:v>
      </x:c>
      <x:c r="L1" s="13" t="str">
        <x:v>ایجادکننده *
(created_by)</x:v>
      </x:c>
      <x:c r="M1" s="13" t="str">
        <x:v>آخرین تغییر *
(updated_at)</x:v>
      </x:c>
      <x:c r="N1" s="13" t="str">
        <x:v>تغییردهنده *
(updated_by)</x:v>
      </x:c>
      <x:c r="O1" s="14" t="str">
        <x:v>حذف نرم *
(is_deleted)</x:v>
      </x:c>
    </x:row>
    <x:row r="2">
      <x:c r="A2" s="28" t="str">
        <x:v>cmp_ig_summer</x:v>
      </x:c>
      <x:c r="B2" s="29" t="str">
        <x:v>کمپین تابستان اینستاگرام</x:v>
      </x:c>
      <x:c r="C2" s="29" t="str">
        <x:v>instagram</x:v>
      </x:c>
      <x:c r="D2" s="31" t="n">
        <x:v>46204</x:v>
      </x:c>
      <x:c r="E2" s="31" t="n">
        <x:v>46234</x:v>
      </x:c>
      <x:c r="F2" s="32" t="n">
        <x:v>150000000</x:v>
      </x:c>
      <x:c r="G2" s="29" t="str">
        <x:v>IG-SUMMER</x:v>
      </x:c>
      <x:c r="H2" s="101" t="n">
        <x:f>IF($A2="","",COUNTIF('Leads'!$D$2:$D$500,$A2))</x:f>
        <x:v>1</x:v>
      </x:c>
      <x:c r="I2" s="93" t="n">
        <x:f>IF($A2="","",SUMIFS('DashboardData'!$H$2:$H$500,'DashboardData'!$B$2:$B$500,"won_revenue",'DashboardData'!$C$2:$C$500,"campaign",'DashboardData'!$D$2:$D$500,$A2))</x:f>
        <x:v>0</x:v>
      </x:c>
      <x:c r="J2" s="29" t="str">
        <x:v>active</x:v>
      </x:c>
      <x:c r="K2" s="33" t="n">
        <x:v>46201.270833333336</x:v>
      </x:c>
      <x:c r="L2" s="29" t="str">
        <x:v>usr_owner</x:v>
      </x:c>
      <x:c r="M2" s="33" t="n">
        <x:v>46215.229166666664</x:v>
      </x:c>
      <x:c r="N2" s="29" t="str">
        <x:v>usr_owner</x:v>
      </x:c>
      <x:c r="O2" s="55" t="b">
        <x:v>0</x:v>
      </x:c>
    </x:row>
    <x:row r="3">
      <x:c r="A3" s="46" t="str">
        <x:v>cmp_web_seo</x:v>
      </x:c>
      <x:c r="B3" s="47" t="str">
        <x:v>ورودی ارگانیک سایت</x:v>
      </x:c>
      <x:c r="C3" s="47" t="str">
        <x:v>website</x:v>
      </x:c>
      <x:c r="D3" s="49" t="n">
        <x:v>46023</x:v>
      </x:c>
      <x:c r="E3" s="49" t="n">
        <x:v>46387</x:v>
      </x:c>
      <x:c r="F3" s="50" t="n">
        <x:v>0</x:v>
      </x:c>
      <x:c r="G3" s="47" t="str">
        <x:v>WEB-SEO</x:v>
      </x:c>
      <x:c r="H3" s="103" t="n">
        <x:f>IF($A3="","",COUNTIF('Leads'!$D$2:$D$500,$A3))</x:f>
        <x:v>1</x:v>
      </x:c>
      <x:c r="I3" s="95" t="n">
        <x:f>IF($A3="","",SUMIFS('DashboardData'!$H$2:$H$500,'DashboardData'!$B$2:$B$500,"won_revenue",'DashboardData'!$C$2:$C$500,"campaign",'DashboardData'!$D$2:$D$500,$A3))</x:f>
        <x:v>885000000</x:v>
      </x:c>
      <x:c r="J3" s="47" t="str">
        <x:v>active</x:v>
      </x:c>
      <x:c r="K3" s="51" t="n">
        <x:v>46023.229166666664</x:v>
      </x:c>
      <x:c r="L3" s="47" t="str">
        <x:v>usr_owner</x:v>
      </x:c>
      <x:c r="M3" s="51" t="n">
        <x:v>46215.229166666664</x:v>
      </x:c>
      <x:c r="N3" s="47" t="str">
        <x:v>usr_owner</x:v>
      </x:c>
      <x:c r="O3" s="57" t="b">
        <x:v>0</x:v>
      </x:c>
    </x:row>
    <x:row r="4">
      <x:c r="A4" s="19"/>
      <x:c r="B4" s="19"/>
      <x:c r="C4" s="19"/>
      <x:c r="D4" s="24"/>
      <x:c r="E4" s="24"/>
      <x:c r="F4" s="25"/>
      <x:c r="G4" s="19"/>
      <x:c r="H4" s="104" t="str">
        <x:f>IF($A4="","",COUNTIF('Leads'!$D$2:$D$500,$A4))</x:f>
      </x:c>
      <x:c r="I4" s="96" t="str">
        <x:f>IF($A4="","",SUMIFS('DashboardData'!$H$2:$H$500,'DashboardData'!$B$2:$B$500,"won_revenue",'DashboardData'!$C$2:$C$500,"campaign",'DashboardData'!$D$2:$D$500,$A4))</x:f>
      </x:c>
      <x:c r="J4" s="19"/>
      <x:c r="K4" s="26"/>
      <x:c r="L4" s="19"/>
      <x:c r="M4" s="26"/>
      <x:c r="N4" s="19"/>
      <x:c r="O4" s="19"/>
    </x:row>
    <x:row r="5">
      <x:c r="A5" s="19"/>
      <x:c r="B5" s="19"/>
      <x:c r="C5" s="19"/>
      <x:c r="D5" s="24"/>
      <x:c r="E5" s="24"/>
      <x:c r="F5" s="25"/>
      <x:c r="G5" s="19"/>
      <x:c r="H5" s="104" t="str">
        <x:f>IF($A5="","",COUNTIF('Leads'!$D$2:$D$500,$A5))</x:f>
      </x:c>
      <x:c r="I5" s="96" t="str">
        <x:f>IF($A5="","",SUMIFS('DashboardData'!$H$2:$H$500,'DashboardData'!$B$2:$B$500,"won_revenue",'DashboardData'!$C$2:$C$500,"campaign",'DashboardData'!$D$2:$D$500,$A5))</x:f>
      </x:c>
      <x:c r="J5" s="19"/>
      <x:c r="K5" s="26"/>
      <x:c r="L5" s="19"/>
      <x:c r="M5" s="26"/>
      <x:c r="N5" s="19"/>
      <x:c r="O5" s="19"/>
    </x:row>
    <x:row r="6">
      <x:c r="A6" s="19"/>
      <x:c r="B6" s="19"/>
      <x:c r="C6" s="19"/>
      <x:c r="D6" s="24"/>
      <x:c r="E6" s="24"/>
      <x:c r="F6" s="25"/>
      <x:c r="G6" s="19"/>
      <x:c r="H6" s="104" t="str">
        <x:f>IF($A6="","",COUNTIF('Leads'!$D$2:$D$500,$A6))</x:f>
      </x:c>
      <x:c r="I6" s="96" t="str">
        <x:f>IF($A6="","",SUMIFS('DashboardData'!$H$2:$H$500,'DashboardData'!$B$2:$B$500,"won_revenue",'DashboardData'!$C$2:$C$500,"campaign",'DashboardData'!$D$2:$D$500,$A6))</x:f>
      </x:c>
      <x:c r="J6" s="19"/>
      <x:c r="K6" s="26"/>
      <x:c r="L6" s="19"/>
      <x:c r="M6" s="26"/>
      <x:c r="N6" s="19"/>
      <x:c r="O6" s="19"/>
    </x:row>
    <x:row r="7">
      <x:c r="A7" s="19"/>
      <x:c r="B7" s="19"/>
      <x:c r="C7" s="19"/>
      <x:c r="D7" s="24"/>
      <x:c r="E7" s="24"/>
      <x:c r="F7" s="25"/>
      <x:c r="G7" s="19"/>
      <x:c r="H7" s="104" t="str">
        <x:f>IF($A7="","",COUNTIF('Leads'!$D$2:$D$500,$A7))</x:f>
      </x:c>
      <x:c r="I7" s="96" t="str">
        <x:f>IF($A7="","",SUMIFS('DashboardData'!$H$2:$H$500,'DashboardData'!$B$2:$B$500,"won_revenue",'DashboardData'!$C$2:$C$500,"campaign",'DashboardData'!$D$2:$D$500,$A7))</x:f>
      </x:c>
      <x:c r="J7" s="19"/>
      <x:c r="K7" s="26"/>
      <x:c r="L7" s="19"/>
      <x:c r="M7" s="26"/>
      <x:c r="N7" s="19"/>
      <x:c r="O7" s="19"/>
    </x:row>
    <x:row r="8">
      <x:c r="A8" s="19"/>
      <x:c r="B8" s="19"/>
      <x:c r="C8" s="19"/>
      <x:c r="D8" s="24"/>
      <x:c r="E8" s="24"/>
      <x:c r="F8" s="25"/>
      <x:c r="G8" s="19"/>
      <x:c r="H8" s="104" t="str">
        <x:f>IF($A8="","",COUNTIF('Leads'!$D$2:$D$500,$A8))</x:f>
      </x:c>
      <x:c r="I8" s="96" t="str">
        <x:f>IF($A8="","",SUMIFS('DashboardData'!$H$2:$H$500,'DashboardData'!$B$2:$B$500,"won_revenue",'DashboardData'!$C$2:$C$500,"campaign",'DashboardData'!$D$2:$D$500,$A8))</x:f>
      </x:c>
      <x:c r="J8" s="19"/>
      <x:c r="K8" s="26"/>
      <x:c r="L8" s="19"/>
      <x:c r="M8" s="26"/>
      <x:c r="N8" s="19"/>
      <x:c r="O8" s="19"/>
    </x:row>
    <x:row r="9">
      <x:c r="A9" s="19"/>
      <x:c r="B9" s="19"/>
      <x:c r="C9" s="19"/>
      <x:c r="D9" s="24"/>
      <x:c r="E9" s="24"/>
      <x:c r="F9" s="25"/>
      <x:c r="G9" s="19"/>
      <x:c r="H9" s="104" t="str">
        <x:f>IF($A9="","",COUNTIF('Leads'!$D$2:$D$500,$A9))</x:f>
      </x:c>
      <x:c r="I9" s="96" t="str">
        <x:f>IF($A9="","",SUMIFS('DashboardData'!$H$2:$H$500,'DashboardData'!$B$2:$B$500,"won_revenue",'DashboardData'!$C$2:$C$500,"campaign",'DashboardData'!$D$2:$D$500,$A9))</x:f>
      </x:c>
      <x:c r="J9" s="19"/>
      <x:c r="K9" s="26"/>
      <x:c r="L9" s="19"/>
      <x:c r="M9" s="26"/>
      <x:c r="N9" s="19"/>
      <x:c r="O9" s="19"/>
    </x:row>
    <x:row r="10">
      <x:c r="A10" s="19"/>
      <x:c r="B10" s="19"/>
      <x:c r="C10" s="19"/>
      <x:c r="D10" s="24"/>
      <x:c r="E10" s="24"/>
      <x:c r="F10" s="25"/>
      <x:c r="G10" s="19"/>
      <x:c r="H10" s="104" t="str">
        <x:f>IF($A10="","",COUNTIF('Leads'!$D$2:$D$500,$A10))</x:f>
      </x:c>
      <x:c r="I10" s="96" t="str">
        <x:f>IF($A10="","",SUMIFS('DashboardData'!$H$2:$H$500,'DashboardData'!$B$2:$B$500,"won_revenue",'DashboardData'!$C$2:$C$500,"campaign",'DashboardData'!$D$2:$D$500,$A10))</x:f>
      </x:c>
      <x:c r="J10" s="19"/>
      <x:c r="K10" s="26"/>
      <x:c r="L10" s="19"/>
      <x:c r="M10" s="26"/>
      <x:c r="N10" s="19"/>
      <x:c r="O10" s="19"/>
    </x:row>
    <x:row r="11">
      <x:c r="A11" s="19"/>
      <x:c r="B11" s="19"/>
      <x:c r="C11" s="19"/>
      <x:c r="D11" s="24"/>
      <x:c r="E11" s="24"/>
      <x:c r="F11" s="25"/>
      <x:c r="G11" s="19"/>
      <x:c r="H11" s="104" t="str">
        <x:f>IF($A11="","",COUNTIF('Leads'!$D$2:$D$500,$A11))</x:f>
      </x:c>
      <x:c r="I11" s="96" t="str">
        <x:f>IF($A11="","",SUMIFS('DashboardData'!$H$2:$H$500,'DashboardData'!$B$2:$B$500,"won_revenue",'DashboardData'!$C$2:$C$500,"campaign",'DashboardData'!$D$2:$D$500,$A11))</x:f>
      </x:c>
      <x:c r="J11" s="19"/>
      <x:c r="K11" s="26"/>
      <x:c r="L11" s="19"/>
      <x:c r="M11" s="26"/>
      <x:c r="N11" s="19"/>
      <x:c r="O11" s="19"/>
    </x:row>
    <x:row r="12">
      <x:c r="A12" s="19"/>
      <x:c r="B12" s="19"/>
      <x:c r="C12" s="19"/>
      <x:c r="D12" s="24"/>
      <x:c r="E12" s="24"/>
      <x:c r="F12" s="25"/>
      <x:c r="G12" s="19"/>
      <x:c r="H12" s="104" t="str">
        <x:f>IF($A12="","",COUNTIF('Leads'!$D$2:$D$500,$A12))</x:f>
      </x:c>
      <x:c r="I12" s="96" t="str">
        <x:f>IF($A12="","",SUMIFS('DashboardData'!$H$2:$H$500,'DashboardData'!$B$2:$B$500,"won_revenue",'DashboardData'!$C$2:$C$500,"campaign",'DashboardData'!$D$2:$D$500,$A12))</x:f>
      </x:c>
      <x:c r="J12" s="19"/>
      <x:c r="K12" s="26"/>
      <x:c r="L12" s="19"/>
      <x:c r="M12" s="26"/>
      <x:c r="N12" s="19"/>
      <x:c r="O12" s="19"/>
    </x:row>
    <x:row r="13">
      <x:c r="A13" s="19"/>
      <x:c r="B13" s="19"/>
      <x:c r="C13" s="19"/>
      <x:c r="D13" s="24"/>
      <x:c r="E13" s="24"/>
      <x:c r="F13" s="25"/>
      <x:c r="G13" s="19"/>
      <x:c r="H13" s="104" t="str">
        <x:f>IF($A13="","",COUNTIF('Leads'!$D$2:$D$500,$A13))</x:f>
      </x:c>
      <x:c r="I13" s="96" t="str">
        <x:f>IF($A13="","",SUMIFS('DashboardData'!$H$2:$H$500,'DashboardData'!$B$2:$B$500,"won_revenue",'DashboardData'!$C$2:$C$500,"campaign",'DashboardData'!$D$2:$D$500,$A13))</x:f>
      </x:c>
      <x:c r="J13" s="19"/>
      <x:c r="K13" s="26"/>
      <x:c r="L13" s="19"/>
      <x:c r="M13" s="26"/>
      <x:c r="N13" s="19"/>
      <x:c r="O13" s="19"/>
    </x:row>
    <x:row r="14">
      <x:c r="A14" s="19"/>
      <x:c r="B14" s="19"/>
      <x:c r="C14" s="19"/>
      <x:c r="D14" s="24"/>
      <x:c r="E14" s="24"/>
      <x:c r="F14" s="25"/>
      <x:c r="G14" s="19"/>
      <x:c r="H14" s="104" t="str">
        <x:f>IF($A14="","",COUNTIF('Leads'!$D$2:$D$500,$A14))</x:f>
      </x:c>
      <x:c r="I14" s="96" t="str">
        <x:f>IF($A14="","",SUMIFS('DashboardData'!$H$2:$H$500,'DashboardData'!$B$2:$B$500,"won_revenue",'DashboardData'!$C$2:$C$500,"campaign",'DashboardData'!$D$2:$D$500,$A14))</x:f>
      </x:c>
      <x:c r="J14" s="19"/>
      <x:c r="K14" s="26"/>
      <x:c r="L14" s="19"/>
      <x:c r="M14" s="26"/>
      <x:c r="N14" s="19"/>
      <x:c r="O14" s="19"/>
    </x:row>
    <x:row r="15">
      <x:c r="A15" s="19"/>
      <x:c r="B15" s="19"/>
      <x:c r="C15" s="19"/>
      <x:c r="D15" s="24"/>
      <x:c r="E15" s="24"/>
      <x:c r="F15" s="25"/>
      <x:c r="G15" s="19"/>
      <x:c r="H15" s="104" t="str">
        <x:f>IF($A15="","",COUNTIF('Leads'!$D$2:$D$500,$A15))</x:f>
      </x:c>
      <x:c r="I15" s="96" t="str">
        <x:f>IF($A15="","",SUMIFS('DashboardData'!$H$2:$H$500,'DashboardData'!$B$2:$B$500,"won_revenue",'DashboardData'!$C$2:$C$500,"campaign",'DashboardData'!$D$2:$D$500,$A15))</x:f>
      </x:c>
      <x:c r="J15" s="19"/>
      <x:c r="K15" s="26"/>
      <x:c r="L15" s="19"/>
      <x:c r="M15" s="26"/>
      <x:c r="N15" s="19"/>
      <x:c r="O15" s="19"/>
    </x:row>
    <x:row r="16">
      <x:c r="A16" s="19"/>
      <x:c r="B16" s="19"/>
      <x:c r="C16" s="19"/>
      <x:c r="D16" s="24"/>
      <x:c r="E16" s="24"/>
      <x:c r="F16" s="25"/>
      <x:c r="G16" s="19"/>
      <x:c r="H16" s="104" t="str">
        <x:f>IF($A16="","",COUNTIF('Leads'!$D$2:$D$500,$A16))</x:f>
      </x:c>
      <x:c r="I16" s="96" t="str">
        <x:f>IF($A16="","",SUMIFS('DashboardData'!$H$2:$H$500,'DashboardData'!$B$2:$B$500,"won_revenue",'DashboardData'!$C$2:$C$500,"campaign",'DashboardData'!$D$2:$D$500,$A16))</x:f>
      </x:c>
      <x:c r="J16" s="19"/>
      <x:c r="K16" s="26"/>
      <x:c r="L16" s="19"/>
      <x:c r="M16" s="26"/>
      <x:c r="N16" s="19"/>
      <x:c r="O16" s="19"/>
    </x:row>
    <x:row r="17">
      <x:c r="A17" s="19"/>
      <x:c r="B17" s="19"/>
      <x:c r="C17" s="19"/>
      <x:c r="D17" s="24"/>
      <x:c r="E17" s="24"/>
      <x:c r="F17" s="25"/>
      <x:c r="G17" s="19"/>
      <x:c r="H17" s="104" t="str">
        <x:f>IF($A17="","",COUNTIF('Leads'!$D$2:$D$500,$A17))</x:f>
      </x:c>
      <x:c r="I17" s="96" t="str">
        <x:f>IF($A17="","",SUMIFS('DashboardData'!$H$2:$H$500,'DashboardData'!$B$2:$B$500,"won_revenue",'DashboardData'!$C$2:$C$500,"campaign",'DashboardData'!$D$2:$D$500,$A17))</x:f>
      </x:c>
      <x:c r="J17" s="19"/>
      <x:c r="K17" s="26"/>
      <x:c r="L17" s="19"/>
      <x:c r="M17" s="26"/>
      <x:c r="N17" s="19"/>
      <x:c r="O17" s="19"/>
    </x:row>
    <x:row r="18">
      <x:c r="A18" s="19"/>
      <x:c r="B18" s="19"/>
      <x:c r="C18" s="19"/>
      <x:c r="D18" s="24"/>
      <x:c r="E18" s="24"/>
      <x:c r="F18" s="25"/>
      <x:c r="G18" s="19"/>
      <x:c r="H18" s="104" t="str">
        <x:f>IF($A18="","",COUNTIF('Leads'!$D$2:$D$500,$A18))</x:f>
      </x:c>
      <x:c r="I18" s="96" t="str">
        <x:f>IF($A18="","",SUMIFS('DashboardData'!$H$2:$H$500,'DashboardData'!$B$2:$B$500,"won_revenue",'DashboardData'!$C$2:$C$500,"campaign",'DashboardData'!$D$2:$D$500,$A18))</x:f>
      </x:c>
      <x:c r="J18" s="19"/>
      <x:c r="K18" s="26"/>
      <x:c r="L18" s="19"/>
      <x:c r="M18" s="26"/>
      <x:c r="N18" s="19"/>
      <x:c r="O18" s="19"/>
    </x:row>
    <x:row r="19">
      <x:c r="A19" s="19"/>
      <x:c r="B19" s="19"/>
      <x:c r="C19" s="19"/>
      <x:c r="D19" s="24"/>
      <x:c r="E19" s="24"/>
      <x:c r="F19" s="25"/>
      <x:c r="G19" s="19"/>
      <x:c r="H19" s="104" t="str">
        <x:f>IF($A19="","",COUNTIF('Leads'!$D$2:$D$500,$A19))</x:f>
      </x:c>
      <x:c r="I19" s="96" t="str">
        <x:f>IF($A19="","",SUMIFS('DashboardData'!$H$2:$H$500,'DashboardData'!$B$2:$B$500,"won_revenue",'DashboardData'!$C$2:$C$500,"campaign",'DashboardData'!$D$2:$D$500,$A19))</x:f>
      </x:c>
      <x:c r="J19" s="19"/>
      <x:c r="K19" s="26"/>
      <x:c r="L19" s="19"/>
      <x:c r="M19" s="26"/>
      <x:c r="N19" s="19"/>
      <x:c r="O19" s="19"/>
    </x:row>
    <x:row r="20">
      <x:c r="A20" s="19"/>
      <x:c r="B20" s="19"/>
      <x:c r="C20" s="19"/>
      <x:c r="D20" s="24"/>
      <x:c r="E20" s="24"/>
      <x:c r="F20" s="25"/>
      <x:c r="G20" s="19"/>
      <x:c r="H20" s="104" t="str">
        <x:f>IF($A20="","",COUNTIF('Leads'!$D$2:$D$500,$A20))</x:f>
      </x:c>
      <x:c r="I20" s="96" t="str">
        <x:f>IF($A20="","",SUMIFS('DashboardData'!$H$2:$H$500,'DashboardData'!$B$2:$B$500,"won_revenue",'DashboardData'!$C$2:$C$500,"campaign",'DashboardData'!$D$2:$D$500,$A20))</x:f>
      </x:c>
      <x:c r="J20" s="19"/>
      <x:c r="K20" s="26"/>
      <x:c r="L20" s="19"/>
      <x:c r="M20" s="26"/>
      <x:c r="N20" s="19"/>
      <x:c r="O20" s="19"/>
    </x:row>
    <x:row r="21">
      <x:c r="A21" s="19"/>
      <x:c r="B21" s="19"/>
      <x:c r="C21" s="19"/>
      <x:c r="D21" s="24"/>
      <x:c r="E21" s="24"/>
      <x:c r="F21" s="25"/>
      <x:c r="G21" s="19"/>
      <x:c r="H21" s="104" t="str">
        <x:f>IF($A21="","",COUNTIF('Leads'!$D$2:$D$500,$A21))</x:f>
      </x:c>
      <x:c r="I21" s="96" t="str">
        <x:f>IF($A21="","",SUMIFS('DashboardData'!$H$2:$H$500,'DashboardData'!$B$2:$B$500,"won_revenue",'DashboardData'!$C$2:$C$500,"campaign",'DashboardData'!$D$2:$D$500,$A21))</x:f>
      </x:c>
      <x:c r="J21" s="19"/>
      <x:c r="K21" s="26"/>
      <x:c r="L21" s="19"/>
      <x:c r="M21" s="26"/>
      <x:c r="N21" s="19"/>
      <x:c r="O21" s="19"/>
    </x:row>
    <x:row r="22">
      <x:c r="A22" s="19"/>
      <x:c r="B22" s="19"/>
      <x:c r="C22" s="19"/>
      <x:c r="D22" s="24"/>
      <x:c r="E22" s="24"/>
      <x:c r="F22" s="25"/>
      <x:c r="G22" s="19"/>
      <x:c r="H22" s="104" t="str">
        <x:f>IF($A22="","",COUNTIF('Leads'!$D$2:$D$500,$A22))</x:f>
      </x:c>
      <x:c r="I22" s="96" t="str">
        <x:f>IF($A22="","",SUMIFS('DashboardData'!$H$2:$H$500,'DashboardData'!$B$2:$B$500,"won_revenue",'DashboardData'!$C$2:$C$500,"campaign",'DashboardData'!$D$2:$D$500,$A22))</x:f>
      </x:c>
      <x:c r="J22" s="19"/>
      <x:c r="K22" s="26"/>
      <x:c r="L22" s="19"/>
      <x:c r="M22" s="26"/>
      <x:c r="N22" s="19"/>
      <x:c r="O22" s="19"/>
    </x:row>
    <x:row r="23">
      <x:c r="A23" s="19"/>
      <x:c r="B23" s="19"/>
      <x:c r="C23" s="19"/>
      <x:c r="D23" s="24"/>
      <x:c r="E23" s="24"/>
      <x:c r="F23" s="25"/>
      <x:c r="G23" s="19"/>
      <x:c r="H23" s="104" t="str">
        <x:f>IF($A23="","",COUNTIF('Leads'!$D$2:$D$500,$A23))</x:f>
      </x:c>
      <x:c r="I23" s="96" t="str">
        <x:f>IF($A23="","",SUMIFS('DashboardData'!$H$2:$H$500,'DashboardData'!$B$2:$B$500,"won_revenue",'DashboardData'!$C$2:$C$500,"campaign",'DashboardData'!$D$2:$D$500,$A23))</x:f>
      </x:c>
      <x:c r="J23" s="19"/>
      <x:c r="K23" s="26"/>
      <x:c r="L23" s="19"/>
      <x:c r="M23" s="26"/>
      <x:c r="N23" s="19"/>
      <x:c r="O23" s="19"/>
    </x:row>
    <x:row r="24">
      <x:c r="A24" s="19"/>
      <x:c r="B24" s="19"/>
      <x:c r="C24" s="19"/>
      <x:c r="D24" s="24"/>
      <x:c r="E24" s="24"/>
      <x:c r="F24" s="25"/>
      <x:c r="G24" s="19"/>
      <x:c r="H24" s="104" t="str">
        <x:f>IF($A24="","",COUNTIF('Leads'!$D$2:$D$500,$A24))</x:f>
      </x:c>
      <x:c r="I24" s="96" t="str">
        <x:f>IF($A24="","",SUMIFS('DashboardData'!$H$2:$H$500,'DashboardData'!$B$2:$B$500,"won_revenue",'DashboardData'!$C$2:$C$500,"campaign",'DashboardData'!$D$2:$D$500,$A24))</x:f>
      </x:c>
      <x:c r="J24" s="19"/>
      <x:c r="K24" s="26"/>
      <x:c r="L24" s="19"/>
      <x:c r="M24" s="26"/>
      <x:c r="N24" s="19"/>
      <x:c r="O24" s="19"/>
    </x:row>
    <x:row r="25">
      <x:c r="A25" s="19"/>
      <x:c r="B25" s="19"/>
      <x:c r="C25" s="19"/>
      <x:c r="D25" s="24"/>
      <x:c r="E25" s="24"/>
      <x:c r="F25" s="25"/>
      <x:c r="G25" s="19"/>
      <x:c r="H25" s="104" t="str">
        <x:f>IF($A25="","",COUNTIF('Leads'!$D$2:$D$500,$A25))</x:f>
      </x:c>
      <x:c r="I25" s="96" t="str">
        <x:f>IF($A25="","",SUMIFS('DashboardData'!$H$2:$H$500,'DashboardData'!$B$2:$B$500,"won_revenue",'DashboardData'!$C$2:$C$500,"campaign",'DashboardData'!$D$2:$D$500,$A25))</x:f>
      </x:c>
      <x:c r="J25" s="19"/>
      <x:c r="K25" s="26"/>
      <x:c r="L25" s="19"/>
      <x:c r="M25" s="26"/>
      <x:c r="N25" s="19"/>
      <x:c r="O25" s="19"/>
    </x:row>
    <x:row r="26">
      <x:c r="A26" s="19"/>
      <x:c r="B26" s="19"/>
      <x:c r="C26" s="19"/>
      <x:c r="D26" s="24"/>
      <x:c r="E26" s="24"/>
      <x:c r="F26" s="25"/>
      <x:c r="G26" s="19"/>
      <x:c r="H26" s="104" t="str">
        <x:f>IF($A26="","",COUNTIF('Leads'!$D$2:$D$500,$A26))</x:f>
      </x:c>
      <x:c r="I26" s="96" t="str">
        <x:f>IF($A26="","",SUMIFS('DashboardData'!$H$2:$H$500,'DashboardData'!$B$2:$B$500,"won_revenue",'DashboardData'!$C$2:$C$500,"campaign",'DashboardData'!$D$2:$D$500,$A26))</x:f>
      </x:c>
      <x:c r="J26" s="19"/>
      <x:c r="K26" s="26"/>
      <x:c r="L26" s="19"/>
      <x:c r="M26" s="26"/>
      <x:c r="N26" s="19"/>
      <x:c r="O26" s="19"/>
    </x:row>
    <x:row r="27">
      <x:c r="A27" s="19"/>
      <x:c r="B27" s="19"/>
      <x:c r="C27" s="19"/>
      <x:c r="D27" s="24"/>
      <x:c r="E27" s="24"/>
      <x:c r="F27" s="25"/>
      <x:c r="G27" s="19"/>
      <x:c r="H27" s="104" t="str">
        <x:f>IF($A27="","",COUNTIF('Leads'!$D$2:$D$500,$A27))</x:f>
      </x:c>
      <x:c r="I27" s="96" t="str">
        <x:f>IF($A27="","",SUMIFS('DashboardData'!$H$2:$H$500,'DashboardData'!$B$2:$B$500,"won_revenue",'DashboardData'!$C$2:$C$500,"campaign",'DashboardData'!$D$2:$D$500,$A27))</x:f>
      </x:c>
      <x:c r="J27" s="19"/>
      <x:c r="K27" s="26"/>
      <x:c r="L27" s="19"/>
      <x:c r="M27" s="26"/>
      <x:c r="N27" s="19"/>
      <x:c r="O27" s="19"/>
    </x:row>
    <x:row r="28">
      <x:c r="A28" s="19"/>
      <x:c r="B28" s="19"/>
      <x:c r="C28" s="19"/>
      <x:c r="D28" s="24"/>
      <x:c r="E28" s="24"/>
      <x:c r="F28" s="25"/>
      <x:c r="G28" s="19"/>
      <x:c r="H28" s="104" t="str">
        <x:f>IF($A28="","",COUNTIF('Leads'!$D$2:$D$500,$A28))</x:f>
      </x:c>
      <x:c r="I28" s="96" t="str">
        <x:f>IF($A28="","",SUMIFS('DashboardData'!$H$2:$H$500,'DashboardData'!$B$2:$B$500,"won_revenue",'DashboardData'!$C$2:$C$500,"campaign",'DashboardData'!$D$2:$D$500,$A28))</x:f>
      </x:c>
      <x:c r="J28" s="19"/>
      <x:c r="K28" s="26"/>
      <x:c r="L28" s="19"/>
      <x:c r="M28" s="26"/>
      <x:c r="N28" s="19"/>
      <x:c r="O28" s="19"/>
    </x:row>
    <x:row r="29">
      <x:c r="A29" s="19"/>
      <x:c r="B29" s="19"/>
      <x:c r="C29" s="19"/>
      <x:c r="D29" s="24"/>
      <x:c r="E29" s="24"/>
      <x:c r="F29" s="25"/>
      <x:c r="G29" s="19"/>
      <x:c r="H29" s="104" t="str">
        <x:f>IF($A29="","",COUNTIF('Leads'!$D$2:$D$500,$A29))</x:f>
      </x:c>
      <x:c r="I29" s="96" t="str">
        <x:f>IF($A29="","",SUMIFS('DashboardData'!$H$2:$H$500,'DashboardData'!$B$2:$B$500,"won_revenue",'DashboardData'!$C$2:$C$500,"campaign",'DashboardData'!$D$2:$D$500,$A29))</x:f>
      </x:c>
      <x:c r="J29" s="19"/>
      <x:c r="K29" s="26"/>
      <x:c r="L29" s="19"/>
      <x:c r="M29" s="26"/>
      <x:c r="N29" s="19"/>
      <x:c r="O29" s="19"/>
    </x:row>
    <x:row r="30">
      <x:c r="A30" s="19"/>
      <x:c r="B30" s="19"/>
      <x:c r="C30" s="19"/>
      <x:c r="D30" s="24"/>
      <x:c r="E30" s="24"/>
      <x:c r="F30" s="25"/>
      <x:c r="G30" s="19"/>
      <x:c r="H30" s="104" t="str">
        <x:f>IF($A30="","",COUNTIF('Leads'!$D$2:$D$500,$A30))</x:f>
      </x:c>
      <x:c r="I30" s="96" t="str">
        <x:f>IF($A30="","",SUMIFS('DashboardData'!$H$2:$H$500,'DashboardData'!$B$2:$B$500,"won_revenue",'DashboardData'!$C$2:$C$500,"campaign",'DashboardData'!$D$2:$D$500,$A30))</x:f>
      </x:c>
      <x:c r="J30" s="19"/>
      <x:c r="K30" s="26"/>
      <x:c r="L30" s="19"/>
      <x:c r="M30" s="26"/>
      <x:c r="N30" s="19"/>
      <x:c r="O30" s="19"/>
    </x:row>
    <x:row r="31">
      <x:c r="A31" s="19"/>
      <x:c r="B31" s="19"/>
      <x:c r="C31" s="19"/>
      <x:c r="D31" s="24"/>
      <x:c r="E31" s="24"/>
      <x:c r="F31" s="25"/>
      <x:c r="G31" s="19"/>
      <x:c r="H31" s="104" t="str">
        <x:f>IF($A31="","",COUNTIF('Leads'!$D$2:$D$500,$A31))</x:f>
      </x:c>
      <x:c r="I31" s="96" t="str">
        <x:f>IF($A31="","",SUMIFS('DashboardData'!$H$2:$H$500,'DashboardData'!$B$2:$B$500,"won_revenue",'DashboardData'!$C$2:$C$500,"campaign",'DashboardData'!$D$2:$D$500,$A31))</x:f>
      </x:c>
      <x:c r="J31" s="19"/>
      <x:c r="K31" s="26"/>
      <x:c r="L31" s="19"/>
      <x:c r="M31" s="26"/>
      <x:c r="N31" s="19"/>
      <x:c r="O31" s="19"/>
    </x:row>
    <x:row r="32">
      <x:c r="A32" s="19"/>
      <x:c r="B32" s="19"/>
      <x:c r="C32" s="19"/>
      <x:c r="D32" s="24"/>
      <x:c r="E32" s="24"/>
      <x:c r="F32" s="25"/>
      <x:c r="G32" s="19"/>
      <x:c r="H32" s="104" t="str">
        <x:f>IF($A32="","",COUNTIF('Leads'!$D$2:$D$500,$A32))</x:f>
      </x:c>
      <x:c r="I32" s="96" t="str">
        <x:f>IF($A32="","",SUMIFS('DashboardData'!$H$2:$H$500,'DashboardData'!$B$2:$B$500,"won_revenue",'DashboardData'!$C$2:$C$500,"campaign",'DashboardData'!$D$2:$D$500,$A32))</x:f>
      </x:c>
      <x:c r="J32" s="19"/>
      <x:c r="K32" s="26"/>
      <x:c r="L32" s="19"/>
      <x:c r="M32" s="26"/>
      <x:c r="N32" s="19"/>
      <x:c r="O32" s="19"/>
    </x:row>
    <x:row r="33">
      <x:c r="A33" s="19"/>
      <x:c r="B33" s="19"/>
      <x:c r="C33" s="19"/>
      <x:c r="D33" s="24"/>
      <x:c r="E33" s="24"/>
      <x:c r="F33" s="25"/>
      <x:c r="G33" s="19"/>
      <x:c r="H33" s="104" t="str">
        <x:f>IF($A33="","",COUNTIF('Leads'!$D$2:$D$500,$A33))</x:f>
      </x:c>
      <x:c r="I33" s="96" t="str">
        <x:f>IF($A33="","",SUMIFS('DashboardData'!$H$2:$H$500,'DashboardData'!$B$2:$B$500,"won_revenue",'DashboardData'!$C$2:$C$500,"campaign",'DashboardData'!$D$2:$D$500,$A33))</x:f>
      </x:c>
      <x:c r="J33" s="19"/>
      <x:c r="K33" s="26"/>
      <x:c r="L33" s="19"/>
      <x:c r="M33" s="26"/>
      <x:c r="N33" s="19"/>
      <x:c r="O33" s="19"/>
    </x:row>
    <x:row r="34">
      <x:c r="A34" s="19"/>
      <x:c r="B34" s="19"/>
      <x:c r="C34" s="19"/>
      <x:c r="D34" s="24"/>
      <x:c r="E34" s="24"/>
      <x:c r="F34" s="25"/>
      <x:c r="G34" s="19"/>
      <x:c r="H34" s="104" t="str">
        <x:f>IF($A34="","",COUNTIF('Leads'!$D$2:$D$500,$A34))</x:f>
      </x:c>
      <x:c r="I34" s="96" t="str">
        <x:f>IF($A34="","",SUMIFS('DashboardData'!$H$2:$H$500,'DashboardData'!$B$2:$B$500,"won_revenue",'DashboardData'!$C$2:$C$500,"campaign",'DashboardData'!$D$2:$D$500,$A34))</x:f>
      </x:c>
      <x:c r="J34" s="19"/>
      <x:c r="K34" s="26"/>
      <x:c r="L34" s="19"/>
      <x:c r="M34" s="26"/>
      <x:c r="N34" s="19"/>
      <x:c r="O34" s="19"/>
    </x:row>
    <x:row r="35">
      <x:c r="A35" s="19"/>
      <x:c r="B35" s="19"/>
      <x:c r="C35" s="19"/>
      <x:c r="D35" s="24"/>
      <x:c r="E35" s="24"/>
      <x:c r="F35" s="25"/>
      <x:c r="G35" s="19"/>
      <x:c r="H35" s="104" t="str">
        <x:f>IF($A35="","",COUNTIF('Leads'!$D$2:$D$500,$A35))</x:f>
      </x:c>
      <x:c r="I35" s="96" t="str">
        <x:f>IF($A35="","",SUMIFS('DashboardData'!$H$2:$H$500,'DashboardData'!$B$2:$B$500,"won_revenue",'DashboardData'!$C$2:$C$500,"campaign",'DashboardData'!$D$2:$D$500,$A35))</x:f>
      </x:c>
      <x:c r="J35" s="19"/>
      <x:c r="K35" s="26"/>
      <x:c r="L35" s="19"/>
      <x:c r="M35" s="26"/>
      <x:c r="N35" s="19"/>
      <x:c r="O35" s="19"/>
    </x:row>
    <x:row r="36">
      <x:c r="A36" s="19"/>
      <x:c r="B36" s="19"/>
      <x:c r="C36" s="19"/>
      <x:c r="D36" s="24"/>
      <x:c r="E36" s="24"/>
      <x:c r="F36" s="25"/>
      <x:c r="G36" s="19"/>
      <x:c r="H36" s="104" t="str">
        <x:f>IF($A36="","",COUNTIF('Leads'!$D$2:$D$500,$A36))</x:f>
      </x:c>
      <x:c r="I36" s="96" t="str">
        <x:f>IF($A36="","",SUMIFS('DashboardData'!$H$2:$H$500,'DashboardData'!$B$2:$B$500,"won_revenue",'DashboardData'!$C$2:$C$500,"campaign",'DashboardData'!$D$2:$D$500,$A36))</x:f>
      </x:c>
      <x:c r="J36" s="19"/>
      <x:c r="K36" s="26"/>
      <x:c r="L36" s="19"/>
      <x:c r="M36" s="26"/>
      <x:c r="N36" s="19"/>
      <x:c r="O36" s="19"/>
    </x:row>
    <x:row r="37">
      <x:c r="A37" s="19"/>
      <x:c r="B37" s="19"/>
      <x:c r="C37" s="19"/>
      <x:c r="D37" s="24"/>
      <x:c r="E37" s="24"/>
      <x:c r="F37" s="25"/>
      <x:c r="G37" s="19"/>
      <x:c r="H37" s="104" t="str">
        <x:f>IF($A37="","",COUNTIF('Leads'!$D$2:$D$500,$A37))</x:f>
      </x:c>
      <x:c r="I37" s="96" t="str">
        <x:f>IF($A37="","",SUMIFS('DashboardData'!$H$2:$H$500,'DashboardData'!$B$2:$B$500,"won_revenue",'DashboardData'!$C$2:$C$500,"campaign",'DashboardData'!$D$2:$D$500,$A37))</x:f>
      </x:c>
      <x:c r="J37" s="19"/>
      <x:c r="K37" s="26"/>
      <x:c r="L37" s="19"/>
      <x:c r="M37" s="26"/>
      <x:c r="N37" s="19"/>
      <x:c r="O37" s="19"/>
    </x:row>
    <x:row r="38">
      <x:c r="A38" s="19"/>
      <x:c r="B38" s="19"/>
      <x:c r="C38" s="19"/>
      <x:c r="D38" s="24"/>
      <x:c r="E38" s="24"/>
      <x:c r="F38" s="25"/>
      <x:c r="G38" s="19"/>
      <x:c r="H38" s="104" t="str">
        <x:f>IF($A38="","",COUNTIF('Leads'!$D$2:$D$500,$A38))</x:f>
      </x:c>
      <x:c r="I38" s="96" t="str">
        <x:f>IF($A38="","",SUMIFS('DashboardData'!$H$2:$H$500,'DashboardData'!$B$2:$B$500,"won_revenue",'DashboardData'!$C$2:$C$500,"campaign",'DashboardData'!$D$2:$D$500,$A38))</x:f>
      </x:c>
      <x:c r="J38" s="19"/>
      <x:c r="K38" s="26"/>
      <x:c r="L38" s="19"/>
      <x:c r="M38" s="26"/>
      <x:c r="N38" s="19"/>
      <x:c r="O38" s="19"/>
    </x:row>
    <x:row r="39">
      <x:c r="A39" s="19"/>
      <x:c r="B39" s="19"/>
      <x:c r="C39" s="19"/>
      <x:c r="D39" s="24"/>
      <x:c r="E39" s="24"/>
      <x:c r="F39" s="25"/>
      <x:c r="G39" s="19"/>
      <x:c r="H39" s="104" t="str">
        <x:f>IF($A39="","",COUNTIF('Leads'!$D$2:$D$500,$A39))</x:f>
      </x:c>
      <x:c r="I39" s="96" t="str">
        <x:f>IF($A39="","",SUMIFS('DashboardData'!$H$2:$H$500,'DashboardData'!$B$2:$B$500,"won_revenue",'DashboardData'!$C$2:$C$500,"campaign",'DashboardData'!$D$2:$D$500,$A39))</x:f>
      </x:c>
      <x:c r="J39" s="19"/>
      <x:c r="K39" s="26"/>
      <x:c r="L39" s="19"/>
      <x:c r="M39" s="26"/>
      <x:c r="N39" s="19"/>
      <x:c r="O39" s="19"/>
    </x:row>
    <x:row r="40">
      <x:c r="A40" s="19"/>
      <x:c r="B40" s="19"/>
      <x:c r="C40" s="19"/>
      <x:c r="D40" s="24"/>
      <x:c r="E40" s="24"/>
      <x:c r="F40" s="25"/>
      <x:c r="G40" s="19"/>
      <x:c r="H40" s="104" t="str">
        <x:f>IF($A40="","",COUNTIF('Leads'!$D$2:$D$500,$A40))</x:f>
      </x:c>
      <x:c r="I40" s="96" t="str">
        <x:f>IF($A40="","",SUMIFS('DashboardData'!$H$2:$H$500,'DashboardData'!$B$2:$B$500,"won_revenue",'DashboardData'!$C$2:$C$500,"campaign",'DashboardData'!$D$2:$D$500,$A40))</x:f>
      </x:c>
      <x:c r="J40" s="19"/>
      <x:c r="K40" s="26"/>
      <x:c r="L40" s="19"/>
      <x:c r="M40" s="26"/>
      <x:c r="N40" s="19"/>
      <x:c r="O40" s="19"/>
    </x:row>
    <x:row r="41">
      <x:c r="A41" s="19"/>
      <x:c r="B41" s="19"/>
      <x:c r="C41" s="19"/>
      <x:c r="D41" s="24"/>
      <x:c r="E41" s="24"/>
      <x:c r="F41" s="25"/>
      <x:c r="G41" s="19"/>
      <x:c r="H41" s="104" t="str">
        <x:f>IF($A41="","",COUNTIF('Leads'!$D$2:$D$500,$A41))</x:f>
      </x:c>
      <x:c r="I41" s="96" t="str">
        <x:f>IF($A41="","",SUMIFS('DashboardData'!$H$2:$H$500,'DashboardData'!$B$2:$B$500,"won_revenue",'DashboardData'!$C$2:$C$500,"campaign",'DashboardData'!$D$2:$D$500,$A41))</x:f>
      </x:c>
      <x:c r="J41" s="19"/>
      <x:c r="K41" s="26"/>
      <x:c r="L41" s="19"/>
      <x:c r="M41" s="26"/>
      <x:c r="N41" s="19"/>
      <x:c r="O41" s="19"/>
    </x:row>
    <x:row r="42">
      <x:c r="A42" s="19"/>
      <x:c r="B42" s="19"/>
      <x:c r="C42" s="19"/>
      <x:c r="D42" s="24"/>
      <x:c r="E42" s="24"/>
      <x:c r="F42" s="25"/>
      <x:c r="G42" s="19"/>
      <x:c r="H42" s="104" t="str">
        <x:f>IF($A42="","",COUNTIF('Leads'!$D$2:$D$500,$A42))</x:f>
      </x:c>
      <x:c r="I42" s="96" t="str">
        <x:f>IF($A42="","",SUMIFS('DashboardData'!$H$2:$H$500,'DashboardData'!$B$2:$B$500,"won_revenue",'DashboardData'!$C$2:$C$500,"campaign",'DashboardData'!$D$2:$D$500,$A42))</x:f>
      </x:c>
      <x:c r="J42" s="19"/>
      <x:c r="K42" s="26"/>
      <x:c r="L42" s="19"/>
      <x:c r="M42" s="26"/>
      <x:c r="N42" s="19"/>
      <x:c r="O42" s="19"/>
    </x:row>
    <x:row r="43">
      <x:c r="A43" s="19"/>
      <x:c r="B43" s="19"/>
      <x:c r="C43" s="19"/>
      <x:c r="D43" s="24"/>
      <x:c r="E43" s="24"/>
      <x:c r="F43" s="25"/>
      <x:c r="G43" s="19"/>
      <x:c r="H43" s="104" t="str">
        <x:f>IF($A43="","",COUNTIF('Leads'!$D$2:$D$500,$A43))</x:f>
      </x:c>
      <x:c r="I43" s="96" t="str">
        <x:f>IF($A43="","",SUMIFS('DashboardData'!$H$2:$H$500,'DashboardData'!$B$2:$B$500,"won_revenue",'DashboardData'!$C$2:$C$500,"campaign",'DashboardData'!$D$2:$D$500,$A43))</x:f>
      </x:c>
      <x:c r="J43" s="19"/>
      <x:c r="K43" s="26"/>
      <x:c r="L43" s="19"/>
      <x:c r="M43" s="26"/>
      <x:c r="N43" s="19"/>
      <x:c r="O43" s="19"/>
    </x:row>
    <x:row r="44">
      <x:c r="A44" s="19"/>
      <x:c r="B44" s="19"/>
      <x:c r="C44" s="19"/>
      <x:c r="D44" s="24"/>
      <x:c r="E44" s="24"/>
      <x:c r="F44" s="25"/>
      <x:c r="G44" s="19"/>
      <x:c r="H44" s="104" t="str">
        <x:f>IF($A44="","",COUNTIF('Leads'!$D$2:$D$500,$A44))</x:f>
      </x:c>
      <x:c r="I44" s="96" t="str">
        <x:f>IF($A44="","",SUMIFS('DashboardData'!$H$2:$H$500,'DashboardData'!$B$2:$B$500,"won_revenue",'DashboardData'!$C$2:$C$500,"campaign",'DashboardData'!$D$2:$D$500,$A44))</x:f>
      </x:c>
      <x:c r="J44" s="19"/>
      <x:c r="K44" s="26"/>
      <x:c r="L44" s="19"/>
      <x:c r="M44" s="26"/>
      <x:c r="N44" s="19"/>
      <x:c r="O44" s="19"/>
    </x:row>
    <x:row r="45">
      <x:c r="A45" s="19"/>
      <x:c r="B45" s="19"/>
      <x:c r="C45" s="19"/>
      <x:c r="D45" s="24"/>
      <x:c r="E45" s="24"/>
      <x:c r="F45" s="25"/>
      <x:c r="G45" s="19"/>
      <x:c r="H45" s="104" t="str">
        <x:f>IF($A45="","",COUNTIF('Leads'!$D$2:$D$500,$A45))</x:f>
      </x:c>
      <x:c r="I45" s="96" t="str">
        <x:f>IF($A45="","",SUMIFS('DashboardData'!$H$2:$H$500,'DashboardData'!$B$2:$B$500,"won_revenue",'DashboardData'!$C$2:$C$500,"campaign",'DashboardData'!$D$2:$D$500,$A45))</x:f>
      </x:c>
      <x:c r="J45" s="19"/>
      <x:c r="K45" s="26"/>
      <x:c r="L45" s="19"/>
      <x:c r="M45" s="26"/>
      <x:c r="N45" s="19"/>
      <x:c r="O45" s="19"/>
    </x:row>
    <x:row r="46">
      <x:c r="A46" s="19"/>
      <x:c r="B46" s="19"/>
      <x:c r="C46" s="19"/>
      <x:c r="D46" s="24"/>
      <x:c r="E46" s="24"/>
      <x:c r="F46" s="25"/>
      <x:c r="G46" s="19"/>
      <x:c r="H46" s="104" t="str">
        <x:f>IF($A46="","",COUNTIF('Leads'!$D$2:$D$500,$A46))</x:f>
      </x:c>
      <x:c r="I46" s="96" t="str">
        <x:f>IF($A46="","",SUMIFS('DashboardData'!$H$2:$H$500,'DashboardData'!$B$2:$B$500,"won_revenue",'DashboardData'!$C$2:$C$500,"campaign",'DashboardData'!$D$2:$D$500,$A46))</x:f>
      </x:c>
      <x:c r="J46" s="19"/>
      <x:c r="K46" s="26"/>
      <x:c r="L46" s="19"/>
      <x:c r="M46" s="26"/>
      <x:c r="N46" s="19"/>
      <x:c r="O46" s="19"/>
    </x:row>
    <x:row r="47">
      <x:c r="A47" s="19"/>
      <x:c r="B47" s="19"/>
      <x:c r="C47" s="19"/>
      <x:c r="D47" s="24"/>
      <x:c r="E47" s="24"/>
      <x:c r="F47" s="25"/>
      <x:c r="G47" s="19"/>
      <x:c r="H47" s="104" t="str">
        <x:f>IF($A47="","",COUNTIF('Leads'!$D$2:$D$500,$A47))</x:f>
      </x:c>
      <x:c r="I47" s="96" t="str">
        <x:f>IF($A47="","",SUMIFS('DashboardData'!$H$2:$H$500,'DashboardData'!$B$2:$B$500,"won_revenue",'DashboardData'!$C$2:$C$500,"campaign",'DashboardData'!$D$2:$D$500,$A47))</x:f>
      </x:c>
      <x:c r="J47" s="19"/>
      <x:c r="K47" s="26"/>
      <x:c r="L47" s="19"/>
      <x:c r="M47" s="26"/>
      <x:c r="N47" s="19"/>
      <x:c r="O47" s="19"/>
    </x:row>
    <x:row r="48">
      <x:c r="A48" s="19"/>
      <x:c r="B48" s="19"/>
      <x:c r="C48" s="19"/>
      <x:c r="D48" s="24"/>
      <x:c r="E48" s="24"/>
      <x:c r="F48" s="25"/>
      <x:c r="G48" s="19"/>
      <x:c r="H48" s="104" t="str">
        <x:f>IF($A48="","",COUNTIF('Leads'!$D$2:$D$500,$A48))</x:f>
      </x:c>
      <x:c r="I48" s="96" t="str">
        <x:f>IF($A48="","",SUMIFS('DashboardData'!$H$2:$H$500,'DashboardData'!$B$2:$B$500,"won_revenue",'DashboardData'!$C$2:$C$500,"campaign",'DashboardData'!$D$2:$D$500,$A48))</x:f>
      </x:c>
      <x:c r="J48" s="19"/>
      <x:c r="K48" s="26"/>
      <x:c r="L48" s="19"/>
      <x:c r="M48" s="26"/>
      <x:c r="N48" s="19"/>
      <x:c r="O48" s="19"/>
    </x:row>
    <x:row r="49">
      <x:c r="A49" s="19"/>
      <x:c r="B49" s="19"/>
      <x:c r="C49" s="19"/>
      <x:c r="D49" s="24"/>
      <x:c r="E49" s="24"/>
      <x:c r="F49" s="25"/>
      <x:c r="G49" s="19"/>
      <x:c r="H49" s="104" t="str">
        <x:f>IF($A49="","",COUNTIF('Leads'!$D$2:$D$500,$A49))</x:f>
      </x:c>
      <x:c r="I49" s="96" t="str">
        <x:f>IF($A49="","",SUMIFS('DashboardData'!$H$2:$H$500,'DashboardData'!$B$2:$B$500,"won_revenue",'DashboardData'!$C$2:$C$500,"campaign",'DashboardData'!$D$2:$D$500,$A49))</x:f>
      </x:c>
      <x:c r="J49" s="19"/>
      <x:c r="K49" s="26"/>
      <x:c r="L49" s="19"/>
      <x:c r="M49" s="26"/>
      <x:c r="N49" s="19"/>
      <x:c r="O49" s="19"/>
    </x:row>
    <x:row r="50">
      <x:c r="A50" s="19"/>
      <x:c r="B50" s="19"/>
      <x:c r="C50" s="19"/>
      <x:c r="D50" s="24"/>
      <x:c r="E50" s="24"/>
      <x:c r="F50" s="25"/>
      <x:c r="G50" s="19"/>
      <x:c r="H50" s="104" t="str">
        <x:f>IF($A50="","",COUNTIF('Leads'!$D$2:$D$500,$A50))</x:f>
      </x:c>
      <x:c r="I50" s="96" t="str">
        <x:f>IF($A50="","",SUMIFS('DashboardData'!$H$2:$H$500,'DashboardData'!$B$2:$B$500,"won_revenue",'DashboardData'!$C$2:$C$500,"campaign",'DashboardData'!$D$2:$D$500,$A50))</x:f>
      </x:c>
      <x:c r="J50" s="19"/>
      <x:c r="K50" s="26"/>
      <x:c r="L50" s="19"/>
      <x:c r="M50" s="26"/>
      <x:c r="N50" s="19"/>
      <x:c r="O50" s="19"/>
    </x:row>
    <x:row r="51">
      <x:c r="A51" s="19"/>
      <x:c r="B51" s="19"/>
      <x:c r="C51" s="19"/>
      <x:c r="D51" s="24"/>
      <x:c r="E51" s="24"/>
      <x:c r="F51" s="25"/>
      <x:c r="G51" s="19"/>
      <x:c r="H51" s="104" t="str">
        <x:f>IF($A51="","",COUNTIF('Leads'!$D$2:$D$500,$A51))</x:f>
      </x:c>
      <x:c r="I51" s="96" t="str">
        <x:f>IF($A51="","",SUMIFS('DashboardData'!$H$2:$H$500,'DashboardData'!$B$2:$B$500,"won_revenue",'DashboardData'!$C$2:$C$500,"campaign",'DashboardData'!$D$2:$D$500,$A51))</x:f>
      </x:c>
      <x:c r="J51" s="19"/>
      <x:c r="K51" s="26"/>
      <x:c r="L51" s="19"/>
      <x:c r="M51" s="26"/>
      <x:c r="N51" s="19"/>
      <x:c r="O51" s="19"/>
    </x:row>
    <x:row r="52">
      <x:c r="A52" s="19"/>
      <x:c r="B52" s="19"/>
      <x:c r="C52" s="19"/>
      <x:c r="D52" s="24"/>
      <x:c r="E52" s="24"/>
      <x:c r="F52" s="25"/>
      <x:c r="G52" s="19"/>
      <x:c r="H52" s="104" t="str">
        <x:f>IF($A52="","",COUNTIF('Leads'!$D$2:$D$500,$A52))</x:f>
      </x:c>
      <x:c r="I52" s="96" t="str">
        <x:f>IF($A52="","",SUMIFS('DashboardData'!$H$2:$H$500,'DashboardData'!$B$2:$B$500,"won_revenue",'DashboardData'!$C$2:$C$500,"campaign",'DashboardData'!$D$2:$D$500,$A52))</x:f>
      </x:c>
      <x:c r="J52" s="19"/>
      <x:c r="K52" s="26"/>
      <x:c r="L52" s="19"/>
      <x:c r="M52" s="26"/>
      <x:c r="N52" s="19"/>
      <x:c r="O52" s="19"/>
    </x:row>
    <x:row r="53">
      <x:c r="A53" s="19"/>
      <x:c r="B53" s="19"/>
      <x:c r="C53" s="19"/>
      <x:c r="D53" s="24"/>
      <x:c r="E53" s="24"/>
      <x:c r="F53" s="25"/>
      <x:c r="G53" s="19"/>
      <x:c r="H53" s="104" t="str">
        <x:f>IF($A53="","",COUNTIF('Leads'!$D$2:$D$500,$A53))</x:f>
      </x:c>
      <x:c r="I53" s="96" t="str">
        <x:f>IF($A53="","",SUMIFS('DashboardData'!$H$2:$H$500,'DashboardData'!$B$2:$B$500,"won_revenue",'DashboardData'!$C$2:$C$500,"campaign",'DashboardData'!$D$2:$D$500,$A53))</x:f>
      </x:c>
      <x:c r="J53" s="19"/>
      <x:c r="K53" s="26"/>
      <x:c r="L53" s="19"/>
      <x:c r="M53" s="26"/>
      <x:c r="N53" s="19"/>
      <x:c r="O53" s="19"/>
    </x:row>
    <x:row r="54">
      <x:c r="A54" s="19"/>
      <x:c r="B54" s="19"/>
      <x:c r="C54" s="19"/>
      <x:c r="D54" s="24"/>
      <x:c r="E54" s="24"/>
      <x:c r="F54" s="25"/>
      <x:c r="G54" s="19"/>
      <x:c r="H54" s="104" t="str">
        <x:f>IF($A54="","",COUNTIF('Leads'!$D$2:$D$500,$A54))</x:f>
      </x:c>
      <x:c r="I54" s="96" t="str">
        <x:f>IF($A54="","",SUMIFS('DashboardData'!$H$2:$H$500,'DashboardData'!$B$2:$B$500,"won_revenue",'DashboardData'!$C$2:$C$500,"campaign",'DashboardData'!$D$2:$D$500,$A54))</x:f>
      </x:c>
      <x:c r="J54" s="19"/>
      <x:c r="K54" s="26"/>
      <x:c r="L54" s="19"/>
      <x:c r="M54" s="26"/>
      <x:c r="N54" s="19"/>
      <x:c r="O54" s="19"/>
    </x:row>
    <x:row r="55">
      <x:c r="A55" s="19"/>
      <x:c r="B55" s="19"/>
      <x:c r="C55" s="19"/>
      <x:c r="D55" s="24"/>
      <x:c r="E55" s="24"/>
      <x:c r="F55" s="25"/>
      <x:c r="G55" s="19"/>
      <x:c r="H55" s="104" t="str">
        <x:f>IF($A55="","",COUNTIF('Leads'!$D$2:$D$500,$A55))</x:f>
      </x:c>
      <x:c r="I55" s="96" t="str">
        <x:f>IF($A55="","",SUMIFS('DashboardData'!$H$2:$H$500,'DashboardData'!$B$2:$B$500,"won_revenue",'DashboardData'!$C$2:$C$500,"campaign",'DashboardData'!$D$2:$D$500,$A55))</x:f>
      </x:c>
      <x:c r="J55" s="19"/>
      <x:c r="K55" s="26"/>
      <x:c r="L55" s="19"/>
      <x:c r="M55" s="26"/>
      <x:c r="N55" s="19"/>
      <x:c r="O55" s="19"/>
    </x:row>
    <x:row r="56">
      <x:c r="A56" s="19"/>
      <x:c r="B56" s="19"/>
      <x:c r="C56" s="19"/>
      <x:c r="D56" s="24"/>
      <x:c r="E56" s="24"/>
      <x:c r="F56" s="25"/>
      <x:c r="G56" s="19"/>
      <x:c r="H56" s="104" t="str">
        <x:f>IF($A56="","",COUNTIF('Leads'!$D$2:$D$500,$A56))</x:f>
      </x:c>
      <x:c r="I56" s="96" t="str">
        <x:f>IF($A56="","",SUMIFS('DashboardData'!$H$2:$H$500,'DashboardData'!$B$2:$B$500,"won_revenue",'DashboardData'!$C$2:$C$500,"campaign",'DashboardData'!$D$2:$D$500,$A56))</x:f>
      </x:c>
      <x:c r="J56" s="19"/>
      <x:c r="K56" s="26"/>
      <x:c r="L56" s="19"/>
      <x:c r="M56" s="26"/>
      <x:c r="N56" s="19"/>
      <x:c r="O56" s="19"/>
    </x:row>
    <x:row r="57">
      <x:c r="A57" s="19"/>
      <x:c r="B57" s="19"/>
      <x:c r="C57" s="19"/>
      <x:c r="D57" s="24"/>
      <x:c r="E57" s="24"/>
      <x:c r="F57" s="25"/>
      <x:c r="G57" s="19"/>
      <x:c r="H57" s="104" t="str">
        <x:f>IF($A57="","",COUNTIF('Leads'!$D$2:$D$500,$A57))</x:f>
      </x:c>
      <x:c r="I57" s="96" t="str">
        <x:f>IF($A57="","",SUMIFS('DashboardData'!$H$2:$H$500,'DashboardData'!$B$2:$B$500,"won_revenue",'DashboardData'!$C$2:$C$500,"campaign",'DashboardData'!$D$2:$D$500,$A57))</x:f>
      </x:c>
      <x:c r="J57" s="19"/>
      <x:c r="K57" s="26"/>
      <x:c r="L57" s="19"/>
      <x:c r="M57" s="26"/>
      <x:c r="N57" s="19"/>
      <x:c r="O57" s="19"/>
    </x:row>
    <x:row r="58">
      <x:c r="A58" s="19"/>
      <x:c r="B58" s="19"/>
      <x:c r="C58" s="19"/>
      <x:c r="D58" s="24"/>
      <x:c r="E58" s="24"/>
      <x:c r="F58" s="25"/>
      <x:c r="G58" s="19"/>
      <x:c r="H58" s="104" t="str">
        <x:f>IF($A58="","",COUNTIF('Leads'!$D$2:$D$500,$A58))</x:f>
      </x:c>
      <x:c r="I58" s="96" t="str">
        <x:f>IF($A58="","",SUMIFS('DashboardData'!$H$2:$H$500,'DashboardData'!$B$2:$B$500,"won_revenue",'DashboardData'!$C$2:$C$500,"campaign",'DashboardData'!$D$2:$D$500,$A58))</x:f>
      </x:c>
      <x:c r="J58" s="19"/>
      <x:c r="K58" s="26"/>
      <x:c r="L58" s="19"/>
      <x:c r="M58" s="26"/>
      <x:c r="N58" s="19"/>
      <x:c r="O58" s="19"/>
    </x:row>
    <x:row r="59">
      <x:c r="A59" s="19"/>
      <x:c r="B59" s="19"/>
      <x:c r="C59" s="19"/>
      <x:c r="D59" s="24"/>
      <x:c r="E59" s="24"/>
      <x:c r="F59" s="25"/>
      <x:c r="G59" s="19"/>
      <x:c r="H59" s="104" t="str">
        <x:f>IF($A59="","",COUNTIF('Leads'!$D$2:$D$500,$A59))</x:f>
      </x:c>
      <x:c r="I59" s="96" t="str">
        <x:f>IF($A59="","",SUMIFS('DashboardData'!$H$2:$H$500,'DashboardData'!$B$2:$B$500,"won_revenue",'DashboardData'!$C$2:$C$500,"campaign",'DashboardData'!$D$2:$D$500,$A59))</x:f>
      </x:c>
      <x:c r="J59" s="19"/>
      <x:c r="K59" s="26"/>
      <x:c r="L59" s="19"/>
      <x:c r="M59" s="26"/>
      <x:c r="N59" s="19"/>
      <x:c r="O59" s="19"/>
    </x:row>
    <x:row r="60">
      <x:c r="A60" s="19"/>
      <x:c r="B60" s="19"/>
      <x:c r="C60" s="19"/>
      <x:c r="D60" s="24"/>
      <x:c r="E60" s="24"/>
      <x:c r="F60" s="25"/>
      <x:c r="G60" s="19"/>
      <x:c r="H60" s="104" t="str">
        <x:f>IF($A60="","",COUNTIF('Leads'!$D$2:$D$500,$A60))</x:f>
      </x:c>
      <x:c r="I60" s="96" t="str">
        <x:f>IF($A60="","",SUMIFS('DashboardData'!$H$2:$H$500,'DashboardData'!$B$2:$B$500,"won_revenue",'DashboardData'!$C$2:$C$500,"campaign",'DashboardData'!$D$2:$D$500,$A60))</x:f>
      </x:c>
      <x:c r="J60" s="19"/>
      <x:c r="K60" s="26"/>
      <x:c r="L60" s="19"/>
      <x:c r="M60" s="26"/>
      <x:c r="N60" s="19"/>
      <x:c r="O60" s="19"/>
    </x:row>
    <x:row r="61">
      <x:c r="A61" s="19"/>
      <x:c r="B61" s="19"/>
      <x:c r="C61" s="19"/>
      <x:c r="D61" s="24"/>
      <x:c r="E61" s="24"/>
      <x:c r="F61" s="25"/>
      <x:c r="G61" s="19"/>
      <x:c r="H61" s="104" t="str">
        <x:f>IF($A61="","",COUNTIF('Leads'!$D$2:$D$500,$A61))</x:f>
      </x:c>
      <x:c r="I61" s="96" t="str">
        <x:f>IF($A61="","",SUMIFS('DashboardData'!$H$2:$H$500,'DashboardData'!$B$2:$B$500,"won_revenue",'DashboardData'!$C$2:$C$500,"campaign",'DashboardData'!$D$2:$D$500,$A61))</x:f>
      </x:c>
      <x:c r="J61" s="19"/>
      <x:c r="K61" s="26"/>
      <x:c r="L61" s="19"/>
      <x:c r="M61" s="26"/>
      <x:c r="N61" s="19"/>
      <x:c r="O61" s="19"/>
    </x:row>
    <x:row r="62">
      <x:c r="A62" s="19"/>
      <x:c r="B62" s="19"/>
      <x:c r="C62" s="19"/>
      <x:c r="D62" s="24"/>
      <x:c r="E62" s="24"/>
      <x:c r="F62" s="25"/>
      <x:c r="G62" s="19"/>
      <x:c r="H62" s="104" t="str">
        <x:f>IF($A62="","",COUNTIF('Leads'!$D$2:$D$500,$A62))</x:f>
      </x:c>
      <x:c r="I62" s="96" t="str">
        <x:f>IF($A62="","",SUMIFS('DashboardData'!$H$2:$H$500,'DashboardData'!$B$2:$B$500,"won_revenue",'DashboardData'!$C$2:$C$500,"campaign",'DashboardData'!$D$2:$D$500,$A62))</x:f>
      </x:c>
      <x:c r="J62" s="19"/>
      <x:c r="K62" s="26"/>
      <x:c r="L62" s="19"/>
      <x:c r="M62" s="26"/>
      <x:c r="N62" s="19"/>
      <x:c r="O62" s="19"/>
    </x:row>
    <x:row r="63">
      <x:c r="A63" s="19"/>
      <x:c r="B63" s="19"/>
      <x:c r="C63" s="19"/>
      <x:c r="D63" s="24"/>
      <x:c r="E63" s="24"/>
      <x:c r="F63" s="25"/>
      <x:c r="G63" s="19"/>
      <x:c r="H63" s="104" t="str">
        <x:f>IF($A63="","",COUNTIF('Leads'!$D$2:$D$500,$A63))</x:f>
      </x:c>
      <x:c r="I63" s="96" t="str">
        <x:f>IF($A63="","",SUMIFS('DashboardData'!$H$2:$H$500,'DashboardData'!$B$2:$B$500,"won_revenue",'DashboardData'!$C$2:$C$500,"campaign",'DashboardData'!$D$2:$D$500,$A63))</x:f>
      </x:c>
      <x:c r="J63" s="19"/>
      <x:c r="K63" s="26"/>
      <x:c r="L63" s="19"/>
      <x:c r="M63" s="26"/>
      <x:c r="N63" s="19"/>
      <x:c r="O63" s="19"/>
    </x:row>
    <x:row r="64">
      <x:c r="A64" s="19"/>
      <x:c r="B64" s="19"/>
      <x:c r="C64" s="19"/>
      <x:c r="D64" s="24"/>
      <x:c r="E64" s="24"/>
      <x:c r="F64" s="25"/>
      <x:c r="G64" s="19"/>
      <x:c r="H64" s="104" t="str">
        <x:f>IF($A64="","",COUNTIF('Leads'!$D$2:$D$500,$A64))</x:f>
      </x:c>
      <x:c r="I64" s="96" t="str">
        <x:f>IF($A64="","",SUMIFS('DashboardData'!$H$2:$H$500,'DashboardData'!$B$2:$B$500,"won_revenue",'DashboardData'!$C$2:$C$500,"campaign",'DashboardData'!$D$2:$D$500,$A64))</x:f>
      </x:c>
      <x:c r="J64" s="19"/>
      <x:c r="K64" s="26"/>
      <x:c r="L64" s="19"/>
      <x:c r="M64" s="26"/>
      <x:c r="N64" s="19"/>
      <x:c r="O64" s="19"/>
    </x:row>
    <x:row r="65">
      <x:c r="A65" s="19"/>
      <x:c r="B65" s="19"/>
      <x:c r="C65" s="19"/>
      <x:c r="D65" s="24"/>
      <x:c r="E65" s="24"/>
      <x:c r="F65" s="25"/>
      <x:c r="G65" s="19"/>
      <x:c r="H65" s="104" t="str">
        <x:f>IF($A65="","",COUNTIF('Leads'!$D$2:$D$500,$A65))</x:f>
      </x:c>
      <x:c r="I65" s="96" t="str">
        <x:f>IF($A65="","",SUMIFS('DashboardData'!$H$2:$H$500,'DashboardData'!$B$2:$B$500,"won_revenue",'DashboardData'!$C$2:$C$500,"campaign",'DashboardData'!$D$2:$D$500,$A65))</x:f>
      </x:c>
      <x:c r="J65" s="19"/>
      <x:c r="K65" s="26"/>
      <x:c r="L65" s="19"/>
      <x:c r="M65" s="26"/>
      <x:c r="N65" s="19"/>
      <x:c r="O65" s="19"/>
    </x:row>
    <x:row r="66">
      <x:c r="A66" s="19"/>
      <x:c r="B66" s="19"/>
      <x:c r="C66" s="19"/>
      <x:c r="D66" s="24"/>
      <x:c r="E66" s="24"/>
      <x:c r="F66" s="25"/>
      <x:c r="G66" s="19"/>
      <x:c r="H66" s="104" t="str">
        <x:f>IF($A66="","",COUNTIF('Leads'!$D$2:$D$500,$A66))</x:f>
      </x:c>
      <x:c r="I66" s="96" t="str">
        <x:f>IF($A66="","",SUMIFS('DashboardData'!$H$2:$H$500,'DashboardData'!$B$2:$B$500,"won_revenue",'DashboardData'!$C$2:$C$500,"campaign",'DashboardData'!$D$2:$D$500,$A66))</x:f>
      </x:c>
      <x:c r="J66" s="19"/>
      <x:c r="K66" s="26"/>
      <x:c r="L66" s="19"/>
      <x:c r="M66" s="26"/>
      <x:c r="N66" s="19"/>
      <x:c r="O66" s="19"/>
    </x:row>
    <x:row r="67">
      <x:c r="A67" s="19"/>
      <x:c r="B67" s="19"/>
      <x:c r="C67" s="19"/>
      <x:c r="D67" s="24"/>
      <x:c r="E67" s="24"/>
      <x:c r="F67" s="25"/>
      <x:c r="G67" s="19"/>
      <x:c r="H67" s="104" t="str">
        <x:f>IF($A67="","",COUNTIF('Leads'!$D$2:$D$500,$A67))</x:f>
      </x:c>
      <x:c r="I67" s="96" t="str">
        <x:f>IF($A67="","",SUMIFS('DashboardData'!$H$2:$H$500,'DashboardData'!$B$2:$B$500,"won_revenue",'DashboardData'!$C$2:$C$500,"campaign",'DashboardData'!$D$2:$D$500,$A67))</x:f>
      </x:c>
      <x:c r="J67" s="19"/>
      <x:c r="K67" s="26"/>
      <x:c r="L67" s="19"/>
      <x:c r="M67" s="26"/>
      <x:c r="N67" s="19"/>
      <x:c r="O67" s="19"/>
    </x:row>
    <x:row r="68">
      <x:c r="A68" s="19"/>
      <x:c r="B68" s="19"/>
      <x:c r="C68" s="19"/>
      <x:c r="D68" s="24"/>
      <x:c r="E68" s="24"/>
      <x:c r="F68" s="25"/>
      <x:c r="G68" s="19"/>
      <x:c r="H68" s="104" t="str">
        <x:f>IF($A68="","",COUNTIF('Leads'!$D$2:$D$500,$A68))</x:f>
      </x:c>
      <x:c r="I68" s="96" t="str">
        <x:f>IF($A68="","",SUMIFS('DashboardData'!$H$2:$H$500,'DashboardData'!$B$2:$B$500,"won_revenue",'DashboardData'!$C$2:$C$500,"campaign",'DashboardData'!$D$2:$D$500,$A68))</x:f>
      </x:c>
      <x:c r="J68" s="19"/>
      <x:c r="K68" s="26"/>
      <x:c r="L68" s="19"/>
      <x:c r="M68" s="26"/>
      <x:c r="N68" s="19"/>
      <x:c r="O68" s="19"/>
    </x:row>
    <x:row r="69">
      <x:c r="A69" s="19"/>
      <x:c r="B69" s="19"/>
      <x:c r="C69" s="19"/>
      <x:c r="D69" s="24"/>
      <x:c r="E69" s="24"/>
      <x:c r="F69" s="25"/>
      <x:c r="G69" s="19"/>
      <x:c r="H69" s="104" t="str">
        <x:f>IF($A69="","",COUNTIF('Leads'!$D$2:$D$500,$A69))</x:f>
      </x:c>
      <x:c r="I69" s="96" t="str">
        <x:f>IF($A69="","",SUMIFS('DashboardData'!$H$2:$H$500,'DashboardData'!$B$2:$B$500,"won_revenue",'DashboardData'!$C$2:$C$500,"campaign",'DashboardData'!$D$2:$D$500,$A69))</x:f>
      </x:c>
      <x:c r="J69" s="19"/>
      <x:c r="K69" s="26"/>
      <x:c r="L69" s="19"/>
      <x:c r="M69" s="26"/>
      <x:c r="N69" s="19"/>
      <x:c r="O69" s="19"/>
    </x:row>
    <x:row r="70">
      <x:c r="A70" s="19"/>
      <x:c r="B70" s="19"/>
      <x:c r="C70" s="19"/>
      <x:c r="D70" s="24"/>
      <x:c r="E70" s="24"/>
      <x:c r="F70" s="25"/>
      <x:c r="G70" s="19"/>
      <x:c r="H70" s="104" t="str">
        <x:f>IF($A70="","",COUNTIF('Leads'!$D$2:$D$500,$A70))</x:f>
      </x:c>
      <x:c r="I70" s="96" t="str">
        <x:f>IF($A70="","",SUMIFS('DashboardData'!$H$2:$H$500,'DashboardData'!$B$2:$B$500,"won_revenue",'DashboardData'!$C$2:$C$500,"campaign",'DashboardData'!$D$2:$D$500,$A70))</x:f>
      </x:c>
      <x:c r="J70" s="19"/>
      <x:c r="K70" s="26"/>
      <x:c r="L70" s="19"/>
      <x:c r="M70" s="26"/>
      <x:c r="N70" s="19"/>
      <x:c r="O70" s="19"/>
    </x:row>
    <x:row r="71">
      <x:c r="A71" s="19"/>
      <x:c r="B71" s="19"/>
      <x:c r="C71" s="19"/>
      <x:c r="D71" s="24"/>
      <x:c r="E71" s="24"/>
      <x:c r="F71" s="25"/>
      <x:c r="G71" s="19"/>
      <x:c r="H71" s="104" t="str">
        <x:f>IF($A71="","",COUNTIF('Leads'!$D$2:$D$500,$A71))</x:f>
      </x:c>
      <x:c r="I71" s="96" t="str">
        <x:f>IF($A71="","",SUMIFS('DashboardData'!$H$2:$H$500,'DashboardData'!$B$2:$B$500,"won_revenue",'DashboardData'!$C$2:$C$500,"campaign",'DashboardData'!$D$2:$D$500,$A71))</x:f>
      </x:c>
      <x:c r="J71" s="19"/>
      <x:c r="K71" s="26"/>
      <x:c r="L71" s="19"/>
      <x:c r="M71" s="26"/>
      <x:c r="N71" s="19"/>
      <x:c r="O71" s="19"/>
    </x:row>
    <x:row r="72">
      <x:c r="A72" s="19"/>
      <x:c r="B72" s="19"/>
      <x:c r="C72" s="19"/>
      <x:c r="D72" s="24"/>
      <x:c r="E72" s="24"/>
      <x:c r="F72" s="25"/>
      <x:c r="G72" s="19"/>
      <x:c r="H72" s="104" t="str">
        <x:f>IF($A72="","",COUNTIF('Leads'!$D$2:$D$500,$A72))</x:f>
      </x:c>
      <x:c r="I72" s="96" t="str">
        <x:f>IF($A72="","",SUMIFS('DashboardData'!$H$2:$H$500,'DashboardData'!$B$2:$B$500,"won_revenue",'DashboardData'!$C$2:$C$500,"campaign",'DashboardData'!$D$2:$D$500,$A72))</x:f>
      </x:c>
      <x:c r="J72" s="19"/>
      <x:c r="K72" s="26"/>
      <x:c r="L72" s="19"/>
      <x:c r="M72" s="26"/>
      <x:c r="N72" s="19"/>
      <x:c r="O72" s="19"/>
    </x:row>
    <x:row r="73">
      <x:c r="A73" s="19"/>
      <x:c r="B73" s="19"/>
      <x:c r="C73" s="19"/>
      <x:c r="D73" s="24"/>
      <x:c r="E73" s="24"/>
      <x:c r="F73" s="25"/>
      <x:c r="G73" s="19"/>
      <x:c r="H73" s="104" t="str">
        <x:f>IF($A73="","",COUNTIF('Leads'!$D$2:$D$500,$A73))</x:f>
      </x:c>
      <x:c r="I73" s="96" t="str">
        <x:f>IF($A73="","",SUMIFS('DashboardData'!$H$2:$H$500,'DashboardData'!$B$2:$B$500,"won_revenue",'DashboardData'!$C$2:$C$500,"campaign",'DashboardData'!$D$2:$D$500,$A73))</x:f>
      </x:c>
      <x:c r="J73" s="19"/>
      <x:c r="K73" s="26"/>
      <x:c r="L73" s="19"/>
      <x:c r="M73" s="26"/>
      <x:c r="N73" s="19"/>
      <x:c r="O73" s="19"/>
    </x:row>
    <x:row r="74">
      <x:c r="A74" s="19"/>
      <x:c r="B74" s="19"/>
      <x:c r="C74" s="19"/>
      <x:c r="D74" s="24"/>
      <x:c r="E74" s="24"/>
      <x:c r="F74" s="25"/>
      <x:c r="G74" s="19"/>
      <x:c r="H74" s="104" t="str">
        <x:f>IF($A74="","",COUNTIF('Leads'!$D$2:$D$500,$A74))</x:f>
      </x:c>
      <x:c r="I74" s="96" t="str">
        <x:f>IF($A74="","",SUMIFS('DashboardData'!$H$2:$H$500,'DashboardData'!$B$2:$B$500,"won_revenue",'DashboardData'!$C$2:$C$500,"campaign",'DashboardData'!$D$2:$D$500,$A74))</x:f>
      </x:c>
      <x:c r="J74" s="19"/>
      <x:c r="K74" s="26"/>
      <x:c r="L74" s="19"/>
      <x:c r="M74" s="26"/>
      <x:c r="N74" s="19"/>
      <x:c r="O74" s="19"/>
    </x:row>
    <x:row r="75">
      <x:c r="A75" s="19"/>
      <x:c r="B75" s="19"/>
      <x:c r="C75" s="19"/>
      <x:c r="D75" s="24"/>
      <x:c r="E75" s="24"/>
      <x:c r="F75" s="25"/>
      <x:c r="G75" s="19"/>
      <x:c r="H75" s="104" t="str">
        <x:f>IF($A75="","",COUNTIF('Leads'!$D$2:$D$500,$A75))</x:f>
      </x:c>
      <x:c r="I75" s="96" t="str">
        <x:f>IF($A75="","",SUMIFS('DashboardData'!$H$2:$H$500,'DashboardData'!$B$2:$B$500,"won_revenue",'DashboardData'!$C$2:$C$500,"campaign",'DashboardData'!$D$2:$D$500,$A75))</x:f>
      </x:c>
      <x:c r="J75" s="19"/>
      <x:c r="K75" s="26"/>
      <x:c r="L75" s="19"/>
      <x:c r="M75" s="26"/>
      <x:c r="N75" s="19"/>
      <x:c r="O75" s="19"/>
    </x:row>
    <x:row r="76">
      <x:c r="A76" s="19"/>
      <x:c r="B76" s="19"/>
      <x:c r="C76" s="19"/>
      <x:c r="D76" s="24"/>
      <x:c r="E76" s="24"/>
      <x:c r="F76" s="25"/>
      <x:c r="G76" s="19"/>
      <x:c r="H76" s="104" t="str">
        <x:f>IF($A76="","",COUNTIF('Leads'!$D$2:$D$500,$A76))</x:f>
      </x:c>
      <x:c r="I76" s="96" t="str">
        <x:f>IF($A76="","",SUMIFS('DashboardData'!$H$2:$H$500,'DashboardData'!$B$2:$B$500,"won_revenue",'DashboardData'!$C$2:$C$500,"campaign",'DashboardData'!$D$2:$D$500,$A76))</x:f>
      </x:c>
      <x:c r="J76" s="19"/>
      <x:c r="K76" s="26"/>
      <x:c r="L76" s="19"/>
      <x:c r="M76" s="26"/>
      <x:c r="N76" s="19"/>
      <x:c r="O76" s="19"/>
    </x:row>
    <x:row r="77">
      <x:c r="A77" s="19"/>
      <x:c r="B77" s="19"/>
      <x:c r="C77" s="19"/>
      <x:c r="D77" s="24"/>
      <x:c r="E77" s="24"/>
      <x:c r="F77" s="25"/>
      <x:c r="G77" s="19"/>
      <x:c r="H77" s="104" t="str">
        <x:f>IF($A77="","",COUNTIF('Leads'!$D$2:$D$500,$A77))</x:f>
      </x:c>
      <x:c r="I77" s="96" t="str">
        <x:f>IF($A77="","",SUMIFS('DashboardData'!$H$2:$H$500,'DashboardData'!$B$2:$B$500,"won_revenue",'DashboardData'!$C$2:$C$500,"campaign",'DashboardData'!$D$2:$D$500,$A77))</x:f>
      </x:c>
      <x:c r="J77" s="19"/>
      <x:c r="K77" s="26"/>
      <x:c r="L77" s="19"/>
      <x:c r="M77" s="26"/>
      <x:c r="N77" s="19"/>
      <x:c r="O77" s="19"/>
    </x:row>
    <x:row r="78">
      <x:c r="A78" s="19"/>
      <x:c r="B78" s="19"/>
      <x:c r="C78" s="19"/>
      <x:c r="D78" s="24"/>
      <x:c r="E78" s="24"/>
      <x:c r="F78" s="25"/>
      <x:c r="G78" s="19"/>
      <x:c r="H78" s="104" t="str">
        <x:f>IF($A78="","",COUNTIF('Leads'!$D$2:$D$500,$A78))</x:f>
      </x:c>
      <x:c r="I78" s="96" t="str">
        <x:f>IF($A78="","",SUMIFS('DashboardData'!$H$2:$H$500,'DashboardData'!$B$2:$B$500,"won_revenue",'DashboardData'!$C$2:$C$500,"campaign",'DashboardData'!$D$2:$D$500,$A78))</x:f>
      </x:c>
      <x:c r="J78" s="19"/>
      <x:c r="K78" s="26"/>
      <x:c r="L78" s="19"/>
      <x:c r="M78" s="26"/>
      <x:c r="N78" s="19"/>
      <x:c r="O78" s="19"/>
    </x:row>
    <x:row r="79">
      <x:c r="A79" s="19"/>
      <x:c r="B79" s="19"/>
      <x:c r="C79" s="19"/>
      <x:c r="D79" s="24"/>
      <x:c r="E79" s="24"/>
      <x:c r="F79" s="25"/>
      <x:c r="G79" s="19"/>
      <x:c r="H79" s="104" t="str">
        <x:f>IF($A79="","",COUNTIF('Leads'!$D$2:$D$500,$A79))</x:f>
      </x:c>
      <x:c r="I79" s="96" t="str">
        <x:f>IF($A79="","",SUMIFS('DashboardData'!$H$2:$H$500,'DashboardData'!$B$2:$B$500,"won_revenue",'DashboardData'!$C$2:$C$500,"campaign",'DashboardData'!$D$2:$D$500,$A79))</x:f>
      </x:c>
      <x:c r="J79" s="19"/>
      <x:c r="K79" s="26"/>
      <x:c r="L79" s="19"/>
      <x:c r="M79" s="26"/>
      <x:c r="N79" s="19"/>
      <x:c r="O79" s="19"/>
    </x:row>
    <x:row r="80">
      <x:c r="A80" s="19"/>
      <x:c r="B80" s="19"/>
      <x:c r="C80" s="19"/>
      <x:c r="D80" s="24"/>
      <x:c r="E80" s="24"/>
      <x:c r="F80" s="25"/>
      <x:c r="G80" s="19"/>
      <x:c r="H80" s="104" t="str">
        <x:f>IF($A80="","",COUNTIF('Leads'!$D$2:$D$500,$A80))</x:f>
      </x:c>
      <x:c r="I80" s="96" t="str">
        <x:f>IF($A80="","",SUMIFS('DashboardData'!$H$2:$H$500,'DashboardData'!$B$2:$B$500,"won_revenue",'DashboardData'!$C$2:$C$500,"campaign",'DashboardData'!$D$2:$D$500,$A80))</x:f>
      </x:c>
      <x:c r="J80" s="19"/>
      <x:c r="K80" s="26"/>
      <x:c r="L80" s="19"/>
      <x:c r="M80" s="26"/>
      <x:c r="N80" s="19"/>
      <x:c r="O80" s="19"/>
    </x:row>
    <x:row r="81">
      <x:c r="A81" s="19"/>
      <x:c r="B81" s="19"/>
      <x:c r="C81" s="19"/>
      <x:c r="D81" s="24"/>
      <x:c r="E81" s="24"/>
      <x:c r="F81" s="25"/>
      <x:c r="G81" s="19"/>
      <x:c r="H81" s="104" t="str">
        <x:f>IF($A81="","",COUNTIF('Leads'!$D$2:$D$500,$A81))</x:f>
      </x:c>
      <x:c r="I81" s="96" t="str">
        <x:f>IF($A81="","",SUMIFS('DashboardData'!$H$2:$H$500,'DashboardData'!$B$2:$B$500,"won_revenue",'DashboardData'!$C$2:$C$500,"campaign",'DashboardData'!$D$2:$D$500,$A81))</x:f>
      </x:c>
      <x:c r="J81" s="19"/>
      <x:c r="K81" s="26"/>
      <x:c r="L81" s="19"/>
      <x:c r="M81" s="26"/>
      <x:c r="N81" s="19"/>
      <x:c r="O81" s="19"/>
    </x:row>
    <x:row r="82">
      <x:c r="A82" s="19"/>
      <x:c r="B82" s="19"/>
      <x:c r="C82" s="19"/>
      <x:c r="D82" s="24"/>
      <x:c r="E82" s="24"/>
      <x:c r="F82" s="25"/>
      <x:c r="G82" s="19"/>
      <x:c r="H82" s="104" t="str">
        <x:f>IF($A82="","",COUNTIF('Leads'!$D$2:$D$500,$A82))</x:f>
      </x:c>
      <x:c r="I82" s="96" t="str">
        <x:f>IF($A82="","",SUMIFS('DashboardData'!$H$2:$H$500,'DashboardData'!$B$2:$B$500,"won_revenue",'DashboardData'!$C$2:$C$500,"campaign",'DashboardData'!$D$2:$D$500,$A82))</x:f>
      </x:c>
      <x:c r="J82" s="19"/>
      <x:c r="K82" s="26"/>
      <x:c r="L82" s="19"/>
      <x:c r="M82" s="26"/>
      <x:c r="N82" s="19"/>
      <x:c r="O82" s="19"/>
    </x:row>
    <x:row r="83">
      <x:c r="A83" s="19"/>
      <x:c r="B83" s="19"/>
      <x:c r="C83" s="19"/>
      <x:c r="D83" s="24"/>
      <x:c r="E83" s="24"/>
      <x:c r="F83" s="25"/>
      <x:c r="G83" s="19"/>
      <x:c r="H83" s="104" t="str">
        <x:f>IF($A83="","",COUNTIF('Leads'!$D$2:$D$500,$A83))</x:f>
      </x:c>
      <x:c r="I83" s="96" t="str">
        <x:f>IF($A83="","",SUMIFS('DashboardData'!$H$2:$H$500,'DashboardData'!$B$2:$B$500,"won_revenue",'DashboardData'!$C$2:$C$500,"campaign",'DashboardData'!$D$2:$D$500,$A83))</x:f>
      </x:c>
      <x:c r="J83" s="19"/>
      <x:c r="K83" s="26"/>
      <x:c r="L83" s="19"/>
      <x:c r="M83" s="26"/>
      <x:c r="N83" s="19"/>
      <x:c r="O83" s="19"/>
    </x:row>
    <x:row r="84">
      <x:c r="A84" s="19"/>
      <x:c r="B84" s="19"/>
      <x:c r="C84" s="19"/>
      <x:c r="D84" s="24"/>
      <x:c r="E84" s="24"/>
      <x:c r="F84" s="25"/>
      <x:c r="G84" s="19"/>
      <x:c r="H84" s="104" t="str">
        <x:f>IF($A84="","",COUNTIF('Leads'!$D$2:$D$500,$A84))</x:f>
      </x:c>
      <x:c r="I84" s="96" t="str">
        <x:f>IF($A84="","",SUMIFS('DashboardData'!$H$2:$H$500,'DashboardData'!$B$2:$B$500,"won_revenue",'DashboardData'!$C$2:$C$500,"campaign",'DashboardData'!$D$2:$D$500,$A84))</x:f>
      </x:c>
      <x:c r="J84" s="19"/>
      <x:c r="K84" s="26"/>
      <x:c r="L84" s="19"/>
      <x:c r="M84" s="26"/>
      <x:c r="N84" s="19"/>
      <x:c r="O84" s="19"/>
    </x:row>
    <x:row r="85">
      <x:c r="A85" s="19"/>
      <x:c r="B85" s="19"/>
      <x:c r="C85" s="19"/>
      <x:c r="D85" s="24"/>
      <x:c r="E85" s="24"/>
      <x:c r="F85" s="25"/>
      <x:c r="G85" s="19"/>
      <x:c r="H85" s="104" t="str">
        <x:f>IF($A85="","",COUNTIF('Leads'!$D$2:$D$500,$A85))</x:f>
      </x:c>
      <x:c r="I85" s="96" t="str">
        <x:f>IF($A85="","",SUMIFS('DashboardData'!$H$2:$H$500,'DashboardData'!$B$2:$B$500,"won_revenue",'DashboardData'!$C$2:$C$500,"campaign",'DashboardData'!$D$2:$D$500,$A85))</x:f>
      </x:c>
      <x:c r="J85" s="19"/>
      <x:c r="K85" s="26"/>
      <x:c r="L85" s="19"/>
      <x:c r="M85" s="26"/>
      <x:c r="N85" s="19"/>
      <x:c r="O85" s="19"/>
    </x:row>
    <x:row r="86">
      <x:c r="A86" s="19"/>
      <x:c r="B86" s="19"/>
      <x:c r="C86" s="19"/>
      <x:c r="D86" s="24"/>
      <x:c r="E86" s="24"/>
      <x:c r="F86" s="25"/>
      <x:c r="G86" s="19"/>
      <x:c r="H86" s="104" t="str">
        <x:f>IF($A86="","",COUNTIF('Leads'!$D$2:$D$500,$A86))</x:f>
      </x:c>
      <x:c r="I86" s="96" t="str">
        <x:f>IF($A86="","",SUMIFS('DashboardData'!$H$2:$H$500,'DashboardData'!$B$2:$B$500,"won_revenue",'DashboardData'!$C$2:$C$500,"campaign",'DashboardData'!$D$2:$D$500,$A86))</x:f>
      </x:c>
      <x:c r="J86" s="19"/>
      <x:c r="K86" s="26"/>
      <x:c r="L86" s="19"/>
      <x:c r="M86" s="26"/>
      <x:c r="N86" s="19"/>
      <x:c r="O86" s="19"/>
    </x:row>
    <x:row r="87">
      <x:c r="A87" s="19"/>
      <x:c r="B87" s="19"/>
      <x:c r="C87" s="19"/>
      <x:c r="D87" s="24"/>
      <x:c r="E87" s="24"/>
      <x:c r="F87" s="25"/>
      <x:c r="G87" s="19"/>
      <x:c r="H87" s="104" t="str">
        <x:f>IF($A87="","",COUNTIF('Leads'!$D$2:$D$500,$A87))</x:f>
      </x:c>
      <x:c r="I87" s="96" t="str">
        <x:f>IF($A87="","",SUMIFS('DashboardData'!$H$2:$H$500,'DashboardData'!$B$2:$B$500,"won_revenue",'DashboardData'!$C$2:$C$500,"campaign",'DashboardData'!$D$2:$D$500,$A87))</x:f>
      </x:c>
      <x:c r="J87" s="19"/>
      <x:c r="K87" s="26"/>
      <x:c r="L87" s="19"/>
      <x:c r="M87" s="26"/>
      <x:c r="N87" s="19"/>
      <x:c r="O87" s="19"/>
    </x:row>
    <x:row r="88">
      <x:c r="A88" s="19"/>
      <x:c r="B88" s="19"/>
      <x:c r="C88" s="19"/>
      <x:c r="D88" s="24"/>
      <x:c r="E88" s="24"/>
      <x:c r="F88" s="25"/>
      <x:c r="G88" s="19"/>
      <x:c r="H88" s="104" t="str">
        <x:f>IF($A88="","",COUNTIF('Leads'!$D$2:$D$500,$A88))</x:f>
      </x:c>
      <x:c r="I88" s="96" t="str">
        <x:f>IF($A88="","",SUMIFS('DashboardData'!$H$2:$H$500,'DashboardData'!$B$2:$B$500,"won_revenue",'DashboardData'!$C$2:$C$500,"campaign",'DashboardData'!$D$2:$D$500,$A88))</x:f>
      </x:c>
      <x:c r="J88" s="19"/>
      <x:c r="K88" s="26"/>
      <x:c r="L88" s="19"/>
      <x:c r="M88" s="26"/>
      <x:c r="N88" s="19"/>
      <x:c r="O88" s="19"/>
    </x:row>
    <x:row r="89">
      <x:c r="A89" s="19"/>
      <x:c r="B89" s="19"/>
      <x:c r="C89" s="19"/>
      <x:c r="D89" s="24"/>
      <x:c r="E89" s="24"/>
      <x:c r="F89" s="25"/>
      <x:c r="G89" s="19"/>
      <x:c r="H89" s="104" t="str">
        <x:f>IF($A89="","",COUNTIF('Leads'!$D$2:$D$500,$A89))</x:f>
      </x:c>
      <x:c r="I89" s="96" t="str">
        <x:f>IF($A89="","",SUMIFS('DashboardData'!$H$2:$H$500,'DashboardData'!$B$2:$B$500,"won_revenue",'DashboardData'!$C$2:$C$500,"campaign",'DashboardData'!$D$2:$D$500,$A89))</x:f>
      </x:c>
      <x:c r="J89" s="19"/>
      <x:c r="K89" s="26"/>
      <x:c r="L89" s="19"/>
      <x:c r="M89" s="26"/>
      <x:c r="N89" s="19"/>
      <x:c r="O89" s="19"/>
    </x:row>
    <x:row r="90">
      <x:c r="A90" s="19"/>
      <x:c r="B90" s="19"/>
      <x:c r="C90" s="19"/>
      <x:c r="D90" s="24"/>
      <x:c r="E90" s="24"/>
      <x:c r="F90" s="25"/>
      <x:c r="G90" s="19"/>
      <x:c r="H90" s="104" t="str">
        <x:f>IF($A90="","",COUNTIF('Leads'!$D$2:$D$500,$A90))</x:f>
      </x:c>
      <x:c r="I90" s="96" t="str">
        <x:f>IF($A90="","",SUMIFS('DashboardData'!$H$2:$H$500,'DashboardData'!$B$2:$B$500,"won_revenue",'DashboardData'!$C$2:$C$500,"campaign",'DashboardData'!$D$2:$D$500,$A90))</x:f>
      </x:c>
      <x:c r="J90" s="19"/>
      <x:c r="K90" s="26"/>
      <x:c r="L90" s="19"/>
      <x:c r="M90" s="26"/>
      <x:c r="N90" s="19"/>
      <x:c r="O90" s="19"/>
    </x:row>
    <x:row r="91">
      <x:c r="A91" s="19"/>
      <x:c r="B91" s="19"/>
      <x:c r="C91" s="19"/>
      <x:c r="D91" s="24"/>
      <x:c r="E91" s="24"/>
      <x:c r="F91" s="25"/>
      <x:c r="G91" s="19"/>
      <x:c r="H91" s="104" t="str">
        <x:f>IF($A91="","",COUNTIF('Leads'!$D$2:$D$500,$A91))</x:f>
      </x:c>
      <x:c r="I91" s="96" t="str">
        <x:f>IF($A91="","",SUMIFS('DashboardData'!$H$2:$H$500,'DashboardData'!$B$2:$B$500,"won_revenue",'DashboardData'!$C$2:$C$500,"campaign",'DashboardData'!$D$2:$D$500,$A91))</x:f>
      </x:c>
      <x:c r="J91" s="19"/>
      <x:c r="K91" s="26"/>
      <x:c r="L91" s="19"/>
      <x:c r="M91" s="26"/>
      <x:c r="N91" s="19"/>
      <x:c r="O91" s="19"/>
    </x:row>
    <x:row r="92">
      <x:c r="A92" s="19"/>
      <x:c r="B92" s="19"/>
      <x:c r="C92" s="19"/>
      <x:c r="D92" s="24"/>
      <x:c r="E92" s="24"/>
      <x:c r="F92" s="25"/>
      <x:c r="G92" s="19"/>
      <x:c r="H92" s="104" t="str">
        <x:f>IF($A92="","",COUNTIF('Leads'!$D$2:$D$500,$A92))</x:f>
      </x:c>
      <x:c r="I92" s="96" t="str">
        <x:f>IF($A92="","",SUMIFS('DashboardData'!$H$2:$H$500,'DashboardData'!$B$2:$B$500,"won_revenue",'DashboardData'!$C$2:$C$500,"campaign",'DashboardData'!$D$2:$D$500,$A92))</x:f>
      </x:c>
      <x:c r="J92" s="19"/>
      <x:c r="K92" s="26"/>
      <x:c r="L92" s="19"/>
      <x:c r="M92" s="26"/>
      <x:c r="N92" s="19"/>
      <x:c r="O92" s="19"/>
    </x:row>
    <x:row r="93">
      <x:c r="A93" s="19"/>
      <x:c r="B93" s="19"/>
      <x:c r="C93" s="19"/>
      <x:c r="D93" s="24"/>
      <x:c r="E93" s="24"/>
      <x:c r="F93" s="25"/>
      <x:c r="G93" s="19"/>
      <x:c r="H93" s="104" t="str">
        <x:f>IF($A93="","",COUNTIF('Leads'!$D$2:$D$500,$A93))</x:f>
      </x:c>
      <x:c r="I93" s="96" t="str">
        <x:f>IF($A93="","",SUMIFS('DashboardData'!$H$2:$H$500,'DashboardData'!$B$2:$B$500,"won_revenue",'DashboardData'!$C$2:$C$500,"campaign",'DashboardData'!$D$2:$D$500,$A93))</x:f>
      </x:c>
      <x:c r="J93" s="19"/>
      <x:c r="K93" s="26"/>
      <x:c r="L93" s="19"/>
      <x:c r="M93" s="26"/>
      <x:c r="N93" s="19"/>
      <x:c r="O93" s="19"/>
    </x:row>
    <x:row r="94">
      <x:c r="A94" s="19"/>
      <x:c r="B94" s="19"/>
      <x:c r="C94" s="19"/>
      <x:c r="D94" s="24"/>
      <x:c r="E94" s="24"/>
      <x:c r="F94" s="25"/>
      <x:c r="G94" s="19"/>
      <x:c r="H94" s="104" t="str">
        <x:f>IF($A94="","",COUNTIF('Leads'!$D$2:$D$500,$A94))</x:f>
      </x:c>
      <x:c r="I94" s="96" t="str">
        <x:f>IF($A94="","",SUMIFS('DashboardData'!$H$2:$H$500,'DashboardData'!$B$2:$B$500,"won_revenue",'DashboardData'!$C$2:$C$500,"campaign",'DashboardData'!$D$2:$D$500,$A94))</x:f>
      </x:c>
      <x:c r="J94" s="19"/>
      <x:c r="K94" s="26"/>
      <x:c r="L94" s="19"/>
      <x:c r="M94" s="26"/>
      <x:c r="N94" s="19"/>
      <x:c r="O94" s="19"/>
    </x:row>
    <x:row r="95">
      <x:c r="A95" s="19"/>
      <x:c r="B95" s="19"/>
      <x:c r="C95" s="19"/>
      <x:c r="D95" s="24"/>
      <x:c r="E95" s="24"/>
      <x:c r="F95" s="25"/>
      <x:c r="G95" s="19"/>
      <x:c r="H95" s="104" t="str">
        <x:f>IF($A95="","",COUNTIF('Leads'!$D$2:$D$500,$A95))</x:f>
      </x:c>
      <x:c r="I95" s="96" t="str">
        <x:f>IF($A95="","",SUMIFS('DashboardData'!$H$2:$H$500,'DashboardData'!$B$2:$B$500,"won_revenue",'DashboardData'!$C$2:$C$500,"campaign",'DashboardData'!$D$2:$D$500,$A95))</x:f>
      </x:c>
      <x:c r="J95" s="19"/>
      <x:c r="K95" s="26"/>
      <x:c r="L95" s="19"/>
      <x:c r="M95" s="26"/>
      <x:c r="N95" s="19"/>
      <x:c r="O95" s="19"/>
    </x:row>
    <x:row r="96">
      <x:c r="A96" s="19"/>
      <x:c r="B96" s="19"/>
      <x:c r="C96" s="19"/>
      <x:c r="D96" s="24"/>
      <x:c r="E96" s="24"/>
      <x:c r="F96" s="25"/>
      <x:c r="G96" s="19"/>
      <x:c r="H96" s="104" t="str">
        <x:f>IF($A96="","",COUNTIF('Leads'!$D$2:$D$500,$A96))</x:f>
      </x:c>
      <x:c r="I96" s="96" t="str">
        <x:f>IF($A96="","",SUMIFS('DashboardData'!$H$2:$H$500,'DashboardData'!$B$2:$B$500,"won_revenue",'DashboardData'!$C$2:$C$500,"campaign",'DashboardData'!$D$2:$D$500,$A96))</x:f>
      </x:c>
      <x:c r="J96" s="19"/>
      <x:c r="K96" s="26"/>
      <x:c r="L96" s="19"/>
      <x:c r="M96" s="26"/>
      <x:c r="N96" s="19"/>
      <x:c r="O96" s="19"/>
    </x:row>
    <x:row r="97">
      <x:c r="A97" s="19"/>
      <x:c r="B97" s="19"/>
      <x:c r="C97" s="19"/>
      <x:c r="D97" s="24"/>
      <x:c r="E97" s="24"/>
      <x:c r="F97" s="25"/>
      <x:c r="G97" s="19"/>
      <x:c r="H97" s="104" t="str">
        <x:f>IF($A97="","",COUNTIF('Leads'!$D$2:$D$500,$A97))</x:f>
      </x:c>
      <x:c r="I97" s="96" t="str">
        <x:f>IF($A97="","",SUMIFS('DashboardData'!$H$2:$H$500,'DashboardData'!$B$2:$B$500,"won_revenue",'DashboardData'!$C$2:$C$500,"campaign",'DashboardData'!$D$2:$D$500,$A97))</x:f>
      </x:c>
      <x:c r="J97" s="19"/>
      <x:c r="K97" s="26"/>
      <x:c r="L97" s="19"/>
      <x:c r="M97" s="26"/>
      <x:c r="N97" s="19"/>
      <x:c r="O97" s="19"/>
    </x:row>
    <x:row r="98">
      <x:c r="A98" s="19"/>
      <x:c r="B98" s="19"/>
      <x:c r="C98" s="19"/>
      <x:c r="D98" s="24"/>
      <x:c r="E98" s="24"/>
      <x:c r="F98" s="25"/>
      <x:c r="G98" s="19"/>
      <x:c r="H98" s="104" t="str">
        <x:f>IF($A98="","",COUNTIF('Leads'!$D$2:$D$500,$A98))</x:f>
      </x:c>
      <x:c r="I98" s="96" t="str">
        <x:f>IF($A98="","",SUMIFS('DashboardData'!$H$2:$H$500,'DashboardData'!$B$2:$B$500,"won_revenue",'DashboardData'!$C$2:$C$500,"campaign",'DashboardData'!$D$2:$D$500,$A98))</x:f>
      </x:c>
      <x:c r="J98" s="19"/>
      <x:c r="K98" s="26"/>
      <x:c r="L98" s="19"/>
      <x:c r="M98" s="26"/>
      <x:c r="N98" s="19"/>
      <x:c r="O98" s="19"/>
    </x:row>
    <x:row r="99">
      <x:c r="A99" s="19"/>
      <x:c r="B99" s="19"/>
      <x:c r="C99" s="19"/>
      <x:c r="D99" s="24"/>
      <x:c r="E99" s="24"/>
      <x:c r="F99" s="25"/>
      <x:c r="G99" s="19"/>
      <x:c r="H99" s="104" t="str">
        <x:f>IF($A99="","",COUNTIF('Leads'!$D$2:$D$500,$A99))</x:f>
      </x:c>
      <x:c r="I99" s="96" t="str">
        <x:f>IF($A99="","",SUMIFS('DashboardData'!$H$2:$H$500,'DashboardData'!$B$2:$B$500,"won_revenue",'DashboardData'!$C$2:$C$500,"campaign",'DashboardData'!$D$2:$D$500,$A99))</x:f>
      </x:c>
      <x:c r="J99" s="19"/>
      <x:c r="K99" s="26"/>
      <x:c r="L99" s="19"/>
      <x:c r="M99" s="26"/>
      <x:c r="N99" s="19"/>
      <x:c r="O99" s="19"/>
    </x:row>
    <x:row r="100">
      <x:c r="A100" s="19"/>
      <x:c r="B100" s="19"/>
      <x:c r="C100" s="19"/>
      <x:c r="D100" s="24"/>
      <x:c r="E100" s="24"/>
      <x:c r="F100" s="25"/>
      <x:c r="G100" s="19"/>
      <x:c r="H100" s="104" t="str">
        <x:f>IF($A100="","",COUNTIF('Leads'!$D$2:$D$500,$A100))</x:f>
      </x:c>
      <x:c r="I100" s="96" t="str">
        <x:f>IF($A100="","",SUMIFS('DashboardData'!$H$2:$H$500,'DashboardData'!$B$2:$B$500,"won_revenue",'DashboardData'!$C$2:$C$500,"campaign",'DashboardData'!$D$2:$D$500,$A100))</x:f>
      </x:c>
      <x:c r="J100" s="19"/>
      <x:c r="K100" s="26"/>
      <x:c r="L100" s="19"/>
      <x:c r="M100" s="26"/>
      <x:c r="N100" s="19"/>
      <x:c r="O100" s="19"/>
    </x:row>
    <x:row r="101">
      <x:c r="A101" s="19"/>
      <x:c r="B101" s="19"/>
      <x:c r="C101" s="19"/>
      <x:c r="D101" s="24"/>
      <x:c r="E101" s="24"/>
      <x:c r="F101" s="25"/>
      <x:c r="G101" s="19"/>
      <x:c r="H101" s="104" t="str">
        <x:f>IF($A101="","",COUNTIF('Leads'!$D$2:$D$500,$A101))</x:f>
      </x:c>
      <x:c r="I101" s="96" t="str">
        <x:f>IF($A101="","",SUMIFS('DashboardData'!$H$2:$H$500,'DashboardData'!$B$2:$B$500,"won_revenue",'DashboardData'!$C$2:$C$500,"campaign",'DashboardData'!$D$2:$D$500,$A101))</x:f>
      </x:c>
      <x:c r="J101" s="19"/>
      <x:c r="K101" s="26"/>
      <x:c r="L101" s="19"/>
      <x:c r="M101" s="26"/>
      <x:c r="N101" s="19"/>
      <x:c r="O101" s="19"/>
    </x:row>
    <x:row r="102">
      <x:c r="A102" s="19"/>
      <x:c r="B102" s="19"/>
      <x:c r="C102" s="19"/>
      <x:c r="D102" s="24"/>
      <x:c r="E102" s="24"/>
      <x:c r="F102" s="25"/>
      <x:c r="G102" s="19"/>
      <x:c r="H102" s="104" t="str">
        <x:f>IF($A102="","",COUNTIF('Leads'!$D$2:$D$500,$A102))</x:f>
      </x:c>
      <x:c r="I102" s="96" t="str">
        <x:f>IF($A102="","",SUMIFS('DashboardData'!$H$2:$H$500,'DashboardData'!$B$2:$B$500,"won_revenue",'DashboardData'!$C$2:$C$500,"campaign",'DashboardData'!$D$2:$D$500,$A102))</x:f>
      </x:c>
      <x:c r="J102" s="19"/>
      <x:c r="K102" s="26"/>
      <x:c r="L102" s="19"/>
      <x:c r="M102" s="26"/>
      <x:c r="N102" s="19"/>
      <x:c r="O102" s="19"/>
    </x:row>
    <x:row r="103">
      <x:c r="A103" s="19"/>
      <x:c r="B103" s="19"/>
      <x:c r="C103" s="19"/>
      <x:c r="D103" s="24"/>
      <x:c r="E103" s="24"/>
      <x:c r="F103" s="25"/>
      <x:c r="G103" s="19"/>
      <x:c r="H103" s="104" t="str">
        <x:f>IF($A103="","",COUNTIF('Leads'!$D$2:$D$500,$A103))</x:f>
      </x:c>
      <x:c r="I103" s="96" t="str">
        <x:f>IF($A103="","",SUMIFS('DashboardData'!$H$2:$H$500,'DashboardData'!$B$2:$B$500,"won_revenue",'DashboardData'!$C$2:$C$500,"campaign",'DashboardData'!$D$2:$D$500,$A103))</x:f>
      </x:c>
      <x:c r="J103" s="19"/>
      <x:c r="K103" s="26"/>
      <x:c r="L103" s="19"/>
      <x:c r="M103" s="26"/>
      <x:c r="N103" s="19"/>
      <x:c r="O103" s="19"/>
    </x:row>
    <x:row r="104">
      <x:c r="A104" s="19"/>
      <x:c r="B104" s="19"/>
      <x:c r="C104" s="19"/>
      <x:c r="D104" s="24"/>
      <x:c r="E104" s="24"/>
      <x:c r="F104" s="25"/>
      <x:c r="G104" s="19"/>
      <x:c r="H104" s="104" t="str">
        <x:f>IF($A104="","",COUNTIF('Leads'!$D$2:$D$500,$A104))</x:f>
      </x:c>
      <x:c r="I104" s="96" t="str">
        <x:f>IF($A104="","",SUMIFS('DashboardData'!$H$2:$H$500,'DashboardData'!$B$2:$B$500,"won_revenue",'DashboardData'!$C$2:$C$500,"campaign",'DashboardData'!$D$2:$D$500,$A104))</x:f>
      </x:c>
      <x:c r="J104" s="19"/>
      <x:c r="K104" s="26"/>
      <x:c r="L104" s="19"/>
      <x:c r="M104" s="26"/>
      <x:c r="N104" s="19"/>
      <x:c r="O104" s="19"/>
    </x:row>
    <x:row r="105">
      <x:c r="A105" s="19"/>
      <x:c r="B105" s="19"/>
      <x:c r="C105" s="19"/>
      <x:c r="D105" s="24"/>
      <x:c r="E105" s="24"/>
      <x:c r="F105" s="25"/>
      <x:c r="G105" s="19"/>
      <x:c r="H105" s="104" t="str">
        <x:f>IF($A105="","",COUNTIF('Leads'!$D$2:$D$500,$A105))</x:f>
      </x:c>
      <x:c r="I105" s="96" t="str">
        <x:f>IF($A105="","",SUMIFS('DashboardData'!$H$2:$H$500,'DashboardData'!$B$2:$B$500,"won_revenue",'DashboardData'!$C$2:$C$500,"campaign",'DashboardData'!$D$2:$D$500,$A105))</x:f>
      </x:c>
      <x:c r="J105" s="19"/>
      <x:c r="K105" s="26"/>
      <x:c r="L105" s="19"/>
      <x:c r="M105" s="26"/>
      <x:c r="N105" s="19"/>
      <x:c r="O105" s="19"/>
    </x:row>
    <x:row r="106">
      <x:c r="A106" s="19"/>
      <x:c r="B106" s="19"/>
      <x:c r="C106" s="19"/>
      <x:c r="D106" s="24"/>
      <x:c r="E106" s="24"/>
      <x:c r="F106" s="25"/>
      <x:c r="G106" s="19"/>
      <x:c r="H106" s="104" t="str">
        <x:f>IF($A106="","",COUNTIF('Leads'!$D$2:$D$500,$A106))</x:f>
      </x:c>
      <x:c r="I106" s="96" t="str">
        <x:f>IF($A106="","",SUMIFS('DashboardData'!$H$2:$H$500,'DashboardData'!$B$2:$B$500,"won_revenue",'DashboardData'!$C$2:$C$500,"campaign",'DashboardData'!$D$2:$D$500,$A106))</x:f>
      </x:c>
      <x:c r="J106" s="19"/>
      <x:c r="K106" s="26"/>
      <x:c r="L106" s="19"/>
      <x:c r="M106" s="26"/>
      <x:c r="N106" s="19"/>
      <x:c r="O106" s="19"/>
    </x:row>
    <x:row r="107">
      <x:c r="A107" s="19"/>
      <x:c r="B107" s="19"/>
      <x:c r="C107" s="19"/>
      <x:c r="D107" s="24"/>
      <x:c r="E107" s="24"/>
      <x:c r="F107" s="25"/>
      <x:c r="G107" s="19"/>
      <x:c r="H107" s="104" t="str">
        <x:f>IF($A107="","",COUNTIF('Leads'!$D$2:$D$500,$A107))</x:f>
      </x:c>
      <x:c r="I107" s="96" t="str">
        <x:f>IF($A107="","",SUMIFS('DashboardData'!$H$2:$H$500,'DashboardData'!$B$2:$B$500,"won_revenue",'DashboardData'!$C$2:$C$500,"campaign",'DashboardData'!$D$2:$D$500,$A107))</x:f>
      </x:c>
      <x:c r="J107" s="19"/>
      <x:c r="K107" s="26"/>
      <x:c r="L107" s="19"/>
      <x:c r="M107" s="26"/>
      <x:c r="N107" s="19"/>
      <x:c r="O107" s="19"/>
    </x:row>
    <x:row r="108">
      <x:c r="A108" s="19"/>
      <x:c r="B108" s="19"/>
      <x:c r="C108" s="19"/>
      <x:c r="D108" s="24"/>
      <x:c r="E108" s="24"/>
      <x:c r="F108" s="25"/>
      <x:c r="G108" s="19"/>
      <x:c r="H108" s="104" t="str">
        <x:f>IF($A108="","",COUNTIF('Leads'!$D$2:$D$500,$A108))</x:f>
      </x:c>
      <x:c r="I108" s="96" t="str">
        <x:f>IF($A108="","",SUMIFS('DashboardData'!$H$2:$H$500,'DashboardData'!$B$2:$B$500,"won_revenue",'DashboardData'!$C$2:$C$500,"campaign",'DashboardData'!$D$2:$D$500,$A108))</x:f>
      </x:c>
      <x:c r="J108" s="19"/>
      <x:c r="K108" s="26"/>
      <x:c r="L108" s="19"/>
      <x:c r="M108" s="26"/>
      <x:c r="N108" s="19"/>
      <x:c r="O108" s="19"/>
    </x:row>
    <x:row r="109">
      <x:c r="A109" s="19"/>
      <x:c r="B109" s="19"/>
      <x:c r="C109" s="19"/>
      <x:c r="D109" s="24"/>
      <x:c r="E109" s="24"/>
      <x:c r="F109" s="25"/>
      <x:c r="G109" s="19"/>
      <x:c r="H109" s="104" t="str">
        <x:f>IF($A109="","",COUNTIF('Leads'!$D$2:$D$500,$A109))</x:f>
      </x:c>
      <x:c r="I109" s="96" t="str">
        <x:f>IF($A109="","",SUMIFS('DashboardData'!$H$2:$H$500,'DashboardData'!$B$2:$B$500,"won_revenue",'DashboardData'!$C$2:$C$500,"campaign",'DashboardData'!$D$2:$D$500,$A109))</x:f>
      </x:c>
      <x:c r="J109" s="19"/>
      <x:c r="K109" s="26"/>
      <x:c r="L109" s="19"/>
      <x:c r="M109" s="26"/>
      <x:c r="N109" s="19"/>
      <x:c r="O109" s="19"/>
    </x:row>
    <x:row r="110">
      <x:c r="A110" s="19"/>
      <x:c r="B110" s="19"/>
      <x:c r="C110" s="19"/>
      <x:c r="D110" s="24"/>
      <x:c r="E110" s="24"/>
      <x:c r="F110" s="25"/>
      <x:c r="G110" s="19"/>
      <x:c r="H110" s="104" t="str">
        <x:f>IF($A110="","",COUNTIF('Leads'!$D$2:$D$500,$A110))</x:f>
      </x:c>
      <x:c r="I110" s="96" t="str">
        <x:f>IF($A110="","",SUMIFS('DashboardData'!$H$2:$H$500,'DashboardData'!$B$2:$B$500,"won_revenue",'DashboardData'!$C$2:$C$500,"campaign",'DashboardData'!$D$2:$D$500,$A110))</x:f>
      </x:c>
      <x:c r="J110" s="19"/>
      <x:c r="K110" s="26"/>
      <x:c r="L110" s="19"/>
      <x:c r="M110" s="26"/>
      <x:c r="N110" s="19"/>
      <x:c r="O110" s="19"/>
    </x:row>
    <x:row r="111">
      <x:c r="A111" s="19"/>
      <x:c r="B111" s="19"/>
      <x:c r="C111" s="19"/>
      <x:c r="D111" s="24"/>
      <x:c r="E111" s="24"/>
      <x:c r="F111" s="25"/>
      <x:c r="G111" s="19"/>
      <x:c r="H111" s="104" t="str">
        <x:f>IF($A111="","",COUNTIF('Leads'!$D$2:$D$500,$A111))</x:f>
      </x:c>
      <x:c r="I111" s="96" t="str">
        <x:f>IF($A111="","",SUMIFS('DashboardData'!$H$2:$H$500,'DashboardData'!$B$2:$B$500,"won_revenue",'DashboardData'!$C$2:$C$500,"campaign",'DashboardData'!$D$2:$D$500,$A111))</x:f>
      </x:c>
      <x:c r="J111" s="19"/>
      <x:c r="K111" s="26"/>
      <x:c r="L111" s="19"/>
      <x:c r="M111" s="26"/>
      <x:c r="N111" s="19"/>
      <x:c r="O111" s="19"/>
    </x:row>
    <x:row r="112">
      <x:c r="A112" s="19"/>
      <x:c r="B112" s="19"/>
      <x:c r="C112" s="19"/>
      <x:c r="D112" s="24"/>
      <x:c r="E112" s="24"/>
      <x:c r="F112" s="25"/>
      <x:c r="G112" s="19"/>
      <x:c r="H112" s="104" t="str">
        <x:f>IF($A112="","",COUNTIF('Leads'!$D$2:$D$500,$A112))</x:f>
      </x:c>
      <x:c r="I112" s="96" t="str">
        <x:f>IF($A112="","",SUMIFS('DashboardData'!$H$2:$H$500,'DashboardData'!$B$2:$B$500,"won_revenue",'DashboardData'!$C$2:$C$500,"campaign",'DashboardData'!$D$2:$D$500,$A112))</x:f>
      </x:c>
      <x:c r="J112" s="19"/>
      <x:c r="K112" s="26"/>
      <x:c r="L112" s="19"/>
      <x:c r="M112" s="26"/>
      <x:c r="N112" s="19"/>
      <x:c r="O112" s="19"/>
    </x:row>
    <x:row r="113">
      <x:c r="A113" s="19"/>
      <x:c r="B113" s="19"/>
      <x:c r="C113" s="19"/>
      <x:c r="D113" s="24"/>
      <x:c r="E113" s="24"/>
      <x:c r="F113" s="25"/>
      <x:c r="G113" s="19"/>
      <x:c r="H113" s="104" t="str">
        <x:f>IF($A113="","",COUNTIF('Leads'!$D$2:$D$500,$A113))</x:f>
      </x:c>
      <x:c r="I113" s="96" t="str">
        <x:f>IF($A113="","",SUMIFS('DashboardData'!$H$2:$H$500,'DashboardData'!$B$2:$B$500,"won_revenue",'DashboardData'!$C$2:$C$500,"campaign",'DashboardData'!$D$2:$D$500,$A113))</x:f>
      </x:c>
      <x:c r="J113" s="19"/>
      <x:c r="K113" s="26"/>
      <x:c r="L113" s="19"/>
      <x:c r="M113" s="26"/>
      <x:c r="N113" s="19"/>
      <x:c r="O113" s="19"/>
    </x:row>
    <x:row r="114">
      <x:c r="A114" s="19"/>
      <x:c r="B114" s="19"/>
      <x:c r="C114" s="19"/>
      <x:c r="D114" s="24"/>
      <x:c r="E114" s="24"/>
      <x:c r="F114" s="25"/>
      <x:c r="G114" s="19"/>
      <x:c r="H114" s="104" t="str">
        <x:f>IF($A114="","",COUNTIF('Leads'!$D$2:$D$500,$A114))</x:f>
      </x:c>
      <x:c r="I114" s="96" t="str">
        <x:f>IF($A114="","",SUMIFS('DashboardData'!$H$2:$H$500,'DashboardData'!$B$2:$B$500,"won_revenue",'DashboardData'!$C$2:$C$500,"campaign",'DashboardData'!$D$2:$D$500,$A114))</x:f>
      </x:c>
      <x:c r="J114" s="19"/>
      <x:c r="K114" s="26"/>
      <x:c r="L114" s="19"/>
      <x:c r="M114" s="26"/>
      <x:c r="N114" s="19"/>
      <x:c r="O114" s="19"/>
    </x:row>
    <x:row r="115">
      <x:c r="A115" s="19"/>
      <x:c r="B115" s="19"/>
      <x:c r="C115" s="19"/>
      <x:c r="D115" s="24"/>
      <x:c r="E115" s="24"/>
      <x:c r="F115" s="25"/>
      <x:c r="G115" s="19"/>
      <x:c r="H115" s="104" t="str">
        <x:f>IF($A115="","",COUNTIF('Leads'!$D$2:$D$500,$A115))</x:f>
      </x:c>
      <x:c r="I115" s="96" t="str">
        <x:f>IF($A115="","",SUMIFS('DashboardData'!$H$2:$H$500,'DashboardData'!$B$2:$B$500,"won_revenue",'DashboardData'!$C$2:$C$500,"campaign",'DashboardData'!$D$2:$D$500,$A115))</x:f>
      </x:c>
      <x:c r="J115" s="19"/>
      <x:c r="K115" s="26"/>
      <x:c r="L115" s="19"/>
      <x:c r="M115" s="26"/>
      <x:c r="N115" s="19"/>
      <x:c r="O115" s="19"/>
    </x:row>
    <x:row r="116">
      <x:c r="A116" s="19"/>
      <x:c r="B116" s="19"/>
      <x:c r="C116" s="19"/>
      <x:c r="D116" s="24"/>
      <x:c r="E116" s="24"/>
      <x:c r="F116" s="25"/>
      <x:c r="G116" s="19"/>
      <x:c r="H116" s="104" t="str">
        <x:f>IF($A116="","",COUNTIF('Leads'!$D$2:$D$500,$A116))</x:f>
      </x:c>
      <x:c r="I116" s="96" t="str">
        <x:f>IF($A116="","",SUMIFS('DashboardData'!$H$2:$H$500,'DashboardData'!$B$2:$B$500,"won_revenue",'DashboardData'!$C$2:$C$500,"campaign",'DashboardData'!$D$2:$D$500,$A116))</x:f>
      </x:c>
      <x:c r="J116" s="19"/>
      <x:c r="K116" s="26"/>
      <x:c r="L116" s="19"/>
      <x:c r="M116" s="26"/>
      <x:c r="N116" s="19"/>
      <x:c r="O116" s="19"/>
    </x:row>
    <x:row r="117">
      <x:c r="A117" s="19"/>
      <x:c r="B117" s="19"/>
      <x:c r="C117" s="19"/>
      <x:c r="D117" s="24"/>
      <x:c r="E117" s="24"/>
      <x:c r="F117" s="25"/>
      <x:c r="G117" s="19"/>
      <x:c r="H117" s="104" t="str">
        <x:f>IF($A117="","",COUNTIF('Leads'!$D$2:$D$500,$A117))</x:f>
      </x:c>
      <x:c r="I117" s="96" t="str">
        <x:f>IF($A117="","",SUMIFS('DashboardData'!$H$2:$H$500,'DashboardData'!$B$2:$B$500,"won_revenue",'DashboardData'!$C$2:$C$500,"campaign",'DashboardData'!$D$2:$D$500,$A117))</x:f>
      </x:c>
      <x:c r="J117" s="19"/>
      <x:c r="K117" s="26"/>
      <x:c r="L117" s="19"/>
      <x:c r="M117" s="26"/>
      <x:c r="N117" s="19"/>
      <x:c r="O117" s="19"/>
    </x:row>
    <x:row r="118">
      <x:c r="A118" s="19"/>
      <x:c r="B118" s="19"/>
      <x:c r="C118" s="19"/>
      <x:c r="D118" s="24"/>
      <x:c r="E118" s="24"/>
      <x:c r="F118" s="25"/>
      <x:c r="G118" s="19"/>
      <x:c r="H118" s="104" t="str">
        <x:f>IF($A118="","",COUNTIF('Leads'!$D$2:$D$500,$A118))</x:f>
      </x:c>
      <x:c r="I118" s="96" t="str">
        <x:f>IF($A118="","",SUMIFS('DashboardData'!$H$2:$H$500,'DashboardData'!$B$2:$B$500,"won_revenue",'DashboardData'!$C$2:$C$500,"campaign",'DashboardData'!$D$2:$D$500,$A118))</x:f>
      </x:c>
      <x:c r="J118" s="19"/>
      <x:c r="K118" s="26"/>
      <x:c r="L118" s="19"/>
      <x:c r="M118" s="26"/>
      <x:c r="N118" s="19"/>
      <x:c r="O118" s="19"/>
    </x:row>
    <x:row r="119">
      <x:c r="A119" s="19"/>
      <x:c r="B119" s="19"/>
      <x:c r="C119" s="19"/>
      <x:c r="D119" s="24"/>
      <x:c r="E119" s="24"/>
      <x:c r="F119" s="25"/>
      <x:c r="G119" s="19"/>
      <x:c r="H119" s="104" t="str">
        <x:f>IF($A119="","",COUNTIF('Leads'!$D$2:$D$500,$A119))</x:f>
      </x:c>
      <x:c r="I119" s="96" t="str">
        <x:f>IF($A119="","",SUMIFS('DashboardData'!$H$2:$H$500,'DashboardData'!$B$2:$B$500,"won_revenue",'DashboardData'!$C$2:$C$500,"campaign",'DashboardData'!$D$2:$D$500,$A119))</x:f>
      </x:c>
      <x:c r="J119" s="19"/>
      <x:c r="K119" s="26"/>
      <x:c r="L119" s="19"/>
      <x:c r="M119" s="26"/>
      <x:c r="N119" s="19"/>
      <x:c r="O119" s="19"/>
    </x:row>
    <x:row r="120">
      <x:c r="A120" s="19"/>
      <x:c r="B120" s="19"/>
      <x:c r="C120" s="19"/>
      <x:c r="D120" s="24"/>
      <x:c r="E120" s="24"/>
      <x:c r="F120" s="25"/>
      <x:c r="G120" s="19"/>
      <x:c r="H120" s="104" t="str">
        <x:f>IF($A120="","",COUNTIF('Leads'!$D$2:$D$500,$A120))</x:f>
      </x:c>
      <x:c r="I120" s="96" t="str">
        <x:f>IF($A120="","",SUMIFS('DashboardData'!$H$2:$H$500,'DashboardData'!$B$2:$B$500,"won_revenue",'DashboardData'!$C$2:$C$500,"campaign",'DashboardData'!$D$2:$D$500,$A120))</x:f>
      </x:c>
      <x:c r="J120" s="19"/>
      <x:c r="K120" s="26"/>
      <x:c r="L120" s="19"/>
      <x:c r="M120" s="26"/>
      <x:c r="N120" s="19"/>
      <x:c r="O120" s="19"/>
    </x:row>
    <x:row r="121">
      <x:c r="A121" s="19"/>
      <x:c r="B121" s="19"/>
      <x:c r="C121" s="19"/>
      <x:c r="D121" s="24"/>
      <x:c r="E121" s="24"/>
      <x:c r="F121" s="25"/>
      <x:c r="G121" s="19"/>
      <x:c r="H121" s="104" t="str">
        <x:f>IF($A121="","",COUNTIF('Leads'!$D$2:$D$500,$A121))</x:f>
      </x:c>
      <x:c r="I121" s="96" t="str">
        <x:f>IF($A121="","",SUMIFS('DashboardData'!$H$2:$H$500,'DashboardData'!$B$2:$B$500,"won_revenue",'DashboardData'!$C$2:$C$500,"campaign",'DashboardData'!$D$2:$D$500,$A121))</x:f>
      </x:c>
      <x:c r="J121" s="19"/>
      <x:c r="K121" s="26"/>
      <x:c r="L121" s="19"/>
      <x:c r="M121" s="26"/>
      <x:c r="N121" s="19"/>
      <x:c r="O121" s="19"/>
    </x:row>
    <x:row r="122">
      <x:c r="A122" s="19"/>
      <x:c r="B122" s="19"/>
      <x:c r="C122" s="19"/>
      <x:c r="D122" s="24"/>
      <x:c r="E122" s="24"/>
      <x:c r="F122" s="25"/>
      <x:c r="G122" s="19"/>
      <x:c r="H122" s="104" t="str">
        <x:f>IF($A122="","",COUNTIF('Leads'!$D$2:$D$500,$A122))</x:f>
      </x:c>
      <x:c r="I122" s="96" t="str">
        <x:f>IF($A122="","",SUMIFS('DashboardData'!$H$2:$H$500,'DashboardData'!$B$2:$B$500,"won_revenue",'DashboardData'!$C$2:$C$500,"campaign",'DashboardData'!$D$2:$D$500,$A122))</x:f>
      </x:c>
      <x:c r="J122" s="19"/>
      <x:c r="K122" s="26"/>
      <x:c r="L122" s="19"/>
      <x:c r="M122" s="26"/>
      <x:c r="N122" s="19"/>
      <x:c r="O122" s="19"/>
    </x:row>
    <x:row r="123">
      <x:c r="A123" s="19"/>
      <x:c r="B123" s="19"/>
      <x:c r="C123" s="19"/>
      <x:c r="D123" s="24"/>
      <x:c r="E123" s="24"/>
      <x:c r="F123" s="25"/>
      <x:c r="G123" s="19"/>
      <x:c r="H123" s="104" t="str">
        <x:f>IF($A123="","",COUNTIF('Leads'!$D$2:$D$500,$A123))</x:f>
      </x:c>
      <x:c r="I123" s="96" t="str">
        <x:f>IF($A123="","",SUMIFS('DashboardData'!$H$2:$H$500,'DashboardData'!$B$2:$B$500,"won_revenue",'DashboardData'!$C$2:$C$500,"campaign",'DashboardData'!$D$2:$D$500,$A123))</x:f>
      </x:c>
      <x:c r="J123" s="19"/>
      <x:c r="K123" s="26"/>
      <x:c r="L123" s="19"/>
      <x:c r="M123" s="26"/>
      <x:c r="N123" s="19"/>
      <x:c r="O123" s="19"/>
    </x:row>
    <x:row r="124">
      <x:c r="A124" s="19"/>
      <x:c r="B124" s="19"/>
      <x:c r="C124" s="19"/>
      <x:c r="D124" s="24"/>
      <x:c r="E124" s="24"/>
      <x:c r="F124" s="25"/>
      <x:c r="G124" s="19"/>
      <x:c r="H124" s="104" t="str">
        <x:f>IF($A124="","",COUNTIF('Leads'!$D$2:$D$500,$A124))</x:f>
      </x:c>
      <x:c r="I124" s="96" t="str">
        <x:f>IF($A124="","",SUMIFS('DashboardData'!$H$2:$H$500,'DashboardData'!$B$2:$B$500,"won_revenue",'DashboardData'!$C$2:$C$500,"campaign",'DashboardData'!$D$2:$D$500,$A124))</x:f>
      </x:c>
      <x:c r="J124" s="19"/>
      <x:c r="K124" s="26"/>
      <x:c r="L124" s="19"/>
      <x:c r="M124" s="26"/>
      <x:c r="N124" s="19"/>
      <x:c r="O124" s="19"/>
    </x:row>
    <x:row r="125">
      <x:c r="A125" s="19"/>
      <x:c r="B125" s="19"/>
      <x:c r="C125" s="19"/>
      <x:c r="D125" s="24"/>
      <x:c r="E125" s="24"/>
      <x:c r="F125" s="25"/>
      <x:c r="G125" s="19"/>
      <x:c r="H125" s="104" t="str">
        <x:f>IF($A125="","",COUNTIF('Leads'!$D$2:$D$500,$A125))</x:f>
      </x:c>
      <x:c r="I125" s="96" t="str">
        <x:f>IF($A125="","",SUMIFS('DashboardData'!$H$2:$H$500,'DashboardData'!$B$2:$B$500,"won_revenue",'DashboardData'!$C$2:$C$500,"campaign",'DashboardData'!$D$2:$D$500,$A125))</x:f>
      </x:c>
      <x:c r="J125" s="19"/>
      <x:c r="K125" s="26"/>
      <x:c r="L125" s="19"/>
      <x:c r="M125" s="26"/>
      <x:c r="N125" s="19"/>
      <x:c r="O125" s="19"/>
    </x:row>
    <x:row r="126">
      <x:c r="A126" s="19"/>
      <x:c r="B126" s="19"/>
      <x:c r="C126" s="19"/>
      <x:c r="D126" s="24"/>
      <x:c r="E126" s="24"/>
      <x:c r="F126" s="25"/>
      <x:c r="G126" s="19"/>
      <x:c r="H126" s="104" t="str">
        <x:f>IF($A126="","",COUNTIF('Leads'!$D$2:$D$500,$A126))</x:f>
      </x:c>
      <x:c r="I126" s="96" t="str">
        <x:f>IF($A126="","",SUMIFS('DashboardData'!$H$2:$H$500,'DashboardData'!$B$2:$B$500,"won_revenue",'DashboardData'!$C$2:$C$500,"campaign",'DashboardData'!$D$2:$D$500,$A126))</x:f>
      </x:c>
      <x:c r="J126" s="19"/>
      <x:c r="K126" s="26"/>
      <x:c r="L126" s="19"/>
      <x:c r="M126" s="26"/>
      <x:c r="N126" s="19"/>
      <x:c r="O126" s="19"/>
    </x:row>
    <x:row r="127">
      <x:c r="A127" s="19"/>
      <x:c r="B127" s="19"/>
      <x:c r="C127" s="19"/>
      <x:c r="D127" s="24"/>
      <x:c r="E127" s="24"/>
      <x:c r="F127" s="25"/>
      <x:c r="G127" s="19"/>
      <x:c r="H127" s="104" t="str">
        <x:f>IF($A127="","",COUNTIF('Leads'!$D$2:$D$500,$A127))</x:f>
      </x:c>
      <x:c r="I127" s="96" t="str">
        <x:f>IF($A127="","",SUMIFS('DashboardData'!$H$2:$H$500,'DashboardData'!$B$2:$B$500,"won_revenue",'DashboardData'!$C$2:$C$500,"campaign",'DashboardData'!$D$2:$D$500,$A127))</x:f>
      </x:c>
      <x:c r="J127" s="19"/>
      <x:c r="K127" s="26"/>
      <x:c r="L127" s="19"/>
      <x:c r="M127" s="26"/>
      <x:c r="N127" s="19"/>
      <x:c r="O127" s="19"/>
    </x:row>
    <x:row r="128">
      <x:c r="A128" s="19"/>
      <x:c r="B128" s="19"/>
      <x:c r="C128" s="19"/>
      <x:c r="D128" s="24"/>
      <x:c r="E128" s="24"/>
      <x:c r="F128" s="25"/>
      <x:c r="G128" s="19"/>
      <x:c r="H128" s="104" t="str">
        <x:f>IF($A128="","",COUNTIF('Leads'!$D$2:$D$500,$A128))</x:f>
      </x:c>
      <x:c r="I128" s="96" t="str">
        <x:f>IF($A128="","",SUMIFS('DashboardData'!$H$2:$H$500,'DashboardData'!$B$2:$B$500,"won_revenue",'DashboardData'!$C$2:$C$500,"campaign",'DashboardData'!$D$2:$D$500,$A128))</x:f>
      </x:c>
      <x:c r="J128" s="19"/>
      <x:c r="K128" s="26"/>
      <x:c r="L128" s="19"/>
      <x:c r="M128" s="26"/>
      <x:c r="N128" s="19"/>
      <x:c r="O128" s="19"/>
    </x:row>
    <x:row r="129">
      <x:c r="A129" s="19"/>
      <x:c r="B129" s="19"/>
      <x:c r="C129" s="19"/>
      <x:c r="D129" s="24"/>
      <x:c r="E129" s="24"/>
      <x:c r="F129" s="25"/>
      <x:c r="G129" s="19"/>
      <x:c r="H129" s="104" t="str">
        <x:f>IF($A129="","",COUNTIF('Leads'!$D$2:$D$500,$A129))</x:f>
      </x:c>
      <x:c r="I129" s="96" t="str">
        <x:f>IF($A129="","",SUMIFS('DashboardData'!$H$2:$H$500,'DashboardData'!$B$2:$B$500,"won_revenue",'DashboardData'!$C$2:$C$500,"campaign",'DashboardData'!$D$2:$D$500,$A129))</x:f>
      </x:c>
      <x:c r="J129" s="19"/>
      <x:c r="K129" s="26"/>
      <x:c r="L129" s="19"/>
      <x:c r="M129" s="26"/>
      <x:c r="N129" s="19"/>
      <x:c r="O129" s="19"/>
    </x:row>
    <x:row r="130">
      <x:c r="A130" s="19"/>
      <x:c r="B130" s="19"/>
      <x:c r="C130" s="19"/>
      <x:c r="D130" s="24"/>
      <x:c r="E130" s="24"/>
      <x:c r="F130" s="25"/>
      <x:c r="G130" s="19"/>
      <x:c r="H130" s="104" t="str">
        <x:f>IF($A130="","",COUNTIF('Leads'!$D$2:$D$500,$A130))</x:f>
      </x:c>
      <x:c r="I130" s="96" t="str">
        <x:f>IF($A130="","",SUMIFS('DashboardData'!$H$2:$H$500,'DashboardData'!$B$2:$B$500,"won_revenue",'DashboardData'!$C$2:$C$500,"campaign",'DashboardData'!$D$2:$D$500,$A130))</x:f>
      </x:c>
      <x:c r="J130" s="19"/>
      <x:c r="K130" s="26"/>
      <x:c r="L130" s="19"/>
      <x:c r="M130" s="26"/>
      <x:c r="N130" s="19"/>
      <x:c r="O130" s="19"/>
    </x:row>
    <x:row r="131">
      <x:c r="A131" s="19"/>
      <x:c r="B131" s="19"/>
      <x:c r="C131" s="19"/>
      <x:c r="D131" s="24"/>
      <x:c r="E131" s="24"/>
      <x:c r="F131" s="25"/>
      <x:c r="G131" s="19"/>
      <x:c r="H131" s="104" t="str">
        <x:f>IF($A131="","",COUNTIF('Leads'!$D$2:$D$500,$A131))</x:f>
      </x:c>
      <x:c r="I131" s="96" t="str">
        <x:f>IF($A131="","",SUMIFS('DashboardData'!$H$2:$H$500,'DashboardData'!$B$2:$B$500,"won_revenue",'DashboardData'!$C$2:$C$500,"campaign",'DashboardData'!$D$2:$D$500,$A131))</x:f>
      </x:c>
      <x:c r="J131" s="19"/>
      <x:c r="K131" s="26"/>
      <x:c r="L131" s="19"/>
      <x:c r="M131" s="26"/>
      <x:c r="N131" s="19"/>
      <x:c r="O131" s="19"/>
    </x:row>
    <x:row r="132">
      <x:c r="A132" s="19"/>
      <x:c r="B132" s="19"/>
      <x:c r="C132" s="19"/>
      <x:c r="D132" s="24"/>
      <x:c r="E132" s="24"/>
      <x:c r="F132" s="25"/>
      <x:c r="G132" s="19"/>
      <x:c r="H132" s="104" t="str">
        <x:f>IF($A132="","",COUNTIF('Leads'!$D$2:$D$500,$A132))</x:f>
      </x:c>
      <x:c r="I132" s="96" t="str">
        <x:f>IF($A132="","",SUMIFS('DashboardData'!$H$2:$H$500,'DashboardData'!$B$2:$B$500,"won_revenue",'DashboardData'!$C$2:$C$500,"campaign",'DashboardData'!$D$2:$D$500,$A132))</x:f>
      </x:c>
      <x:c r="J132" s="19"/>
      <x:c r="K132" s="26"/>
      <x:c r="L132" s="19"/>
      <x:c r="M132" s="26"/>
      <x:c r="N132" s="19"/>
      <x:c r="O132" s="19"/>
    </x:row>
    <x:row r="133">
      <x:c r="A133" s="19"/>
      <x:c r="B133" s="19"/>
      <x:c r="C133" s="19"/>
      <x:c r="D133" s="24"/>
      <x:c r="E133" s="24"/>
      <x:c r="F133" s="25"/>
      <x:c r="G133" s="19"/>
      <x:c r="H133" s="104" t="str">
        <x:f>IF($A133="","",COUNTIF('Leads'!$D$2:$D$500,$A133))</x:f>
      </x:c>
      <x:c r="I133" s="96" t="str">
        <x:f>IF($A133="","",SUMIFS('DashboardData'!$H$2:$H$500,'DashboardData'!$B$2:$B$500,"won_revenue",'DashboardData'!$C$2:$C$500,"campaign",'DashboardData'!$D$2:$D$500,$A133))</x:f>
      </x:c>
      <x:c r="J133" s="19"/>
      <x:c r="K133" s="26"/>
      <x:c r="L133" s="19"/>
      <x:c r="M133" s="26"/>
      <x:c r="N133" s="19"/>
      <x:c r="O133" s="19"/>
    </x:row>
    <x:row r="134">
      <x:c r="A134" s="19"/>
      <x:c r="B134" s="19"/>
      <x:c r="C134" s="19"/>
      <x:c r="D134" s="24"/>
      <x:c r="E134" s="24"/>
      <x:c r="F134" s="25"/>
      <x:c r="G134" s="19"/>
      <x:c r="H134" s="104" t="str">
        <x:f>IF($A134="","",COUNTIF('Leads'!$D$2:$D$500,$A134))</x:f>
      </x:c>
      <x:c r="I134" s="96" t="str">
        <x:f>IF($A134="","",SUMIFS('DashboardData'!$H$2:$H$500,'DashboardData'!$B$2:$B$500,"won_revenue",'DashboardData'!$C$2:$C$500,"campaign",'DashboardData'!$D$2:$D$500,$A134))</x:f>
      </x:c>
      <x:c r="J134" s="19"/>
      <x:c r="K134" s="26"/>
      <x:c r="L134" s="19"/>
      <x:c r="M134" s="26"/>
      <x:c r="N134" s="19"/>
      <x:c r="O134" s="19"/>
    </x:row>
    <x:row r="135">
      <x:c r="A135" s="19"/>
      <x:c r="B135" s="19"/>
      <x:c r="C135" s="19"/>
      <x:c r="D135" s="24"/>
      <x:c r="E135" s="24"/>
      <x:c r="F135" s="25"/>
      <x:c r="G135" s="19"/>
      <x:c r="H135" s="104" t="str">
        <x:f>IF($A135="","",COUNTIF('Leads'!$D$2:$D$500,$A135))</x:f>
      </x:c>
      <x:c r="I135" s="96" t="str">
        <x:f>IF($A135="","",SUMIFS('DashboardData'!$H$2:$H$500,'DashboardData'!$B$2:$B$500,"won_revenue",'DashboardData'!$C$2:$C$500,"campaign",'DashboardData'!$D$2:$D$500,$A135))</x:f>
      </x:c>
      <x:c r="J135" s="19"/>
      <x:c r="K135" s="26"/>
      <x:c r="L135" s="19"/>
      <x:c r="M135" s="26"/>
      <x:c r="N135" s="19"/>
      <x:c r="O135" s="19"/>
    </x:row>
    <x:row r="136">
      <x:c r="A136" s="19"/>
      <x:c r="B136" s="19"/>
      <x:c r="C136" s="19"/>
      <x:c r="D136" s="24"/>
      <x:c r="E136" s="24"/>
      <x:c r="F136" s="25"/>
      <x:c r="G136" s="19"/>
      <x:c r="H136" s="104" t="str">
        <x:f>IF($A136="","",COUNTIF('Leads'!$D$2:$D$500,$A136))</x:f>
      </x:c>
      <x:c r="I136" s="96" t="str">
        <x:f>IF($A136="","",SUMIFS('DashboardData'!$H$2:$H$500,'DashboardData'!$B$2:$B$500,"won_revenue",'DashboardData'!$C$2:$C$500,"campaign",'DashboardData'!$D$2:$D$500,$A136))</x:f>
      </x:c>
      <x:c r="J136" s="19"/>
      <x:c r="K136" s="26"/>
      <x:c r="L136" s="19"/>
      <x:c r="M136" s="26"/>
      <x:c r="N136" s="19"/>
      <x:c r="O136" s="19"/>
    </x:row>
    <x:row r="137">
      <x:c r="A137" s="19"/>
      <x:c r="B137" s="19"/>
      <x:c r="C137" s="19"/>
      <x:c r="D137" s="24"/>
      <x:c r="E137" s="24"/>
      <x:c r="F137" s="25"/>
      <x:c r="G137" s="19"/>
      <x:c r="H137" s="104" t="str">
        <x:f>IF($A137="","",COUNTIF('Leads'!$D$2:$D$500,$A137))</x:f>
      </x:c>
      <x:c r="I137" s="96" t="str">
        <x:f>IF($A137="","",SUMIFS('DashboardData'!$H$2:$H$500,'DashboardData'!$B$2:$B$500,"won_revenue",'DashboardData'!$C$2:$C$500,"campaign",'DashboardData'!$D$2:$D$500,$A137))</x:f>
      </x:c>
      <x:c r="J137" s="19"/>
      <x:c r="K137" s="26"/>
      <x:c r="L137" s="19"/>
      <x:c r="M137" s="26"/>
      <x:c r="N137" s="19"/>
      <x:c r="O137" s="19"/>
    </x:row>
    <x:row r="138">
      <x:c r="A138" s="19"/>
      <x:c r="B138" s="19"/>
      <x:c r="C138" s="19"/>
      <x:c r="D138" s="24"/>
      <x:c r="E138" s="24"/>
      <x:c r="F138" s="25"/>
      <x:c r="G138" s="19"/>
      <x:c r="H138" s="104" t="str">
        <x:f>IF($A138="","",COUNTIF('Leads'!$D$2:$D$500,$A138))</x:f>
      </x:c>
      <x:c r="I138" s="96" t="str">
        <x:f>IF($A138="","",SUMIFS('DashboardData'!$H$2:$H$500,'DashboardData'!$B$2:$B$500,"won_revenue",'DashboardData'!$C$2:$C$500,"campaign",'DashboardData'!$D$2:$D$500,$A138))</x:f>
      </x:c>
      <x:c r="J138" s="19"/>
      <x:c r="K138" s="26"/>
      <x:c r="L138" s="19"/>
      <x:c r="M138" s="26"/>
      <x:c r="N138" s="19"/>
      <x:c r="O138" s="19"/>
    </x:row>
    <x:row r="139">
      <x:c r="A139" s="19"/>
      <x:c r="B139" s="19"/>
      <x:c r="C139" s="19"/>
      <x:c r="D139" s="24"/>
      <x:c r="E139" s="24"/>
      <x:c r="F139" s="25"/>
      <x:c r="G139" s="19"/>
      <x:c r="H139" s="104" t="str">
        <x:f>IF($A139="","",COUNTIF('Leads'!$D$2:$D$500,$A139))</x:f>
      </x:c>
      <x:c r="I139" s="96" t="str">
        <x:f>IF($A139="","",SUMIFS('DashboardData'!$H$2:$H$500,'DashboardData'!$B$2:$B$500,"won_revenue",'DashboardData'!$C$2:$C$500,"campaign",'DashboardData'!$D$2:$D$500,$A139))</x:f>
      </x:c>
      <x:c r="J139" s="19"/>
      <x:c r="K139" s="26"/>
      <x:c r="L139" s="19"/>
      <x:c r="M139" s="26"/>
      <x:c r="N139" s="19"/>
      <x:c r="O139" s="19"/>
    </x:row>
    <x:row r="140">
      <x:c r="A140" s="19"/>
      <x:c r="B140" s="19"/>
      <x:c r="C140" s="19"/>
      <x:c r="D140" s="24"/>
      <x:c r="E140" s="24"/>
      <x:c r="F140" s="25"/>
      <x:c r="G140" s="19"/>
      <x:c r="H140" s="104" t="str">
        <x:f>IF($A140="","",COUNTIF('Leads'!$D$2:$D$500,$A140))</x:f>
      </x:c>
      <x:c r="I140" s="96" t="str">
        <x:f>IF($A140="","",SUMIFS('DashboardData'!$H$2:$H$500,'DashboardData'!$B$2:$B$500,"won_revenue",'DashboardData'!$C$2:$C$500,"campaign",'DashboardData'!$D$2:$D$500,$A140))</x:f>
      </x:c>
      <x:c r="J140" s="19"/>
      <x:c r="K140" s="26"/>
      <x:c r="L140" s="19"/>
      <x:c r="M140" s="26"/>
      <x:c r="N140" s="19"/>
      <x:c r="O140" s="19"/>
    </x:row>
    <x:row r="141">
      <x:c r="A141" s="19"/>
      <x:c r="B141" s="19"/>
      <x:c r="C141" s="19"/>
      <x:c r="D141" s="24"/>
      <x:c r="E141" s="24"/>
      <x:c r="F141" s="25"/>
      <x:c r="G141" s="19"/>
      <x:c r="H141" s="104" t="str">
        <x:f>IF($A141="","",COUNTIF('Leads'!$D$2:$D$500,$A141))</x:f>
      </x:c>
      <x:c r="I141" s="96" t="str">
        <x:f>IF($A141="","",SUMIFS('DashboardData'!$H$2:$H$500,'DashboardData'!$B$2:$B$500,"won_revenue",'DashboardData'!$C$2:$C$500,"campaign",'DashboardData'!$D$2:$D$500,$A141))</x:f>
      </x:c>
      <x:c r="J141" s="19"/>
      <x:c r="K141" s="26"/>
      <x:c r="L141" s="19"/>
      <x:c r="M141" s="26"/>
      <x:c r="N141" s="19"/>
      <x:c r="O141" s="19"/>
    </x:row>
    <x:row r="142">
      <x:c r="A142" s="19"/>
      <x:c r="B142" s="19"/>
      <x:c r="C142" s="19"/>
      <x:c r="D142" s="24"/>
      <x:c r="E142" s="24"/>
      <x:c r="F142" s="25"/>
      <x:c r="G142" s="19"/>
      <x:c r="H142" s="104" t="str">
        <x:f>IF($A142="","",COUNTIF('Leads'!$D$2:$D$500,$A142))</x:f>
      </x:c>
      <x:c r="I142" s="96" t="str">
        <x:f>IF($A142="","",SUMIFS('DashboardData'!$H$2:$H$500,'DashboardData'!$B$2:$B$500,"won_revenue",'DashboardData'!$C$2:$C$500,"campaign",'DashboardData'!$D$2:$D$500,$A142))</x:f>
      </x:c>
      <x:c r="J142" s="19"/>
      <x:c r="K142" s="26"/>
      <x:c r="L142" s="19"/>
      <x:c r="M142" s="26"/>
      <x:c r="N142" s="19"/>
      <x:c r="O142" s="19"/>
    </x:row>
    <x:row r="143">
      <x:c r="A143" s="19"/>
      <x:c r="B143" s="19"/>
      <x:c r="C143" s="19"/>
      <x:c r="D143" s="24"/>
      <x:c r="E143" s="24"/>
      <x:c r="F143" s="25"/>
      <x:c r="G143" s="19"/>
      <x:c r="H143" s="104" t="str">
        <x:f>IF($A143="","",COUNTIF('Leads'!$D$2:$D$500,$A143))</x:f>
      </x:c>
      <x:c r="I143" s="96" t="str">
        <x:f>IF($A143="","",SUMIFS('DashboardData'!$H$2:$H$500,'DashboardData'!$B$2:$B$500,"won_revenue",'DashboardData'!$C$2:$C$500,"campaign",'DashboardData'!$D$2:$D$500,$A143))</x:f>
      </x:c>
      <x:c r="J143" s="19"/>
      <x:c r="K143" s="26"/>
      <x:c r="L143" s="19"/>
      <x:c r="M143" s="26"/>
      <x:c r="N143" s="19"/>
      <x:c r="O143" s="19"/>
    </x:row>
    <x:row r="144">
      <x:c r="A144" s="19"/>
      <x:c r="B144" s="19"/>
      <x:c r="C144" s="19"/>
      <x:c r="D144" s="24"/>
      <x:c r="E144" s="24"/>
      <x:c r="F144" s="25"/>
      <x:c r="G144" s="19"/>
      <x:c r="H144" s="104" t="str">
        <x:f>IF($A144="","",COUNTIF('Leads'!$D$2:$D$500,$A144))</x:f>
      </x:c>
      <x:c r="I144" s="96" t="str">
        <x:f>IF($A144="","",SUMIFS('DashboardData'!$H$2:$H$500,'DashboardData'!$B$2:$B$500,"won_revenue",'DashboardData'!$C$2:$C$500,"campaign",'DashboardData'!$D$2:$D$500,$A144))</x:f>
      </x:c>
      <x:c r="J144" s="19"/>
      <x:c r="K144" s="26"/>
      <x:c r="L144" s="19"/>
      <x:c r="M144" s="26"/>
      <x:c r="N144" s="19"/>
      <x:c r="O144" s="19"/>
    </x:row>
    <x:row r="145">
      <x:c r="A145" s="19"/>
      <x:c r="B145" s="19"/>
      <x:c r="C145" s="19"/>
      <x:c r="D145" s="24"/>
      <x:c r="E145" s="24"/>
      <x:c r="F145" s="25"/>
      <x:c r="G145" s="19"/>
      <x:c r="H145" s="104" t="str">
        <x:f>IF($A145="","",COUNTIF('Leads'!$D$2:$D$500,$A145))</x:f>
      </x:c>
      <x:c r="I145" s="96" t="str">
        <x:f>IF($A145="","",SUMIFS('DashboardData'!$H$2:$H$500,'DashboardData'!$B$2:$B$500,"won_revenue",'DashboardData'!$C$2:$C$500,"campaign",'DashboardData'!$D$2:$D$500,$A145))</x:f>
      </x:c>
      <x:c r="J145" s="19"/>
      <x:c r="K145" s="26"/>
      <x:c r="L145" s="19"/>
      <x:c r="M145" s="26"/>
      <x:c r="N145" s="19"/>
      <x:c r="O145" s="19"/>
    </x:row>
    <x:row r="146">
      <x:c r="A146" s="19"/>
      <x:c r="B146" s="19"/>
      <x:c r="C146" s="19"/>
      <x:c r="D146" s="24"/>
      <x:c r="E146" s="24"/>
      <x:c r="F146" s="25"/>
      <x:c r="G146" s="19"/>
      <x:c r="H146" s="104" t="str">
        <x:f>IF($A146="","",COUNTIF('Leads'!$D$2:$D$500,$A146))</x:f>
      </x:c>
      <x:c r="I146" s="96" t="str">
        <x:f>IF($A146="","",SUMIFS('DashboardData'!$H$2:$H$500,'DashboardData'!$B$2:$B$500,"won_revenue",'DashboardData'!$C$2:$C$500,"campaign",'DashboardData'!$D$2:$D$500,$A146))</x:f>
      </x:c>
      <x:c r="J146" s="19"/>
      <x:c r="K146" s="26"/>
      <x:c r="L146" s="19"/>
      <x:c r="M146" s="26"/>
      <x:c r="N146" s="19"/>
      <x:c r="O146" s="19"/>
    </x:row>
    <x:row r="147">
      <x:c r="A147" s="19"/>
      <x:c r="B147" s="19"/>
      <x:c r="C147" s="19"/>
      <x:c r="D147" s="24"/>
      <x:c r="E147" s="24"/>
      <x:c r="F147" s="25"/>
      <x:c r="G147" s="19"/>
      <x:c r="H147" s="104" t="str">
        <x:f>IF($A147="","",COUNTIF('Leads'!$D$2:$D$500,$A147))</x:f>
      </x:c>
      <x:c r="I147" s="96" t="str">
        <x:f>IF($A147="","",SUMIFS('DashboardData'!$H$2:$H$500,'DashboardData'!$B$2:$B$500,"won_revenue",'DashboardData'!$C$2:$C$500,"campaign",'DashboardData'!$D$2:$D$500,$A147))</x:f>
      </x:c>
      <x:c r="J147" s="19"/>
      <x:c r="K147" s="26"/>
      <x:c r="L147" s="19"/>
      <x:c r="M147" s="26"/>
      <x:c r="N147" s="19"/>
      <x:c r="O147" s="19"/>
    </x:row>
    <x:row r="148">
      <x:c r="A148" s="19"/>
      <x:c r="B148" s="19"/>
      <x:c r="C148" s="19"/>
      <x:c r="D148" s="24"/>
      <x:c r="E148" s="24"/>
      <x:c r="F148" s="25"/>
      <x:c r="G148" s="19"/>
      <x:c r="H148" s="104" t="str">
        <x:f>IF($A148="","",COUNTIF('Leads'!$D$2:$D$500,$A148))</x:f>
      </x:c>
      <x:c r="I148" s="96" t="str">
        <x:f>IF($A148="","",SUMIFS('DashboardData'!$H$2:$H$500,'DashboardData'!$B$2:$B$500,"won_revenue",'DashboardData'!$C$2:$C$500,"campaign",'DashboardData'!$D$2:$D$500,$A148))</x:f>
      </x:c>
      <x:c r="J148" s="19"/>
      <x:c r="K148" s="26"/>
      <x:c r="L148" s="19"/>
      <x:c r="M148" s="26"/>
      <x:c r="N148" s="19"/>
      <x:c r="O148" s="19"/>
    </x:row>
    <x:row r="149">
      <x:c r="A149" s="19"/>
      <x:c r="B149" s="19"/>
      <x:c r="C149" s="19"/>
      <x:c r="D149" s="24"/>
      <x:c r="E149" s="24"/>
      <x:c r="F149" s="25"/>
      <x:c r="G149" s="19"/>
      <x:c r="H149" s="104" t="str">
        <x:f>IF($A149="","",COUNTIF('Leads'!$D$2:$D$500,$A149))</x:f>
      </x:c>
      <x:c r="I149" s="96" t="str">
        <x:f>IF($A149="","",SUMIFS('DashboardData'!$H$2:$H$500,'DashboardData'!$B$2:$B$500,"won_revenue",'DashboardData'!$C$2:$C$500,"campaign",'DashboardData'!$D$2:$D$500,$A149))</x:f>
      </x:c>
      <x:c r="J149" s="19"/>
      <x:c r="K149" s="26"/>
      <x:c r="L149" s="19"/>
      <x:c r="M149" s="26"/>
      <x:c r="N149" s="19"/>
      <x:c r="O149" s="19"/>
    </x:row>
    <x:row r="150">
      <x:c r="A150" s="19"/>
      <x:c r="B150" s="19"/>
      <x:c r="C150" s="19"/>
      <x:c r="D150" s="24"/>
      <x:c r="E150" s="24"/>
      <x:c r="F150" s="25"/>
      <x:c r="G150" s="19"/>
      <x:c r="H150" s="104" t="str">
        <x:f>IF($A150="","",COUNTIF('Leads'!$D$2:$D$500,$A150))</x:f>
      </x:c>
      <x:c r="I150" s="96" t="str">
        <x:f>IF($A150="","",SUMIFS('DashboardData'!$H$2:$H$500,'DashboardData'!$B$2:$B$500,"won_revenue",'DashboardData'!$C$2:$C$500,"campaign",'DashboardData'!$D$2:$D$500,$A150))</x:f>
      </x:c>
      <x:c r="J150" s="19"/>
      <x:c r="K150" s="26"/>
      <x:c r="L150" s="19"/>
      <x:c r="M150" s="26"/>
      <x:c r="N150" s="19"/>
      <x:c r="O150" s="19"/>
    </x:row>
    <x:row r="151">
      <x:c r="A151" s="19"/>
      <x:c r="B151" s="19"/>
      <x:c r="C151" s="19"/>
      <x:c r="D151" s="24"/>
      <x:c r="E151" s="24"/>
      <x:c r="F151" s="25"/>
      <x:c r="G151" s="19"/>
      <x:c r="H151" s="104" t="str">
        <x:f>IF($A151="","",COUNTIF('Leads'!$D$2:$D$500,$A151))</x:f>
      </x:c>
      <x:c r="I151" s="96" t="str">
        <x:f>IF($A151="","",SUMIFS('DashboardData'!$H$2:$H$500,'DashboardData'!$B$2:$B$500,"won_revenue",'DashboardData'!$C$2:$C$500,"campaign",'DashboardData'!$D$2:$D$500,$A151))</x:f>
      </x:c>
      <x:c r="J151" s="19"/>
      <x:c r="K151" s="26"/>
      <x:c r="L151" s="19"/>
      <x:c r="M151" s="26"/>
      <x:c r="N151" s="19"/>
      <x:c r="O151" s="19"/>
    </x:row>
    <x:row r="152">
      <x:c r="A152" s="19"/>
      <x:c r="B152" s="19"/>
      <x:c r="C152" s="19"/>
      <x:c r="D152" s="24"/>
      <x:c r="E152" s="24"/>
      <x:c r="F152" s="25"/>
      <x:c r="G152" s="19"/>
      <x:c r="H152" s="104" t="str">
        <x:f>IF($A152="","",COUNTIF('Leads'!$D$2:$D$500,$A152))</x:f>
      </x:c>
      <x:c r="I152" s="96" t="str">
        <x:f>IF($A152="","",SUMIFS('DashboardData'!$H$2:$H$500,'DashboardData'!$B$2:$B$500,"won_revenue",'DashboardData'!$C$2:$C$500,"campaign",'DashboardData'!$D$2:$D$500,$A152))</x:f>
      </x:c>
      <x:c r="J152" s="19"/>
      <x:c r="K152" s="26"/>
      <x:c r="L152" s="19"/>
      <x:c r="M152" s="26"/>
      <x:c r="N152" s="19"/>
      <x:c r="O152" s="19"/>
    </x:row>
    <x:row r="153">
      <x:c r="A153" s="19"/>
      <x:c r="B153" s="19"/>
      <x:c r="C153" s="19"/>
      <x:c r="D153" s="24"/>
      <x:c r="E153" s="24"/>
      <x:c r="F153" s="25"/>
      <x:c r="G153" s="19"/>
      <x:c r="H153" s="104" t="str">
        <x:f>IF($A153="","",COUNTIF('Leads'!$D$2:$D$500,$A153))</x:f>
      </x:c>
      <x:c r="I153" s="96" t="str">
        <x:f>IF($A153="","",SUMIFS('DashboardData'!$H$2:$H$500,'DashboardData'!$B$2:$B$500,"won_revenue",'DashboardData'!$C$2:$C$500,"campaign",'DashboardData'!$D$2:$D$500,$A153))</x:f>
      </x:c>
      <x:c r="J153" s="19"/>
      <x:c r="K153" s="26"/>
      <x:c r="L153" s="19"/>
      <x:c r="M153" s="26"/>
      <x:c r="N153" s="19"/>
      <x:c r="O153" s="19"/>
    </x:row>
    <x:row r="154">
      <x:c r="A154" s="19"/>
      <x:c r="B154" s="19"/>
      <x:c r="C154" s="19"/>
      <x:c r="D154" s="24"/>
      <x:c r="E154" s="24"/>
      <x:c r="F154" s="25"/>
      <x:c r="G154" s="19"/>
      <x:c r="H154" s="104" t="str">
        <x:f>IF($A154="","",COUNTIF('Leads'!$D$2:$D$500,$A154))</x:f>
      </x:c>
      <x:c r="I154" s="96" t="str">
        <x:f>IF($A154="","",SUMIFS('DashboardData'!$H$2:$H$500,'DashboardData'!$B$2:$B$500,"won_revenue",'DashboardData'!$C$2:$C$500,"campaign",'DashboardData'!$D$2:$D$500,$A154))</x:f>
      </x:c>
      <x:c r="J154" s="19"/>
      <x:c r="K154" s="26"/>
      <x:c r="L154" s="19"/>
      <x:c r="M154" s="26"/>
      <x:c r="N154" s="19"/>
      <x:c r="O154" s="19"/>
    </x:row>
    <x:row r="155">
      <x:c r="A155" s="19"/>
      <x:c r="B155" s="19"/>
      <x:c r="C155" s="19"/>
      <x:c r="D155" s="24"/>
      <x:c r="E155" s="24"/>
      <x:c r="F155" s="25"/>
      <x:c r="G155" s="19"/>
      <x:c r="H155" s="104" t="str">
        <x:f>IF($A155="","",COUNTIF('Leads'!$D$2:$D$500,$A155))</x:f>
      </x:c>
      <x:c r="I155" s="96" t="str">
        <x:f>IF($A155="","",SUMIFS('DashboardData'!$H$2:$H$500,'DashboardData'!$B$2:$B$500,"won_revenue",'DashboardData'!$C$2:$C$500,"campaign",'DashboardData'!$D$2:$D$500,$A155))</x:f>
      </x:c>
      <x:c r="J155" s="19"/>
      <x:c r="K155" s="26"/>
      <x:c r="L155" s="19"/>
      <x:c r="M155" s="26"/>
      <x:c r="N155" s="19"/>
      <x:c r="O155" s="19"/>
    </x:row>
    <x:row r="156">
      <x:c r="A156" s="19"/>
      <x:c r="B156" s="19"/>
      <x:c r="C156" s="19"/>
      <x:c r="D156" s="24"/>
      <x:c r="E156" s="24"/>
      <x:c r="F156" s="25"/>
      <x:c r="G156" s="19"/>
      <x:c r="H156" s="104" t="str">
        <x:f>IF($A156="","",COUNTIF('Leads'!$D$2:$D$500,$A156))</x:f>
      </x:c>
      <x:c r="I156" s="96" t="str">
        <x:f>IF($A156="","",SUMIFS('DashboardData'!$H$2:$H$500,'DashboardData'!$B$2:$B$500,"won_revenue",'DashboardData'!$C$2:$C$500,"campaign",'DashboardData'!$D$2:$D$500,$A156))</x:f>
      </x:c>
      <x:c r="J156" s="19"/>
      <x:c r="K156" s="26"/>
      <x:c r="L156" s="19"/>
      <x:c r="M156" s="26"/>
      <x:c r="N156" s="19"/>
      <x:c r="O156" s="19"/>
    </x:row>
    <x:row r="157">
      <x:c r="A157" s="19"/>
      <x:c r="B157" s="19"/>
      <x:c r="C157" s="19"/>
      <x:c r="D157" s="24"/>
      <x:c r="E157" s="24"/>
      <x:c r="F157" s="25"/>
      <x:c r="G157" s="19"/>
      <x:c r="H157" s="104" t="str">
        <x:f>IF($A157="","",COUNTIF('Leads'!$D$2:$D$500,$A157))</x:f>
      </x:c>
      <x:c r="I157" s="96" t="str">
        <x:f>IF($A157="","",SUMIFS('DashboardData'!$H$2:$H$500,'DashboardData'!$B$2:$B$500,"won_revenue",'DashboardData'!$C$2:$C$500,"campaign",'DashboardData'!$D$2:$D$500,$A157))</x:f>
      </x:c>
      <x:c r="J157" s="19"/>
      <x:c r="K157" s="26"/>
      <x:c r="L157" s="19"/>
      <x:c r="M157" s="26"/>
      <x:c r="N157" s="19"/>
      <x:c r="O157" s="19"/>
    </x:row>
    <x:row r="158">
      <x:c r="A158" s="19"/>
      <x:c r="B158" s="19"/>
      <x:c r="C158" s="19"/>
      <x:c r="D158" s="24"/>
      <x:c r="E158" s="24"/>
      <x:c r="F158" s="25"/>
      <x:c r="G158" s="19"/>
      <x:c r="H158" s="104" t="str">
        <x:f>IF($A158="","",COUNTIF('Leads'!$D$2:$D$500,$A158))</x:f>
      </x:c>
      <x:c r="I158" s="96" t="str">
        <x:f>IF($A158="","",SUMIFS('DashboardData'!$H$2:$H$500,'DashboardData'!$B$2:$B$500,"won_revenue",'DashboardData'!$C$2:$C$500,"campaign",'DashboardData'!$D$2:$D$500,$A158))</x:f>
      </x:c>
      <x:c r="J158" s="19"/>
      <x:c r="K158" s="26"/>
      <x:c r="L158" s="19"/>
      <x:c r="M158" s="26"/>
      <x:c r="N158" s="19"/>
      <x:c r="O158" s="19"/>
    </x:row>
    <x:row r="159">
      <x:c r="A159" s="19"/>
      <x:c r="B159" s="19"/>
      <x:c r="C159" s="19"/>
      <x:c r="D159" s="24"/>
      <x:c r="E159" s="24"/>
      <x:c r="F159" s="25"/>
      <x:c r="G159" s="19"/>
      <x:c r="H159" s="104" t="str">
        <x:f>IF($A159="","",COUNTIF('Leads'!$D$2:$D$500,$A159))</x:f>
      </x:c>
      <x:c r="I159" s="96" t="str">
        <x:f>IF($A159="","",SUMIFS('DashboardData'!$H$2:$H$500,'DashboardData'!$B$2:$B$500,"won_revenue",'DashboardData'!$C$2:$C$500,"campaign",'DashboardData'!$D$2:$D$500,$A159))</x:f>
      </x:c>
      <x:c r="J159" s="19"/>
      <x:c r="K159" s="26"/>
      <x:c r="L159" s="19"/>
      <x:c r="M159" s="26"/>
      <x:c r="N159" s="19"/>
      <x:c r="O159" s="19"/>
    </x:row>
    <x:row r="160">
      <x:c r="A160" s="19"/>
      <x:c r="B160" s="19"/>
      <x:c r="C160" s="19"/>
      <x:c r="D160" s="24"/>
      <x:c r="E160" s="24"/>
      <x:c r="F160" s="25"/>
      <x:c r="G160" s="19"/>
      <x:c r="H160" s="104" t="str">
        <x:f>IF($A160="","",COUNTIF('Leads'!$D$2:$D$500,$A160))</x:f>
      </x:c>
      <x:c r="I160" s="96" t="str">
        <x:f>IF($A160="","",SUMIFS('DashboardData'!$H$2:$H$500,'DashboardData'!$B$2:$B$500,"won_revenue",'DashboardData'!$C$2:$C$500,"campaign",'DashboardData'!$D$2:$D$500,$A160))</x:f>
      </x:c>
      <x:c r="J160" s="19"/>
      <x:c r="K160" s="26"/>
      <x:c r="L160" s="19"/>
      <x:c r="M160" s="26"/>
      <x:c r="N160" s="19"/>
      <x:c r="O160" s="19"/>
    </x:row>
    <x:row r="161">
      <x:c r="A161" s="19"/>
      <x:c r="B161" s="19"/>
      <x:c r="C161" s="19"/>
      <x:c r="D161" s="24"/>
      <x:c r="E161" s="24"/>
      <x:c r="F161" s="25"/>
      <x:c r="G161" s="19"/>
      <x:c r="H161" s="104" t="str">
        <x:f>IF($A161="","",COUNTIF('Leads'!$D$2:$D$500,$A161))</x:f>
      </x:c>
      <x:c r="I161" s="96" t="str">
        <x:f>IF($A161="","",SUMIFS('DashboardData'!$H$2:$H$500,'DashboardData'!$B$2:$B$500,"won_revenue",'DashboardData'!$C$2:$C$500,"campaign",'DashboardData'!$D$2:$D$500,$A161))</x:f>
      </x:c>
      <x:c r="J161" s="19"/>
      <x:c r="K161" s="26"/>
      <x:c r="L161" s="19"/>
      <x:c r="M161" s="26"/>
      <x:c r="N161" s="19"/>
      <x:c r="O161" s="19"/>
    </x:row>
    <x:row r="162">
      <x:c r="A162" s="19"/>
      <x:c r="B162" s="19"/>
      <x:c r="C162" s="19"/>
      <x:c r="D162" s="24"/>
      <x:c r="E162" s="24"/>
      <x:c r="F162" s="25"/>
      <x:c r="G162" s="19"/>
      <x:c r="H162" s="104" t="str">
        <x:f>IF($A162="","",COUNTIF('Leads'!$D$2:$D$500,$A162))</x:f>
      </x:c>
      <x:c r="I162" s="96" t="str">
        <x:f>IF($A162="","",SUMIFS('DashboardData'!$H$2:$H$500,'DashboardData'!$B$2:$B$500,"won_revenue",'DashboardData'!$C$2:$C$500,"campaign",'DashboardData'!$D$2:$D$500,$A162))</x:f>
      </x:c>
      <x:c r="J162" s="19"/>
      <x:c r="K162" s="26"/>
      <x:c r="L162" s="19"/>
      <x:c r="M162" s="26"/>
      <x:c r="N162" s="19"/>
      <x:c r="O162" s="19"/>
    </x:row>
    <x:row r="163">
      <x:c r="A163" s="19"/>
      <x:c r="B163" s="19"/>
      <x:c r="C163" s="19"/>
      <x:c r="D163" s="24"/>
      <x:c r="E163" s="24"/>
      <x:c r="F163" s="25"/>
      <x:c r="G163" s="19"/>
      <x:c r="H163" s="104" t="str">
        <x:f>IF($A163="","",COUNTIF('Leads'!$D$2:$D$500,$A163))</x:f>
      </x:c>
      <x:c r="I163" s="96" t="str">
        <x:f>IF($A163="","",SUMIFS('DashboardData'!$H$2:$H$500,'DashboardData'!$B$2:$B$500,"won_revenue",'DashboardData'!$C$2:$C$500,"campaign",'DashboardData'!$D$2:$D$500,$A163))</x:f>
      </x:c>
      <x:c r="J163" s="19"/>
      <x:c r="K163" s="26"/>
      <x:c r="L163" s="19"/>
      <x:c r="M163" s="26"/>
      <x:c r="N163" s="19"/>
      <x:c r="O163" s="19"/>
    </x:row>
    <x:row r="164">
      <x:c r="A164" s="19"/>
      <x:c r="B164" s="19"/>
      <x:c r="C164" s="19"/>
      <x:c r="D164" s="24"/>
      <x:c r="E164" s="24"/>
      <x:c r="F164" s="25"/>
      <x:c r="G164" s="19"/>
      <x:c r="H164" s="104" t="str">
        <x:f>IF($A164="","",COUNTIF('Leads'!$D$2:$D$500,$A164))</x:f>
      </x:c>
      <x:c r="I164" s="96" t="str">
        <x:f>IF($A164="","",SUMIFS('DashboardData'!$H$2:$H$500,'DashboardData'!$B$2:$B$500,"won_revenue",'DashboardData'!$C$2:$C$500,"campaign",'DashboardData'!$D$2:$D$500,$A164))</x:f>
      </x:c>
      <x:c r="J164" s="19"/>
      <x:c r="K164" s="26"/>
      <x:c r="L164" s="19"/>
      <x:c r="M164" s="26"/>
      <x:c r="N164" s="19"/>
      <x:c r="O164" s="19"/>
    </x:row>
    <x:row r="165">
      <x:c r="A165" s="19"/>
      <x:c r="B165" s="19"/>
      <x:c r="C165" s="19"/>
      <x:c r="D165" s="24"/>
      <x:c r="E165" s="24"/>
      <x:c r="F165" s="25"/>
      <x:c r="G165" s="19"/>
      <x:c r="H165" s="104" t="str">
        <x:f>IF($A165="","",COUNTIF('Leads'!$D$2:$D$500,$A165))</x:f>
      </x:c>
      <x:c r="I165" s="96" t="str">
        <x:f>IF($A165="","",SUMIFS('DashboardData'!$H$2:$H$500,'DashboardData'!$B$2:$B$500,"won_revenue",'DashboardData'!$C$2:$C$500,"campaign",'DashboardData'!$D$2:$D$500,$A165))</x:f>
      </x:c>
      <x:c r="J165" s="19"/>
      <x:c r="K165" s="26"/>
      <x:c r="L165" s="19"/>
      <x:c r="M165" s="26"/>
      <x:c r="N165" s="19"/>
      <x:c r="O165" s="19"/>
    </x:row>
    <x:row r="166">
      <x:c r="A166" s="19"/>
      <x:c r="B166" s="19"/>
      <x:c r="C166" s="19"/>
      <x:c r="D166" s="24"/>
      <x:c r="E166" s="24"/>
      <x:c r="F166" s="25"/>
      <x:c r="G166" s="19"/>
      <x:c r="H166" s="104" t="str">
        <x:f>IF($A166="","",COUNTIF('Leads'!$D$2:$D$500,$A166))</x:f>
      </x:c>
      <x:c r="I166" s="96" t="str">
        <x:f>IF($A166="","",SUMIFS('DashboardData'!$H$2:$H$500,'DashboardData'!$B$2:$B$500,"won_revenue",'DashboardData'!$C$2:$C$500,"campaign",'DashboardData'!$D$2:$D$500,$A166))</x:f>
      </x:c>
      <x:c r="J166" s="19"/>
      <x:c r="K166" s="26"/>
      <x:c r="L166" s="19"/>
      <x:c r="M166" s="26"/>
      <x:c r="N166" s="19"/>
      <x:c r="O166" s="19"/>
    </x:row>
    <x:row r="167">
      <x:c r="A167" s="19"/>
      <x:c r="B167" s="19"/>
      <x:c r="C167" s="19"/>
      <x:c r="D167" s="24"/>
      <x:c r="E167" s="24"/>
      <x:c r="F167" s="25"/>
      <x:c r="G167" s="19"/>
      <x:c r="H167" s="104" t="str">
        <x:f>IF($A167="","",COUNTIF('Leads'!$D$2:$D$500,$A167))</x:f>
      </x:c>
      <x:c r="I167" s="96" t="str">
        <x:f>IF($A167="","",SUMIFS('DashboardData'!$H$2:$H$500,'DashboardData'!$B$2:$B$500,"won_revenue",'DashboardData'!$C$2:$C$500,"campaign",'DashboardData'!$D$2:$D$500,$A167))</x:f>
      </x:c>
      <x:c r="J167" s="19"/>
      <x:c r="K167" s="26"/>
      <x:c r="L167" s="19"/>
      <x:c r="M167" s="26"/>
      <x:c r="N167" s="19"/>
      <x:c r="O167" s="19"/>
    </x:row>
    <x:row r="168">
      <x:c r="A168" s="19"/>
      <x:c r="B168" s="19"/>
      <x:c r="C168" s="19"/>
      <x:c r="D168" s="24"/>
      <x:c r="E168" s="24"/>
      <x:c r="F168" s="25"/>
      <x:c r="G168" s="19"/>
      <x:c r="H168" s="104" t="str">
        <x:f>IF($A168="","",COUNTIF('Leads'!$D$2:$D$500,$A168))</x:f>
      </x:c>
      <x:c r="I168" s="96" t="str">
        <x:f>IF($A168="","",SUMIFS('DashboardData'!$H$2:$H$500,'DashboardData'!$B$2:$B$500,"won_revenue",'DashboardData'!$C$2:$C$500,"campaign",'DashboardData'!$D$2:$D$500,$A168))</x:f>
      </x:c>
      <x:c r="J168" s="19"/>
      <x:c r="K168" s="26"/>
      <x:c r="L168" s="19"/>
      <x:c r="M168" s="26"/>
      <x:c r="N168" s="19"/>
      <x:c r="O168" s="19"/>
    </x:row>
    <x:row r="169">
      <x:c r="A169" s="19"/>
      <x:c r="B169" s="19"/>
      <x:c r="C169" s="19"/>
      <x:c r="D169" s="24"/>
      <x:c r="E169" s="24"/>
      <x:c r="F169" s="25"/>
      <x:c r="G169" s="19"/>
      <x:c r="H169" s="104" t="str">
        <x:f>IF($A169="","",COUNTIF('Leads'!$D$2:$D$500,$A169))</x:f>
      </x:c>
      <x:c r="I169" s="96" t="str">
        <x:f>IF($A169="","",SUMIFS('DashboardData'!$H$2:$H$500,'DashboardData'!$B$2:$B$500,"won_revenue",'DashboardData'!$C$2:$C$500,"campaign",'DashboardData'!$D$2:$D$500,$A169))</x:f>
      </x:c>
      <x:c r="J169" s="19"/>
      <x:c r="K169" s="26"/>
      <x:c r="L169" s="19"/>
      <x:c r="M169" s="26"/>
      <x:c r="N169" s="19"/>
      <x:c r="O169" s="19"/>
    </x:row>
    <x:row r="170">
      <x:c r="A170" s="19"/>
      <x:c r="B170" s="19"/>
      <x:c r="C170" s="19"/>
      <x:c r="D170" s="24"/>
      <x:c r="E170" s="24"/>
      <x:c r="F170" s="25"/>
      <x:c r="G170" s="19"/>
      <x:c r="H170" s="104" t="str">
        <x:f>IF($A170="","",COUNTIF('Leads'!$D$2:$D$500,$A170))</x:f>
      </x:c>
      <x:c r="I170" s="96" t="str">
        <x:f>IF($A170="","",SUMIFS('DashboardData'!$H$2:$H$500,'DashboardData'!$B$2:$B$500,"won_revenue",'DashboardData'!$C$2:$C$500,"campaign",'DashboardData'!$D$2:$D$500,$A170))</x:f>
      </x:c>
      <x:c r="J170" s="19"/>
      <x:c r="K170" s="26"/>
      <x:c r="L170" s="19"/>
      <x:c r="M170" s="26"/>
      <x:c r="N170" s="19"/>
      <x:c r="O170" s="19"/>
    </x:row>
    <x:row r="171">
      <x:c r="A171" s="19"/>
      <x:c r="B171" s="19"/>
      <x:c r="C171" s="19"/>
      <x:c r="D171" s="24"/>
      <x:c r="E171" s="24"/>
      <x:c r="F171" s="25"/>
      <x:c r="G171" s="19"/>
      <x:c r="H171" s="104" t="str">
        <x:f>IF($A171="","",COUNTIF('Leads'!$D$2:$D$500,$A171))</x:f>
      </x:c>
      <x:c r="I171" s="96" t="str">
        <x:f>IF($A171="","",SUMIFS('DashboardData'!$H$2:$H$500,'DashboardData'!$B$2:$B$500,"won_revenue",'DashboardData'!$C$2:$C$500,"campaign",'DashboardData'!$D$2:$D$500,$A171))</x:f>
      </x:c>
      <x:c r="J171" s="19"/>
      <x:c r="K171" s="26"/>
      <x:c r="L171" s="19"/>
      <x:c r="M171" s="26"/>
      <x:c r="N171" s="19"/>
      <x:c r="O171" s="19"/>
    </x:row>
    <x:row r="172">
      <x:c r="A172" s="19"/>
      <x:c r="B172" s="19"/>
      <x:c r="C172" s="19"/>
      <x:c r="D172" s="24"/>
      <x:c r="E172" s="24"/>
      <x:c r="F172" s="25"/>
      <x:c r="G172" s="19"/>
      <x:c r="H172" s="104" t="str">
        <x:f>IF($A172="","",COUNTIF('Leads'!$D$2:$D$500,$A172))</x:f>
      </x:c>
      <x:c r="I172" s="96" t="str">
        <x:f>IF($A172="","",SUMIFS('DashboardData'!$H$2:$H$500,'DashboardData'!$B$2:$B$500,"won_revenue",'DashboardData'!$C$2:$C$500,"campaign",'DashboardData'!$D$2:$D$500,$A172))</x:f>
      </x:c>
      <x:c r="J172" s="19"/>
      <x:c r="K172" s="26"/>
      <x:c r="L172" s="19"/>
      <x:c r="M172" s="26"/>
      <x:c r="N172" s="19"/>
      <x:c r="O172" s="19"/>
    </x:row>
    <x:row r="173">
      <x:c r="A173" s="19"/>
      <x:c r="B173" s="19"/>
      <x:c r="C173" s="19"/>
      <x:c r="D173" s="24"/>
      <x:c r="E173" s="24"/>
      <x:c r="F173" s="25"/>
      <x:c r="G173" s="19"/>
      <x:c r="H173" s="104" t="str">
        <x:f>IF($A173="","",COUNTIF('Leads'!$D$2:$D$500,$A173))</x:f>
      </x:c>
      <x:c r="I173" s="96" t="str">
        <x:f>IF($A173="","",SUMIFS('DashboardData'!$H$2:$H$500,'DashboardData'!$B$2:$B$500,"won_revenue",'DashboardData'!$C$2:$C$500,"campaign",'DashboardData'!$D$2:$D$500,$A173))</x:f>
      </x:c>
      <x:c r="J173" s="19"/>
      <x:c r="K173" s="26"/>
      <x:c r="L173" s="19"/>
      <x:c r="M173" s="26"/>
      <x:c r="N173" s="19"/>
      <x:c r="O173" s="19"/>
    </x:row>
    <x:row r="174">
      <x:c r="A174" s="19"/>
      <x:c r="B174" s="19"/>
      <x:c r="C174" s="19"/>
      <x:c r="D174" s="24"/>
      <x:c r="E174" s="24"/>
      <x:c r="F174" s="25"/>
      <x:c r="G174" s="19"/>
      <x:c r="H174" s="104" t="str">
        <x:f>IF($A174="","",COUNTIF('Leads'!$D$2:$D$500,$A174))</x:f>
      </x:c>
      <x:c r="I174" s="96" t="str">
        <x:f>IF($A174="","",SUMIFS('DashboardData'!$H$2:$H$500,'DashboardData'!$B$2:$B$500,"won_revenue",'DashboardData'!$C$2:$C$500,"campaign",'DashboardData'!$D$2:$D$500,$A174))</x:f>
      </x:c>
      <x:c r="J174" s="19"/>
      <x:c r="K174" s="26"/>
      <x:c r="L174" s="19"/>
      <x:c r="M174" s="26"/>
      <x:c r="N174" s="19"/>
      <x:c r="O174" s="19"/>
    </x:row>
    <x:row r="175">
      <x:c r="A175" s="19"/>
      <x:c r="B175" s="19"/>
      <x:c r="C175" s="19"/>
      <x:c r="D175" s="24"/>
      <x:c r="E175" s="24"/>
      <x:c r="F175" s="25"/>
      <x:c r="G175" s="19"/>
      <x:c r="H175" s="104" t="str">
        <x:f>IF($A175="","",COUNTIF('Leads'!$D$2:$D$500,$A175))</x:f>
      </x:c>
      <x:c r="I175" s="96" t="str">
        <x:f>IF($A175="","",SUMIFS('DashboardData'!$H$2:$H$500,'DashboardData'!$B$2:$B$500,"won_revenue",'DashboardData'!$C$2:$C$500,"campaign",'DashboardData'!$D$2:$D$500,$A175))</x:f>
      </x:c>
      <x:c r="J175" s="19"/>
      <x:c r="K175" s="26"/>
      <x:c r="L175" s="19"/>
      <x:c r="M175" s="26"/>
      <x:c r="N175" s="19"/>
      <x:c r="O175" s="19"/>
    </x:row>
    <x:row r="176">
      <x:c r="A176" s="19"/>
      <x:c r="B176" s="19"/>
      <x:c r="C176" s="19"/>
      <x:c r="D176" s="24"/>
      <x:c r="E176" s="24"/>
      <x:c r="F176" s="25"/>
      <x:c r="G176" s="19"/>
      <x:c r="H176" s="104" t="str">
        <x:f>IF($A176="","",COUNTIF('Leads'!$D$2:$D$500,$A176))</x:f>
      </x:c>
      <x:c r="I176" s="96" t="str">
        <x:f>IF($A176="","",SUMIFS('DashboardData'!$H$2:$H$500,'DashboardData'!$B$2:$B$500,"won_revenue",'DashboardData'!$C$2:$C$500,"campaign",'DashboardData'!$D$2:$D$500,$A176))</x:f>
      </x:c>
      <x:c r="J176" s="19"/>
      <x:c r="K176" s="26"/>
      <x:c r="L176" s="19"/>
      <x:c r="M176" s="26"/>
      <x:c r="N176" s="19"/>
      <x:c r="O176" s="19"/>
    </x:row>
    <x:row r="177">
      <x:c r="A177" s="19"/>
      <x:c r="B177" s="19"/>
      <x:c r="C177" s="19"/>
      <x:c r="D177" s="24"/>
      <x:c r="E177" s="24"/>
      <x:c r="F177" s="25"/>
      <x:c r="G177" s="19"/>
      <x:c r="H177" s="104" t="str">
        <x:f>IF($A177="","",COUNTIF('Leads'!$D$2:$D$500,$A177))</x:f>
      </x:c>
      <x:c r="I177" s="96" t="str">
        <x:f>IF($A177="","",SUMIFS('DashboardData'!$H$2:$H$500,'DashboardData'!$B$2:$B$500,"won_revenue",'DashboardData'!$C$2:$C$500,"campaign",'DashboardData'!$D$2:$D$500,$A177))</x:f>
      </x:c>
      <x:c r="J177" s="19"/>
      <x:c r="K177" s="26"/>
      <x:c r="L177" s="19"/>
      <x:c r="M177" s="26"/>
      <x:c r="N177" s="19"/>
      <x:c r="O177" s="19"/>
    </x:row>
    <x:row r="178">
      <x:c r="A178" s="19"/>
      <x:c r="B178" s="19"/>
      <x:c r="C178" s="19"/>
      <x:c r="D178" s="24"/>
      <x:c r="E178" s="24"/>
      <x:c r="F178" s="25"/>
      <x:c r="G178" s="19"/>
      <x:c r="H178" s="104" t="str">
        <x:f>IF($A178="","",COUNTIF('Leads'!$D$2:$D$500,$A178))</x:f>
      </x:c>
      <x:c r="I178" s="96" t="str">
        <x:f>IF($A178="","",SUMIFS('DashboardData'!$H$2:$H$500,'DashboardData'!$B$2:$B$500,"won_revenue",'DashboardData'!$C$2:$C$500,"campaign",'DashboardData'!$D$2:$D$500,$A178))</x:f>
      </x:c>
      <x:c r="J178" s="19"/>
      <x:c r="K178" s="26"/>
      <x:c r="L178" s="19"/>
      <x:c r="M178" s="26"/>
      <x:c r="N178" s="19"/>
      <x:c r="O178" s="19"/>
    </x:row>
    <x:row r="179">
      <x:c r="A179" s="19"/>
      <x:c r="B179" s="19"/>
      <x:c r="C179" s="19"/>
      <x:c r="D179" s="24"/>
      <x:c r="E179" s="24"/>
      <x:c r="F179" s="25"/>
      <x:c r="G179" s="19"/>
      <x:c r="H179" s="104" t="str">
        <x:f>IF($A179="","",COUNTIF('Leads'!$D$2:$D$500,$A179))</x:f>
      </x:c>
      <x:c r="I179" s="96" t="str">
        <x:f>IF($A179="","",SUMIFS('DashboardData'!$H$2:$H$500,'DashboardData'!$B$2:$B$500,"won_revenue",'DashboardData'!$C$2:$C$500,"campaign",'DashboardData'!$D$2:$D$500,$A179))</x:f>
      </x:c>
      <x:c r="J179" s="19"/>
      <x:c r="K179" s="26"/>
      <x:c r="L179" s="19"/>
      <x:c r="M179" s="26"/>
      <x:c r="N179" s="19"/>
      <x:c r="O179" s="19"/>
    </x:row>
    <x:row r="180">
      <x:c r="A180" s="19"/>
      <x:c r="B180" s="19"/>
      <x:c r="C180" s="19"/>
      <x:c r="D180" s="24"/>
      <x:c r="E180" s="24"/>
      <x:c r="F180" s="25"/>
      <x:c r="G180" s="19"/>
      <x:c r="H180" s="104" t="str">
        <x:f>IF($A180="","",COUNTIF('Leads'!$D$2:$D$500,$A180))</x:f>
      </x:c>
      <x:c r="I180" s="96" t="str">
        <x:f>IF($A180="","",SUMIFS('DashboardData'!$H$2:$H$500,'DashboardData'!$B$2:$B$500,"won_revenue",'DashboardData'!$C$2:$C$500,"campaign",'DashboardData'!$D$2:$D$500,$A180))</x:f>
      </x:c>
      <x:c r="J180" s="19"/>
      <x:c r="K180" s="26"/>
      <x:c r="L180" s="19"/>
      <x:c r="M180" s="26"/>
      <x:c r="N180" s="19"/>
      <x:c r="O180" s="19"/>
    </x:row>
    <x:row r="181">
      <x:c r="A181" s="19"/>
      <x:c r="B181" s="19"/>
      <x:c r="C181" s="19"/>
      <x:c r="D181" s="24"/>
      <x:c r="E181" s="24"/>
      <x:c r="F181" s="25"/>
      <x:c r="G181" s="19"/>
      <x:c r="H181" s="104" t="str">
        <x:f>IF($A181="","",COUNTIF('Leads'!$D$2:$D$500,$A181))</x:f>
      </x:c>
      <x:c r="I181" s="96" t="str">
        <x:f>IF($A181="","",SUMIFS('DashboardData'!$H$2:$H$500,'DashboardData'!$B$2:$B$500,"won_revenue",'DashboardData'!$C$2:$C$500,"campaign",'DashboardData'!$D$2:$D$500,$A181))</x:f>
      </x:c>
      <x:c r="J181" s="19"/>
      <x:c r="K181" s="26"/>
      <x:c r="L181" s="19"/>
      <x:c r="M181" s="26"/>
      <x:c r="N181" s="19"/>
      <x:c r="O181" s="19"/>
    </x:row>
    <x:row r="182">
      <x:c r="A182" s="19"/>
      <x:c r="B182" s="19"/>
      <x:c r="C182" s="19"/>
      <x:c r="D182" s="24"/>
      <x:c r="E182" s="24"/>
      <x:c r="F182" s="25"/>
      <x:c r="G182" s="19"/>
      <x:c r="H182" s="104" t="str">
        <x:f>IF($A182="","",COUNTIF('Leads'!$D$2:$D$500,$A182))</x:f>
      </x:c>
      <x:c r="I182" s="96" t="str">
        <x:f>IF($A182="","",SUMIFS('DashboardData'!$H$2:$H$500,'DashboardData'!$B$2:$B$500,"won_revenue",'DashboardData'!$C$2:$C$500,"campaign",'DashboardData'!$D$2:$D$500,$A182))</x:f>
      </x:c>
      <x:c r="J182" s="19"/>
      <x:c r="K182" s="26"/>
      <x:c r="L182" s="19"/>
      <x:c r="M182" s="26"/>
      <x:c r="N182" s="19"/>
      <x:c r="O182" s="19"/>
    </x:row>
    <x:row r="183">
      <x:c r="A183" s="19"/>
      <x:c r="B183" s="19"/>
      <x:c r="C183" s="19"/>
      <x:c r="D183" s="24"/>
      <x:c r="E183" s="24"/>
      <x:c r="F183" s="25"/>
      <x:c r="G183" s="19"/>
      <x:c r="H183" s="104" t="str">
        <x:f>IF($A183="","",COUNTIF('Leads'!$D$2:$D$500,$A183))</x:f>
      </x:c>
      <x:c r="I183" s="96" t="str">
        <x:f>IF($A183="","",SUMIFS('DashboardData'!$H$2:$H$500,'DashboardData'!$B$2:$B$500,"won_revenue",'DashboardData'!$C$2:$C$500,"campaign",'DashboardData'!$D$2:$D$500,$A183))</x:f>
      </x:c>
      <x:c r="J183" s="19"/>
      <x:c r="K183" s="26"/>
      <x:c r="L183" s="19"/>
      <x:c r="M183" s="26"/>
      <x:c r="N183" s="19"/>
      <x:c r="O183" s="19"/>
    </x:row>
    <x:row r="184">
      <x:c r="A184" s="19"/>
      <x:c r="B184" s="19"/>
      <x:c r="C184" s="19"/>
      <x:c r="D184" s="24"/>
      <x:c r="E184" s="24"/>
      <x:c r="F184" s="25"/>
      <x:c r="G184" s="19"/>
      <x:c r="H184" s="104" t="str">
        <x:f>IF($A184="","",COUNTIF('Leads'!$D$2:$D$500,$A184))</x:f>
      </x:c>
      <x:c r="I184" s="96" t="str">
        <x:f>IF($A184="","",SUMIFS('DashboardData'!$H$2:$H$500,'DashboardData'!$B$2:$B$500,"won_revenue",'DashboardData'!$C$2:$C$500,"campaign",'DashboardData'!$D$2:$D$500,$A184))</x:f>
      </x:c>
      <x:c r="J184" s="19"/>
      <x:c r="K184" s="26"/>
      <x:c r="L184" s="19"/>
      <x:c r="M184" s="26"/>
      <x:c r="N184" s="19"/>
      <x:c r="O184" s="19"/>
    </x:row>
    <x:row r="185">
      <x:c r="A185" s="19"/>
      <x:c r="B185" s="19"/>
      <x:c r="C185" s="19"/>
      <x:c r="D185" s="24"/>
      <x:c r="E185" s="24"/>
      <x:c r="F185" s="25"/>
      <x:c r="G185" s="19"/>
      <x:c r="H185" s="104" t="str">
        <x:f>IF($A185="","",COUNTIF('Leads'!$D$2:$D$500,$A185))</x:f>
      </x:c>
      <x:c r="I185" s="96" t="str">
        <x:f>IF($A185="","",SUMIFS('DashboardData'!$H$2:$H$500,'DashboardData'!$B$2:$B$500,"won_revenue",'DashboardData'!$C$2:$C$500,"campaign",'DashboardData'!$D$2:$D$500,$A185))</x:f>
      </x:c>
      <x:c r="J185" s="19"/>
      <x:c r="K185" s="26"/>
      <x:c r="L185" s="19"/>
      <x:c r="M185" s="26"/>
      <x:c r="N185" s="19"/>
      <x:c r="O185" s="19"/>
    </x:row>
    <x:row r="186">
      <x:c r="A186" s="19"/>
      <x:c r="B186" s="19"/>
      <x:c r="C186" s="19"/>
      <x:c r="D186" s="24"/>
      <x:c r="E186" s="24"/>
      <x:c r="F186" s="25"/>
      <x:c r="G186" s="19"/>
      <x:c r="H186" s="104" t="str">
        <x:f>IF($A186="","",COUNTIF('Leads'!$D$2:$D$500,$A186))</x:f>
      </x:c>
      <x:c r="I186" s="96" t="str">
        <x:f>IF($A186="","",SUMIFS('DashboardData'!$H$2:$H$500,'DashboardData'!$B$2:$B$500,"won_revenue",'DashboardData'!$C$2:$C$500,"campaign",'DashboardData'!$D$2:$D$500,$A186))</x:f>
      </x:c>
      <x:c r="J186" s="19"/>
      <x:c r="K186" s="26"/>
      <x:c r="L186" s="19"/>
      <x:c r="M186" s="26"/>
      <x:c r="N186" s="19"/>
      <x:c r="O186" s="19"/>
    </x:row>
    <x:row r="187">
      <x:c r="A187" s="19"/>
      <x:c r="B187" s="19"/>
      <x:c r="C187" s="19"/>
      <x:c r="D187" s="24"/>
      <x:c r="E187" s="24"/>
      <x:c r="F187" s="25"/>
      <x:c r="G187" s="19"/>
      <x:c r="H187" s="104" t="str">
        <x:f>IF($A187="","",COUNTIF('Leads'!$D$2:$D$500,$A187))</x:f>
      </x:c>
      <x:c r="I187" s="96" t="str">
        <x:f>IF($A187="","",SUMIFS('DashboardData'!$H$2:$H$500,'DashboardData'!$B$2:$B$500,"won_revenue",'DashboardData'!$C$2:$C$500,"campaign",'DashboardData'!$D$2:$D$500,$A187))</x:f>
      </x:c>
      <x:c r="J187" s="19"/>
      <x:c r="K187" s="26"/>
      <x:c r="L187" s="19"/>
      <x:c r="M187" s="26"/>
      <x:c r="N187" s="19"/>
      <x:c r="O187" s="19"/>
    </x:row>
    <x:row r="188">
      <x:c r="A188" s="19"/>
      <x:c r="B188" s="19"/>
      <x:c r="C188" s="19"/>
      <x:c r="D188" s="24"/>
      <x:c r="E188" s="24"/>
      <x:c r="F188" s="25"/>
      <x:c r="G188" s="19"/>
      <x:c r="H188" s="104" t="str">
        <x:f>IF($A188="","",COUNTIF('Leads'!$D$2:$D$500,$A188))</x:f>
      </x:c>
      <x:c r="I188" s="96" t="str">
        <x:f>IF($A188="","",SUMIFS('DashboardData'!$H$2:$H$500,'DashboardData'!$B$2:$B$500,"won_revenue",'DashboardData'!$C$2:$C$500,"campaign",'DashboardData'!$D$2:$D$500,$A188))</x:f>
      </x:c>
      <x:c r="J188" s="19"/>
      <x:c r="K188" s="26"/>
      <x:c r="L188" s="19"/>
      <x:c r="M188" s="26"/>
      <x:c r="N188" s="19"/>
      <x:c r="O188" s="19"/>
    </x:row>
    <x:row r="189">
      <x:c r="A189" s="19"/>
      <x:c r="B189" s="19"/>
      <x:c r="C189" s="19"/>
      <x:c r="D189" s="24"/>
      <x:c r="E189" s="24"/>
      <x:c r="F189" s="25"/>
      <x:c r="G189" s="19"/>
      <x:c r="H189" s="104" t="str">
        <x:f>IF($A189="","",COUNTIF('Leads'!$D$2:$D$500,$A189))</x:f>
      </x:c>
      <x:c r="I189" s="96" t="str">
        <x:f>IF($A189="","",SUMIFS('DashboardData'!$H$2:$H$500,'DashboardData'!$B$2:$B$500,"won_revenue",'DashboardData'!$C$2:$C$500,"campaign",'DashboardData'!$D$2:$D$500,$A189))</x:f>
      </x:c>
      <x:c r="J189" s="19"/>
      <x:c r="K189" s="26"/>
      <x:c r="L189" s="19"/>
      <x:c r="M189" s="26"/>
      <x:c r="N189" s="19"/>
      <x:c r="O189" s="19"/>
    </x:row>
    <x:row r="190">
      <x:c r="A190" s="19"/>
      <x:c r="B190" s="19"/>
      <x:c r="C190" s="19"/>
      <x:c r="D190" s="24"/>
      <x:c r="E190" s="24"/>
      <x:c r="F190" s="25"/>
      <x:c r="G190" s="19"/>
      <x:c r="H190" s="104" t="str">
        <x:f>IF($A190="","",COUNTIF('Leads'!$D$2:$D$500,$A190))</x:f>
      </x:c>
      <x:c r="I190" s="96" t="str">
        <x:f>IF($A190="","",SUMIFS('DashboardData'!$H$2:$H$500,'DashboardData'!$B$2:$B$500,"won_revenue",'DashboardData'!$C$2:$C$500,"campaign",'DashboardData'!$D$2:$D$500,$A190))</x:f>
      </x:c>
      <x:c r="J190" s="19"/>
      <x:c r="K190" s="26"/>
      <x:c r="L190" s="19"/>
      <x:c r="M190" s="26"/>
      <x:c r="N190" s="19"/>
      <x:c r="O190" s="19"/>
    </x:row>
    <x:row r="191">
      <x:c r="A191" s="19"/>
      <x:c r="B191" s="19"/>
      <x:c r="C191" s="19"/>
      <x:c r="D191" s="24"/>
      <x:c r="E191" s="24"/>
      <x:c r="F191" s="25"/>
      <x:c r="G191" s="19"/>
      <x:c r="H191" s="104" t="str">
        <x:f>IF($A191="","",COUNTIF('Leads'!$D$2:$D$500,$A191))</x:f>
      </x:c>
      <x:c r="I191" s="96" t="str">
        <x:f>IF($A191="","",SUMIFS('DashboardData'!$H$2:$H$500,'DashboardData'!$B$2:$B$500,"won_revenue",'DashboardData'!$C$2:$C$500,"campaign",'DashboardData'!$D$2:$D$500,$A191))</x:f>
      </x:c>
      <x:c r="J191" s="19"/>
      <x:c r="K191" s="26"/>
      <x:c r="L191" s="19"/>
      <x:c r="M191" s="26"/>
      <x:c r="N191" s="19"/>
      <x:c r="O191" s="19"/>
    </x:row>
    <x:row r="192">
      <x:c r="A192" s="19"/>
      <x:c r="B192" s="19"/>
      <x:c r="C192" s="19"/>
      <x:c r="D192" s="24"/>
      <x:c r="E192" s="24"/>
      <x:c r="F192" s="25"/>
      <x:c r="G192" s="19"/>
      <x:c r="H192" s="104" t="str">
        <x:f>IF($A192="","",COUNTIF('Leads'!$D$2:$D$500,$A192))</x:f>
      </x:c>
      <x:c r="I192" s="96" t="str">
        <x:f>IF($A192="","",SUMIFS('DashboardData'!$H$2:$H$500,'DashboardData'!$B$2:$B$500,"won_revenue",'DashboardData'!$C$2:$C$500,"campaign",'DashboardData'!$D$2:$D$500,$A192))</x:f>
      </x:c>
      <x:c r="J192" s="19"/>
      <x:c r="K192" s="26"/>
      <x:c r="L192" s="19"/>
      <x:c r="M192" s="26"/>
      <x:c r="N192" s="19"/>
      <x:c r="O192" s="19"/>
    </x:row>
    <x:row r="193">
      <x:c r="A193" s="19"/>
      <x:c r="B193" s="19"/>
      <x:c r="C193" s="19"/>
      <x:c r="D193" s="24"/>
      <x:c r="E193" s="24"/>
      <x:c r="F193" s="25"/>
      <x:c r="G193" s="19"/>
      <x:c r="H193" s="104" t="str">
        <x:f>IF($A193="","",COUNTIF('Leads'!$D$2:$D$500,$A193))</x:f>
      </x:c>
      <x:c r="I193" s="96" t="str">
        <x:f>IF($A193="","",SUMIFS('DashboardData'!$H$2:$H$500,'DashboardData'!$B$2:$B$500,"won_revenue",'DashboardData'!$C$2:$C$500,"campaign",'DashboardData'!$D$2:$D$500,$A193))</x:f>
      </x:c>
      <x:c r="J193" s="19"/>
      <x:c r="K193" s="26"/>
      <x:c r="L193" s="19"/>
      <x:c r="M193" s="26"/>
      <x:c r="N193" s="19"/>
      <x:c r="O193" s="19"/>
    </x:row>
    <x:row r="194">
      <x:c r="A194" s="19"/>
      <x:c r="B194" s="19"/>
      <x:c r="C194" s="19"/>
      <x:c r="D194" s="24"/>
      <x:c r="E194" s="24"/>
      <x:c r="F194" s="25"/>
      <x:c r="G194" s="19"/>
      <x:c r="H194" s="104" t="str">
        <x:f>IF($A194="","",COUNTIF('Leads'!$D$2:$D$500,$A194))</x:f>
      </x:c>
      <x:c r="I194" s="96" t="str">
        <x:f>IF($A194="","",SUMIFS('DashboardData'!$H$2:$H$500,'DashboardData'!$B$2:$B$500,"won_revenue",'DashboardData'!$C$2:$C$500,"campaign",'DashboardData'!$D$2:$D$500,$A194))</x:f>
      </x:c>
      <x:c r="J194" s="19"/>
      <x:c r="K194" s="26"/>
      <x:c r="L194" s="19"/>
      <x:c r="M194" s="26"/>
      <x:c r="N194" s="19"/>
      <x:c r="O194" s="19"/>
    </x:row>
    <x:row r="195">
      <x:c r="A195" s="19"/>
      <x:c r="B195" s="19"/>
      <x:c r="C195" s="19"/>
      <x:c r="D195" s="24"/>
      <x:c r="E195" s="24"/>
      <x:c r="F195" s="25"/>
      <x:c r="G195" s="19"/>
      <x:c r="H195" s="104" t="str">
        <x:f>IF($A195="","",COUNTIF('Leads'!$D$2:$D$500,$A195))</x:f>
      </x:c>
      <x:c r="I195" s="96" t="str">
        <x:f>IF($A195="","",SUMIFS('DashboardData'!$H$2:$H$500,'DashboardData'!$B$2:$B$500,"won_revenue",'DashboardData'!$C$2:$C$500,"campaign",'DashboardData'!$D$2:$D$500,$A195))</x:f>
      </x:c>
      <x:c r="J195" s="19"/>
      <x:c r="K195" s="26"/>
      <x:c r="L195" s="19"/>
      <x:c r="M195" s="26"/>
      <x:c r="N195" s="19"/>
      <x:c r="O195" s="19"/>
    </x:row>
    <x:row r="196">
      <x:c r="A196" s="19"/>
      <x:c r="B196" s="19"/>
      <x:c r="C196" s="19"/>
      <x:c r="D196" s="24"/>
      <x:c r="E196" s="24"/>
      <x:c r="F196" s="25"/>
      <x:c r="G196" s="19"/>
      <x:c r="H196" s="104" t="str">
        <x:f>IF($A196="","",COUNTIF('Leads'!$D$2:$D$500,$A196))</x:f>
      </x:c>
      <x:c r="I196" s="96" t="str">
        <x:f>IF($A196="","",SUMIFS('DashboardData'!$H$2:$H$500,'DashboardData'!$B$2:$B$500,"won_revenue",'DashboardData'!$C$2:$C$500,"campaign",'DashboardData'!$D$2:$D$500,$A196))</x:f>
      </x:c>
      <x:c r="J196" s="19"/>
      <x:c r="K196" s="26"/>
      <x:c r="L196" s="19"/>
      <x:c r="M196" s="26"/>
      <x:c r="N196" s="19"/>
      <x:c r="O196" s="19"/>
    </x:row>
    <x:row r="197">
      <x:c r="A197" s="19"/>
      <x:c r="B197" s="19"/>
      <x:c r="C197" s="19"/>
      <x:c r="D197" s="24"/>
      <x:c r="E197" s="24"/>
      <x:c r="F197" s="25"/>
      <x:c r="G197" s="19"/>
      <x:c r="H197" s="104" t="str">
        <x:f>IF($A197="","",COUNTIF('Leads'!$D$2:$D$500,$A197))</x:f>
      </x:c>
      <x:c r="I197" s="96" t="str">
        <x:f>IF($A197="","",SUMIFS('DashboardData'!$H$2:$H$500,'DashboardData'!$B$2:$B$500,"won_revenue",'DashboardData'!$C$2:$C$500,"campaign",'DashboardData'!$D$2:$D$500,$A197))</x:f>
      </x:c>
      <x:c r="J197" s="19"/>
      <x:c r="K197" s="26"/>
      <x:c r="L197" s="19"/>
      <x:c r="M197" s="26"/>
      <x:c r="N197" s="19"/>
      <x:c r="O197" s="19"/>
    </x:row>
    <x:row r="198">
      <x:c r="A198" s="19"/>
      <x:c r="B198" s="19"/>
      <x:c r="C198" s="19"/>
      <x:c r="D198" s="24"/>
      <x:c r="E198" s="24"/>
      <x:c r="F198" s="25"/>
      <x:c r="G198" s="19"/>
      <x:c r="H198" s="104" t="str">
        <x:f>IF($A198="","",COUNTIF('Leads'!$D$2:$D$500,$A198))</x:f>
      </x:c>
      <x:c r="I198" s="96" t="str">
        <x:f>IF($A198="","",SUMIFS('DashboardData'!$H$2:$H$500,'DashboardData'!$B$2:$B$500,"won_revenue",'DashboardData'!$C$2:$C$500,"campaign",'DashboardData'!$D$2:$D$500,$A198))</x:f>
      </x:c>
      <x:c r="J198" s="19"/>
      <x:c r="K198" s="26"/>
      <x:c r="L198" s="19"/>
      <x:c r="M198" s="26"/>
      <x:c r="N198" s="19"/>
      <x:c r="O198" s="19"/>
    </x:row>
    <x:row r="199">
      <x:c r="A199" s="19"/>
      <x:c r="B199" s="19"/>
      <x:c r="C199" s="19"/>
      <x:c r="D199" s="24"/>
      <x:c r="E199" s="24"/>
      <x:c r="F199" s="25"/>
      <x:c r="G199" s="19"/>
      <x:c r="H199" s="104" t="str">
        <x:f>IF($A199="","",COUNTIF('Leads'!$D$2:$D$500,$A199))</x:f>
      </x:c>
      <x:c r="I199" s="96" t="str">
        <x:f>IF($A199="","",SUMIFS('DashboardData'!$H$2:$H$500,'DashboardData'!$B$2:$B$500,"won_revenue",'DashboardData'!$C$2:$C$500,"campaign",'DashboardData'!$D$2:$D$500,$A199))</x:f>
      </x:c>
      <x:c r="J199" s="19"/>
      <x:c r="K199" s="26"/>
      <x:c r="L199" s="19"/>
      <x:c r="M199" s="26"/>
      <x:c r="N199" s="19"/>
      <x:c r="O199" s="19"/>
    </x:row>
    <x:row r="200">
      <x:c r="A200" s="19"/>
      <x:c r="B200" s="19"/>
      <x:c r="C200" s="19"/>
      <x:c r="D200" s="24"/>
      <x:c r="E200" s="24"/>
      <x:c r="F200" s="25"/>
      <x:c r="G200" s="19"/>
      <x:c r="H200" s="104" t="str">
        <x:f>IF($A200="","",COUNTIF('Leads'!$D$2:$D$500,$A200))</x:f>
      </x:c>
      <x:c r="I200" s="96" t="str">
        <x:f>IF($A200="","",SUMIFS('DashboardData'!$H$2:$H$500,'DashboardData'!$B$2:$B$500,"won_revenue",'DashboardData'!$C$2:$C$500,"campaign",'DashboardData'!$D$2:$D$500,$A200))</x:f>
      </x:c>
      <x:c r="J200" s="19"/>
      <x:c r="K200" s="26"/>
      <x:c r="L200" s="19"/>
      <x:c r="M200" s="26"/>
      <x:c r="N200" s="19"/>
      <x:c r="O200" s="19"/>
    </x:row>
    <x:row r="201">
      <x:c r="A201" s="19"/>
      <x:c r="B201" s="19"/>
      <x:c r="C201" s="19"/>
      <x:c r="D201" s="24"/>
      <x:c r="E201" s="24"/>
      <x:c r="F201" s="25"/>
      <x:c r="G201" s="19"/>
      <x:c r="H201" s="104" t="str">
        <x:f>IF($A201="","",COUNTIF('Leads'!$D$2:$D$500,$A201))</x:f>
      </x:c>
      <x:c r="I201" s="96" t="str">
        <x:f>IF($A201="","",SUMIFS('DashboardData'!$H$2:$H$500,'DashboardData'!$B$2:$B$500,"won_revenue",'DashboardData'!$C$2:$C$500,"campaign",'DashboardData'!$D$2:$D$500,$A201))</x:f>
      </x:c>
      <x:c r="J201" s="19"/>
      <x:c r="K201" s="26"/>
      <x:c r="L201" s="19"/>
      <x:c r="M201" s="26"/>
      <x:c r="N201" s="19"/>
      <x:c r="O201" s="19"/>
    </x:row>
    <x:row r="202">
      <x:c r="A202" s="19"/>
      <x:c r="B202" s="19"/>
      <x:c r="C202" s="19"/>
      <x:c r="D202" s="24"/>
      <x:c r="E202" s="24"/>
      <x:c r="F202" s="25"/>
      <x:c r="G202" s="19"/>
      <x:c r="H202" s="104" t="str">
        <x:f>IF($A202="","",COUNTIF('Leads'!$D$2:$D$500,$A202))</x:f>
      </x:c>
      <x:c r="I202" s="96" t="str">
        <x:f>IF($A202="","",SUMIFS('DashboardData'!$H$2:$H$500,'DashboardData'!$B$2:$B$500,"won_revenue",'DashboardData'!$C$2:$C$500,"campaign",'DashboardData'!$D$2:$D$500,$A202))</x:f>
      </x:c>
      <x:c r="J202" s="19"/>
      <x:c r="K202" s="26"/>
      <x:c r="L202" s="19"/>
      <x:c r="M202" s="26"/>
      <x:c r="N202" s="19"/>
      <x:c r="O202" s="19"/>
    </x:row>
    <x:row r="203">
      <x:c r="A203" s="19"/>
      <x:c r="B203" s="19"/>
      <x:c r="C203" s="19"/>
      <x:c r="D203" s="24"/>
      <x:c r="E203" s="24"/>
      <x:c r="F203" s="25"/>
      <x:c r="G203" s="19"/>
      <x:c r="H203" s="104" t="str">
        <x:f>IF($A203="","",COUNTIF('Leads'!$D$2:$D$500,$A203))</x:f>
      </x:c>
      <x:c r="I203" s="96" t="str">
        <x:f>IF($A203="","",SUMIFS('DashboardData'!$H$2:$H$500,'DashboardData'!$B$2:$B$500,"won_revenue",'DashboardData'!$C$2:$C$500,"campaign",'DashboardData'!$D$2:$D$500,$A203))</x:f>
      </x:c>
      <x:c r="J203" s="19"/>
      <x:c r="K203" s="26"/>
      <x:c r="L203" s="19"/>
      <x:c r="M203" s="26"/>
      <x:c r="N203" s="19"/>
      <x:c r="O203" s="19"/>
    </x:row>
    <x:row r="204">
      <x:c r="A204" s="19"/>
      <x:c r="B204" s="19"/>
      <x:c r="C204" s="19"/>
      <x:c r="D204" s="24"/>
      <x:c r="E204" s="24"/>
      <x:c r="F204" s="25"/>
      <x:c r="G204" s="19"/>
      <x:c r="H204" s="104" t="str">
        <x:f>IF($A204="","",COUNTIF('Leads'!$D$2:$D$500,$A204))</x:f>
      </x:c>
      <x:c r="I204" s="96" t="str">
        <x:f>IF($A204="","",SUMIFS('DashboardData'!$H$2:$H$500,'DashboardData'!$B$2:$B$500,"won_revenue",'DashboardData'!$C$2:$C$500,"campaign",'DashboardData'!$D$2:$D$500,$A204))</x:f>
      </x:c>
      <x:c r="J204" s="19"/>
      <x:c r="K204" s="26"/>
      <x:c r="L204" s="19"/>
      <x:c r="M204" s="26"/>
      <x:c r="N204" s="19"/>
      <x:c r="O204" s="19"/>
    </x:row>
    <x:row r="205">
      <x:c r="A205" s="19"/>
      <x:c r="B205" s="19"/>
      <x:c r="C205" s="19"/>
      <x:c r="D205" s="24"/>
      <x:c r="E205" s="24"/>
      <x:c r="F205" s="25"/>
      <x:c r="G205" s="19"/>
      <x:c r="H205" s="104" t="str">
        <x:f>IF($A205="","",COUNTIF('Leads'!$D$2:$D$500,$A205))</x:f>
      </x:c>
      <x:c r="I205" s="96" t="str">
        <x:f>IF($A205="","",SUMIFS('DashboardData'!$H$2:$H$500,'DashboardData'!$B$2:$B$500,"won_revenue",'DashboardData'!$C$2:$C$500,"campaign",'DashboardData'!$D$2:$D$500,$A205))</x:f>
      </x:c>
      <x:c r="J205" s="19"/>
      <x:c r="K205" s="26"/>
      <x:c r="L205" s="19"/>
      <x:c r="M205" s="26"/>
      <x:c r="N205" s="19"/>
      <x:c r="O205" s="19"/>
    </x:row>
    <x:row r="206">
      <x:c r="A206" s="19"/>
      <x:c r="B206" s="19"/>
      <x:c r="C206" s="19"/>
      <x:c r="D206" s="24"/>
      <x:c r="E206" s="24"/>
      <x:c r="F206" s="25"/>
      <x:c r="G206" s="19"/>
      <x:c r="H206" s="104" t="str">
        <x:f>IF($A206="","",COUNTIF('Leads'!$D$2:$D$500,$A206))</x:f>
      </x:c>
      <x:c r="I206" s="96" t="str">
        <x:f>IF($A206="","",SUMIFS('DashboardData'!$H$2:$H$500,'DashboardData'!$B$2:$B$500,"won_revenue",'DashboardData'!$C$2:$C$500,"campaign",'DashboardData'!$D$2:$D$500,$A206))</x:f>
      </x:c>
      <x:c r="J206" s="19"/>
      <x:c r="K206" s="26"/>
      <x:c r="L206" s="19"/>
      <x:c r="M206" s="26"/>
      <x:c r="N206" s="19"/>
      <x:c r="O206" s="19"/>
    </x:row>
    <x:row r="207">
      <x:c r="A207" s="19"/>
      <x:c r="B207" s="19"/>
      <x:c r="C207" s="19"/>
      <x:c r="D207" s="24"/>
      <x:c r="E207" s="24"/>
      <x:c r="F207" s="25"/>
      <x:c r="G207" s="19"/>
      <x:c r="H207" s="104" t="str">
        <x:f>IF($A207="","",COUNTIF('Leads'!$D$2:$D$500,$A207))</x:f>
      </x:c>
      <x:c r="I207" s="96" t="str">
        <x:f>IF($A207="","",SUMIFS('DashboardData'!$H$2:$H$500,'DashboardData'!$B$2:$B$500,"won_revenue",'DashboardData'!$C$2:$C$500,"campaign",'DashboardData'!$D$2:$D$500,$A207))</x:f>
      </x:c>
      <x:c r="J207" s="19"/>
      <x:c r="K207" s="26"/>
      <x:c r="L207" s="19"/>
      <x:c r="M207" s="26"/>
      <x:c r="N207" s="19"/>
      <x:c r="O207" s="19"/>
    </x:row>
    <x:row r="208">
      <x:c r="A208" s="19"/>
      <x:c r="B208" s="19"/>
      <x:c r="C208" s="19"/>
      <x:c r="D208" s="24"/>
      <x:c r="E208" s="24"/>
      <x:c r="F208" s="25"/>
      <x:c r="G208" s="19"/>
      <x:c r="H208" s="104" t="str">
        <x:f>IF($A208="","",COUNTIF('Leads'!$D$2:$D$500,$A208))</x:f>
      </x:c>
      <x:c r="I208" s="96" t="str">
        <x:f>IF($A208="","",SUMIFS('DashboardData'!$H$2:$H$500,'DashboardData'!$B$2:$B$500,"won_revenue",'DashboardData'!$C$2:$C$500,"campaign",'DashboardData'!$D$2:$D$500,$A208))</x:f>
      </x:c>
      <x:c r="J208" s="19"/>
      <x:c r="K208" s="26"/>
      <x:c r="L208" s="19"/>
      <x:c r="M208" s="26"/>
      <x:c r="N208" s="19"/>
      <x:c r="O208" s="19"/>
    </x:row>
    <x:row r="209">
      <x:c r="A209" s="19"/>
      <x:c r="B209" s="19"/>
      <x:c r="C209" s="19"/>
      <x:c r="D209" s="24"/>
      <x:c r="E209" s="24"/>
      <x:c r="F209" s="25"/>
      <x:c r="G209" s="19"/>
      <x:c r="H209" s="104" t="str">
        <x:f>IF($A209="","",COUNTIF('Leads'!$D$2:$D$500,$A209))</x:f>
      </x:c>
      <x:c r="I209" s="96" t="str">
        <x:f>IF($A209="","",SUMIFS('DashboardData'!$H$2:$H$500,'DashboardData'!$B$2:$B$500,"won_revenue",'DashboardData'!$C$2:$C$500,"campaign",'DashboardData'!$D$2:$D$500,$A209))</x:f>
      </x:c>
      <x:c r="J209" s="19"/>
      <x:c r="K209" s="26"/>
      <x:c r="L209" s="19"/>
      <x:c r="M209" s="26"/>
      <x:c r="N209" s="19"/>
      <x:c r="O209" s="19"/>
    </x:row>
    <x:row r="210">
      <x:c r="A210" s="19"/>
      <x:c r="B210" s="19"/>
      <x:c r="C210" s="19"/>
      <x:c r="D210" s="24"/>
      <x:c r="E210" s="24"/>
      <x:c r="F210" s="25"/>
      <x:c r="G210" s="19"/>
      <x:c r="H210" s="104" t="str">
        <x:f>IF($A210="","",COUNTIF('Leads'!$D$2:$D$500,$A210))</x:f>
      </x:c>
      <x:c r="I210" s="96" t="str">
        <x:f>IF($A210="","",SUMIFS('DashboardData'!$H$2:$H$500,'DashboardData'!$B$2:$B$500,"won_revenue",'DashboardData'!$C$2:$C$500,"campaign",'DashboardData'!$D$2:$D$500,$A210))</x:f>
      </x:c>
      <x:c r="J210" s="19"/>
      <x:c r="K210" s="26"/>
      <x:c r="L210" s="19"/>
      <x:c r="M210" s="26"/>
      <x:c r="N210" s="19"/>
      <x:c r="O210" s="19"/>
    </x:row>
    <x:row r="211">
      <x:c r="A211" s="19"/>
      <x:c r="B211" s="19"/>
      <x:c r="C211" s="19"/>
      <x:c r="D211" s="24"/>
      <x:c r="E211" s="24"/>
      <x:c r="F211" s="25"/>
      <x:c r="G211" s="19"/>
      <x:c r="H211" s="104" t="str">
        <x:f>IF($A211="","",COUNTIF('Leads'!$D$2:$D$500,$A211))</x:f>
      </x:c>
      <x:c r="I211" s="96" t="str">
        <x:f>IF($A211="","",SUMIFS('DashboardData'!$H$2:$H$500,'DashboardData'!$B$2:$B$500,"won_revenue",'DashboardData'!$C$2:$C$500,"campaign",'DashboardData'!$D$2:$D$500,$A211))</x:f>
      </x:c>
      <x:c r="J211" s="19"/>
      <x:c r="K211" s="26"/>
      <x:c r="L211" s="19"/>
      <x:c r="M211" s="26"/>
      <x:c r="N211" s="19"/>
      <x:c r="O211" s="19"/>
    </x:row>
    <x:row r="212">
      <x:c r="A212" s="19"/>
      <x:c r="B212" s="19"/>
      <x:c r="C212" s="19"/>
      <x:c r="D212" s="24"/>
      <x:c r="E212" s="24"/>
      <x:c r="F212" s="25"/>
      <x:c r="G212" s="19"/>
      <x:c r="H212" s="104" t="str">
        <x:f>IF($A212="","",COUNTIF('Leads'!$D$2:$D$500,$A212))</x:f>
      </x:c>
      <x:c r="I212" s="96" t="str">
        <x:f>IF($A212="","",SUMIFS('DashboardData'!$H$2:$H$500,'DashboardData'!$B$2:$B$500,"won_revenue",'DashboardData'!$C$2:$C$500,"campaign",'DashboardData'!$D$2:$D$500,$A212))</x:f>
      </x:c>
      <x:c r="J212" s="19"/>
      <x:c r="K212" s="26"/>
      <x:c r="L212" s="19"/>
      <x:c r="M212" s="26"/>
      <x:c r="N212" s="19"/>
      <x:c r="O212" s="19"/>
    </x:row>
    <x:row r="213">
      <x:c r="A213" s="19"/>
      <x:c r="B213" s="19"/>
      <x:c r="C213" s="19"/>
      <x:c r="D213" s="24"/>
      <x:c r="E213" s="24"/>
      <x:c r="F213" s="25"/>
      <x:c r="G213" s="19"/>
      <x:c r="H213" s="104" t="str">
        <x:f>IF($A213="","",COUNTIF('Leads'!$D$2:$D$500,$A213))</x:f>
      </x:c>
      <x:c r="I213" s="96" t="str">
        <x:f>IF($A213="","",SUMIFS('DashboardData'!$H$2:$H$500,'DashboardData'!$B$2:$B$500,"won_revenue",'DashboardData'!$C$2:$C$500,"campaign",'DashboardData'!$D$2:$D$500,$A213))</x:f>
      </x:c>
      <x:c r="J213" s="19"/>
      <x:c r="K213" s="26"/>
      <x:c r="L213" s="19"/>
      <x:c r="M213" s="26"/>
      <x:c r="N213" s="19"/>
      <x:c r="O213" s="19"/>
    </x:row>
    <x:row r="214">
      <x:c r="A214" s="19"/>
      <x:c r="B214" s="19"/>
      <x:c r="C214" s="19"/>
      <x:c r="D214" s="24"/>
      <x:c r="E214" s="24"/>
      <x:c r="F214" s="25"/>
      <x:c r="G214" s="19"/>
      <x:c r="H214" s="104" t="str">
        <x:f>IF($A214="","",COUNTIF('Leads'!$D$2:$D$500,$A214))</x:f>
      </x:c>
      <x:c r="I214" s="96" t="str">
        <x:f>IF($A214="","",SUMIFS('DashboardData'!$H$2:$H$500,'DashboardData'!$B$2:$B$500,"won_revenue",'DashboardData'!$C$2:$C$500,"campaign",'DashboardData'!$D$2:$D$500,$A214))</x:f>
      </x:c>
      <x:c r="J214" s="19"/>
      <x:c r="K214" s="26"/>
      <x:c r="L214" s="19"/>
      <x:c r="M214" s="26"/>
      <x:c r="N214" s="19"/>
      <x:c r="O214" s="19"/>
    </x:row>
    <x:row r="215">
      <x:c r="A215" s="19"/>
      <x:c r="B215" s="19"/>
      <x:c r="C215" s="19"/>
      <x:c r="D215" s="24"/>
      <x:c r="E215" s="24"/>
      <x:c r="F215" s="25"/>
      <x:c r="G215" s="19"/>
      <x:c r="H215" s="104" t="str">
        <x:f>IF($A215="","",COUNTIF('Leads'!$D$2:$D$500,$A215))</x:f>
      </x:c>
      <x:c r="I215" s="96" t="str">
        <x:f>IF($A215="","",SUMIFS('DashboardData'!$H$2:$H$500,'DashboardData'!$B$2:$B$500,"won_revenue",'DashboardData'!$C$2:$C$500,"campaign",'DashboardData'!$D$2:$D$500,$A215))</x:f>
      </x:c>
      <x:c r="J215" s="19"/>
      <x:c r="K215" s="26"/>
      <x:c r="L215" s="19"/>
      <x:c r="M215" s="26"/>
      <x:c r="N215" s="19"/>
      <x:c r="O215" s="19"/>
    </x:row>
    <x:row r="216">
      <x:c r="A216" s="19"/>
      <x:c r="B216" s="19"/>
      <x:c r="C216" s="19"/>
      <x:c r="D216" s="24"/>
      <x:c r="E216" s="24"/>
      <x:c r="F216" s="25"/>
      <x:c r="G216" s="19"/>
      <x:c r="H216" s="104" t="str">
        <x:f>IF($A216="","",COUNTIF('Leads'!$D$2:$D$500,$A216))</x:f>
      </x:c>
      <x:c r="I216" s="96" t="str">
        <x:f>IF($A216="","",SUMIFS('DashboardData'!$H$2:$H$500,'DashboardData'!$B$2:$B$500,"won_revenue",'DashboardData'!$C$2:$C$500,"campaign",'DashboardData'!$D$2:$D$500,$A216))</x:f>
      </x:c>
      <x:c r="J216" s="19"/>
      <x:c r="K216" s="26"/>
      <x:c r="L216" s="19"/>
      <x:c r="M216" s="26"/>
      <x:c r="N216" s="19"/>
      <x:c r="O216" s="19"/>
    </x:row>
    <x:row r="217">
      <x:c r="A217" s="19"/>
      <x:c r="B217" s="19"/>
      <x:c r="C217" s="19"/>
      <x:c r="D217" s="24"/>
      <x:c r="E217" s="24"/>
      <x:c r="F217" s="25"/>
      <x:c r="G217" s="19"/>
      <x:c r="H217" s="104" t="str">
        <x:f>IF($A217="","",COUNTIF('Leads'!$D$2:$D$500,$A217))</x:f>
      </x:c>
      <x:c r="I217" s="96" t="str">
        <x:f>IF($A217="","",SUMIFS('DashboardData'!$H$2:$H$500,'DashboardData'!$B$2:$B$500,"won_revenue",'DashboardData'!$C$2:$C$500,"campaign",'DashboardData'!$D$2:$D$500,$A217))</x:f>
      </x:c>
      <x:c r="J217" s="19"/>
      <x:c r="K217" s="26"/>
      <x:c r="L217" s="19"/>
      <x:c r="M217" s="26"/>
      <x:c r="N217" s="19"/>
      <x:c r="O217" s="19"/>
    </x:row>
    <x:row r="218">
      <x:c r="A218" s="19"/>
      <x:c r="B218" s="19"/>
      <x:c r="C218" s="19"/>
      <x:c r="D218" s="24"/>
      <x:c r="E218" s="24"/>
      <x:c r="F218" s="25"/>
      <x:c r="G218" s="19"/>
      <x:c r="H218" s="104" t="str">
        <x:f>IF($A218="","",COUNTIF('Leads'!$D$2:$D$500,$A218))</x:f>
      </x:c>
      <x:c r="I218" s="96" t="str">
        <x:f>IF($A218="","",SUMIFS('DashboardData'!$H$2:$H$500,'DashboardData'!$B$2:$B$500,"won_revenue",'DashboardData'!$C$2:$C$500,"campaign",'DashboardData'!$D$2:$D$500,$A218))</x:f>
      </x:c>
      <x:c r="J218" s="19"/>
      <x:c r="K218" s="26"/>
      <x:c r="L218" s="19"/>
      <x:c r="M218" s="26"/>
      <x:c r="N218" s="19"/>
      <x:c r="O218" s="19"/>
    </x:row>
    <x:row r="219">
      <x:c r="A219" s="19"/>
      <x:c r="B219" s="19"/>
      <x:c r="C219" s="19"/>
      <x:c r="D219" s="24"/>
      <x:c r="E219" s="24"/>
      <x:c r="F219" s="25"/>
      <x:c r="G219" s="19"/>
      <x:c r="H219" s="104" t="str">
        <x:f>IF($A219="","",COUNTIF('Leads'!$D$2:$D$500,$A219))</x:f>
      </x:c>
      <x:c r="I219" s="96" t="str">
        <x:f>IF($A219="","",SUMIFS('DashboardData'!$H$2:$H$500,'DashboardData'!$B$2:$B$500,"won_revenue",'DashboardData'!$C$2:$C$500,"campaign",'DashboardData'!$D$2:$D$500,$A219))</x:f>
      </x:c>
      <x:c r="J219" s="19"/>
      <x:c r="K219" s="26"/>
      <x:c r="L219" s="19"/>
      <x:c r="M219" s="26"/>
      <x:c r="N219" s="19"/>
      <x:c r="O219" s="19"/>
    </x:row>
    <x:row r="220">
      <x:c r="A220" s="19"/>
      <x:c r="B220" s="19"/>
      <x:c r="C220" s="19"/>
      <x:c r="D220" s="24"/>
      <x:c r="E220" s="24"/>
      <x:c r="F220" s="25"/>
      <x:c r="G220" s="19"/>
      <x:c r="H220" s="104" t="str">
        <x:f>IF($A220="","",COUNTIF('Leads'!$D$2:$D$500,$A220))</x:f>
      </x:c>
      <x:c r="I220" s="96" t="str">
        <x:f>IF($A220="","",SUMIFS('DashboardData'!$H$2:$H$500,'DashboardData'!$B$2:$B$500,"won_revenue",'DashboardData'!$C$2:$C$500,"campaign",'DashboardData'!$D$2:$D$500,$A220))</x:f>
      </x:c>
      <x:c r="J220" s="19"/>
      <x:c r="K220" s="26"/>
      <x:c r="L220" s="19"/>
      <x:c r="M220" s="26"/>
      <x:c r="N220" s="19"/>
      <x:c r="O220" s="19"/>
    </x:row>
    <x:row r="221">
      <x:c r="A221" s="19"/>
      <x:c r="B221" s="19"/>
      <x:c r="C221" s="19"/>
      <x:c r="D221" s="24"/>
      <x:c r="E221" s="24"/>
      <x:c r="F221" s="25"/>
      <x:c r="G221" s="19"/>
      <x:c r="H221" s="104" t="str">
        <x:f>IF($A221="","",COUNTIF('Leads'!$D$2:$D$500,$A221))</x:f>
      </x:c>
      <x:c r="I221" s="96" t="str">
        <x:f>IF($A221="","",SUMIFS('DashboardData'!$H$2:$H$500,'DashboardData'!$B$2:$B$500,"won_revenue",'DashboardData'!$C$2:$C$500,"campaign",'DashboardData'!$D$2:$D$500,$A221))</x:f>
      </x:c>
      <x:c r="J221" s="19"/>
      <x:c r="K221" s="26"/>
      <x:c r="L221" s="19"/>
      <x:c r="M221" s="26"/>
      <x:c r="N221" s="19"/>
      <x:c r="O221" s="19"/>
    </x:row>
    <x:row r="222">
      <x:c r="A222" s="19"/>
      <x:c r="B222" s="19"/>
      <x:c r="C222" s="19"/>
      <x:c r="D222" s="24"/>
      <x:c r="E222" s="24"/>
      <x:c r="F222" s="25"/>
      <x:c r="G222" s="19"/>
      <x:c r="H222" s="104" t="str">
        <x:f>IF($A222="","",COUNTIF('Leads'!$D$2:$D$500,$A222))</x:f>
      </x:c>
      <x:c r="I222" s="96" t="str">
        <x:f>IF($A222="","",SUMIFS('DashboardData'!$H$2:$H$500,'DashboardData'!$B$2:$B$500,"won_revenue",'DashboardData'!$C$2:$C$500,"campaign",'DashboardData'!$D$2:$D$500,$A222))</x:f>
      </x:c>
      <x:c r="J222" s="19"/>
      <x:c r="K222" s="26"/>
      <x:c r="L222" s="19"/>
      <x:c r="M222" s="26"/>
      <x:c r="N222" s="19"/>
      <x:c r="O222" s="19"/>
    </x:row>
    <x:row r="223">
      <x:c r="A223" s="19"/>
      <x:c r="B223" s="19"/>
      <x:c r="C223" s="19"/>
      <x:c r="D223" s="24"/>
      <x:c r="E223" s="24"/>
      <x:c r="F223" s="25"/>
      <x:c r="G223" s="19"/>
      <x:c r="H223" s="104" t="str">
        <x:f>IF($A223="","",COUNTIF('Leads'!$D$2:$D$500,$A223))</x:f>
      </x:c>
      <x:c r="I223" s="96" t="str">
        <x:f>IF($A223="","",SUMIFS('DashboardData'!$H$2:$H$500,'DashboardData'!$B$2:$B$500,"won_revenue",'DashboardData'!$C$2:$C$500,"campaign",'DashboardData'!$D$2:$D$500,$A223))</x:f>
      </x:c>
      <x:c r="J223" s="19"/>
      <x:c r="K223" s="26"/>
      <x:c r="L223" s="19"/>
      <x:c r="M223" s="26"/>
      <x:c r="N223" s="19"/>
      <x:c r="O223" s="19"/>
    </x:row>
    <x:row r="224">
      <x:c r="A224" s="19"/>
      <x:c r="B224" s="19"/>
      <x:c r="C224" s="19"/>
      <x:c r="D224" s="24"/>
      <x:c r="E224" s="24"/>
      <x:c r="F224" s="25"/>
      <x:c r="G224" s="19"/>
      <x:c r="H224" s="104" t="str">
        <x:f>IF($A224="","",COUNTIF('Leads'!$D$2:$D$500,$A224))</x:f>
      </x:c>
      <x:c r="I224" s="96" t="str">
        <x:f>IF($A224="","",SUMIFS('DashboardData'!$H$2:$H$500,'DashboardData'!$B$2:$B$500,"won_revenue",'DashboardData'!$C$2:$C$500,"campaign",'DashboardData'!$D$2:$D$500,$A224))</x:f>
      </x:c>
      <x:c r="J224" s="19"/>
      <x:c r="K224" s="26"/>
      <x:c r="L224" s="19"/>
      <x:c r="M224" s="26"/>
      <x:c r="N224" s="19"/>
      <x:c r="O224" s="19"/>
    </x:row>
    <x:row r="225">
      <x:c r="A225" s="19"/>
      <x:c r="B225" s="19"/>
      <x:c r="C225" s="19"/>
      <x:c r="D225" s="24"/>
      <x:c r="E225" s="24"/>
      <x:c r="F225" s="25"/>
      <x:c r="G225" s="19"/>
      <x:c r="H225" s="104" t="str">
        <x:f>IF($A225="","",COUNTIF('Leads'!$D$2:$D$500,$A225))</x:f>
      </x:c>
      <x:c r="I225" s="96" t="str">
        <x:f>IF($A225="","",SUMIFS('DashboardData'!$H$2:$H$500,'DashboardData'!$B$2:$B$500,"won_revenue",'DashboardData'!$C$2:$C$500,"campaign",'DashboardData'!$D$2:$D$500,$A225))</x:f>
      </x:c>
      <x:c r="J225" s="19"/>
      <x:c r="K225" s="26"/>
      <x:c r="L225" s="19"/>
      <x:c r="M225" s="26"/>
      <x:c r="N225" s="19"/>
      <x:c r="O225" s="19"/>
    </x:row>
    <x:row r="226">
      <x:c r="A226" s="19"/>
      <x:c r="B226" s="19"/>
      <x:c r="C226" s="19"/>
      <x:c r="D226" s="24"/>
      <x:c r="E226" s="24"/>
      <x:c r="F226" s="25"/>
      <x:c r="G226" s="19"/>
      <x:c r="H226" s="104" t="str">
        <x:f>IF($A226="","",COUNTIF('Leads'!$D$2:$D$500,$A226))</x:f>
      </x:c>
      <x:c r="I226" s="96" t="str">
        <x:f>IF($A226="","",SUMIFS('DashboardData'!$H$2:$H$500,'DashboardData'!$B$2:$B$500,"won_revenue",'DashboardData'!$C$2:$C$500,"campaign",'DashboardData'!$D$2:$D$500,$A226))</x:f>
      </x:c>
      <x:c r="J226" s="19"/>
      <x:c r="K226" s="26"/>
      <x:c r="L226" s="19"/>
      <x:c r="M226" s="26"/>
      <x:c r="N226" s="19"/>
      <x:c r="O226" s="19"/>
    </x:row>
    <x:row r="227">
      <x:c r="A227" s="19"/>
      <x:c r="B227" s="19"/>
      <x:c r="C227" s="19"/>
      <x:c r="D227" s="24"/>
      <x:c r="E227" s="24"/>
      <x:c r="F227" s="25"/>
      <x:c r="G227" s="19"/>
      <x:c r="H227" s="104" t="str">
        <x:f>IF($A227="","",COUNTIF('Leads'!$D$2:$D$500,$A227))</x:f>
      </x:c>
      <x:c r="I227" s="96" t="str">
        <x:f>IF($A227="","",SUMIFS('DashboardData'!$H$2:$H$500,'DashboardData'!$B$2:$B$500,"won_revenue",'DashboardData'!$C$2:$C$500,"campaign",'DashboardData'!$D$2:$D$500,$A227))</x:f>
      </x:c>
      <x:c r="J227" s="19"/>
      <x:c r="K227" s="26"/>
      <x:c r="L227" s="19"/>
      <x:c r="M227" s="26"/>
      <x:c r="N227" s="19"/>
      <x:c r="O227" s="19"/>
    </x:row>
    <x:row r="228">
      <x:c r="A228" s="19"/>
      <x:c r="B228" s="19"/>
      <x:c r="C228" s="19"/>
      <x:c r="D228" s="24"/>
      <x:c r="E228" s="24"/>
      <x:c r="F228" s="25"/>
      <x:c r="G228" s="19"/>
      <x:c r="H228" s="104" t="str">
        <x:f>IF($A228="","",COUNTIF('Leads'!$D$2:$D$500,$A228))</x:f>
      </x:c>
      <x:c r="I228" s="96" t="str">
        <x:f>IF($A228="","",SUMIFS('DashboardData'!$H$2:$H$500,'DashboardData'!$B$2:$B$500,"won_revenue",'DashboardData'!$C$2:$C$500,"campaign",'DashboardData'!$D$2:$D$500,$A228))</x:f>
      </x:c>
      <x:c r="J228" s="19"/>
      <x:c r="K228" s="26"/>
      <x:c r="L228" s="19"/>
      <x:c r="M228" s="26"/>
      <x:c r="N228" s="19"/>
      <x:c r="O228" s="19"/>
    </x:row>
    <x:row r="229">
      <x:c r="A229" s="19"/>
      <x:c r="B229" s="19"/>
      <x:c r="C229" s="19"/>
      <x:c r="D229" s="24"/>
      <x:c r="E229" s="24"/>
      <x:c r="F229" s="25"/>
      <x:c r="G229" s="19"/>
      <x:c r="H229" s="104" t="str">
        <x:f>IF($A229="","",COUNTIF('Leads'!$D$2:$D$500,$A229))</x:f>
      </x:c>
      <x:c r="I229" s="96" t="str">
        <x:f>IF($A229="","",SUMIFS('DashboardData'!$H$2:$H$500,'DashboardData'!$B$2:$B$500,"won_revenue",'DashboardData'!$C$2:$C$500,"campaign",'DashboardData'!$D$2:$D$500,$A229))</x:f>
      </x:c>
      <x:c r="J229" s="19"/>
      <x:c r="K229" s="26"/>
      <x:c r="L229" s="19"/>
      <x:c r="M229" s="26"/>
      <x:c r="N229" s="19"/>
      <x:c r="O229" s="19"/>
    </x:row>
    <x:row r="230">
      <x:c r="A230" s="19"/>
      <x:c r="B230" s="19"/>
      <x:c r="C230" s="19"/>
      <x:c r="D230" s="24"/>
      <x:c r="E230" s="24"/>
      <x:c r="F230" s="25"/>
      <x:c r="G230" s="19"/>
      <x:c r="H230" s="104" t="str">
        <x:f>IF($A230="","",COUNTIF('Leads'!$D$2:$D$500,$A230))</x:f>
      </x:c>
      <x:c r="I230" s="96" t="str">
        <x:f>IF($A230="","",SUMIFS('DashboardData'!$H$2:$H$500,'DashboardData'!$B$2:$B$500,"won_revenue",'DashboardData'!$C$2:$C$500,"campaign",'DashboardData'!$D$2:$D$500,$A230))</x:f>
      </x:c>
      <x:c r="J230" s="19"/>
      <x:c r="K230" s="26"/>
      <x:c r="L230" s="19"/>
      <x:c r="M230" s="26"/>
      <x:c r="N230" s="19"/>
      <x:c r="O230" s="19"/>
    </x:row>
    <x:row r="231">
      <x:c r="A231" s="19"/>
      <x:c r="B231" s="19"/>
      <x:c r="C231" s="19"/>
      <x:c r="D231" s="24"/>
      <x:c r="E231" s="24"/>
      <x:c r="F231" s="25"/>
      <x:c r="G231" s="19"/>
      <x:c r="H231" s="104" t="str">
        <x:f>IF($A231="","",COUNTIF('Leads'!$D$2:$D$500,$A231))</x:f>
      </x:c>
      <x:c r="I231" s="96" t="str">
        <x:f>IF($A231="","",SUMIFS('DashboardData'!$H$2:$H$500,'DashboardData'!$B$2:$B$500,"won_revenue",'DashboardData'!$C$2:$C$500,"campaign",'DashboardData'!$D$2:$D$500,$A231))</x:f>
      </x:c>
      <x:c r="J231" s="19"/>
      <x:c r="K231" s="26"/>
      <x:c r="L231" s="19"/>
      <x:c r="M231" s="26"/>
      <x:c r="N231" s="19"/>
      <x:c r="O231" s="19"/>
    </x:row>
    <x:row r="232">
      <x:c r="A232" s="19"/>
      <x:c r="B232" s="19"/>
      <x:c r="C232" s="19"/>
      <x:c r="D232" s="24"/>
      <x:c r="E232" s="24"/>
      <x:c r="F232" s="25"/>
      <x:c r="G232" s="19"/>
      <x:c r="H232" s="104" t="str">
        <x:f>IF($A232="","",COUNTIF('Leads'!$D$2:$D$500,$A232))</x:f>
      </x:c>
      <x:c r="I232" s="96" t="str">
        <x:f>IF($A232="","",SUMIFS('DashboardData'!$H$2:$H$500,'DashboardData'!$B$2:$B$500,"won_revenue",'DashboardData'!$C$2:$C$500,"campaign",'DashboardData'!$D$2:$D$500,$A232))</x:f>
      </x:c>
      <x:c r="J232" s="19"/>
      <x:c r="K232" s="26"/>
      <x:c r="L232" s="19"/>
      <x:c r="M232" s="26"/>
      <x:c r="N232" s="19"/>
      <x:c r="O232" s="19"/>
    </x:row>
    <x:row r="233">
      <x:c r="A233" s="19"/>
      <x:c r="B233" s="19"/>
      <x:c r="C233" s="19"/>
      <x:c r="D233" s="24"/>
      <x:c r="E233" s="24"/>
      <x:c r="F233" s="25"/>
      <x:c r="G233" s="19"/>
      <x:c r="H233" s="104" t="str">
        <x:f>IF($A233="","",COUNTIF('Leads'!$D$2:$D$500,$A233))</x:f>
      </x:c>
      <x:c r="I233" s="96" t="str">
        <x:f>IF($A233="","",SUMIFS('DashboardData'!$H$2:$H$500,'DashboardData'!$B$2:$B$500,"won_revenue",'DashboardData'!$C$2:$C$500,"campaign",'DashboardData'!$D$2:$D$500,$A233))</x:f>
      </x:c>
      <x:c r="J233" s="19"/>
      <x:c r="K233" s="26"/>
      <x:c r="L233" s="19"/>
      <x:c r="M233" s="26"/>
      <x:c r="N233" s="19"/>
      <x:c r="O233" s="19"/>
    </x:row>
    <x:row r="234">
      <x:c r="A234" s="19"/>
      <x:c r="B234" s="19"/>
      <x:c r="C234" s="19"/>
      <x:c r="D234" s="24"/>
      <x:c r="E234" s="24"/>
      <x:c r="F234" s="25"/>
      <x:c r="G234" s="19"/>
      <x:c r="H234" s="104" t="str">
        <x:f>IF($A234="","",COUNTIF('Leads'!$D$2:$D$500,$A234))</x:f>
      </x:c>
      <x:c r="I234" s="96" t="str">
        <x:f>IF($A234="","",SUMIFS('DashboardData'!$H$2:$H$500,'DashboardData'!$B$2:$B$500,"won_revenue",'DashboardData'!$C$2:$C$500,"campaign",'DashboardData'!$D$2:$D$500,$A234))</x:f>
      </x:c>
      <x:c r="J234" s="19"/>
      <x:c r="K234" s="26"/>
      <x:c r="L234" s="19"/>
      <x:c r="M234" s="26"/>
      <x:c r="N234" s="19"/>
      <x:c r="O234" s="19"/>
    </x:row>
    <x:row r="235">
      <x:c r="A235" s="19"/>
      <x:c r="B235" s="19"/>
      <x:c r="C235" s="19"/>
      <x:c r="D235" s="24"/>
      <x:c r="E235" s="24"/>
      <x:c r="F235" s="25"/>
      <x:c r="G235" s="19"/>
      <x:c r="H235" s="104" t="str">
        <x:f>IF($A235="","",COUNTIF('Leads'!$D$2:$D$500,$A235))</x:f>
      </x:c>
      <x:c r="I235" s="96" t="str">
        <x:f>IF($A235="","",SUMIFS('DashboardData'!$H$2:$H$500,'DashboardData'!$B$2:$B$500,"won_revenue",'DashboardData'!$C$2:$C$500,"campaign",'DashboardData'!$D$2:$D$500,$A235))</x:f>
      </x:c>
      <x:c r="J235" s="19"/>
      <x:c r="K235" s="26"/>
      <x:c r="L235" s="19"/>
      <x:c r="M235" s="26"/>
      <x:c r="N235" s="19"/>
      <x:c r="O235" s="19"/>
    </x:row>
    <x:row r="236">
      <x:c r="A236" s="19"/>
      <x:c r="B236" s="19"/>
      <x:c r="C236" s="19"/>
      <x:c r="D236" s="24"/>
      <x:c r="E236" s="24"/>
      <x:c r="F236" s="25"/>
      <x:c r="G236" s="19"/>
      <x:c r="H236" s="104" t="str">
        <x:f>IF($A236="","",COUNTIF('Leads'!$D$2:$D$500,$A236))</x:f>
      </x:c>
      <x:c r="I236" s="96" t="str">
        <x:f>IF($A236="","",SUMIFS('DashboardData'!$H$2:$H$500,'DashboardData'!$B$2:$B$500,"won_revenue",'DashboardData'!$C$2:$C$500,"campaign",'DashboardData'!$D$2:$D$500,$A236))</x:f>
      </x:c>
      <x:c r="J236" s="19"/>
      <x:c r="K236" s="26"/>
      <x:c r="L236" s="19"/>
      <x:c r="M236" s="26"/>
      <x:c r="N236" s="19"/>
      <x:c r="O236" s="19"/>
    </x:row>
    <x:row r="237">
      <x:c r="A237" s="19"/>
      <x:c r="B237" s="19"/>
      <x:c r="C237" s="19"/>
      <x:c r="D237" s="24"/>
      <x:c r="E237" s="24"/>
      <x:c r="F237" s="25"/>
      <x:c r="G237" s="19"/>
      <x:c r="H237" s="104" t="str">
        <x:f>IF($A237="","",COUNTIF('Leads'!$D$2:$D$500,$A237))</x:f>
      </x:c>
      <x:c r="I237" s="96" t="str">
        <x:f>IF($A237="","",SUMIFS('DashboardData'!$H$2:$H$500,'DashboardData'!$B$2:$B$500,"won_revenue",'DashboardData'!$C$2:$C$500,"campaign",'DashboardData'!$D$2:$D$500,$A237))</x:f>
      </x:c>
      <x:c r="J237" s="19"/>
      <x:c r="K237" s="26"/>
      <x:c r="L237" s="19"/>
      <x:c r="M237" s="26"/>
      <x:c r="N237" s="19"/>
      <x:c r="O237" s="19"/>
    </x:row>
    <x:row r="238">
      <x:c r="A238" s="19"/>
      <x:c r="B238" s="19"/>
      <x:c r="C238" s="19"/>
      <x:c r="D238" s="24"/>
      <x:c r="E238" s="24"/>
      <x:c r="F238" s="25"/>
      <x:c r="G238" s="19"/>
      <x:c r="H238" s="104" t="str">
        <x:f>IF($A238="","",COUNTIF('Leads'!$D$2:$D$500,$A238))</x:f>
      </x:c>
      <x:c r="I238" s="96" t="str">
        <x:f>IF($A238="","",SUMIFS('DashboardData'!$H$2:$H$500,'DashboardData'!$B$2:$B$500,"won_revenue",'DashboardData'!$C$2:$C$500,"campaign",'DashboardData'!$D$2:$D$500,$A238))</x:f>
      </x:c>
      <x:c r="J238" s="19"/>
      <x:c r="K238" s="26"/>
      <x:c r="L238" s="19"/>
      <x:c r="M238" s="26"/>
      <x:c r="N238" s="19"/>
      <x:c r="O238" s="19"/>
    </x:row>
    <x:row r="239">
      <x:c r="A239" s="19"/>
      <x:c r="B239" s="19"/>
      <x:c r="C239" s="19"/>
      <x:c r="D239" s="24"/>
      <x:c r="E239" s="24"/>
      <x:c r="F239" s="25"/>
      <x:c r="G239" s="19"/>
      <x:c r="H239" s="104" t="str">
        <x:f>IF($A239="","",COUNTIF('Leads'!$D$2:$D$500,$A239))</x:f>
      </x:c>
      <x:c r="I239" s="96" t="str">
        <x:f>IF($A239="","",SUMIFS('DashboardData'!$H$2:$H$500,'DashboardData'!$B$2:$B$500,"won_revenue",'DashboardData'!$C$2:$C$500,"campaign",'DashboardData'!$D$2:$D$500,$A239))</x:f>
      </x:c>
      <x:c r="J239" s="19"/>
      <x:c r="K239" s="26"/>
      <x:c r="L239" s="19"/>
      <x:c r="M239" s="26"/>
      <x:c r="N239" s="19"/>
      <x:c r="O239" s="19"/>
    </x:row>
    <x:row r="240">
      <x:c r="A240" s="19"/>
      <x:c r="B240" s="19"/>
      <x:c r="C240" s="19"/>
      <x:c r="D240" s="24"/>
      <x:c r="E240" s="24"/>
      <x:c r="F240" s="25"/>
      <x:c r="G240" s="19"/>
      <x:c r="H240" s="104" t="str">
        <x:f>IF($A240="","",COUNTIF('Leads'!$D$2:$D$500,$A240))</x:f>
      </x:c>
      <x:c r="I240" s="96" t="str">
        <x:f>IF($A240="","",SUMIFS('DashboardData'!$H$2:$H$500,'DashboardData'!$B$2:$B$500,"won_revenue",'DashboardData'!$C$2:$C$500,"campaign",'DashboardData'!$D$2:$D$500,$A240))</x:f>
      </x:c>
      <x:c r="J240" s="19"/>
      <x:c r="K240" s="26"/>
      <x:c r="L240" s="19"/>
      <x:c r="M240" s="26"/>
      <x:c r="N240" s="19"/>
      <x:c r="O240" s="19"/>
    </x:row>
    <x:row r="241">
      <x:c r="A241" s="19"/>
      <x:c r="B241" s="19"/>
      <x:c r="C241" s="19"/>
      <x:c r="D241" s="24"/>
      <x:c r="E241" s="24"/>
      <x:c r="F241" s="25"/>
      <x:c r="G241" s="19"/>
      <x:c r="H241" s="104" t="str">
        <x:f>IF($A241="","",COUNTIF('Leads'!$D$2:$D$500,$A241))</x:f>
      </x:c>
      <x:c r="I241" s="96" t="str">
        <x:f>IF($A241="","",SUMIFS('DashboardData'!$H$2:$H$500,'DashboardData'!$B$2:$B$500,"won_revenue",'DashboardData'!$C$2:$C$500,"campaign",'DashboardData'!$D$2:$D$500,$A241))</x:f>
      </x:c>
      <x:c r="J241" s="19"/>
      <x:c r="K241" s="26"/>
      <x:c r="L241" s="19"/>
      <x:c r="M241" s="26"/>
      <x:c r="N241" s="19"/>
      <x:c r="O241" s="19"/>
    </x:row>
    <x:row r="242">
      <x:c r="A242" s="19"/>
      <x:c r="B242" s="19"/>
      <x:c r="C242" s="19"/>
      <x:c r="D242" s="24"/>
      <x:c r="E242" s="24"/>
      <x:c r="F242" s="25"/>
      <x:c r="G242" s="19"/>
      <x:c r="H242" s="104" t="str">
        <x:f>IF($A242="","",COUNTIF('Leads'!$D$2:$D$500,$A242))</x:f>
      </x:c>
      <x:c r="I242" s="96" t="str">
        <x:f>IF($A242="","",SUMIFS('DashboardData'!$H$2:$H$500,'DashboardData'!$B$2:$B$500,"won_revenue",'DashboardData'!$C$2:$C$500,"campaign",'DashboardData'!$D$2:$D$500,$A242))</x:f>
      </x:c>
      <x:c r="J242" s="19"/>
      <x:c r="K242" s="26"/>
      <x:c r="L242" s="19"/>
      <x:c r="M242" s="26"/>
      <x:c r="N242" s="19"/>
      <x:c r="O242" s="19"/>
    </x:row>
    <x:row r="243">
      <x:c r="A243" s="19"/>
      <x:c r="B243" s="19"/>
      <x:c r="C243" s="19"/>
      <x:c r="D243" s="24"/>
      <x:c r="E243" s="24"/>
      <x:c r="F243" s="25"/>
      <x:c r="G243" s="19"/>
      <x:c r="H243" s="104" t="str">
        <x:f>IF($A243="","",COUNTIF('Leads'!$D$2:$D$500,$A243))</x:f>
      </x:c>
      <x:c r="I243" s="96" t="str">
        <x:f>IF($A243="","",SUMIFS('DashboardData'!$H$2:$H$500,'DashboardData'!$B$2:$B$500,"won_revenue",'DashboardData'!$C$2:$C$500,"campaign",'DashboardData'!$D$2:$D$500,$A243))</x:f>
      </x:c>
      <x:c r="J243" s="19"/>
      <x:c r="K243" s="26"/>
      <x:c r="L243" s="19"/>
      <x:c r="M243" s="26"/>
      <x:c r="N243" s="19"/>
      <x:c r="O243" s="19"/>
    </x:row>
    <x:row r="244">
      <x:c r="A244" s="19"/>
      <x:c r="B244" s="19"/>
      <x:c r="C244" s="19"/>
      <x:c r="D244" s="24"/>
      <x:c r="E244" s="24"/>
      <x:c r="F244" s="25"/>
      <x:c r="G244" s="19"/>
      <x:c r="H244" s="104" t="str">
        <x:f>IF($A244="","",COUNTIF('Leads'!$D$2:$D$500,$A244))</x:f>
      </x:c>
      <x:c r="I244" s="96" t="str">
        <x:f>IF($A244="","",SUMIFS('DashboardData'!$H$2:$H$500,'DashboardData'!$B$2:$B$500,"won_revenue",'DashboardData'!$C$2:$C$500,"campaign",'DashboardData'!$D$2:$D$500,$A244))</x:f>
      </x:c>
      <x:c r="J244" s="19"/>
      <x:c r="K244" s="26"/>
      <x:c r="L244" s="19"/>
      <x:c r="M244" s="26"/>
      <x:c r="N244" s="19"/>
      <x:c r="O244" s="19"/>
    </x:row>
    <x:row r="245">
      <x:c r="A245" s="19"/>
      <x:c r="B245" s="19"/>
      <x:c r="C245" s="19"/>
      <x:c r="D245" s="24"/>
      <x:c r="E245" s="24"/>
      <x:c r="F245" s="25"/>
      <x:c r="G245" s="19"/>
      <x:c r="H245" s="104" t="str">
        <x:f>IF($A245="","",COUNTIF('Leads'!$D$2:$D$500,$A245))</x:f>
      </x:c>
      <x:c r="I245" s="96" t="str">
        <x:f>IF($A245="","",SUMIFS('DashboardData'!$H$2:$H$500,'DashboardData'!$B$2:$B$500,"won_revenue",'DashboardData'!$C$2:$C$500,"campaign",'DashboardData'!$D$2:$D$500,$A245))</x:f>
      </x:c>
      <x:c r="J245" s="19"/>
      <x:c r="K245" s="26"/>
      <x:c r="L245" s="19"/>
      <x:c r="M245" s="26"/>
      <x:c r="N245" s="19"/>
      <x:c r="O245" s="19"/>
    </x:row>
    <x:row r="246">
      <x:c r="A246" s="19"/>
      <x:c r="B246" s="19"/>
      <x:c r="C246" s="19"/>
      <x:c r="D246" s="24"/>
      <x:c r="E246" s="24"/>
      <x:c r="F246" s="25"/>
      <x:c r="G246" s="19"/>
      <x:c r="H246" s="104" t="str">
        <x:f>IF($A246="","",COUNTIF('Leads'!$D$2:$D$500,$A246))</x:f>
      </x:c>
      <x:c r="I246" s="96" t="str">
        <x:f>IF($A246="","",SUMIFS('DashboardData'!$H$2:$H$500,'DashboardData'!$B$2:$B$500,"won_revenue",'DashboardData'!$C$2:$C$500,"campaign",'DashboardData'!$D$2:$D$500,$A246))</x:f>
      </x:c>
      <x:c r="J246" s="19"/>
      <x:c r="K246" s="26"/>
      <x:c r="L246" s="19"/>
      <x:c r="M246" s="26"/>
      <x:c r="N246" s="19"/>
      <x:c r="O246" s="19"/>
    </x:row>
    <x:row r="247">
      <x:c r="A247" s="19"/>
      <x:c r="B247" s="19"/>
      <x:c r="C247" s="19"/>
      <x:c r="D247" s="24"/>
      <x:c r="E247" s="24"/>
      <x:c r="F247" s="25"/>
      <x:c r="G247" s="19"/>
      <x:c r="H247" s="104" t="str">
        <x:f>IF($A247="","",COUNTIF('Leads'!$D$2:$D$500,$A247))</x:f>
      </x:c>
      <x:c r="I247" s="96" t="str">
        <x:f>IF($A247="","",SUMIFS('DashboardData'!$H$2:$H$500,'DashboardData'!$B$2:$B$500,"won_revenue",'DashboardData'!$C$2:$C$500,"campaign",'DashboardData'!$D$2:$D$500,$A247))</x:f>
      </x:c>
      <x:c r="J247" s="19"/>
      <x:c r="K247" s="26"/>
      <x:c r="L247" s="19"/>
      <x:c r="M247" s="26"/>
      <x:c r="N247" s="19"/>
      <x:c r="O247" s="19"/>
    </x:row>
    <x:row r="248">
      <x:c r="A248" s="19"/>
      <x:c r="B248" s="19"/>
      <x:c r="C248" s="19"/>
      <x:c r="D248" s="24"/>
      <x:c r="E248" s="24"/>
      <x:c r="F248" s="25"/>
      <x:c r="G248" s="19"/>
      <x:c r="H248" s="104" t="str">
        <x:f>IF($A248="","",COUNTIF('Leads'!$D$2:$D$500,$A248))</x:f>
      </x:c>
      <x:c r="I248" s="96" t="str">
        <x:f>IF($A248="","",SUMIFS('DashboardData'!$H$2:$H$500,'DashboardData'!$B$2:$B$500,"won_revenue",'DashboardData'!$C$2:$C$500,"campaign",'DashboardData'!$D$2:$D$500,$A248))</x:f>
      </x:c>
      <x:c r="J248" s="19"/>
      <x:c r="K248" s="26"/>
      <x:c r="L248" s="19"/>
      <x:c r="M248" s="26"/>
      <x:c r="N248" s="19"/>
      <x:c r="O248" s="19"/>
    </x:row>
    <x:row r="249">
      <x:c r="A249" s="19"/>
      <x:c r="B249" s="19"/>
      <x:c r="C249" s="19"/>
      <x:c r="D249" s="24"/>
      <x:c r="E249" s="24"/>
      <x:c r="F249" s="25"/>
      <x:c r="G249" s="19"/>
      <x:c r="H249" s="104" t="str">
        <x:f>IF($A249="","",COUNTIF('Leads'!$D$2:$D$500,$A249))</x:f>
      </x:c>
      <x:c r="I249" s="96" t="str">
        <x:f>IF($A249="","",SUMIFS('DashboardData'!$H$2:$H$500,'DashboardData'!$B$2:$B$500,"won_revenue",'DashboardData'!$C$2:$C$500,"campaign",'DashboardData'!$D$2:$D$500,$A249))</x:f>
      </x:c>
      <x:c r="J249" s="19"/>
      <x:c r="K249" s="26"/>
      <x:c r="L249" s="19"/>
      <x:c r="M249" s="26"/>
      <x:c r="N249" s="19"/>
      <x:c r="O249" s="19"/>
    </x:row>
    <x:row r="250">
      <x:c r="A250" s="19"/>
      <x:c r="B250" s="19"/>
      <x:c r="C250" s="19"/>
      <x:c r="D250" s="24"/>
      <x:c r="E250" s="24"/>
      <x:c r="F250" s="25"/>
      <x:c r="G250" s="19"/>
      <x:c r="H250" s="104" t="str">
        <x:f>IF($A250="","",COUNTIF('Leads'!$D$2:$D$500,$A250))</x:f>
      </x:c>
      <x:c r="I250" s="96" t="str">
        <x:f>IF($A250="","",SUMIFS('DashboardData'!$H$2:$H$500,'DashboardData'!$B$2:$B$500,"won_revenue",'DashboardData'!$C$2:$C$500,"campaign",'DashboardData'!$D$2:$D$500,$A250))</x:f>
      </x:c>
      <x:c r="J250" s="19"/>
      <x:c r="K250" s="26"/>
      <x:c r="L250" s="19"/>
      <x:c r="M250" s="26"/>
      <x:c r="N250" s="19"/>
      <x:c r="O250" s="19"/>
    </x:row>
    <x:row r="251">
      <x:c r="A251" s="19"/>
      <x:c r="B251" s="19"/>
      <x:c r="C251" s="19"/>
      <x:c r="D251" s="24"/>
      <x:c r="E251" s="24"/>
      <x:c r="F251" s="25"/>
      <x:c r="G251" s="19"/>
      <x:c r="H251" s="104" t="str">
        <x:f>IF($A251="","",COUNTIF('Leads'!$D$2:$D$500,$A251))</x:f>
      </x:c>
      <x:c r="I251" s="96" t="str">
        <x:f>IF($A251="","",SUMIFS('DashboardData'!$H$2:$H$500,'DashboardData'!$B$2:$B$500,"won_revenue",'DashboardData'!$C$2:$C$500,"campaign",'DashboardData'!$D$2:$D$500,$A251))</x:f>
      </x:c>
      <x:c r="J251" s="19"/>
      <x:c r="K251" s="26"/>
      <x:c r="L251" s="19"/>
      <x:c r="M251" s="26"/>
      <x:c r="N251" s="19"/>
      <x:c r="O251" s="19"/>
    </x:row>
    <x:row r="252">
      <x:c r="A252" s="19"/>
      <x:c r="B252" s="19"/>
      <x:c r="C252" s="19"/>
      <x:c r="D252" s="24"/>
      <x:c r="E252" s="24"/>
      <x:c r="F252" s="25"/>
      <x:c r="G252" s="19"/>
      <x:c r="H252" s="104" t="str">
        <x:f>IF($A252="","",COUNTIF('Leads'!$D$2:$D$500,$A252))</x:f>
      </x:c>
      <x:c r="I252" s="96" t="str">
        <x:f>IF($A252="","",SUMIFS('DashboardData'!$H$2:$H$500,'DashboardData'!$B$2:$B$500,"won_revenue",'DashboardData'!$C$2:$C$500,"campaign",'DashboardData'!$D$2:$D$500,$A252))</x:f>
      </x:c>
      <x:c r="J252" s="19"/>
      <x:c r="K252" s="26"/>
      <x:c r="L252" s="19"/>
      <x:c r="M252" s="26"/>
      <x:c r="N252" s="19"/>
      <x:c r="O252" s="19"/>
    </x:row>
    <x:row r="253">
      <x:c r="A253" s="19"/>
      <x:c r="B253" s="19"/>
      <x:c r="C253" s="19"/>
      <x:c r="D253" s="24"/>
      <x:c r="E253" s="24"/>
      <x:c r="F253" s="25"/>
      <x:c r="G253" s="19"/>
      <x:c r="H253" s="104" t="str">
        <x:f>IF($A253="","",COUNTIF('Leads'!$D$2:$D$500,$A253))</x:f>
      </x:c>
      <x:c r="I253" s="96" t="str">
        <x:f>IF($A253="","",SUMIFS('DashboardData'!$H$2:$H$500,'DashboardData'!$B$2:$B$500,"won_revenue",'DashboardData'!$C$2:$C$500,"campaign",'DashboardData'!$D$2:$D$500,$A253))</x:f>
      </x:c>
      <x:c r="J253" s="19"/>
      <x:c r="K253" s="26"/>
      <x:c r="L253" s="19"/>
      <x:c r="M253" s="26"/>
      <x:c r="N253" s="19"/>
      <x:c r="O253" s="19"/>
    </x:row>
    <x:row r="254">
      <x:c r="A254" s="19"/>
      <x:c r="B254" s="19"/>
      <x:c r="C254" s="19"/>
      <x:c r="D254" s="24"/>
      <x:c r="E254" s="24"/>
      <x:c r="F254" s="25"/>
      <x:c r="G254" s="19"/>
      <x:c r="H254" s="104" t="str">
        <x:f>IF($A254="","",COUNTIF('Leads'!$D$2:$D$500,$A254))</x:f>
      </x:c>
      <x:c r="I254" s="96" t="str">
        <x:f>IF($A254="","",SUMIFS('DashboardData'!$H$2:$H$500,'DashboardData'!$B$2:$B$500,"won_revenue",'DashboardData'!$C$2:$C$500,"campaign",'DashboardData'!$D$2:$D$500,$A254))</x:f>
      </x:c>
      <x:c r="J254" s="19"/>
      <x:c r="K254" s="26"/>
      <x:c r="L254" s="19"/>
      <x:c r="M254" s="26"/>
      <x:c r="N254" s="19"/>
      <x:c r="O254" s="19"/>
    </x:row>
    <x:row r="255">
      <x:c r="A255" s="19"/>
      <x:c r="B255" s="19"/>
      <x:c r="C255" s="19"/>
      <x:c r="D255" s="24"/>
      <x:c r="E255" s="24"/>
      <x:c r="F255" s="25"/>
      <x:c r="G255" s="19"/>
      <x:c r="H255" s="104" t="str">
        <x:f>IF($A255="","",COUNTIF('Leads'!$D$2:$D$500,$A255))</x:f>
      </x:c>
      <x:c r="I255" s="96" t="str">
        <x:f>IF($A255="","",SUMIFS('DashboardData'!$H$2:$H$500,'DashboardData'!$B$2:$B$500,"won_revenue",'DashboardData'!$C$2:$C$500,"campaign",'DashboardData'!$D$2:$D$500,$A255))</x:f>
      </x:c>
      <x:c r="J255" s="19"/>
      <x:c r="K255" s="26"/>
      <x:c r="L255" s="19"/>
      <x:c r="M255" s="26"/>
      <x:c r="N255" s="19"/>
      <x:c r="O255" s="19"/>
    </x:row>
    <x:row r="256">
      <x:c r="A256" s="19"/>
      <x:c r="B256" s="19"/>
      <x:c r="C256" s="19"/>
      <x:c r="D256" s="24"/>
      <x:c r="E256" s="24"/>
      <x:c r="F256" s="25"/>
      <x:c r="G256" s="19"/>
      <x:c r="H256" s="104" t="str">
        <x:f>IF($A256="","",COUNTIF('Leads'!$D$2:$D$500,$A256))</x:f>
      </x:c>
      <x:c r="I256" s="96" t="str">
        <x:f>IF($A256="","",SUMIFS('DashboardData'!$H$2:$H$500,'DashboardData'!$B$2:$B$500,"won_revenue",'DashboardData'!$C$2:$C$500,"campaign",'DashboardData'!$D$2:$D$500,$A256))</x:f>
      </x:c>
      <x:c r="J256" s="19"/>
      <x:c r="K256" s="26"/>
      <x:c r="L256" s="19"/>
      <x:c r="M256" s="26"/>
      <x:c r="N256" s="19"/>
      <x:c r="O256" s="19"/>
    </x:row>
    <x:row r="257">
      <x:c r="A257" s="19"/>
      <x:c r="B257" s="19"/>
      <x:c r="C257" s="19"/>
      <x:c r="D257" s="24"/>
      <x:c r="E257" s="24"/>
      <x:c r="F257" s="25"/>
      <x:c r="G257" s="19"/>
      <x:c r="H257" s="104" t="str">
        <x:f>IF($A257="","",COUNTIF('Leads'!$D$2:$D$500,$A257))</x:f>
      </x:c>
      <x:c r="I257" s="96" t="str">
        <x:f>IF($A257="","",SUMIFS('DashboardData'!$H$2:$H$500,'DashboardData'!$B$2:$B$500,"won_revenue",'DashboardData'!$C$2:$C$500,"campaign",'DashboardData'!$D$2:$D$500,$A257))</x:f>
      </x:c>
      <x:c r="J257" s="19"/>
      <x:c r="K257" s="26"/>
      <x:c r="L257" s="19"/>
      <x:c r="M257" s="26"/>
      <x:c r="N257" s="19"/>
      <x:c r="O257" s="19"/>
    </x:row>
    <x:row r="258">
      <x:c r="A258" s="19"/>
      <x:c r="B258" s="19"/>
      <x:c r="C258" s="19"/>
      <x:c r="D258" s="24"/>
      <x:c r="E258" s="24"/>
      <x:c r="F258" s="25"/>
      <x:c r="G258" s="19"/>
      <x:c r="H258" s="104" t="str">
        <x:f>IF($A258="","",COUNTIF('Leads'!$D$2:$D$500,$A258))</x:f>
      </x:c>
      <x:c r="I258" s="96" t="str">
        <x:f>IF($A258="","",SUMIFS('DashboardData'!$H$2:$H$500,'DashboardData'!$B$2:$B$500,"won_revenue",'DashboardData'!$C$2:$C$500,"campaign",'DashboardData'!$D$2:$D$500,$A258))</x:f>
      </x:c>
      <x:c r="J258" s="19"/>
      <x:c r="K258" s="26"/>
      <x:c r="L258" s="19"/>
      <x:c r="M258" s="26"/>
      <x:c r="N258" s="19"/>
      <x:c r="O258" s="19"/>
    </x:row>
    <x:row r="259">
      <x:c r="A259" s="19"/>
      <x:c r="B259" s="19"/>
      <x:c r="C259" s="19"/>
      <x:c r="D259" s="24"/>
      <x:c r="E259" s="24"/>
      <x:c r="F259" s="25"/>
      <x:c r="G259" s="19"/>
      <x:c r="H259" s="104" t="str">
        <x:f>IF($A259="","",COUNTIF('Leads'!$D$2:$D$500,$A259))</x:f>
      </x:c>
      <x:c r="I259" s="96" t="str">
        <x:f>IF($A259="","",SUMIFS('DashboardData'!$H$2:$H$500,'DashboardData'!$B$2:$B$500,"won_revenue",'DashboardData'!$C$2:$C$500,"campaign",'DashboardData'!$D$2:$D$500,$A259))</x:f>
      </x:c>
      <x:c r="J259" s="19"/>
      <x:c r="K259" s="26"/>
      <x:c r="L259" s="19"/>
      <x:c r="M259" s="26"/>
      <x:c r="N259" s="19"/>
      <x:c r="O259" s="19"/>
    </x:row>
    <x:row r="260">
      <x:c r="A260" s="19"/>
      <x:c r="B260" s="19"/>
      <x:c r="C260" s="19"/>
      <x:c r="D260" s="24"/>
      <x:c r="E260" s="24"/>
      <x:c r="F260" s="25"/>
      <x:c r="G260" s="19"/>
      <x:c r="H260" s="104" t="str">
        <x:f>IF($A260="","",COUNTIF('Leads'!$D$2:$D$500,$A260))</x:f>
      </x:c>
      <x:c r="I260" s="96" t="str">
        <x:f>IF($A260="","",SUMIFS('DashboardData'!$H$2:$H$500,'DashboardData'!$B$2:$B$500,"won_revenue",'DashboardData'!$C$2:$C$500,"campaign",'DashboardData'!$D$2:$D$500,$A260))</x:f>
      </x:c>
      <x:c r="J260" s="19"/>
      <x:c r="K260" s="26"/>
      <x:c r="L260" s="19"/>
      <x:c r="M260" s="26"/>
      <x:c r="N260" s="19"/>
      <x:c r="O260" s="19"/>
    </x:row>
    <x:row r="261">
      <x:c r="A261" s="19"/>
      <x:c r="B261" s="19"/>
      <x:c r="C261" s="19"/>
      <x:c r="D261" s="24"/>
      <x:c r="E261" s="24"/>
      <x:c r="F261" s="25"/>
      <x:c r="G261" s="19"/>
      <x:c r="H261" s="104" t="str">
        <x:f>IF($A261="","",COUNTIF('Leads'!$D$2:$D$500,$A261))</x:f>
      </x:c>
      <x:c r="I261" s="96" t="str">
        <x:f>IF($A261="","",SUMIFS('DashboardData'!$H$2:$H$500,'DashboardData'!$B$2:$B$500,"won_revenue",'DashboardData'!$C$2:$C$500,"campaign",'DashboardData'!$D$2:$D$500,$A261))</x:f>
      </x:c>
      <x:c r="J261" s="19"/>
      <x:c r="K261" s="26"/>
      <x:c r="L261" s="19"/>
      <x:c r="M261" s="26"/>
      <x:c r="N261" s="19"/>
      <x:c r="O261" s="19"/>
    </x:row>
    <x:row r="262">
      <x:c r="A262" s="19"/>
      <x:c r="B262" s="19"/>
      <x:c r="C262" s="19"/>
      <x:c r="D262" s="24"/>
      <x:c r="E262" s="24"/>
      <x:c r="F262" s="25"/>
      <x:c r="G262" s="19"/>
      <x:c r="H262" s="104" t="str">
        <x:f>IF($A262="","",COUNTIF('Leads'!$D$2:$D$500,$A262))</x:f>
      </x:c>
      <x:c r="I262" s="96" t="str">
        <x:f>IF($A262="","",SUMIFS('DashboardData'!$H$2:$H$500,'DashboardData'!$B$2:$B$500,"won_revenue",'DashboardData'!$C$2:$C$500,"campaign",'DashboardData'!$D$2:$D$500,$A262))</x:f>
      </x:c>
      <x:c r="J262" s="19"/>
      <x:c r="K262" s="26"/>
      <x:c r="L262" s="19"/>
      <x:c r="M262" s="26"/>
      <x:c r="N262" s="19"/>
      <x:c r="O262" s="19"/>
    </x:row>
    <x:row r="263">
      <x:c r="A263" s="19"/>
      <x:c r="B263" s="19"/>
      <x:c r="C263" s="19"/>
      <x:c r="D263" s="24"/>
      <x:c r="E263" s="24"/>
      <x:c r="F263" s="25"/>
      <x:c r="G263" s="19"/>
      <x:c r="H263" s="104" t="str">
        <x:f>IF($A263="","",COUNTIF('Leads'!$D$2:$D$500,$A263))</x:f>
      </x:c>
      <x:c r="I263" s="96" t="str">
        <x:f>IF($A263="","",SUMIFS('DashboardData'!$H$2:$H$500,'DashboardData'!$B$2:$B$500,"won_revenue",'DashboardData'!$C$2:$C$500,"campaign",'DashboardData'!$D$2:$D$500,$A263))</x:f>
      </x:c>
      <x:c r="J263" s="19"/>
      <x:c r="K263" s="26"/>
      <x:c r="L263" s="19"/>
      <x:c r="M263" s="26"/>
      <x:c r="N263" s="19"/>
      <x:c r="O263" s="19"/>
    </x:row>
    <x:row r="264">
      <x:c r="A264" s="19"/>
      <x:c r="B264" s="19"/>
      <x:c r="C264" s="19"/>
      <x:c r="D264" s="24"/>
      <x:c r="E264" s="24"/>
      <x:c r="F264" s="25"/>
      <x:c r="G264" s="19"/>
      <x:c r="H264" s="104" t="str">
        <x:f>IF($A264="","",COUNTIF('Leads'!$D$2:$D$500,$A264))</x:f>
      </x:c>
      <x:c r="I264" s="96" t="str">
        <x:f>IF($A264="","",SUMIFS('DashboardData'!$H$2:$H$500,'DashboardData'!$B$2:$B$500,"won_revenue",'DashboardData'!$C$2:$C$500,"campaign",'DashboardData'!$D$2:$D$500,$A264))</x:f>
      </x:c>
      <x:c r="J264" s="19"/>
      <x:c r="K264" s="26"/>
      <x:c r="L264" s="19"/>
      <x:c r="M264" s="26"/>
      <x:c r="N264" s="19"/>
      <x:c r="O264" s="19"/>
    </x:row>
    <x:row r="265">
      <x:c r="A265" s="19"/>
      <x:c r="B265" s="19"/>
      <x:c r="C265" s="19"/>
      <x:c r="D265" s="24"/>
      <x:c r="E265" s="24"/>
      <x:c r="F265" s="25"/>
      <x:c r="G265" s="19"/>
      <x:c r="H265" s="104" t="str">
        <x:f>IF($A265="","",COUNTIF('Leads'!$D$2:$D$500,$A265))</x:f>
      </x:c>
      <x:c r="I265" s="96" t="str">
        <x:f>IF($A265="","",SUMIFS('DashboardData'!$H$2:$H$500,'DashboardData'!$B$2:$B$500,"won_revenue",'DashboardData'!$C$2:$C$500,"campaign",'DashboardData'!$D$2:$D$500,$A265))</x:f>
      </x:c>
      <x:c r="J265" s="19"/>
      <x:c r="K265" s="26"/>
      <x:c r="L265" s="19"/>
      <x:c r="M265" s="26"/>
      <x:c r="N265" s="19"/>
      <x:c r="O265" s="19"/>
    </x:row>
    <x:row r="266">
      <x:c r="A266" s="19"/>
      <x:c r="B266" s="19"/>
      <x:c r="C266" s="19"/>
      <x:c r="D266" s="24"/>
      <x:c r="E266" s="24"/>
      <x:c r="F266" s="25"/>
      <x:c r="G266" s="19"/>
      <x:c r="H266" s="104" t="str">
        <x:f>IF($A266="","",COUNTIF('Leads'!$D$2:$D$500,$A266))</x:f>
      </x:c>
      <x:c r="I266" s="96" t="str">
        <x:f>IF($A266="","",SUMIFS('DashboardData'!$H$2:$H$500,'DashboardData'!$B$2:$B$500,"won_revenue",'DashboardData'!$C$2:$C$500,"campaign",'DashboardData'!$D$2:$D$500,$A266))</x:f>
      </x:c>
      <x:c r="J266" s="19"/>
      <x:c r="K266" s="26"/>
      <x:c r="L266" s="19"/>
      <x:c r="M266" s="26"/>
      <x:c r="N266" s="19"/>
      <x:c r="O266" s="19"/>
    </x:row>
    <x:row r="267">
      <x:c r="A267" s="19"/>
      <x:c r="B267" s="19"/>
      <x:c r="C267" s="19"/>
      <x:c r="D267" s="24"/>
      <x:c r="E267" s="24"/>
      <x:c r="F267" s="25"/>
      <x:c r="G267" s="19"/>
      <x:c r="H267" s="104" t="str">
        <x:f>IF($A267="","",COUNTIF('Leads'!$D$2:$D$500,$A267))</x:f>
      </x:c>
      <x:c r="I267" s="96" t="str">
        <x:f>IF($A267="","",SUMIFS('DashboardData'!$H$2:$H$500,'DashboardData'!$B$2:$B$500,"won_revenue",'DashboardData'!$C$2:$C$500,"campaign",'DashboardData'!$D$2:$D$500,$A267))</x:f>
      </x:c>
      <x:c r="J267" s="19"/>
      <x:c r="K267" s="26"/>
      <x:c r="L267" s="19"/>
      <x:c r="M267" s="26"/>
      <x:c r="N267" s="19"/>
      <x:c r="O267" s="19"/>
    </x:row>
    <x:row r="268">
      <x:c r="A268" s="19"/>
      <x:c r="B268" s="19"/>
      <x:c r="C268" s="19"/>
      <x:c r="D268" s="24"/>
      <x:c r="E268" s="24"/>
      <x:c r="F268" s="25"/>
      <x:c r="G268" s="19"/>
      <x:c r="H268" s="104" t="str">
        <x:f>IF($A268="","",COUNTIF('Leads'!$D$2:$D$500,$A268))</x:f>
      </x:c>
      <x:c r="I268" s="96" t="str">
        <x:f>IF($A268="","",SUMIFS('DashboardData'!$H$2:$H$500,'DashboardData'!$B$2:$B$500,"won_revenue",'DashboardData'!$C$2:$C$500,"campaign",'DashboardData'!$D$2:$D$500,$A268))</x:f>
      </x:c>
      <x:c r="J268" s="19"/>
      <x:c r="K268" s="26"/>
      <x:c r="L268" s="19"/>
      <x:c r="M268" s="26"/>
      <x:c r="N268" s="19"/>
      <x:c r="O268" s="19"/>
    </x:row>
    <x:row r="269">
      <x:c r="A269" s="19"/>
      <x:c r="B269" s="19"/>
      <x:c r="C269" s="19"/>
      <x:c r="D269" s="24"/>
      <x:c r="E269" s="24"/>
      <x:c r="F269" s="25"/>
      <x:c r="G269" s="19"/>
      <x:c r="H269" s="104" t="str">
        <x:f>IF($A269="","",COUNTIF('Leads'!$D$2:$D$500,$A269))</x:f>
      </x:c>
      <x:c r="I269" s="96" t="str">
        <x:f>IF($A269="","",SUMIFS('DashboardData'!$H$2:$H$500,'DashboardData'!$B$2:$B$500,"won_revenue",'DashboardData'!$C$2:$C$500,"campaign",'DashboardData'!$D$2:$D$500,$A269))</x:f>
      </x:c>
      <x:c r="J269" s="19"/>
      <x:c r="K269" s="26"/>
      <x:c r="L269" s="19"/>
      <x:c r="M269" s="26"/>
      <x:c r="N269" s="19"/>
      <x:c r="O269" s="19"/>
    </x:row>
    <x:row r="270">
      <x:c r="A270" s="19"/>
      <x:c r="B270" s="19"/>
      <x:c r="C270" s="19"/>
      <x:c r="D270" s="24"/>
      <x:c r="E270" s="24"/>
      <x:c r="F270" s="25"/>
      <x:c r="G270" s="19"/>
      <x:c r="H270" s="104" t="str">
        <x:f>IF($A270="","",COUNTIF('Leads'!$D$2:$D$500,$A270))</x:f>
      </x:c>
      <x:c r="I270" s="96" t="str">
        <x:f>IF($A270="","",SUMIFS('DashboardData'!$H$2:$H$500,'DashboardData'!$B$2:$B$500,"won_revenue",'DashboardData'!$C$2:$C$500,"campaign",'DashboardData'!$D$2:$D$500,$A270))</x:f>
      </x:c>
      <x:c r="J270" s="19"/>
      <x:c r="K270" s="26"/>
      <x:c r="L270" s="19"/>
      <x:c r="M270" s="26"/>
      <x:c r="N270" s="19"/>
      <x:c r="O270" s="19"/>
    </x:row>
    <x:row r="271">
      <x:c r="A271" s="19"/>
      <x:c r="B271" s="19"/>
      <x:c r="C271" s="19"/>
      <x:c r="D271" s="24"/>
      <x:c r="E271" s="24"/>
      <x:c r="F271" s="25"/>
      <x:c r="G271" s="19"/>
      <x:c r="H271" s="104" t="str">
        <x:f>IF($A271="","",COUNTIF('Leads'!$D$2:$D$500,$A271))</x:f>
      </x:c>
      <x:c r="I271" s="96" t="str">
        <x:f>IF($A271="","",SUMIFS('DashboardData'!$H$2:$H$500,'DashboardData'!$B$2:$B$500,"won_revenue",'DashboardData'!$C$2:$C$500,"campaign",'DashboardData'!$D$2:$D$500,$A271))</x:f>
      </x:c>
      <x:c r="J271" s="19"/>
      <x:c r="K271" s="26"/>
      <x:c r="L271" s="19"/>
      <x:c r="M271" s="26"/>
      <x:c r="N271" s="19"/>
      <x:c r="O271" s="19"/>
    </x:row>
    <x:row r="272">
      <x:c r="A272" s="19"/>
      <x:c r="B272" s="19"/>
      <x:c r="C272" s="19"/>
      <x:c r="D272" s="24"/>
      <x:c r="E272" s="24"/>
      <x:c r="F272" s="25"/>
      <x:c r="G272" s="19"/>
      <x:c r="H272" s="104" t="str">
        <x:f>IF($A272="","",COUNTIF('Leads'!$D$2:$D$500,$A272))</x:f>
      </x:c>
      <x:c r="I272" s="96" t="str">
        <x:f>IF($A272="","",SUMIFS('DashboardData'!$H$2:$H$500,'DashboardData'!$B$2:$B$500,"won_revenue",'DashboardData'!$C$2:$C$500,"campaign",'DashboardData'!$D$2:$D$500,$A272))</x:f>
      </x:c>
      <x:c r="J272" s="19"/>
      <x:c r="K272" s="26"/>
      <x:c r="L272" s="19"/>
      <x:c r="M272" s="26"/>
      <x:c r="N272" s="19"/>
      <x:c r="O272" s="19"/>
    </x:row>
    <x:row r="273">
      <x:c r="A273" s="19"/>
      <x:c r="B273" s="19"/>
      <x:c r="C273" s="19"/>
      <x:c r="D273" s="24"/>
      <x:c r="E273" s="24"/>
      <x:c r="F273" s="25"/>
      <x:c r="G273" s="19"/>
      <x:c r="H273" s="104" t="str">
        <x:f>IF($A273="","",COUNTIF('Leads'!$D$2:$D$500,$A273))</x:f>
      </x:c>
      <x:c r="I273" s="96" t="str">
        <x:f>IF($A273="","",SUMIFS('DashboardData'!$H$2:$H$500,'DashboardData'!$B$2:$B$500,"won_revenue",'DashboardData'!$C$2:$C$500,"campaign",'DashboardData'!$D$2:$D$500,$A273))</x:f>
      </x:c>
      <x:c r="J273" s="19"/>
      <x:c r="K273" s="26"/>
      <x:c r="L273" s="19"/>
      <x:c r="M273" s="26"/>
      <x:c r="N273" s="19"/>
      <x:c r="O273" s="19"/>
    </x:row>
    <x:row r="274">
      <x:c r="A274" s="19"/>
      <x:c r="B274" s="19"/>
      <x:c r="C274" s="19"/>
      <x:c r="D274" s="24"/>
      <x:c r="E274" s="24"/>
      <x:c r="F274" s="25"/>
      <x:c r="G274" s="19"/>
      <x:c r="H274" s="104" t="str">
        <x:f>IF($A274="","",COUNTIF('Leads'!$D$2:$D$500,$A274))</x:f>
      </x:c>
      <x:c r="I274" s="96" t="str">
        <x:f>IF($A274="","",SUMIFS('DashboardData'!$H$2:$H$500,'DashboardData'!$B$2:$B$500,"won_revenue",'DashboardData'!$C$2:$C$500,"campaign",'DashboardData'!$D$2:$D$500,$A274))</x:f>
      </x:c>
      <x:c r="J274" s="19"/>
      <x:c r="K274" s="26"/>
      <x:c r="L274" s="19"/>
      <x:c r="M274" s="26"/>
      <x:c r="N274" s="19"/>
      <x:c r="O274" s="19"/>
    </x:row>
    <x:row r="275">
      <x:c r="A275" s="19"/>
      <x:c r="B275" s="19"/>
      <x:c r="C275" s="19"/>
      <x:c r="D275" s="24"/>
      <x:c r="E275" s="24"/>
      <x:c r="F275" s="25"/>
      <x:c r="G275" s="19"/>
      <x:c r="H275" s="104" t="str">
        <x:f>IF($A275="","",COUNTIF('Leads'!$D$2:$D$500,$A275))</x:f>
      </x:c>
      <x:c r="I275" s="96" t="str">
        <x:f>IF($A275="","",SUMIFS('DashboardData'!$H$2:$H$500,'DashboardData'!$B$2:$B$500,"won_revenue",'DashboardData'!$C$2:$C$500,"campaign",'DashboardData'!$D$2:$D$500,$A275))</x:f>
      </x:c>
      <x:c r="J275" s="19"/>
      <x:c r="K275" s="26"/>
      <x:c r="L275" s="19"/>
      <x:c r="M275" s="26"/>
      <x:c r="N275" s="19"/>
      <x:c r="O275" s="19"/>
    </x:row>
    <x:row r="276">
      <x:c r="A276" s="19"/>
      <x:c r="B276" s="19"/>
      <x:c r="C276" s="19"/>
      <x:c r="D276" s="24"/>
      <x:c r="E276" s="24"/>
      <x:c r="F276" s="25"/>
      <x:c r="G276" s="19"/>
      <x:c r="H276" s="104" t="str">
        <x:f>IF($A276="","",COUNTIF('Leads'!$D$2:$D$500,$A276))</x:f>
      </x:c>
      <x:c r="I276" s="96" t="str">
        <x:f>IF($A276="","",SUMIFS('DashboardData'!$H$2:$H$500,'DashboardData'!$B$2:$B$500,"won_revenue",'DashboardData'!$C$2:$C$500,"campaign",'DashboardData'!$D$2:$D$500,$A276))</x:f>
      </x:c>
      <x:c r="J276" s="19"/>
      <x:c r="K276" s="26"/>
      <x:c r="L276" s="19"/>
      <x:c r="M276" s="26"/>
      <x:c r="N276" s="19"/>
      <x:c r="O276" s="19"/>
    </x:row>
    <x:row r="277">
      <x:c r="A277" s="19"/>
      <x:c r="B277" s="19"/>
      <x:c r="C277" s="19"/>
      <x:c r="D277" s="24"/>
      <x:c r="E277" s="24"/>
      <x:c r="F277" s="25"/>
      <x:c r="G277" s="19"/>
      <x:c r="H277" s="104" t="str">
        <x:f>IF($A277="","",COUNTIF('Leads'!$D$2:$D$500,$A277))</x:f>
      </x:c>
      <x:c r="I277" s="96" t="str">
        <x:f>IF($A277="","",SUMIFS('DashboardData'!$H$2:$H$500,'DashboardData'!$B$2:$B$500,"won_revenue",'DashboardData'!$C$2:$C$500,"campaign",'DashboardData'!$D$2:$D$500,$A277))</x:f>
      </x:c>
      <x:c r="J277" s="19"/>
      <x:c r="K277" s="26"/>
      <x:c r="L277" s="19"/>
      <x:c r="M277" s="26"/>
      <x:c r="N277" s="19"/>
      <x:c r="O277" s="19"/>
    </x:row>
    <x:row r="278">
      <x:c r="A278" s="19"/>
      <x:c r="B278" s="19"/>
      <x:c r="C278" s="19"/>
      <x:c r="D278" s="24"/>
      <x:c r="E278" s="24"/>
      <x:c r="F278" s="25"/>
      <x:c r="G278" s="19"/>
      <x:c r="H278" s="104" t="str">
        <x:f>IF($A278="","",COUNTIF('Leads'!$D$2:$D$500,$A278))</x:f>
      </x:c>
      <x:c r="I278" s="96" t="str">
        <x:f>IF($A278="","",SUMIFS('DashboardData'!$H$2:$H$500,'DashboardData'!$B$2:$B$500,"won_revenue",'DashboardData'!$C$2:$C$500,"campaign",'DashboardData'!$D$2:$D$500,$A278))</x:f>
      </x:c>
      <x:c r="J278" s="19"/>
      <x:c r="K278" s="26"/>
      <x:c r="L278" s="19"/>
      <x:c r="M278" s="26"/>
      <x:c r="N278" s="19"/>
      <x:c r="O278" s="19"/>
    </x:row>
    <x:row r="279">
      <x:c r="A279" s="19"/>
      <x:c r="B279" s="19"/>
      <x:c r="C279" s="19"/>
      <x:c r="D279" s="24"/>
      <x:c r="E279" s="24"/>
      <x:c r="F279" s="25"/>
      <x:c r="G279" s="19"/>
      <x:c r="H279" s="104" t="str">
        <x:f>IF($A279="","",COUNTIF('Leads'!$D$2:$D$500,$A279))</x:f>
      </x:c>
      <x:c r="I279" s="96" t="str">
        <x:f>IF($A279="","",SUMIFS('DashboardData'!$H$2:$H$500,'DashboardData'!$B$2:$B$500,"won_revenue",'DashboardData'!$C$2:$C$500,"campaign",'DashboardData'!$D$2:$D$500,$A279))</x:f>
      </x:c>
      <x:c r="J279" s="19"/>
      <x:c r="K279" s="26"/>
      <x:c r="L279" s="19"/>
      <x:c r="M279" s="26"/>
      <x:c r="N279" s="19"/>
      <x:c r="O279" s="19"/>
    </x:row>
    <x:row r="280">
      <x:c r="A280" s="19"/>
      <x:c r="B280" s="19"/>
      <x:c r="C280" s="19"/>
      <x:c r="D280" s="24"/>
      <x:c r="E280" s="24"/>
      <x:c r="F280" s="25"/>
      <x:c r="G280" s="19"/>
      <x:c r="H280" s="104" t="str">
        <x:f>IF($A280="","",COUNTIF('Leads'!$D$2:$D$500,$A280))</x:f>
      </x:c>
      <x:c r="I280" s="96" t="str">
        <x:f>IF($A280="","",SUMIFS('DashboardData'!$H$2:$H$500,'DashboardData'!$B$2:$B$500,"won_revenue",'DashboardData'!$C$2:$C$500,"campaign",'DashboardData'!$D$2:$D$500,$A280))</x:f>
      </x:c>
      <x:c r="J280" s="19"/>
      <x:c r="K280" s="26"/>
      <x:c r="L280" s="19"/>
      <x:c r="M280" s="26"/>
      <x:c r="N280" s="19"/>
      <x:c r="O280" s="19"/>
    </x:row>
    <x:row r="281">
      <x:c r="A281" s="19"/>
      <x:c r="B281" s="19"/>
      <x:c r="C281" s="19"/>
      <x:c r="D281" s="24"/>
      <x:c r="E281" s="24"/>
      <x:c r="F281" s="25"/>
      <x:c r="G281" s="19"/>
      <x:c r="H281" s="104" t="str">
        <x:f>IF($A281="","",COUNTIF('Leads'!$D$2:$D$500,$A281))</x:f>
      </x:c>
      <x:c r="I281" s="96" t="str">
        <x:f>IF($A281="","",SUMIFS('DashboardData'!$H$2:$H$500,'DashboardData'!$B$2:$B$500,"won_revenue",'DashboardData'!$C$2:$C$500,"campaign",'DashboardData'!$D$2:$D$500,$A281))</x:f>
      </x:c>
      <x:c r="J281" s="19"/>
      <x:c r="K281" s="26"/>
      <x:c r="L281" s="19"/>
      <x:c r="M281" s="26"/>
      <x:c r="N281" s="19"/>
      <x:c r="O281" s="19"/>
    </x:row>
    <x:row r="282">
      <x:c r="A282" s="19"/>
      <x:c r="B282" s="19"/>
      <x:c r="C282" s="19"/>
      <x:c r="D282" s="24"/>
      <x:c r="E282" s="24"/>
      <x:c r="F282" s="25"/>
      <x:c r="G282" s="19"/>
      <x:c r="H282" s="104" t="str">
        <x:f>IF($A282="","",COUNTIF('Leads'!$D$2:$D$500,$A282))</x:f>
      </x:c>
      <x:c r="I282" s="96" t="str">
        <x:f>IF($A282="","",SUMIFS('DashboardData'!$H$2:$H$500,'DashboardData'!$B$2:$B$500,"won_revenue",'DashboardData'!$C$2:$C$500,"campaign",'DashboardData'!$D$2:$D$500,$A282))</x:f>
      </x:c>
      <x:c r="J282" s="19"/>
      <x:c r="K282" s="26"/>
      <x:c r="L282" s="19"/>
      <x:c r="M282" s="26"/>
      <x:c r="N282" s="19"/>
      <x:c r="O282" s="19"/>
    </x:row>
    <x:row r="283">
      <x:c r="A283" s="19"/>
      <x:c r="B283" s="19"/>
      <x:c r="C283" s="19"/>
      <x:c r="D283" s="24"/>
      <x:c r="E283" s="24"/>
      <x:c r="F283" s="25"/>
      <x:c r="G283" s="19"/>
      <x:c r="H283" s="104" t="str">
        <x:f>IF($A283="","",COUNTIF('Leads'!$D$2:$D$500,$A283))</x:f>
      </x:c>
      <x:c r="I283" s="96" t="str">
        <x:f>IF($A283="","",SUMIFS('DashboardData'!$H$2:$H$500,'DashboardData'!$B$2:$B$500,"won_revenue",'DashboardData'!$C$2:$C$500,"campaign",'DashboardData'!$D$2:$D$500,$A283))</x:f>
      </x:c>
      <x:c r="J283" s="19"/>
      <x:c r="K283" s="26"/>
      <x:c r="L283" s="19"/>
      <x:c r="M283" s="26"/>
      <x:c r="N283" s="19"/>
      <x:c r="O283" s="19"/>
    </x:row>
    <x:row r="284">
      <x:c r="A284" s="19"/>
      <x:c r="B284" s="19"/>
      <x:c r="C284" s="19"/>
      <x:c r="D284" s="24"/>
      <x:c r="E284" s="24"/>
      <x:c r="F284" s="25"/>
      <x:c r="G284" s="19"/>
      <x:c r="H284" s="104" t="str">
        <x:f>IF($A284="","",COUNTIF('Leads'!$D$2:$D$500,$A284))</x:f>
      </x:c>
      <x:c r="I284" s="96" t="str">
        <x:f>IF($A284="","",SUMIFS('DashboardData'!$H$2:$H$500,'DashboardData'!$B$2:$B$500,"won_revenue",'DashboardData'!$C$2:$C$500,"campaign",'DashboardData'!$D$2:$D$500,$A284))</x:f>
      </x:c>
      <x:c r="J284" s="19"/>
      <x:c r="K284" s="26"/>
      <x:c r="L284" s="19"/>
      <x:c r="M284" s="26"/>
      <x:c r="N284" s="19"/>
      <x:c r="O284" s="19"/>
    </x:row>
    <x:row r="285">
      <x:c r="A285" s="19"/>
      <x:c r="B285" s="19"/>
      <x:c r="C285" s="19"/>
      <x:c r="D285" s="24"/>
      <x:c r="E285" s="24"/>
      <x:c r="F285" s="25"/>
      <x:c r="G285" s="19"/>
      <x:c r="H285" s="104" t="str">
        <x:f>IF($A285="","",COUNTIF('Leads'!$D$2:$D$500,$A285))</x:f>
      </x:c>
      <x:c r="I285" s="96" t="str">
        <x:f>IF($A285="","",SUMIFS('DashboardData'!$H$2:$H$500,'DashboardData'!$B$2:$B$500,"won_revenue",'DashboardData'!$C$2:$C$500,"campaign",'DashboardData'!$D$2:$D$500,$A285))</x:f>
      </x:c>
      <x:c r="J285" s="19"/>
      <x:c r="K285" s="26"/>
      <x:c r="L285" s="19"/>
      <x:c r="M285" s="26"/>
      <x:c r="N285" s="19"/>
      <x:c r="O285" s="19"/>
    </x:row>
    <x:row r="286">
      <x:c r="A286" s="19"/>
      <x:c r="B286" s="19"/>
      <x:c r="C286" s="19"/>
      <x:c r="D286" s="24"/>
      <x:c r="E286" s="24"/>
      <x:c r="F286" s="25"/>
      <x:c r="G286" s="19"/>
      <x:c r="H286" s="104" t="str">
        <x:f>IF($A286="","",COUNTIF('Leads'!$D$2:$D$500,$A286))</x:f>
      </x:c>
      <x:c r="I286" s="96" t="str">
        <x:f>IF($A286="","",SUMIFS('DashboardData'!$H$2:$H$500,'DashboardData'!$B$2:$B$500,"won_revenue",'DashboardData'!$C$2:$C$500,"campaign",'DashboardData'!$D$2:$D$500,$A286))</x:f>
      </x:c>
      <x:c r="J286" s="19"/>
      <x:c r="K286" s="26"/>
      <x:c r="L286" s="19"/>
      <x:c r="M286" s="26"/>
      <x:c r="N286" s="19"/>
      <x:c r="O286" s="19"/>
    </x:row>
    <x:row r="287">
      <x:c r="A287" s="19"/>
      <x:c r="B287" s="19"/>
      <x:c r="C287" s="19"/>
      <x:c r="D287" s="24"/>
      <x:c r="E287" s="24"/>
      <x:c r="F287" s="25"/>
      <x:c r="G287" s="19"/>
      <x:c r="H287" s="104" t="str">
        <x:f>IF($A287="","",COUNTIF('Leads'!$D$2:$D$500,$A287))</x:f>
      </x:c>
      <x:c r="I287" s="96" t="str">
        <x:f>IF($A287="","",SUMIFS('DashboardData'!$H$2:$H$500,'DashboardData'!$B$2:$B$500,"won_revenue",'DashboardData'!$C$2:$C$500,"campaign",'DashboardData'!$D$2:$D$500,$A287))</x:f>
      </x:c>
      <x:c r="J287" s="19"/>
      <x:c r="K287" s="26"/>
      <x:c r="L287" s="19"/>
      <x:c r="M287" s="26"/>
      <x:c r="N287" s="19"/>
      <x:c r="O287" s="19"/>
    </x:row>
    <x:row r="288">
      <x:c r="A288" s="19"/>
      <x:c r="B288" s="19"/>
      <x:c r="C288" s="19"/>
      <x:c r="D288" s="24"/>
      <x:c r="E288" s="24"/>
      <x:c r="F288" s="25"/>
      <x:c r="G288" s="19"/>
      <x:c r="H288" s="104" t="str">
        <x:f>IF($A288="","",COUNTIF('Leads'!$D$2:$D$500,$A288))</x:f>
      </x:c>
      <x:c r="I288" s="96" t="str">
        <x:f>IF($A288="","",SUMIFS('DashboardData'!$H$2:$H$500,'DashboardData'!$B$2:$B$500,"won_revenue",'DashboardData'!$C$2:$C$500,"campaign",'DashboardData'!$D$2:$D$500,$A288))</x:f>
      </x:c>
      <x:c r="J288" s="19"/>
      <x:c r="K288" s="26"/>
      <x:c r="L288" s="19"/>
      <x:c r="M288" s="26"/>
      <x:c r="N288" s="19"/>
      <x:c r="O288" s="19"/>
    </x:row>
    <x:row r="289">
      <x:c r="A289" s="19"/>
      <x:c r="B289" s="19"/>
      <x:c r="C289" s="19"/>
      <x:c r="D289" s="24"/>
      <x:c r="E289" s="24"/>
      <x:c r="F289" s="25"/>
      <x:c r="G289" s="19"/>
      <x:c r="H289" s="104" t="str">
        <x:f>IF($A289="","",COUNTIF('Leads'!$D$2:$D$500,$A289))</x:f>
      </x:c>
      <x:c r="I289" s="96" t="str">
        <x:f>IF($A289="","",SUMIFS('DashboardData'!$H$2:$H$500,'DashboardData'!$B$2:$B$500,"won_revenue",'DashboardData'!$C$2:$C$500,"campaign",'DashboardData'!$D$2:$D$500,$A289))</x:f>
      </x:c>
      <x:c r="J289" s="19"/>
      <x:c r="K289" s="26"/>
      <x:c r="L289" s="19"/>
      <x:c r="M289" s="26"/>
      <x:c r="N289" s="19"/>
      <x:c r="O289" s="19"/>
    </x:row>
    <x:row r="290">
      <x:c r="A290" s="19"/>
      <x:c r="B290" s="19"/>
      <x:c r="C290" s="19"/>
      <x:c r="D290" s="24"/>
      <x:c r="E290" s="24"/>
      <x:c r="F290" s="25"/>
      <x:c r="G290" s="19"/>
      <x:c r="H290" s="104" t="str">
        <x:f>IF($A290="","",COUNTIF('Leads'!$D$2:$D$500,$A290))</x:f>
      </x:c>
      <x:c r="I290" s="96" t="str">
        <x:f>IF($A290="","",SUMIFS('DashboardData'!$H$2:$H$500,'DashboardData'!$B$2:$B$500,"won_revenue",'DashboardData'!$C$2:$C$500,"campaign",'DashboardData'!$D$2:$D$500,$A290))</x:f>
      </x:c>
      <x:c r="J290" s="19"/>
      <x:c r="K290" s="26"/>
      <x:c r="L290" s="19"/>
      <x:c r="M290" s="26"/>
      <x:c r="N290" s="19"/>
      <x:c r="O290" s="19"/>
    </x:row>
    <x:row r="291">
      <x:c r="A291" s="19"/>
      <x:c r="B291" s="19"/>
      <x:c r="C291" s="19"/>
      <x:c r="D291" s="24"/>
      <x:c r="E291" s="24"/>
      <x:c r="F291" s="25"/>
      <x:c r="G291" s="19"/>
      <x:c r="H291" s="104" t="str">
        <x:f>IF($A291="","",COUNTIF('Leads'!$D$2:$D$500,$A291))</x:f>
      </x:c>
      <x:c r="I291" s="96" t="str">
        <x:f>IF($A291="","",SUMIFS('DashboardData'!$H$2:$H$500,'DashboardData'!$B$2:$B$500,"won_revenue",'DashboardData'!$C$2:$C$500,"campaign",'DashboardData'!$D$2:$D$500,$A291))</x:f>
      </x:c>
      <x:c r="J291" s="19"/>
      <x:c r="K291" s="26"/>
      <x:c r="L291" s="19"/>
      <x:c r="M291" s="26"/>
      <x:c r="N291" s="19"/>
      <x:c r="O291" s="19"/>
    </x:row>
    <x:row r="292">
      <x:c r="A292" s="19"/>
      <x:c r="B292" s="19"/>
      <x:c r="C292" s="19"/>
      <x:c r="D292" s="24"/>
      <x:c r="E292" s="24"/>
      <x:c r="F292" s="25"/>
      <x:c r="G292" s="19"/>
      <x:c r="H292" s="104" t="str">
        <x:f>IF($A292="","",COUNTIF('Leads'!$D$2:$D$500,$A292))</x:f>
      </x:c>
      <x:c r="I292" s="96" t="str">
        <x:f>IF($A292="","",SUMIFS('DashboardData'!$H$2:$H$500,'DashboardData'!$B$2:$B$500,"won_revenue",'DashboardData'!$C$2:$C$500,"campaign",'DashboardData'!$D$2:$D$500,$A292))</x:f>
      </x:c>
      <x:c r="J292" s="19"/>
      <x:c r="K292" s="26"/>
      <x:c r="L292" s="19"/>
      <x:c r="M292" s="26"/>
      <x:c r="N292" s="19"/>
      <x:c r="O292" s="19"/>
    </x:row>
    <x:row r="293">
      <x:c r="A293" s="19"/>
      <x:c r="B293" s="19"/>
      <x:c r="C293" s="19"/>
      <x:c r="D293" s="24"/>
      <x:c r="E293" s="24"/>
      <x:c r="F293" s="25"/>
      <x:c r="G293" s="19"/>
      <x:c r="H293" s="104" t="str">
        <x:f>IF($A293="","",COUNTIF('Leads'!$D$2:$D$500,$A293))</x:f>
      </x:c>
      <x:c r="I293" s="96" t="str">
        <x:f>IF($A293="","",SUMIFS('DashboardData'!$H$2:$H$500,'DashboardData'!$B$2:$B$500,"won_revenue",'DashboardData'!$C$2:$C$500,"campaign",'DashboardData'!$D$2:$D$500,$A293))</x:f>
      </x:c>
      <x:c r="J293" s="19"/>
      <x:c r="K293" s="26"/>
      <x:c r="L293" s="19"/>
      <x:c r="M293" s="26"/>
      <x:c r="N293" s="19"/>
      <x:c r="O293" s="19"/>
    </x:row>
    <x:row r="294">
      <x:c r="A294" s="19"/>
      <x:c r="B294" s="19"/>
      <x:c r="C294" s="19"/>
      <x:c r="D294" s="24"/>
      <x:c r="E294" s="24"/>
      <x:c r="F294" s="25"/>
      <x:c r="G294" s="19"/>
      <x:c r="H294" s="104" t="str">
        <x:f>IF($A294="","",COUNTIF('Leads'!$D$2:$D$500,$A294))</x:f>
      </x:c>
      <x:c r="I294" s="96" t="str">
        <x:f>IF($A294="","",SUMIFS('DashboardData'!$H$2:$H$500,'DashboardData'!$B$2:$B$500,"won_revenue",'DashboardData'!$C$2:$C$500,"campaign",'DashboardData'!$D$2:$D$500,$A294))</x:f>
      </x:c>
      <x:c r="J294" s="19"/>
      <x:c r="K294" s="26"/>
      <x:c r="L294" s="19"/>
      <x:c r="M294" s="26"/>
      <x:c r="N294" s="19"/>
      <x:c r="O294" s="19"/>
    </x:row>
    <x:row r="295">
      <x:c r="A295" s="19"/>
      <x:c r="B295" s="19"/>
      <x:c r="C295" s="19"/>
      <x:c r="D295" s="24"/>
      <x:c r="E295" s="24"/>
      <x:c r="F295" s="25"/>
      <x:c r="G295" s="19"/>
      <x:c r="H295" s="104" t="str">
        <x:f>IF($A295="","",COUNTIF('Leads'!$D$2:$D$500,$A295))</x:f>
      </x:c>
      <x:c r="I295" s="96" t="str">
        <x:f>IF($A295="","",SUMIFS('DashboardData'!$H$2:$H$500,'DashboardData'!$B$2:$B$500,"won_revenue",'DashboardData'!$C$2:$C$500,"campaign",'DashboardData'!$D$2:$D$500,$A295))</x:f>
      </x:c>
      <x:c r="J295" s="19"/>
      <x:c r="K295" s="26"/>
      <x:c r="L295" s="19"/>
      <x:c r="M295" s="26"/>
      <x:c r="N295" s="19"/>
      <x:c r="O295" s="19"/>
    </x:row>
    <x:row r="296">
      <x:c r="A296" s="19"/>
      <x:c r="B296" s="19"/>
      <x:c r="C296" s="19"/>
      <x:c r="D296" s="24"/>
      <x:c r="E296" s="24"/>
      <x:c r="F296" s="25"/>
      <x:c r="G296" s="19"/>
      <x:c r="H296" s="104" t="str">
        <x:f>IF($A296="","",COUNTIF('Leads'!$D$2:$D$500,$A296))</x:f>
      </x:c>
      <x:c r="I296" s="96" t="str">
        <x:f>IF($A296="","",SUMIFS('DashboardData'!$H$2:$H$500,'DashboardData'!$B$2:$B$500,"won_revenue",'DashboardData'!$C$2:$C$500,"campaign",'DashboardData'!$D$2:$D$500,$A296))</x:f>
      </x:c>
      <x:c r="J296" s="19"/>
      <x:c r="K296" s="26"/>
      <x:c r="L296" s="19"/>
      <x:c r="M296" s="26"/>
      <x:c r="N296" s="19"/>
      <x:c r="O296" s="19"/>
    </x:row>
    <x:row r="297">
      <x:c r="A297" s="19"/>
      <x:c r="B297" s="19"/>
      <x:c r="C297" s="19"/>
      <x:c r="D297" s="24"/>
      <x:c r="E297" s="24"/>
      <x:c r="F297" s="25"/>
      <x:c r="G297" s="19"/>
      <x:c r="H297" s="104" t="str">
        <x:f>IF($A297="","",COUNTIF('Leads'!$D$2:$D$500,$A297))</x:f>
      </x:c>
      <x:c r="I297" s="96" t="str">
        <x:f>IF($A297="","",SUMIFS('DashboardData'!$H$2:$H$500,'DashboardData'!$B$2:$B$500,"won_revenue",'DashboardData'!$C$2:$C$500,"campaign",'DashboardData'!$D$2:$D$500,$A297))</x:f>
      </x:c>
      <x:c r="J297" s="19"/>
      <x:c r="K297" s="26"/>
      <x:c r="L297" s="19"/>
      <x:c r="M297" s="26"/>
      <x:c r="N297" s="19"/>
      <x:c r="O297" s="19"/>
    </x:row>
    <x:row r="298">
      <x:c r="A298" s="19"/>
      <x:c r="B298" s="19"/>
      <x:c r="C298" s="19"/>
      <x:c r="D298" s="24"/>
      <x:c r="E298" s="24"/>
      <x:c r="F298" s="25"/>
      <x:c r="G298" s="19"/>
      <x:c r="H298" s="104" t="str">
        <x:f>IF($A298="","",COUNTIF('Leads'!$D$2:$D$500,$A298))</x:f>
      </x:c>
      <x:c r="I298" s="96" t="str">
        <x:f>IF($A298="","",SUMIFS('DashboardData'!$H$2:$H$500,'DashboardData'!$B$2:$B$500,"won_revenue",'DashboardData'!$C$2:$C$500,"campaign",'DashboardData'!$D$2:$D$500,$A298))</x:f>
      </x:c>
      <x:c r="J298" s="19"/>
      <x:c r="K298" s="26"/>
      <x:c r="L298" s="19"/>
      <x:c r="M298" s="26"/>
      <x:c r="N298" s="19"/>
      <x:c r="O298" s="19"/>
    </x:row>
    <x:row r="299">
      <x:c r="A299" s="19"/>
      <x:c r="B299" s="19"/>
      <x:c r="C299" s="19"/>
      <x:c r="D299" s="24"/>
      <x:c r="E299" s="24"/>
      <x:c r="F299" s="25"/>
      <x:c r="G299" s="19"/>
      <x:c r="H299" s="104" t="str">
        <x:f>IF($A299="","",COUNTIF('Leads'!$D$2:$D$500,$A299))</x:f>
      </x:c>
      <x:c r="I299" s="96" t="str">
        <x:f>IF($A299="","",SUMIFS('DashboardData'!$H$2:$H$500,'DashboardData'!$B$2:$B$500,"won_revenue",'DashboardData'!$C$2:$C$500,"campaign",'DashboardData'!$D$2:$D$500,$A299))</x:f>
      </x:c>
      <x:c r="J299" s="19"/>
      <x:c r="K299" s="26"/>
      <x:c r="L299" s="19"/>
      <x:c r="M299" s="26"/>
      <x:c r="N299" s="19"/>
      <x:c r="O299" s="19"/>
    </x:row>
    <x:row r="300">
      <x:c r="A300" s="19"/>
      <x:c r="B300" s="19"/>
      <x:c r="C300" s="19"/>
      <x:c r="D300" s="24"/>
      <x:c r="E300" s="24"/>
      <x:c r="F300" s="25"/>
      <x:c r="G300" s="19"/>
      <x:c r="H300" s="104" t="str">
        <x:f>IF($A300="","",COUNTIF('Leads'!$D$2:$D$500,$A300))</x:f>
      </x:c>
      <x:c r="I300" s="96" t="str">
        <x:f>IF($A300="","",SUMIFS('DashboardData'!$H$2:$H$500,'DashboardData'!$B$2:$B$500,"won_revenue",'DashboardData'!$C$2:$C$500,"campaign",'DashboardData'!$D$2:$D$500,$A300))</x:f>
      </x:c>
      <x:c r="J300" s="19"/>
      <x:c r="K300" s="26"/>
      <x:c r="L300" s="19"/>
      <x:c r="M300" s="26"/>
      <x:c r="N300" s="19"/>
      <x:c r="O300" s="19"/>
    </x:row>
    <x:row r="301">
      <x:c r="A301" s="19"/>
      <x:c r="B301" s="19"/>
      <x:c r="C301" s="19"/>
      <x:c r="D301" s="24"/>
      <x:c r="E301" s="24"/>
      <x:c r="F301" s="25"/>
      <x:c r="G301" s="19"/>
      <x:c r="H301" s="104" t="str">
        <x:f>IF($A301="","",COUNTIF('Leads'!$D$2:$D$500,$A301))</x:f>
      </x:c>
      <x:c r="I301" s="96" t="str">
        <x:f>IF($A301="","",SUMIFS('DashboardData'!$H$2:$H$500,'DashboardData'!$B$2:$B$500,"won_revenue",'DashboardData'!$C$2:$C$500,"campaign",'DashboardData'!$D$2:$D$500,$A301))</x:f>
      </x:c>
      <x:c r="J301" s="19"/>
      <x:c r="K301" s="26"/>
      <x:c r="L301" s="19"/>
      <x:c r="M301" s="26"/>
      <x:c r="N301" s="19"/>
      <x:c r="O301" s="19"/>
    </x:row>
    <x:row r="302">
      <x:c r="A302" s="19"/>
      <x:c r="B302" s="19"/>
      <x:c r="C302" s="19"/>
      <x:c r="D302" s="24"/>
      <x:c r="E302" s="24"/>
      <x:c r="F302" s="25"/>
      <x:c r="G302" s="19"/>
      <x:c r="H302" s="104" t="str">
        <x:f>IF($A302="","",COUNTIF('Leads'!$D$2:$D$500,$A302))</x:f>
      </x:c>
      <x:c r="I302" s="96" t="str">
        <x:f>IF($A302="","",SUMIFS('DashboardData'!$H$2:$H$500,'DashboardData'!$B$2:$B$500,"won_revenue",'DashboardData'!$C$2:$C$500,"campaign",'DashboardData'!$D$2:$D$500,$A302))</x:f>
      </x:c>
      <x:c r="J302" s="19"/>
      <x:c r="K302" s="26"/>
      <x:c r="L302" s="19"/>
      <x:c r="M302" s="26"/>
      <x:c r="N302" s="19"/>
      <x:c r="O302" s="19"/>
    </x:row>
    <x:row r="303">
      <x:c r="A303" s="19"/>
      <x:c r="B303" s="19"/>
      <x:c r="C303" s="19"/>
      <x:c r="D303" s="24"/>
      <x:c r="E303" s="24"/>
      <x:c r="F303" s="25"/>
      <x:c r="G303" s="19"/>
      <x:c r="H303" s="104" t="str">
        <x:f>IF($A303="","",COUNTIF('Leads'!$D$2:$D$500,$A303))</x:f>
      </x:c>
      <x:c r="I303" s="96" t="str">
        <x:f>IF($A303="","",SUMIFS('DashboardData'!$H$2:$H$500,'DashboardData'!$B$2:$B$500,"won_revenue",'DashboardData'!$C$2:$C$500,"campaign",'DashboardData'!$D$2:$D$500,$A303))</x:f>
      </x:c>
      <x:c r="J303" s="19"/>
      <x:c r="K303" s="26"/>
      <x:c r="L303" s="19"/>
      <x:c r="M303" s="26"/>
      <x:c r="N303" s="19"/>
      <x:c r="O303" s="19"/>
    </x:row>
    <x:row r="304">
      <x:c r="A304" s="19"/>
      <x:c r="B304" s="19"/>
      <x:c r="C304" s="19"/>
      <x:c r="D304" s="24"/>
      <x:c r="E304" s="24"/>
      <x:c r="F304" s="25"/>
      <x:c r="G304" s="19"/>
      <x:c r="H304" s="104" t="str">
        <x:f>IF($A304="","",COUNTIF('Leads'!$D$2:$D$500,$A304))</x:f>
      </x:c>
      <x:c r="I304" s="96" t="str">
        <x:f>IF($A304="","",SUMIFS('DashboardData'!$H$2:$H$500,'DashboardData'!$B$2:$B$500,"won_revenue",'DashboardData'!$C$2:$C$500,"campaign",'DashboardData'!$D$2:$D$500,$A304))</x:f>
      </x:c>
      <x:c r="J304" s="19"/>
      <x:c r="K304" s="26"/>
      <x:c r="L304" s="19"/>
      <x:c r="M304" s="26"/>
      <x:c r="N304" s="19"/>
      <x:c r="O304" s="19"/>
    </x:row>
    <x:row r="305">
      <x:c r="A305" s="19"/>
      <x:c r="B305" s="19"/>
      <x:c r="C305" s="19"/>
      <x:c r="D305" s="24"/>
      <x:c r="E305" s="24"/>
      <x:c r="F305" s="25"/>
      <x:c r="G305" s="19"/>
      <x:c r="H305" s="104" t="str">
        <x:f>IF($A305="","",COUNTIF('Leads'!$D$2:$D$500,$A305))</x:f>
      </x:c>
      <x:c r="I305" s="96" t="str">
        <x:f>IF($A305="","",SUMIFS('DashboardData'!$H$2:$H$500,'DashboardData'!$B$2:$B$500,"won_revenue",'DashboardData'!$C$2:$C$500,"campaign",'DashboardData'!$D$2:$D$500,$A305))</x:f>
      </x:c>
      <x:c r="J305" s="19"/>
      <x:c r="K305" s="26"/>
      <x:c r="L305" s="19"/>
      <x:c r="M305" s="26"/>
      <x:c r="N305" s="19"/>
      <x:c r="O305" s="19"/>
    </x:row>
    <x:row r="306">
      <x:c r="A306" s="19"/>
      <x:c r="B306" s="19"/>
      <x:c r="C306" s="19"/>
      <x:c r="D306" s="24"/>
      <x:c r="E306" s="24"/>
      <x:c r="F306" s="25"/>
      <x:c r="G306" s="19"/>
      <x:c r="H306" s="104" t="str">
        <x:f>IF($A306="","",COUNTIF('Leads'!$D$2:$D$500,$A306))</x:f>
      </x:c>
      <x:c r="I306" s="96" t="str">
        <x:f>IF($A306="","",SUMIFS('DashboardData'!$H$2:$H$500,'DashboardData'!$B$2:$B$500,"won_revenue",'DashboardData'!$C$2:$C$500,"campaign",'DashboardData'!$D$2:$D$500,$A306))</x:f>
      </x:c>
      <x:c r="J306" s="19"/>
      <x:c r="K306" s="26"/>
      <x:c r="L306" s="19"/>
      <x:c r="M306" s="26"/>
      <x:c r="N306" s="19"/>
      <x:c r="O306" s="19"/>
    </x:row>
    <x:row r="307">
      <x:c r="A307" s="19"/>
      <x:c r="B307" s="19"/>
      <x:c r="C307" s="19"/>
      <x:c r="D307" s="24"/>
      <x:c r="E307" s="24"/>
      <x:c r="F307" s="25"/>
      <x:c r="G307" s="19"/>
      <x:c r="H307" s="104" t="str">
        <x:f>IF($A307="","",COUNTIF('Leads'!$D$2:$D$500,$A307))</x:f>
      </x:c>
      <x:c r="I307" s="96" t="str">
        <x:f>IF($A307="","",SUMIFS('DashboardData'!$H$2:$H$500,'DashboardData'!$B$2:$B$500,"won_revenue",'DashboardData'!$C$2:$C$500,"campaign",'DashboardData'!$D$2:$D$500,$A307))</x:f>
      </x:c>
      <x:c r="J307" s="19"/>
      <x:c r="K307" s="26"/>
      <x:c r="L307" s="19"/>
      <x:c r="M307" s="26"/>
      <x:c r="N307" s="19"/>
      <x:c r="O307" s="19"/>
    </x:row>
    <x:row r="308">
      <x:c r="A308" s="19"/>
      <x:c r="B308" s="19"/>
      <x:c r="C308" s="19"/>
      <x:c r="D308" s="24"/>
      <x:c r="E308" s="24"/>
      <x:c r="F308" s="25"/>
      <x:c r="G308" s="19"/>
      <x:c r="H308" s="104" t="str">
        <x:f>IF($A308="","",COUNTIF('Leads'!$D$2:$D$500,$A308))</x:f>
      </x:c>
      <x:c r="I308" s="96" t="str">
        <x:f>IF($A308="","",SUMIFS('DashboardData'!$H$2:$H$500,'DashboardData'!$B$2:$B$500,"won_revenue",'DashboardData'!$C$2:$C$500,"campaign",'DashboardData'!$D$2:$D$500,$A308))</x:f>
      </x:c>
      <x:c r="J308" s="19"/>
      <x:c r="K308" s="26"/>
      <x:c r="L308" s="19"/>
      <x:c r="M308" s="26"/>
      <x:c r="N308" s="19"/>
      <x:c r="O308" s="19"/>
    </x:row>
    <x:row r="309">
      <x:c r="A309" s="19"/>
      <x:c r="B309" s="19"/>
      <x:c r="C309" s="19"/>
      <x:c r="D309" s="24"/>
      <x:c r="E309" s="24"/>
      <x:c r="F309" s="25"/>
      <x:c r="G309" s="19"/>
      <x:c r="H309" s="104" t="str">
        <x:f>IF($A309="","",COUNTIF('Leads'!$D$2:$D$500,$A309))</x:f>
      </x:c>
      <x:c r="I309" s="96" t="str">
        <x:f>IF($A309="","",SUMIFS('DashboardData'!$H$2:$H$500,'DashboardData'!$B$2:$B$500,"won_revenue",'DashboardData'!$C$2:$C$500,"campaign",'DashboardData'!$D$2:$D$500,$A309))</x:f>
      </x:c>
      <x:c r="J309" s="19"/>
      <x:c r="K309" s="26"/>
      <x:c r="L309" s="19"/>
      <x:c r="M309" s="26"/>
      <x:c r="N309" s="19"/>
      <x:c r="O309" s="19"/>
    </x:row>
    <x:row r="310">
      <x:c r="A310" s="19"/>
      <x:c r="B310" s="19"/>
      <x:c r="C310" s="19"/>
      <x:c r="D310" s="24"/>
      <x:c r="E310" s="24"/>
      <x:c r="F310" s="25"/>
      <x:c r="G310" s="19"/>
      <x:c r="H310" s="104" t="str">
        <x:f>IF($A310="","",COUNTIF('Leads'!$D$2:$D$500,$A310))</x:f>
      </x:c>
      <x:c r="I310" s="96" t="str">
        <x:f>IF($A310="","",SUMIFS('DashboardData'!$H$2:$H$500,'DashboardData'!$B$2:$B$500,"won_revenue",'DashboardData'!$C$2:$C$500,"campaign",'DashboardData'!$D$2:$D$500,$A310))</x:f>
      </x:c>
      <x:c r="J310" s="19"/>
      <x:c r="K310" s="26"/>
      <x:c r="L310" s="19"/>
      <x:c r="M310" s="26"/>
      <x:c r="N310" s="19"/>
      <x:c r="O310" s="19"/>
    </x:row>
    <x:row r="311">
      <x:c r="A311" s="19"/>
      <x:c r="B311" s="19"/>
      <x:c r="C311" s="19"/>
      <x:c r="D311" s="24"/>
      <x:c r="E311" s="24"/>
      <x:c r="F311" s="25"/>
      <x:c r="G311" s="19"/>
      <x:c r="H311" s="104" t="str">
        <x:f>IF($A311="","",COUNTIF('Leads'!$D$2:$D$500,$A311))</x:f>
      </x:c>
      <x:c r="I311" s="96" t="str">
        <x:f>IF($A311="","",SUMIFS('DashboardData'!$H$2:$H$500,'DashboardData'!$B$2:$B$500,"won_revenue",'DashboardData'!$C$2:$C$500,"campaign",'DashboardData'!$D$2:$D$500,$A311))</x:f>
      </x:c>
      <x:c r="J311" s="19"/>
      <x:c r="K311" s="26"/>
      <x:c r="L311" s="19"/>
      <x:c r="M311" s="26"/>
      <x:c r="N311" s="19"/>
      <x:c r="O311" s="19"/>
    </x:row>
    <x:row r="312">
      <x:c r="A312" s="19"/>
      <x:c r="B312" s="19"/>
      <x:c r="C312" s="19"/>
      <x:c r="D312" s="24"/>
      <x:c r="E312" s="24"/>
      <x:c r="F312" s="25"/>
      <x:c r="G312" s="19"/>
      <x:c r="H312" s="104" t="str">
        <x:f>IF($A312="","",COUNTIF('Leads'!$D$2:$D$500,$A312))</x:f>
      </x:c>
      <x:c r="I312" s="96" t="str">
        <x:f>IF($A312="","",SUMIFS('DashboardData'!$H$2:$H$500,'DashboardData'!$B$2:$B$500,"won_revenue",'DashboardData'!$C$2:$C$500,"campaign",'DashboardData'!$D$2:$D$500,$A312))</x:f>
      </x:c>
      <x:c r="J312" s="19"/>
      <x:c r="K312" s="26"/>
      <x:c r="L312" s="19"/>
      <x:c r="M312" s="26"/>
      <x:c r="N312" s="19"/>
      <x:c r="O312" s="19"/>
    </x:row>
    <x:row r="313">
      <x:c r="A313" s="19"/>
      <x:c r="B313" s="19"/>
      <x:c r="C313" s="19"/>
      <x:c r="D313" s="24"/>
      <x:c r="E313" s="24"/>
      <x:c r="F313" s="25"/>
      <x:c r="G313" s="19"/>
      <x:c r="H313" s="104" t="str">
        <x:f>IF($A313="","",COUNTIF('Leads'!$D$2:$D$500,$A313))</x:f>
      </x:c>
      <x:c r="I313" s="96" t="str">
        <x:f>IF($A313="","",SUMIFS('DashboardData'!$H$2:$H$500,'DashboardData'!$B$2:$B$500,"won_revenue",'DashboardData'!$C$2:$C$500,"campaign",'DashboardData'!$D$2:$D$500,$A313))</x:f>
      </x:c>
      <x:c r="J313" s="19"/>
      <x:c r="K313" s="26"/>
      <x:c r="L313" s="19"/>
      <x:c r="M313" s="26"/>
      <x:c r="N313" s="19"/>
      <x:c r="O313" s="19"/>
    </x:row>
    <x:row r="314">
      <x:c r="A314" s="19"/>
      <x:c r="B314" s="19"/>
      <x:c r="C314" s="19"/>
      <x:c r="D314" s="24"/>
      <x:c r="E314" s="24"/>
      <x:c r="F314" s="25"/>
      <x:c r="G314" s="19"/>
      <x:c r="H314" s="104" t="str">
        <x:f>IF($A314="","",COUNTIF('Leads'!$D$2:$D$500,$A314))</x:f>
      </x:c>
      <x:c r="I314" s="96" t="str">
        <x:f>IF($A314="","",SUMIFS('DashboardData'!$H$2:$H$500,'DashboardData'!$B$2:$B$500,"won_revenue",'DashboardData'!$C$2:$C$500,"campaign",'DashboardData'!$D$2:$D$500,$A314))</x:f>
      </x:c>
      <x:c r="J314" s="19"/>
      <x:c r="K314" s="26"/>
      <x:c r="L314" s="19"/>
      <x:c r="M314" s="26"/>
      <x:c r="N314" s="19"/>
      <x:c r="O314" s="19"/>
    </x:row>
    <x:row r="315">
      <x:c r="A315" s="19"/>
      <x:c r="B315" s="19"/>
      <x:c r="C315" s="19"/>
      <x:c r="D315" s="24"/>
      <x:c r="E315" s="24"/>
      <x:c r="F315" s="25"/>
      <x:c r="G315" s="19"/>
      <x:c r="H315" s="104" t="str">
        <x:f>IF($A315="","",COUNTIF('Leads'!$D$2:$D$500,$A315))</x:f>
      </x:c>
      <x:c r="I315" s="96" t="str">
        <x:f>IF($A315="","",SUMIFS('DashboardData'!$H$2:$H$500,'DashboardData'!$B$2:$B$500,"won_revenue",'DashboardData'!$C$2:$C$500,"campaign",'DashboardData'!$D$2:$D$500,$A315))</x:f>
      </x:c>
      <x:c r="J315" s="19"/>
      <x:c r="K315" s="26"/>
      <x:c r="L315" s="19"/>
      <x:c r="M315" s="26"/>
      <x:c r="N315" s="19"/>
      <x:c r="O315" s="19"/>
    </x:row>
    <x:row r="316">
      <x:c r="A316" s="19"/>
      <x:c r="B316" s="19"/>
      <x:c r="C316" s="19"/>
      <x:c r="D316" s="24"/>
      <x:c r="E316" s="24"/>
      <x:c r="F316" s="25"/>
      <x:c r="G316" s="19"/>
      <x:c r="H316" s="104" t="str">
        <x:f>IF($A316="","",COUNTIF('Leads'!$D$2:$D$500,$A316))</x:f>
      </x:c>
      <x:c r="I316" s="96" t="str">
        <x:f>IF($A316="","",SUMIFS('DashboardData'!$H$2:$H$500,'DashboardData'!$B$2:$B$500,"won_revenue",'DashboardData'!$C$2:$C$500,"campaign",'DashboardData'!$D$2:$D$500,$A316))</x:f>
      </x:c>
      <x:c r="J316" s="19"/>
      <x:c r="K316" s="26"/>
      <x:c r="L316" s="19"/>
      <x:c r="M316" s="26"/>
      <x:c r="N316" s="19"/>
      <x:c r="O316" s="19"/>
    </x:row>
    <x:row r="317">
      <x:c r="A317" s="19"/>
      <x:c r="B317" s="19"/>
      <x:c r="C317" s="19"/>
      <x:c r="D317" s="24"/>
      <x:c r="E317" s="24"/>
      <x:c r="F317" s="25"/>
      <x:c r="G317" s="19"/>
      <x:c r="H317" s="104" t="str">
        <x:f>IF($A317="","",COUNTIF('Leads'!$D$2:$D$500,$A317))</x:f>
      </x:c>
      <x:c r="I317" s="96" t="str">
        <x:f>IF($A317="","",SUMIFS('DashboardData'!$H$2:$H$500,'DashboardData'!$B$2:$B$500,"won_revenue",'DashboardData'!$C$2:$C$500,"campaign",'DashboardData'!$D$2:$D$500,$A317))</x:f>
      </x:c>
      <x:c r="J317" s="19"/>
      <x:c r="K317" s="26"/>
      <x:c r="L317" s="19"/>
      <x:c r="M317" s="26"/>
      <x:c r="N317" s="19"/>
      <x:c r="O317" s="19"/>
    </x:row>
    <x:row r="318">
      <x:c r="A318" s="19"/>
      <x:c r="B318" s="19"/>
      <x:c r="C318" s="19"/>
      <x:c r="D318" s="24"/>
      <x:c r="E318" s="24"/>
      <x:c r="F318" s="25"/>
      <x:c r="G318" s="19"/>
      <x:c r="H318" s="104" t="str">
        <x:f>IF($A318="","",COUNTIF('Leads'!$D$2:$D$500,$A318))</x:f>
      </x:c>
      <x:c r="I318" s="96" t="str">
        <x:f>IF($A318="","",SUMIFS('DashboardData'!$H$2:$H$500,'DashboardData'!$B$2:$B$500,"won_revenue",'DashboardData'!$C$2:$C$500,"campaign",'DashboardData'!$D$2:$D$500,$A318))</x:f>
      </x:c>
      <x:c r="J318" s="19"/>
      <x:c r="K318" s="26"/>
      <x:c r="L318" s="19"/>
      <x:c r="M318" s="26"/>
      <x:c r="N318" s="19"/>
      <x:c r="O318" s="19"/>
    </x:row>
    <x:row r="319">
      <x:c r="A319" s="19"/>
      <x:c r="B319" s="19"/>
      <x:c r="C319" s="19"/>
      <x:c r="D319" s="24"/>
      <x:c r="E319" s="24"/>
      <x:c r="F319" s="25"/>
      <x:c r="G319" s="19"/>
      <x:c r="H319" s="104" t="str">
        <x:f>IF($A319="","",COUNTIF('Leads'!$D$2:$D$500,$A319))</x:f>
      </x:c>
      <x:c r="I319" s="96" t="str">
        <x:f>IF($A319="","",SUMIFS('DashboardData'!$H$2:$H$500,'DashboardData'!$B$2:$B$500,"won_revenue",'DashboardData'!$C$2:$C$500,"campaign",'DashboardData'!$D$2:$D$500,$A319))</x:f>
      </x:c>
      <x:c r="J319" s="19"/>
      <x:c r="K319" s="26"/>
      <x:c r="L319" s="19"/>
      <x:c r="M319" s="26"/>
      <x:c r="N319" s="19"/>
      <x:c r="O319" s="19"/>
    </x:row>
    <x:row r="320">
      <x:c r="A320" s="19"/>
      <x:c r="B320" s="19"/>
      <x:c r="C320" s="19"/>
      <x:c r="D320" s="24"/>
      <x:c r="E320" s="24"/>
      <x:c r="F320" s="25"/>
      <x:c r="G320" s="19"/>
      <x:c r="H320" s="104" t="str">
        <x:f>IF($A320="","",COUNTIF('Leads'!$D$2:$D$500,$A320))</x:f>
      </x:c>
      <x:c r="I320" s="96" t="str">
        <x:f>IF($A320="","",SUMIFS('DashboardData'!$H$2:$H$500,'DashboardData'!$B$2:$B$500,"won_revenue",'DashboardData'!$C$2:$C$500,"campaign",'DashboardData'!$D$2:$D$500,$A320))</x:f>
      </x:c>
      <x:c r="J320" s="19"/>
      <x:c r="K320" s="26"/>
      <x:c r="L320" s="19"/>
      <x:c r="M320" s="26"/>
      <x:c r="N320" s="19"/>
      <x:c r="O320" s="19"/>
    </x:row>
    <x:row r="321">
      <x:c r="A321" s="19"/>
      <x:c r="B321" s="19"/>
      <x:c r="C321" s="19"/>
      <x:c r="D321" s="24"/>
      <x:c r="E321" s="24"/>
      <x:c r="F321" s="25"/>
      <x:c r="G321" s="19"/>
      <x:c r="H321" s="104" t="str">
        <x:f>IF($A321="","",COUNTIF('Leads'!$D$2:$D$500,$A321))</x:f>
      </x:c>
      <x:c r="I321" s="96" t="str">
        <x:f>IF($A321="","",SUMIFS('DashboardData'!$H$2:$H$500,'DashboardData'!$B$2:$B$500,"won_revenue",'DashboardData'!$C$2:$C$500,"campaign",'DashboardData'!$D$2:$D$500,$A321))</x:f>
      </x:c>
      <x:c r="J321" s="19"/>
      <x:c r="K321" s="26"/>
      <x:c r="L321" s="19"/>
      <x:c r="M321" s="26"/>
      <x:c r="N321" s="19"/>
      <x:c r="O321" s="19"/>
    </x:row>
    <x:row r="322">
      <x:c r="A322" s="19"/>
      <x:c r="B322" s="19"/>
      <x:c r="C322" s="19"/>
      <x:c r="D322" s="24"/>
      <x:c r="E322" s="24"/>
      <x:c r="F322" s="25"/>
      <x:c r="G322" s="19"/>
      <x:c r="H322" s="104" t="str">
        <x:f>IF($A322="","",COUNTIF('Leads'!$D$2:$D$500,$A322))</x:f>
      </x:c>
      <x:c r="I322" s="96" t="str">
        <x:f>IF($A322="","",SUMIFS('DashboardData'!$H$2:$H$500,'DashboardData'!$B$2:$B$500,"won_revenue",'DashboardData'!$C$2:$C$500,"campaign",'DashboardData'!$D$2:$D$500,$A322))</x:f>
      </x:c>
      <x:c r="J322" s="19"/>
      <x:c r="K322" s="26"/>
      <x:c r="L322" s="19"/>
      <x:c r="M322" s="26"/>
      <x:c r="N322" s="19"/>
      <x:c r="O322" s="19"/>
    </x:row>
    <x:row r="323">
      <x:c r="A323" s="19"/>
      <x:c r="B323" s="19"/>
      <x:c r="C323" s="19"/>
      <x:c r="D323" s="24"/>
      <x:c r="E323" s="24"/>
      <x:c r="F323" s="25"/>
      <x:c r="G323" s="19"/>
      <x:c r="H323" s="104" t="str">
        <x:f>IF($A323="","",COUNTIF('Leads'!$D$2:$D$500,$A323))</x:f>
      </x:c>
      <x:c r="I323" s="96" t="str">
        <x:f>IF($A323="","",SUMIFS('DashboardData'!$H$2:$H$500,'DashboardData'!$B$2:$B$500,"won_revenue",'DashboardData'!$C$2:$C$500,"campaign",'DashboardData'!$D$2:$D$500,$A323))</x:f>
      </x:c>
      <x:c r="J323" s="19"/>
      <x:c r="K323" s="26"/>
      <x:c r="L323" s="19"/>
      <x:c r="M323" s="26"/>
      <x:c r="N323" s="19"/>
      <x:c r="O323" s="19"/>
    </x:row>
    <x:row r="324">
      <x:c r="A324" s="19"/>
      <x:c r="B324" s="19"/>
      <x:c r="C324" s="19"/>
      <x:c r="D324" s="24"/>
      <x:c r="E324" s="24"/>
      <x:c r="F324" s="25"/>
      <x:c r="G324" s="19"/>
      <x:c r="H324" s="104" t="str">
        <x:f>IF($A324="","",COUNTIF('Leads'!$D$2:$D$500,$A324))</x:f>
      </x:c>
      <x:c r="I324" s="96" t="str">
        <x:f>IF($A324="","",SUMIFS('DashboardData'!$H$2:$H$500,'DashboardData'!$B$2:$B$500,"won_revenue",'DashboardData'!$C$2:$C$500,"campaign",'DashboardData'!$D$2:$D$500,$A324))</x:f>
      </x:c>
      <x:c r="J324" s="19"/>
      <x:c r="K324" s="26"/>
      <x:c r="L324" s="19"/>
      <x:c r="M324" s="26"/>
      <x:c r="N324" s="19"/>
      <x:c r="O324" s="19"/>
    </x:row>
    <x:row r="325">
      <x:c r="A325" s="19"/>
      <x:c r="B325" s="19"/>
      <x:c r="C325" s="19"/>
      <x:c r="D325" s="24"/>
      <x:c r="E325" s="24"/>
      <x:c r="F325" s="25"/>
      <x:c r="G325" s="19"/>
      <x:c r="H325" s="104" t="str">
        <x:f>IF($A325="","",COUNTIF('Leads'!$D$2:$D$500,$A325))</x:f>
      </x:c>
      <x:c r="I325" s="96" t="str">
        <x:f>IF($A325="","",SUMIFS('DashboardData'!$H$2:$H$500,'DashboardData'!$B$2:$B$500,"won_revenue",'DashboardData'!$C$2:$C$500,"campaign",'DashboardData'!$D$2:$D$500,$A325))</x:f>
      </x:c>
      <x:c r="J325" s="19"/>
      <x:c r="K325" s="26"/>
      <x:c r="L325" s="19"/>
      <x:c r="M325" s="26"/>
      <x:c r="N325" s="19"/>
      <x:c r="O325" s="19"/>
    </x:row>
    <x:row r="326">
      <x:c r="A326" s="19"/>
      <x:c r="B326" s="19"/>
      <x:c r="C326" s="19"/>
      <x:c r="D326" s="24"/>
      <x:c r="E326" s="24"/>
      <x:c r="F326" s="25"/>
      <x:c r="G326" s="19"/>
      <x:c r="H326" s="104" t="str">
        <x:f>IF($A326="","",COUNTIF('Leads'!$D$2:$D$500,$A326))</x:f>
      </x:c>
      <x:c r="I326" s="96" t="str">
        <x:f>IF($A326="","",SUMIFS('DashboardData'!$H$2:$H$500,'DashboardData'!$B$2:$B$500,"won_revenue",'DashboardData'!$C$2:$C$500,"campaign",'DashboardData'!$D$2:$D$500,$A326))</x:f>
      </x:c>
      <x:c r="J326" s="19"/>
      <x:c r="K326" s="26"/>
      <x:c r="L326" s="19"/>
      <x:c r="M326" s="26"/>
      <x:c r="N326" s="19"/>
      <x:c r="O326" s="19"/>
    </x:row>
    <x:row r="327">
      <x:c r="A327" s="19"/>
      <x:c r="B327" s="19"/>
      <x:c r="C327" s="19"/>
      <x:c r="D327" s="24"/>
      <x:c r="E327" s="24"/>
      <x:c r="F327" s="25"/>
      <x:c r="G327" s="19"/>
      <x:c r="H327" s="104" t="str">
        <x:f>IF($A327="","",COUNTIF('Leads'!$D$2:$D$500,$A327))</x:f>
      </x:c>
      <x:c r="I327" s="96" t="str">
        <x:f>IF($A327="","",SUMIFS('DashboardData'!$H$2:$H$500,'DashboardData'!$B$2:$B$500,"won_revenue",'DashboardData'!$C$2:$C$500,"campaign",'DashboardData'!$D$2:$D$500,$A327))</x:f>
      </x:c>
      <x:c r="J327" s="19"/>
      <x:c r="K327" s="26"/>
      <x:c r="L327" s="19"/>
      <x:c r="M327" s="26"/>
      <x:c r="N327" s="19"/>
      <x:c r="O327" s="19"/>
    </x:row>
    <x:row r="328">
      <x:c r="A328" s="19"/>
      <x:c r="B328" s="19"/>
      <x:c r="C328" s="19"/>
      <x:c r="D328" s="24"/>
      <x:c r="E328" s="24"/>
      <x:c r="F328" s="25"/>
      <x:c r="G328" s="19"/>
      <x:c r="H328" s="104" t="str">
        <x:f>IF($A328="","",COUNTIF('Leads'!$D$2:$D$500,$A328))</x:f>
      </x:c>
      <x:c r="I328" s="96" t="str">
        <x:f>IF($A328="","",SUMIFS('DashboardData'!$H$2:$H$500,'DashboardData'!$B$2:$B$500,"won_revenue",'DashboardData'!$C$2:$C$500,"campaign",'DashboardData'!$D$2:$D$500,$A328))</x:f>
      </x:c>
      <x:c r="J328" s="19"/>
      <x:c r="K328" s="26"/>
      <x:c r="L328" s="19"/>
      <x:c r="M328" s="26"/>
      <x:c r="N328" s="19"/>
      <x:c r="O328" s="19"/>
    </x:row>
    <x:row r="329">
      <x:c r="A329" s="19"/>
      <x:c r="B329" s="19"/>
      <x:c r="C329" s="19"/>
      <x:c r="D329" s="24"/>
      <x:c r="E329" s="24"/>
      <x:c r="F329" s="25"/>
      <x:c r="G329" s="19"/>
      <x:c r="H329" s="104" t="str">
        <x:f>IF($A329="","",COUNTIF('Leads'!$D$2:$D$500,$A329))</x:f>
      </x:c>
      <x:c r="I329" s="96" t="str">
        <x:f>IF($A329="","",SUMIFS('DashboardData'!$H$2:$H$500,'DashboardData'!$B$2:$B$500,"won_revenue",'DashboardData'!$C$2:$C$500,"campaign",'DashboardData'!$D$2:$D$500,$A329))</x:f>
      </x:c>
      <x:c r="J329" s="19"/>
      <x:c r="K329" s="26"/>
      <x:c r="L329" s="19"/>
      <x:c r="M329" s="26"/>
      <x:c r="N329" s="19"/>
      <x:c r="O329" s="19"/>
    </x:row>
    <x:row r="330">
      <x:c r="A330" s="19"/>
      <x:c r="B330" s="19"/>
      <x:c r="C330" s="19"/>
      <x:c r="D330" s="24"/>
      <x:c r="E330" s="24"/>
      <x:c r="F330" s="25"/>
      <x:c r="G330" s="19"/>
      <x:c r="H330" s="104" t="str">
        <x:f>IF($A330="","",COUNTIF('Leads'!$D$2:$D$500,$A330))</x:f>
      </x:c>
      <x:c r="I330" s="96" t="str">
        <x:f>IF($A330="","",SUMIFS('DashboardData'!$H$2:$H$500,'DashboardData'!$B$2:$B$500,"won_revenue",'DashboardData'!$C$2:$C$500,"campaign",'DashboardData'!$D$2:$D$500,$A330))</x:f>
      </x:c>
      <x:c r="J330" s="19"/>
      <x:c r="K330" s="26"/>
      <x:c r="L330" s="19"/>
      <x:c r="M330" s="26"/>
      <x:c r="N330" s="19"/>
      <x:c r="O330" s="19"/>
    </x:row>
    <x:row r="331">
      <x:c r="A331" s="19"/>
      <x:c r="B331" s="19"/>
      <x:c r="C331" s="19"/>
      <x:c r="D331" s="24"/>
      <x:c r="E331" s="24"/>
      <x:c r="F331" s="25"/>
      <x:c r="G331" s="19"/>
      <x:c r="H331" s="104" t="str">
        <x:f>IF($A331="","",COUNTIF('Leads'!$D$2:$D$500,$A331))</x:f>
      </x:c>
      <x:c r="I331" s="96" t="str">
        <x:f>IF($A331="","",SUMIFS('DashboardData'!$H$2:$H$500,'DashboardData'!$B$2:$B$500,"won_revenue",'DashboardData'!$C$2:$C$500,"campaign",'DashboardData'!$D$2:$D$500,$A331))</x:f>
      </x:c>
      <x:c r="J331" s="19"/>
      <x:c r="K331" s="26"/>
      <x:c r="L331" s="19"/>
      <x:c r="M331" s="26"/>
      <x:c r="N331" s="19"/>
      <x:c r="O331" s="19"/>
    </x:row>
    <x:row r="332">
      <x:c r="A332" s="19"/>
      <x:c r="B332" s="19"/>
      <x:c r="C332" s="19"/>
      <x:c r="D332" s="24"/>
      <x:c r="E332" s="24"/>
      <x:c r="F332" s="25"/>
      <x:c r="G332" s="19"/>
      <x:c r="H332" s="104" t="str">
        <x:f>IF($A332="","",COUNTIF('Leads'!$D$2:$D$500,$A332))</x:f>
      </x:c>
      <x:c r="I332" s="96" t="str">
        <x:f>IF($A332="","",SUMIFS('DashboardData'!$H$2:$H$500,'DashboardData'!$B$2:$B$500,"won_revenue",'DashboardData'!$C$2:$C$500,"campaign",'DashboardData'!$D$2:$D$500,$A332))</x:f>
      </x:c>
      <x:c r="J332" s="19"/>
      <x:c r="K332" s="26"/>
      <x:c r="L332" s="19"/>
      <x:c r="M332" s="26"/>
      <x:c r="N332" s="19"/>
      <x:c r="O332" s="19"/>
    </x:row>
    <x:row r="333">
      <x:c r="A333" s="19"/>
      <x:c r="B333" s="19"/>
      <x:c r="C333" s="19"/>
      <x:c r="D333" s="24"/>
      <x:c r="E333" s="24"/>
      <x:c r="F333" s="25"/>
      <x:c r="G333" s="19"/>
      <x:c r="H333" s="104" t="str">
        <x:f>IF($A333="","",COUNTIF('Leads'!$D$2:$D$500,$A333))</x:f>
      </x:c>
      <x:c r="I333" s="96" t="str">
        <x:f>IF($A333="","",SUMIFS('DashboardData'!$H$2:$H$500,'DashboardData'!$B$2:$B$500,"won_revenue",'DashboardData'!$C$2:$C$500,"campaign",'DashboardData'!$D$2:$D$500,$A333))</x:f>
      </x:c>
      <x:c r="J333" s="19"/>
      <x:c r="K333" s="26"/>
      <x:c r="L333" s="19"/>
      <x:c r="M333" s="26"/>
      <x:c r="N333" s="19"/>
      <x:c r="O333" s="19"/>
    </x:row>
    <x:row r="334">
      <x:c r="A334" s="19"/>
      <x:c r="B334" s="19"/>
      <x:c r="C334" s="19"/>
      <x:c r="D334" s="24"/>
      <x:c r="E334" s="24"/>
      <x:c r="F334" s="25"/>
      <x:c r="G334" s="19"/>
      <x:c r="H334" s="104" t="str">
        <x:f>IF($A334="","",COUNTIF('Leads'!$D$2:$D$500,$A334))</x:f>
      </x:c>
      <x:c r="I334" s="96" t="str">
        <x:f>IF($A334="","",SUMIFS('DashboardData'!$H$2:$H$500,'DashboardData'!$B$2:$B$500,"won_revenue",'DashboardData'!$C$2:$C$500,"campaign",'DashboardData'!$D$2:$D$500,$A334))</x:f>
      </x:c>
      <x:c r="J334" s="19"/>
      <x:c r="K334" s="26"/>
      <x:c r="L334" s="19"/>
      <x:c r="M334" s="26"/>
      <x:c r="N334" s="19"/>
      <x:c r="O334" s="19"/>
    </x:row>
    <x:row r="335">
      <x:c r="A335" s="19"/>
      <x:c r="B335" s="19"/>
      <x:c r="C335" s="19"/>
      <x:c r="D335" s="24"/>
      <x:c r="E335" s="24"/>
      <x:c r="F335" s="25"/>
      <x:c r="G335" s="19"/>
      <x:c r="H335" s="104" t="str">
        <x:f>IF($A335="","",COUNTIF('Leads'!$D$2:$D$500,$A335))</x:f>
      </x:c>
      <x:c r="I335" s="96" t="str">
        <x:f>IF($A335="","",SUMIFS('DashboardData'!$H$2:$H$500,'DashboardData'!$B$2:$B$500,"won_revenue",'DashboardData'!$C$2:$C$500,"campaign",'DashboardData'!$D$2:$D$500,$A335))</x:f>
      </x:c>
      <x:c r="J335" s="19"/>
      <x:c r="K335" s="26"/>
      <x:c r="L335" s="19"/>
      <x:c r="M335" s="26"/>
      <x:c r="N335" s="19"/>
      <x:c r="O335" s="19"/>
    </x:row>
    <x:row r="336">
      <x:c r="A336" s="19"/>
      <x:c r="B336" s="19"/>
      <x:c r="C336" s="19"/>
      <x:c r="D336" s="24"/>
      <x:c r="E336" s="24"/>
      <x:c r="F336" s="25"/>
      <x:c r="G336" s="19"/>
      <x:c r="H336" s="104" t="str">
        <x:f>IF($A336="","",COUNTIF('Leads'!$D$2:$D$500,$A336))</x:f>
      </x:c>
      <x:c r="I336" s="96" t="str">
        <x:f>IF($A336="","",SUMIFS('DashboardData'!$H$2:$H$500,'DashboardData'!$B$2:$B$500,"won_revenue",'DashboardData'!$C$2:$C$500,"campaign",'DashboardData'!$D$2:$D$500,$A336))</x:f>
      </x:c>
      <x:c r="J336" s="19"/>
      <x:c r="K336" s="26"/>
      <x:c r="L336" s="19"/>
      <x:c r="M336" s="26"/>
      <x:c r="N336" s="19"/>
      <x:c r="O336" s="19"/>
    </x:row>
    <x:row r="337">
      <x:c r="A337" s="19"/>
      <x:c r="B337" s="19"/>
      <x:c r="C337" s="19"/>
      <x:c r="D337" s="24"/>
      <x:c r="E337" s="24"/>
      <x:c r="F337" s="25"/>
      <x:c r="G337" s="19"/>
      <x:c r="H337" s="104" t="str">
        <x:f>IF($A337="","",COUNTIF('Leads'!$D$2:$D$500,$A337))</x:f>
      </x:c>
      <x:c r="I337" s="96" t="str">
        <x:f>IF($A337="","",SUMIFS('DashboardData'!$H$2:$H$500,'DashboardData'!$B$2:$B$500,"won_revenue",'DashboardData'!$C$2:$C$500,"campaign",'DashboardData'!$D$2:$D$500,$A337))</x:f>
      </x:c>
      <x:c r="J337" s="19"/>
      <x:c r="K337" s="26"/>
      <x:c r="L337" s="19"/>
      <x:c r="M337" s="26"/>
      <x:c r="N337" s="19"/>
      <x:c r="O337" s="19"/>
    </x:row>
    <x:row r="338">
      <x:c r="A338" s="19"/>
      <x:c r="B338" s="19"/>
      <x:c r="C338" s="19"/>
      <x:c r="D338" s="24"/>
      <x:c r="E338" s="24"/>
      <x:c r="F338" s="25"/>
      <x:c r="G338" s="19"/>
      <x:c r="H338" s="104" t="str">
        <x:f>IF($A338="","",COUNTIF('Leads'!$D$2:$D$500,$A338))</x:f>
      </x:c>
      <x:c r="I338" s="96" t="str">
        <x:f>IF($A338="","",SUMIFS('DashboardData'!$H$2:$H$500,'DashboardData'!$B$2:$B$500,"won_revenue",'DashboardData'!$C$2:$C$500,"campaign",'DashboardData'!$D$2:$D$500,$A338))</x:f>
      </x:c>
      <x:c r="J338" s="19"/>
      <x:c r="K338" s="26"/>
      <x:c r="L338" s="19"/>
      <x:c r="M338" s="26"/>
      <x:c r="N338" s="19"/>
      <x:c r="O338" s="19"/>
    </x:row>
    <x:row r="339">
      <x:c r="A339" s="19"/>
      <x:c r="B339" s="19"/>
      <x:c r="C339" s="19"/>
      <x:c r="D339" s="24"/>
      <x:c r="E339" s="24"/>
      <x:c r="F339" s="25"/>
      <x:c r="G339" s="19"/>
      <x:c r="H339" s="104" t="str">
        <x:f>IF($A339="","",COUNTIF('Leads'!$D$2:$D$500,$A339))</x:f>
      </x:c>
      <x:c r="I339" s="96" t="str">
        <x:f>IF($A339="","",SUMIFS('DashboardData'!$H$2:$H$500,'DashboardData'!$B$2:$B$500,"won_revenue",'DashboardData'!$C$2:$C$500,"campaign",'DashboardData'!$D$2:$D$500,$A339))</x:f>
      </x:c>
      <x:c r="J339" s="19"/>
      <x:c r="K339" s="26"/>
      <x:c r="L339" s="19"/>
      <x:c r="M339" s="26"/>
      <x:c r="N339" s="19"/>
      <x:c r="O339" s="19"/>
    </x:row>
    <x:row r="340">
      <x:c r="A340" s="19"/>
      <x:c r="B340" s="19"/>
      <x:c r="C340" s="19"/>
      <x:c r="D340" s="24"/>
      <x:c r="E340" s="24"/>
      <x:c r="F340" s="25"/>
      <x:c r="G340" s="19"/>
      <x:c r="H340" s="104" t="str">
        <x:f>IF($A340="","",COUNTIF('Leads'!$D$2:$D$500,$A340))</x:f>
      </x:c>
      <x:c r="I340" s="96" t="str">
        <x:f>IF($A340="","",SUMIFS('DashboardData'!$H$2:$H$500,'DashboardData'!$B$2:$B$500,"won_revenue",'DashboardData'!$C$2:$C$500,"campaign",'DashboardData'!$D$2:$D$500,$A340))</x:f>
      </x:c>
      <x:c r="J340" s="19"/>
      <x:c r="K340" s="26"/>
      <x:c r="L340" s="19"/>
      <x:c r="M340" s="26"/>
      <x:c r="N340" s="19"/>
      <x:c r="O340" s="19"/>
    </x:row>
    <x:row r="341">
      <x:c r="A341" s="19"/>
      <x:c r="B341" s="19"/>
      <x:c r="C341" s="19"/>
      <x:c r="D341" s="24"/>
      <x:c r="E341" s="24"/>
      <x:c r="F341" s="25"/>
      <x:c r="G341" s="19"/>
      <x:c r="H341" s="104" t="str">
        <x:f>IF($A341="","",COUNTIF('Leads'!$D$2:$D$500,$A341))</x:f>
      </x:c>
      <x:c r="I341" s="96" t="str">
        <x:f>IF($A341="","",SUMIFS('DashboardData'!$H$2:$H$500,'DashboardData'!$B$2:$B$500,"won_revenue",'DashboardData'!$C$2:$C$500,"campaign",'DashboardData'!$D$2:$D$500,$A341))</x:f>
      </x:c>
      <x:c r="J341" s="19"/>
      <x:c r="K341" s="26"/>
      <x:c r="L341" s="19"/>
      <x:c r="M341" s="26"/>
      <x:c r="N341" s="19"/>
      <x:c r="O341" s="19"/>
    </x:row>
    <x:row r="342">
      <x:c r="A342" s="19"/>
      <x:c r="B342" s="19"/>
      <x:c r="C342" s="19"/>
      <x:c r="D342" s="24"/>
      <x:c r="E342" s="24"/>
      <x:c r="F342" s="25"/>
      <x:c r="G342" s="19"/>
      <x:c r="H342" s="104" t="str">
        <x:f>IF($A342="","",COUNTIF('Leads'!$D$2:$D$500,$A342))</x:f>
      </x:c>
      <x:c r="I342" s="96" t="str">
        <x:f>IF($A342="","",SUMIFS('DashboardData'!$H$2:$H$500,'DashboardData'!$B$2:$B$500,"won_revenue",'DashboardData'!$C$2:$C$500,"campaign",'DashboardData'!$D$2:$D$500,$A342))</x:f>
      </x:c>
      <x:c r="J342" s="19"/>
      <x:c r="K342" s="26"/>
      <x:c r="L342" s="19"/>
      <x:c r="M342" s="26"/>
      <x:c r="N342" s="19"/>
      <x:c r="O342" s="19"/>
    </x:row>
    <x:row r="343">
      <x:c r="A343" s="19"/>
      <x:c r="B343" s="19"/>
      <x:c r="C343" s="19"/>
      <x:c r="D343" s="24"/>
      <x:c r="E343" s="24"/>
      <x:c r="F343" s="25"/>
      <x:c r="G343" s="19"/>
      <x:c r="H343" s="104" t="str">
        <x:f>IF($A343="","",COUNTIF('Leads'!$D$2:$D$500,$A343))</x:f>
      </x:c>
      <x:c r="I343" s="96" t="str">
        <x:f>IF($A343="","",SUMIFS('DashboardData'!$H$2:$H$500,'DashboardData'!$B$2:$B$500,"won_revenue",'DashboardData'!$C$2:$C$500,"campaign",'DashboardData'!$D$2:$D$500,$A343))</x:f>
      </x:c>
      <x:c r="J343" s="19"/>
      <x:c r="K343" s="26"/>
      <x:c r="L343" s="19"/>
      <x:c r="M343" s="26"/>
      <x:c r="N343" s="19"/>
      <x:c r="O343" s="19"/>
    </x:row>
    <x:row r="344">
      <x:c r="A344" s="19"/>
      <x:c r="B344" s="19"/>
      <x:c r="C344" s="19"/>
      <x:c r="D344" s="24"/>
      <x:c r="E344" s="24"/>
      <x:c r="F344" s="25"/>
      <x:c r="G344" s="19"/>
      <x:c r="H344" s="104" t="str">
        <x:f>IF($A344="","",COUNTIF('Leads'!$D$2:$D$500,$A344))</x:f>
      </x:c>
      <x:c r="I344" s="96" t="str">
        <x:f>IF($A344="","",SUMIFS('DashboardData'!$H$2:$H$500,'DashboardData'!$B$2:$B$500,"won_revenue",'DashboardData'!$C$2:$C$500,"campaign",'DashboardData'!$D$2:$D$500,$A344))</x:f>
      </x:c>
      <x:c r="J344" s="19"/>
      <x:c r="K344" s="26"/>
      <x:c r="L344" s="19"/>
      <x:c r="M344" s="26"/>
      <x:c r="N344" s="19"/>
      <x:c r="O344" s="19"/>
    </x:row>
    <x:row r="345">
      <x:c r="A345" s="19"/>
      <x:c r="B345" s="19"/>
      <x:c r="C345" s="19"/>
      <x:c r="D345" s="24"/>
      <x:c r="E345" s="24"/>
      <x:c r="F345" s="25"/>
      <x:c r="G345" s="19"/>
      <x:c r="H345" s="104" t="str">
        <x:f>IF($A345="","",COUNTIF('Leads'!$D$2:$D$500,$A345))</x:f>
      </x:c>
      <x:c r="I345" s="96" t="str">
        <x:f>IF($A345="","",SUMIFS('DashboardData'!$H$2:$H$500,'DashboardData'!$B$2:$B$500,"won_revenue",'DashboardData'!$C$2:$C$500,"campaign",'DashboardData'!$D$2:$D$500,$A345))</x:f>
      </x:c>
      <x:c r="J345" s="19"/>
      <x:c r="K345" s="26"/>
      <x:c r="L345" s="19"/>
      <x:c r="M345" s="26"/>
      <x:c r="N345" s="19"/>
      <x:c r="O345" s="19"/>
    </x:row>
    <x:row r="346">
      <x:c r="A346" s="19"/>
      <x:c r="B346" s="19"/>
      <x:c r="C346" s="19"/>
      <x:c r="D346" s="24"/>
      <x:c r="E346" s="24"/>
      <x:c r="F346" s="25"/>
      <x:c r="G346" s="19"/>
      <x:c r="H346" s="104" t="str">
        <x:f>IF($A346="","",COUNTIF('Leads'!$D$2:$D$500,$A346))</x:f>
      </x:c>
      <x:c r="I346" s="96" t="str">
        <x:f>IF($A346="","",SUMIFS('DashboardData'!$H$2:$H$500,'DashboardData'!$B$2:$B$500,"won_revenue",'DashboardData'!$C$2:$C$500,"campaign",'DashboardData'!$D$2:$D$500,$A346))</x:f>
      </x:c>
      <x:c r="J346" s="19"/>
      <x:c r="K346" s="26"/>
      <x:c r="L346" s="19"/>
      <x:c r="M346" s="26"/>
      <x:c r="N346" s="19"/>
      <x:c r="O346" s="19"/>
    </x:row>
    <x:row r="347">
      <x:c r="A347" s="19"/>
      <x:c r="B347" s="19"/>
      <x:c r="C347" s="19"/>
      <x:c r="D347" s="24"/>
      <x:c r="E347" s="24"/>
      <x:c r="F347" s="25"/>
      <x:c r="G347" s="19"/>
      <x:c r="H347" s="104" t="str">
        <x:f>IF($A347="","",COUNTIF('Leads'!$D$2:$D$500,$A347))</x:f>
      </x:c>
      <x:c r="I347" s="96" t="str">
        <x:f>IF($A347="","",SUMIFS('DashboardData'!$H$2:$H$500,'DashboardData'!$B$2:$B$500,"won_revenue",'DashboardData'!$C$2:$C$500,"campaign",'DashboardData'!$D$2:$D$500,$A347))</x:f>
      </x:c>
      <x:c r="J347" s="19"/>
      <x:c r="K347" s="26"/>
      <x:c r="L347" s="19"/>
      <x:c r="M347" s="26"/>
      <x:c r="N347" s="19"/>
      <x:c r="O347" s="19"/>
    </x:row>
    <x:row r="348">
      <x:c r="A348" s="19"/>
      <x:c r="B348" s="19"/>
      <x:c r="C348" s="19"/>
      <x:c r="D348" s="24"/>
      <x:c r="E348" s="24"/>
      <x:c r="F348" s="25"/>
      <x:c r="G348" s="19"/>
      <x:c r="H348" s="104" t="str">
        <x:f>IF($A348="","",COUNTIF('Leads'!$D$2:$D$500,$A348))</x:f>
      </x:c>
      <x:c r="I348" s="96" t="str">
        <x:f>IF($A348="","",SUMIFS('DashboardData'!$H$2:$H$500,'DashboardData'!$B$2:$B$500,"won_revenue",'DashboardData'!$C$2:$C$500,"campaign",'DashboardData'!$D$2:$D$500,$A348))</x:f>
      </x:c>
      <x:c r="J348" s="19"/>
      <x:c r="K348" s="26"/>
      <x:c r="L348" s="19"/>
      <x:c r="M348" s="26"/>
      <x:c r="N348" s="19"/>
      <x:c r="O348" s="19"/>
    </x:row>
    <x:row r="349">
      <x:c r="A349" s="19"/>
      <x:c r="B349" s="19"/>
      <x:c r="C349" s="19"/>
      <x:c r="D349" s="24"/>
      <x:c r="E349" s="24"/>
      <x:c r="F349" s="25"/>
      <x:c r="G349" s="19"/>
      <x:c r="H349" s="104" t="str">
        <x:f>IF($A349="","",COUNTIF('Leads'!$D$2:$D$500,$A349))</x:f>
      </x:c>
      <x:c r="I349" s="96" t="str">
        <x:f>IF($A349="","",SUMIFS('DashboardData'!$H$2:$H$500,'DashboardData'!$B$2:$B$500,"won_revenue",'DashboardData'!$C$2:$C$500,"campaign",'DashboardData'!$D$2:$D$500,$A349))</x:f>
      </x:c>
      <x:c r="J349" s="19"/>
      <x:c r="K349" s="26"/>
      <x:c r="L349" s="19"/>
      <x:c r="M349" s="26"/>
      <x:c r="N349" s="19"/>
      <x:c r="O349" s="19"/>
    </x:row>
    <x:row r="350">
      <x:c r="A350" s="19"/>
      <x:c r="B350" s="19"/>
      <x:c r="C350" s="19"/>
      <x:c r="D350" s="24"/>
      <x:c r="E350" s="24"/>
      <x:c r="F350" s="25"/>
      <x:c r="G350" s="19"/>
      <x:c r="H350" s="104" t="str">
        <x:f>IF($A350="","",COUNTIF('Leads'!$D$2:$D$500,$A350))</x:f>
      </x:c>
      <x:c r="I350" s="96" t="str">
        <x:f>IF($A350="","",SUMIFS('DashboardData'!$H$2:$H$500,'DashboardData'!$B$2:$B$500,"won_revenue",'DashboardData'!$C$2:$C$500,"campaign",'DashboardData'!$D$2:$D$500,$A350))</x:f>
      </x:c>
      <x:c r="J350" s="19"/>
      <x:c r="K350" s="26"/>
      <x:c r="L350" s="19"/>
      <x:c r="M350" s="26"/>
      <x:c r="N350" s="19"/>
      <x:c r="O350" s="19"/>
    </x:row>
    <x:row r="351">
      <x:c r="A351" s="19"/>
      <x:c r="B351" s="19"/>
      <x:c r="C351" s="19"/>
      <x:c r="D351" s="24"/>
      <x:c r="E351" s="24"/>
      <x:c r="F351" s="25"/>
      <x:c r="G351" s="19"/>
      <x:c r="H351" s="104" t="str">
        <x:f>IF($A351="","",COUNTIF('Leads'!$D$2:$D$500,$A351))</x:f>
      </x:c>
      <x:c r="I351" s="96" t="str">
        <x:f>IF($A351="","",SUMIFS('DashboardData'!$H$2:$H$500,'DashboardData'!$B$2:$B$500,"won_revenue",'DashboardData'!$C$2:$C$500,"campaign",'DashboardData'!$D$2:$D$500,$A351))</x:f>
      </x:c>
      <x:c r="J351" s="19"/>
      <x:c r="K351" s="26"/>
      <x:c r="L351" s="19"/>
      <x:c r="M351" s="26"/>
      <x:c r="N351" s="19"/>
      <x:c r="O351" s="19"/>
    </x:row>
    <x:row r="352">
      <x:c r="A352" s="19"/>
      <x:c r="B352" s="19"/>
      <x:c r="C352" s="19"/>
      <x:c r="D352" s="24"/>
      <x:c r="E352" s="24"/>
      <x:c r="F352" s="25"/>
      <x:c r="G352" s="19"/>
      <x:c r="H352" s="104" t="str">
        <x:f>IF($A352="","",COUNTIF('Leads'!$D$2:$D$500,$A352))</x:f>
      </x:c>
      <x:c r="I352" s="96" t="str">
        <x:f>IF($A352="","",SUMIFS('DashboardData'!$H$2:$H$500,'DashboardData'!$B$2:$B$500,"won_revenue",'DashboardData'!$C$2:$C$500,"campaign",'DashboardData'!$D$2:$D$500,$A352))</x:f>
      </x:c>
      <x:c r="J352" s="19"/>
      <x:c r="K352" s="26"/>
      <x:c r="L352" s="19"/>
      <x:c r="M352" s="26"/>
      <x:c r="N352" s="19"/>
      <x:c r="O352" s="19"/>
    </x:row>
    <x:row r="353">
      <x:c r="A353" s="19"/>
      <x:c r="B353" s="19"/>
      <x:c r="C353" s="19"/>
      <x:c r="D353" s="24"/>
      <x:c r="E353" s="24"/>
      <x:c r="F353" s="25"/>
      <x:c r="G353" s="19"/>
      <x:c r="H353" s="104" t="str">
        <x:f>IF($A353="","",COUNTIF('Leads'!$D$2:$D$500,$A353))</x:f>
      </x:c>
      <x:c r="I353" s="96" t="str">
        <x:f>IF($A353="","",SUMIFS('DashboardData'!$H$2:$H$500,'DashboardData'!$B$2:$B$500,"won_revenue",'DashboardData'!$C$2:$C$500,"campaign",'DashboardData'!$D$2:$D$500,$A353))</x:f>
      </x:c>
      <x:c r="J353" s="19"/>
      <x:c r="K353" s="26"/>
      <x:c r="L353" s="19"/>
      <x:c r="M353" s="26"/>
      <x:c r="N353" s="19"/>
      <x:c r="O353" s="19"/>
    </x:row>
    <x:row r="354">
      <x:c r="A354" s="19"/>
      <x:c r="B354" s="19"/>
      <x:c r="C354" s="19"/>
      <x:c r="D354" s="24"/>
      <x:c r="E354" s="24"/>
      <x:c r="F354" s="25"/>
      <x:c r="G354" s="19"/>
      <x:c r="H354" s="104" t="str">
        <x:f>IF($A354="","",COUNTIF('Leads'!$D$2:$D$500,$A354))</x:f>
      </x:c>
      <x:c r="I354" s="96" t="str">
        <x:f>IF($A354="","",SUMIFS('DashboardData'!$H$2:$H$500,'DashboardData'!$B$2:$B$500,"won_revenue",'DashboardData'!$C$2:$C$500,"campaign",'DashboardData'!$D$2:$D$500,$A354))</x:f>
      </x:c>
      <x:c r="J354" s="19"/>
      <x:c r="K354" s="26"/>
      <x:c r="L354" s="19"/>
      <x:c r="M354" s="26"/>
      <x:c r="N354" s="19"/>
      <x:c r="O354" s="19"/>
    </x:row>
    <x:row r="355">
      <x:c r="A355" s="19"/>
      <x:c r="B355" s="19"/>
      <x:c r="C355" s="19"/>
      <x:c r="D355" s="24"/>
      <x:c r="E355" s="24"/>
      <x:c r="F355" s="25"/>
      <x:c r="G355" s="19"/>
      <x:c r="H355" s="104" t="str">
        <x:f>IF($A355="","",COUNTIF('Leads'!$D$2:$D$500,$A355))</x:f>
      </x:c>
      <x:c r="I355" s="96" t="str">
        <x:f>IF($A355="","",SUMIFS('DashboardData'!$H$2:$H$500,'DashboardData'!$B$2:$B$500,"won_revenue",'DashboardData'!$C$2:$C$500,"campaign",'DashboardData'!$D$2:$D$500,$A355))</x:f>
      </x:c>
      <x:c r="J355" s="19"/>
      <x:c r="K355" s="26"/>
      <x:c r="L355" s="19"/>
      <x:c r="M355" s="26"/>
      <x:c r="N355" s="19"/>
      <x:c r="O355" s="19"/>
    </x:row>
    <x:row r="356">
      <x:c r="A356" s="19"/>
      <x:c r="B356" s="19"/>
      <x:c r="C356" s="19"/>
      <x:c r="D356" s="24"/>
      <x:c r="E356" s="24"/>
      <x:c r="F356" s="25"/>
      <x:c r="G356" s="19"/>
      <x:c r="H356" s="104" t="str">
        <x:f>IF($A356="","",COUNTIF('Leads'!$D$2:$D$500,$A356))</x:f>
      </x:c>
      <x:c r="I356" s="96" t="str">
        <x:f>IF($A356="","",SUMIFS('DashboardData'!$H$2:$H$500,'DashboardData'!$B$2:$B$500,"won_revenue",'DashboardData'!$C$2:$C$500,"campaign",'DashboardData'!$D$2:$D$500,$A356))</x:f>
      </x:c>
      <x:c r="J356" s="19"/>
      <x:c r="K356" s="26"/>
      <x:c r="L356" s="19"/>
      <x:c r="M356" s="26"/>
      <x:c r="N356" s="19"/>
      <x:c r="O356" s="19"/>
    </x:row>
    <x:row r="357">
      <x:c r="A357" s="19"/>
      <x:c r="B357" s="19"/>
      <x:c r="C357" s="19"/>
      <x:c r="D357" s="24"/>
      <x:c r="E357" s="24"/>
      <x:c r="F357" s="25"/>
      <x:c r="G357" s="19"/>
      <x:c r="H357" s="104" t="str">
        <x:f>IF($A357="","",COUNTIF('Leads'!$D$2:$D$500,$A357))</x:f>
      </x:c>
      <x:c r="I357" s="96" t="str">
        <x:f>IF($A357="","",SUMIFS('DashboardData'!$H$2:$H$500,'DashboardData'!$B$2:$B$500,"won_revenue",'DashboardData'!$C$2:$C$500,"campaign",'DashboardData'!$D$2:$D$500,$A357))</x:f>
      </x:c>
      <x:c r="J357" s="19"/>
      <x:c r="K357" s="26"/>
      <x:c r="L357" s="19"/>
      <x:c r="M357" s="26"/>
      <x:c r="N357" s="19"/>
      <x:c r="O357" s="19"/>
    </x:row>
    <x:row r="358">
      <x:c r="A358" s="19"/>
      <x:c r="B358" s="19"/>
      <x:c r="C358" s="19"/>
      <x:c r="D358" s="24"/>
      <x:c r="E358" s="24"/>
      <x:c r="F358" s="25"/>
      <x:c r="G358" s="19"/>
      <x:c r="H358" s="104" t="str">
        <x:f>IF($A358="","",COUNTIF('Leads'!$D$2:$D$500,$A358))</x:f>
      </x:c>
      <x:c r="I358" s="96" t="str">
        <x:f>IF($A358="","",SUMIFS('DashboardData'!$H$2:$H$500,'DashboardData'!$B$2:$B$500,"won_revenue",'DashboardData'!$C$2:$C$500,"campaign",'DashboardData'!$D$2:$D$500,$A358))</x:f>
      </x:c>
      <x:c r="J358" s="19"/>
      <x:c r="K358" s="26"/>
      <x:c r="L358" s="19"/>
      <x:c r="M358" s="26"/>
      <x:c r="N358" s="19"/>
      <x:c r="O358" s="19"/>
    </x:row>
    <x:row r="359">
      <x:c r="A359" s="19"/>
      <x:c r="B359" s="19"/>
      <x:c r="C359" s="19"/>
      <x:c r="D359" s="24"/>
      <x:c r="E359" s="24"/>
      <x:c r="F359" s="25"/>
      <x:c r="G359" s="19"/>
      <x:c r="H359" s="104" t="str">
        <x:f>IF($A359="","",COUNTIF('Leads'!$D$2:$D$500,$A359))</x:f>
      </x:c>
      <x:c r="I359" s="96" t="str">
        <x:f>IF($A359="","",SUMIFS('DashboardData'!$H$2:$H$500,'DashboardData'!$B$2:$B$500,"won_revenue",'DashboardData'!$C$2:$C$500,"campaign",'DashboardData'!$D$2:$D$500,$A359))</x:f>
      </x:c>
      <x:c r="J359" s="19"/>
      <x:c r="K359" s="26"/>
      <x:c r="L359" s="19"/>
      <x:c r="M359" s="26"/>
      <x:c r="N359" s="19"/>
      <x:c r="O359" s="19"/>
    </x:row>
    <x:row r="360">
      <x:c r="A360" s="19"/>
      <x:c r="B360" s="19"/>
      <x:c r="C360" s="19"/>
      <x:c r="D360" s="24"/>
      <x:c r="E360" s="24"/>
      <x:c r="F360" s="25"/>
      <x:c r="G360" s="19"/>
      <x:c r="H360" s="104" t="str">
        <x:f>IF($A360="","",COUNTIF('Leads'!$D$2:$D$500,$A360))</x:f>
      </x:c>
      <x:c r="I360" s="96" t="str">
        <x:f>IF($A360="","",SUMIFS('DashboardData'!$H$2:$H$500,'DashboardData'!$B$2:$B$500,"won_revenue",'DashboardData'!$C$2:$C$500,"campaign",'DashboardData'!$D$2:$D$500,$A360))</x:f>
      </x:c>
      <x:c r="J360" s="19"/>
      <x:c r="K360" s="26"/>
      <x:c r="L360" s="19"/>
      <x:c r="M360" s="26"/>
      <x:c r="N360" s="19"/>
      <x:c r="O360" s="19"/>
    </x:row>
    <x:row r="361">
      <x:c r="A361" s="19"/>
      <x:c r="B361" s="19"/>
      <x:c r="C361" s="19"/>
      <x:c r="D361" s="24"/>
      <x:c r="E361" s="24"/>
      <x:c r="F361" s="25"/>
      <x:c r="G361" s="19"/>
      <x:c r="H361" s="104" t="str">
        <x:f>IF($A361="","",COUNTIF('Leads'!$D$2:$D$500,$A361))</x:f>
      </x:c>
      <x:c r="I361" s="96" t="str">
        <x:f>IF($A361="","",SUMIFS('DashboardData'!$H$2:$H$500,'DashboardData'!$B$2:$B$500,"won_revenue",'DashboardData'!$C$2:$C$500,"campaign",'DashboardData'!$D$2:$D$500,$A361))</x:f>
      </x:c>
      <x:c r="J361" s="19"/>
      <x:c r="K361" s="26"/>
      <x:c r="L361" s="19"/>
      <x:c r="M361" s="26"/>
      <x:c r="N361" s="19"/>
      <x:c r="O361" s="19"/>
    </x:row>
    <x:row r="362">
      <x:c r="A362" s="19"/>
      <x:c r="B362" s="19"/>
      <x:c r="C362" s="19"/>
      <x:c r="D362" s="24"/>
      <x:c r="E362" s="24"/>
      <x:c r="F362" s="25"/>
      <x:c r="G362" s="19"/>
      <x:c r="H362" s="104" t="str">
        <x:f>IF($A362="","",COUNTIF('Leads'!$D$2:$D$500,$A362))</x:f>
      </x:c>
      <x:c r="I362" s="96" t="str">
        <x:f>IF($A362="","",SUMIFS('DashboardData'!$H$2:$H$500,'DashboardData'!$B$2:$B$500,"won_revenue",'DashboardData'!$C$2:$C$500,"campaign",'DashboardData'!$D$2:$D$500,$A362))</x:f>
      </x:c>
      <x:c r="J362" s="19"/>
      <x:c r="K362" s="26"/>
      <x:c r="L362" s="19"/>
      <x:c r="M362" s="26"/>
      <x:c r="N362" s="19"/>
      <x:c r="O362" s="19"/>
    </x:row>
    <x:row r="363">
      <x:c r="A363" s="19"/>
      <x:c r="B363" s="19"/>
      <x:c r="C363" s="19"/>
      <x:c r="D363" s="24"/>
      <x:c r="E363" s="24"/>
      <x:c r="F363" s="25"/>
      <x:c r="G363" s="19"/>
      <x:c r="H363" s="104" t="str">
        <x:f>IF($A363="","",COUNTIF('Leads'!$D$2:$D$500,$A363))</x:f>
      </x:c>
      <x:c r="I363" s="96" t="str">
        <x:f>IF($A363="","",SUMIFS('DashboardData'!$H$2:$H$500,'DashboardData'!$B$2:$B$500,"won_revenue",'DashboardData'!$C$2:$C$500,"campaign",'DashboardData'!$D$2:$D$500,$A363))</x:f>
      </x:c>
      <x:c r="J363" s="19"/>
      <x:c r="K363" s="26"/>
      <x:c r="L363" s="19"/>
      <x:c r="M363" s="26"/>
      <x:c r="N363" s="19"/>
      <x:c r="O363" s="19"/>
    </x:row>
    <x:row r="364">
      <x:c r="A364" s="19"/>
      <x:c r="B364" s="19"/>
      <x:c r="C364" s="19"/>
      <x:c r="D364" s="24"/>
      <x:c r="E364" s="24"/>
      <x:c r="F364" s="25"/>
      <x:c r="G364" s="19"/>
      <x:c r="H364" s="104" t="str">
        <x:f>IF($A364="","",COUNTIF('Leads'!$D$2:$D$500,$A364))</x:f>
      </x:c>
      <x:c r="I364" s="96" t="str">
        <x:f>IF($A364="","",SUMIFS('DashboardData'!$H$2:$H$500,'DashboardData'!$B$2:$B$500,"won_revenue",'DashboardData'!$C$2:$C$500,"campaign",'DashboardData'!$D$2:$D$500,$A364))</x:f>
      </x:c>
      <x:c r="J364" s="19"/>
      <x:c r="K364" s="26"/>
      <x:c r="L364" s="19"/>
      <x:c r="M364" s="26"/>
      <x:c r="N364" s="19"/>
      <x:c r="O364" s="19"/>
    </x:row>
    <x:row r="365">
      <x:c r="A365" s="19"/>
      <x:c r="B365" s="19"/>
      <x:c r="C365" s="19"/>
      <x:c r="D365" s="24"/>
      <x:c r="E365" s="24"/>
      <x:c r="F365" s="25"/>
      <x:c r="G365" s="19"/>
      <x:c r="H365" s="104" t="str">
        <x:f>IF($A365="","",COUNTIF('Leads'!$D$2:$D$500,$A365))</x:f>
      </x:c>
      <x:c r="I365" s="96" t="str">
        <x:f>IF($A365="","",SUMIFS('DashboardData'!$H$2:$H$500,'DashboardData'!$B$2:$B$500,"won_revenue",'DashboardData'!$C$2:$C$500,"campaign",'DashboardData'!$D$2:$D$500,$A365))</x:f>
      </x:c>
      <x:c r="J365" s="19"/>
      <x:c r="K365" s="26"/>
      <x:c r="L365" s="19"/>
      <x:c r="M365" s="26"/>
      <x:c r="N365" s="19"/>
      <x:c r="O365" s="19"/>
    </x:row>
    <x:row r="366">
      <x:c r="A366" s="19"/>
      <x:c r="B366" s="19"/>
      <x:c r="C366" s="19"/>
      <x:c r="D366" s="24"/>
      <x:c r="E366" s="24"/>
      <x:c r="F366" s="25"/>
      <x:c r="G366" s="19"/>
      <x:c r="H366" s="104" t="str">
        <x:f>IF($A366="","",COUNTIF('Leads'!$D$2:$D$500,$A366))</x:f>
      </x:c>
      <x:c r="I366" s="96" t="str">
        <x:f>IF($A366="","",SUMIFS('DashboardData'!$H$2:$H$500,'DashboardData'!$B$2:$B$500,"won_revenue",'DashboardData'!$C$2:$C$500,"campaign",'DashboardData'!$D$2:$D$500,$A366))</x:f>
      </x:c>
      <x:c r="J366" s="19"/>
      <x:c r="K366" s="26"/>
      <x:c r="L366" s="19"/>
      <x:c r="M366" s="26"/>
      <x:c r="N366" s="19"/>
      <x:c r="O366" s="19"/>
    </x:row>
    <x:row r="367">
      <x:c r="A367" s="19"/>
      <x:c r="B367" s="19"/>
      <x:c r="C367" s="19"/>
      <x:c r="D367" s="24"/>
      <x:c r="E367" s="24"/>
      <x:c r="F367" s="25"/>
      <x:c r="G367" s="19"/>
      <x:c r="H367" s="104" t="str">
        <x:f>IF($A367="","",COUNTIF('Leads'!$D$2:$D$500,$A367))</x:f>
      </x:c>
      <x:c r="I367" s="96" t="str">
        <x:f>IF($A367="","",SUMIFS('DashboardData'!$H$2:$H$500,'DashboardData'!$B$2:$B$500,"won_revenue",'DashboardData'!$C$2:$C$500,"campaign",'DashboardData'!$D$2:$D$500,$A367))</x:f>
      </x:c>
      <x:c r="J367" s="19"/>
      <x:c r="K367" s="26"/>
      <x:c r="L367" s="19"/>
      <x:c r="M367" s="26"/>
      <x:c r="N367" s="19"/>
      <x:c r="O367" s="19"/>
    </x:row>
    <x:row r="368">
      <x:c r="A368" s="19"/>
      <x:c r="B368" s="19"/>
      <x:c r="C368" s="19"/>
      <x:c r="D368" s="24"/>
      <x:c r="E368" s="24"/>
      <x:c r="F368" s="25"/>
      <x:c r="G368" s="19"/>
      <x:c r="H368" s="104" t="str">
        <x:f>IF($A368="","",COUNTIF('Leads'!$D$2:$D$500,$A368))</x:f>
      </x:c>
      <x:c r="I368" s="96" t="str">
        <x:f>IF($A368="","",SUMIFS('DashboardData'!$H$2:$H$500,'DashboardData'!$B$2:$B$500,"won_revenue",'DashboardData'!$C$2:$C$500,"campaign",'DashboardData'!$D$2:$D$500,$A368))</x:f>
      </x:c>
      <x:c r="J368" s="19"/>
      <x:c r="K368" s="26"/>
      <x:c r="L368" s="19"/>
      <x:c r="M368" s="26"/>
      <x:c r="N368" s="19"/>
      <x:c r="O368" s="19"/>
    </x:row>
    <x:row r="369">
      <x:c r="A369" s="19"/>
      <x:c r="B369" s="19"/>
      <x:c r="C369" s="19"/>
      <x:c r="D369" s="24"/>
      <x:c r="E369" s="24"/>
      <x:c r="F369" s="25"/>
      <x:c r="G369" s="19"/>
      <x:c r="H369" s="104" t="str">
        <x:f>IF($A369="","",COUNTIF('Leads'!$D$2:$D$500,$A369))</x:f>
      </x:c>
      <x:c r="I369" s="96" t="str">
        <x:f>IF($A369="","",SUMIFS('DashboardData'!$H$2:$H$500,'DashboardData'!$B$2:$B$500,"won_revenue",'DashboardData'!$C$2:$C$500,"campaign",'DashboardData'!$D$2:$D$500,$A369))</x:f>
      </x:c>
      <x:c r="J369" s="19"/>
      <x:c r="K369" s="26"/>
      <x:c r="L369" s="19"/>
      <x:c r="M369" s="26"/>
      <x:c r="N369" s="19"/>
      <x:c r="O369" s="19"/>
    </x:row>
    <x:row r="370">
      <x:c r="A370" s="19"/>
      <x:c r="B370" s="19"/>
      <x:c r="C370" s="19"/>
      <x:c r="D370" s="24"/>
      <x:c r="E370" s="24"/>
      <x:c r="F370" s="25"/>
      <x:c r="G370" s="19"/>
      <x:c r="H370" s="104" t="str">
        <x:f>IF($A370="","",COUNTIF('Leads'!$D$2:$D$500,$A370))</x:f>
      </x:c>
      <x:c r="I370" s="96" t="str">
        <x:f>IF($A370="","",SUMIFS('DashboardData'!$H$2:$H$500,'DashboardData'!$B$2:$B$500,"won_revenue",'DashboardData'!$C$2:$C$500,"campaign",'DashboardData'!$D$2:$D$500,$A370))</x:f>
      </x:c>
      <x:c r="J370" s="19"/>
      <x:c r="K370" s="26"/>
      <x:c r="L370" s="19"/>
      <x:c r="M370" s="26"/>
      <x:c r="N370" s="19"/>
      <x:c r="O370" s="19"/>
    </x:row>
    <x:row r="371">
      <x:c r="A371" s="19"/>
      <x:c r="B371" s="19"/>
      <x:c r="C371" s="19"/>
      <x:c r="D371" s="24"/>
      <x:c r="E371" s="24"/>
      <x:c r="F371" s="25"/>
      <x:c r="G371" s="19"/>
      <x:c r="H371" s="104" t="str">
        <x:f>IF($A371="","",COUNTIF('Leads'!$D$2:$D$500,$A371))</x:f>
      </x:c>
      <x:c r="I371" s="96" t="str">
        <x:f>IF($A371="","",SUMIFS('DashboardData'!$H$2:$H$500,'DashboardData'!$B$2:$B$500,"won_revenue",'DashboardData'!$C$2:$C$500,"campaign",'DashboardData'!$D$2:$D$500,$A371))</x:f>
      </x:c>
      <x:c r="J371" s="19"/>
      <x:c r="K371" s="26"/>
      <x:c r="L371" s="19"/>
      <x:c r="M371" s="26"/>
      <x:c r="N371" s="19"/>
      <x:c r="O371" s="19"/>
    </x:row>
    <x:row r="372">
      <x:c r="A372" s="19"/>
      <x:c r="B372" s="19"/>
      <x:c r="C372" s="19"/>
      <x:c r="D372" s="24"/>
      <x:c r="E372" s="24"/>
      <x:c r="F372" s="25"/>
      <x:c r="G372" s="19"/>
      <x:c r="H372" s="104" t="str">
        <x:f>IF($A372="","",COUNTIF('Leads'!$D$2:$D$500,$A372))</x:f>
      </x:c>
      <x:c r="I372" s="96" t="str">
        <x:f>IF($A372="","",SUMIFS('DashboardData'!$H$2:$H$500,'DashboardData'!$B$2:$B$500,"won_revenue",'DashboardData'!$C$2:$C$500,"campaign",'DashboardData'!$D$2:$D$500,$A372))</x:f>
      </x:c>
      <x:c r="J372" s="19"/>
      <x:c r="K372" s="26"/>
      <x:c r="L372" s="19"/>
      <x:c r="M372" s="26"/>
      <x:c r="N372" s="19"/>
      <x:c r="O372" s="19"/>
    </x:row>
    <x:row r="373">
      <x:c r="A373" s="19"/>
      <x:c r="B373" s="19"/>
      <x:c r="C373" s="19"/>
      <x:c r="D373" s="24"/>
      <x:c r="E373" s="24"/>
      <x:c r="F373" s="25"/>
      <x:c r="G373" s="19"/>
      <x:c r="H373" s="104" t="str">
        <x:f>IF($A373="","",COUNTIF('Leads'!$D$2:$D$500,$A373))</x:f>
      </x:c>
      <x:c r="I373" s="96" t="str">
        <x:f>IF($A373="","",SUMIFS('DashboardData'!$H$2:$H$500,'DashboardData'!$B$2:$B$500,"won_revenue",'DashboardData'!$C$2:$C$500,"campaign",'DashboardData'!$D$2:$D$500,$A373))</x:f>
      </x:c>
      <x:c r="J373" s="19"/>
      <x:c r="K373" s="26"/>
      <x:c r="L373" s="19"/>
      <x:c r="M373" s="26"/>
      <x:c r="N373" s="19"/>
      <x:c r="O373" s="19"/>
    </x:row>
    <x:row r="374">
      <x:c r="A374" s="19"/>
      <x:c r="B374" s="19"/>
      <x:c r="C374" s="19"/>
      <x:c r="D374" s="24"/>
      <x:c r="E374" s="24"/>
      <x:c r="F374" s="25"/>
      <x:c r="G374" s="19"/>
      <x:c r="H374" s="104" t="str">
        <x:f>IF($A374="","",COUNTIF('Leads'!$D$2:$D$500,$A374))</x:f>
      </x:c>
      <x:c r="I374" s="96" t="str">
        <x:f>IF($A374="","",SUMIFS('DashboardData'!$H$2:$H$500,'DashboardData'!$B$2:$B$500,"won_revenue",'DashboardData'!$C$2:$C$500,"campaign",'DashboardData'!$D$2:$D$500,$A374))</x:f>
      </x:c>
      <x:c r="J374" s="19"/>
      <x:c r="K374" s="26"/>
      <x:c r="L374" s="19"/>
      <x:c r="M374" s="26"/>
      <x:c r="N374" s="19"/>
      <x:c r="O374" s="19"/>
    </x:row>
    <x:row r="375">
      <x:c r="A375" s="19"/>
      <x:c r="B375" s="19"/>
      <x:c r="C375" s="19"/>
      <x:c r="D375" s="24"/>
      <x:c r="E375" s="24"/>
      <x:c r="F375" s="25"/>
      <x:c r="G375" s="19"/>
      <x:c r="H375" s="104" t="str">
        <x:f>IF($A375="","",COUNTIF('Leads'!$D$2:$D$500,$A375))</x:f>
      </x:c>
      <x:c r="I375" s="96" t="str">
        <x:f>IF($A375="","",SUMIFS('DashboardData'!$H$2:$H$500,'DashboardData'!$B$2:$B$500,"won_revenue",'DashboardData'!$C$2:$C$500,"campaign",'DashboardData'!$D$2:$D$500,$A375))</x:f>
      </x:c>
      <x:c r="J375" s="19"/>
      <x:c r="K375" s="26"/>
      <x:c r="L375" s="19"/>
      <x:c r="M375" s="26"/>
      <x:c r="N375" s="19"/>
      <x:c r="O375" s="19"/>
    </x:row>
    <x:row r="376">
      <x:c r="A376" s="19"/>
      <x:c r="B376" s="19"/>
      <x:c r="C376" s="19"/>
      <x:c r="D376" s="24"/>
      <x:c r="E376" s="24"/>
      <x:c r="F376" s="25"/>
      <x:c r="G376" s="19"/>
      <x:c r="H376" s="104" t="str">
        <x:f>IF($A376="","",COUNTIF('Leads'!$D$2:$D$500,$A376))</x:f>
      </x:c>
      <x:c r="I376" s="96" t="str">
        <x:f>IF($A376="","",SUMIFS('DashboardData'!$H$2:$H$500,'DashboardData'!$B$2:$B$500,"won_revenue",'DashboardData'!$C$2:$C$500,"campaign",'DashboardData'!$D$2:$D$500,$A376))</x:f>
      </x:c>
      <x:c r="J376" s="19"/>
      <x:c r="K376" s="26"/>
      <x:c r="L376" s="19"/>
      <x:c r="M376" s="26"/>
      <x:c r="N376" s="19"/>
      <x:c r="O376" s="19"/>
    </x:row>
    <x:row r="377">
      <x:c r="A377" s="19"/>
      <x:c r="B377" s="19"/>
      <x:c r="C377" s="19"/>
      <x:c r="D377" s="24"/>
      <x:c r="E377" s="24"/>
      <x:c r="F377" s="25"/>
      <x:c r="G377" s="19"/>
      <x:c r="H377" s="104" t="str">
        <x:f>IF($A377="","",COUNTIF('Leads'!$D$2:$D$500,$A377))</x:f>
      </x:c>
      <x:c r="I377" s="96" t="str">
        <x:f>IF($A377="","",SUMIFS('DashboardData'!$H$2:$H$500,'DashboardData'!$B$2:$B$500,"won_revenue",'DashboardData'!$C$2:$C$500,"campaign",'DashboardData'!$D$2:$D$500,$A377))</x:f>
      </x:c>
      <x:c r="J377" s="19"/>
      <x:c r="K377" s="26"/>
      <x:c r="L377" s="19"/>
      <x:c r="M377" s="26"/>
      <x:c r="N377" s="19"/>
      <x:c r="O377" s="19"/>
    </x:row>
    <x:row r="378">
      <x:c r="A378" s="19"/>
      <x:c r="B378" s="19"/>
      <x:c r="C378" s="19"/>
      <x:c r="D378" s="24"/>
      <x:c r="E378" s="24"/>
      <x:c r="F378" s="25"/>
      <x:c r="G378" s="19"/>
      <x:c r="H378" s="104" t="str">
        <x:f>IF($A378="","",COUNTIF('Leads'!$D$2:$D$500,$A378))</x:f>
      </x:c>
      <x:c r="I378" s="96" t="str">
        <x:f>IF($A378="","",SUMIFS('DashboardData'!$H$2:$H$500,'DashboardData'!$B$2:$B$500,"won_revenue",'DashboardData'!$C$2:$C$500,"campaign",'DashboardData'!$D$2:$D$500,$A378))</x:f>
      </x:c>
      <x:c r="J378" s="19"/>
      <x:c r="K378" s="26"/>
      <x:c r="L378" s="19"/>
      <x:c r="M378" s="26"/>
      <x:c r="N378" s="19"/>
      <x:c r="O378" s="19"/>
    </x:row>
    <x:row r="379">
      <x:c r="A379" s="19"/>
      <x:c r="B379" s="19"/>
      <x:c r="C379" s="19"/>
      <x:c r="D379" s="24"/>
      <x:c r="E379" s="24"/>
      <x:c r="F379" s="25"/>
      <x:c r="G379" s="19"/>
      <x:c r="H379" s="104" t="str">
        <x:f>IF($A379="","",COUNTIF('Leads'!$D$2:$D$500,$A379))</x:f>
      </x:c>
      <x:c r="I379" s="96" t="str">
        <x:f>IF($A379="","",SUMIFS('DashboardData'!$H$2:$H$500,'DashboardData'!$B$2:$B$500,"won_revenue",'DashboardData'!$C$2:$C$500,"campaign",'DashboardData'!$D$2:$D$500,$A379))</x:f>
      </x:c>
      <x:c r="J379" s="19"/>
      <x:c r="K379" s="26"/>
      <x:c r="L379" s="19"/>
      <x:c r="M379" s="26"/>
      <x:c r="N379" s="19"/>
      <x:c r="O379" s="19"/>
    </x:row>
    <x:row r="380">
      <x:c r="A380" s="19"/>
      <x:c r="B380" s="19"/>
      <x:c r="C380" s="19"/>
      <x:c r="D380" s="24"/>
      <x:c r="E380" s="24"/>
      <x:c r="F380" s="25"/>
      <x:c r="G380" s="19"/>
      <x:c r="H380" s="104" t="str">
        <x:f>IF($A380="","",COUNTIF('Leads'!$D$2:$D$500,$A380))</x:f>
      </x:c>
      <x:c r="I380" s="96" t="str">
        <x:f>IF($A380="","",SUMIFS('DashboardData'!$H$2:$H$500,'DashboardData'!$B$2:$B$500,"won_revenue",'DashboardData'!$C$2:$C$500,"campaign",'DashboardData'!$D$2:$D$500,$A380))</x:f>
      </x:c>
      <x:c r="J380" s="19"/>
      <x:c r="K380" s="26"/>
      <x:c r="L380" s="19"/>
      <x:c r="M380" s="26"/>
      <x:c r="N380" s="19"/>
      <x:c r="O380" s="19"/>
    </x:row>
    <x:row r="381">
      <x:c r="A381" s="19"/>
      <x:c r="B381" s="19"/>
      <x:c r="C381" s="19"/>
      <x:c r="D381" s="24"/>
      <x:c r="E381" s="24"/>
      <x:c r="F381" s="25"/>
      <x:c r="G381" s="19"/>
      <x:c r="H381" s="104" t="str">
        <x:f>IF($A381="","",COUNTIF('Leads'!$D$2:$D$500,$A381))</x:f>
      </x:c>
      <x:c r="I381" s="96" t="str">
        <x:f>IF($A381="","",SUMIFS('DashboardData'!$H$2:$H$500,'DashboardData'!$B$2:$B$500,"won_revenue",'DashboardData'!$C$2:$C$500,"campaign",'DashboardData'!$D$2:$D$500,$A381))</x:f>
      </x:c>
      <x:c r="J381" s="19"/>
      <x:c r="K381" s="26"/>
      <x:c r="L381" s="19"/>
      <x:c r="M381" s="26"/>
      <x:c r="N381" s="19"/>
      <x:c r="O381" s="19"/>
    </x:row>
    <x:row r="382">
      <x:c r="A382" s="19"/>
      <x:c r="B382" s="19"/>
      <x:c r="C382" s="19"/>
      <x:c r="D382" s="24"/>
      <x:c r="E382" s="24"/>
      <x:c r="F382" s="25"/>
      <x:c r="G382" s="19"/>
      <x:c r="H382" s="104" t="str">
        <x:f>IF($A382="","",COUNTIF('Leads'!$D$2:$D$500,$A382))</x:f>
      </x:c>
      <x:c r="I382" s="96" t="str">
        <x:f>IF($A382="","",SUMIFS('DashboardData'!$H$2:$H$500,'DashboardData'!$B$2:$B$500,"won_revenue",'DashboardData'!$C$2:$C$500,"campaign",'DashboardData'!$D$2:$D$500,$A382))</x:f>
      </x:c>
      <x:c r="J382" s="19"/>
      <x:c r="K382" s="26"/>
      <x:c r="L382" s="19"/>
      <x:c r="M382" s="26"/>
      <x:c r="N382" s="19"/>
      <x:c r="O382" s="19"/>
    </x:row>
    <x:row r="383">
      <x:c r="A383" s="19"/>
      <x:c r="B383" s="19"/>
      <x:c r="C383" s="19"/>
      <x:c r="D383" s="24"/>
      <x:c r="E383" s="24"/>
      <x:c r="F383" s="25"/>
      <x:c r="G383" s="19"/>
      <x:c r="H383" s="104" t="str">
        <x:f>IF($A383="","",COUNTIF('Leads'!$D$2:$D$500,$A383))</x:f>
      </x:c>
      <x:c r="I383" s="96" t="str">
        <x:f>IF($A383="","",SUMIFS('DashboardData'!$H$2:$H$500,'DashboardData'!$B$2:$B$500,"won_revenue",'DashboardData'!$C$2:$C$500,"campaign",'DashboardData'!$D$2:$D$500,$A383))</x:f>
      </x:c>
      <x:c r="J383" s="19"/>
      <x:c r="K383" s="26"/>
      <x:c r="L383" s="19"/>
      <x:c r="M383" s="26"/>
      <x:c r="N383" s="19"/>
      <x:c r="O383" s="19"/>
    </x:row>
    <x:row r="384">
      <x:c r="A384" s="19"/>
      <x:c r="B384" s="19"/>
      <x:c r="C384" s="19"/>
      <x:c r="D384" s="24"/>
      <x:c r="E384" s="24"/>
      <x:c r="F384" s="25"/>
      <x:c r="G384" s="19"/>
      <x:c r="H384" s="104" t="str">
        <x:f>IF($A384="","",COUNTIF('Leads'!$D$2:$D$500,$A384))</x:f>
      </x:c>
      <x:c r="I384" s="96" t="str">
        <x:f>IF($A384="","",SUMIFS('DashboardData'!$H$2:$H$500,'DashboardData'!$B$2:$B$500,"won_revenue",'DashboardData'!$C$2:$C$500,"campaign",'DashboardData'!$D$2:$D$500,$A384))</x:f>
      </x:c>
      <x:c r="J384" s="19"/>
      <x:c r="K384" s="26"/>
      <x:c r="L384" s="19"/>
      <x:c r="M384" s="26"/>
      <x:c r="N384" s="19"/>
      <x:c r="O384" s="19"/>
    </x:row>
    <x:row r="385">
      <x:c r="A385" s="19"/>
      <x:c r="B385" s="19"/>
      <x:c r="C385" s="19"/>
      <x:c r="D385" s="24"/>
      <x:c r="E385" s="24"/>
      <x:c r="F385" s="25"/>
      <x:c r="G385" s="19"/>
      <x:c r="H385" s="104" t="str">
        <x:f>IF($A385="","",COUNTIF('Leads'!$D$2:$D$500,$A385))</x:f>
      </x:c>
      <x:c r="I385" s="96" t="str">
        <x:f>IF($A385="","",SUMIFS('DashboardData'!$H$2:$H$500,'DashboardData'!$B$2:$B$500,"won_revenue",'DashboardData'!$C$2:$C$500,"campaign",'DashboardData'!$D$2:$D$500,$A385))</x:f>
      </x:c>
      <x:c r="J385" s="19"/>
      <x:c r="K385" s="26"/>
      <x:c r="L385" s="19"/>
      <x:c r="M385" s="26"/>
      <x:c r="N385" s="19"/>
      <x:c r="O385" s="19"/>
    </x:row>
    <x:row r="386">
      <x:c r="A386" s="19"/>
      <x:c r="B386" s="19"/>
      <x:c r="C386" s="19"/>
      <x:c r="D386" s="24"/>
      <x:c r="E386" s="24"/>
      <x:c r="F386" s="25"/>
      <x:c r="G386" s="19"/>
      <x:c r="H386" s="104" t="str">
        <x:f>IF($A386="","",COUNTIF('Leads'!$D$2:$D$500,$A386))</x:f>
      </x:c>
      <x:c r="I386" s="96" t="str">
        <x:f>IF($A386="","",SUMIFS('DashboardData'!$H$2:$H$500,'DashboardData'!$B$2:$B$500,"won_revenue",'DashboardData'!$C$2:$C$500,"campaign",'DashboardData'!$D$2:$D$500,$A386))</x:f>
      </x:c>
      <x:c r="J386" s="19"/>
      <x:c r="K386" s="26"/>
      <x:c r="L386" s="19"/>
      <x:c r="M386" s="26"/>
      <x:c r="N386" s="19"/>
      <x:c r="O386" s="19"/>
    </x:row>
    <x:row r="387">
      <x:c r="A387" s="19"/>
      <x:c r="B387" s="19"/>
      <x:c r="C387" s="19"/>
      <x:c r="D387" s="24"/>
      <x:c r="E387" s="24"/>
      <x:c r="F387" s="25"/>
      <x:c r="G387" s="19"/>
      <x:c r="H387" s="104" t="str">
        <x:f>IF($A387="","",COUNTIF('Leads'!$D$2:$D$500,$A387))</x:f>
      </x:c>
      <x:c r="I387" s="96" t="str">
        <x:f>IF($A387="","",SUMIFS('DashboardData'!$H$2:$H$500,'DashboardData'!$B$2:$B$500,"won_revenue",'DashboardData'!$C$2:$C$500,"campaign",'DashboardData'!$D$2:$D$500,$A387))</x:f>
      </x:c>
      <x:c r="J387" s="19"/>
      <x:c r="K387" s="26"/>
      <x:c r="L387" s="19"/>
      <x:c r="M387" s="26"/>
      <x:c r="N387" s="19"/>
      <x:c r="O387" s="19"/>
    </x:row>
    <x:row r="388">
      <x:c r="A388" s="19"/>
      <x:c r="B388" s="19"/>
      <x:c r="C388" s="19"/>
      <x:c r="D388" s="24"/>
      <x:c r="E388" s="24"/>
      <x:c r="F388" s="25"/>
      <x:c r="G388" s="19"/>
      <x:c r="H388" s="104" t="str">
        <x:f>IF($A388="","",COUNTIF('Leads'!$D$2:$D$500,$A388))</x:f>
      </x:c>
      <x:c r="I388" s="96" t="str">
        <x:f>IF($A388="","",SUMIFS('DashboardData'!$H$2:$H$500,'DashboardData'!$B$2:$B$500,"won_revenue",'DashboardData'!$C$2:$C$500,"campaign",'DashboardData'!$D$2:$D$500,$A388))</x:f>
      </x:c>
      <x:c r="J388" s="19"/>
      <x:c r="K388" s="26"/>
      <x:c r="L388" s="19"/>
      <x:c r="M388" s="26"/>
      <x:c r="N388" s="19"/>
      <x:c r="O388" s="19"/>
    </x:row>
    <x:row r="389">
      <x:c r="A389" s="19"/>
      <x:c r="B389" s="19"/>
      <x:c r="C389" s="19"/>
      <x:c r="D389" s="24"/>
      <x:c r="E389" s="24"/>
      <x:c r="F389" s="25"/>
      <x:c r="G389" s="19"/>
      <x:c r="H389" s="104" t="str">
        <x:f>IF($A389="","",COUNTIF('Leads'!$D$2:$D$500,$A389))</x:f>
      </x:c>
      <x:c r="I389" s="96" t="str">
        <x:f>IF($A389="","",SUMIFS('DashboardData'!$H$2:$H$500,'DashboardData'!$B$2:$B$500,"won_revenue",'DashboardData'!$C$2:$C$500,"campaign",'DashboardData'!$D$2:$D$500,$A389))</x:f>
      </x:c>
      <x:c r="J389" s="19"/>
      <x:c r="K389" s="26"/>
      <x:c r="L389" s="19"/>
      <x:c r="M389" s="26"/>
      <x:c r="N389" s="19"/>
      <x:c r="O389" s="19"/>
    </x:row>
    <x:row r="390">
      <x:c r="A390" s="19"/>
      <x:c r="B390" s="19"/>
      <x:c r="C390" s="19"/>
      <x:c r="D390" s="24"/>
      <x:c r="E390" s="24"/>
      <x:c r="F390" s="25"/>
      <x:c r="G390" s="19"/>
      <x:c r="H390" s="104" t="str">
        <x:f>IF($A390="","",COUNTIF('Leads'!$D$2:$D$500,$A390))</x:f>
      </x:c>
      <x:c r="I390" s="96" t="str">
        <x:f>IF($A390="","",SUMIFS('DashboardData'!$H$2:$H$500,'DashboardData'!$B$2:$B$500,"won_revenue",'DashboardData'!$C$2:$C$500,"campaign",'DashboardData'!$D$2:$D$500,$A390))</x:f>
      </x:c>
      <x:c r="J390" s="19"/>
      <x:c r="K390" s="26"/>
      <x:c r="L390" s="19"/>
      <x:c r="M390" s="26"/>
      <x:c r="N390" s="19"/>
      <x:c r="O390" s="19"/>
    </x:row>
    <x:row r="391">
      <x:c r="A391" s="19"/>
      <x:c r="B391" s="19"/>
      <x:c r="C391" s="19"/>
      <x:c r="D391" s="24"/>
      <x:c r="E391" s="24"/>
      <x:c r="F391" s="25"/>
      <x:c r="G391" s="19"/>
      <x:c r="H391" s="104" t="str">
        <x:f>IF($A391="","",COUNTIF('Leads'!$D$2:$D$500,$A391))</x:f>
      </x:c>
      <x:c r="I391" s="96" t="str">
        <x:f>IF($A391="","",SUMIFS('DashboardData'!$H$2:$H$500,'DashboardData'!$B$2:$B$500,"won_revenue",'DashboardData'!$C$2:$C$500,"campaign",'DashboardData'!$D$2:$D$500,$A391))</x:f>
      </x:c>
      <x:c r="J391" s="19"/>
      <x:c r="K391" s="26"/>
      <x:c r="L391" s="19"/>
      <x:c r="M391" s="26"/>
      <x:c r="N391" s="19"/>
      <x:c r="O391" s="19"/>
    </x:row>
    <x:row r="392">
      <x:c r="A392" s="19"/>
      <x:c r="B392" s="19"/>
      <x:c r="C392" s="19"/>
      <x:c r="D392" s="24"/>
      <x:c r="E392" s="24"/>
      <x:c r="F392" s="25"/>
      <x:c r="G392" s="19"/>
      <x:c r="H392" s="104" t="str">
        <x:f>IF($A392="","",COUNTIF('Leads'!$D$2:$D$500,$A392))</x:f>
      </x:c>
      <x:c r="I392" s="96" t="str">
        <x:f>IF($A392="","",SUMIFS('DashboardData'!$H$2:$H$500,'DashboardData'!$B$2:$B$500,"won_revenue",'DashboardData'!$C$2:$C$500,"campaign",'DashboardData'!$D$2:$D$500,$A392))</x:f>
      </x:c>
      <x:c r="J392" s="19"/>
      <x:c r="K392" s="26"/>
      <x:c r="L392" s="19"/>
      <x:c r="M392" s="26"/>
      <x:c r="N392" s="19"/>
      <x:c r="O392" s="19"/>
    </x:row>
    <x:row r="393">
      <x:c r="A393" s="19"/>
      <x:c r="B393" s="19"/>
      <x:c r="C393" s="19"/>
      <x:c r="D393" s="24"/>
      <x:c r="E393" s="24"/>
      <x:c r="F393" s="25"/>
      <x:c r="G393" s="19"/>
      <x:c r="H393" s="104" t="str">
        <x:f>IF($A393="","",COUNTIF('Leads'!$D$2:$D$500,$A393))</x:f>
      </x:c>
      <x:c r="I393" s="96" t="str">
        <x:f>IF($A393="","",SUMIFS('DashboardData'!$H$2:$H$500,'DashboardData'!$B$2:$B$500,"won_revenue",'DashboardData'!$C$2:$C$500,"campaign",'DashboardData'!$D$2:$D$500,$A393))</x:f>
      </x:c>
      <x:c r="J393" s="19"/>
      <x:c r="K393" s="26"/>
      <x:c r="L393" s="19"/>
      <x:c r="M393" s="26"/>
      <x:c r="N393" s="19"/>
      <x:c r="O393" s="19"/>
    </x:row>
    <x:row r="394">
      <x:c r="A394" s="19"/>
      <x:c r="B394" s="19"/>
      <x:c r="C394" s="19"/>
      <x:c r="D394" s="24"/>
      <x:c r="E394" s="24"/>
      <x:c r="F394" s="25"/>
      <x:c r="G394" s="19"/>
      <x:c r="H394" s="104" t="str">
        <x:f>IF($A394="","",COUNTIF('Leads'!$D$2:$D$500,$A394))</x:f>
      </x:c>
      <x:c r="I394" s="96" t="str">
        <x:f>IF($A394="","",SUMIFS('DashboardData'!$H$2:$H$500,'DashboardData'!$B$2:$B$500,"won_revenue",'DashboardData'!$C$2:$C$500,"campaign",'DashboardData'!$D$2:$D$500,$A394))</x:f>
      </x:c>
      <x:c r="J394" s="19"/>
      <x:c r="K394" s="26"/>
      <x:c r="L394" s="19"/>
      <x:c r="M394" s="26"/>
      <x:c r="N394" s="19"/>
      <x:c r="O394" s="19"/>
    </x:row>
    <x:row r="395">
      <x:c r="A395" s="19"/>
      <x:c r="B395" s="19"/>
      <x:c r="C395" s="19"/>
      <x:c r="D395" s="24"/>
      <x:c r="E395" s="24"/>
      <x:c r="F395" s="25"/>
      <x:c r="G395" s="19"/>
      <x:c r="H395" s="104" t="str">
        <x:f>IF($A395="","",COUNTIF('Leads'!$D$2:$D$500,$A395))</x:f>
      </x:c>
      <x:c r="I395" s="96" t="str">
        <x:f>IF($A395="","",SUMIFS('DashboardData'!$H$2:$H$500,'DashboardData'!$B$2:$B$500,"won_revenue",'DashboardData'!$C$2:$C$500,"campaign",'DashboardData'!$D$2:$D$500,$A395))</x:f>
      </x:c>
      <x:c r="J395" s="19"/>
      <x:c r="K395" s="26"/>
      <x:c r="L395" s="19"/>
      <x:c r="M395" s="26"/>
      <x:c r="N395" s="19"/>
      <x:c r="O395" s="19"/>
    </x:row>
    <x:row r="396">
      <x:c r="A396" s="19"/>
      <x:c r="B396" s="19"/>
      <x:c r="C396" s="19"/>
      <x:c r="D396" s="24"/>
      <x:c r="E396" s="24"/>
      <x:c r="F396" s="25"/>
      <x:c r="G396" s="19"/>
      <x:c r="H396" s="104" t="str">
        <x:f>IF($A396="","",COUNTIF('Leads'!$D$2:$D$500,$A396))</x:f>
      </x:c>
      <x:c r="I396" s="96" t="str">
        <x:f>IF($A396="","",SUMIFS('DashboardData'!$H$2:$H$500,'DashboardData'!$B$2:$B$500,"won_revenue",'DashboardData'!$C$2:$C$500,"campaign",'DashboardData'!$D$2:$D$500,$A396))</x:f>
      </x:c>
      <x:c r="J396" s="19"/>
      <x:c r="K396" s="26"/>
      <x:c r="L396" s="19"/>
      <x:c r="M396" s="26"/>
      <x:c r="N396" s="19"/>
      <x:c r="O396" s="19"/>
    </x:row>
    <x:row r="397">
      <x:c r="A397" s="19"/>
      <x:c r="B397" s="19"/>
      <x:c r="C397" s="19"/>
      <x:c r="D397" s="24"/>
      <x:c r="E397" s="24"/>
      <x:c r="F397" s="25"/>
      <x:c r="G397" s="19"/>
      <x:c r="H397" s="104" t="str">
        <x:f>IF($A397="","",COUNTIF('Leads'!$D$2:$D$500,$A397))</x:f>
      </x:c>
      <x:c r="I397" s="96" t="str">
        <x:f>IF($A397="","",SUMIFS('DashboardData'!$H$2:$H$500,'DashboardData'!$B$2:$B$500,"won_revenue",'DashboardData'!$C$2:$C$500,"campaign",'DashboardData'!$D$2:$D$500,$A397))</x:f>
      </x:c>
      <x:c r="J397" s="19"/>
      <x:c r="K397" s="26"/>
      <x:c r="L397" s="19"/>
      <x:c r="M397" s="26"/>
      <x:c r="N397" s="19"/>
      <x:c r="O397" s="19"/>
    </x:row>
    <x:row r="398">
      <x:c r="A398" s="19"/>
      <x:c r="B398" s="19"/>
      <x:c r="C398" s="19"/>
      <x:c r="D398" s="24"/>
      <x:c r="E398" s="24"/>
      <x:c r="F398" s="25"/>
      <x:c r="G398" s="19"/>
      <x:c r="H398" s="104" t="str">
        <x:f>IF($A398="","",COUNTIF('Leads'!$D$2:$D$500,$A398))</x:f>
      </x:c>
      <x:c r="I398" s="96" t="str">
        <x:f>IF($A398="","",SUMIFS('DashboardData'!$H$2:$H$500,'DashboardData'!$B$2:$B$500,"won_revenue",'DashboardData'!$C$2:$C$500,"campaign",'DashboardData'!$D$2:$D$500,$A398))</x:f>
      </x:c>
      <x:c r="J398" s="19"/>
      <x:c r="K398" s="26"/>
      <x:c r="L398" s="19"/>
      <x:c r="M398" s="26"/>
      <x:c r="N398" s="19"/>
      <x:c r="O398" s="19"/>
    </x:row>
    <x:row r="399">
      <x:c r="A399" s="19"/>
      <x:c r="B399" s="19"/>
      <x:c r="C399" s="19"/>
      <x:c r="D399" s="24"/>
      <x:c r="E399" s="24"/>
      <x:c r="F399" s="25"/>
      <x:c r="G399" s="19"/>
      <x:c r="H399" s="104" t="str">
        <x:f>IF($A399="","",COUNTIF('Leads'!$D$2:$D$500,$A399))</x:f>
      </x:c>
      <x:c r="I399" s="96" t="str">
        <x:f>IF($A399="","",SUMIFS('DashboardData'!$H$2:$H$500,'DashboardData'!$B$2:$B$500,"won_revenue",'DashboardData'!$C$2:$C$500,"campaign",'DashboardData'!$D$2:$D$500,$A399))</x:f>
      </x:c>
      <x:c r="J399" s="19"/>
      <x:c r="K399" s="26"/>
      <x:c r="L399" s="19"/>
      <x:c r="M399" s="26"/>
      <x:c r="N399" s="19"/>
      <x:c r="O399" s="19"/>
    </x:row>
    <x:row r="400">
      <x:c r="A400" s="19"/>
      <x:c r="B400" s="19"/>
      <x:c r="C400" s="19"/>
      <x:c r="D400" s="24"/>
      <x:c r="E400" s="24"/>
      <x:c r="F400" s="25"/>
      <x:c r="G400" s="19"/>
      <x:c r="H400" s="104" t="str">
        <x:f>IF($A400="","",COUNTIF('Leads'!$D$2:$D$500,$A400))</x:f>
      </x:c>
      <x:c r="I400" s="96" t="str">
        <x:f>IF($A400="","",SUMIFS('DashboardData'!$H$2:$H$500,'DashboardData'!$B$2:$B$500,"won_revenue",'DashboardData'!$C$2:$C$500,"campaign",'DashboardData'!$D$2:$D$500,$A400))</x:f>
      </x:c>
      <x:c r="J400" s="19"/>
      <x:c r="K400" s="26"/>
      <x:c r="L400" s="19"/>
      <x:c r="M400" s="26"/>
      <x:c r="N400" s="19"/>
      <x:c r="O400" s="19"/>
    </x:row>
    <x:row r="401">
      <x:c r="A401" s="19"/>
      <x:c r="B401" s="19"/>
      <x:c r="C401" s="19"/>
      <x:c r="D401" s="24"/>
      <x:c r="E401" s="24"/>
      <x:c r="F401" s="25"/>
      <x:c r="G401" s="19"/>
      <x:c r="H401" s="104" t="str">
        <x:f>IF($A401="","",COUNTIF('Leads'!$D$2:$D$500,$A401))</x:f>
      </x:c>
      <x:c r="I401" s="96" t="str">
        <x:f>IF($A401="","",SUMIFS('DashboardData'!$H$2:$H$500,'DashboardData'!$B$2:$B$500,"won_revenue",'DashboardData'!$C$2:$C$500,"campaign",'DashboardData'!$D$2:$D$500,$A401))</x:f>
      </x:c>
      <x:c r="J401" s="19"/>
      <x:c r="K401" s="26"/>
      <x:c r="L401" s="19"/>
      <x:c r="M401" s="26"/>
      <x:c r="N401" s="19"/>
      <x:c r="O401" s="19"/>
    </x:row>
    <x:row r="402">
      <x:c r="A402" s="19"/>
      <x:c r="B402" s="19"/>
      <x:c r="C402" s="19"/>
      <x:c r="D402" s="24"/>
      <x:c r="E402" s="24"/>
      <x:c r="F402" s="25"/>
      <x:c r="G402" s="19"/>
      <x:c r="H402" s="104" t="str">
        <x:f>IF($A402="","",COUNTIF('Leads'!$D$2:$D$500,$A402))</x:f>
      </x:c>
      <x:c r="I402" s="96" t="str">
        <x:f>IF($A402="","",SUMIFS('DashboardData'!$H$2:$H$500,'DashboardData'!$B$2:$B$500,"won_revenue",'DashboardData'!$C$2:$C$500,"campaign",'DashboardData'!$D$2:$D$500,$A402))</x:f>
      </x:c>
      <x:c r="J402" s="19"/>
      <x:c r="K402" s="26"/>
      <x:c r="L402" s="19"/>
      <x:c r="M402" s="26"/>
      <x:c r="N402" s="19"/>
      <x:c r="O402" s="19"/>
    </x:row>
    <x:row r="403">
      <x:c r="A403" s="19"/>
      <x:c r="B403" s="19"/>
      <x:c r="C403" s="19"/>
      <x:c r="D403" s="24"/>
      <x:c r="E403" s="24"/>
      <x:c r="F403" s="25"/>
      <x:c r="G403" s="19"/>
      <x:c r="H403" s="104" t="str">
        <x:f>IF($A403="","",COUNTIF('Leads'!$D$2:$D$500,$A403))</x:f>
      </x:c>
      <x:c r="I403" s="96" t="str">
        <x:f>IF($A403="","",SUMIFS('DashboardData'!$H$2:$H$500,'DashboardData'!$B$2:$B$500,"won_revenue",'DashboardData'!$C$2:$C$500,"campaign",'DashboardData'!$D$2:$D$500,$A403))</x:f>
      </x:c>
      <x:c r="J403" s="19"/>
      <x:c r="K403" s="26"/>
      <x:c r="L403" s="19"/>
      <x:c r="M403" s="26"/>
      <x:c r="N403" s="19"/>
      <x:c r="O403" s="19"/>
    </x:row>
    <x:row r="404">
      <x:c r="A404" s="19"/>
      <x:c r="B404" s="19"/>
      <x:c r="C404" s="19"/>
      <x:c r="D404" s="24"/>
      <x:c r="E404" s="24"/>
      <x:c r="F404" s="25"/>
      <x:c r="G404" s="19"/>
      <x:c r="H404" s="104" t="str">
        <x:f>IF($A404="","",COUNTIF('Leads'!$D$2:$D$500,$A404))</x:f>
      </x:c>
      <x:c r="I404" s="96" t="str">
        <x:f>IF($A404="","",SUMIFS('DashboardData'!$H$2:$H$500,'DashboardData'!$B$2:$B$500,"won_revenue",'DashboardData'!$C$2:$C$500,"campaign",'DashboardData'!$D$2:$D$500,$A404))</x:f>
      </x:c>
      <x:c r="J404" s="19"/>
      <x:c r="K404" s="26"/>
      <x:c r="L404" s="19"/>
      <x:c r="M404" s="26"/>
      <x:c r="N404" s="19"/>
      <x:c r="O404" s="19"/>
    </x:row>
    <x:row r="405">
      <x:c r="A405" s="19"/>
      <x:c r="B405" s="19"/>
      <x:c r="C405" s="19"/>
      <x:c r="D405" s="24"/>
      <x:c r="E405" s="24"/>
      <x:c r="F405" s="25"/>
      <x:c r="G405" s="19"/>
      <x:c r="H405" s="104" t="str">
        <x:f>IF($A405="","",COUNTIF('Leads'!$D$2:$D$500,$A405))</x:f>
      </x:c>
      <x:c r="I405" s="96" t="str">
        <x:f>IF($A405="","",SUMIFS('DashboardData'!$H$2:$H$500,'DashboardData'!$B$2:$B$500,"won_revenue",'DashboardData'!$C$2:$C$500,"campaign",'DashboardData'!$D$2:$D$500,$A405))</x:f>
      </x:c>
      <x:c r="J405" s="19"/>
      <x:c r="K405" s="26"/>
      <x:c r="L405" s="19"/>
      <x:c r="M405" s="26"/>
      <x:c r="N405" s="19"/>
      <x:c r="O405" s="19"/>
    </x:row>
    <x:row r="406">
      <x:c r="A406" s="19"/>
      <x:c r="B406" s="19"/>
      <x:c r="C406" s="19"/>
      <x:c r="D406" s="24"/>
      <x:c r="E406" s="24"/>
      <x:c r="F406" s="25"/>
      <x:c r="G406" s="19"/>
      <x:c r="H406" s="104" t="str">
        <x:f>IF($A406="","",COUNTIF('Leads'!$D$2:$D$500,$A406))</x:f>
      </x:c>
      <x:c r="I406" s="96" t="str">
        <x:f>IF($A406="","",SUMIFS('DashboardData'!$H$2:$H$500,'DashboardData'!$B$2:$B$500,"won_revenue",'DashboardData'!$C$2:$C$500,"campaign",'DashboardData'!$D$2:$D$500,$A406))</x:f>
      </x:c>
      <x:c r="J406" s="19"/>
      <x:c r="K406" s="26"/>
      <x:c r="L406" s="19"/>
      <x:c r="M406" s="26"/>
      <x:c r="N406" s="19"/>
      <x:c r="O406" s="19"/>
    </x:row>
    <x:row r="407">
      <x:c r="A407" s="19"/>
      <x:c r="B407" s="19"/>
      <x:c r="C407" s="19"/>
      <x:c r="D407" s="24"/>
      <x:c r="E407" s="24"/>
      <x:c r="F407" s="25"/>
      <x:c r="G407" s="19"/>
      <x:c r="H407" s="104" t="str">
        <x:f>IF($A407="","",COUNTIF('Leads'!$D$2:$D$500,$A407))</x:f>
      </x:c>
      <x:c r="I407" s="96" t="str">
        <x:f>IF($A407="","",SUMIFS('DashboardData'!$H$2:$H$500,'DashboardData'!$B$2:$B$500,"won_revenue",'DashboardData'!$C$2:$C$500,"campaign",'DashboardData'!$D$2:$D$500,$A407))</x:f>
      </x:c>
      <x:c r="J407" s="19"/>
      <x:c r="K407" s="26"/>
      <x:c r="L407" s="19"/>
      <x:c r="M407" s="26"/>
      <x:c r="N407" s="19"/>
      <x:c r="O407" s="19"/>
    </x:row>
    <x:row r="408">
      <x:c r="A408" s="19"/>
      <x:c r="B408" s="19"/>
      <x:c r="C408" s="19"/>
      <x:c r="D408" s="24"/>
      <x:c r="E408" s="24"/>
      <x:c r="F408" s="25"/>
      <x:c r="G408" s="19"/>
      <x:c r="H408" s="104" t="str">
        <x:f>IF($A408="","",COUNTIF('Leads'!$D$2:$D$500,$A408))</x:f>
      </x:c>
      <x:c r="I408" s="96" t="str">
        <x:f>IF($A408="","",SUMIFS('DashboardData'!$H$2:$H$500,'DashboardData'!$B$2:$B$500,"won_revenue",'DashboardData'!$C$2:$C$500,"campaign",'DashboardData'!$D$2:$D$500,$A408))</x:f>
      </x:c>
      <x:c r="J408" s="19"/>
      <x:c r="K408" s="26"/>
      <x:c r="L408" s="19"/>
      <x:c r="M408" s="26"/>
      <x:c r="N408" s="19"/>
      <x:c r="O408" s="19"/>
    </x:row>
    <x:row r="409">
      <x:c r="A409" s="19"/>
      <x:c r="B409" s="19"/>
      <x:c r="C409" s="19"/>
      <x:c r="D409" s="24"/>
      <x:c r="E409" s="24"/>
      <x:c r="F409" s="25"/>
      <x:c r="G409" s="19"/>
      <x:c r="H409" s="104" t="str">
        <x:f>IF($A409="","",COUNTIF('Leads'!$D$2:$D$500,$A409))</x:f>
      </x:c>
      <x:c r="I409" s="96" t="str">
        <x:f>IF($A409="","",SUMIFS('DashboardData'!$H$2:$H$500,'DashboardData'!$B$2:$B$500,"won_revenue",'DashboardData'!$C$2:$C$500,"campaign",'DashboardData'!$D$2:$D$500,$A409))</x:f>
      </x:c>
      <x:c r="J409" s="19"/>
      <x:c r="K409" s="26"/>
      <x:c r="L409" s="19"/>
      <x:c r="M409" s="26"/>
      <x:c r="N409" s="19"/>
      <x:c r="O409" s="19"/>
    </x:row>
    <x:row r="410">
      <x:c r="A410" s="19"/>
      <x:c r="B410" s="19"/>
      <x:c r="C410" s="19"/>
      <x:c r="D410" s="24"/>
      <x:c r="E410" s="24"/>
      <x:c r="F410" s="25"/>
      <x:c r="G410" s="19"/>
      <x:c r="H410" s="104" t="str">
        <x:f>IF($A410="","",COUNTIF('Leads'!$D$2:$D$500,$A410))</x:f>
      </x:c>
      <x:c r="I410" s="96" t="str">
        <x:f>IF($A410="","",SUMIFS('DashboardData'!$H$2:$H$500,'DashboardData'!$B$2:$B$500,"won_revenue",'DashboardData'!$C$2:$C$500,"campaign",'DashboardData'!$D$2:$D$500,$A410))</x:f>
      </x:c>
      <x:c r="J410" s="19"/>
      <x:c r="K410" s="26"/>
      <x:c r="L410" s="19"/>
      <x:c r="M410" s="26"/>
      <x:c r="N410" s="19"/>
      <x:c r="O410" s="19"/>
    </x:row>
    <x:row r="411">
      <x:c r="A411" s="19"/>
      <x:c r="B411" s="19"/>
      <x:c r="C411" s="19"/>
      <x:c r="D411" s="24"/>
      <x:c r="E411" s="24"/>
      <x:c r="F411" s="25"/>
      <x:c r="G411" s="19"/>
      <x:c r="H411" s="104" t="str">
        <x:f>IF($A411="","",COUNTIF('Leads'!$D$2:$D$500,$A411))</x:f>
      </x:c>
      <x:c r="I411" s="96" t="str">
        <x:f>IF($A411="","",SUMIFS('DashboardData'!$H$2:$H$500,'DashboardData'!$B$2:$B$500,"won_revenue",'DashboardData'!$C$2:$C$500,"campaign",'DashboardData'!$D$2:$D$500,$A411))</x:f>
      </x:c>
      <x:c r="J411" s="19"/>
      <x:c r="K411" s="26"/>
      <x:c r="L411" s="19"/>
      <x:c r="M411" s="26"/>
      <x:c r="N411" s="19"/>
      <x:c r="O411" s="19"/>
    </x:row>
    <x:row r="412">
      <x:c r="A412" s="19"/>
      <x:c r="B412" s="19"/>
      <x:c r="C412" s="19"/>
      <x:c r="D412" s="24"/>
      <x:c r="E412" s="24"/>
      <x:c r="F412" s="25"/>
      <x:c r="G412" s="19"/>
      <x:c r="H412" s="104" t="str">
        <x:f>IF($A412="","",COUNTIF('Leads'!$D$2:$D$500,$A412))</x:f>
      </x:c>
      <x:c r="I412" s="96" t="str">
        <x:f>IF($A412="","",SUMIFS('DashboardData'!$H$2:$H$500,'DashboardData'!$B$2:$B$500,"won_revenue",'DashboardData'!$C$2:$C$500,"campaign",'DashboardData'!$D$2:$D$500,$A412))</x:f>
      </x:c>
      <x:c r="J412" s="19"/>
      <x:c r="K412" s="26"/>
      <x:c r="L412" s="19"/>
      <x:c r="M412" s="26"/>
      <x:c r="N412" s="19"/>
      <x:c r="O412" s="19"/>
    </x:row>
    <x:row r="413">
      <x:c r="A413" s="19"/>
      <x:c r="B413" s="19"/>
      <x:c r="C413" s="19"/>
      <x:c r="D413" s="24"/>
      <x:c r="E413" s="24"/>
      <x:c r="F413" s="25"/>
      <x:c r="G413" s="19"/>
      <x:c r="H413" s="104" t="str">
        <x:f>IF($A413="","",COUNTIF('Leads'!$D$2:$D$500,$A413))</x:f>
      </x:c>
      <x:c r="I413" s="96" t="str">
        <x:f>IF($A413="","",SUMIFS('DashboardData'!$H$2:$H$500,'DashboardData'!$B$2:$B$500,"won_revenue",'DashboardData'!$C$2:$C$500,"campaign",'DashboardData'!$D$2:$D$500,$A413))</x:f>
      </x:c>
      <x:c r="J413" s="19"/>
      <x:c r="K413" s="26"/>
      <x:c r="L413" s="19"/>
      <x:c r="M413" s="26"/>
      <x:c r="N413" s="19"/>
      <x:c r="O413" s="19"/>
    </x:row>
    <x:row r="414">
      <x:c r="A414" s="19"/>
      <x:c r="B414" s="19"/>
      <x:c r="C414" s="19"/>
      <x:c r="D414" s="24"/>
      <x:c r="E414" s="24"/>
      <x:c r="F414" s="25"/>
      <x:c r="G414" s="19"/>
      <x:c r="H414" s="104" t="str">
        <x:f>IF($A414="","",COUNTIF('Leads'!$D$2:$D$500,$A414))</x:f>
      </x:c>
      <x:c r="I414" s="96" t="str">
        <x:f>IF($A414="","",SUMIFS('DashboardData'!$H$2:$H$500,'DashboardData'!$B$2:$B$500,"won_revenue",'DashboardData'!$C$2:$C$500,"campaign",'DashboardData'!$D$2:$D$500,$A414))</x:f>
      </x:c>
      <x:c r="J414" s="19"/>
      <x:c r="K414" s="26"/>
      <x:c r="L414" s="19"/>
      <x:c r="M414" s="26"/>
      <x:c r="N414" s="19"/>
      <x:c r="O414" s="19"/>
    </x:row>
    <x:row r="415">
      <x:c r="A415" s="19"/>
      <x:c r="B415" s="19"/>
      <x:c r="C415" s="19"/>
      <x:c r="D415" s="24"/>
      <x:c r="E415" s="24"/>
      <x:c r="F415" s="25"/>
      <x:c r="G415" s="19"/>
      <x:c r="H415" s="104" t="str">
        <x:f>IF($A415="","",COUNTIF('Leads'!$D$2:$D$500,$A415))</x:f>
      </x:c>
      <x:c r="I415" s="96" t="str">
        <x:f>IF($A415="","",SUMIFS('DashboardData'!$H$2:$H$500,'DashboardData'!$B$2:$B$500,"won_revenue",'DashboardData'!$C$2:$C$500,"campaign",'DashboardData'!$D$2:$D$500,$A415))</x:f>
      </x:c>
      <x:c r="J415" s="19"/>
      <x:c r="K415" s="26"/>
      <x:c r="L415" s="19"/>
      <x:c r="M415" s="26"/>
      <x:c r="N415" s="19"/>
      <x:c r="O415" s="19"/>
    </x:row>
    <x:row r="416">
      <x:c r="A416" s="19"/>
      <x:c r="B416" s="19"/>
      <x:c r="C416" s="19"/>
      <x:c r="D416" s="24"/>
      <x:c r="E416" s="24"/>
      <x:c r="F416" s="25"/>
      <x:c r="G416" s="19"/>
      <x:c r="H416" s="104" t="str">
        <x:f>IF($A416="","",COUNTIF('Leads'!$D$2:$D$500,$A416))</x:f>
      </x:c>
      <x:c r="I416" s="96" t="str">
        <x:f>IF($A416="","",SUMIFS('DashboardData'!$H$2:$H$500,'DashboardData'!$B$2:$B$500,"won_revenue",'DashboardData'!$C$2:$C$500,"campaign",'DashboardData'!$D$2:$D$500,$A416))</x:f>
      </x:c>
      <x:c r="J416" s="19"/>
      <x:c r="K416" s="26"/>
      <x:c r="L416" s="19"/>
      <x:c r="M416" s="26"/>
      <x:c r="N416" s="19"/>
      <x:c r="O416" s="19"/>
    </x:row>
    <x:row r="417">
      <x:c r="A417" s="19"/>
      <x:c r="B417" s="19"/>
      <x:c r="C417" s="19"/>
      <x:c r="D417" s="24"/>
      <x:c r="E417" s="24"/>
      <x:c r="F417" s="25"/>
      <x:c r="G417" s="19"/>
      <x:c r="H417" s="104" t="str">
        <x:f>IF($A417="","",COUNTIF('Leads'!$D$2:$D$500,$A417))</x:f>
      </x:c>
      <x:c r="I417" s="96" t="str">
        <x:f>IF($A417="","",SUMIFS('DashboardData'!$H$2:$H$500,'DashboardData'!$B$2:$B$500,"won_revenue",'DashboardData'!$C$2:$C$500,"campaign",'DashboardData'!$D$2:$D$500,$A417))</x:f>
      </x:c>
      <x:c r="J417" s="19"/>
      <x:c r="K417" s="26"/>
      <x:c r="L417" s="19"/>
      <x:c r="M417" s="26"/>
      <x:c r="N417" s="19"/>
      <x:c r="O417" s="19"/>
    </x:row>
    <x:row r="418">
      <x:c r="A418" s="19"/>
      <x:c r="B418" s="19"/>
      <x:c r="C418" s="19"/>
      <x:c r="D418" s="24"/>
      <x:c r="E418" s="24"/>
      <x:c r="F418" s="25"/>
      <x:c r="G418" s="19"/>
      <x:c r="H418" s="104" t="str">
        <x:f>IF($A418="","",COUNTIF('Leads'!$D$2:$D$500,$A418))</x:f>
      </x:c>
      <x:c r="I418" s="96" t="str">
        <x:f>IF($A418="","",SUMIFS('DashboardData'!$H$2:$H$500,'DashboardData'!$B$2:$B$500,"won_revenue",'DashboardData'!$C$2:$C$500,"campaign",'DashboardData'!$D$2:$D$500,$A418))</x:f>
      </x:c>
      <x:c r="J418" s="19"/>
      <x:c r="K418" s="26"/>
      <x:c r="L418" s="19"/>
      <x:c r="M418" s="26"/>
      <x:c r="N418" s="19"/>
      <x:c r="O418" s="19"/>
    </x:row>
    <x:row r="419">
      <x:c r="A419" s="19"/>
      <x:c r="B419" s="19"/>
      <x:c r="C419" s="19"/>
      <x:c r="D419" s="24"/>
      <x:c r="E419" s="24"/>
      <x:c r="F419" s="25"/>
      <x:c r="G419" s="19"/>
      <x:c r="H419" s="104" t="str">
        <x:f>IF($A419="","",COUNTIF('Leads'!$D$2:$D$500,$A419))</x:f>
      </x:c>
      <x:c r="I419" s="96" t="str">
        <x:f>IF($A419="","",SUMIFS('DashboardData'!$H$2:$H$500,'DashboardData'!$B$2:$B$500,"won_revenue",'DashboardData'!$C$2:$C$500,"campaign",'DashboardData'!$D$2:$D$500,$A419))</x:f>
      </x:c>
      <x:c r="J419" s="19"/>
      <x:c r="K419" s="26"/>
      <x:c r="L419" s="19"/>
      <x:c r="M419" s="26"/>
      <x:c r="N419" s="19"/>
      <x:c r="O419" s="19"/>
    </x:row>
    <x:row r="420">
      <x:c r="A420" s="19"/>
      <x:c r="B420" s="19"/>
      <x:c r="C420" s="19"/>
      <x:c r="D420" s="24"/>
      <x:c r="E420" s="24"/>
      <x:c r="F420" s="25"/>
      <x:c r="G420" s="19"/>
      <x:c r="H420" s="104" t="str">
        <x:f>IF($A420="","",COUNTIF('Leads'!$D$2:$D$500,$A420))</x:f>
      </x:c>
      <x:c r="I420" s="96" t="str">
        <x:f>IF($A420="","",SUMIFS('DashboardData'!$H$2:$H$500,'DashboardData'!$B$2:$B$500,"won_revenue",'DashboardData'!$C$2:$C$500,"campaign",'DashboardData'!$D$2:$D$500,$A420))</x:f>
      </x:c>
      <x:c r="J420" s="19"/>
      <x:c r="K420" s="26"/>
      <x:c r="L420" s="19"/>
      <x:c r="M420" s="26"/>
      <x:c r="N420" s="19"/>
      <x:c r="O420" s="19"/>
    </x:row>
    <x:row r="421">
      <x:c r="A421" s="19"/>
      <x:c r="B421" s="19"/>
      <x:c r="C421" s="19"/>
      <x:c r="D421" s="24"/>
      <x:c r="E421" s="24"/>
      <x:c r="F421" s="25"/>
      <x:c r="G421" s="19"/>
      <x:c r="H421" s="104" t="str">
        <x:f>IF($A421="","",COUNTIF('Leads'!$D$2:$D$500,$A421))</x:f>
      </x:c>
      <x:c r="I421" s="96" t="str">
        <x:f>IF($A421="","",SUMIFS('DashboardData'!$H$2:$H$500,'DashboardData'!$B$2:$B$500,"won_revenue",'DashboardData'!$C$2:$C$500,"campaign",'DashboardData'!$D$2:$D$500,$A421))</x:f>
      </x:c>
      <x:c r="J421" s="19"/>
      <x:c r="K421" s="26"/>
      <x:c r="L421" s="19"/>
      <x:c r="M421" s="26"/>
      <x:c r="N421" s="19"/>
      <x:c r="O421" s="19"/>
    </x:row>
    <x:row r="422">
      <x:c r="A422" s="19"/>
      <x:c r="B422" s="19"/>
      <x:c r="C422" s="19"/>
      <x:c r="D422" s="24"/>
      <x:c r="E422" s="24"/>
      <x:c r="F422" s="25"/>
      <x:c r="G422" s="19"/>
      <x:c r="H422" s="104" t="str">
        <x:f>IF($A422="","",COUNTIF('Leads'!$D$2:$D$500,$A422))</x:f>
      </x:c>
      <x:c r="I422" s="96" t="str">
        <x:f>IF($A422="","",SUMIFS('DashboardData'!$H$2:$H$500,'DashboardData'!$B$2:$B$500,"won_revenue",'DashboardData'!$C$2:$C$500,"campaign",'DashboardData'!$D$2:$D$500,$A422))</x:f>
      </x:c>
      <x:c r="J422" s="19"/>
      <x:c r="K422" s="26"/>
      <x:c r="L422" s="19"/>
      <x:c r="M422" s="26"/>
      <x:c r="N422" s="19"/>
      <x:c r="O422" s="19"/>
    </x:row>
    <x:row r="423">
      <x:c r="A423" s="19"/>
      <x:c r="B423" s="19"/>
      <x:c r="C423" s="19"/>
      <x:c r="D423" s="24"/>
      <x:c r="E423" s="24"/>
      <x:c r="F423" s="25"/>
      <x:c r="G423" s="19"/>
      <x:c r="H423" s="104" t="str">
        <x:f>IF($A423="","",COUNTIF('Leads'!$D$2:$D$500,$A423))</x:f>
      </x:c>
      <x:c r="I423" s="96" t="str">
        <x:f>IF($A423="","",SUMIFS('DashboardData'!$H$2:$H$500,'DashboardData'!$B$2:$B$500,"won_revenue",'DashboardData'!$C$2:$C$500,"campaign",'DashboardData'!$D$2:$D$500,$A423))</x:f>
      </x:c>
      <x:c r="J423" s="19"/>
      <x:c r="K423" s="26"/>
      <x:c r="L423" s="19"/>
      <x:c r="M423" s="26"/>
      <x:c r="N423" s="19"/>
      <x:c r="O423" s="19"/>
    </x:row>
    <x:row r="424">
      <x:c r="A424" s="19"/>
      <x:c r="B424" s="19"/>
      <x:c r="C424" s="19"/>
      <x:c r="D424" s="24"/>
      <x:c r="E424" s="24"/>
      <x:c r="F424" s="25"/>
      <x:c r="G424" s="19"/>
      <x:c r="H424" s="104" t="str">
        <x:f>IF($A424="","",COUNTIF('Leads'!$D$2:$D$500,$A424))</x:f>
      </x:c>
      <x:c r="I424" s="96" t="str">
        <x:f>IF($A424="","",SUMIFS('DashboardData'!$H$2:$H$500,'DashboardData'!$B$2:$B$500,"won_revenue",'DashboardData'!$C$2:$C$500,"campaign",'DashboardData'!$D$2:$D$500,$A424))</x:f>
      </x:c>
      <x:c r="J424" s="19"/>
      <x:c r="K424" s="26"/>
      <x:c r="L424" s="19"/>
      <x:c r="M424" s="26"/>
      <x:c r="N424" s="19"/>
      <x:c r="O424" s="19"/>
    </x:row>
    <x:row r="425">
      <x:c r="A425" s="19"/>
      <x:c r="B425" s="19"/>
      <x:c r="C425" s="19"/>
      <x:c r="D425" s="24"/>
      <x:c r="E425" s="24"/>
      <x:c r="F425" s="25"/>
      <x:c r="G425" s="19"/>
      <x:c r="H425" s="104" t="str">
        <x:f>IF($A425="","",COUNTIF('Leads'!$D$2:$D$500,$A425))</x:f>
      </x:c>
      <x:c r="I425" s="96" t="str">
        <x:f>IF($A425="","",SUMIFS('DashboardData'!$H$2:$H$500,'DashboardData'!$B$2:$B$500,"won_revenue",'DashboardData'!$C$2:$C$500,"campaign",'DashboardData'!$D$2:$D$500,$A425))</x:f>
      </x:c>
      <x:c r="J425" s="19"/>
      <x:c r="K425" s="26"/>
      <x:c r="L425" s="19"/>
      <x:c r="M425" s="26"/>
      <x:c r="N425" s="19"/>
      <x:c r="O425" s="19"/>
    </x:row>
    <x:row r="426">
      <x:c r="A426" s="19"/>
      <x:c r="B426" s="19"/>
      <x:c r="C426" s="19"/>
      <x:c r="D426" s="24"/>
      <x:c r="E426" s="24"/>
      <x:c r="F426" s="25"/>
      <x:c r="G426" s="19"/>
      <x:c r="H426" s="104" t="str">
        <x:f>IF($A426="","",COUNTIF('Leads'!$D$2:$D$500,$A426))</x:f>
      </x:c>
      <x:c r="I426" s="96" t="str">
        <x:f>IF($A426="","",SUMIFS('DashboardData'!$H$2:$H$500,'DashboardData'!$B$2:$B$500,"won_revenue",'DashboardData'!$C$2:$C$500,"campaign",'DashboardData'!$D$2:$D$500,$A426))</x:f>
      </x:c>
      <x:c r="J426" s="19"/>
      <x:c r="K426" s="26"/>
      <x:c r="L426" s="19"/>
      <x:c r="M426" s="26"/>
      <x:c r="N426" s="19"/>
      <x:c r="O426" s="19"/>
    </x:row>
    <x:row r="427">
      <x:c r="A427" s="19"/>
      <x:c r="B427" s="19"/>
      <x:c r="C427" s="19"/>
      <x:c r="D427" s="24"/>
      <x:c r="E427" s="24"/>
      <x:c r="F427" s="25"/>
      <x:c r="G427" s="19"/>
      <x:c r="H427" s="104" t="str">
        <x:f>IF($A427="","",COUNTIF('Leads'!$D$2:$D$500,$A427))</x:f>
      </x:c>
      <x:c r="I427" s="96" t="str">
        <x:f>IF($A427="","",SUMIFS('DashboardData'!$H$2:$H$500,'DashboardData'!$B$2:$B$500,"won_revenue",'DashboardData'!$C$2:$C$500,"campaign",'DashboardData'!$D$2:$D$500,$A427))</x:f>
      </x:c>
      <x:c r="J427" s="19"/>
      <x:c r="K427" s="26"/>
      <x:c r="L427" s="19"/>
      <x:c r="M427" s="26"/>
      <x:c r="N427" s="19"/>
      <x:c r="O427" s="19"/>
    </x:row>
    <x:row r="428">
      <x:c r="A428" s="19"/>
      <x:c r="B428" s="19"/>
      <x:c r="C428" s="19"/>
      <x:c r="D428" s="24"/>
      <x:c r="E428" s="24"/>
      <x:c r="F428" s="25"/>
      <x:c r="G428" s="19"/>
      <x:c r="H428" s="104" t="str">
        <x:f>IF($A428="","",COUNTIF('Leads'!$D$2:$D$500,$A428))</x:f>
      </x:c>
      <x:c r="I428" s="96" t="str">
        <x:f>IF($A428="","",SUMIFS('DashboardData'!$H$2:$H$500,'DashboardData'!$B$2:$B$500,"won_revenue",'DashboardData'!$C$2:$C$500,"campaign",'DashboardData'!$D$2:$D$500,$A428))</x:f>
      </x:c>
      <x:c r="J428" s="19"/>
      <x:c r="K428" s="26"/>
      <x:c r="L428" s="19"/>
      <x:c r="M428" s="26"/>
      <x:c r="N428" s="19"/>
      <x:c r="O428" s="19"/>
    </x:row>
    <x:row r="429">
      <x:c r="A429" s="19"/>
      <x:c r="B429" s="19"/>
      <x:c r="C429" s="19"/>
      <x:c r="D429" s="24"/>
      <x:c r="E429" s="24"/>
      <x:c r="F429" s="25"/>
      <x:c r="G429" s="19"/>
      <x:c r="H429" s="104" t="str">
        <x:f>IF($A429="","",COUNTIF('Leads'!$D$2:$D$500,$A429))</x:f>
      </x:c>
      <x:c r="I429" s="96" t="str">
        <x:f>IF($A429="","",SUMIFS('DashboardData'!$H$2:$H$500,'DashboardData'!$B$2:$B$500,"won_revenue",'DashboardData'!$C$2:$C$500,"campaign",'DashboardData'!$D$2:$D$500,$A429))</x:f>
      </x:c>
      <x:c r="J429" s="19"/>
      <x:c r="K429" s="26"/>
      <x:c r="L429" s="19"/>
      <x:c r="M429" s="26"/>
      <x:c r="N429" s="19"/>
      <x:c r="O429" s="19"/>
    </x:row>
    <x:row r="430">
      <x:c r="A430" s="19"/>
      <x:c r="B430" s="19"/>
      <x:c r="C430" s="19"/>
      <x:c r="D430" s="24"/>
      <x:c r="E430" s="24"/>
      <x:c r="F430" s="25"/>
      <x:c r="G430" s="19"/>
      <x:c r="H430" s="104" t="str">
        <x:f>IF($A430="","",COUNTIF('Leads'!$D$2:$D$500,$A430))</x:f>
      </x:c>
      <x:c r="I430" s="96" t="str">
        <x:f>IF($A430="","",SUMIFS('DashboardData'!$H$2:$H$500,'DashboardData'!$B$2:$B$500,"won_revenue",'DashboardData'!$C$2:$C$500,"campaign",'DashboardData'!$D$2:$D$500,$A430))</x:f>
      </x:c>
      <x:c r="J430" s="19"/>
      <x:c r="K430" s="26"/>
      <x:c r="L430" s="19"/>
      <x:c r="M430" s="26"/>
      <x:c r="N430" s="19"/>
      <x:c r="O430" s="19"/>
    </x:row>
    <x:row r="431">
      <x:c r="A431" s="19"/>
      <x:c r="B431" s="19"/>
      <x:c r="C431" s="19"/>
      <x:c r="D431" s="24"/>
      <x:c r="E431" s="24"/>
      <x:c r="F431" s="25"/>
      <x:c r="G431" s="19"/>
      <x:c r="H431" s="104" t="str">
        <x:f>IF($A431="","",COUNTIF('Leads'!$D$2:$D$500,$A431))</x:f>
      </x:c>
      <x:c r="I431" s="96" t="str">
        <x:f>IF($A431="","",SUMIFS('DashboardData'!$H$2:$H$500,'DashboardData'!$B$2:$B$500,"won_revenue",'DashboardData'!$C$2:$C$500,"campaign",'DashboardData'!$D$2:$D$500,$A431))</x:f>
      </x:c>
      <x:c r="J431" s="19"/>
      <x:c r="K431" s="26"/>
      <x:c r="L431" s="19"/>
      <x:c r="M431" s="26"/>
      <x:c r="N431" s="19"/>
      <x:c r="O431" s="19"/>
    </x:row>
    <x:row r="432">
      <x:c r="A432" s="19"/>
      <x:c r="B432" s="19"/>
      <x:c r="C432" s="19"/>
      <x:c r="D432" s="24"/>
      <x:c r="E432" s="24"/>
      <x:c r="F432" s="25"/>
      <x:c r="G432" s="19"/>
      <x:c r="H432" s="104" t="str">
        <x:f>IF($A432="","",COUNTIF('Leads'!$D$2:$D$500,$A432))</x:f>
      </x:c>
      <x:c r="I432" s="96" t="str">
        <x:f>IF($A432="","",SUMIFS('DashboardData'!$H$2:$H$500,'DashboardData'!$B$2:$B$500,"won_revenue",'DashboardData'!$C$2:$C$500,"campaign",'DashboardData'!$D$2:$D$500,$A432))</x:f>
      </x:c>
      <x:c r="J432" s="19"/>
      <x:c r="K432" s="26"/>
      <x:c r="L432" s="19"/>
      <x:c r="M432" s="26"/>
      <x:c r="N432" s="19"/>
      <x:c r="O432" s="19"/>
    </x:row>
    <x:row r="433">
      <x:c r="A433" s="19"/>
      <x:c r="B433" s="19"/>
      <x:c r="C433" s="19"/>
      <x:c r="D433" s="24"/>
      <x:c r="E433" s="24"/>
      <x:c r="F433" s="25"/>
      <x:c r="G433" s="19"/>
      <x:c r="H433" s="104" t="str">
        <x:f>IF($A433="","",COUNTIF('Leads'!$D$2:$D$500,$A433))</x:f>
      </x:c>
      <x:c r="I433" s="96" t="str">
        <x:f>IF($A433="","",SUMIFS('DashboardData'!$H$2:$H$500,'DashboardData'!$B$2:$B$500,"won_revenue",'DashboardData'!$C$2:$C$500,"campaign",'DashboardData'!$D$2:$D$500,$A433))</x:f>
      </x:c>
      <x:c r="J433" s="19"/>
      <x:c r="K433" s="26"/>
      <x:c r="L433" s="19"/>
      <x:c r="M433" s="26"/>
      <x:c r="N433" s="19"/>
      <x:c r="O433" s="19"/>
    </x:row>
    <x:row r="434">
      <x:c r="A434" s="19"/>
      <x:c r="B434" s="19"/>
      <x:c r="C434" s="19"/>
      <x:c r="D434" s="24"/>
      <x:c r="E434" s="24"/>
      <x:c r="F434" s="25"/>
      <x:c r="G434" s="19"/>
      <x:c r="H434" s="104" t="str">
        <x:f>IF($A434="","",COUNTIF('Leads'!$D$2:$D$500,$A434))</x:f>
      </x:c>
      <x:c r="I434" s="96" t="str">
        <x:f>IF($A434="","",SUMIFS('DashboardData'!$H$2:$H$500,'DashboardData'!$B$2:$B$500,"won_revenue",'DashboardData'!$C$2:$C$500,"campaign",'DashboardData'!$D$2:$D$500,$A434))</x:f>
      </x:c>
      <x:c r="J434" s="19"/>
      <x:c r="K434" s="26"/>
      <x:c r="L434" s="19"/>
      <x:c r="M434" s="26"/>
      <x:c r="N434" s="19"/>
      <x:c r="O434" s="19"/>
    </x:row>
    <x:row r="435">
      <x:c r="A435" s="19"/>
      <x:c r="B435" s="19"/>
      <x:c r="C435" s="19"/>
      <x:c r="D435" s="24"/>
      <x:c r="E435" s="24"/>
      <x:c r="F435" s="25"/>
      <x:c r="G435" s="19"/>
      <x:c r="H435" s="104" t="str">
        <x:f>IF($A435="","",COUNTIF('Leads'!$D$2:$D$500,$A435))</x:f>
      </x:c>
      <x:c r="I435" s="96" t="str">
        <x:f>IF($A435="","",SUMIFS('DashboardData'!$H$2:$H$500,'DashboardData'!$B$2:$B$500,"won_revenue",'DashboardData'!$C$2:$C$500,"campaign",'DashboardData'!$D$2:$D$500,$A435))</x:f>
      </x:c>
      <x:c r="J435" s="19"/>
      <x:c r="K435" s="26"/>
      <x:c r="L435" s="19"/>
      <x:c r="M435" s="26"/>
      <x:c r="N435" s="19"/>
      <x:c r="O435" s="19"/>
    </x:row>
    <x:row r="436">
      <x:c r="A436" s="19"/>
      <x:c r="B436" s="19"/>
      <x:c r="C436" s="19"/>
      <x:c r="D436" s="24"/>
      <x:c r="E436" s="24"/>
      <x:c r="F436" s="25"/>
      <x:c r="G436" s="19"/>
      <x:c r="H436" s="104" t="str">
        <x:f>IF($A436="","",COUNTIF('Leads'!$D$2:$D$500,$A436))</x:f>
      </x:c>
      <x:c r="I436" s="96" t="str">
        <x:f>IF($A436="","",SUMIFS('DashboardData'!$H$2:$H$500,'DashboardData'!$B$2:$B$500,"won_revenue",'DashboardData'!$C$2:$C$500,"campaign",'DashboardData'!$D$2:$D$500,$A436))</x:f>
      </x:c>
      <x:c r="J436" s="19"/>
      <x:c r="K436" s="26"/>
      <x:c r="L436" s="19"/>
      <x:c r="M436" s="26"/>
      <x:c r="N436" s="19"/>
      <x:c r="O436" s="19"/>
    </x:row>
    <x:row r="437">
      <x:c r="A437" s="19"/>
      <x:c r="B437" s="19"/>
      <x:c r="C437" s="19"/>
      <x:c r="D437" s="24"/>
      <x:c r="E437" s="24"/>
      <x:c r="F437" s="25"/>
      <x:c r="G437" s="19"/>
      <x:c r="H437" s="104" t="str">
        <x:f>IF($A437="","",COUNTIF('Leads'!$D$2:$D$500,$A437))</x:f>
      </x:c>
      <x:c r="I437" s="96" t="str">
        <x:f>IF($A437="","",SUMIFS('DashboardData'!$H$2:$H$500,'DashboardData'!$B$2:$B$500,"won_revenue",'DashboardData'!$C$2:$C$500,"campaign",'DashboardData'!$D$2:$D$500,$A437))</x:f>
      </x:c>
      <x:c r="J437" s="19"/>
      <x:c r="K437" s="26"/>
      <x:c r="L437" s="19"/>
      <x:c r="M437" s="26"/>
      <x:c r="N437" s="19"/>
      <x:c r="O437" s="19"/>
    </x:row>
    <x:row r="438">
      <x:c r="A438" s="19"/>
      <x:c r="B438" s="19"/>
      <x:c r="C438" s="19"/>
      <x:c r="D438" s="24"/>
      <x:c r="E438" s="24"/>
      <x:c r="F438" s="25"/>
      <x:c r="G438" s="19"/>
      <x:c r="H438" s="104" t="str">
        <x:f>IF($A438="","",COUNTIF('Leads'!$D$2:$D$500,$A438))</x:f>
      </x:c>
      <x:c r="I438" s="96" t="str">
        <x:f>IF($A438="","",SUMIFS('DashboardData'!$H$2:$H$500,'DashboardData'!$B$2:$B$500,"won_revenue",'DashboardData'!$C$2:$C$500,"campaign",'DashboardData'!$D$2:$D$500,$A438))</x:f>
      </x:c>
      <x:c r="J438" s="19"/>
      <x:c r="K438" s="26"/>
      <x:c r="L438" s="19"/>
      <x:c r="M438" s="26"/>
      <x:c r="N438" s="19"/>
      <x:c r="O438" s="19"/>
    </x:row>
    <x:row r="439">
      <x:c r="A439" s="19"/>
      <x:c r="B439" s="19"/>
      <x:c r="C439" s="19"/>
      <x:c r="D439" s="24"/>
      <x:c r="E439" s="24"/>
      <x:c r="F439" s="25"/>
      <x:c r="G439" s="19"/>
      <x:c r="H439" s="104" t="str">
        <x:f>IF($A439="","",COUNTIF('Leads'!$D$2:$D$500,$A439))</x:f>
      </x:c>
      <x:c r="I439" s="96" t="str">
        <x:f>IF($A439="","",SUMIFS('DashboardData'!$H$2:$H$500,'DashboardData'!$B$2:$B$500,"won_revenue",'DashboardData'!$C$2:$C$500,"campaign",'DashboardData'!$D$2:$D$500,$A439))</x:f>
      </x:c>
      <x:c r="J439" s="19"/>
      <x:c r="K439" s="26"/>
      <x:c r="L439" s="19"/>
      <x:c r="M439" s="26"/>
      <x:c r="N439" s="19"/>
      <x:c r="O439" s="19"/>
    </x:row>
    <x:row r="440">
      <x:c r="A440" s="19"/>
      <x:c r="B440" s="19"/>
      <x:c r="C440" s="19"/>
      <x:c r="D440" s="24"/>
      <x:c r="E440" s="24"/>
      <x:c r="F440" s="25"/>
      <x:c r="G440" s="19"/>
      <x:c r="H440" s="104" t="str">
        <x:f>IF($A440="","",COUNTIF('Leads'!$D$2:$D$500,$A440))</x:f>
      </x:c>
      <x:c r="I440" s="96" t="str">
        <x:f>IF($A440="","",SUMIFS('DashboardData'!$H$2:$H$500,'DashboardData'!$B$2:$B$500,"won_revenue",'DashboardData'!$C$2:$C$500,"campaign",'DashboardData'!$D$2:$D$500,$A440))</x:f>
      </x:c>
      <x:c r="J440" s="19"/>
      <x:c r="K440" s="26"/>
      <x:c r="L440" s="19"/>
      <x:c r="M440" s="26"/>
      <x:c r="N440" s="19"/>
      <x:c r="O440" s="19"/>
    </x:row>
    <x:row r="441">
      <x:c r="A441" s="19"/>
      <x:c r="B441" s="19"/>
      <x:c r="C441" s="19"/>
      <x:c r="D441" s="24"/>
      <x:c r="E441" s="24"/>
      <x:c r="F441" s="25"/>
      <x:c r="G441" s="19"/>
      <x:c r="H441" s="104" t="str">
        <x:f>IF($A441="","",COUNTIF('Leads'!$D$2:$D$500,$A441))</x:f>
      </x:c>
      <x:c r="I441" s="96" t="str">
        <x:f>IF($A441="","",SUMIFS('DashboardData'!$H$2:$H$500,'DashboardData'!$B$2:$B$500,"won_revenue",'DashboardData'!$C$2:$C$500,"campaign",'DashboardData'!$D$2:$D$500,$A441))</x:f>
      </x:c>
      <x:c r="J441" s="19"/>
      <x:c r="K441" s="26"/>
      <x:c r="L441" s="19"/>
      <x:c r="M441" s="26"/>
      <x:c r="N441" s="19"/>
      <x:c r="O441" s="19"/>
    </x:row>
    <x:row r="442">
      <x:c r="A442" s="19"/>
      <x:c r="B442" s="19"/>
      <x:c r="C442" s="19"/>
      <x:c r="D442" s="24"/>
      <x:c r="E442" s="24"/>
      <x:c r="F442" s="25"/>
      <x:c r="G442" s="19"/>
      <x:c r="H442" s="104" t="str">
        <x:f>IF($A442="","",COUNTIF('Leads'!$D$2:$D$500,$A442))</x:f>
      </x:c>
      <x:c r="I442" s="96" t="str">
        <x:f>IF($A442="","",SUMIFS('DashboardData'!$H$2:$H$500,'DashboardData'!$B$2:$B$500,"won_revenue",'DashboardData'!$C$2:$C$500,"campaign",'DashboardData'!$D$2:$D$500,$A442))</x:f>
      </x:c>
      <x:c r="J442" s="19"/>
      <x:c r="K442" s="26"/>
      <x:c r="L442" s="19"/>
      <x:c r="M442" s="26"/>
      <x:c r="N442" s="19"/>
      <x:c r="O442" s="19"/>
    </x:row>
    <x:row r="443">
      <x:c r="A443" s="19"/>
      <x:c r="B443" s="19"/>
      <x:c r="C443" s="19"/>
      <x:c r="D443" s="24"/>
      <x:c r="E443" s="24"/>
      <x:c r="F443" s="25"/>
      <x:c r="G443" s="19"/>
      <x:c r="H443" s="104" t="str">
        <x:f>IF($A443="","",COUNTIF('Leads'!$D$2:$D$500,$A443))</x:f>
      </x:c>
      <x:c r="I443" s="96" t="str">
        <x:f>IF($A443="","",SUMIFS('DashboardData'!$H$2:$H$500,'DashboardData'!$B$2:$B$500,"won_revenue",'DashboardData'!$C$2:$C$500,"campaign",'DashboardData'!$D$2:$D$500,$A443))</x:f>
      </x:c>
      <x:c r="J443" s="19"/>
      <x:c r="K443" s="26"/>
      <x:c r="L443" s="19"/>
      <x:c r="M443" s="26"/>
      <x:c r="N443" s="19"/>
      <x:c r="O443" s="19"/>
    </x:row>
    <x:row r="444">
      <x:c r="A444" s="19"/>
      <x:c r="B444" s="19"/>
      <x:c r="C444" s="19"/>
      <x:c r="D444" s="24"/>
      <x:c r="E444" s="24"/>
      <x:c r="F444" s="25"/>
      <x:c r="G444" s="19"/>
      <x:c r="H444" s="104" t="str">
        <x:f>IF($A444="","",COUNTIF('Leads'!$D$2:$D$500,$A444))</x:f>
      </x:c>
      <x:c r="I444" s="96" t="str">
        <x:f>IF($A444="","",SUMIFS('DashboardData'!$H$2:$H$500,'DashboardData'!$B$2:$B$500,"won_revenue",'DashboardData'!$C$2:$C$500,"campaign",'DashboardData'!$D$2:$D$500,$A444))</x:f>
      </x:c>
      <x:c r="J444" s="19"/>
      <x:c r="K444" s="26"/>
      <x:c r="L444" s="19"/>
      <x:c r="M444" s="26"/>
      <x:c r="N444" s="19"/>
      <x:c r="O444" s="19"/>
    </x:row>
    <x:row r="445">
      <x:c r="A445" s="19"/>
      <x:c r="B445" s="19"/>
      <x:c r="C445" s="19"/>
      <x:c r="D445" s="24"/>
      <x:c r="E445" s="24"/>
      <x:c r="F445" s="25"/>
      <x:c r="G445" s="19"/>
      <x:c r="H445" s="104" t="str">
        <x:f>IF($A445="","",COUNTIF('Leads'!$D$2:$D$500,$A445))</x:f>
      </x:c>
      <x:c r="I445" s="96" t="str">
        <x:f>IF($A445="","",SUMIFS('DashboardData'!$H$2:$H$500,'DashboardData'!$B$2:$B$500,"won_revenue",'DashboardData'!$C$2:$C$500,"campaign",'DashboardData'!$D$2:$D$500,$A445))</x:f>
      </x:c>
      <x:c r="J445" s="19"/>
      <x:c r="K445" s="26"/>
      <x:c r="L445" s="19"/>
      <x:c r="M445" s="26"/>
      <x:c r="N445" s="19"/>
      <x:c r="O445" s="19"/>
    </x:row>
    <x:row r="446">
      <x:c r="A446" s="19"/>
      <x:c r="B446" s="19"/>
      <x:c r="C446" s="19"/>
      <x:c r="D446" s="24"/>
      <x:c r="E446" s="24"/>
      <x:c r="F446" s="25"/>
      <x:c r="G446" s="19"/>
      <x:c r="H446" s="104" t="str">
        <x:f>IF($A446="","",COUNTIF('Leads'!$D$2:$D$500,$A446))</x:f>
      </x:c>
      <x:c r="I446" s="96" t="str">
        <x:f>IF($A446="","",SUMIFS('DashboardData'!$H$2:$H$500,'DashboardData'!$B$2:$B$500,"won_revenue",'DashboardData'!$C$2:$C$500,"campaign",'DashboardData'!$D$2:$D$500,$A446))</x:f>
      </x:c>
      <x:c r="J446" s="19"/>
      <x:c r="K446" s="26"/>
      <x:c r="L446" s="19"/>
      <x:c r="M446" s="26"/>
      <x:c r="N446" s="19"/>
      <x:c r="O446" s="19"/>
    </x:row>
    <x:row r="447">
      <x:c r="A447" s="19"/>
      <x:c r="B447" s="19"/>
      <x:c r="C447" s="19"/>
      <x:c r="D447" s="24"/>
      <x:c r="E447" s="24"/>
      <x:c r="F447" s="25"/>
      <x:c r="G447" s="19"/>
      <x:c r="H447" s="104" t="str">
        <x:f>IF($A447="","",COUNTIF('Leads'!$D$2:$D$500,$A447))</x:f>
      </x:c>
      <x:c r="I447" s="96" t="str">
        <x:f>IF($A447="","",SUMIFS('DashboardData'!$H$2:$H$500,'DashboardData'!$B$2:$B$500,"won_revenue",'DashboardData'!$C$2:$C$500,"campaign",'DashboardData'!$D$2:$D$500,$A447))</x:f>
      </x:c>
      <x:c r="J447" s="19"/>
      <x:c r="K447" s="26"/>
      <x:c r="L447" s="19"/>
      <x:c r="M447" s="26"/>
      <x:c r="N447" s="19"/>
      <x:c r="O447" s="19"/>
    </x:row>
    <x:row r="448">
      <x:c r="A448" s="19"/>
      <x:c r="B448" s="19"/>
      <x:c r="C448" s="19"/>
      <x:c r="D448" s="24"/>
      <x:c r="E448" s="24"/>
      <x:c r="F448" s="25"/>
      <x:c r="G448" s="19"/>
      <x:c r="H448" s="104" t="str">
        <x:f>IF($A448="","",COUNTIF('Leads'!$D$2:$D$500,$A448))</x:f>
      </x:c>
      <x:c r="I448" s="96" t="str">
        <x:f>IF($A448="","",SUMIFS('DashboardData'!$H$2:$H$500,'DashboardData'!$B$2:$B$500,"won_revenue",'DashboardData'!$C$2:$C$500,"campaign",'DashboardData'!$D$2:$D$500,$A448))</x:f>
      </x:c>
      <x:c r="J448" s="19"/>
      <x:c r="K448" s="26"/>
      <x:c r="L448" s="19"/>
      <x:c r="M448" s="26"/>
      <x:c r="N448" s="19"/>
      <x:c r="O448" s="19"/>
    </x:row>
    <x:row r="449">
      <x:c r="A449" s="19"/>
      <x:c r="B449" s="19"/>
      <x:c r="C449" s="19"/>
      <x:c r="D449" s="24"/>
      <x:c r="E449" s="24"/>
      <x:c r="F449" s="25"/>
      <x:c r="G449" s="19"/>
      <x:c r="H449" s="104" t="str">
        <x:f>IF($A449="","",COUNTIF('Leads'!$D$2:$D$500,$A449))</x:f>
      </x:c>
      <x:c r="I449" s="96" t="str">
        <x:f>IF($A449="","",SUMIFS('DashboardData'!$H$2:$H$500,'DashboardData'!$B$2:$B$500,"won_revenue",'DashboardData'!$C$2:$C$500,"campaign",'DashboardData'!$D$2:$D$500,$A449))</x:f>
      </x:c>
      <x:c r="J449" s="19"/>
      <x:c r="K449" s="26"/>
      <x:c r="L449" s="19"/>
      <x:c r="M449" s="26"/>
      <x:c r="N449" s="19"/>
      <x:c r="O449" s="19"/>
    </x:row>
    <x:row r="450">
      <x:c r="A450" s="19"/>
      <x:c r="B450" s="19"/>
      <x:c r="C450" s="19"/>
      <x:c r="D450" s="24"/>
      <x:c r="E450" s="24"/>
      <x:c r="F450" s="25"/>
      <x:c r="G450" s="19"/>
      <x:c r="H450" s="104" t="str">
        <x:f>IF($A450="","",COUNTIF('Leads'!$D$2:$D$500,$A450))</x:f>
      </x:c>
      <x:c r="I450" s="96" t="str">
        <x:f>IF($A450="","",SUMIFS('DashboardData'!$H$2:$H$500,'DashboardData'!$B$2:$B$500,"won_revenue",'DashboardData'!$C$2:$C$500,"campaign",'DashboardData'!$D$2:$D$500,$A450))</x:f>
      </x:c>
      <x:c r="J450" s="19"/>
      <x:c r="K450" s="26"/>
      <x:c r="L450" s="19"/>
      <x:c r="M450" s="26"/>
      <x:c r="N450" s="19"/>
      <x:c r="O450" s="19"/>
    </x:row>
    <x:row r="451">
      <x:c r="A451" s="19"/>
      <x:c r="B451" s="19"/>
      <x:c r="C451" s="19"/>
      <x:c r="D451" s="24"/>
      <x:c r="E451" s="24"/>
      <x:c r="F451" s="25"/>
      <x:c r="G451" s="19"/>
      <x:c r="H451" s="104" t="str">
        <x:f>IF($A451="","",COUNTIF('Leads'!$D$2:$D$500,$A451))</x:f>
      </x:c>
      <x:c r="I451" s="96" t="str">
        <x:f>IF($A451="","",SUMIFS('DashboardData'!$H$2:$H$500,'DashboardData'!$B$2:$B$500,"won_revenue",'DashboardData'!$C$2:$C$500,"campaign",'DashboardData'!$D$2:$D$500,$A451))</x:f>
      </x:c>
      <x:c r="J451" s="19"/>
      <x:c r="K451" s="26"/>
      <x:c r="L451" s="19"/>
      <x:c r="M451" s="26"/>
      <x:c r="N451" s="19"/>
      <x:c r="O451" s="19"/>
    </x:row>
    <x:row r="452">
      <x:c r="A452" s="19"/>
      <x:c r="B452" s="19"/>
      <x:c r="C452" s="19"/>
      <x:c r="D452" s="24"/>
      <x:c r="E452" s="24"/>
      <x:c r="F452" s="25"/>
      <x:c r="G452" s="19"/>
      <x:c r="H452" s="104" t="str">
        <x:f>IF($A452="","",COUNTIF('Leads'!$D$2:$D$500,$A452))</x:f>
      </x:c>
      <x:c r="I452" s="96" t="str">
        <x:f>IF($A452="","",SUMIFS('DashboardData'!$H$2:$H$500,'DashboardData'!$B$2:$B$500,"won_revenue",'DashboardData'!$C$2:$C$500,"campaign",'DashboardData'!$D$2:$D$500,$A452))</x:f>
      </x:c>
      <x:c r="J452" s="19"/>
      <x:c r="K452" s="26"/>
      <x:c r="L452" s="19"/>
      <x:c r="M452" s="26"/>
      <x:c r="N452" s="19"/>
      <x:c r="O452" s="19"/>
    </x:row>
    <x:row r="453">
      <x:c r="A453" s="19"/>
      <x:c r="B453" s="19"/>
      <x:c r="C453" s="19"/>
      <x:c r="D453" s="24"/>
      <x:c r="E453" s="24"/>
      <x:c r="F453" s="25"/>
      <x:c r="G453" s="19"/>
      <x:c r="H453" s="104" t="str">
        <x:f>IF($A453="","",COUNTIF('Leads'!$D$2:$D$500,$A453))</x:f>
      </x:c>
      <x:c r="I453" s="96" t="str">
        <x:f>IF($A453="","",SUMIFS('DashboardData'!$H$2:$H$500,'DashboardData'!$B$2:$B$500,"won_revenue",'DashboardData'!$C$2:$C$500,"campaign",'DashboardData'!$D$2:$D$500,$A453))</x:f>
      </x:c>
      <x:c r="J453" s="19"/>
      <x:c r="K453" s="26"/>
      <x:c r="L453" s="19"/>
      <x:c r="M453" s="26"/>
      <x:c r="N453" s="19"/>
      <x:c r="O453" s="19"/>
    </x:row>
    <x:row r="454">
      <x:c r="A454" s="19"/>
      <x:c r="B454" s="19"/>
      <x:c r="C454" s="19"/>
      <x:c r="D454" s="24"/>
      <x:c r="E454" s="24"/>
      <x:c r="F454" s="25"/>
      <x:c r="G454" s="19"/>
      <x:c r="H454" s="104" t="str">
        <x:f>IF($A454="","",COUNTIF('Leads'!$D$2:$D$500,$A454))</x:f>
      </x:c>
      <x:c r="I454" s="96" t="str">
        <x:f>IF($A454="","",SUMIFS('DashboardData'!$H$2:$H$500,'DashboardData'!$B$2:$B$500,"won_revenue",'DashboardData'!$C$2:$C$500,"campaign",'DashboardData'!$D$2:$D$500,$A454))</x:f>
      </x:c>
      <x:c r="J454" s="19"/>
      <x:c r="K454" s="26"/>
      <x:c r="L454" s="19"/>
      <x:c r="M454" s="26"/>
      <x:c r="N454" s="19"/>
      <x:c r="O454" s="19"/>
    </x:row>
    <x:row r="455">
      <x:c r="A455" s="19"/>
      <x:c r="B455" s="19"/>
      <x:c r="C455" s="19"/>
      <x:c r="D455" s="24"/>
      <x:c r="E455" s="24"/>
      <x:c r="F455" s="25"/>
      <x:c r="G455" s="19"/>
      <x:c r="H455" s="104" t="str">
        <x:f>IF($A455="","",COUNTIF('Leads'!$D$2:$D$500,$A455))</x:f>
      </x:c>
      <x:c r="I455" s="96" t="str">
        <x:f>IF($A455="","",SUMIFS('DashboardData'!$H$2:$H$500,'DashboardData'!$B$2:$B$500,"won_revenue",'DashboardData'!$C$2:$C$500,"campaign",'DashboardData'!$D$2:$D$500,$A455))</x:f>
      </x:c>
      <x:c r="J455" s="19"/>
      <x:c r="K455" s="26"/>
      <x:c r="L455" s="19"/>
      <x:c r="M455" s="26"/>
      <x:c r="N455" s="19"/>
      <x:c r="O455" s="19"/>
    </x:row>
    <x:row r="456">
      <x:c r="A456" s="19"/>
      <x:c r="B456" s="19"/>
      <x:c r="C456" s="19"/>
      <x:c r="D456" s="24"/>
      <x:c r="E456" s="24"/>
      <x:c r="F456" s="25"/>
      <x:c r="G456" s="19"/>
      <x:c r="H456" s="104" t="str">
        <x:f>IF($A456="","",COUNTIF('Leads'!$D$2:$D$500,$A456))</x:f>
      </x:c>
      <x:c r="I456" s="96" t="str">
        <x:f>IF($A456="","",SUMIFS('DashboardData'!$H$2:$H$500,'DashboardData'!$B$2:$B$500,"won_revenue",'DashboardData'!$C$2:$C$500,"campaign",'DashboardData'!$D$2:$D$500,$A456))</x:f>
      </x:c>
      <x:c r="J456" s="19"/>
      <x:c r="K456" s="26"/>
      <x:c r="L456" s="19"/>
      <x:c r="M456" s="26"/>
      <x:c r="N456" s="19"/>
      <x:c r="O456" s="19"/>
    </x:row>
    <x:row r="457">
      <x:c r="A457" s="19"/>
      <x:c r="B457" s="19"/>
      <x:c r="C457" s="19"/>
      <x:c r="D457" s="24"/>
      <x:c r="E457" s="24"/>
      <x:c r="F457" s="25"/>
      <x:c r="G457" s="19"/>
      <x:c r="H457" s="104" t="str">
        <x:f>IF($A457="","",COUNTIF('Leads'!$D$2:$D$500,$A457))</x:f>
      </x:c>
      <x:c r="I457" s="96" t="str">
        <x:f>IF($A457="","",SUMIFS('DashboardData'!$H$2:$H$500,'DashboardData'!$B$2:$B$500,"won_revenue",'DashboardData'!$C$2:$C$500,"campaign",'DashboardData'!$D$2:$D$500,$A457))</x:f>
      </x:c>
      <x:c r="J457" s="19"/>
      <x:c r="K457" s="26"/>
      <x:c r="L457" s="19"/>
      <x:c r="M457" s="26"/>
      <x:c r="N457" s="19"/>
      <x:c r="O457" s="19"/>
    </x:row>
    <x:row r="458">
      <x:c r="A458" s="19"/>
      <x:c r="B458" s="19"/>
      <x:c r="C458" s="19"/>
      <x:c r="D458" s="24"/>
      <x:c r="E458" s="24"/>
      <x:c r="F458" s="25"/>
      <x:c r="G458" s="19"/>
      <x:c r="H458" s="104" t="str">
        <x:f>IF($A458="","",COUNTIF('Leads'!$D$2:$D$500,$A458))</x:f>
      </x:c>
      <x:c r="I458" s="96" t="str">
        <x:f>IF($A458="","",SUMIFS('DashboardData'!$H$2:$H$500,'DashboardData'!$B$2:$B$500,"won_revenue",'DashboardData'!$C$2:$C$500,"campaign",'DashboardData'!$D$2:$D$500,$A458))</x:f>
      </x:c>
      <x:c r="J458" s="19"/>
      <x:c r="K458" s="26"/>
      <x:c r="L458" s="19"/>
      <x:c r="M458" s="26"/>
      <x:c r="N458" s="19"/>
      <x:c r="O458" s="19"/>
    </x:row>
    <x:row r="459">
      <x:c r="A459" s="19"/>
      <x:c r="B459" s="19"/>
      <x:c r="C459" s="19"/>
      <x:c r="D459" s="24"/>
      <x:c r="E459" s="24"/>
      <x:c r="F459" s="25"/>
      <x:c r="G459" s="19"/>
      <x:c r="H459" s="104" t="str">
        <x:f>IF($A459="","",COUNTIF('Leads'!$D$2:$D$500,$A459))</x:f>
      </x:c>
      <x:c r="I459" s="96" t="str">
        <x:f>IF($A459="","",SUMIFS('DashboardData'!$H$2:$H$500,'DashboardData'!$B$2:$B$500,"won_revenue",'DashboardData'!$C$2:$C$500,"campaign",'DashboardData'!$D$2:$D$500,$A459))</x:f>
      </x:c>
      <x:c r="J459" s="19"/>
      <x:c r="K459" s="26"/>
      <x:c r="L459" s="19"/>
      <x:c r="M459" s="26"/>
      <x:c r="N459" s="19"/>
      <x:c r="O459" s="19"/>
    </x:row>
    <x:row r="460">
      <x:c r="A460" s="19"/>
      <x:c r="B460" s="19"/>
      <x:c r="C460" s="19"/>
      <x:c r="D460" s="24"/>
      <x:c r="E460" s="24"/>
      <x:c r="F460" s="25"/>
      <x:c r="G460" s="19"/>
      <x:c r="H460" s="104" t="str">
        <x:f>IF($A460="","",COUNTIF('Leads'!$D$2:$D$500,$A460))</x:f>
      </x:c>
      <x:c r="I460" s="96" t="str">
        <x:f>IF($A460="","",SUMIFS('DashboardData'!$H$2:$H$500,'DashboardData'!$B$2:$B$500,"won_revenue",'DashboardData'!$C$2:$C$500,"campaign",'DashboardData'!$D$2:$D$500,$A460))</x:f>
      </x:c>
      <x:c r="J460" s="19"/>
      <x:c r="K460" s="26"/>
      <x:c r="L460" s="19"/>
      <x:c r="M460" s="26"/>
      <x:c r="N460" s="19"/>
      <x:c r="O460" s="19"/>
    </x:row>
    <x:row r="461">
      <x:c r="A461" s="19"/>
      <x:c r="B461" s="19"/>
      <x:c r="C461" s="19"/>
      <x:c r="D461" s="24"/>
      <x:c r="E461" s="24"/>
      <x:c r="F461" s="25"/>
      <x:c r="G461" s="19"/>
      <x:c r="H461" s="104" t="str">
        <x:f>IF($A461="","",COUNTIF('Leads'!$D$2:$D$500,$A461))</x:f>
      </x:c>
      <x:c r="I461" s="96" t="str">
        <x:f>IF($A461="","",SUMIFS('DashboardData'!$H$2:$H$500,'DashboardData'!$B$2:$B$500,"won_revenue",'DashboardData'!$C$2:$C$500,"campaign",'DashboardData'!$D$2:$D$500,$A461))</x:f>
      </x:c>
      <x:c r="J461" s="19"/>
      <x:c r="K461" s="26"/>
      <x:c r="L461" s="19"/>
      <x:c r="M461" s="26"/>
      <x:c r="N461" s="19"/>
      <x:c r="O461" s="19"/>
    </x:row>
    <x:row r="462">
      <x:c r="A462" s="19"/>
      <x:c r="B462" s="19"/>
      <x:c r="C462" s="19"/>
      <x:c r="D462" s="24"/>
      <x:c r="E462" s="24"/>
      <x:c r="F462" s="25"/>
      <x:c r="G462" s="19"/>
      <x:c r="H462" s="104" t="str">
        <x:f>IF($A462="","",COUNTIF('Leads'!$D$2:$D$500,$A462))</x:f>
      </x:c>
      <x:c r="I462" s="96" t="str">
        <x:f>IF($A462="","",SUMIFS('DashboardData'!$H$2:$H$500,'DashboardData'!$B$2:$B$500,"won_revenue",'DashboardData'!$C$2:$C$500,"campaign",'DashboardData'!$D$2:$D$500,$A462))</x:f>
      </x:c>
      <x:c r="J462" s="19"/>
      <x:c r="K462" s="26"/>
      <x:c r="L462" s="19"/>
      <x:c r="M462" s="26"/>
      <x:c r="N462" s="19"/>
      <x:c r="O462" s="19"/>
    </x:row>
    <x:row r="463">
      <x:c r="A463" s="19"/>
      <x:c r="B463" s="19"/>
      <x:c r="C463" s="19"/>
      <x:c r="D463" s="24"/>
      <x:c r="E463" s="24"/>
      <x:c r="F463" s="25"/>
      <x:c r="G463" s="19"/>
      <x:c r="H463" s="104" t="str">
        <x:f>IF($A463="","",COUNTIF('Leads'!$D$2:$D$500,$A463))</x:f>
      </x:c>
      <x:c r="I463" s="96" t="str">
        <x:f>IF($A463="","",SUMIFS('DashboardData'!$H$2:$H$500,'DashboardData'!$B$2:$B$500,"won_revenue",'DashboardData'!$C$2:$C$500,"campaign",'DashboardData'!$D$2:$D$500,$A463))</x:f>
      </x:c>
      <x:c r="J463" s="19"/>
      <x:c r="K463" s="26"/>
      <x:c r="L463" s="19"/>
      <x:c r="M463" s="26"/>
      <x:c r="N463" s="19"/>
      <x:c r="O463" s="19"/>
    </x:row>
    <x:row r="464">
      <x:c r="A464" s="19"/>
      <x:c r="B464" s="19"/>
      <x:c r="C464" s="19"/>
      <x:c r="D464" s="24"/>
      <x:c r="E464" s="24"/>
      <x:c r="F464" s="25"/>
      <x:c r="G464" s="19"/>
      <x:c r="H464" s="104" t="str">
        <x:f>IF($A464="","",COUNTIF('Leads'!$D$2:$D$500,$A464))</x:f>
      </x:c>
      <x:c r="I464" s="96" t="str">
        <x:f>IF($A464="","",SUMIFS('DashboardData'!$H$2:$H$500,'DashboardData'!$B$2:$B$500,"won_revenue",'DashboardData'!$C$2:$C$500,"campaign",'DashboardData'!$D$2:$D$500,$A464))</x:f>
      </x:c>
      <x:c r="J464" s="19"/>
      <x:c r="K464" s="26"/>
      <x:c r="L464" s="19"/>
      <x:c r="M464" s="26"/>
      <x:c r="N464" s="19"/>
      <x:c r="O464" s="19"/>
    </x:row>
    <x:row r="465">
      <x:c r="A465" s="19"/>
      <x:c r="B465" s="19"/>
      <x:c r="C465" s="19"/>
      <x:c r="D465" s="24"/>
      <x:c r="E465" s="24"/>
      <x:c r="F465" s="25"/>
      <x:c r="G465" s="19"/>
      <x:c r="H465" s="104" t="str">
        <x:f>IF($A465="","",COUNTIF('Leads'!$D$2:$D$500,$A465))</x:f>
      </x:c>
      <x:c r="I465" s="96" t="str">
        <x:f>IF($A465="","",SUMIFS('DashboardData'!$H$2:$H$500,'DashboardData'!$B$2:$B$500,"won_revenue",'DashboardData'!$C$2:$C$500,"campaign",'DashboardData'!$D$2:$D$500,$A465))</x:f>
      </x:c>
      <x:c r="J465" s="19"/>
      <x:c r="K465" s="26"/>
      <x:c r="L465" s="19"/>
      <x:c r="M465" s="26"/>
      <x:c r="N465" s="19"/>
      <x:c r="O465" s="19"/>
    </x:row>
    <x:row r="466">
      <x:c r="A466" s="19"/>
      <x:c r="B466" s="19"/>
      <x:c r="C466" s="19"/>
      <x:c r="D466" s="24"/>
      <x:c r="E466" s="24"/>
      <x:c r="F466" s="25"/>
      <x:c r="G466" s="19"/>
      <x:c r="H466" s="104" t="str">
        <x:f>IF($A466="","",COUNTIF('Leads'!$D$2:$D$500,$A466))</x:f>
      </x:c>
      <x:c r="I466" s="96" t="str">
        <x:f>IF($A466="","",SUMIFS('DashboardData'!$H$2:$H$500,'DashboardData'!$B$2:$B$500,"won_revenue",'DashboardData'!$C$2:$C$500,"campaign",'DashboardData'!$D$2:$D$500,$A466))</x:f>
      </x:c>
      <x:c r="J466" s="19"/>
      <x:c r="K466" s="26"/>
      <x:c r="L466" s="19"/>
      <x:c r="M466" s="26"/>
      <x:c r="N466" s="19"/>
      <x:c r="O466" s="19"/>
    </x:row>
    <x:row r="467">
      <x:c r="A467" s="19"/>
      <x:c r="B467" s="19"/>
      <x:c r="C467" s="19"/>
      <x:c r="D467" s="24"/>
      <x:c r="E467" s="24"/>
      <x:c r="F467" s="25"/>
      <x:c r="G467" s="19"/>
      <x:c r="H467" s="104" t="str">
        <x:f>IF($A467="","",COUNTIF('Leads'!$D$2:$D$500,$A467))</x:f>
      </x:c>
      <x:c r="I467" s="96" t="str">
        <x:f>IF($A467="","",SUMIFS('DashboardData'!$H$2:$H$500,'DashboardData'!$B$2:$B$500,"won_revenue",'DashboardData'!$C$2:$C$500,"campaign",'DashboardData'!$D$2:$D$500,$A467))</x:f>
      </x:c>
      <x:c r="J467" s="19"/>
      <x:c r="K467" s="26"/>
      <x:c r="L467" s="19"/>
      <x:c r="M467" s="26"/>
      <x:c r="N467" s="19"/>
      <x:c r="O467" s="19"/>
    </x:row>
    <x:row r="468">
      <x:c r="A468" s="19"/>
      <x:c r="B468" s="19"/>
      <x:c r="C468" s="19"/>
      <x:c r="D468" s="24"/>
      <x:c r="E468" s="24"/>
      <x:c r="F468" s="25"/>
      <x:c r="G468" s="19"/>
      <x:c r="H468" s="104" t="str">
        <x:f>IF($A468="","",COUNTIF('Leads'!$D$2:$D$500,$A468))</x:f>
      </x:c>
      <x:c r="I468" s="96" t="str">
        <x:f>IF($A468="","",SUMIFS('DashboardData'!$H$2:$H$500,'DashboardData'!$B$2:$B$500,"won_revenue",'DashboardData'!$C$2:$C$500,"campaign",'DashboardData'!$D$2:$D$500,$A468))</x:f>
      </x:c>
      <x:c r="J468" s="19"/>
      <x:c r="K468" s="26"/>
      <x:c r="L468" s="19"/>
      <x:c r="M468" s="26"/>
      <x:c r="N468" s="19"/>
      <x:c r="O468" s="19"/>
    </x:row>
    <x:row r="469">
      <x:c r="A469" s="19"/>
      <x:c r="B469" s="19"/>
      <x:c r="C469" s="19"/>
      <x:c r="D469" s="24"/>
      <x:c r="E469" s="24"/>
      <x:c r="F469" s="25"/>
      <x:c r="G469" s="19"/>
      <x:c r="H469" s="104" t="str">
        <x:f>IF($A469="","",COUNTIF('Leads'!$D$2:$D$500,$A469))</x:f>
      </x:c>
      <x:c r="I469" s="96" t="str">
        <x:f>IF($A469="","",SUMIFS('DashboardData'!$H$2:$H$500,'DashboardData'!$B$2:$B$500,"won_revenue",'DashboardData'!$C$2:$C$500,"campaign",'DashboardData'!$D$2:$D$500,$A469))</x:f>
      </x:c>
      <x:c r="J469" s="19"/>
      <x:c r="K469" s="26"/>
      <x:c r="L469" s="19"/>
      <x:c r="M469" s="26"/>
      <x:c r="N469" s="19"/>
      <x:c r="O469" s="19"/>
    </x:row>
    <x:row r="470">
      <x:c r="A470" s="19"/>
      <x:c r="B470" s="19"/>
      <x:c r="C470" s="19"/>
      <x:c r="D470" s="24"/>
      <x:c r="E470" s="24"/>
      <x:c r="F470" s="25"/>
      <x:c r="G470" s="19"/>
      <x:c r="H470" s="104" t="str">
        <x:f>IF($A470="","",COUNTIF('Leads'!$D$2:$D$500,$A470))</x:f>
      </x:c>
      <x:c r="I470" s="96" t="str">
        <x:f>IF($A470="","",SUMIFS('DashboardData'!$H$2:$H$500,'DashboardData'!$B$2:$B$500,"won_revenue",'DashboardData'!$C$2:$C$500,"campaign",'DashboardData'!$D$2:$D$500,$A470))</x:f>
      </x:c>
      <x:c r="J470" s="19"/>
      <x:c r="K470" s="26"/>
      <x:c r="L470" s="19"/>
      <x:c r="M470" s="26"/>
      <x:c r="N470" s="19"/>
      <x:c r="O470" s="19"/>
    </x:row>
    <x:row r="471">
      <x:c r="A471" s="19"/>
      <x:c r="B471" s="19"/>
      <x:c r="C471" s="19"/>
      <x:c r="D471" s="24"/>
      <x:c r="E471" s="24"/>
      <x:c r="F471" s="25"/>
      <x:c r="G471" s="19"/>
      <x:c r="H471" s="104" t="str">
        <x:f>IF($A471="","",COUNTIF('Leads'!$D$2:$D$500,$A471))</x:f>
      </x:c>
      <x:c r="I471" s="96" t="str">
        <x:f>IF($A471="","",SUMIFS('DashboardData'!$H$2:$H$500,'DashboardData'!$B$2:$B$500,"won_revenue",'DashboardData'!$C$2:$C$500,"campaign",'DashboardData'!$D$2:$D$500,$A471))</x:f>
      </x:c>
      <x:c r="J471" s="19"/>
      <x:c r="K471" s="26"/>
      <x:c r="L471" s="19"/>
      <x:c r="M471" s="26"/>
      <x:c r="N471" s="19"/>
      <x:c r="O471" s="19"/>
    </x:row>
    <x:row r="472">
      <x:c r="A472" s="19"/>
      <x:c r="B472" s="19"/>
      <x:c r="C472" s="19"/>
      <x:c r="D472" s="24"/>
      <x:c r="E472" s="24"/>
      <x:c r="F472" s="25"/>
      <x:c r="G472" s="19"/>
      <x:c r="H472" s="104" t="str">
        <x:f>IF($A472="","",COUNTIF('Leads'!$D$2:$D$500,$A472))</x:f>
      </x:c>
      <x:c r="I472" s="96" t="str">
        <x:f>IF($A472="","",SUMIFS('DashboardData'!$H$2:$H$500,'DashboardData'!$B$2:$B$500,"won_revenue",'DashboardData'!$C$2:$C$500,"campaign",'DashboardData'!$D$2:$D$500,$A472))</x:f>
      </x:c>
      <x:c r="J472" s="19"/>
      <x:c r="K472" s="26"/>
      <x:c r="L472" s="19"/>
      <x:c r="M472" s="26"/>
      <x:c r="N472" s="19"/>
      <x:c r="O472" s="19"/>
    </x:row>
    <x:row r="473">
      <x:c r="A473" s="19"/>
      <x:c r="B473" s="19"/>
      <x:c r="C473" s="19"/>
      <x:c r="D473" s="24"/>
      <x:c r="E473" s="24"/>
      <x:c r="F473" s="25"/>
      <x:c r="G473" s="19"/>
      <x:c r="H473" s="104" t="str">
        <x:f>IF($A473="","",COUNTIF('Leads'!$D$2:$D$500,$A473))</x:f>
      </x:c>
      <x:c r="I473" s="96" t="str">
        <x:f>IF($A473="","",SUMIFS('DashboardData'!$H$2:$H$500,'DashboardData'!$B$2:$B$500,"won_revenue",'DashboardData'!$C$2:$C$500,"campaign",'DashboardData'!$D$2:$D$500,$A473))</x:f>
      </x:c>
      <x:c r="J473" s="19"/>
      <x:c r="K473" s="26"/>
      <x:c r="L473" s="19"/>
      <x:c r="M473" s="26"/>
      <x:c r="N473" s="19"/>
      <x:c r="O473" s="19"/>
    </x:row>
    <x:row r="474">
      <x:c r="A474" s="19"/>
      <x:c r="B474" s="19"/>
      <x:c r="C474" s="19"/>
      <x:c r="D474" s="24"/>
      <x:c r="E474" s="24"/>
      <x:c r="F474" s="25"/>
      <x:c r="G474" s="19"/>
      <x:c r="H474" s="104" t="str">
        <x:f>IF($A474="","",COUNTIF('Leads'!$D$2:$D$500,$A474))</x:f>
      </x:c>
      <x:c r="I474" s="96" t="str">
        <x:f>IF($A474="","",SUMIFS('DashboardData'!$H$2:$H$500,'DashboardData'!$B$2:$B$500,"won_revenue",'DashboardData'!$C$2:$C$500,"campaign",'DashboardData'!$D$2:$D$500,$A474))</x:f>
      </x:c>
      <x:c r="J474" s="19"/>
      <x:c r="K474" s="26"/>
      <x:c r="L474" s="19"/>
      <x:c r="M474" s="26"/>
      <x:c r="N474" s="19"/>
      <x:c r="O474" s="19"/>
    </x:row>
    <x:row r="475">
      <x:c r="A475" s="19"/>
      <x:c r="B475" s="19"/>
      <x:c r="C475" s="19"/>
      <x:c r="D475" s="24"/>
      <x:c r="E475" s="24"/>
      <x:c r="F475" s="25"/>
      <x:c r="G475" s="19"/>
      <x:c r="H475" s="104" t="str">
        <x:f>IF($A475="","",COUNTIF('Leads'!$D$2:$D$500,$A475))</x:f>
      </x:c>
      <x:c r="I475" s="96" t="str">
        <x:f>IF($A475="","",SUMIFS('DashboardData'!$H$2:$H$500,'DashboardData'!$B$2:$B$500,"won_revenue",'DashboardData'!$C$2:$C$500,"campaign",'DashboardData'!$D$2:$D$500,$A475))</x:f>
      </x:c>
      <x:c r="J475" s="19"/>
      <x:c r="K475" s="26"/>
      <x:c r="L475" s="19"/>
      <x:c r="M475" s="26"/>
      <x:c r="N475" s="19"/>
      <x:c r="O475" s="19"/>
    </x:row>
    <x:row r="476">
      <x:c r="A476" s="19"/>
      <x:c r="B476" s="19"/>
      <x:c r="C476" s="19"/>
      <x:c r="D476" s="24"/>
      <x:c r="E476" s="24"/>
      <x:c r="F476" s="25"/>
      <x:c r="G476" s="19"/>
      <x:c r="H476" s="104" t="str">
        <x:f>IF($A476="","",COUNTIF('Leads'!$D$2:$D$500,$A476))</x:f>
      </x:c>
      <x:c r="I476" s="96" t="str">
        <x:f>IF($A476="","",SUMIFS('DashboardData'!$H$2:$H$500,'DashboardData'!$B$2:$B$500,"won_revenue",'DashboardData'!$C$2:$C$500,"campaign",'DashboardData'!$D$2:$D$500,$A476))</x:f>
      </x:c>
      <x:c r="J476" s="19"/>
      <x:c r="K476" s="26"/>
      <x:c r="L476" s="19"/>
      <x:c r="M476" s="26"/>
      <x:c r="N476" s="19"/>
      <x:c r="O476" s="19"/>
    </x:row>
    <x:row r="477">
      <x:c r="A477" s="19"/>
      <x:c r="B477" s="19"/>
      <x:c r="C477" s="19"/>
      <x:c r="D477" s="24"/>
      <x:c r="E477" s="24"/>
      <x:c r="F477" s="25"/>
      <x:c r="G477" s="19"/>
      <x:c r="H477" s="104" t="str">
        <x:f>IF($A477="","",COUNTIF('Leads'!$D$2:$D$500,$A477))</x:f>
      </x:c>
      <x:c r="I477" s="96" t="str">
        <x:f>IF($A477="","",SUMIFS('DashboardData'!$H$2:$H$500,'DashboardData'!$B$2:$B$500,"won_revenue",'DashboardData'!$C$2:$C$500,"campaign",'DashboardData'!$D$2:$D$500,$A477))</x:f>
      </x:c>
      <x:c r="J477" s="19"/>
      <x:c r="K477" s="26"/>
      <x:c r="L477" s="19"/>
      <x:c r="M477" s="26"/>
      <x:c r="N477" s="19"/>
      <x:c r="O477" s="19"/>
    </x:row>
    <x:row r="478">
      <x:c r="A478" s="19"/>
      <x:c r="B478" s="19"/>
      <x:c r="C478" s="19"/>
      <x:c r="D478" s="24"/>
      <x:c r="E478" s="24"/>
      <x:c r="F478" s="25"/>
      <x:c r="G478" s="19"/>
      <x:c r="H478" s="104" t="str">
        <x:f>IF($A478="","",COUNTIF('Leads'!$D$2:$D$500,$A478))</x:f>
      </x:c>
      <x:c r="I478" s="96" t="str">
        <x:f>IF($A478="","",SUMIFS('DashboardData'!$H$2:$H$500,'DashboardData'!$B$2:$B$500,"won_revenue",'DashboardData'!$C$2:$C$500,"campaign",'DashboardData'!$D$2:$D$500,$A478))</x:f>
      </x:c>
      <x:c r="J478" s="19"/>
      <x:c r="K478" s="26"/>
      <x:c r="L478" s="19"/>
      <x:c r="M478" s="26"/>
      <x:c r="N478" s="19"/>
      <x:c r="O478" s="19"/>
    </x:row>
    <x:row r="479">
      <x:c r="A479" s="19"/>
      <x:c r="B479" s="19"/>
      <x:c r="C479" s="19"/>
      <x:c r="D479" s="24"/>
      <x:c r="E479" s="24"/>
      <x:c r="F479" s="25"/>
      <x:c r="G479" s="19"/>
      <x:c r="H479" s="104" t="str">
        <x:f>IF($A479="","",COUNTIF('Leads'!$D$2:$D$500,$A479))</x:f>
      </x:c>
      <x:c r="I479" s="96" t="str">
        <x:f>IF($A479="","",SUMIFS('DashboardData'!$H$2:$H$500,'DashboardData'!$B$2:$B$500,"won_revenue",'DashboardData'!$C$2:$C$500,"campaign",'DashboardData'!$D$2:$D$500,$A479))</x:f>
      </x:c>
      <x:c r="J479" s="19"/>
      <x:c r="K479" s="26"/>
      <x:c r="L479" s="19"/>
      <x:c r="M479" s="26"/>
      <x:c r="N479" s="19"/>
      <x:c r="O479" s="19"/>
    </x:row>
    <x:row r="480">
      <x:c r="A480" s="19"/>
      <x:c r="B480" s="19"/>
      <x:c r="C480" s="19"/>
      <x:c r="D480" s="24"/>
      <x:c r="E480" s="24"/>
      <x:c r="F480" s="25"/>
      <x:c r="G480" s="19"/>
      <x:c r="H480" s="104" t="str">
        <x:f>IF($A480="","",COUNTIF('Leads'!$D$2:$D$500,$A480))</x:f>
      </x:c>
      <x:c r="I480" s="96" t="str">
        <x:f>IF($A480="","",SUMIFS('DashboardData'!$H$2:$H$500,'DashboardData'!$B$2:$B$500,"won_revenue",'DashboardData'!$C$2:$C$500,"campaign",'DashboardData'!$D$2:$D$500,$A480))</x:f>
      </x:c>
      <x:c r="J480" s="19"/>
      <x:c r="K480" s="26"/>
      <x:c r="L480" s="19"/>
      <x:c r="M480" s="26"/>
      <x:c r="N480" s="19"/>
      <x:c r="O480" s="19"/>
    </x:row>
    <x:row r="481">
      <x:c r="A481" s="19"/>
      <x:c r="B481" s="19"/>
      <x:c r="C481" s="19"/>
      <x:c r="D481" s="24"/>
      <x:c r="E481" s="24"/>
      <x:c r="F481" s="25"/>
      <x:c r="G481" s="19"/>
      <x:c r="H481" s="104" t="str">
        <x:f>IF($A481="","",COUNTIF('Leads'!$D$2:$D$500,$A481))</x:f>
      </x:c>
      <x:c r="I481" s="96" t="str">
        <x:f>IF($A481="","",SUMIFS('DashboardData'!$H$2:$H$500,'DashboardData'!$B$2:$B$500,"won_revenue",'DashboardData'!$C$2:$C$500,"campaign",'DashboardData'!$D$2:$D$500,$A481))</x:f>
      </x:c>
      <x:c r="J481" s="19"/>
      <x:c r="K481" s="26"/>
      <x:c r="L481" s="19"/>
      <x:c r="M481" s="26"/>
      <x:c r="N481" s="19"/>
      <x:c r="O481" s="19"/>
    </x:row>
    <x:row r="482">
      <x:c r="A482" s="19"/>
      <x:c r="B482" s="19"/>
      <x:c r="C482" s="19"/>
      <x:c r="D482" s="24"/>
      <x:c r="E482" s="24"/>
      <x:c r="F482" s="25"/>
      <x:c r="G482" s="19"/>
      <x:c r="H482" s="104" t="str">
        <x:f>IF($A482="","",COUNTIF('Leads'!$D$2:$D$500,$A482))</x:f>
      </x:c>
      <x:c r="I482" s="96" t="str">
        <x:f>IF($A482="","",SUMIFS('DashboardData'!$H$2:$H$500,'DashboardData'!$B$2:$B$500,"won_revenue",'DashboardData'!$C$2:$C$500,"campaign",'DashboardData'!$D$2:$D$500,$A482))</x:f>
      </x:c>
      <x:c r="J482" s="19"/>
      <x:c r="K482" s="26"/>
      <x:c r="L482" s="19"/>
      <x:c r="M482" s="26"/>
      <x:c r="N482" s="19"/>
      <x:c r="O482" s="19"/>
    </x:row>
    <x:row r="483">
      <x:c r="A483" s="19"/>
      <x:c r="B483" s="19"/>
      <x:c r="C483" s="19"/>
      <x:c r="D483" s="24"/>
      <x:c r="E483" s="24"/>
      <x:c r="F483" s="25"/>
      <x:c r="G483" s="19"/>
      <x:c r="H483" s="104" t="str">
        <x:f>IF($A483="","",COUNTIF('Leads'!$D$2:$D$500,$A483))</x:f>
      </x:c>
      <x:c r="I483" s="96" t="str">
        <x:f>IF($A483="","",SUMIFS('DashboardData'!$H$2:$H$500,'DashboardData'!$B$2:$B$500,"won_revenue",'DashboardData'!$C$2:$C$500,"campaign",'DashboardData'!$D$2:$D$500,$A483))</x:f>
      </x:c>
      <x:c r="J483" s="19"/>
      <x:c r="K483" s="26"/>
      <x:c r="L483" s="19"/>
      <x:c r="M483" s="26"/>
      <x:c r="N483" s="19"/>
      <x:c r="O483" s="19"/>
    </x:row>
    <x:row r="484">
      <x:c r="A484" s="19"/>
      <x:c r="B484" s="19"/>
      <x:c r="C484" s="19"/>
      <x:c r="D484" s="24"/>
      <x:c r="E484" s="24"/>
      <x:c r="F484" s="25"/>
      <x:c r="G484" s="19"/>
      <x:c r="H484" s="104" t="str">
        <x:f>IF($A484="","",COUNTIF('Leads'!$D$2:$D$500,$A484))</x:f>
      </x:c>
      <x:c r="I484" s="96" t="str">
        <x:f>IF($A484="","",SUMIFS('DashboardData'!$H$2:$H$500,'DashboardData'!$B$2:$B$500,"won_revenue",'DashboardData'!$C$2:$C$500,"campaign",'DashboardData'!$D$2:$D$500,$A484))</x:f>
      </x:c>
      <x:c r="J484" s="19"/>
      <x:c r="K484" s="26"/>
      <x:c r="L484" s="19"/>
      <x:c r="M484" s="26"/>
      <x:c r="N484" s="19"/>
      <x:c r="O484" s="19"/>
    </x:row>
    <x:row r="485">
      <x:c r="A485" s="19"/>
      <x:c r="B485" s="19"/>
      <x:c r="C485" s="19"/>
      <x:c r="D485" s="24"/>
      <x:c r="E485" s="24"/>
      <x:c r="F485" s="25"/>
      <x:c r="G485" s="19"/>
      <x:c r="H485" s="104" t="str">
        <x:f>IF($A485="","",COUNTIF('Leads'!$D$2:$D$500,$A485))</x:f>
      </x:c>
      <x:c r="I485" s="96" t="str">
        <x:f>IF($A485="","",SUMIFS('DashboardData'!$H$2:$H$500,'DashboardData'!$B$2:$B$500,"won_revenue",'DashboardData'!$C$2:$C$500,"campaign",'DashboardData'!$D$2:$D$500,$A485))</x:f>
      </x:c>
      <x:c r="J485" s="19"/>
      <x:c r="K485" s="26"/>
      <x:c r="L485" s="19"/>
      <x:c r="M485" s="26"/>
      <x:c r="N485" s="19"/>
      <x:c r="O485" s="19"/>
    </x:row>
    <x:row r="486">
      <x:c r="A486" s="19"/>
      <x:c r="B486" s="19"/>
      <x:c r="C486" s="19"/>
      <x:c r="D486" s="24"/>
      <x:c r="E486" s="24"/>
      <x:c r="F486" s="25"/>
      <x:c r="G486" s="19"/>
      <x:c r="H486" s="104" t="str">
        <x:f>IF($A486="","",COUNTIF('Leads'!$D$2:$D$500,$A486))</x:f>
      </x:c>
      <x:c r="I486" s="96" t="str">
        <x:f>IF($A486="","",SUMIFS('DashboardData'!$H$2:$H$500,'DashboardData'!$B$2:$B$500,"won_revenue",'DashboardData'!$C$2:$C$500,"campaign",'DashboardData'!$D$2:$D$500,$A486))</x:f>
      </x:c>
      <x:c r="J486" s="19"/>
      <x:c r="K486" s="26"/>
      <x:c r="L486" s="19"/>
      <x:c r="M486" s="26"/>
      <x:c r="N486" s="19"/>
      <x:c r="O486" s="19"/>
    </x:row>
    <x:row r="487">
      <x:c r="A487" s="19"/>
      <x:c r="B487" s="19"/>
      <x:c r="C487" s="19"/>
      <x:c r="D487" s="24"/>
      <x:c r="E487" s="24"/>
      <x:c r="F487" s="25"/>
      <x:c r="G487" s="19"/>
      <x:c r="H487" s="104" t="str">
        <x:f>IF($A487="","",COUNTIF('Leads'!$D$2:$D$500,$A487))</x:f>
      </x:c>
      <x:c r="I487" s="96" t="str">
        <x:f>IF($A487="","",SUMIFS('DashboardData'!$H$2:$H$500,'DashboardData'!$B$2:$B$500,"won_revenue",'DashboardData'!$C$2:$C$500,"campaign",'DashboardData'!$D$2:$D$500,$A487))</x:f>
      </x:c>
      <x:c r="J487" s="19"/>
      <x:c r="K487" s="26"/>
      <x:c r="L487" s="19"/>
      <x:c r="M487" s="26"/>
      <x:c r="N487" s="19"/>
      <x:c r="O487" s="19"/>
    </x:row>
    <x:row r="488">
      <x:c r="A488" s="19"/>
      <x:c r="B488" s="19"/>
      <x:c r="C488" s="19"/>
      <x:c r="D488" s="24"/>
      <x:c r="E488" s="24"/>
      <x:c r="F488" s="25"/>
      <x:c r="G488" s="19"/>
      <x:c r="H488" s="104" t="str">
        <x:f>IF($A488="","",COUNTIF('Leads'!$D$2:$D$500,$A488))</x:f>
      </x:c>
      <x:c r="I488" s="96" t="str">
        <x:f>IF($A488="","",SUMIFS('DashboardData'!$H$2:$H$500,'DashboardData'!$B$2:$B$500,"won_revenue",'DashboardData'!$C$2:$C$500,"campaign",'DashboardData'!$D$2:$D$500,$A488))</x:f>
      </x:c>
      <x:c r="J488" s="19"/>
      <x:c r="K488" s="26"/>
      <x:c r="L488" s="19"/>
      <x:c r="M488" s="26"/>
      <x:c r="N488" s="19"/>
      <x:c r="O488" s="19"/>
    </x:row>
    <x:row r="489">
      <x:c r="A489" s="19"/>
      <x:c r="B489" s="19"/>
      <x:c r="C489" s="19"/>
      <x:c r="D489" s="24"/>
      <x:c r="E489" s="24"/>
      <x:c r="F489" s="25"/>
      <x:c r="G489" s="19"/>
      <x:c r="H489" s="104" t="str">
        <x:f>IF($A489="","",COUNTIF('Leads'!$D$2:$D$500,$A489))</x:f>
      </x:c>
      <x:c r="I489" s="96" t="str">
        <x:f>IF($A489="","",SUMIFS('DashboardData'!$H$2:$H$500,'DashboardData'!$B$2:$B$500,"won_revenue",'DashboardData'!$C$2:$C$500,"campaign",'DashboardData'!$D$2:$D$500,$A489))</x:f>
      </x:c>
      <x:c r="J489" s="19"/>
      <x:c r="K489" s="26"/>
      <x:c r="L489" s="19"/>
      <x:c r="M489" s="26"/>
      <x:c r="N489" s="19"/>
      <x:c r="O489" s="19"/>
    </x:row>
    <x:row r="490">
      <x:c r="A490" s="19"/>
      <x:c r="B490" s="19"/>
      <x:c r="C490" s="19"/>
      <x:c r="D490" s="24"/>
      <x:c r="E490" s="24"/>
      <x:c r="F490" s="25"/>
      <x:c r="G490" s="19"/>
      <x:c r="H490" s="104" t="str">
        <x:f>IF($A490="","",COUNTIF('Leads'!$D$2:$D$500,$A490))</x:f>
      </x:c>
      <x:c r="I490" s="96" t="str">
        <x:f>IF($A490="","",SUMIFS('DashboardData'!$H$2:$H$500,'DashboardData'!$B$2:$B$500,"won_revenue",'DashboardData'!$C$2:$C$500,"campaign",'DashboardData'!$D$2:$D$500,$A490))</x:f>
      </x:c>
      <x:c r="J490" s="19"/>
      <x:c r="K490" s="26"/>
      <x:c r="L490" s="19"/>
      <x:c r="M490" s="26"/>
      <x:c r="N490" s="19"/>
      <x:c r="O490" s="19"/>
    </x:row>
    <x:row r="491">
      <x:c r="A491" s="19"/>
      <x:c r="B491" s="19"/>
      <x:c r="C491" s="19"/>
      <x:c r="D491" s="24"/>
      <x:c r="E491" s="24"/>
      <x:c r="F491" s="25"/>
      <x:c r="G491" s="19"/>
      <x:c r="H491" s="104" t="str">
        <x:f>IF($A491="","",COUNTIF('Leads'!$D$2:$D$500,$A491))</x:f>
      </x:c>
      <x:c r="I491" s="96" t="str">
        <x:f>IF($A491="","",SUMIFS('DashboardData'!$H$2:$H$500,'DashboardData'!$B$2:$B$500,"won_revenue",'DashboardData'!$C$2:$C$500,"campaign",'DashboardData'!$D$2:$D$500,$A491))</x:f>
      </x:c>
      <x:c r="J491" s="19"/>
      <x:c r="K491" s="26"/>
      <x:c r="L491" s="19"/>
      <x:c r="M491" s="26"/>
      <x:c r="N491" s="19"/>
      <x:c r="O491" s="19"/>
    </x:row>
    <x:row r="492">
      <x:c r="A492" s="19"/>
      <x:c r="B492" s="19"/>
      <x:c r="C492" s="19"/>
      <x:c r="D492" s="24"/>
      <x:c r="E492" s="24"/>
      <x:c r="F492" s="25"/>
      <x:c r="G492" s="19"/>
      <x:c r="H492" s="104" t="str">
        <x:f>IF($A492="","",COUNTIF('Leads'!$D$2:$D$500,$A492))</x:f>
      </x:c>
      <x:c r="I492" s="96" t="str">
        <x:f>IF($A492="","",SUMIFS('DashboardData'!$H$2:$H$500,'DashboardData'!$B$2:$B$500,"won_revenue",'DashboardData'!$C$2:$C$500,"campaign",'DashboardData'!$D$2:$D$500,$A492))</x:f>
      </x:c>
      <x:c r="J492" s="19"/>
      <x:c r="K492" s="26"/>
      <x:c r="L492" s="19"/>
      <x:c r="M492" s="26"/>
      <x:c r="N492" s="19"/>
      <x:c r="O492" s="19"/>
    </x:row>
    <x:row r="493">
      <x:c r="A493" s="19"/>
      <x:c r="B493" s="19"/>
      <x:c r="C493" s="19"/>
      <x:c r="D493" s="24"/>
      <x:c r="E493" s="24"/>
      <x:c r="F493" s="25"/>
      <x:c r="G493" s="19"/>
      <x:c r="H493" s="104" t="str">
        <x:f>IF($A493="","",COUNTIF('Leads'!$D$2:$D$500,$A493))</x:f>
      </x:c>
      <x:c r="I493" s="96" t="str">
        <x:f>IF($A493="","",SUMIFS('DashboardData'!$H$2:$H$500,'DashboardData'!$B$2:$B$500,"won_revenue",'DashboardData'!$C$2:$C$500,"campaign",'DashboardData'!$D$2:$D$500,$A493))</x:f>
      </x:c>
      <x:c r="J493" s="19"/>
      <x:c r="K493" s="26"/>
      <x:c r="L493" s="19"/>
      <x:c r="M493" s="26"/>
      <x:c r="N493" s="19"/>
      <x:c r="O493" s="19"/>
    </x:row>
    <x:row r="494">
      <x:c r="A494" s="19"/>
      <x:c r="B494" s="19"/>
      <x:c r="C494" s="19"/>
      <x:c r="D494" s="24"/>
      <x:c r="E494" s="24"/>
      <x:c r="F494" s="25"/>
      <x:c r="G494" s="19"/>
      <x:c r="H494" s="104" t="str">
        <x:f>IF($A494="","",COUNTIF('Leads'!$D$2:$D$500,$A494))</x:f>
      </x:c>
      <x:c r="I494" s="96" t="str">
        <x:f>IF($A494="","",SUMIFS('DashboardData'!$H$2:$H$500,'DashboardData'!$B$2:$B$500,"won_revenue",'DashboardData'!$C$2:$C$500,"campaign",'DashboardData'!$D$2:$D$500,$A494))</x:f>
      </x:c>
      <x:c r="J494" s="19"/>
      <x:c r="K494" s="26"/>
      <x:c r="L494" s="19"/>
      <x:c r="M494" s="26"/>
      <x:c r="N494" s="19"/>
      <x:c r="O494" s="19"/>
    </x:row>
    <x:row r="495">
      <x:c r="A495" s="19"/>
      <x:c r="B495" s="19"/>
      <x:c r="C495" s="19"/>
      <x:c r="D495" s="24"/>
      <x:c r="E495" s="24"/>
      <x:c r="F495" s="25"/>
      <x:c r="G495" s="19"/>
      <x:c r="H495" s="104" t="str">
        <x:f>IF($A495="","",COUNTIF('Leads'!$D$2:$D$500,$A495))</x:f>
      </x:c>
      <x:c r="I495" s="96" t="str">
        <x:f>IF($A495="","",SUMIFS('DashboardData'!$H$2:$H$500,'DashboardData'!$B$2:$B$500,"won_revenue",'DashboardData'!$C$2:$C$500,"campaign",'DashboardData'!$D$2:$D$500,$A495))</x:f>
      </x:c>
      <x:c r="J495" s="19"/>
      <x:c r="K495" s="26"/>
      <x:c r="L495" s="19"/>
      <x:c r="M495" s="26"/>
      <x:c r="N495" s="19"/>
      <x:c r="O495" s="19"/>
    </x:row>
    <x:row r="496">
      <x:c r="A496" s="19"/>
      <x:c r="B496" s="19"/>
      <x:c r="C496" s="19"/>
      <x:c r="D496" s="24"/>
      <x:c r="E496" s="24"/>
      <x:c r="F496" s="25"/>
      <x:c r="G496" s="19"/>
      <x:c r="H496" s="104" t="str">
        <x:f>IF($A496="","",COUNTIF('Leads'!$D$2:$D$500,$A496))</x:f>
      </x:c>
      <x:c r="I496" s="96" t="str">
        <x:f>IF($A496="","",SUMIFS('DashboardData'!$H$2:$H$500,'DashboardData'!$B$2:$B$500,"won_revenue",'DashboardData'!$C$2:$C$500,"campaign",'DashboardData'!$D$2:$D$500,$A496))</x:f>
      </x:c>
      <x:c r="J496" s="19"/>
      <x:c r="K496" s="26"/>
      <x:c r="L496" s="19"/>
      <x:c r="M496" s="26"/>
      <x:c r="N496" s="19"/>
      <x:c r="O496" s="19"/>
    </x:row>
    <x:row r="497">
      <x:c r="A497" s="19"/>
      <x:c r="B497" s="19"/>
      <x:c r="C497" s="19"/>
      <x:c r="D497" s="24"/>
      <x:c r="E497" s="24"/>
      <x:c r="F497" s="25"/>
      <x:c r="G497" s="19"/>
      <x:c r="H497" s="104" t="str">
        <x:f>IF($A497="","",COUNTIF('Leads'!$D$2:$D$500,$A497))</x:f>
      </x:c>
      <x:c r="I497" s="96" t="str">
        <x:f>IF($A497="","",SUMIFS('DashboardData'!$H$2:$H$500,'DashboardData'!$B$2:$B$500,"won_revenue",'DashboardData'!$C$2:$C$500,"campaign",'DashboardData'!$D$2:$D$500,$A497))</x:f>
      </x:c>
      <x:c r="J497" s="19"/>
      <x:c r="K497" s="26"/>
      <x:c r="L497" s="19"/>
      <x:c r="M497" s="26"/>
      <x:c r="N497" s="19"/>
      <x:c r="O497" s="19"/>
    </x:row>
    <x:row r="498">
      <x:c r="A498" s="19"/>
      <x:c r="B498" s="19"/>
      <x:c r="C498" s="19"/>
      <x:c r="D498" s="24"/>
      <x:c r="E498" s="24"/>
      <x:c r="F498" s="25"/>
      <x:c r="G498" s="19"/>
      <x:c r="H498" s="104" t="str">
        <x:f>IF($A498="","",COUNTIF('Leads'!$D$2:$D$500,$A498))</x:f>
      </x:c>
      <x:c r="I498" s="96" t="str">
        <x:f>IF($A498="","",SUMIFS('DashboardData'!$H$2:$H$500,'DashboardData'!$B$2:$B$500,"won_revenue",'DashboardData'!$C$2:$C$500,"campaign",'DashboardData'!$D$2:$D$500,$A498))</x:f>
      </x:c>
      <x:c r="J498" s="19"/>
      <x:c r="K498" s="26"/>
      <x:c r="L498" s="19"/>
      <x:c r="M498" s="26"/>
      <x:c r="N498" s="19"/>
      <x:c r="O498" s="19"/>
    </x:row>
    <x:row r="499">
      <x:c r="A499" s="19"/>
      <x:c r="B499" s="19"/>
      <x:c r="C499" s="19"/>
      <x:c r="D499" s="24"/>
      <x:c r="E499" s="24"/>
      <x:c r="F499" s="25"/>
      <x:c r="G499" s="19"/>
      <x:c r="H499" s="104" t="str">
        <x:f>IF($A499="","",COUNTIF('Leads'!$D$2:$D$500,$A499))</x:f>
      </x:c>
      <x:c r="I499" s="96" t="str">
        <x:f>IF($A499="","",SUMIFS('DashboardData'!$H$2:$H$500,'DashboardData'!$B$2:$B$500,"won_revenue",'DashboardData'!$C$2:$C$500,"campaign",'DashboardData'!$D$2:$D$500,$A499))</x:f>
      </x:c>
      <x:c r="J499" s="19"/>
      <x:c r="K499" s="26"/>
      <x:c r="L499" s="19"/>
      <x:c r="M499" s="26"/>
      <x:c r="N499" s="19"/>
      <x:c r="O499" s="19"/>
    </x:row>
    <x:row r="500">
      <x:c r="A500" s="19"/>
      <x:c r="B500" s="19"/>
      <x:c r="C500" s="19"/>
      <x:c r="D500" s="24"/>
      <x:c r="E500" s="24"/>
      <x:c r="F500" s="25"/>
      <x:c r="G500" s="19"/>
      <x:c r="H500" s="104" t="str">
        <x:f>IF($A500="","",COUNTIF('Leads'!$D$2:$D$500,$A500))</x:f>
      </x:c>
      <x:c r="I500" s="96" t="str">
        <x:f>IF($A500="","",SUMIFS('DashboardData'!$H$2:$H$500,'DashboardData'!$B$2:$B$500,"won_revenue",'DashboardData'!$C$2:$C$500,"campaign",'DashboardData'!$D$2:$D$500,$A500))</x:f>
      </x:c>
      <x:c r="J500" s="19"/>
      <x:c r="K500" s="26"/>
      <x:c r="L500" s="19"/>
      <x:c r="M500" s="26"/>
      <x:c r="N500" s="19"/>
      <x:c r="O500" s="19"/>
    </x:row>
  </x:sheetData>
  <x:conditionalFormatting sqref="B2:B500">
    <x:cfRule type="expression" dxfId="109" priority="1">
      <x:formula>AND($A2&lt;&gt;"",B2="")</x:formula>
    </x:cfRule>
  </x:conditionalFormatting>
  <x:conditionalFormatting sqref="C2:C500">
    <x:cfRule type="expression" dxfId="110" priority="2">
      <x:formula>AND($A2&lt;&gt;"",C2="")</x:formula>
    </x:cfRule>
  </x:conditionalFormatting>
  <x:conditionalFormatting sqref="J2:J500">
    <x:cfRule type="expression" dxfId="111" priority="3">
      <x:formula>AND($A2&lt;&gt;"",J2="")</x:formula>
    </x:cfRule>
  </x:conditionalFormatting>
  <x:conditionalFormatting sqref="K2:K500">
    <x:cfRule type="expression" dxfId="112" priority="4">
      <x:formula>AND($A2&lt;&gt;"",K2="")</x:formula>
    </x:cfRule>
  </x:conditionalFormatting>
  <x:conditionalFormatting sqref="L2:L500">
    <x:cfRule type="expression" dxfId="113" priority="5">
      <x:formula>AND($A2&lt;&gt;"",L2="")</x:formula>
    </x:cfRule>
  </x:conditionalFormatting>
  <x:conditionalFormatting sqref="M2:M500">
    <x:cfRule type="expression" dxfId="114" priority="6">
      <x:formula>AND($A2&lt;&gt;"",M2="")</x:formula>
    </x:cfRule>
  </x:conditionalFormatting>
  <x:conditionalFormatting sqref="N2:N500">
    <x:cfRule type="expression" dxfId="115" priority="7">
      <x:formula>AND($A2&lt;&gt;"",N2="")</x:formula>
    </x:cfRule>
  </x:conditionalFormatting>
  <x:conditionalFormatting sqref="O2:O500">
    <x:cfRule type="expression" dxfId="116" priority="8">
      <x:formula>AND($A2&lt;&gt;"",O2="")</x:formula>
    </x:cfRule>
  </x:conditionalFormatting>
  <x:dataValidations count="2">
    <x:dataValidation type="list" sqref="J2:J500">
      <x:formula1>"draft,active,paused,ended"</x:formula1>
    </x:dataValidation>
    <x:dataValidation type="list" sqref="O2:O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1d280dac39416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5" hidden="0" customWidth="1"/>
    <x:col min="5" max="5" width="52" hidden="0" customWidth="1"/>
    <x:col min="6" max="6" width="28" hidden="0" customWidth="1"/>
    <x:col min="7" max="7" width="16" hidden="0" customWidth="1"/>
    <x:col min="8" max="8" width="22" hidden="0" customWidth="1"/>
    <x:col min="9" max="9" width="10" hidden="0" customWidth="1"/>
    <x:col min="10" max="10" width="19" hidden="0" customWidth="1"/>
    <x:col min="11" max="11" width="18" hidden="0" customWidth="1"/>
  </x:cols>
  <x:sheetData>
    <x:row r="1" ht="46" customHeight="1">
      <x:c r="A1" s="12" t="str">
        <x:v>شناسه قالب *
(template_id)</x:v>
      </x:c>
      <x:c r="B1" s="13" t="str">
        <x:v>کد ثابت *
(code)</x:v>
      </x:c>
      <x:c r="C1" s="13" t="str">
        <x:v>کانال *
(channel)</x:v>
      </x:c>
      <x:c r="D1" s="13" t="str">
        <x:v>هدف *
(purpose)</x:v>
      </x:c>
      <x:c r="E1" s="13" t="str">
        <x:v>متن فارسی *
(body_fa)</x:v>
      </x:c>
      <x:c r="F1" s="13" t="str">
        <x:v>متغیرها *
(variables)</x:v>
      </x:c>
      <x:c r="G1" s="13" t="str">
        <x:v>نیازمند رضایت *
(requires_opt_in)</x:v>
      </x:c>
      <x:c r="H1" s="13" t="str">
        <x:v>شناسه رسمی Meta
(official_template_id)</x:v>
      </x:c>
      <x:c r="I1" s="13" t="str">
        <x:v>فعال *
(active)</x:v>
      </x:c>
      <x:c r="J1" s="13" t="str">
        <x:v>آخرین تغییر *
(updated_at)</x:v>
      </x:c>
      <x:c r="K1" s="14" t="str">
        <x:v>تغییردهنده *
(updated_by)</x:v>
      </x:c>
    </x:row>
    <x:row r="2">
      <x:c r="A2" s="28" t="str">
        <x:v>tpl_fu1</x:v>
      </x:c>
      <x:c r="B2" s="29" t="str">
        <x:v>followup_1</x:v>
      </x:c>
      <x:c r="C2" s="29" t="str">
        <x:v>telegram</x:v>
      </x:c>
      <x:c r="D2" s="29" t="str">
        <x:v>followup</x:v>
      </x:c>
      <x:c r="E2" s="30" t="str">
        <x:v>سلام {{name}}، برای اطمینان از دریافت پیشنهاد با شما در تماس هستیم.</x:v>
      </x:c>
      <x:c r="F2" s="30" t="str">
        <x:v>name</x:v>
      </x:c>
      <x:c r="G2" s="66" t="b">
        <x:v>0</x:v>
      </x:c>
      <x:c r="H2" s="29" t="str"/>
      <x:c r="I2" s="66" t="b">
        <x:v>1</x:v>
      </x:c>
      <x:c r="J2" s="33" t="n">
        <x:v>46215.229166666664</x:v>
      </x:c>
      <x:c r="K2" s="36" t="str">
        <x:v>usr_owner</x:v>
      </x:c>
    </x:row>
    <x:row r="3">
      <x:c r="A3" s="46" t="str">
        <x:v>tpl_reactivate</x:v>
      </x:c>
      <x:c r="B3" s="47" t="str">
        <x:v>reactivation_30</x:v>
      </x:c>
      <x:c r="C3" s="47" t="str">
        <x:v>telegram</x:v>
      </x:c>
      <x:c r="D3" s="47" t="str">
        <x:v>marketing</x:v>
      </x:c>
      <x:c r="E3" s="48" t="str">
        <x:v>سلام {{name}}، اگر همچنان به {{product}} نیاز دارید خوشحال می‌شویم راهنمایی کنیم.</x:v>
      </x:c>
      <x:c r="F3" s="48" t="str">
        <x:v>name,product</x:v>
      </x:c>
      <x:c r="G3" s="68" t="b">
        <x:v>1</x:v>
      </x:c>
      <x:c r="H3" s="47" t="str"/>
      <x:c r="I3" s="68" t="b">
        <x:v>1</x:v>
      </x:c>
      <x:c r="J3" s="51" t="n">
        <x:v>46215.229166666664</x:v>
      </x:c>
      <x:c r="K3" s="54" t="str">
        <x:v>usr_owner</x:v>
      </x:c>
    </x:row>
    <x:row r="4">
      <x:c r="A4" s="19"/>
      <x:c r="B4" s="19"/>
      <x:c r="C4" s="19"/>
      <x:c r="D4" s="19"/>
      <x:c r="E4" s="20"/>
      <x:c r="F4" s="20"/>
      <x:c r="G4" s="19"/>
      <x:c r="H4" s="19"/>
      <x:c r="I4" s="19"/>
      <x:c r="J4" s="26"/>
      <x:c r="K4" s="19"/>
    </x:row>
    <x:row r="5">
      <x:c r="A5" s="19"/>
      <x:c r="B5" s="19"/>
      <x:c r="C5" s="19"/>
      <x:c r="D5" s="19"/>
      <x:c r="E5" s="20"/>
      <x:c r="F5" s="20"/>
      <x:c r="G5" s="19"/>
      <x:c r="H5" s="19"/>
      <x:c r="I5" s="19"/>
      <x:c r="J5" s="26"/>
      <x:c r="K5" s="19"/>
    </x:row>
    <x:row r="6">
      <x:c r="A6" s="19"/>
      <x:c r="B6" s="19"/>
      <x:c r="C6" s="19"/>
      <x:c r="D6" s="19"/>
      <x:c r="E6" s="20"/>
      <x:c r="F6" s="20"/>
      <x:c r="G6" s="19"/>
      <x:c r="H6" s="19"/>
      <x:c r="I6" s="19"/>
      <x:c r="J6" s="26"/>
      <x:c r="K6" s="19"/>
    </x:row>
    <x:row r="7">
      <x:c r="A7" s="19"/>
      <x:c r="B7" s="19"/>
      <x:c r="C7" s="19"/>
      <x:c r="D7" s="19"/>
      <x:c r="E7" s="20"/>
      <x:c r="F7" s="20"/>
      <x:c r="G7" s="19"/>
      <x:c r="H7" s="19"/>
      <x:c r="I7" s="19"/>
      <x:c r="J7" s="26"/>
      <x:c r="K7" s="19"/>
    </x:row>
    <x:row r="8">
      <x:c r="A8" s="19"/>
      <x:c r="B8" s="19"/>
      <x:c r="C8" s="19"/>
      <x:c r="D8" s="19"/>
      <x:c r="E8" s="20"/>
      <x:c r="F8" s="20"/>
      <x:c r="G8" s="19"/>
      <x:c r="H8" s="19"/>
      <x:c r="I8" s="19"/>
      <x:c r="J8" s="26"/>
      <x:c r="K8" s="19"/>
    </x:row>
    <x:row r="9">
      <x:c r="A9" s="19"/>
      <x:c r="B9" s="19"/>
      <x:c r="C9" s="19"/>
      <x:c r="D9" s="19"/>
      <x:c r="E9" s="20"/>
      <x:c r="F9" s="20"/>
      <x:c r="G9" s="19"/>
      <x:c r="H9" s="19"/>
      <x:c r="I9" s="19"/>
      <x:c r="J9" s="26"/>
      <x:c r="K9" s="19"/>
    </x:row>
    <x:row r="10">
      <x:c r="A10" s="19"/>
      <x:c r="B10" s="19"/>
      <x:c r="C10" s="19"/>
      <x:c r="D10" s="19"/>
      <x:c r="E10" s="20"/>
      <x:c r="F10" s="20"/>
      <x:c r="G10" s="19"/>
      <x:c r="H10" s="19"/>
      <x:c r="I10" s="19"/>
      <x:c r="J10" s="26"/>
      <x:c r="K10" s="19"/>
    </x:row>
    <x:row r="11">
      <x:c r="A11" s="19"/>
      <x:c r="B11" s="19"/>
      <x:c r="C11" s="19"/>
      <x:c r="D11" s="19"/>
      <x:c r="E11" s="20"/>
      <x:c r="F11" s="20"/>
      <x:c r="G11" s="19"/>
      <x:c r="H11" s="19"/>
      <x:c r="I11" s="19"/>
      <x:c r="J11" s="26"/>
      <x:c r="K11" s="19"/>
    </x:row>
    <x:row r="12">
      <x:c r="A12" s="19"/>
      <x:c r="B12" s="19"/>
      <x:c r="C12" s="19"/>
      <x:c r="D12" s="19"/>
      <x:c r="E12" s="20"/>
      <x:c r="F12" s="20"/>
      <x:c r="G12" s="19"/>
      <x:c r="H12" s="19"/>
      <x:c r="I12" s="19"/>
      <x:c r="J12" s="26"/>
      <x:c r="K12" s="19"/>
    </x:row>
    <x:row r="13">
      <x:c r="A13" s="19"/>
      <x:c r="B13" s="19"/>
      <x:c r="C13" s="19"/>
      <x:c r="D13" s="19"/>
      <x:c r="E13" s="20"/>
      <x:c r="F13" s="20"/>
      <x:c r="G13" s="19"/>
      <x:c r="H13" s="19"/>
      <x:c r="I13" s="19"/>
      <x:c r="J13" s="26"/>
      <x:c r="K13" s="19"/>
    </x:row>
    <x:row r="14">
      <x:c r="A14" s="19"/>
      <x:c r="B14" s="19"/>
      <x:c r="C14" s="19"/>
      <x:c r="D14" s="19"/>
      <x:c r="E14" s="20"/>
      <x:c r="F14" s="20"/>
      <x:c r="G14" s="19"/>
      <x:c r="H14" s="19"/>
      <x:c r="I14" s="19"/>
      <x:c r="J14" s="26"/>
      <x:c r="K14" s="19"/>
    </x:row>
    <x:row r="15">
      <x:c r="A15" s="19"/>
      <x:c r="B15" s="19"/>
      <x:c r="C15" s="19"/>
      <x:c r="D15" s="19"/>
      <x:c r="E15" s="20"/>
      <x:c r="F15" s="20"/>
      <x:c r="G15" s="19"/>
      <x:c r="H15" s="19"/>
      <x:c r="I15" s="19"/>
      <x:c r="J15" s="26"/>
      <x:c r="K15" s="19"/>
    </x:row>
    <x:row r="16">
      <x:c r="A16" s="19"/>
      <x:c r="B16" s="19"/>
      <x:c r="C16" s="19"/>
      <x:c r="D16" s="19"/>
      <x:c r="E16" s="20"/>
      <x:c r="F16" s="20"/>
      <x:c r="G16" s="19"/>
      <x:c r="H16" s="19"/>
      <x:c r="I16" s="19"/>
      <x:c r="J16" s="26"/>
      <x:c r="K16" s="19"/>
    </x:row>
    <x:row r="17">
      <x:c r="A17" s="19"/>
      <x:c r="B17" s="19"/>
      <x:c r="C17" s="19"/>
      <x:c r="D17" s="19"/>
      <x:c r="E17" s="20"/>
      <x:c r="F17" s="20"/>
      <x:c r="G17" s="19"/>
      <x:c r="H17" s="19"/>
      <x:c r="I17" s="19"/>
      <x:c r="J17" s="26"/>
      <x:c r="K17" s="19"/>
    </x:row>
    <x:row r="18">
      <x:c r="A18" s="19"/>
      <x:c r="B18" s="19"/>
      <x:c r="C18" s="19"/>
      <x:c r="D18" s="19"/>
      <x:c r="E18" s="20"/>
      <x:c r="F18" s="20"/>
      <x:c r="G18" s="19"/>
      <x:c r="H18" s="19"/>
      <x:c r="I18" s="19"/>
      <x:c r="J18" s="26"/>
      <x:c r="K18" s="19"/>
    </x:row>
    <x:row r="19">
      <x:c r="A19" s="19"/>
      <x:c r="B19" s="19"/>
      <x:c r="C19" s="19"/>
      <x:c r="D19" s="19"/>
      <x:c r="E19" s="20"/>
      <x:c r="F19" s="20"/>
      <x:c r="G19" s="19"/>
      <x:c r="H19" s="19"/>
      <x:c r="I19" s="19"/>
      <x:c r="J19" s="26"/>
      <x:c r="K19" s="19"/>
    </x:row>
    <x:row r="20">
      <x:c r="A20" s="19"/>
      <x:c r="B20" s="19"/>
      <x:c r="C20" s="19"/>
      <x:c r="D20" s="19"/>
      <x:c r="E20" s="20"/>
      <x:c r="F20" s="20"/>
      <x:c r="G20" s="19"/>
      <x:c r="H20" s="19"/>
      <x:c r="I20" s="19"/>
      <x:c r="J20" s="26"/>
      <x:c r="K20" s="19"/>
    </x:row>
    <x:row r="21">
      <x:c r="A21" s="19"/>
      <x:c r="B21" s="19"/>
      <x:c r="C21" s="19"/>
      <x:c r="D21" s="19"/>
      <x:c r="E21" s="20"/>
      <x:c r="F21" s="20"/>
      <x:c r="G21" s="19"/>
      <x:c r="H21" s="19"/>
      <x:c r="I21" s="19"/>
      <x:c r="J21" s="26"/>
      <x:c r="K21" s="19"/>
    </x:row>
    <x:row r="22">
      <x:c r="A22" s="19"/>
      <x:c r="B22" s="19"/>
      <x:c r="C22" s="19"/>
      <x:c r="D22" s="19"/>
      <x:c r="E22" s="20"/>
      <x:c r="F22" s="20"/>
      <x:c r="G22" s="19"/>
      <x:c r="H22" s="19"/>
      <x:c r="I22" s="19"/>
      <x:c r="J22" s="26"/>
      <x:c r="K22" s="19"/>
    </x:row>
    <x:row r="23">
      <x:c r="A23" s="19"/>
      <x:c r="B23" s="19"/>
      <x:c r="C23" s="19"/>
      <x:c r="D23" s="19"/>
      <x:c r="E23" s="20"/>
      <x:c r="F23" s="20"/>
      <x:c r="G23" s="19"/>
      <x:c r="H23" s="19"/>
      <x:c r="I23" s="19"/>
      <x:c r="J23" s="26"/>
      <x:c r="K23" s="19"/>
    </x:row>
    <x:row r="24">
      <x:c r="A24" s="19"/>
      <x:c r="B24" s="19"/>
      <x:c r="C24" s="19"/>
      <x:c r="D24" s="19"/>
      <x:c r="E24" s="20"/>
      <x:c r="F24" s="20"/>
      <x:c r="G24" s="19"/>
      <x:c r="H24" s="19"/>
      <x:c r="I24" s="19"/>
      <x:c r="J24" s="26"/>
      <x:c r="K24" s="19"/>
    </x:row>
    <x:row r="25">
      <x:c r="A25" s="19"/>
      <x:c r="B25" s="19"/>
      <x:c r="C25" s="19"/>
      <x:c r="D25" s="19"/>
      <x:c r="E25" s="20"/>
      <x:c r="F25" s="20"/>
      <x:c r="G25" s="19"/>
      <x:c r="H25" s="19"/>
      <x:c r="I25" s="19"/>
      <x:c r="J25" s="26"/>
      <x:c r="K25" s="19"/>
    </x:row>
    <x:row r="26">
      <x:c r="A26" s="19"/>
      <x:c r="B26" s="19"/>
      <x:c r="C26" s="19"/>
      <x:c r="D26" s="19"/>
      <x:c r="E26" s="20"/>
      <x:c r="F26" s="20"/>
      <x:c r="G26" s="19"/>
      <x:c r="H26" s="19"/>
      <x:c r="I26" s="19"/>
      <x:c r="J26" s="26"/>
      <x:c r="K26" s="19"/>
    </x:row>
    <x:row r="27">
      <x:c r="A27" s="19"/>
      <x:c r="B27" s="19"/>
      <x:c r="C27" s="19"/>
      <x:c r="D27" s="19"/>
      <x:c r="E27" s="20"/>
      <x:c r="F27" s="20"/>
      <x:c r="G27" s="19"/>
      <x:c r="H27" s="19"/>
      <x:c r="I27" s="19"/>
      <x:c r="J27" s="26"/>
      <x:c r="K27" s="19"/>
    </x:row>
    <x:row r="28">
      <x:c r="A28" s="19"/>
      <x:c r="B28" s="19"/>
      <x:c r="C28" s="19"/>
      <x:c r="D28" s="19"/>
      <x:c r="E28" s="20"/>
      <x:c r="F28" s="20"/>
      <x:c r="G28" s="19"/>
      <x:c r="H28" s="19"/>
      <x:c r="I28" s="19"/>
      <x:c r="J28" s="26"/>
      <x:c r="K28" s="19"/>
    </x:row>
    <x:row r="29">
      <x:c r="A29" s="19"/>
      <x:c r="B29" s="19"/>
      <x:c r="C29" s="19"/>
      <x:c r="D29" s="19"/>
      <x:c r="E29" s="20"/>
      <x:c r="F29" s="20"/>
      <x:c r="G29" s="19"/>
      <x:c r="H29" s="19"/>
      <x:c r="I29" s="19"/>
      <x:c r="J29" s="26"/>
      <x:c r="K29" s="19"/>
    </x:row>
    <x:row r="30">
      <x:c r="A30" s="19"/>
      <x:c r="B30" s="19"/>
      <x:c r="C30" s="19"/>
      <x:c r="D30" s="19"/>
      <x:c r="E30" s="20"/>
      <x:c r="F30" s="20"/>
      <x:c r="G30" s="19"/>
      <x:c r="H30" s="19"/>
      <x:c r="I30" s="19"/>
      <x:c r="J30" s="26"/>
      <x:c r="K30" s="19"/>
    </x:row>
    <x:row r="31">
      <x:c r="A31" s="19"/>
      <x:c r="B31" s="19"/>
      <x:c r="C31" s="19"/>
      <x:c r="D31" s="19"/>
      <x:c r="E31" s="20"/>
      <x:c r="F31" s="20"/>
      <x:c r="G31" s="19"/>
      <x:c r="H31" s="19"/>
      <x:c r="I31" s="19"/>
      <x:c r="J31" s="26"/>
      <x:c r="K31" s="19"/>
    </x:row>
    <x:row r="32">
      <x:c r="A32" s="19"/>
      <x:c r="B32" s="19"/>
      <x:c r="C32" s="19"/>
      <x:c r="D32" s="19"/>
      <x:c r="E32" s="20"/>
      <x:c r="F32" s="20"/>
      <x:c r="G32" s="19"/>
      <x:c r="H32" s="19"/>
      <x:c r="I32" s="19"/>
      <x:c r="J32" s="26"/>
      <x:c r="K32" s="19"/>
    </x:row>
    <x:row r="33">
      <x:c r="A33" s="19"/>
      <x:c r="B33" s="19"/>
      <x:c r="C33" s="19"/>
      <x:c r="D33" s="19"/>
      <x:c r="E33" s="20"/>
      <x:c r="F33" s="20"/>
      <x:c r="G33" s="19"/>
      <x:c r="H33" s="19"/>
      <x:c r="I33" s="19"/>
      <x:c r="J33" s="26"/>
      <x:c r="K33" s="19"/>
    </x:row>
    <x:row r="34">
      <x:c r="A34" s="19"/>
      <x:c r="B34" s="19"/>
      <x:c r="C34" s="19"/>
      <x:c r="D34" s="19"/>
      <x:c r="E34" s="20"/>
      <x:c r="F34" s="20"/>
      <x:c r="G34" s="19"/>
      <x:c r="H34" s="19"/>
      <x:c r="I34" s="19"/>
      <x:c r="J34" s="26"/>
      <x:c r="K34" s="19"/>
    </x:row>
    <x:row r="35">
      <x:c r="A35" s="19"/>
      <x:c r="B35" s="19"/>
      <x:c r="C35" s="19"/>
      <x:c r="D35" s="19"/>
      <x:c r="E35" s="20"/>
      <x:c r="F35" s="20"/>
      <x:c r="G35" s="19"/>
      <x:c r="H35" s="19"/>
      <x:c r="I35" s="19"/>
      <x:c r="J35" s="26"/>
      <x:c r="K35" s="19"/>
    </x:row>
    <x:row r="36">
      <x:c r="A36" s="19"/>
      <x:c r="B36" s="19"/>
      <x:c r="C36" s="19"/>
      <x:c r="D36" s="19"/>
      <x:c r="E36" s="20"/>
      <x:c r="F36" s="20"/>
      <x:c r="G36" s="19"/>
      <x:c r="H36" s="19"/>
      <x:c r="I36" s="19"/>
      <x:c r="J36" s="26"/>
      <x:c r="K36" s="19"/>
    </x:row>
    <x:row r="37">
      <x:c r="A37" s="19"/>
      <x:c r="B37" s="19"/>
      <x:c r="C37" s="19"/>
      <x:c r="D37" s="19"/>
      <x:c r="E37" s="20"/>
      <x:c r="F37" s="20"/>
      <x:c r="G37" s="19"/>
      <x:c r="H37" s="19"/>
      <x:c r="I37" s="19"/>
      <x:c r="J37" s="26"/>
      <x:c r="K37" s="19"/>
    </x:row>
    <x:row r="38">
      <x:c r="A38" s="19"/>
      <x:c r="B38" s="19"/>
      <x:c r="C38" s="19"/>
      <x:c r="D38" s="19"/>
      <x:c r="E38" s="20"/>
      <x:c r="F38" s="20"/>
      <x:c r="G38" s="19"/>
      <x:c r="H38" s="19"/>
      <x:c r="I38" s="19"/>
      <x:c r="J38" s="26"/>
      <x:c r="K38" s="19"/>
    </x:row>
    <x:row r="39">
      <x:c r="A39" s="19"/>
      <x:c r="B39" s="19"/>
      <x:c r="C39" s="19"/>
      <x:c r="D39" s="19"/>
      <x:c r="E39" s="20"/>
      <x:c r="F39" s="20"/>
      <x:c r="G39" s="19"/>
      <x:c r="H39" s="19"/>
      <x:c r="I39" s="19"/>
      <x:c r="J39" s="26"/>
      <x:c r="K39" s="19"/>
    </x:row>
    <x:row r="40">
      <x:c r="A40" s="19"/>
      <x:c r="B40" s="19"/>
      <x:c r="C40" s="19"/>
      <x:c r="D40" s="19"/>
      <x:c r="E40" s="20"/>
      <x:c r="F40" s="20"/>
      <x:c r="G40" s="19"/>
      <x:c r="H40" s="19"/>
      <x:c r="I40" s="19"/>
      <x:c r="J40" s="26"/>
      <x:c r="K40" s="19"/>
    </x:row>
    <x:row r="41">
      <x:c r="A41" s="19"/>
      <x:c r="B41" s="19"/>
      <x:c r="C41" s="19"/>
      <x:c r="D41" s="19"/>
      <x:c r="E41" s="20"/>
      <x:c r="F41" s="20"/>
      <x:c r="G41" s="19"/>
      <x:c r="H41" s="19"/>
      <x:c r="I41" s="19"/>
      <x:c r="J41" s="26"/>
      <x:c r="K41" s="19"/>
    </x:row>
    <x:row r="42">
      <x:c r="A42" s="19"/>
      <x:c r="B42" s="19"/>
      <x:c r="C42" s="19"/>
      <x:c r="D42" s="19"/>
      <x:c r="E42" s="20"/>
      <x:c r="F42" s="20"/>
      <x:c r="G42" s="19"/>
      <x:c r="H42" s="19"/>
      <x:c r="I42" s="19"/>
      <x:c r="J42" s="26"/>
      <x:c r="K42" s="19"/>
    </x:row>
    <x:row r="43">
      <x:c r="A43" s="19"/>
      <x:c r="B43" s="19"/>
      <x:c r="C43" s="19"/>
      <x:c r="D43" s="19"/>
      <x:c r="E43" s="20"/>
      <x:c r="F43" s="20"/>
      <x:c r="G43" s="19"/>
      <x:c r="H43" s="19"/>
      <x:c r="I43" s="19"/>
      <x:c r="J43" s="26"/>
      <x:c r="K43" s="19"/>
    </x:row>
    <x:row r="44">
      <x:c r="A44" s="19"/>
      <x:c r="B44" s="19"/>
      <x:c r="C44" s="19"/>
      <x:c r="D44" s="19"/>
      <x:c r="E44" s="20"/>
      <x:c r="F44" s="20"/>
      <x:c r="G44" s="19"/>
      <x:c r="H44" s="19"/>
      <x:c r="I44" s="19"/>
      <x:c r="J44" s="26"/>
      <x:c r="K44" s="19"/>
    </x:row>
    <x:row r="45">
      <x:c r="A45" s="19"/>
      <x:c r="B45" s="19"/>
      <x:c r="C45" s="19"/>
      <x:c r="D45" s="19"/>
      <x:c r="E45" s="20"/>
      <x:c r="F45" s="20"/>
      <x:c r="G45" s="19"/>
      <x:c r="H45" s="19"/>
      <x:c r="I45" s="19"/>
      <x:c r="J45" s="26"/>
      <x:c r="K45" s="19"/>
    </x:row>
    <x:row r="46">
      <x:c r="A46" s="19"/>
      <x:c r="B46" s="19"/>
      <x:c r="C46" s="19"/>
      <x:c r="D46" s="19"/>
      <x:c r="E46" s="20"/>
      <x:c r="F46" s="20"/>
      <x:c r="G46" s="19"/>
      <x:c r="H46" s="19"/>
      <x:c r="I46" s="19"/>
      <x:c r="J46" s="26"/>
      <x:c r="K46" s="19"/>
    </x:row>
    <x:row r="47">
      <x:c r="A47" s="19"/>
      <x:c r="B47" s="19"/>
      <x:c r="C47" s="19"/>
      <x:c r="D47" s="19"/>
      <x:c r="E47" s="20"/>
      <x:c r="F47" s="20"/>
      <x:c r="G47" s="19"/>
      <x:c r="H47" s="19"/>
      <x:c r="I47" s="19"/>
      <x:c r="J47" s="26"/>
      <x:c r="K47" s="19"/>
    </x:row>
    <x:row r="48">
      <x:c r="A48" s="19"/>
      <x:c r="B48" s="19"/>
      <x:c r="C48" s="19"/>
      <x:c r="D48" s="19"/>
      <x:c r="E48" s="20"/>
      <x:c r="F48" s="20"/>
      <x:c r="G48" s="19"/>
      <x:c r="H48" s="19"/>
      <x:c r="I48" s="19"/>
      <x:c r="J48" s="26"/>
      <x:c r="K48" s="19"/>
    </x:row>
    <x:row r="49">
      <x:c r="A49" s="19"/>
      <x:c r="B49" s="19"/>
      <x:c r="C49" s="19"/>
      <x:c r="D49" s="19"/>
      <x:c r="E49" s="20"/>
      <x:c r="F49" s="20"/>
      <x:c r="G49" s="19"/>
      <x:c r="H49" s="19"/>
      <x:c r="I49" s="19"/>
      <x:c r="J49" s="26"/>
      <x:c r="K49" s="19"/>
    </x:row>
    <x:row r="50">
      <x:c r="A50" s="19"/>
      <x:c r="B50" s="19"/>
      <x:c r="C50" s="19"/>
      <x:c r="D50" s="19"/>
      <x:c r="E50" s="20"/>
      <x:c r="F50" s="20"/>
      <x:c r="G50" s="19"/>
      <x:c r="H50" s="19"/>
      <x:c r="I50" s="19"/>
      <x:c r="J50" s="26"/>
      <x:c r="K50" s="19"/>
    </x:row>
    <x:row r="51">
      <x:c r="A51" s="19"/>
      <x:c r="B51" s="19"/>
      <x:c r="C51" s="19"/>
      <x:c r="D51" s="19"/>
      <x:c r="E51" s="20"/>
      <x:c r="F51" s="20"/>
      <x:c r="G51" s="19"/>
      <x:c r="H51" s="19"/>
      <x:c r="I51" s="19"/>
      <x:c r="J51" s="26"/>
      <x:c r="K51" s="19"/>
    </x:row>
    <x:row r="52">
      <x:c r="A52" s="19"/>
      <x:c r="B52" s="19"/>
      <x:c r="C52" s="19"/>
      <x:c r="D52" s="19"/>
      <x:c r="E52" s="20"/>
      <x:c r="F52" s="20"/>
      <x:c r="G52" s="19"/>
      <x:c r="H52" s="19"/>
      <x:c r="I52" s="19"/>
      <x:c r="J52" s="26"/>
      <x:c r="K52" s="19"/>
    </x:row>
    <x:row r="53">
      <x:c r="A53" s="19"/>
      <x:c r="B53" s="19"/>
      <x:c r="C53" s="19"/>
      <x:c r="D53" s="19"/>
      <x:c r="E53" s="20"/>
      <x:c r="F53" s="20"/>
      <x:c r="G53" s="19"/>
      <x:c r="H53" s="19"/>
      <x:c r="I53" s="19"/>
      <x:c r="J53" s="26"/>
      <x:c r="K53" s="19"/>
    </x:row>
    <x:row r="54">
      <x:c r="A54" s="19"/>
      <x:c r="B54" s="19"/>
      <x:c r="C54" s="19"/>
      <x:c r="D54" s="19"/>
      <x:c r="E54" s="20"/>
      <x:c r="F54" s="20"/>
      <x:c r="G54" s="19"/>
      <x:c r="H54" s="19"/>
      <x:c r="I54" s="19"/>
      <x:c r="J54" s="26"/>
      <x:c r="K54" s="19"/>
    </x:row>
    <x:row r="55">
      <x:c r="A55" s="19"/>
      <x:c r="B55" s="19"/>
      <x:c r="C55" s="19"/>
      <x:c r="D55" s="19"/>
      <x:c r="E55" s="20"/>
      <x:c r="F55" s="20"/>
      <x:c r="G55" s="19"/>
      <x:c r="H55" s="19"/>
      <x:c r="I55" s="19"/>
      <x:c r="J55" s="26"/>
      <x:c r="K55" s="19"/>
    </x:row>
    <x:row r="56">
      <x:c r="A56" s="19"/>
      <x:c r="B56" s="19"/>
      <x:c r="C56" s="19"/>
      <x:c r="D56" s="19"/>
      <x:c r="E56" s="20"/>
      <x:c r="F56" s="20"/>
      <x:c r="G56" s="19"/>
      <x:c r="H56" s="19"/>
      <x:c r="I56" s="19"/>
      <x:c r="J56" s="26"/>
      <x:c r="K56" s="19"/>
    </x:row>
    <x:row r="57">
      <x:c r="A57" s="19"/>
      <x:c r="B57" s="19"/>
      <x:c r="C57" s="19"/>
      <x:c r="D57" s="19"/>
      <x:c r="E57" s="20"/>
      <x:c r="F57" s="20"/>
      <x:c r="G57" s="19"/>
      <x:c r="H57" s="19"/>
      <x:c r="I57" s="19"/>
      <x:c r="J57" s="26"/>
      <x:c r="K57" s="19"/>
    </x:row>
    <x:row r="58">
      <x:c r="A58" s="19"/>
      <x:c r="B58" s="19"/>
      <x:c r="C58" s="19"/>
      <x:c r="D58" s="19"/>
      <x:c r="E58" s="20"/>
      <x:c r="F58" s="20"/>
      <x:c r="G58" s="19"/>
      <x:c r="H58" s="19"/>
      <x:c r="I58" s="19"/>
      <x:c r="J58" s="26"/>
      <x:c r="K58" s="19"/>
    </x:row>
    <x:row r="59">
      <x:c r="A59" s="19"/>
      <x:c r="B59" s="19"/>
      <x:c r="C59" s="19"/>
      <x:c r="D59" s="19"/>
      <x:c r="E59" s="20"/>
      <x:c r="F59" s="20"/>
      <x:c r="G59" s="19"/>
      <x:c r="H59" s="19"/>
      <x:c r="I59" s="19"/>
      <x:c r="J59" s="26"/>
      <x:c r="K59" s="19"/>
    </x:row>
    <x:row r="60">
      <x:c r="A60" s="19"/>
      <x:c r="B60" s="19"/>
      <x:c r="C60" s="19"/>
      <x:c r="D60" s="19"/>
      <x:c r="E60" s="20"/>
      <x:c r="F60" s="20"/>
      <x:c r="G60" s="19"/>
      <x:c r="H60" s="19"/>
      <x:c r="I60" s="19"/>
      <x:c r="J60" s="26"/>
      <x:c r="K60" s="19"/>
    </x:row>
    <x:row r="61">
      <x:c r="A61" s="19"/>
      <x:c r="B61" s="19"/>
      <x:c r="C61" s="19"/>
      <x:c r="D61" s="19"/>
      <x:c r="E61" s="20"/>
      <x:c r="F61" s="20"/>
      <x:c r="G61" s="19"/>
      <x:c r="H61" s="19"/>
      <x:c r="I61" s="19"/>
      <x:c r="J61" s="26"/>
      <x:c r="K61" s="19"/>
    </x:row>
    <x:row r="62">
      <x:c r="A62" s="19"/>
      <x:c r="B62" s="19"/>
      <x:c r="C62" s="19"/>
      <x:c r="D62" s="19"/>
      <x:c r="E62" s="20"/>
      <x:c r="F62" s="20"/>
      <x:c r="G62" s="19"/>
      <x:c r="H62" s="19"/>
      <x:c r="I62" s="19"/>
      <x:c r="J62" s="26"/>
      <x:c r="K62" s="19"/>
    </x:row>
    <x:row r="63">
      <x:c r="A63" s="19"/>
      <x:c r="B63" s="19"/>
      <x:c r="C63" s="19"/>
      <x:c r="D63" s="19"/>
      <x:c r="E63" s="20"/>
      <x:c r="F63" s="20"/>
      <x:c r="G63" s="19"/>
      <x:c r="H63" s="19"/>
      <x:c r="I63" s="19"/>
      <x:c r="J63" s="26"/>
      <x:c r="K63" s="19"/>
    </x:row>
    <x:row r="64">
      <x:c r="A64" s="19"/>
      <x:c r="B64" s="19"/>
      <x:c r="C64" s="19"/>
      <x:c r="D64" s="19"/>
      <x:c r="E64" s="20"/>
      <x:c r="F64" s="20"/>
      <x:c r="G64" s="19"/>
      <x:c r="H64" s="19"/>
      <x:c r="I64" s="19"/>
      <x:c r="J64" s="26"/>
      <x:c r="K64" s="19"/>
    </x:row>
    <x:row r="65">
      <x:c r="A65" s="19"/>
      <x:c r="B65" s="19"/>
      <x:c r="C65" s="19"/>
      <x:c r="D65" s="19"/>
      <x:c r="E65" s="20"/>
      <x:c r="F65" s="20"/>
      <x:c r="G65" s="19"/>
      <x:c r="H65" s="19"/>
      <x:c r="I65" s="19"/>
      <x:c r="J65" s="26"/>
      <x:c r="K65" s="19"/>
    </x:row>
    <x:row r="66">
      <x:c r="A66" s="19"/>
      <x:c r="B66" s="19"/>
      <x:c r="C66" s="19"/>
      <x:c r="D66" s="19"/>
      <x:c r="E66" s="20"/>
      <x:c r="F66" s="20"/>
      <x:c r="G66" s="19"/>
      <x:c r="H66" s="19"/>
      <x:c r="I66" s="19"/>
      <x:c r="J66" s="26"/>
      <x:c r="K66" s="19"/>
    </x:row>
    <x:row r="67">
      <x:c r="A67" s="19"/>
      <x:c r="B67" s="19"/>
      <x:c r="C67" s="19"/>
      <x:c r="D67" s="19"/>
      <x:c r="E67" s="20"/>
      <x:c r="F67" s="20"/>
      <x:c r="G67" s="19"/>
      <x:c r="H67" s="19"/>
      <x:c r="I67" s="19"/>
      <x:c r="J67" s="26"/>
      <x:c r="K67" s="19"/>
    </x:row>
    <x:row r="68">
      <x:c r="A68" s="19"/>
      <x:c r="B68" s="19"/>
      <x:c r="C68" s="19"/>
      <x:c r="D68" s="19"/>
      <x:c r="E68" s="20"/>
      <x:c r="F68" s="20"/>
      <x:c r="G68" s="19"/>
      <x:c r="H68" s="19"/>
      <x:c r="I68" s="19"/>
      <x:c r="J68" s="26"/>
      <x:c r="K68" s="19"/>
    </x:row>
    <x:row r="69">
      <x:c r="A69" s="19"/>
      <x:c r="B69" s="19"/>
      <x:c r="C69" s="19"/>
      <x:c r="D69" s="19"/>
      <x:c r="E69" s="20"/>
      <x:c r="F69" s="20"/>
      <x:c r="G69" s="19"/>
      <x:c r="H69" s="19"/>
      <x:c r="I69" s="19"/>
      <x:c r="J69" s="26"/>
      <x:c r="K69" s="19"/>
    </x:row>
    <x:row r="70">
      <x:c r="A70" s="19"/>
      <x:c r="B70" s="19"/>
      <x:c r="C70" s="19"/>
      <x:c r="D70" s="19"/>
      <x:c r="E70" s="20"/>
      <x:c r="F70" s="20"/>
      <x:c r="G70" s="19"/>
      <x:c r="H70" s="19"/>
      <x:c r="I70" s="19"/>
      <x:c r="J70" s="26"/>
      <x:c r="K70" s="19"/>
    </x:row>
    <x:row r="71">
      <x:c r="A71" s="19"/>
      <x:c r="B71" s="19"/>
      <x:c r="C71" s="19"/>
      <x:c r="D71" s="19"/>
      <x:c r="E71" s="20"/>
      <x:c r="F71" s="20"/>
      <x:c r="G71" s="19"/>
      <x:c r="H71" s="19"/>
      <x:c r="I71" s="19"/>
      <x:c r="J71" s="26"/>
      <x:c r="K71" s="19"/>
    </x:row>
    <x:row r="72">
      <x:c r="A72" s="19"/>
      <x:c r="B72" s="19"/>
      <x:c r="C72" s="19"/>
      <x:c r="D72" s="19"/>
      <x:c r="E72" s="20"/>
      <x:c r="F72" s="20"/>
      <x:c r="G72" s="19"/>
      <x:c r="H72" s="19"/>
      <x:c r="I72" s="19"/>
      <x:c r="J72" s="26"/>
      <x:c r="K72" s="19"/>
    </x:row>
    <x:row r="73">
      <x:c r="A73" s="19"/>
      <x:c r="B73" s="19"/>
      <x:c r="C73" s="19"/>
      <x:c r="D73" s="19"/>
      <x:c r="E73" s="20"/>
      <x:c r="F73" s="20"/>
      <x:c r="G73" s="19"/>
      <x:c r="H73" s="19"/>
      <x:c r="I73" s="19"/>
      <x:c r="J73" s="26"/>
      <x:c r="K73" s="19"/>
    </x:row>
    <x:row r="74">
      <x:c r="A74" s="19"/>
      <x:c r="B74" s="19"/>
      <x:c r="C74" s="19"/>
      <x:c r="D74" s="19"/>
      <x:c r="E74" s="20"/>
      <x:c r="F74" s="20"/>
      <x:c r="G74" s="19"/>
      <x:c r="H74" s="19"/>
      <x:c r="I74" s="19"/>
      <x:c r="J74" s="26"/>
      <x:c r="K74" s="19"/>
    </x:row>
    <x:row r="75">
      <x:c r="A75" s="19"/>
      <x:c r="B75" s="19"/>
      <x:c r="C75" s="19"/>
      <x:c r="D75" s="19"/>
      <x:c r="E75" s="20"/>
      <x:c r="F75" s="20"/>
      <x:c r="G75" s="19"/>
      <x:c r="H75" s="19"/>
      <x:c r="I75" s="19"/>
      <x:c r="J75" s="26"/>
      <x:c r="K75" s="19"/>
    </x:row>
    <x:row r="76">
      <x:c r="A76" s="19"/>
      <x:c r="B76" s="19"/>
      <x:c r="C76" s="19"/>
      <x:c r="D76" s="19"/>
      <x:c r="E76" s="20"/>
      <x:c r="F76" s="20"/>
      <x:c r="G76" s="19"/>
      <x:c r="H76" s="19"/>
      <x:c r="I76" s="19"/>
      <x:c r="J76" s="26"/>
      <x:c r="K76" s="19"/>
    </x:row>
    <x:row r="77">
      <x:c r="A77" s="19"/>
      <x:c r="B77" s="19"/>
      <x:c r="C77" s="19"/>
      <x:c r="D77" s="19"/>
      <x:c r="E77" s="20"/>
      <x:c r="F77" s="20"/>
      <x:c r="G77" s="19"/>
      <x:c r="H77" s="19"/>
      <x:c r="I77" s="19"/>
      <x:c r="J77" s="26"/>
      <x:c r="K77" s="19"/>
    </x:row>
    <x:row r="78">
      <x:c r="A78" s="19"/>
      <x:c r="B78" s="19"/>
      <x:c r="C78" s="19"/>
      <x:c r="D78" s="19"/>
      <x:c r="E78" s="20"/>
      <x:c r="F78" s="20"/>
      <x:c r="G78" s="19"/>
      <x:c r="H78" s="19"/>
      <x:c r="I78" s="19"/>
      <x:c r="J78" s="26"/>
      <x:c r="K78" s="19"/>
    </x:row>
    <x:row r="79">
      <x:c r="A79" s="19"/>
      <x:c r="B79" s="19"/>
      <x:c r="C79" s="19"/>
      <x:c r="D79" s="19"/>
      <x:c r="E79" s="20"/>
      <x:c r="F79" s="20"/>
      <x:c r="G79" s="19"/>
      <x:c r="H79" s="19"/>
      <x:c r="I79" s="19"/>
      <x:c r="J79" s="26"/>
      <x:c r="K79" s="19"/>
    </x:row>
    <x:row r="80">
      <x:c r="A80" s="19"/>
      <x:c r="B80" s="19"/>
      <x:c r="C80" s="19"/>
      <x:c r="D80" s="19"/>
      <x:c r="E80" s="20"/>
      <x:c r="F80" s="20"/>
      <x:c r="G80" s="19"/>
      <x:c r="H80" s="19"/>
      <x:c r="I80" s="19"/>
      <x:c r="J80" s="26"/>
      <x:c r="K80" s="19"/>
    </x:row>
    <x:row r="81">
      <x:c r="A81" s="19"/>
      <x:c r="B81" s="19"/>
      <x:c r="C81" s="19"/>
      <x:c r="D81" s="19"/>
      <x:c r="E81" s="20"/>
      <x:c r="F81" s="20"/>
      <x:c r="G81" s="19"/>
      <x:c r="H81" s="19"/>
      <x:c r="I81" s="19"/>
      <x:c r="J81" s="26"/>
      <x:c r="K81" s="19"/>
    </x:row>
    <x:row r="82">
      <x:c r="A82" s="19"/>
      <x:c r="B82" s="19"/>
      <x:c r="C82" s="19"/>
      <x:c r="D82" s="19"/>
      <x:c r="E82" s="20"/>
      <x:c r="F82" s="20"/>
      <x:c r="G82" s="19"/>
      <x:c r="H82" s="19"/>
      <x:c r="I82" s="19"/>
      <x:c r="J82" s="26"/>
      <x:c r="K82" s="19"/>
    </x:row>
    <x:row r="83">
      <x:c r="A83" s="19"/>
      <x:c r="B83" s="19"/>
      <x:c r="C83" s="19"/>
      <x:c r="D83" s="19"/>
      <x:c r="E83" s="20"/>
      <x:c r="F83" s="20"/>
      <x:c r="G83" s="19"/>
      <x:c r="H83" s="19"/>
      <x:c r="I83" s="19"/>
      <x:c r="J83" s="26"/>
      <x:c r="K83" s="19"/>
    </x:row>
    <x:row r="84">
      <x:c r="A84" s="19"/>
      <x:c r="B84" s="19"/>
      <x:c r="C84" s="19"/>
      <x:c r="D84" s="19"/>
      <x:c r="E84" s="20"/>
      <x:c r="F84" s="20"/>
      <x:c r="G84" s="19"/>
      <x:c r="H84" s="19"/>
      <x:c r="I84" s="19"/>
      <x:c r="J84" s="26"/>
      <x:c r="K84" s="19"/>
    </x:row>
    <x:row r="85">
      <x:c r="A85" s="19"/>
      <x:c r="B85" s="19"/>
      <x:c r="C85" s="19"/>
      <x:c r="D85" s="19"/>
      <x:c r="E85" s="20"/>
      <x:c r="F85" s="20"/>
      <x:c r="G85" s="19"/>
      <x:c r="H85" s="19"/>
      <x:c r="I85" s="19"/>
      <x:c r="J85" s="26"/>
      <x:c r="K85" s="19"/>
    </x:row>
    <x:row r="86">
      <x:c r="A86" s="19"/>
      <x:c r="B86" s="19"/>
      <x:c r="C86" s="19"/>
      <x:c r="D86" s="19"/>
      <x:c r="E86" s="20"/>
      <x:c r="F86" s="20"/>
      <x:c r="G86" s="19"/>
      <x:c r="H86" s="19"/>
      <x:c r="I86" s="19"/>
      <x:c r="J86" s="26"/>
      <x:c r="K86" s="19"/>
    </x:row>
    <x:row r="87">
      <x:c r="A87" s="19"/>
      <x:c r="B87" s="19"/>
      <x:c r="C87" s="19"/>
      <x:c r="D87" s="19"/>
      <x:c r="E87" s="20"/>
      <x:c r="F87" s="20"/>
      <x:c r="G87" s="19"/>
      <x:c r="H87" s="19"/>
      <x:c r="I87" s="19"/>
      <x:c r="J87" s="26"/>
      <x:c r="K87" s="19"/>
    </x:row>
    <x:row r="88">
      <x:c r="A88" s="19"/>
      <x:c r="B88" s="19"/>
      <x:c r="C88" s="19"/>
      <x:c r="D88" s="19"/>
      <x:c r="E88" s="20"/>
      <x:c r="F88" s="20"/>
      <x:c r="G88" s="19"/>
      <x:c r="H88" s="19"/>
      <x:c r="I88" s="19"/>
      <x:c r="J88" s="26"/>
      <x:c r="K88" s="19"/>
    </x:row>
    <x:row r="89">
      <x:c r="A89" s="19"/>
      <x:c r="B89" s="19"/>
      <x:c r="C89" s="19"/>
      <x:c r="D89" s="19"/>
      <x:c r="E89" s="20"/>
      <x:c r="F89" s="20"/>
      <x:c r="G89" s="19"/>
      <x:c r="H89" s="19"/>
      <x:c r="I89" s="19"/>
      <x:c r="J89" s="26"/>
      <x:c r="K89" s="19"/>
    </x:row>
    <x:row r="90">
      <x:c r="A90" s="19"/>
      <x:c r="B90" s="19"/>
      <x:c r="C90" s="19"/>
      <x:c r="D90" s="19"/>
      <x:c r="E90" s="20"/>
      <x:c r="F90" s="20"/>
      <x:c r="G90" s="19"/>
      <x:c r="H90" s="19"/>
      <x:c r="I90" s="19"/>
      <x:c r="J90" s="26"/>
      <x:c r="K90" s="19"/>
    </x:row>
    <x:row r="91">
      <x:c r="A91" s="19"/>
      <x:c r="B91" s="19"/>
      <x:c r="C91" s="19"/>
      <x:c r="D91" s="19"/>
      <x:c r="E91" s="20"/>
      <x:c r="F91" s="20"/>
      <x:c r="G91" s="19"/>
      <x:c r="H91" s="19"/>
      <x:c r="I91" s="19"/>
      <x:c r="J91" s="26"/>
      <x:c r="K91" s="19"/>
    </x:row>
    <x:row r="92">
      <x:c r="A92" s="19"/>
      <x:c r="B92" s="19"/>
      <x:c r="C92" s="19"/>
      <x:c r="D92" s="19"/>
      <x:c r="E92" s="20"/>
      <x:c r="F92" s="20"/>
      <x:c r="G92" s="19"/>
      <x:c r="H92" s="19"/>
      <x:c r="I92" s="19"/>
      <x:c r="J92" s="26"/>
      <x:c r="K92" s="19"/>
    </x:row>
    <x:row r="93">
      <x:c r="A93" s="19"/>
      <x:c r="B93" s="19"/>
      <x:c r="C93" s="19"/>
      <x:c r="D93" s="19"/>
      <x:c r="E93" s="20"/>
      <x:c r="F93" s="20"/>
      <x:c r="G93" s="19"/>
      <x:c r="H93" s="19"/>
      <x:c r="I93" s="19"/>
      <x:c r="J93" s="26"/>
      <x:c r="K93" s="19"/>
    </x:row>
    <x:row r="94">
      <x:c r="A94" s="19"/>
      <x:c r="B94" s="19"/>
      <x:c r="C94" s="19"/>
      <x:c r="D94" s="19"/>
      <x:c r="E94" s="20"/>
      <x:c r="F94" s="20"/>
      <x:c r="G94" s="19"/>
      <x:c r="H94" s="19"/>
      <x:c r="I94" s="19"/>
      <x:c r="J94" s="26"/>
      <x:c r="K94" s="19"/>
    </x:row>
    <x:row r="95">
      <x:c r="A95" s="19"/>
      <x:c r="B95" s="19"/>
      <x:c r="C95" s="19"/>
      <x:c r="D95" s="19"/>
      <x:c r="E95" s="20"/>
      <x:c r="F95" s="20"/>
      <x:c r="G95" s="19"/>
      <x:c r="H95" s="19"/>
      <x:c r="I95" s="19"/>
      <x:c r="J95" s="26"/>
      <x:c r="K95" s="19"/>
    </x:row>
    <x:row r="96">
      <x:c r="A96" s="19"/>
      <x:c r="B96" s="19"/>
      <x:c r="C96" s="19"/>
      <x:c r="D96" s="19"/>
      <x:c r="E96" s="20"/>
      <x:c r="F96" s="20"/>
      <x:c r="G96" s="19"/>
      <x:c r="H96" s="19"/>
      <x:c r="I96" s="19"/>
      <x:c r="J96" s="26"/>
      <x:c r="K96" s="19"/>
    </x:row>
    <x:row r="97">
      <x:c r="A97" s="19"/>
      <x:c r="B97" s="19"/>
      <x:c r="C97" s="19"/>
      <x:c r="D97" s="19"/>
      <x:c r="E97" s="20"/>
      <x:c r="F97" s="20"/>
      <x:c r="G97" s="19"/>
      <x:c r="H97" s="19"/>
      <x:c r="I97" s="19"/>
      <x:c r="J97" s="26"/>
      <x:c r="K97" s="19"/>
    </x:row>
    <x:row r="98">
      <x:c r="A98" s="19"/>
      <x:c r="B98" s="19"/>
      <x:c r="C98" s="19"/>
      <x:c r="D98" s="19"/>
      <x:c r="E98" s="20"/>
      <x:c r="F98" s="20"/>
      <x:c r="G98" s="19"/>
      <x:c r="H98" s="19"/>
      <x:c r="I98" s="19"/>
      <x:c r="J98" s="26"/>
      <x:c r="K98" s="19"/>
    </x:row>
    <x:row r="99">
      <x:c r="A99" s="19"/>
      <x:c r="B99" s="19"/>
      <x:c r="C99" s="19"/>
      <x:c r="D99" s="19"/>
      <x:c r="E99" s="20"/>
      <x:c r="F99" s="20"/>
      <x:c r="G99" s="19"/>
      <x:c r="H99" s="19"/>
      <x:c r="I99" s="19"/>
      <x:c r="J99" s="26"/>
      <x:c r="K99" s="19"/>
    </x:row>
    <x:row r="100">
      <x:c r="A100" s="19"/>
      <x:c r="B100" s="19"/>
      <x:c r="C100" s="19"/>
      <x:c r="D100" s="19"/>
      <x:c r="E100" s="20"/>
      <x:c r="F100" s="20"/>
      <x:c r="G100" s="19"/>
      <x:c r="H100" s="19"/>
      <x:c r="I100" s="19"/>
      <x:c r="J100" s="26"/>
      <x:c r="K100" s="19"/>
    </x:row>
    <x:row r="101">
      <x:c r="A101" s="19"/>
      <x:c r="B101" s="19"/>
      <x:c r="C101" s="19"/>
      <x:c r="D101" s="19"/>
      <x:c r="E101" s="20"/>
      <x:c r="F101" s="20"/>
      <x:c r="G101" s="19"/>
      <x:c r="H101" s="19"/>
      <x:c r="I101" s="19"/>
      <x:c r="J101" s="26"/>
      <x:c r="K101" s="19"/>
    </x:row>
    <x:row r="102">
      <x:c r="A102" s="19"/>
      <x:c r="B102" s="19"/>
      <x:c r="C102" s="19"/>
      <x:c r="D102" s="19"/>
      <x:c r="E102" s="20"/>
      <x:c r="F102" s="20"/>
      <x:c r="G102" s="19"/>
      <x:c r="H102" s="19"/>
      <x:c r="I102" s="19"/>
      <x:c r="J102" s="26"/>
      <x:c r="K102" s="19"/>
    </x:row>
    <x:row r="103">
      <x:c r="A103" s="19"/>
      <x:c r="B103" s="19"/>
      <x:c r="C103" s="19"/>
      <x:c r="D103" s="19"/>
      <x:c r="E103" s="20"/>
      <x:c r="F103" s="20"/>
      <x:c r="G103" s="19"/>
      <x:c r="H103" s="19"/>
      <x:c r="I103" s="19"/>
      <x:c r="J103" s="26"/>
      <x:c r="K103" s="19"/>
    </x:row>
    <x:row r="104">
      <x:c r="A104" s="19"/>
      <x:c r="B104" s="19"/>
      <x:c r="C104" s="19"/>
      <x:c r="D104" s="19"/>
      <x:c r="E104" s="20"/>
      <x:c r="F104" s="20"/>
      <x:c r="G104" s="19"/>
      <x:c r="H104" s="19"/>
      <x:c r="I104" s="19"/>
      <x:c r="J104" s="26"/>
      <x:c r="K104" s="19"/>
    </x:row>
    <x:row r="105">
      <x:c r="A105" s="19"/>
      <x:c r="B105" s="19"/>
      <x:c r="C105" s="19"/>
      <x:c r="D105" s="19"/>
      <x:c r="E105" s="20"/>
      <x:c r="F105" s="20"/>
      <x:c r="G105" s="19"/>
      <x:c r="H105" s="19"/>
      <x:c r="I105" s="19"/>
      <x:c r="J105" s="26"/>
      <x:c r="K105" s="19"/>
    </x:row>
    <x:row r="106">
      <x:c r="A106" s="19"/>
      <x:c r="B106" s="19"/>
      <x:c r="C106" s="19"/>
      <x:c r="D106" s="19"/>
      <x:c r="E106" s="20"/>
      <x:c r="F106" s="20"/>
      <x:c r="G106" s="19"/>
      <x:c r="H106" s="19"/>
      <x:c r="I106" s="19"/>
      <x:c r="J106" s="26"/>
      <x:c r="K106" s="19"/>
    </x:row>
    <x:row r="107">
      <x:c r="A107" s="19"/>
      <x:c r="B107" s="19"/>
      <x:c r="C107" s="19"/>
      <x:c r="D107" s="19"/>
      <x:c r="E107" s="20"/>
      <x:c r="F107" s="20"/>
      <x:c r="G107" s="19"/>
      <x:c r="H107" s="19"/>
      <x:c r="I107" s="19"/>
      <x:c r="J107" s="26"/>
      <x:c r="K107" s="19"/>
    </x:row>
    <x:row r="108">
      <x:c r="A108" s="19"/>
      <x:c r="B108" s="19"/>
      <x:c r="C108" s="19"/>
      <x:c r="D108" s="19"/>
      <x:c r="E108" s="20"/>
      <x:c r="F108" s="20"/>
      <x:c r="G108" s="19"/>
      <x:c r="H108" s="19"/>
      <x:c r="I108" s="19"/>
      <x:c r="J108" s="26"/>
      <x:c r="K108" s="19"/>
    </x:row>
    <x:row r="109">
      <x:c r="A109" s="19"/>
      <x:c r="B109" s="19"/>
      <x:c r="C109" s="19"/>
      <x:c r="D109" s="19"/>
      <x:c r="E109" s="20"/>
      <x:c r="F109" s="20"/>
      <x:c r="G109" s="19"/>
      <x:c r="H109" s="19"/>
      <x:c r="I109" s="19"/>
      <x:c r="J109" s="26"/>
      <x:c r="K109" s="19"/>
    </x:row>
    <x:row r="110">
      <x:c r="A110" s="19"/>
      <x:c r="B110" s="19"/>
      <x:c r="C110" s="19"/>
      <x:c r="D110" s="19"/>
      <x:c r="E110" s="20"/>
      <x:c r="F110" s="20"/>
      <x:c r="G110" s="19"/>
      <x:c r="H110" s="19"/>
      <x:c r="I110" s="19"/>
      <x:c r="J110" s="26"/>
      <x:c r="K110" s="19"/>
    </x:row>
    <x:row r="111">
      <x:c r="A111" s="19"/>
      <x:c r="B111" s="19"/>
      <x:c r="C111" s="19"/>
      <x:c r="D111" s="19"/>
      <x:c r="E111" s="20"/>
      <x:c r="F111" s="20"/>
      <x:c r="G111" s="19"/>
      <x:c r="H111" s="19"/>
      <x:c r="I111" s="19"/>
      <x:c r="J111" s="26"/>
      <x:c r="K111" s="19"/>
    </x:row>
    <x:row r="112">
      <x:c r="A112" s="19"/>
      <x:c r="B112" s="19"/>
      <x:c r="C112" s="19"/>
      <x:c r="D112" s="19"/>
      <x:c r="E112" s="20"/>
      <x:c r="F112" s="20"/>
      <x:c r="G112" s="19"/>
      <x:c r="H112" s="19"/>
      <x:c r="I112" s="19"/>
      <x:c r="J112" s="26"/>
      <x:c r="K112" s="19"/>
    </x:row>
    <x:row r="113">
      <x:c r="A113" s="19"/>
      <x:c r="B113" s="19"/>
      <x:c r="C113" s="19"/>
      <x:c r="D113" s="19"/>
      <x:c r="E113" s="20"/>
      <x:c r="F113" s="20"/>
      <x:c r="G113" s="19"/>
      <x:c r="H113" s="19"/>
      <x:c r="I113" s="19"/>
      <x:c r="J113" s="26"/>
      <x:c r="K113" s="19"/>
    </x:row>
    <x:row r="114">
      <x:c r="A114" s="19"/>
      <x:c r="B114" s="19"/>
      <x:c r="C114" s="19"/>
      <x:c r="D114" s="19"/>
      <x:c r="E114" s="20"/>
      <x:c r="F114" s="20"/>
      <x:c r="G114" s="19"/>
      <x:c r="H114" s="19"/>
      <x:c r="I114" s="19"/>
      <x:c r="J114" s="26"/>
      <x:c r="K114" s="19"/>
    </x:row>
    <x:row r="115">
      <x:c r="A115" s="19"/>
      <x:c r="B115" s="19"/>
      <x:c r="C115" s="19"/>
      <x:c r="D115" s="19"/>
      <x:c r="E115" s="20"/>
      <x:c r="F115" s="20"/>
      <x:c r="G115" s="19"/>
      <x:c r="H115" s="19"/>
      <x:c r="I115" s="19"/>
      <x:c r="J115" s="26"/>
      <x:c r="K115" s="19"/>
    </x:row>
    <x:row r="116">
      <x:c r="A116" s="19"/>
      <x:c r="B116" s="19"/>
      <x:c r="C116" s="19"/>
      <x:c r="D116" s="19"/>
      <x:c r="E116" s="20"/>
      <x:c r="F116" s="20"/>
      <x:c r="G116" s="19"/>
      <x:c r="H116" s="19"/>
      <x:c r="I116" s="19"/>
      <x:c r="J116" s="26"/>
      <x:c r="K116" s="19"/>
    </x:row>
    <x:row r="117">
      <x:c r="A117" s="19"/>
      <x:c r="B117" s="19"/>
      <x:c r="C117" s="19"/>
      <x:c r="D117" s="19"/>
      <x:c r="E117" s="20"/>
      <x:c r="F117" s="20"/>
      <x:c r="G117" s="19"/>
      <x:c r="H117" s="19"/>
      <x:c r="I117" s="19"/>
      <x:c r="J117" s="26"/>
      <x:c r="K117" s="19"/>
    </x:row>
    <x:row r="118">
      <x:c r="A118" s="19"/>
      <x:c r="B118" s="19"/>
      <x:c r="C118" s="19"/>
      <x:c r="D118" s="19"/>
      <x:c r="E118" s="20"/>
      <x:c r="F118" s="20"/>
      <x:c r="G118" s="19"/>
      <x:c r="H118" s="19"/>
      <x:c r="I118" s="19"/>
      <x:c r="J118" s="26"/>
      <x:c r="K118" s="19"/>
    </x:row>
    <x:row r="119">
      <x:c r="A119" s="19"/>
      <x:c r="B119" s="19"/>
      <x:c r="C119" s="19"/>
      <x:c r="D119" s="19"/>
      <x:c r="E119" s="20"/>
      <x:c r="F119" s="20"/>
      <x:c r="G119" s="19"/>
      <x:c r="H119" s="19"/>
      <x:c r="I119" s="19"/>
      <x:c r="J119" s="26"/>
      <x:c r="K119" s="19"/>
    </x:row>
    <x:row r="120">
      <x:c r="A120" s="19"/>
      <x:c r="B120" s="19"/>
      <x:c r="C120" s="19"/>
      <x:c r="D120" s="19"/>
      <x:c r="E120" s="20"/>
      <x:c r="F120" s="20"/>
      <x:c r="G120" s="19"/>
      <x:c r="H120" s="19"/>
      <x:c r="I120" s="19"/>
      <x:c r="J120" s="26"/>
      <x:c r="K120" s="19"/>
    </x:row>
    <x:row r="121">
      <x:c r="A121" s="19"/>
      <x:c r="B121" s="19"/>
      <x:c r="C121" s="19"/>
      <x:c r="D121" s="19"/>
      <x:c r="E121" s="20"/>
      <x:c r="F121" s="20"/>
      <x:c r="G121" s="19"/>
      <x:c r="H121" s="19"/>
      <x:c r="I121" s="19"/>
      <x:c r="J121" s="26"/>
      <x:c r="K121" s="19"/>
    </x:row>
    <x:row r="122">
      <x:c r="A122" s="19"/>
      <x:c r="B122" s="19"/>
      <x:c r="C122" s="19"/>
      <x:c r="D122" s="19"/>
      <x:c r="E122" s="20"/>
      <x:c r="F122" s="20"/>
      <x:c r="G122" s="19"/>
      <x:c r="H122" s="19"/>
      <x:c r="I122" s="19"/>
      <x:c r="J122" s="26"/>
      <x:c r="K122" s="19"/>
    </x:row>
    <x:row r="123">
      <x:c r="A123" s="19"/>
      <x:c r="B123" s="19"/>
      <x:c r="C123" s="19"/>
      <x:c r="D123" s="19"/>
      <x:c r="E123" s="20"/>
      <x:c r="F123" s="20"/>
      <x:c r="G123" s="19"/>
      <x:c r="H123" s="19"/>
      <x:c r="I123" s="19"/>
      <x:c r="J123" s="26"/>
      <x:c r="K123" s="19"/>
    </x:row>
    <x:row r="124">
      <x:c r="A124" s="19"/>
      <x:c r="B124" s="19"/>
      <x:c r="C124" s="19"/>
      <x:c r="D124" s="19"/>
      <x:c r="E124" s="20"/>
      <x:c r="F124" s="20"/>
      <x:c r="G124" s="19"/>
      <x:c r="H124" s="19"/>
      <x:c r="I124" s="19"/>
      <x:c r="J124" s="26"/>
      <x:c r="K124" s="19"/>
    </x:row>
    <x:row r="125">
      <x:c r="A125" s="19"/>
      <x:c r="B125" s="19"/>
      <x:c r="C125" s="19"/>
      <x:c r="D125" s="19"/>
      <x:c r="E125" s="20"/>
      <x:c r="F125" s="20"/>
      <x:c r="G125" s="19"/>
      <x:c r="H125" s="19"/>
      <x:c r="I125" s="19"/>
      <x:c r="J125" s="26"/>
      <x:c r="K125" s="19"/>
    </x:row>
    <x:row r="126">
      <x:c r="A126" s="19"/>
      <x:c r="B126" s="19"/>
      <x:c r="C126" s="19"/>
      <x:c r="D126" s="19"/>
      <x:c r="E126" s="20"/>
      <x:c r="F126" s="20"/>
      <x:c r="G126" s="19"/>
      <x:c r="H126" s="19"/>
      <x:c r="I126" s="19"/>
      <x:c r="J126" s="26"/>
      <x:c r="K126" s="19"/>
    </x:row>
    <x:row r="127">
      <x:c r="A127" s="19"/>
      <x:c r="B127" s="19"/>
      <x:c r="C127" s="19"/>
      <x:c r="D127" s="19"/>
      <x:c r="E127" s="20"/>
      <x:c r="F127" s="20"/>
      <x:c r="G127" s="19"/>
      <x:c r="H127" s="19"/>
      <x:c r="I127" s="19"/>
      <x:c r="J127" s="26"/>
      <x:c r="K127" s="19"/>
    </x:row>
    <x:row r="128">
      <x:c r="A128" s="19"/>
      <x:c r="B128" s="19"/>
      <x:c r="C128" s="19"/>
      <x:c r="D128" s="19"/>
      <x:c r="E128" s="20"/>
      <x:c r="F128" s="20"/>
      <x:c r="G128" s="19"/>
      <x:c r="H128" s="19"/>
      <x:c r="I128" s="19"/>
      <x:c r="J128" s="26"/>
      <x:c r="K128" s="19"/>
    </x:row>
    <x:row r="129">
      <x:c r="A129" s="19"/>
      <x:c r="B129" s="19"/>
      <x:c r="C129" s="19"/>
      <x:c r="D129" s="19"/>
      <x:c r="E129" s="20"/>
      <x:c r="F129" s="20"/>
      <x:c r="G129" s="19"/>
      <x:c r="H129" s="19"/>
      <x:c r="I129" s="19"/>
      <x:c r="J129" s="26"/>
      <x:c r="K129" s="19"/>
    </x:row>
    <x:row r="130">
      <x:c r="A130" s="19"/>
      <x:c r="B130" s="19"/>
      <x:c r="C130" s="19"/>
      <x:c r="D130" s="19"/>
      <x:c r="E130" s="20"/>
      <x:c r="F130" s="20"/>
      <x:c r="G130" s="19"/>
      <x:c r="H130" s="19"/>
      <x:c r="I130" s="19"/>
      <x:c r="J130" s="26"/>
      <x:c r="K130" s="19"/>
    </x:row>
    <x:row r="131">
      <x:c r="A131" s="19"/>
      <x:c r="B131" s="19"/>
      <x:c r="C131" s="19"/>
      <x:c r="D131" s="19"/>
      <x:c r="E131" s="20"/>
      <x:c r="F131" s="20"/>
      <x:c r="G131" s="19"/>
      <x:c r="H131" s="19"/>
      <x:c r="I131" s="19"/>
      <x:c r="J131" s="26"/>
      <x:c r="K131" s="19"/>
    </x:row>
    <x:row r="132">
      <x:c r="A132" s="19"/>
      <x:c r="B132" s="19"/>
      <x:c r="C132" s="19"/>
      <x:c r="D132" s="19"/>
      <x:c r="E132" s="20"/>
      <x:c r="F132" s="20"/>
      <x:c r="G132" s="19"/>
      <x:c r="H132" s="19"/>
      <x:c r="I132" s="19"/>
      <x:c r="J132" s="26"/>
      <x:c r="K132" s="19"/>
    </x:row>
    <x:row r="133">
      <x:c r="A133" s="19"/>
      <x:c r="B133" s="19"/>
      <x:c r="C133" s="19"/>
      <x:c r="D133" s="19"/>
      <x:c r="E133" s="20"/>
      <x:c r="F133" s="20"/>
      <x:c r="G133" s="19"/>
      <x:c r="H133" s="19"/>
      <x:c r="I133" s="19"/>
      <x:c r="J133" s="26"/>
      <x:c r="K133" s="19"/>
    </x:row>
    <x:row r="134">
      <x:c r="A134" s="19"/>
      <x:c r="B134" s="19"/>
      <x:c r="C134" s="19"/>
      <x:c r="D134" s="19"/>
      <x:c r="E134" s="20"/>
      <x:c r="F134" s="20"/>
      <x:c r="G134" s="19"/>
      <x:c r="H134" s="19"/>
      <x:c r="I134" s="19"/>
      <x:c r="J134" s="26"/>
      <x:c r="K134" s="19"/>
    </x:row>
    <x:row r="135">
      <x:c r="A135" s="19"/>
      <x:c r="B135" s="19"/>
      <x:c r="C135" s="19"/>
      <x:c r="D135" s="19"/>
      <x:c r="E135" s="20"/>
      <x:c r="F135" s="20"/>
      <x:c r="G135" s="19"/>
      <x:c r="H135" s="19"/>
      <x:c r="I135" s="19"/>
      <x:c r="J135" s="26"/>
      <x:c r="K135" s="19"/>
    </x:row>
    <x:row r="136">
      <x:c r="A136" s="19"/>
      <x:c r="B136" s="19"/>
      <x:c r="C136" s="19"/>
      <x:c r="D136" s="19"/>
      <x:c r="E136" s="20"/>
      <x:c r="F136" s="20"/>
      <x:c r="G136" s="19"/>
      <x:c r="H136" s="19"/>
      <x:c r="I136" s="19"/>
      <x:c r="J136" s="26"/>
      <x:c r="K136" s="19"/>
    </x:row>
    <x:row r="137">
      <x:c r="A137" s="19"/>
      <x:c r="B137" s="19"/>
      <x:c r="C137" s="19"/>
      <x:c r="D137" s="19"/>
      <x:c r="E137" s="20"/>
      <x:c r="F137" s="20"/>
      <x:c r="G137" s="19"/>
      <x:c r="H137" s="19"/>
      <x:c r="I137" s="19"/>
      <x:c r="J137" s="26"/>
      <x:c r="K137" s="19"/>
    </x:row>
    <x:row r="138">
      <x:c r="A138" s="19"/>
      <x:c r="B138" s="19"/>
      <x:c r="C138" s="19"/>
      <x:c r="D138" s="19"/>
      <x:c r="E138" s="20"/>
      <x:c r="F138" s="20"/>
      <x:c r="G138" s="19"/>
      <x:c r="H138" s="19"/>
      <x:c r="I138" s="19"/>
      <x:c r="J138" s="26"/>
      <x:c r="K138" s="19"/>
    </x:row>
    <x:row r="139">
      <x:c r="A139" s="19"/>
      <x:c r="B139" s="19"/>
      <x:c r="C139" s="19"/>
      <x:c r="D139" s="19"/>
      <x:c r="E139" s="20"/>
      <x:c r="F139" s="20"/>
      <x:c r="G139" s="19"/>
      <x:c r="H139" s="19"/>
      <x:c r="I139" s="19"/>
      <x:c r="J139" s="26"/>
      <x:c r="K139" s="19"/>
    </x:row>
    <x:row r="140">
      <x:c r="A140" s="19"/>
      <x:c r="B140" s="19"/>
      <x:c r="C140" s="19"/>
      <x:c r="D140" s="19"/>
      <x:c r="E140" s="20"/>
      <x:c r="F140" s="20"/>
      <x:c r="G140" s="19"/>
      <x:c r="H140" s="19"/>
      <x:c r="I140" s="19"/>
      <x:c r="J140" s="26"/>
      <x:c r="K140" s="19"/>
    </x:row>
    <x:row r="141">
      <x:c r="A141" s="19"/>
      <x:c r="B141" s="19"/>
      <x:c r="C141" s="19"/>
      <x:c r="D141" s="19"/>
      <x:c r="E141" s="20"/>
      <x:c r="F141" s="20"/>
      <x:c r="G141" s="19"/>
      <x:c r="H141" s="19"/>
      <x:c r="I141" s="19"/>
      <x:c r="J141" s="26"/>
      <x:c r="K141" s="19"/>
    </x:row>
    <x:row r="142">
      <x:c r="A142" s="19"/>
      <x:c r="B142" s="19"/>
      <x:c r="C142" s="19"/>
      <x:c r="D142" s="19"/>
      <x:c r="E142" s="20"/>
      <x:c r="F142" s="20"/>
      <x:c r="G142" s="19"/>
      <x:c r="H142" s="19"/>
      <x:c r="I142" s="19"/>
      <x:c r="J142" s="26"/>
      <x:c r="K142" s="19"/>
    </x:row>
    <x:row r="143">
      <x:c r="A143" s="19"/>
      <x:c r="B143" s="19"/>
      <x:c r="C143" s="19"/>
      <x:c r="D143" s="19"/>
      <x:c r="E143" s="20"/>
      <x:c r="F143" s="20"/>
      <x:c r="G143" s="19"/>
      <x:c r="H143" s="19"/>
      <x:c r="I143" s="19"/>
      <x:c r="J143" s="26"/>
      <x:c r="K143" s="19"/>
    </x:row>
    <x:row r="144">
      <x:c r="A144" s="19"/>
      <x:c r="B144" s="19"/>
      <x:c r="C144" s="19"/>
      <x:c r="D144" s="19"/>
      <x:c r="E144" s="20"/>
      <x:c r="F144" s="20"/>
      <x:c r="G144" s="19"/>
      <x:c r="H144" s="19"/>
      <x:c r="I144" s="19"/>
      <x:c r="J144" s="26"/>
      <x:c r="K144" s="19"/>
    </x:row>
    <x:row r="145">
      <x:c r="A145" s="19"/>
      <x:c r="B145" s="19"/>
      <x:c r="C145" s="19"/>
      <x:c r="D145" s="19"/>
      <x:c r="E145" s="20"/>
      <x:c r="F145" s="20"/>
      <x:c r="G145" s="19"/>
      <x:c r="H145" s="19"/>
      <x:c r="I145" s="19"/>
      <x:c r="J145" s="26"/>
      <x:c r="K145" s="19"/>
    </x:row>
    <x:row r="146">
      <x:c r="A146" s="19"/>
      <x:c r="B146" s="19"/>
      <x:c r="C146" s="19"/>
      <x:c r="D146" s="19"/>
      <x:c r="E146" s="20"/>
      <x:c r="F146" s="20"/>
      <x:c r="G146" s="19"/>
      <x:c r="H146" s="19"/>
      <x:c r="I146" s="19"/>
      <x:c r="J146" s="26"/>
      <x:c r="K146" s="19"/>
    </x:row>
    <x:row r="147">
      <x:c r="A147" s="19"/>
      <x:c r="B147" s="19"/>
      <x:c r="C147" s="19"/>
      <x:c r="D147" s="19"/>
      <x:c r="E147" s="20"/>
      <x:c r="F147" s="20"/>
      <x:c r="G147" s="19"/>
      <x:c r="H147" s="19"/>
      <x:c r="I147" s="19"/>
      <x:c r="J147" s="26"/>
      <x:c r="K147" s="19"/>
    </x:row>
    <x:row r="148">
      <x:c r="A148" s="19"/>
      <x:c r="B148" s="19"/>
      <x:c r="C148" s="19"/>
      <x:c r="D148" s="19"/>
      <x:c r="E148" s="20"/>
      <x:c r="F148" s="20"/>
      <x:c r="G148" s="19"/>
      <x:c r="H148" s="19"/>
      <x:c r="I148" s="19"/>
      <x:c r="J148" s="26"/>
      <x:c r="K148" s="19"/>
    </x:row>
    <x:row r="149">
      <x:c r="A149" s="19"/>
      <x:c r="B149" s="19"/>
      <x:c r="C149" s="19"/>
      <x:c r="D149" s="19"/>
      <x:c r="E149" s="20"/>
      <x:c r="F149" s="20"/>
      <x:c r="G149" s="19"/>
      <x:c r="H149" s="19"/>
      <x:c r="I149" s="19"/>
      <x:c r="J149" s="26"/>
      <x:c r="K149" s="19"/>
    </x:row>
    <x:row r="150">
      <x:c r="A150" s="19"/>
      <x:c r="B150" s="19"/>
      <x:c r="C150" s="19"/>
      <x:c r="D150" s="19"/>
      <x:c r="E150" s="20"/>
      <x:c r="F150" s="20"/>
      <x:c r="G150" s="19"/>
      <x:c r="H150" s="19"/>
      <x:c r="I150" s="19"/>
      <x:c r="J150" s="26"/>
      <x:c r="K150" s="19"/>
    </x:row>
    <x:row r="151">
      <x:c r="A151" s="19"/>
      <x:c r="B151" s="19"/>
      <x:c r="C151" s="19"/>
      <x:c r="D151" s="19"/>
      <x:c r="E151" s="20"/>
      <x:c r="F151" s="20"/>
      <x:c r="G151" s="19"/>
      <x:c r="H151" s="19"/>
      <x:c r="I151" s="19"/>
      <x:c r="J151" s="26"/>
      <x:c r="K151" s="19"/>
    </x:row>
    <x:row r="152">
      <x:c r="A152" s="19"/>
      <x:c r="B152" s="19"/>
      <x:c r="C152" s="19"/>
      <x:c r="D152" s="19"/>
      <x:c r="E152" s="20"/>
      <x:c r="F152" s="20"/>
      <x:c r="G152" s="19"/>
      <x:c r="H152" s="19"/>
      <x:c r="I152" s="19"/>
      <x:c r="J152" s="26"/>
      <x:c r="K152" s="19"/>
    </x:row>
    <x:row r="153">
      <x:c r="A153" s="19"/>
      <x:c r="B153" s="19"/>
      <x:c r="C153" s="19"/>
      <x:c r="D153" s="19"/>
      <x:c r="E153" s="20"/>
      <x:c r="F153" s="20"/>
      <x:c r="G153" s="19"/>
      <x:c r="H153" s="19"/>
      <x:c r="I153" s="19"/>
      <x:c r="J153" s="26"/>
      <x:c r="K153" s="19"/>
    </x:row>
    <x:row r="154">
      <x:c r="A154" s="19"/>
      <x:c r="B154" s="19"/>
      <x:c r="C154" s="19"/>
      <x:c r="D154" s="19"/>
      <x:c r="E154" s="20"/>
      <x:c r="F154" s="20"/>
      <x:c r="G154" s="19"/>
      <x:c r="H154" s="19"/>
      <x:c r="I154" s="19"/>
      <x:c r="J154" s="26"/>
      <x:c r="K154" s="19"/>
    </x:row>
    <x:row r="155">
      <x:c r="A155" s="19"/>
      <x:c r="B155" s="19"/>
      <x:c r="C155" s="19"/>
      <x:c r="D155" s="19"/>
      <x:c r="E155" s="20"/>
      <x:c r="F155" s="20"/>
      <x:c r="G155" s="19"/>
      <x:c r="H155" s="19"/>
      <x:c r="I155" s="19"/>
      <x:c r="J155" s="26"/>
      <x:c r="K155" s="19"/>
    </x:row>
    <x:row r="156">
      <x:c r="A156" s="19"/>
      <x:c r="B156" s="19"/>
      <x:c r="C156" s="19"/>
      <x:c r="D156" s="19"/>
      <x:c r="E156" s="20"/>
      <x:c r="F156" s="20"/>
      <x:c r="G156" s="19"/>
      <x:c r="H156" s="19"/>
      <x:c r="I156" s="19"/>
      <x:c r="J156" s="26"/>
      <x:c r="K156" s="19"/>
    </x:row>
    <x:row r="157">
      <x:c r="A157" s="19"/>
      <x:c r="B157" s="19"/>
      <x:c r="C157" s="19"/>
      <x:c r="D157" s="19"/>
      <x:c r="E157" s="20"/>
      <x:c r="F157" s="20"/>
      <x:c r="G157" s="19"/>
      <x:c r="H157" s="19"/>
      <x:c r="I157" s="19"/>
      <x:c r="J157" s="26"/>
      <x:c r="K157" s="19"/>
    </x:row>
    <x:row r="158">
      <x:c r="A158" s="19"/>
      <x:c r="B158" s="19"/>
      <x:c r="C158" s="19"/>
      <x:c r="D158" s="19"/>
      <x:c r="E158" s="20"/>
      <x:c r="F158" s="20"/>
      <x:c r="G158" s="19"/>
      <x:c r="H158" s="19"/>
      <x:c r="I158" s="19"/>
      <x:c r="J158" s="26"/>
      <x:c r="K158" s="19"/>
    </x:row>
    <x:row r="159">
      <x:c r="A159" s="19"/>
      <x:c r="B159" s="19"/>
      <x:c r="C159" s="19"/>
      <x:c r="D159" s="19"/>
      <x:c r="E159" s="20"/>
      <x:c r="F159" s="20"/>
      <x:c r="G159" s="19"/>
      <x:c r="H159" s="19"/>
      <x:c r="I159" s="19"/>
      <x:c r="J159" s="26"/>
      <x:c r="K159" s="19"/>
    </x:row>
    <x:row r="160">
      <x:c r="A160" s="19"/>
      <x:c r="B160" s="19"/>
      <x:c r="C160" s="19"/>
      <x:c r="D160" s="19"/>
      <x:c r="E160" s="20"/>
      <x:c r="F160" s="20"/>
      <x:c r="G160" s="19"/>
      <x:c r="H160" s="19"/>
      <x:c r="I160" s="19"/>
      <x:c r="J160" s="26"/>
      <x:c r="K160" s="19"/>
    </x:row>
    <x:row r="161">
      <x:c r="A161" s="19"/>
      <x:c r="B161" s="19"/>
      <x:c r="C161" s="19"/>
      <x:c r="D161" s="19"/>
      <x:c r="E161" s="20"/>
      <x:c r="F161" s="20"/>
      <x:c r="G161" s="19"/>
      <x:c r="H161" s="19"/>
      <x:c r="I161" s="19"/>
      <x:c r="J161" s="26"/>
      <x:c r="K161" s="19"/>
    </x:row>
    <x:row r="162">
      <x:c r="A162" s="19"/>
      <x:c r="B162" s="19"/>
      <x:c r="C162" s="19"/>
      <x:c r="D162" s="19"/>
      <x:c r="E162" s="20"/>
      <x:c r="F162" s="20"/>
      <x:c r="G162" s="19"/>
      <x:c r="H162" s="19"/>
      <x:c r="I162" s="19"/>
      <x:c r="J162" s="26"/>
      <x:c r="K162" s="19"/>
    </x:row>
    <x:row r="163">
      <x:c r="A163" s="19"/>
      <x:c r="B163" s="19"/>
      <x:c r="C163" s="19"/>
      <x:c r="D163" s="19"/>
      <x:c r="E163" s="20"/>
      <x:c r="F163" s="20"/>
      <x:c r="G163" s="19"/>
      <x:c r="H163" s="19"/>
      <x:c r="I163" s="19"/>
      <x:c r="J163" s="26"/>
      <x:c r="K163" s="19"/>
    </x:row>
    <x:row r="164">
      <x:c r="A164" s="19"/>
      <x:c r="B164" s="19"/>
      <x:c r="C164" s="19"/>
      <x:c r="D164" s="19"/>
      <x:c r="E164" s="20"/>
      <x:c r="F164" s="20"/>
      <x:c r="G164" s="19"/>
      <x:c r="H164" s="19"/>
      <x:c r="I164" s="19"/>
      <x:c r="J164" s="26"/>
      <x:c r="K164" s="19"/>
    </x:row>
    <x:row r="165">
      <x:c r="A165" s="19"/>
      <x:c r="B165" s="19"/>
      <x:c r="C165" s="19"/>
      <x:c r="D165" s="19"/>
      <x:c r="E165" s="20"/>
      <x:c r="F165" s="20"/>
      <x:c r="G165" s="19"/>
      <x:c r="H165" s="19"/>
      <x:c r="I165" s="19"/>
      <x:c r="J165" s="26"/>
      <x:c r="K165" s="19"/>
    </x:row>
    <x:row r="166">
      <x:c r="A166" s="19"/>
      <x:c r="B166" s="19"/>
      <x:c r="C166" s="19"/>
      <x:c r="D166" s="19"/>
      <x:c r="E166" s="20"/>
      <x:c r="F166" s="20"/>
      <x:c r="G166" s="19"/>
      <x:c r="H166" s="19"/>
      <x:c r="I166" s="19"/>
      <x:c r="J166" s="26"/>
      <x:c r="K166" s="19"/>
    </x:row>
    <x:row r="167">
      <x:c r="A167" s="19"/>
      <x:c r="B167" s="19"/>
      <x:c r="C167" s="19"/>
      <x:c r="D167" s="19"/>
      <x:c r="E167" s="20"/>
      <x:c r="F167" s="20"/>
      <x:c r="G167" s="19"/>
      <x:c r="H167" s="19"/>
      <x:c r="I167" s="19"/>
      <x:c r="J167" s="26"/>
      <x:c r="K167" s="19"/>
    </x:row>
    <x:row r="168">
      <x:c r="A168" s="19"/>
      <x:c r="B168" s="19"/>
      <x:c r="C168" s="19"/>
      <x:c r="D168" s="19"/>
      <x:c r="E168" s="20"/>
      <x:c r="F168" s="20"/>
      <x:c r="G168" s="19"/>
      <x:c r="H168" s="19"/>
      <x:c r="I168" s="19"/>
      <x:c r="J168" s="26"/>
      <x:c r="K168" s="19"/>
    </x:row>
    <x:row r="169">
      <x:c r="A169" s="19"/>
      <x:c r="B169" s="19"/>
      <x:c r="C169" s="19"/>
      <x:c r="D169" s="19"/>
      <x:c r="E169" s="20"/>
      <x:c r="F169" s="20"/>
      <x:c r="G169" s="19"/>
      <x:c r="H169" s="19"/>
      <x:c r="I169" s="19"/>
      <x:c r="J169" s="26"/>
      <x:c r="K169" s="19"/>
    </x:row>
    <x:row r="170">
      <x:c r="A170" s="19"/>
      <x:c r="B170" s="19"/>
      <x:c r="C170" s="19"/>
      <x:c r="D170" s="19"/>
      <x:c r="E170" s="20"/>
      <x:c r="F170" s="20"/>
      <x:c r="G170" s="19"/>
      <x:c r="H170" s="19"/>
      <x:c r="I170" s="19"/>
      <x:c r="J170" s="26"/>
      <x:c r="K170" s="19"/>
    </x:row>
    <x:row r="171">
      <x:c r="A171" s="19"/>
      <x:c r="B171" s="19"/>
      <x:c r="C171" s="19"/>
      <x:c r="D171" s="19"/>
      <x:c r="E171" s="20"/>
      <x:c r="F171" s="20"/>
      <x:c r="G171" s="19"/>
      <x:c r="H171" s="19"/>
      <x:c r="I171" s="19"/>
      <x:c r="J171" s="26"/>
      <x:c r="K171" s="19"/>
    </x:row>
    <x:row r="172">
      <x:c r="A172" s="19"/>
      <x:c r="B172" s="19"/>
      <x:c r="C172" s="19"/>
      <x:c r="D172" s="19"/>
      <x:c r="E172" s="20"/>
      <x:c r="F172" s="20"/>
      <x:c r="G172" s="19"/>
      <x:c r="H172" s="19"/>
      <x:c r="I172" s="19"/>
      <x:c r="J172" s="26"/>
      <x:c r="K172" s="19"/>
    </x:row>
    <x:row r="173">
      <x:c r="A173" s="19"/>
      <x:c r="B173" s="19"/>
      <x:c r="C173" s="19"/>
      <x:c r="D173" s="19"/>
      <x:c r="E173" s="20"/>
      <x:c r="F173" s="20"/>
      <x:c r="G173" s="19"/>
      <x:c r="H173" s="19"/>
      <x:c r="I173" s="19"/>
      <x:c r="J173" s="26"/>
      <x:c r="K173" s="19"/>
    </x:row>
    <x:row r="174">
      <x:c r="A174" s="19"/>
      <x:c r="B174" s="19"/>
      <x:c r="C174" s="19"/>
      <x:c r="D174" s="19"/>
      <x:c r="E174" s="20"/>
      <x:c r="F174" s="20"/>
      <x:c r="G174" s="19"/>
      <x:c r="H174" s="19"/>
      <x:c r="I174" s="19"/>
      <x:c r="J174" s="26"/>
      <x:c r="K174" s="19"/>
    </x:row>
    <x:row r="175">
      <x:c r="A175" s="19"/>
      <x:c r="B175" s="19"/>
      <x:c r="C175" s="19"/>
      <x:c r="D175" s="19"/>
      <x:c r="E175" s="20"/>
      <x:c r="F175" s="20"/>
      <x:c r="G175" s="19"/>
      <x:c r="H175" s="19"/>
      <x:c r="I175" s="19"/>
      <x:c r="J175" s="26"/>
      <x:c r="K175" s="19"/>
    </x:row>
    <x:row r="176">
      <x:c r="A176" s="19"/>
      <x:c r="B176" s="19"/>
      <x:c r="C176" s="19"/>
      <x:c r="D176" s="19"/>
      <x:c r="E176" s="20"/>
      <x:c r="F176" s="20"/>
      <x:c r="G176" s="19"/>
      <x:c r="H176" s="19"/>
      <x:c r="I176" s="19"/>
      <x:c r="J176" s="26"/>
      <x:c r="K176" s="19"/>
    </x:row>
    <x:row r="177">
      <x:c r="A177" s="19"/>
      <x:c r="B177" s="19"/>
      <x:c r="C177" s="19"/>
      <x:c r="D177" s="19"/>
      <x:c r="E177" s="20"/>
      <x:c r="F177" s="20"/>
      <x:c r="G177" s="19"/>
      <x:c r="H177" s="19"/>
      <x:c r="I177" s="19"/>
      <x:c r="J177" s="26"/>
      <x:c r="K177" s="19"/>
    </x:row>
    <x:row r="178">
      <x:c r="A178" s="19"/>
      <x:c r="B178" s="19"/>
      <x:c r="C178" s="19"/>
      <x:c r="D178" s="19"/>
      <x:c r="E178" s="20"/>
      <x:c r="F178" s="20"/>
      <x:c r="G178" s="19"/>
      <x:c r="H178" s="19"/>
      <x:c r="I178" s="19"/>
      <x:c r="J178" s="26"/>
      <x:c r="K178" s="19"/>
    </x:row>
    <x:row r="179">
      <x:c r="A179" s="19"/>
      <x:c r="B179" s="19"/>
      <x:c r="C179" s="19"/>
      <x:c r="D179" s="19"/>
      <x:c r="E179" s="20"/>
      <x:c r="F179" s="20"/>
      <x:c r="G179" s="19"/>
      <x:c r="H179" s="19"/>
      <x:c r="I179" s="19"/>
      <x:c r="J179" s="26"/>
      <x:c r="K179" s="19"/>
    </x:row>
    <x:row r="180">
      <x:c r="A180" s="19"/>
      <x:c r="B180" s="19"/>
      <x:c r="C180" s="19"/>
      <x:c r="D180" s="19"/>
      <x:c r="E180" s="20"/>
      <x:c r="F180" s="20"/>
      <x:c r="G180" s="19"/>
      <x:c r="H180" s="19"/>
      <x:c r="I180" s="19"/>
      <x:c r="J180" s="26"/>
      <x:c r="K180" s="19"/>
    </x:row>
    <x:row r="181">
      <x:c r="A181" s="19"/>
      <x:c r="B181" s="19"/>
      <x:c r="C181" s="19"/>
      <x:c r="D181" s="19"/>
      <x:c r="E181" s="20"/>
      <x:c r="F181" s="20"/>
      <x:c r="G181" s="19"/>
      <x:c r="H181" s="19"/>
      <x:c r="I181" s="19"/>
      <x:c r="J181" s="26"/>
      <x:c r="K181" s="19"/>
    </x:row>
    <x:row r="182">
      <x:c r="A182" s="19"/>
      <x:c r="B182" s="19"/>
      <x:c r="C182" s="19"/>
      <x:c r="D182" s="19"/>
      <x:c r="E182" s="20"/>
      <x:c r="F182" s="20"/>
      <x:c r="G182" s="19"/>
      <x:c r="H182" s="19"/>
      <x:c r="I182" s="19"/>
      <x:c r="J182" s="26"/>
      <x:c r="K182" s="19"/>
    </x:row>
    <x:row r="183">
      <x:c r="A183" s="19"/>
      <x:c r="B183" s="19"/>
      <x:c r="C183" s="19"/>
      <x:c r="D183" s="19"/>
      <x:c r="E183" s="20"/>
      <x:c r="F183" s="20"/>
      <x:c r="G183" s="19"/>
      <x:c r="H183" s="19"/>
      <x:c r="I183" s="19"/>
      <x:c r="J183" s="26"/>
      <x:c r="K183" s="19"/>
    </x:row>
    <x:row r="184">
      <x:c r="A184" s="19"/>
      <x:c r="B184" s="19"/>
      <x:c r="C184" s="19"/>
      <x:c r="D184" s="19"/>
      <x:c r="E184" s="20"/>
      <x:c r="F184" s="20"/>
      <x:c r="G184" s="19"/>
      <x:c r="H184" s="19"/>
      <x:c r="I184" s="19"/>
      <x:c r="J184" s="26"/>
      <x:c r="K184" s="19"/>
    </x:row>
    <x:row r="185">
      <x:c r="A185" s="19"/>
      <x:c r="B185" s="19"/>
      <x:c r="C185" s="19"/>
      <x:c r="D185" s="19"/>
      <x:c r="E185" s="20"/>
      <x:c r="F185" s="20"/>
      <x:c r="G185" s="19"/>
      <x:c r="H185" s="19"/>
      <x:c r="I185" s="19"/>
      <x:c r="J185" s="26"/>
      <x:c r="K185" s="19"/>
    </x:row>
    <x:row r="186">
      <x:c r="A186" s="19"/>
      <x:c r="B186" s="19"/>
      <x:c r="C186" s="19"/>
      <x:c r="D186" s="19"/>
      <x:c r="E186" s="20"/>
      <x:c r="F186" s="20"/>
      <x:c r="G186" s="19"/>
      <x:c r="H186" s="19"/>
      <x:c r="I186" s="19"/>
      <x:c r="J186" s="26"/>
      <x:c r="K186" s="19"/>
    </x:row>
    <x:row r="187">
      <x:c r="A187" s="19"/>
      <x:c r="B187" s="19"/>
      <x:c r="C187" s="19"/>
      <x:c r="D187" s="19"/>
      <x:c r="E187" s="20"/>
      <x:c r="F187" s="20"/>
      <x:c r="G187" s="19"/>
      <x:c r="H187" s="19"/>
      <x:c r="I187" s="19"/>
      <x:c r="J187" s="26"/>
      <x:c r="K187" s="19"/>
    </x:row>
    <x:row r="188">
      <x:c r="A188" s="19"/>
      <x:c r="B188" s="19"/>
      <x:c r="C188" s="19"/>
      <x:c r="D188" s="19"/>
      <x:c r="E188" s="20"/>
      <x:c r="F188" s="20"/>
      <x:c r="G188" s="19"/>
      <x:c r="H188" s="19"/>
      <x:c r="I188" s="19"/>
      <x:c r="J188" s="26"/>
      <x:c r="K188" s="19"/>
    </x:row>
    <x:row r="189">
      <x:c r="A189" s="19"/>
      <x:c r="B189" s="19"/>
      <x:c r="C189" s="19"/>
      <x:c r="D189" s="19"/>
      <x:c r="E189" s="20"/>
      <x:c r="F189" s="20"/>
      <x:c r="G189" s="19"/>
      <x:c r="H189" s="19"/>
      <x:c r="I189" s="19"/>
      <x:c r="J189" s="26"/>
      <x:c r="K189" s="19"/>
    </x:row>
    <x:row r="190">
      <x:c r="A190" s="19"/>
      <x:c r="B190" s="19"/>
      <x:c r="C190" s="19"/>
      <x:c r="D190" s="19"/>
      <x:c r="E190" s="20"/>
      <x:c r="F190" s="20"/>
      <x:c r="G190" s="19"/>
      <x:c r="H190" s="19"/>
      <x:c r="I190" s="19"/>
      <x:c r="J190" s="26"/>
      <x:c r="K190" s="19"/>
    </x:row>
    <x:row r="191">
      <x:c r="A191" s="19"/>
      <x:c r="B191" s="19"/>
      <x:c r="C191" s="19"/>
      <x:c r="D191" s="19"/>
      <x:c r="E191" s="20"/>
      <x:c r="F191" s="20"/>
      <x:c r="G191" s="19"/>
      <x:c r="H191" s="19"/>
      <x:c r="I191" s="19"/>
      <x:c r="J191" s="26"/>
      <x:c r="K191" s="19"/>
    </x:row>
    <x:row r="192">
      <x:c r="A192" s="19"/>
      <x:c r="B192" s="19"/>
      <x:c r="C192" s="19"/>
      <x:c r="D192" s="19"/>
      <x:c r="E192" s="20"/>
      <x:c r="F192" s="20"/>
      <x:c r="G192" s="19"/>
      <x:c r="H192" s="19"/>
      <x:c r="I192" s="19"/>
      <x:c r="J192" s="26"/>
      <x:c r="K192" s="19"/>
    </x:row>
    <x:row r="193">
      <x:c r="A193" s="19"/>
      <x:c r="B193" s="19"/>
      <x:c r="C193" s="19"/>
      <x:c r="D193" s="19"/>
      <x:c r="E193" s="20"/>
      <x:c r="F193" s="20"/>
      <x:c r="G193" s="19"/>
      <x:c r="H193" s="19"/>
      <x:c r="I193" s="19"/>
      <x:c r="J193" s="26"/>
      <x:c r="K193" s="19"/>
    </x:row>
    <x:row r="194">
      <x:c r="A194" s="19"/>
      <x:c r="B194" s="19"/>
      <x:c r="C194" s="19"/>
      <x:c r="D194" s="19"/>
      <x:c r="E194" s="20"/>
      <x:c r="F194" s="20"/>
      <x:c r="G194" s="19"/>
      <x:c r="H194" s="19"/>
      <x:c r="I194" s="19"/>
      <x:c r="J194" s="26"/>
      <x:c r="K194" s="19"/>
    </x:row>
    <x:row r="195">
      <x:c r="A195" s="19"/>
      <x:c r="B195" s="19"/>
      <x:c r="C195" s="19"/>
      <x:c r="D195" s="19"/>
      <x:c r="E195" s="20"/>
      <x:c r="F195" s="20"/>
      <x:c r="G195" s="19"/>
      <x:c r="H195" s="19"/>
      <x:c r="I195" s="19"/>
      <x:c r="J195" s="26"/>
      <x:c r="K195" s="19"/>
    </x:row>
    <x:row r="196">
      <x:c r="A196" s="19"/>
      <x:c r="B196" s="19"/>
      <x:c r="C196" s="19"/>
      <x:c r="D196" s="19"/>
      <x:c r="E196" s="20"/>
      <x:c r="F196" s="20"/>
      <x:c r="G196" s="19"/>
      <x:c r="H196" s="19"/>
      <x:c r="I196" s="19"/>
      <x:c r="J196" s="26"/>
      <x:c r="K196" s="19"/>
    </x:row>
    <x:row r="197">
      <x:c r="A197" s="19"/>
      <x:c r="B197" s="19"/>
      <x:c r="C197" s="19"/>
      <x:c r="D197" s="19"/>
      <x:c r="E197" s="20"/>
      <x:c r="F197" s="20"/>
      <x:c r="G197" s="19"/>
      <x:c r="H197" s="19"/>
      <x:c r="I197" s="19"/>
      <x:c r="J197" s="26"/>
      <x:c r="K197" s="19"/>
    </x:row>
    <x:row r="198">
      <x:c r="A198" s="19"/>
      <x:c r="B198" s="19"/>
      <x:c r="C198" s="19"/>
      <x:c r="D198" s="19"/>
      <x:c r="E198" s="20"/>
      <x:c r="F198" s="20"/>
      <x:c r="G198" s="19"/>
      <x:c r="H198" s="19"/>
      <x:c r="I198" s="19"/>
      <x:c r="J198" s="26"/>
      <x:c r="K198" s="19"/>
    </x:row>
    <x:row r="199">
      <x:c r="A199" s="19"/>
      <x:c r="B199" s="19"/>
      <x:c r="C199" s="19"/>
      <x:c r="D199" s="19"/>
      <x:c r="E199" s="20"/>
      <x:c r="F199" s="20"/>
      <x:c r="G199" s="19"/>
      <x:c r="H199" s="19"/>
      <x:c r="I199" s="19"/>
      <x:c r="J199" s="26"/>
      <x:c r="K199" s="19"/>
    </x:row>
    <x:row r="200">
      <x:c r="A200" s="19"/>
      <x:c r="B200" s="19"/>
      <x:c r="C200" s="19"/>
      <x:c r="D200" s="19"/>
      <x:c r="E200" s="20"/>
      <x:c r="F200" s="20"/>
      <x:c r="G200" s="19"/>
      <x:c r="H200" s="19"/>
      <x:c r="I200" s="19"/>
      <x:c r="J200" s="26"/>
      <x:c r="K200" s="19"/>
    </x:row>
    <x:row r="201">
      <x:c r="A201" s="19"/>
      <x:c r="B201" s="19"/>
      <x:c r="C201" s="19"/>
      <x:c r="D201" s="19"/>
      <x:c r="E201" s="20"/>
      <x:c r="F201" s="20"/>
      <x:c r="G201" s="19"/>
      <x:c r="H201" s="19"/>
      <x:c r="I201" s="19"/>
      <x:c r="J201" s="26"/>
      <x:c r="K201" s="19"/>
    </x:row>
    <x:row r="202">
      <x:c r="A202" s="19"/>
      <x:c r="B202" s="19"/>
      <x:c r="C202" s="19"/>
      <x:c r="D202" s="19"/>
      <x:c r="E202" s="20"/>
      <x:c r="F202" s="20"/>
      <x:c r="G202" s="19"/>
      <x:c r="H202" s="19"/>
      <x:c r="I202" s="19"/>
      <x:c r="J202" s="26"/>
      <x:c r="K202" s="19"/>
    </x:row>
    <x:row r="203">
      <x:c r="A203" s="19"/>
      <x:c r="B203" s="19"/>
      <x:c r="C203" s="19"/>
      <x:c r="D203" s="19"/>
      <x:c r="E203" s="20"/>
      <x:c r="F203" s="20"/>
      <x:c r="G203" s="19"/>
      <x:c r="H203" s="19"/>
      <x:c r="I203" s="19"/>
      <x:c r="J203" s="26"/>
      <x:c r="K203" s="19"/>
    </x:row>
    <x:row r="204">
      <x:c r="A204" s="19"/>
      <x:c r="B204" s="19"/>
      <x:c r="C204" s="19"/>
      <x:c r="D204" s="19"/>
      <x:c r="E204" s="20"/>
      <x:c r="F204" s="20"/>
      <x:c r="G204" s="19"/>
      <x:c r="H204" s="19"/>
      <x:c r="I204" s="19"/>
      <x:c r="J204" s="26"/>
      <x:c r="K204" s="19"/>
    </x:row>
    <x:row r="205">
      <x:c r="A205" s="19"/>
      <x:c r="B205" s="19"/>
      <x:c r="C205" s="19"/>
      <x:c r="D205" s="19"/>
      <x:c r="E205" s="20"/>
      <x:c r="F205" s="20"/>
      <x:c r="G205" s="19"/>
      <x:c r="H205" s="19"/>
      <x:c r="I205" s="19"/>
      <x:c r="J205" s="26"/>
      <x:c r="K205" s="19"/>
    </x:row>
    <x:row r="206">
      <x:c r="A206" s="19"/>
      <x:c r="B206" s="19"/>
      <x:c r="C206" s="19"/>
      <x:c r="D206" s="19"/>
      <x:c r="E206" s="20"/>
      <x:c r="F206" s="20"/>
      <x:c r="G206" s="19"/>
      <x:c r="H206" s="19"/>
      <x:c r="I206" s="19"/>
      <x:c r="J206" s="26"/>
      <x:c r="K206" s="19"/>
    </x:row>
    <x:row r="207">
      <x:c r="A207" s="19"/>
      <x:c r="B207" s="19"/>
      <x:c r="C207" s="19"/>
      <x:c r="D207" s="19"/>
      <x:c r="E207" s="20"/>
      <x:c r="F207" s="20"/>
      <x:c r="G207" s="19"/>
      <x:c r="H207" s="19"/>
      <x:c r="I207" s="19"/>
      <x:c r="J207" s="26"/>
      <x:c r="K207" s="19"/>
    </x:row>
    <x:row r="208">
      <x:c r="A208" s="19"/>
      <x:c r="B208" s="19"/>
      <x:c r="C208" s="19"/>
      <x:c r="D208" s="19"/>
      <x:c r="E208" s="20"/>
      <x:c r="F208" s="20"/>
      <x:c r="G208" s="19"/>
      <x:c r="H208" s="19"/>
      <x:c r="I208" s="19"/>
      <x:c r="J208" s="26"/>
      <x:c r="K208" s="19"/>
    </x:row>
    <x:row r="209">
      <x:c r="A209" s="19"/>
      <x:c r="B209" s="19"/>
      <x:c r="C209" s="19"/>
      <x:c r="D209" s="19"/>
      <x:c r="E209" s="20"/>
      <x:c r="F209" s="20"/>
      <x:c r="G209" s="19"/>
      <x:c r="H209" s="19"/>
      <x:c r="I209" s="19"/>
      <x:c r="J209" s="26"/>
      <x:c r="K209" s="19"/>
    </x:row>
    <x:row r="210">
      <x:c r="A210" s="19"/>
      <x:c r="B210" s="19"/>
      <x:c r="C210" s="19"/>
      <x:c r="D210" s="19"/>
      <x:c r="E210" s="20"/>
      <x:c r="F210" s="20"/>
      <x:c r="G210" s="19"/>
      <x:c r="H210" s="19"/>
      <x:c r="I210" s="19"/>
      <x:c r="J210" s="26"/>
      <x:c r="K210" s="19"/>
    </x:row>
    <x:row r="211">
      <x:c r="A211" s="19"/>
      <x:c r="B211" s="19"/>
      <x:c r="C211" s="19"/>
      <x:c r="D211" s="19"/>
      <x:c r="E211" s="20"/>
      <x:c r="F211" s="20"/>
      <x:c r="G211" s="19"/>
      <x:c r="H211" s="19"/>
      <x:c r="I211" s="19"/>
      <x:c r="J211" s="26"/>
      <x:c r="K211" s="19"/>
    </x:row>
    <x:row r="212">
      <x:c r="A212" s="19"/>
      <x:c r="B212" s="19"/>
      <x:c r="C212" s="19"/>
      <x:c r="D212" s="19"/>
      <x:c r="E212" s="20"/>
      <x:c r="F212" s="20"/>
      <x:c r="G212" s="19"/>
      <x:c r="H212" s="19"/>
      <x:c r="I212" s="19"/>
      <x:c r="J212" s="26"/>
      <x:c r="K212" s="19"/>
    </x:row>
    <x:row r="213">
      <x:c r="A213" s="19"/>
      <x:c r="B213" s="19"/>
      <x:c r="C213" s="19"/>
      <x:c r="D213" s="19"/>
      <x:c r="E213" s="20"/>
      <x:c r="F213" s="20"/>
      <x:c r="G213" s="19"/>
      <x:c r="H213" s="19"/>
      <x:c r="I213" s="19"/>
      <x:c r="J213" s="26"/>
      <x:c r="K213" s="19"/>
    </x:row>
    <x:row r="214">
      <x:c r="A214" s="19"/>
      <x:c r="B214" s="19"/>
      <x:c r="C214" s="19"/>
      <x:c r="D214" s="19"/>
      <x:c r="E214" s="20"/>
      <x:c r="F214" s="20"/>
      <x:c r="G214" s="19"/>
      <x:c r="H214" s="19"/>
      <x:c r="I214" s="19"/>
      <x:c r="J214" s="26"/>
      <x:c r="K214" s="19"/>
    </x:row>
    <x:row r="215">
      <x:c r="A215" s="19"/>
      <x:c r="B215" s="19"/>
      <x:c r="C215" s="19"/>
      <x:c r="D215" s="19"/>
      <x:c r="E215" s="20"/>
      <x:c r="F215" s="20"/>
      <x:c r="G215" s="19"/>
      <x:c r="H215" s="19"/>
      <x:c r="I215" s="19"/>
      <x:c r="J215" s="26"/>
      <x:c r="K215" s="19"/>
    </x:row>
    <x:row r="216">
      <x:c r="A216" s="19"/>
      <x:c r="B216" s="19"/>
      <x:c r="C216" s="19"/>
      <x:c r="D216" s="19"/>
      <x:c r="E216" s="20"/>
      <x:c r="F216" s="20"/>
      <x:c r="G216" s="19"/>
      <x:c r="H216" s="19"/>
      <x:c r="I216" s="19"/>
      <x:c r="J216" s="26"/>
      <x:c r="K216" s="19"/>
    </x:row>
    <x:row r="217">
      <x:c r="A217" s="19"/>
      <x:c r="B217" s="19"/>
      <x:c r="C217" s="19"/>
      <x:c r="D217" s="19"/>
      <x:c r="E217" s="20"/>
      <x:c r="F217" s="20"/>
      <x:c r="G217" s="19"/>
      <x:c r="H217" s="19"/>
      <x:c r="I217" s="19"/>
      <x:c r="J217" s="26"/>
      <x:c r="K217" s="19"/>
    </x:row>
    <x:row r="218">
      <x:c r="A218" s="19"/>
      <x:c r="B218" s="19"/>
      <x:c r="C218" s="19"/>
      <x:c r="D218" s="19"/>
      <x:c r="E218" s="20"/>
      <x:c r="F218" s="20"/>
      <x:c r="G218" s="19"/>
      <x:c r="H218" s="19"/>
      <x:c r="I218" s="19"/>
      <x:c r="J218" s="26"/>
      <x:c r="K218" s="19"/>
    </x:row>
    <x:row r="219">
      <x:c r="A219" s="19"/>
      <x:c r="B219" s="19"/>
      <x:c r="C219" s="19"/>
      <x:c r="D219" s="19"/>
      <x:c r="E219" s="20"/>
      <x:c r="F219" s="20"/>
      <x:c r="G219" s="19"/>
      <x:c r="H219" s="19"/>
      <x:c r="I219" s="19"/>
      <x:c r="J219" s="26"/>
      <x:c r="K219" s="19"/>
    </x:row>
    <x:row r="220">
      <x:c r="A220" s="19"/>
      <x:c r="B220" s="19"/>
      <x:c r="C220" s="19"/>
      <x:c r="D220" s="19"/>
      <x:c r="E220" s="20"/>
      <x:c r="F220" s="20"/>
      <x:c r="G220" s="19"/>
      <x:c r="H220" s="19"/>
      <x:c r="I220" s="19"/>
      <x:c r="J220" s="26"/>
      <x:c r="K220" s="19"/>
    </x:row>
    <x:row r="221">
      <x:c r="A221" s="19"/>
      <x:c r="B221" s="19"/>
      <x:c r="C221" s="19"/>
      <x:c r="D221" s="19"/>
      <x:c r="E221" s="20"/>
      <x:c r="F221" s="20"/>
      <x:c r="G221" s="19"/>
      <x:c r="H221" s="19"/>
      <x:c r="I221" s="19"/>
      <x:c r="J221" s="26"/>
      <x:c r="K221" s="19"/>
    </x:row>
    <x:row r="222">
      <x:c r="A222" s="19"/>
      <x:c r="B222" s="19"/>
      <x:c r="C222" s="19"/>
      <x:c r="D222" s="19"/>
      <x:c r="E222" s="20"/>
      <x:c r="F222" s="20"/>
      <x:c r="G222" s="19"/>
      <x:c r="H222" s="19"/>
      <x:c r="I222" s="19"/>
      <x:c r="J222" s="26"/>
      <x:c r="K222" s="19"/>
    </x:row>
    <x:row r="223">
      <x:c r="A223" s="19"/>
      <x:c r="B223" s="19"/>
      <x:c r="C223" s="19"/>
      <x:c r="D223" s="19"/>
      <x:c r="E223" s="20"/>
      <x:c r="F223" s="20"/>
      <x:c r="G223" s="19"/>
      <x:c r="H223" s="19"/>
      <x:c r="I223" s="19"/>
      <x:c r="J223" s="26"/>
      <x:c r="K223" s="19"/>
    </x:row>
    <x:row r="224">
      <x:c r="A224" s="19"/>
      <x:c r="B224" s="19"/>
      <x:c r="C224" s="19"/>
      <x:c r="D224" s="19"/>
      <x:c r="E224" s="20"/>
      <x:c r="F224" s="20"/>
      <x:c r="G224" s="19"/>
      <x:c r="H224" s="19"/>
      <x:c r="I224" s="19"/>
      <x:c r="J224" s="26"/>
      <x:c r="K224" s="19"/>
    </x:row>
    <x:row r="225">
      <x:c r="A225" s="19"/>
      <x:c r="B225" s="19"/>
      <x:c r="C225" s="19"/>
      <x:c r="D225" s="19"/>
      <x:c r="E225" s="20"/>
      <x:c r="F225" s="20"/>
      <x:c r="G225" s="19"/>
      <x:c r="H225" s="19"/>
      <x:c r="I225" s="19"/>
      <x:c r="J225" s="26"/>
      <x:c r="K225" s="19"/>
    </x:row>
    <x:row r="226">
      <x:c r="A226" s="19"/>
      <x:c r="B226" s="19"/>
      <x:c r="C226" s="19"/>
      <x:c r="D226" s="19"/>
      <x:c r="E226" s="20"/>
      <x:c r="F226" s="20"/>
      <x:c r="G226" s="19"/>
      <x:c r="H226" s="19"/>
      <x:c r="I226" s="19"/>
      <x:c r="J226" s="26"/>
      <x:c r="K226" s="19"/>
    </x:row>
    <x:row r="227">
      <x:c r="A227" s="19"/>
      <x:c r="B227" s="19"/>
      <x:c r="C227" s="19"/>
      <x:c r="D227" s="19"/>
      <x:c r="E227" s="20"/>
      <x:c r="F227" s="20"/>
      <x:c r="G227" s="19"/>
      <x:c r="H227" s="19"/>
      <x:c r="I227" s="19"/>
      <x:c r="J227" s="26"/>
      <x:c r="K227" s="19"/>
    </x:row>
    <x:row r="228">
      <x:c r="A228" s="19"/>
      <x:c r="B228" s="19"/>
      <x:c r="C228" s="19"/>
      <x:c r="D228" s="19"/>
      <x:c r="E228" s="20"/>
      <x:c r="F228" s="20"/>
      <x:c r="G228" s="19"/>
      <x:c r="H228" s="19"/>
      <x:c r="I228" s="19"/>
      <x:c r="J228" s="26"/>
      <x:c r="K228" s="19"/>
    </x:row>
    <x:row r="229">
      <x:c r="A229" s="19"/>
      <x:c r="B229" s="19"/>
      <x:c r="C229" s="19"/>
      <x:c r="D229" s="19"/>
      <x:c r="E229" s="20"/>
      <x:c r="F229" s="20"/>
      <x:c r="G229" s="19"/>
      <x:c r="H229" s="19"/>
      <x:c r="I229" s="19"/>
      <x:c r="J229" s="26"/>
      <x:c r="K229" s="19"/>
    </x:row>
    <x:row r="230">
      <x:c r="A230" s="19"/>
      <x:c r="B230" s="19"/>
      <x:c r="C230" s="19"/>
      <x:c r="D230" s="19"/>
      <x:c r="E230" s="20"/>
      <x:c r="F230" s="20"/>
      <x:c r="G230" s="19"/>
      <x:c r="H230" s="19"/>
      <x:c r="I230" s="19"/>
      <x:c r="J230" s="26"/>
      <x:c r="K230" s="19"/>
    </x:row>
    <x:row r="231">
      <x:c r="A231" s="19"/>
      <x:c r="B231" s="19"/>
      <x:c r="C231" s="19"/>
      <x:c r="D231" s="19"/>
      <x:c r="E231" s="20"/>
      <x:c r="F231" s="20"/>
      <x:c r="G231" s="19"/>
      <x:c r="H231" s="19"/>
      <x:c r="I231" s="19"/>
      <x:c r="J231" s="26"/>
      <x:c r="K231" s="19"/>
    </x:row>
    <x:row r="232">
      <x:c r="A232" s="19"/>
      <x:c r="B232" s="19"/>
      <x:c r="C232" s="19"/>
      <x:c r="D232" s="19"/>
      <x:c r="E232" s="20"/>
      <x:c r="F232" s="20"/>
      <x:c r="G232" s="19"/>
      <x:c r="H232" s="19"/>
      <x:c r="I232" s="19"/>
      <x:c r="J232" s="26"/>
      <x:c r="K232" s="19"/>
    </x:row>
    <x:row r="233">
      <x:c r="A233" s="19"/>
      <x:c r="B233" s="19"/>
      <x:c r="C233" s="19"/>
      <x:c r="D233" s="19"/>
      <x:c r="E233" s="20"/>
      <x:c r="F233" s="20"/>
      <x:c r="G233" s="19"/>
      <x:c r="H233" s="19"/>
      <x:c r="I233" s="19"/>
      <x:c r="J233" s="26"/>
      <x:c r="K233" s="19"/>
    </x:row>
    <x:row r="234">
      <x:c r="A234" s="19"/>
      <x:c r="B234" s="19"/>
      <x:c r="C234" s="19"/>
      <x:c r="D234" s="19"/>
      <x:c r="E234" s="20"/>
      <x:c r="F234" s="20"/>
      <x:c r="G234" s="19"/>
      <x:c r="H234" s="19"/>
      <x:c r="I234" s="19"/>
      <x:c r="J234" s="26"/>
      <x:c r="K234" s="19"/>
    </x:row>
    <x:row r="235">
      <x:c r="A235" s="19"/>
      <x:c r="B235" s="19"/>
      <x:c r="C235" s="19"/>
      <x:c r="D235" s="19"/>
      <x:c r="E235" s="20"/>
      <x:c r="F235" s="20"/>
      <x:c r="G235" s="19"/>
      <x:c r="H235" s="19"/>
      <x:c r="I235" s="19"/>
      <x:c r="J235" s="26"/>
      <x:c r="K235" s="19"/>
    </x:row>
    <x:row r="236">
      <x:c r="A236" s="19"/>
      <x:c r="B236" s="19"/>
      <x:c r="C236" s="19"/>
      <x:c r="D236" s="19"/>
      <x:c r="E236" s="20"/>
      <x:c r="F236" s="20"/>
      <x:c r="G236" s="19"/>
      <x:c r="H236" s="19"/>
      <x:c r="I236" s="19"/>
      <x:c r="J236" s="26"/>
      <x:c r="K236" s="19"/>
    </x:row>
    <x:row r="237">
      <x:c r="A237" s="19"/>
      <x:c r="B237" s="19"/>
      <x:c r="C237" s="19"/>
      <x:c r="D237" s="19"/>
      <x:c r="E237" s="20"/>
      <x:c r="F237" s="20"/>
      <x:c r="G237" s="19"/>
      <x:c r="H237" s="19"/>
      <x:c r="I237" s="19"/>
      <x:c r="J237" s="26"/>
      <x:c r="K237" s="19"/>
    </x:row>
    <x:row r="238">
      <x:c r="A238" s="19"/>
      <x:c r="B238" s="19"/>
      <x:c r="C238" s="19"/>
      <x:c r="D238" s="19"/>
      <x:c r="E238" s="20"/>
      <x:c r="F238" s="20"/>
      <x:c r="G238" s="19"/>
      <x:c r="H238" s="19"/>
      <x:c r="I238" s="19"/>
      <x:c r="J238" s="26"/>
      <x:c r="K238" s="19"/>
    </x:row>
    <x:row r="239">
      <x:c r="A239" s="19"/>
      <x:c r="B239" s="19"/>
      <x:c r="C239" s="19"/>
      <x:c r="D239" s="19"/>
      <x:c r="E239" s="20"/>
      <x:c r="F239" s="20"/>
      <x:c r="G239" s="19"/>
      <x:c r="H239" s="19"/>
      <x:c r="I239" s="19"/>
      <x:c r="J239" s="26"/>
      <x:c r="K239" s="19"/>
    </x:row>
    <x:row r="240">
      <x:c r="A240" s="19"/>
      <x:c r="B240" s="19"/>
      <x:c r="C240" s="19"/>
      <x:c r="D240" s="19"/>
      <x:c r="E240" s="20"/>
      <x:c r="F240" s="20"/>
      <x:c r="G240" s="19"/>
      <x:c r="H240" s="19"/>
      <x:c r="I240" s="19"/>
      <x:c r="J240" s="26"/>
      <x:c r="K240" s="19"/>
    </x:row>
    <x:row r="241">
      <x:c r="A241" s="19"/>
      <x:c r="B241" s="19"/>
      <x:c r="C241" s="19"/>
      <x:c r="D241" s="19"/>
      <x:c r="E241" s="20"/>
      <x:c r="F241" s="20"/>
      <x:c r="G241" s="19"/>
      <x:c r="H241" s="19"/>
      <x:c r="I241" s="19"/>
      <x:c r="J241" s="26"/>
      <x:c r="K241" s="19"/>
    </x:row>
    <x:row r="242">
      <x:c r="A242" s="19"/>
      <x:c r="B242" s="19"/>
      <x:c r="C242" s="19"/>
      <x:c r="D242" s="19"/>
      <x:c r="E242" s="20"/>
      <x:c r="F242" s="20"/>
      <x:c r="G242" s="19"/>
      <x:c r="H242" s="19"/>
      <x:c r="I242" s="19"/>
      <x:c r="J242" s="26"/>
      <x:c r="K242" s="19"/>
    </x:row>
    <x:row r="243">
      <x:c r="A243" s="19"/>
      <x:c r="B243" s="19"/>
      <x:c r="C243" s="19"/>
      <x:c r="D243" s="19"/>
      <x:c r="E243" s="20"/>
      <x:c r="F243" s="20"/>
      <x:c r="G243" s="19"/>
      <x:c r="H243" s="19"/>
      <x:c r="I243" s="19"/>
      <x:c r="J243" s="26"/>
      <x:c r="K243" s="19"/>
    </x:row>
    <x:row r="244">
      <x:c r="A244" s="19"/>
      <x:c r="B244" s="19"/>
      <x:c r="C244" s="19"/>
      <x:c r="D244" s="19"/>
      <x:c r="E244" s="20"/>
      <x:c r="F244" s="20"/>
      <x:c r="G244" s="19"/>
      <x:c r="H244" s="19"/>
      <x:c r="I244" s="19"/>
      <x:c r="J244" s="26"/>
      <x:c r="K244" s="19"/>
    </x:row>
    <x:row r="245">
      <x:c r="A245" s="19"/>
      <x:c r="B245" s="19"/>
      <x:c r="C245" s="19"/>
      <x:c r="D245" s="19"/>
      <x:c r="E245" s="20"/>
      <x:c r="F245" s="20"/>
      <x:c r="G245" s="19"/>
      <x:c r="H245" s="19"/>
      <x:c r="I245" s="19"/>
      <x:c r="J245" s="26"/>
      <x:c r="K245" s="19"/>
    </x:row>
    <x:row r="246">
      <x:c r="A246" s="19"/>
      <x:c r="B246" s="19"/>
      <x:c r="C246" s="19"/>
      <x:c r="D246" s="19"/>
      <x:c r="E246" s="20"/>
      <x:c r="F246" s="20"/>
      <x:c r="G246" s="19"/>
      <x:c r="H246" s="19"/>
      <x:c r="I246" s="19"/>
      <x:c r="J246" s="26"/>
      <x:c r="K246" s="19"/>
    </x:row>
    <x:row r="247">
      <x:c r="A247" s="19"/>
      <x:c r="B247" s="19"/>
      <x:c r="C247" s="19"/>
      <x:c r="D247" s="19"/>
      <x:c r="E247" s="20"/>
      <x:c r="F247" s="20"/>
      <x:c r="G247" s="19"/>
      <x:c r="H247" s="19"/>
      <x:c r="I247" s="19"/>
      <x:c r="J247" s="26"/>
      <x:c r="K247" s="19"/>
    </x:row>
    <x:row r="248">
      <x:c r="A248" s="19"/>
      <x:c r="B248" s="19"/>
      <x:c r="C248" s="19"/>
      <x:c r="D248" s="19"/>
      <x:c r="E248" s="20"/>
      <x:c r="F248" s="20"/>
      <x:c r="G248" s="19"/>
      <x:c r="H248" s="19"/>
      <x:c r="I248" s="19"/>
      <x:c r="J248" s="26"/>
      <x:c r="K248" s="19"/>
    </x:row>
    <x:row r="249">
      <x:c r="A249" s="19"/>
      <x:c r="B249" s="19"/>
      <x:c r="C249" s="19"/>
      <x:c r="D249" s="19"/>
      <x:c r="E249" s="20"/>
      <x:c r="F249" s="20"/>
      <x:c r="G249" s="19"/>
      <x:c r="H249" s="19"/>
      <x:c r="I249" s="19"/>
      <x:c r="J249" s="26"/>
      <x:c r="K249" s="19"/>
    </x:row>
    <x:row r="250">
      <x:c r="A250" s="19"/>
      <x:c r="B250" s="19"/>
      <x:c r="C250" s="19"/>
      <x:c r="D250" s="19"/>
      <x:c r="E250" s="20"/>
      <x:c r="F250" s="20"/>
      <x:c r="G250" s="19"/>
      <x:c r="H250" s="19"/>
      <x:c r="I250" s="19"/>
      <x:c r="J250" s="26"/>
      <x:c r="K250" s="19"/>
    </x:row>
    <x:row r="251">
      <x:c r="A251" s="19"/>
      <x:c r="B251" s="19"/>
      <x:c r="C251" s="19"/>
      <x:c r="D251" s="19"/>
      <x:c r="E251" s="20"/>
      <x:c r="F251" s="20"/>
      <x:c r="G251" s="19"/>
      <x:c r="H251" s="19"/>
      <x:c r="I251" s="19"/>
      <x:c r="J251" s="26"/>
      <x:c r="K251" s="19"/>
    </x:row>
    <x:row r="252">
      <x:c r="A252" s="19"/>
      <x:c r="B252" s="19"/>
      <x:c r="C252" s="19"/>
      <x:c r="D252" s="19"/>
      <x:c r="E252" s="20"/>
      <x:c r="F252" s="20"/>
      <x:c r="G252" s="19"/>
      <x:c r="H252" s="19"/>
      <x:c r="I252" s="19"/>
      <x:c r="J252" s="26"/>
      <x:c r="K252" s="19"/>
    </x:row>
    <x:row r="253">
      <x:c r="A253" s="19"/>
      <x:c r="B253" s="19"/>
      <x:c r="C253" s="19"/>
      <x:c r="D253" s="19"/>
      <x:c r="E253" s="20"/>
      <x:c r="F253" s="20"/>
      <x:c r="G253" s="19"/>
      <x:c r="H253" s="19"/>
      <x:c r="I253" s="19"/>
      <x:c r="J253" s="26"/>
      <x:c r="K253" s="19"/>
    </x:row>
    <x:row r="254">
      <x:c r="A254" s="19"/>
      <x:c r="B254" s="19"/>
      <x:c r="C254" s="19"/>
      <x:c r="D254" s="19"/>
      <x:c r="E254" s="20"/>
      <x:c r="F254" s="20"/>
      <x:c r="G254" s="19"/>
      <x:c r="H254" s="19"/>
      <x:c r="I254" s="19"/>
      <x:c r="J254" s="26"/>
      <x:c r="K254" s="19"/>
    </x:row>
    <x:row r="255">
      <x:c r="A255" s="19"/>
      <x:c r="B255" s="19"/>
      <x:c r="C255" s="19"/>
      <x:c r="D255" s="19"/>
      <x:c r="E255" s="20"/>
      <x:c r="F255" s="20"/>
      <x:c r="G255" s="19"/>
      <x:c r="H255" s="19"/>
      <x:c r="I255" s="19"/>
      <x:c r="J255" s="26"/>
      <x:c r="K255" s="19"/>
    </x:row>
    <x:row r="256">
      <x:c r="A256" s="19"/>
      <x:c r="B256" s="19"/>
      <x:c r="C256" s="19"/>
      <x:c r="D256" s="19"/>
      <x:c r="E256" s="20"/>
      <x:c r="F256" s="20"/>
      <x:c r="G256" s="19"/>
      <x:c r="H256" s="19"/>
      <x:c r="I256" s="19"/>
      <x:c r="J256" s="26"/>
      <x:c r="K256" s="19"/>
    </x:row>
    <x:row r="257">
      <x:c r="A257" s="19"/>
      <x:c r="B257" s="19"/>
      <x:c r="C257" s="19"/>
      <x:c r="D257" s="19"/>
      <x:c r="E257" s="20"/>
      <x:c r="F257" s="20"/>
      <x:c r="G257" s="19"/>
      <x:c r="H257" s="19"/>
      <x:c r="I257" s="19"/>
      <x:c r="J257" s="26"/>
      <x:c r="K257" s="19"/>
    </x:row>
    <x:row r="258">
      <x:c r="A258" s="19"/>
      <x:c r="B258" s="19"/>
      <x:c r="C258" s="19"/>
      <x:c r="D258" s="19"/>
      <x:c r="E258" s="20"/>
      <x:c r="F258" s="20"/>
      <x:c r="G258" s="19"/>
      <x:c r="H258" s="19"/>
      <x:c r="I258" s="19"/>
      <x:c r="J258" s="26"/>
      <x:c r="K258" s="19"/>
    </x:row>
    <x:row r="259">
      <x:c r="A259" s="19"/>
      <x:c r="B259" s="19"/>
      <x:c r="C259" s="19"/>
      <x:c r="D259" s="19"/>
      <x:c r="E259" s="20"/>
      <x:c r="F259" s="20"/>
      <x:c r="G259" s="19"/>
      <x:c r="H259" s="19"/>
      <x:c r="I259" s="19"/>
      <x:c r="J259" s="26"/>
      <x:c r="K259" s="19"/>
    </x:row>
    <x:row r="260">
      <x:c r="A260" s="19"/>
      <x:c r="B260" s="19"/>
      <x:c r="C260" s="19"/>
      <x:c r="D260" s="19"/>
      <x:c r="E260" s="20"/>
      <x:c r="F260" s="20"/>
      <x:c r="G260" s="19"/>
      <x:c r="H260" s="19"/>
      <x:c r="I260" s="19"/>
      <x:c r="J260" s="26"/>
      <x:c r="K260" s="19"/>
    </x:row>
    <x:row r="261">
      <x:c r="A261" s="19"/>
      <x:c r="B261" s="19"/>
      <x:c r="C261" s="19"/>
      <x:c r="D261" s="19"/>
      <x:c r="E261" s="20"/>
      <x:c r="F261" s="20"/>
      <x:c r="G261" s="19"/>
      <x:c r="H261" s="19"/>
      <x:c r="I261" s="19"/>
      <x:c r="J261" s="26"/>
      <x:c r="K261" s="19"/>
    </x:row>
    <x:row r="262">
      <x:c r="A262" s="19"/>
      <x:c r="B262" s="19"/>
      <x:c r="C262" s="19"/>
      <x:c r="D262" s="19"/>
      <x:c r="E262" s="20"/>
      <x:c r="F262" s="20"/>
      <x:c r="G262" s="19"/>
      <x:c r="H262" s="19"/>
      <x:c r="I262" s="19"/>
      <x:c r="J262" s="26"/>
      <x:c r="K262" s="19"/>
    </x:row>
    <x:row r="263">
      <x:c r="A263" s="19"/>
      <x:c r="B263" s="19"/>
      <x:c r="C263" s="19"/>
      <x:c r="D263" s="19"/>
      <x:c r="E263" s="20"/>
      <x:c r="F263" s="20"/>
      <x:c r="G263" s="19"/>
      <x:c r="H263" s="19"/>
      <x:c r="I263" s="19"/>
      <x:c r="J263" s="26"/>
      <x:c r="K263" s="19"/>
    </x:row>
    <x:row r="264">
      <x:c r="A264" s="19"/>
      <x:c r="B264" s="19"/>
      <x:c r="C264" s="19"/>
      <x:c r="D264" s="19"/>
      <x:c r="E264" s="20"/>
      <x:c r="F264" s="20"/>
      <x:c r="G264" s="19"/>
      <x:c r="H264" s="19"/>
      <x:c r="I264" s="19"/>
      <x:c r="J264" s="26"/>
      <x:c r="K264" s="19"/>
    </x:row>
    <x:row r="265">
      <x:c r="A265" s="19"/>
      <x:c r="B265" s="19"/>
      <x:c r="C265" s="19"/>
      <x:c r="D265" s="19"/>
      <x:c r="E265" s="20"/>
      <x:c r="F265" s="20"/>
      <x:c r="G265" s="19"/>
      <x:c r="H265" s="19"/>
      <x:c r="I265" s="19"/>
      <x:c r="J265" s="26"/>
      <x:c r="K265" s="19"/>
    </x:row>
    <x:row r="266">
      <x:c r="A266" s="19"/>
      <x:c r="B266" s="19"/>
      <x:c r="C266" s="19"/>
      <x:c r="D266" s="19"/>
      <x:c r="E266" s="20"/>
      <x:c r="F266" s="20"/>
      <x:c r="G266" s="19"/>
      <x:c r="H266" s="19"/>
      <x:c r="I266" s="19"/>
      <x:c r="J266" s="26"/>
      <x:c r="K266" s="19"/>
    </x:row>
    <x:row r="267">
      <x:c r="A267" s="19"/>
      <x:c r="B267" s="19"/>
      <x:c r="C267" s="19"/>
      <x:c r="D267" s="19"/>
      <x:c r="E267" s="20"/>
      <x:c r="F267" s="20"/>
      <x:c r="G267" s="19"/>
      <x:c r="H267" s="19"/>
      <x:c r="I267" s="19"/>
      <x:c r="J267" s="26"/>
      <x:c r="K267" s="19"/>
    </x:row>
    <x:row r="268">
      <x:c r="A268" s="19"/>
      <x:c r="B268" s="19"/>
      <x:c r="C268" s="19"/>
      <x:c r="D268" s="19"/>
      <x:c r="E268" s="20"/>
      <x:c r="F268" s="20"/>
      <x:c r="G268" s="19"/>
      <x:c r="H268" s="19"/>
      <x:c r="I268" s="19"/>
      <x:c r="J268" s="26"/>
      <x:c r="K268" s="19"/>
    </x:row>
    <x:row r="269">
      <x:c r="A269" s="19"/>
      <x:c r="B269" s="19"/>
      <x:c r="C269" s="19"/>
      <x:c r="D269" s="19"/>
      <x:c r="E269" s="20"/>
      <x:c r="F269" s="20"/>
      <x:c r="G269" s="19"/>
      <x:c r="H269" s="19"/>
      <x:c r="I269" s="19"/>
      <x:c r="J269" s="26"/>
      <x:c r="K269" s="19"/>
    </x:row>
    <x:row r="270">
      <x:c r="A270" s="19"/>
      <x:c r="B270" s="19"/>
      <x:c r="C270" s="19"/>
      <x:c r="D270" s="19"/>
      <x:c r="E270" s="20"/>
      <x:c r="F270" s="20"/>
      <x:c r="G270" s="19"/>
      <x:c r="H270" s="19"/>
      <x:c r="I270" s="19"/>
      <x:c r="J270" s="26"/>
      <x:c r="K270" s="19"/>
    </x:row>
    <x:row r="271">
      <x:c r="A271" s="19"/>
      <x:c r="B271" s="19"/>
      <x:c r="C271" s="19"/>
      <x:c r="D271" s="19"/>
      <x:c r="E271" s="20"/>
      <x:c r="F271" s="20"/>
      <x:c r="G271" s="19"/>
      <x:c r="H271" s="19"/>
      <x:c r="I271" s="19"/>
      <x:c r="J271" s="26"/>
      <x:c r="K271" s="19"/>
    </x:row>
    <x:row r="272">
      <x:c r="A272" s="19"/>
      <x:c r="B272" s="19"/>
      <x:c r="C272" s="19"/>
      <x:c r="D272" s="19"/>
      <x:c r="E272" s="20"/>
      <x:c r="F272" s="20"/>
      <x:c r="G272" s="19"/>
      <x:c r="H272" s="19"/>
      <x:c r="I272" s="19"/>
      <x:c r="J272" s="26"/>
      <x:c r="K272" s="19"/>
    </x:row>
    <x:row r="273">
      <x:c r="A273" s="19"/>
      <x:c r="B273" s="19"/>
      <x:c r="C273" s="19"/>
      <x:c r="D273" s="19"/>
      <x:c r="E273" s="20"/>
      <x:c r="F273" s="20"/>
      <x:c r="G273" s="19"/>
      <x:c r="H273" s="19"/>
      <x:c r="I273" s="19"/>
      <x:c r="J273" s="26"/>
      <x:c r="K273" s="19"/>
    </x:row>
    <x:row r="274">
      <x:c r="A274" s="19"/>
      <x:c r="B274" s="19"/>
      <x:c r="C274" s="19"/>
      <x:c r="D274" s="19"/>
      <x:c r="E274" s="20"/>
      <x:c r="F274" s="20"/>
      <x:c r="G274" s="19"/>
      <x:c r="H274" s="19"/>
      <x:c r="I274" s="19"/>
      <x:c r="J274" s="26"/>
      <x:c r="K274" s="19"/>
    </x:row>
    <x:row r="275">
      <x:c r="A275" s="19"/>
      <x:c r="B275" s="19"/>
      <x:c r="C275" s="19"/>
      <x:c r="D275" s="19"/>
      <x:c r="E275" s="20"/>
      <x:c r="F275" s="20"/>
      <x:c r="G275" s="19"/>
      <x:c r="H275" s="19"/>
      <x:c r="I275" s="19"/>
      <x:c r="J275" s="26"/>
      <x:c r="K275" s="19"/>
    </x:row>
    <x:row r="276">
      <x:c r="A276" s="19"/>
      <x:c r="B276" s="19"/>
      <x:c r="C276" s="19"/>
      <x:c r="D276" s="19"/>
      <x:c r="E276" s="20"/>
      <x:c r="F276" s="20"/>
      <x:c r="G276" s="19"/>
      <x:c r="H276" s="19"/>
      <x:c r="I276" s="19"/>
      <x:c r="J276" s="26"/>
      <x:c r="K276" s="19"/>
    </x:row>
    <x:row r="277">
      <x:c r="A277" s="19"/>
      <x:c r="B277" s="19"/>
      <x:c r="C277" s="19"/>
      <x:c r="D277" s="19"/>
      <x:c r="E277" s="20"/>
      <x:c r="F277" s="20"/>
      <x:c r="G277" s="19"/>
      <x:c r="H277" s="19"/>
      <x:c r="I277" s="19"/>
      <x:c r="J277" s="26"/>
      <x:c r="K277" s="19"/>
    </x:row>
    <x:row r="278">
      <x:c r="A278" s="19"/>
      <x:c r="B278" s="19"/>
      <x:c r="C278" s="19"/>
      <x:c r="D278" s="19"/>
      <x:c r="E278" s="20"/>
      <x:c r="F278" s="20"/>
      <x:c r="G278" s="19"/>
      <x:c r="H278" s="19"/>
      <x:c r="I278" s="19"/>
      <x:c r="J278" s="26"/>
      <x:c r="K278" s="19"/>
    </x:row>
    <x:row r="279">
      <x:c r="A279" s="19"/>
      <x:c r="B279" s="19"/>
      <x:c r="C279" s="19"/>
      <x:c r="D279" s="19"/>
      <x:c r="E279" s="20"/>
      <x:c r="F279" s="20"/>
      <x:c r="G279" s="19"/>
      <x:c r="H279" s="19"/>
      <x:c r="I279" s="19"/>
      <x:c r="J279" s="26"/>
      <x:c r="K279" s="19"/>
    </x:row>
    <x:row r="280">
      <x:c r="A280" s="19"/>
      <x:c r="B280" s="19"/>
      <x:c r="C280" s="19"/>
      <x:c r="D280" s="19"/>
      <x:c r="E280" s="20"/>
      <x:c r="F280" s="20"/>
      <x:c r="G280" s="19"/>
      <x:c r="H280" s="19"/>
      <x:c r="I280" s="19"/>
      <x:c r="J280" s="26"/>
      <x:c r="K280" s="19"/>
    </x:row>
    <x:row r="281">
      <x:c r="A281" s="19"/>
      <x:c r="B281" s="19"/>
      <x:c r="C281" s="19"/>
      <x:c r="D281" s="19"/>
      <x:c r="E281" s="20"/>
      <x:c r="F281" s="20"/>
      <x:c r="G281" s="19"/>
      <x:c r="H281" s="19"/>
      <x:c r="I281" s="19"/>
      <x:c r="J281" s="26"/>
      <x:c r="K281" s="19"/>
    </x:row>
    <x:row r="282">
      <x:c r="A282" s="19"/>
      <x:c r="B282" s="19"/>
      <x:c r="C282" s="19"/>
      <x:c r="D282" s="19"/>
      <x:c r="E282" s="20"/>
      <x:c r="F282" s="20"/>
      <x:c r="G282" s="19"/>
      <x:c r="H282" s="19"/>
      <x:c r="I282" s="19"/>
      <x:c r="J282" s="26"/>
      <x:c r="K282" s="19"/>
    </x:row>
    <x:row r="283">
      <x:c r="A283" s="19"/>
      <x:c r="B283" s="19"/>
      <x:c r="C283" s="19"/>
      <x:c r="D283" s="19"/>
      <x:c r="E283" s="20"/>
      <x:c r="F283" s="20"/>
      <x:c r="G283" s="19"/>
      <x:c r="H283" s="19"/>
      <x:c r="I283" s="19"/>
      <x:c r="J283" s="26"/>
      <x:c r="K283" s="19"/>
    </x:row>
    <x:row r="284">
      <x:c r="A284" s="19"/>
      <x:c r="B284" s="19"/>
      <x:c r="C284" s="19"/>
      <x:c r="D284" s="19"/>
      <x:c r="E284" s="20"/>
      <x:c r="F284" s="20"/>
      <x:c r="G284" s="19"/>
      <x:c r="H284" s="19"/>
      <x:c r="I284" s="19"/>
      <x:c r="J284" s="26"/>
      <x:c r="K284" s="19"/>
    </x:row>
    <x:row r="285">
      <x:c r="A285" s="19"/>
      <x:c r="B285" s="19"/>
      <x:c r="C285" s="19"/>
      <x:c r="D285" s="19"/>
      <x:c r="E285" s="20"/>
      <x:c r="F285" s="20"/>
      <x:c r="G285" s="19"/>
      <x:c r="H285" s="19"/>
      <x:c r="I285" s="19"/>
      <x:c r="J285" s="26"/>
      <x:c r="K285" s="19"/>
    </x:row>
    <x:row r="286">
      <x:c r="A286" s="19"/>
      <x:c r="B286" s="19"/>
      <x:c r="C286" s="19"/>
      <x:c r="D286" s="19"/>
      <x:c r="E286" s="20"/>
      <x:c r="F286" s="20"/>
      <x:c r="G286" s="19"/>
      <x:c r="H286" s="19"/>
      <x:c r="I286" s="19"/>
      <x:c r="J286" s="26"/>
      <x:c r="K286" s="19"/>
    </x:row>
    <x:row r="287">
      <x:c r="A287" s="19"/>
      <x:c r="B287" s="19"/>
      <x:c r="C287" s="19"/>
      <x:c r="D287" s="19"/>
      <x:c r="E287" s="20"/>
      <x:c r="F287" s="20"/>
      <x:c r="G287" s="19"/>
      <x:c r="H287" s="19"/>
      <x:c r="I287" s="19"/>
      <x:c r="J287" s="26"/>
      <x:c r="K287" s="19"/>
    </x:row>
    <x:row r="288">
      <x:c r="A288" s="19"/>
      <x:c r="B288" s="19"/>
      <x:c r="C288" s="19"/>
      <x:c r="D288" s="19"/>
      <x:c r="E288" s="20"/>
      <x:c r="F288" s="20"/>
      <x:c r="G288" s="19"/>
      <x:c r="H288" s="19"/>
      <x:c r="I288" s="19"/>
      <x:c r="J288" s="26"/>
      <x:c r="K288" s="19"/>
    </x:row>
    <x:row r="289">
      <x:c r="A289" s="19"/>
      <x:c r="B289" s="19"/>
      <x:c r="C289" s="19"/>
      <x:c r="D289" s="19"/>
      <x:c r="E289" s="20"/>
      <x:c r="F289" s="20"/>
      <x:c r="G289" s="19"/>
      <x:c r="H289" s="19"/>
      <x:c r="I289" s="19"/>
      <x:c r="J289" s="26"/>
      <x:c r="K289" s="19"/>
    </x:row>
    <x:row r="290">
      <x:c r="A290" s="19"/>
      <x:c r="B290" s="19"/>
      <x:c r="C290" s="19"/>
      <x:c r="D290" s="19"/>
      <x:c r="E290" s="20"/>
      <x:c r="F290" s="20"/>
      <x:c r="G290" s="19"/>
      <x:c r="H290" s="19"/>
      <x:c r="I290" s="19"/>
      <x:c r="J290" s="26"/>
      <x:c r="K290" s="19"/>
    </x:row>
    <x:row r="291">
      <x:c r="A291" s="19"/>
      <x:c r="B291" s="19"/>
      <x:c r="C291" s="19"/>
      <x:c r="D291" s="19"/>
      <x:c r="E291" s="20"/>
      <x:c r="F291" s="20"/>
      <x:c r="G291" s="19"/>
      <x:c r="H291" s="19"/>
      <x:c r="I291" s="19"/>
      <x:c r="J291" s="26"/>
      <x:c r="K291" s="19"/>
    </x:row>
    <x:row r="292">
      <x:c r="A292" s="19"/>
      <x:c r="B292" s="19"/>
      <x:c r="C292" s="19"/>
      <x:c r="D292" s="19"/>
      <x:c r="E292" s="20"/>
      <x:c r="F292" s="20"/>
      <x:c r="G292" s="19"/>
      <x:c r="H292" s="19"/>
      <x:c r="I292" s="19"/>
      <x:c r="J292" s="26"/>
      <x:c r="K292" s="19"/>
    </x:row>
    <x:row r="293">
      <x:c r="A293" s="19"/>
      <x:c r="B293" s="19"/>
      <x:c r="C293" s="19"/>
      <x:c r="D293" s="19"/>
      <x:c r="E293" s="20"/>
      <x:c r="F293" s="20"/>
      <x:c r="G293" s="19"/>
      <x:c r="H293" s="19"/>
      <x:c r="I293" s="19"/>
      <x:c r="J293" s="26"/>
      <x:c r="K293" s="19"/>
    </x:row>
    <x:row r="294">
      <x:c r="A294" s="19"/>
      <x:c r="B294" s="19"/>
      <x:c r="C294" s="19"/>
      <x:c r="D294" s="19"/>
      <x:c r="E294" s="20"/>
      <x:c r="F294" s="20"/>
      <x:c r="G294" s="19"/>
      <x:c r="H294" s="19"/>
      <x:c r="I294" s="19"/>
      <x:c r="J294" s="26"/>
      <x:c r="K294" s="19"/>
    </x:row>
    <x:row r="295">
      <x:c r="A295" s="19"/>
      <x:c r="B295" s="19"/>
      <x:c r="C295" s="19"/>
      <x:c r="D295" s="19"/>
      <x:c r="E295" s="20"/>
      <x:c r="F295" s="20"/>
      <x:c r="G295" s="19"/>
      <x:c r="H295" s="19"/>
      <x:c r="I295" s="19"/>
      <x:c r="J295" s="26"/>
      <x:c r="K295" s="19"/>
    </x:row>
    <x:row r="296">
      <x:c r="A296" s="19"/>
      <x:c r="B296" s="19"/>
      <x:c r="C296" s="19"/>
      <x:c r="D296" s="19"/>
      <x:c r="E296" s="20"/>
      <x:c r="F296" s="20"/>
      <x:c r="G296" s="19"/>
      <x:c r="H296" s="19"/>
      <x:c r="I296" s="19"/>
      <x:c r="J296" s="26"/>
      <x:c r="K296" s="19"/>
    </x:row>
    <x:row r="297">
      <x:c r="A297" s="19"/>
      <x:c r="B297" s="19"/>
      <x:c r="C297" s="19"/>
      <x:c r="D297" s="19"/>
      <x:c r="E297" s="20"/>
      <x:c r="F297" s="20"/>
      <x:c r="G297" s="19"/>
      <x:c r="H297" s="19"/>
      <x:c r="I297" s="19"/>
      <x:c r="J297" s="26"/>
      <x:c r="K297" s="19"/>
    </x:row>
    <x:row r="298">
      <x:c r="A298" s="19"/>
      <x:c r="B298" s="19"/>
      <x:c r="C298" s="19"/>
      <x:c r="D298" s="19"/>
      <x:c r="E298" s="20"/>
      <x:c r="F298" s="20"/>
      <x:c r="G298" s="19"/>
      <x:c r="H298" s="19"/>
      <x:c r="I298" s="19"/>
      <x:c r="J298" s="26"/>
      <x:c r="K298" s="19"/>
    </x:row>
    <x:row r="299">
      <x:c r="A299" s="19"/>
      <x:c r="B299" s="19"/>
      <x:c r="C299" s="19"/>
      <x:c r="D299" s="19"/>
      <x:c r="E299" s="20"/>
      <x:c r="F299" s="20"/>
      <x:c r="G299" s="19"/>
      <x:c r="H299" s="19"/>
      <x:c r="I299" s="19"/>
      <x:c r="J299" s="26"/>
      <x:c r="K299" s="19"/>
    </x:row>
    <x:row r="300">
      <x:c r="A300" s="19"/>
      <x:c r="B300" s="19"/>
      <x:c r="C300" s="19"/>
      <x:c r="D300" s="19"/>
      <x:c r="E300" s="20"/>
      <x:c r="F300" s="20"/>
      <x:c r="G300" s="19"/>
      <x:c r="H300" s="19"/>
      <x:c r="I300" s="19"/>
      <x:c r="J300" s="26"/>
      <x:c r="K300" s="19"/>
    </x:row>
    <x:row r="301">
      <x:c r="A301" s="19"/>
      <x:c r="B301" s="19"/>
      <x:c r="C301" s="19"/>
      <x:c r="D301" s="19"/>
      <x:c r="E301" s="20"/>
      <x:c r="F301" s="20"/>
      <x:c r="G301" s="19"/>
      <x:c r="H301" s="19"/>
      <x:c r="I301" s="19"/>
      <x:c r="J301" s="26"/>
      <x:c r="K301" s="19"/>
    </x:row>
    <x:row r="302">
      <x:c r="A302" s="19"/>
      <x:c r="B302" s="19"/>
      <x:c r="C302" s="19"/>
      <x:c r="D302" s="19"/>
      <x:c r="E302" s="20"/>
      <x:c r="F302" s="20"/>
      <x:c r="G302" s="19"/>
      <x:c r="H302" s="19"/>
      <x:c r="I302" s="19"/>
      <x:c r="J302" s="26"/>
      <x:c r="K302" s="19"/>
    </x:row>
    <x:row r="303">
      <x:c r="A303" s="19"/>
      <x:c r="B303" s="19"/>
      <x:c r="C303" s="19"/>
      <x:c r="D303" s="19"/>
      <x:c r="E303" s="20"/>
      <x:c r="F303" s="20"/>
      <x:c r="G303" s="19"/>
      <x:c r="H303" s="19"/>
      <x:c r="I303" s="19"/>
      <x:c r="J303" s="26"/>
      <x:c r="K303" s="19"/>
    </x:row>
    <x:row r="304">
      <x:c r="A304" s="19"/>
      <x:c r="B304" s="19"/>
      <x:c r="C304" s="19"/>
      <x:c r="D304" s="19"/>
      <x:c r="E304" s="20"/>
      <x:c r="F304" s="20"/>
      <x:c r="G304" s="19"/>
      <x:c r="H304" s="19"/>
      <x:c r="I304" s="19"/>
      <x:c r="J304" s="26"/>
      <x:c r="K304" s="19"/>
    </x:row>
    <x:row r="305">
      <x:c r="A305" s="19"/>
      <x:c r="B305" s="19"/>
      <x:c r="C305" s="19"/>
      <x:c r="D305" s="19"/>
      <x:c r="E305" s="20"/>
      <x:c r="F305" s="20"/>
      <x:c r="G305" s="19"/>
      <x:c r="H305" s="19"/>
      <x:c r="I305" s="19"/>
      <x:c r="J305" s="26"/>
      <x:c r="K305" s="19"/>
    </x:row>
    <x:row r="306">
      <x:c r="A306" s="19"/>
      <x:c r="B306" s="19"/>
      <x:c r="C306" s="19"/>
      <x:c r="D306" s="19"/>
      <x:c r="E306" s="20"/>
      <x:c r="F306" s="20"/>
      <x:c r="G306" s="19"/>
      <x:c r="H306" s="19"/>
      <x:c r="I306" s="19"/>
      <x:c r="J306" s="26"/>
      <x:c r="K306" s="19"/>
    </x:row>
    <x:row r="307">
      <x:c r="A307" s="19"/>
      <x:c r="B307" s="19"/>
      <x:c r="C307" s="19"/>
      <x:c r="D307" s="19"/>
      <x:c r="E307" s="20"/>
      <x:c r="F307" s="20"/>
      <x:c r="G307" s="19"/>
      <x:c r="H307" s="19"/>
      <x:c r="I307" s="19"/>
      <x:c r="J307" s="26"/>
      <x:c r="K307" s="19"/>
    </x:row>
    <x:row r="308">
      <x:c r="A308" s="19"/>
      <x:c r="B308" s="19"/>
      <x:c r="C308" s="19"/>
      <x:c r="D308" s="19"/>
      <x:c r="E308" s="20"/>
      <x:c r="F308" s="20"/>
      <x:c r="G308" s="19"/>
      <x:c r="H308" s="19"/>
      <x:c r="I308" s="19"/>
      <x:c r="J308" s="26"/>
      <x:c r="K308" s="19"/>
    </x:row>
    <x:row r="309">
      <x:c r="A309" s="19"/>
      <x:c r="B309" s="19"/>
      <x:c r="C309" s="19"/>
      <x:c r="D309" s="19"/>
      <x:c r="E309" s="20"/>
      <x:c r="F309" s="20"/>
      <x:c r="G309" s="19"/>
      <x:c r="H309" s="19"/>
      <x:c r="I309" s="19"/>
      <x:c r="J309" s="26"/>
      <x:c r="K309" s="19"/>
    </x:row>
    <x:row r="310">
      <x:c r="A310" s="19"/>
      <x:c r="B310" s="19"/>
      <x:c r="C310" s="19"/>
      <x:c r="D310" s="19"/>
      <x:c r="E310" s="20"/>
      <x:c r="F310" s="20"/>
      <x:c r="G310" s="19"/>
      <x:c r="H310" s="19"/>
      <x:c r="I310" s="19"/>
      <x:c r="J310" s="26"/>
      <x:c r="K310" s="19"/>
    </x:row>
    <x:row r="311">
      <x:c r="A311" s="19"/>
      <x:c r="B311" s="19"/>
      <x:c r="C311" s="19"/>
      <x:c r="D311" s="19"/>
      <x:c r="E311" s="20"/>
      <x:c r="F311" s="20"/>
      <x:c r="G311" s="19"/>
      <x:c r="H311" s="19"/>
      <x:c r="I311" s="19"/>
      <x:c r="J311" s="26"/>
      <x:c r="K311" s="19"/>
    </x:row>
    <x:row r="312">
      <x:c r="A312" s="19"/>
      <x:c r="B312" s="19"/>
      <x:c r="C312" s="19"/>
      <x:c r="D312" s="19"/>
      <x:c r="E312" s="20"/>
      <x:c r="F312" s="20"/>
      <x:c r="G312" s="19"/>
      <x:c r="H312" s="19"/>
      <x:c r="I312" s="19"/>
      <x:c r="J312" s="26"/>
      <x:c r="K312" s="19"/>
    </x:row>
    <x:row r="313">
      <x:c r="A313" s="19"/>
      <x:c r="B313" s="19"/>
      <x:c r="C313" s="19"/>
      <x:c r="D313" s="19"/>
      <x:c r="E313" s="20"/>
      <x:c r="F313" s="20"/>
      <x:c r="G313" s="19"/>
      <x:c r="H313" s="19"/>
      <x:c r="I313" s="19"/>
      <x:c r="J313" s="26"/>
      <x:c r="K313" s="19"/>
    </x:row>
    <x:row r="314">
      <x:c r="A314" s="19"/>
      <x:c r="B314" s="19"/>
      <x:c r="C314" s="19"/>
      <x:c r="D314" s="19"/>
      <x:c r="E314" s="20"/>
      <x:c r="F314" s="20"/>
      <x:c r="G314" s="19"/>
      <x:c r="H314" s="19"/>
      <x:c r="I314" s="19"/>
      <x:c r="J314" s="26"/>
      <x:c r="K314" s="19"/>
    </x:row>
    <x:row r="315">
      <x:c r="A315" s="19"/>
      <x:c r="B315" s="19"/>
      <x:c r="C315" s="19"/>
      <x:c r="D315" s="19"/>
      <x:c r="E315" s="20"/>
      <x:c r="F315" s="20"/>
      <x:c r="G315" s="19"/>
      <x:c r="H315" s="19"/>
      <x:c r="I315" s="19"/>
      <x:c r="J315" s="26"/>
      <x:c r="K315" s="19"/>
    </x:row>
    <x:row r="316">
      <x:c r="A316" s="19"/>
      <x:c r="B316" s="19"/>
      <x:c r="C316" s="19"/>
      <x:c r="D316" s="19"/>
      <x:c r="E316" s="20"/>
      <x:c r="F316" s="20"/>
      <x:c r="G316" s="19"/>
      <x:c r="H316" s="19"/>
      <x:c r="I316" s="19"/>
      <x:c r="J316" s="26"/>
      <x:c r="K316" s="19"/>
    </x:row>
    <x:row r="317">
      <x:c r="A317" s="19"/>
      <x:c r="B317" s="19"/>
      <x:c r="C317" s="19"/>
      <x:c r="D317" s="19"/>
      <x:c r="E317" s="20"/>
      <x:c r="F317" s="20"/>
      <x:c r="G317" s="19"/>
      <x:c r="H317" s="19"/>
      <x:c r="I317" s="19"/>
      <x:c r="J317" s="26"/>
      <x:c r="K317" s="19"/>
    </x:row>
    <x:row r="318">
      <x:c r="A318" s="19"/>
      <x:c r="B318" s="19"/>
      <x:c r="C318" s="19"/>
      <x:c r="D318" s="19"/>
      <x:c r="E318" s="20"/>
      <x:c r="F318" s="20"/>
      <x:c r="G318" s="19"/>
      <x:c r="H318" s="19"/>
      <x:c r="I318" s="19"/>
      <x:c r="J318" s="26"/>
      <x:c r="K318" s="19"/>
    </x:row>
    <x:row r="319">
      <x:c r="A319" s="19"/>
      <x:c r="B319" s="19"/>
      <x:c r="C319" s="19"/>
      <x:c r="D319" s="19"/>
      <x:c r="E319" s="20"/>
      <x:c r="F319" s="20"/>
      <x:c r="G319" s="19"/>
      <x:c r="H319" s="19"/>
      <x:c r="I319" s="19"/>
      <x:c r="J319" s="26"/>
      <x:c r="K319" s="19"/>
    </x:row>
    <x:row r="320">
      <x:c r="A320" s="19"/>
      <x:c r="B320" s="19"/>
      <x:c r="C320" s="19"/>
      <x:c r="D320" s="19"/>
      <x:c r="E320" s="20"/>
      <x:c r="F320" s="20"/>
      <x:c r="G320" s="19"/>
      <x:c r="H320" s="19"/>
      <x:c r="I320" s="19"/>
      <x:c r="J320" s="26"/>
      <x:c r="K320" s="19"/>
    </x:row>
    <x:row r="321">
      <x:c r="A321" s="19"/>
      <x:c r="B321" s="19"/>
      <x:c r="C321" s="19"/>
      <x:c r="D321" s="19"/>
      <x:c r="E321" s="20"/>
      <x:c r="F321" s="20"/>
      <x:c r="G321" s="19"/>
      <x:c r="H321" s="19"/>
      <x:c r="I321" s="19"/>
      <x:c r="J321" s="26"/>
      <x:c r="K321" s="19"/>
    </x:row>
    <x:row r="322">
      <x:c r="A322" s="19"/>
      <x:c r="B322" s="19"/>
      <x:c r="C322" s="19"/>
      <x:c r="D322" s="19"/>
      <x:c r="E322" s="20"/>
      <x:c r="F322" s="20"/>
      <x:c r="G322" s="19"/>
      <x:c r="H322" s="19"/>
      <x:c r="I322" s="19"/>
      <x:c r="J322" s="26"/>
      <x:c r="K322" s="19"/>
    </x:row>
    <x:row r="323">
      <x:c r="A323" s="19"/>
      <x:c r="B323" s="19"/>
      <x:c r="C323" s="19"/>
      <x:c r="D323" s="19"/>
      <x:c r="E323" s="20"/>
      <x:c r="F323" s="20"/>
      <x:c r="G323" s="19"/>
      <x:c r="H323" s="19"/>
      <x:c r="I323" s="19"/>
      <x:c r="J323" s="26"/>
      <x:c r="K323" s="19"/>
    </x:row>
    <x:row r="324">
      <x:c r="A324" s="19"/>
      <x:c r="B324" s="19"/>
      <x:c r="C324" s="19"/>
      <x:c r="D324" s="19"/>
      <x:c r="E324" s="20"/>
      <x:c r="F324" s="20"/>
      <x:c r="G324" s="19"/>
      <x:c r="H324" s="19"/>
      <x:c r="I324" s="19"/>
      <x:c r="J324" s="26"/>
      <x:c r="K324" s="19"/>
    </x:row>
    <x:row r="325">
      <x:c r="A325" s="19"/>
      <x:c r="B325" s="19"/>
      <x:c r="C325" s="19"/>
      <x:c r="D325" s="19"/>
      <x:c r="E325" s="20"/>
      <x:c r="F325" s="20"/>
      <x:c r="G325" s="19"/>
      <x:c r="H325" s="19"/>
      <x:c r="I325" s="19"/>
      <x:c r="J325" s="26"/>
      <x:c r="K325" s="19"/>
    </x:row>
    <x:row r="326">
      <x:c r="A326" s="19"/>
      <x:c r="B326" s="19"/>
      <x:c r="C326" s="19"/>
      <x:c r="D326" s="19"/>
      <x:c r="E326" s="20"/>
      <x:c r="F326" s="20"/>
      <x:c r="G326" s="19"/>
      <x:c r="H326" s="19"/>
      <x:c r="I326" s="19"/>
      <x:c r="J326" s="26"/>
      <x:c r="K326" s="19"/>
    </x:row>
    <x:row r="327">
      <x:c r="A327" s="19"/>
      <x:c r="B327" s="19"/>
      <x:c r="C327" s="19"/>
      <x:c r="D327" s="19"/>
      <x:c r="E327" s="20"/>
      <x:c r="F327" s="20"/>
      <x:c r="G327" s="19"/>
      <x:c r="H327" s="19"/>
      <x:c r="I327" s="19"/>
      <x:c r="J327" s="26"/>
      <x:c r="K327" s="19"/>
    </x:row>
    <x:row r="328">
      <x:c r="A328" s="19"/>
      <x:c r="B328" s="19"/>
      <x:c r="C328" s="19"/>
      <x:c r="D328" s="19"/>
      <x:c r="E328" s="20"/>
      <x:c r="F328" s="20"/>
      <x:c r="G328" s="19"/>
      <x:c r="H328" s="19"/>
      <x:c r="I328" s="19"/>
      <x:c r="J328" s="26"/>
      <x:c r="K328" s="19"/>
    </x:row>
    <x:row r="329">
      <x:c r="A329" s="19"/>
      <x:c r="B329" s="19"/>
      <x:c r="C329" s="19"/>
      <x:c r="D329" s="19"/>
      <x:c r="E329" s="20"/>
      <x:c r="F329" s="20"/>
      <x:c r="G329" s="19"/>
      <x:c r="H329" s="19"/>
      <x:c r="I329" s="19"/>
      <x:c r="J329" s="26"/>
      <x:c r="K329" s="19"/>
    </x:row>
    <x:row r="330">
      <x:c r="A330" s="19"/>
      <x:c r="B330" s="19"/>
      <x:c r="C330" s="19"/>
      <x:c r="D330" s="19"/>
      <x:c r="E330" s="20"/>
      <x:c r="F330" s="20"/>
      <x:c r="G330" s="19"/>
      <x:c r="H330" s="19"/>
      <x:c r="I330" s="19"/>
      <x:c r="J330" s="26"/>
      <x:c r="K330" s="19"/>
    </x:row>
    <x:row r="331">
      <x:c r="A331" s="19"/>
      <x:c r="B331" s="19"/>
      <x:c r="C331" s="19"/>
      <x:c r="D331" s="19"/>
      <x:c r="E331" s="20"/>
      <x:c r="F331" s="20"/>
      <x:c r="G331" s="19"/>
      <x:c r="H331" s="19"/>
      <x:c r="I331" s="19"/>
      <x:c r="J331" s="26"/>
      <x:c r="K331" s="19"/>
    </x:row>
    <x:row r="332">
      <x:c r="A332" s="19"/>
      <x:c r="B332" s="19"/>
      <x:c r="C332" s="19"/>
      <x:c r="D332" s="19"/>
      <x:c r="E332" s="20"/>
      <x:c r="F332" s="20"/>
      <x:c r="G332" s="19"/>
      <x:c r="H332" s="19"/>
      <x:c r="I332" s="19"/>
      <x:c r="J332" s="26"/>
      <x:c r="K332" s="19"/>
    </x:row>
    <x:row r="333">
      <x:c r="A333" s="19"/>
      <x:c r="B333" s="19"/>
      <x:c r="C333" s="19"/>
      <x:c r="D333" s="19"/>
      <x:c r="E333" s="20"/>
      <x:c r="F333" s="20"/>
      <x:c r="G333" s="19"/>
      <x:c r="H333" s="19"/>
      <x:c r="I333" s="19"/>
      <x:c r="J333" s="26"/>
      <x:c r="K333" s="19"/>
    </x:row>
    <x:row r="334">
      <x:c r="A334" s="19"/>
      <x:c r="B334" s="19"/>
      <x:c r="C334" s="19"/>
      <x:c r="D334" s="19"/>
      <x:c r="E334" s="20"/>
      <x:c r="F334" s="20"/>
      <x:c r="G334" s="19"/>
      <x:c r="H334" s="19"/>
      <x:c r="I334" s="19"/>
      <x:c r="J334" s="26"/>
      <x:c r="K334" s="19"/>
    </x:row>
    <x:row r="335">
      <x:c r="A335" s="19"/>
      <x:c r="B335" s="19"/>
      <x:c r="C335" s="19"/>
      <x:c r="D335" s="19"/>
      <x:c r="E335" s="20"/>
      <x:c r="F335" s="20"/>
      <x:c r="G335" s="19"/>
      <x:c r="H335" s="19"/>
      <x:c r="I335" s="19"/>
      <x:c r="J335" s="26"/>
      <x:c r="K335" s="19"/>
    </x:row>
    <x:row r="336">
      <x:c r="A336" s="19"/>
      <x:c r="B336" s="19"/>
      <x:c r="C336" s="19"/>
      <x:c r="D336" s="19"/>
      <x:c r="E336" s="20"/>
      <x:c r="F336" s="20"/>
      <x:c r="G336" s="19"/>
      <x:c r="H336" s="19"/>
      <x:c r="I336" s="19"/>
      <x:c r="J336" s="26"/>
      <x:c r="K336" s="19"/>
    </x:row>
    <x:row r="337">
      <x:c r="A337" s="19"/>
      <x:c r="B337" s="19"/>
      <x:c r="C337" s="19"/>
      <x:c r="D337" s="19"/>
      <x:c r="E337" s="20"/>
      <x:c r="F337" s="20"/>
      <x:c r="G337" s="19"/>
      <x:c r="H337" s="19"/>
      <x:c r="I337" s="19"/>
      <x:c r="J337" s="26"/>
      <x:c r="K337" s="19"/>
    </x:row>
    <x:row r="338">
      <x:c r="A338" s="19"/>
      <x:c r="B338" s="19"/>
      <x:c r="C338" s="19"/>
      <x:c r="D338" s="19"/>
      <x:c r="E338" s="20"/>
      <x:c r="F338" s="20"/>
      <x:c r="G338" s="19"/>
      <x:c r="H338" s="19"/>
      <x:c r="I338" s="19"/>
      <x:c r="J338" s="26"/>
      <x:c r="K338" s="19"/>
    </x:row>
    <x:row r="339">
      <x:c r="A339" s="19"/>
      <x:c r="B339" s="19"/>
      <x:c r="C339" s="19"/>
      <x:c r="D339" s="19"/>
      <x:c r="E339" s="20"/>
      <x:c r="F339" s="20"/>
      <x:c r="G339" s="19"/>
      <x:c r="H339" s="19"/>
      <x:c r="I339" s="19"/>
      <x:c r="J339" s="26"/>
      <x:c r="K339" s="19"/>
    </x:row>
    <x:row r="340">
      <x:c r="A340" s="19"/>
      <x:c r="B340" s="19"/>
      <x:c r="C340" s="19"/>
      <x:c r="D340" s="19"/>
      <x:c r="E340" s="20"/>
      <x:c r="F340" s="20"/>
      <x:c r="G340" s="19"/>
      <x:c r="H340" s="19"/>
      <x:c r="I340" s="19"/>
      <x:c r="J340" s="26"/>
      <x:c r="K340" s="19"/>
    </x:row>
    <x:row r="341">
      <x:c r="A341" s="19"/>
      <x:c r="B341" s="19"/>
      <x:c r="C341" s="19"/>
      <x:c r="D341" s="19"/>
      <x:c r="E341" s="20"/>
      <x:c r="F341" s="20"/>
      <x:c r="G341" s="19"/>
      <x:c r="H341" s="19"/>
      <x:c r="I341" s="19"/>
      <x:c r="J341" s="26"/>
      <x:c r="K341" s="19"/>
    </x:row>
    <x:row r="342">
      <x:c r="A342" s="19"/>
      <x:c r="B342" s="19"/>
      <x:c r="C342" s="19"/>
      <x:c r="D342" s="19"/>
      <x:c r="E342" s="20"/>
      <x:c r="F342" s="20"/>
      <x:c r="G342" s="19"/>
      <x:c r="H342" s="19"/>
      <x:c r="I342" s="19"/>
      <x:c r="J342" s="26"/>
      <x:c r="K342" s="19"/>
    </x:row>
    <x:row r="343">
      <x:c r="A343" s="19"/>
      <x:c r="B343" s="19"/>
      <x:c r="C343" s="19"/>
      <x:c r="D343" s="19"/>
      <x:c r="E343" s="20"/>
      <x:c r="F343" s="20"/>
      <x:c r="G343" s="19"/>
      <x:c r="H343" s="19"/>
      <x:c r="I343" s="19"/>
      <x:c r="J343" s="26"/>
      <x:c r="K343" s="19"/>
    </x:row>
    <x:row r="344">
      <x:c r="A344" s="19"/>
      <x:c r="B344" s="19"/>
      <x:c r="C344" s="19"/>
      <x:c r="D344" s="19"/>
      <x:c r="E344" s="20"/>
      <x:c r="F344" s="20"/>
      <x:c r="G344" s="19"/>
      <x:c r="H344" s="19"/>
      <x:c r="I344" s="19"/>
      <x:c r="J344" s="26"/>
      <x:c r="K344" s="19"/>
    </x:row>
    <x:row r="345">
      <x:c r="A345" s="19"/>
      <x:c r="B345" s="19"/>
      <x:c r="C345" s="19"/>
      <x:c r="D345" s="19"/>
      <x:c r="E345" s="20"/>
      <x:c r="F345" s="20"/>
      <x:c r="G345" s="19"/>
      <x:c r="H345" s="19"/>
      <x:c r="I345" s="19"/>
      <x:c r="J345" s="26"/>
      <x:c r="K345" s="19"/>
    </x:row>
    <x:row r="346">
      <x:c r="A346" s="19"/>
      <x:c r="B346" s="19"/>
      <x:c r="C346" s="19"/>
      <x:c r="D346" s="19"/>
      <x:c r="E346" s="20"/>
      <x:c r="F346" s="20"/>
      <x:c r="G346" s="19"/>
      <x:c r="H346" s="19"/>
      <x:c r="I346" s="19"/>
      <x:c r="J346" s="26"/>
      <x:c r="K346" s="19"/>
    </x:row>
    <x:row r="347">
      <x:c r="A347" s="19"/>
      <x:c r="B347" s="19"/>
      <x:c r="C347" s="19"/>
      <x:c r="D347" s="19"/>
      <x:c r="E347" s="20"/>
      <x:c r="F347" s="20"/>
      <x:c r="G347" s="19"/>
      <x:c r="H347" s="19"/>
      <x:c r="I347" s="19"/>
      <x:c r="J347" s="26"/>
      <x:c r="K347" s="19"/>
    </x:row>
    <x:row r="348">
      <x:c r="A348" s="19"/>
      <x:c r="B348" s="19"/>
      <x:c r="C348" s="19"/>
      <x:c r="D348" s="19"/>
      <x:c r="E348" s="20"/>
      <x:c r="F348" s="20"/>
      <x:c r="G348" s="19"/>
      <x:c r="H348" s="19"/>
      <x:c r="I348" s="19"/>
      <x:c r="J348" s="26"/>
      <x:c r="K348" s="19"/>
    </x:row>
    <x:row r="349">
      <x:c r="A349" s="19"/>
      <x:c r="B349" s="19"/>
      <x:c r="C349" s="19"/>
      <x:c r="D349" s="19"/>
      <x:c r="E349" s="20"/>
      <x:c r="F349" s="20"/>
      <x:c r="G349" s="19"/>
      <x:c r="H349" s="19"/>
      <x:c r="I349" s="19"/>
      <x:c r="J349" s="26"/>
      <x:c r="K349" s="19"/>
    </x:row>
    <x:row r="350">
      <x:c r="A350" s="19"/>
      <x:c r="B350" s="19"/>
      <x:c r="C350" s="19"/>
      <x:c r="D350" s="19"/>
      <x:c r="E350" s="20"/>
      <x:c r="F350" s="20"/>
      <x:c r="G350" s="19"/>
      <x:c r="H350" s="19"/>
      <x:c r="I350" s="19"/>
      <x:c r="J350" s="26"/>
      <x:c r="K350" s="19"/>
    </x:row>
    <x:row r="351">
      <x:c r="A351" s="19"/>
      <x:c r="B351" s="19"/>
      <x:c r="C351" s="19"/>
      <x:c r="D351" s="19"/>
      <x:c r="E351" s="20"/>
      <x:c r="F351" s="20"/>
      <x:c r="G351" s="19"/>
      <x:c r="H351" s="19"/>
      <x:c r="I351" s="19"/>
      <x:c r="J351" s="26"/>
      <x:c r="K351" s="19"/>
    </x:row>
    <x:row r="352">
      <x:c r="A352" s="19"/>
      <x:c r="B352" s="19"/>
      <x:c r="C352" s="19"/>
      <x:c r="D352" s="19"/>
      <x:c r="E352" s="20"/>
      <x:c r="F352" s="20"/>
      <x:c r="G352" s="19"/>
      <x:c r="H352" s="19"/>
      <x:c r="I352" s="19"/>
      <x:c r="J352" s="26"/>
      <x:c r="K352" s="19"/>
    </x:row>
    <x:row r="353">
      <x:c r="A353" s="19"/>
      <x:c r="B353" s="19"/>
      <x:c r="C353" s="19"/>
      <x:c r="D353" s="19"/>
      <x:c r="E353" s="20"/>
      <x:c r="F353" s="20"/>
      <x:c r="G353" s="19"/>
      <x:c r="H353" s="19"/>
      <x:c r="I353" s="19"/>
      <x:c r="J353" s="26"/>
      <x:c r="K353" s="19"/>
    </x:row>
    <x:row r="354">
      <x:c r="A354" s="19"/>
      <x:c r="B354" s="19"/>
      <x:c r="C354" s="19"/>
      <x:c r="D354" s="19"/>
      <x:c r="E354" s="20"/>
      <x:c r="F354" s="20"/>
      <x:c r="G354" s="19"/>
      <x:c r="H354" s="19"/>
      <x:c r="I354" s="19"/>
      <x:c r="J354" s="26"/>
      <x:c r="K354" s="19"/>
    </x:row>
    <x:row r="355">
      <x:c r="A355" s="19"/>
      <x:c r="B355" s="19"/>
      <x:c r="C355" s="19"/>
      <x:c r="D355" s="19"/>
      <x:c r="E355" s="20"/>
      <x:c r="F355" s="20"/>
      <x:c r="G355" s="19"/>
      <x:c r="H355" s="19"/>
      <x:c r="I355" s="19"/>
      <x:c r="J355" s="26"/>
      <x:c r="K355" s="19"/>
    </x:row>
    <x:row r="356">
      <x:c r="A356" s="19"/>
      <x:c r="B356" s="19"/>
      <x:c r="C356" s="19"/>
      <x:c r="D356" s="19"/>
      <x:c r="E356" s="20"/>
      <x:c r="F356" s="20"/>
      <x:c r="G356" s="19"/>
      <x:c r="H356" s="19"/>
      <x:c r="I356" s="19"/>
      <x:c r="J356" s="26"/>
      <x:c r="K356" s="19"/>
    </x:row>
    <x:row r="357">
      <x:c r="A357" s="19"/>
      <x:c r="B357" s="19"/>
      <x:c r="C357" s="19"/>
      <x:c r="D357" s="19"/>
      <x:c r="E357" s="20"/>
      <x:c r="F357" s="20"/>
      <x:c r="G357" s="19"/>
      <x:c r="H357" s="19"/>
      <x:c r="I357" s="19"/>
      <x:c r="J357" s="26"/>
      <x:c r="K357" s="19"/>
    </x:row>
    <x:row r="358">
      <x:c r="A358" s="19"/>
      <x:c r="B358" s="19"/>
      <x:c r="C358" s="19"/>
      <x:c r="D358" s="19"/>
      <x:c r="E358" s="20"/>
      <x:c r="F358" s="20"/>
      <x:c r="G358" s="19"/>
      <x:c r="H358" s="19"/>
      <x:c r="I358" s="19"/>
      <x:c r="J358" s="26"/>
      <x:c r="K358" s="19"/>
    </x:row>
    <x:row r="359">
      <x:c r="A359" s="19"/>
      <x:c r="B359" s="19"/>
      <x:c r="C359" s="19"/>
      <x:c r="D359" s="19"/>
      <x:c r="E359" s="20"/>
      <x:c r="F359" s="20"/>
      <x:c r="G359" s="19"/>
      <x:c r="H359" s="19"/>
      <x:c r="I359" s="19"/>
      <x:c r="J359" s="26"/>
      <x:c r="K359" s="19"/>
    </x:row>
    <x:row r="360">
      <x:c r="A360" s="19"/>
      <x:c r="B360" s="19"/>
      <x:c r="C360" s="19"/>
      <x:c r="D360" s="19"/>
      <x:c r="E360" s="20"/>
      <x:c r="F360" s="20"/>
      <x:c r="G360" s="19"/>
      <x:c r="H360" s="19"/>
      <x:c r="I360" s="19"/>
      <x:c r="J360" s="26"/>
      <x:c r="K360" s="19"/>
    </x:row>
    <x:row r="361">
      <x:c r="A361" s="19"/>
      <x:c r="B361" s="19"/>
      <x:c r="C361" s="19"/>
      <x:c r="D361" s="19"/>
      <x:c r="E361" s="20"/>
      <x:c r="F361" s="20"/>
      <x:c r="G361" s="19"/>
      <x:c r="H361" s="19"/>
      <x:c r="I361" s="19"/>
      <x:c r="J361" s="26"/>
      <x:c r="K361" s="19"/>
    </x:row>
    <x:row r="362">
      <x:c r="A362" s="19"/>
      <x:c r="B362" s="19"/>
      <x:c r="C362" s="19"/>
      <x:c r="D362" s="19"/>
      <x:c r="E362" s="20"/>
      <x:c r="F362" s="20"/>
      <x:c r="G362" s="19"/>
      <x:c r="H362" s="19"/>
      <x:c r="I362" s="19"/>
      <x:c r="J362" s="26"/>
      <x:c r="K362" s="19"/>
    </x:row>
    <x:row r="363">
      <x:c r="A363" s="19"/>
      <x:c r="B363" s="19"/>
      <x:c r="C363" s="19"/>
      <x:c r="D363" s="19"/>
      <x:c r="E363" s="20"/>
      <x:c r="F363" s="20"/>
      <x:c r="G363" s="19"/>
      <x:c r="H363" s="19"/>
      <x:c r="I363" s="19"/>
      <x:c r="J363" s="26"/>
      <x:c r="K363" s="19"/>
    </x:row>
    <x:row r="364">
      <x:c r="A364" s="19"/>
      <x:c r="B364" s="19"/>
      <x:c r="C364" s="19"/>
      <x:c r="D364" s="19"/>
      <x:c r="E364" s="20"/>
      <x:c r="F364" s="20"/>
      <x:c r="G364" s="19"/>
      <x:c r="H364" s="19"/>
      <x:c r="I364" s="19"/>
      <x:c r="J364" s="26"/>
      <x:c r="K364" s="19"/>
    </x:row>
    <x:row r="365">
      <x:c r="A365" s="19"/>
      <x:c r="B365" s="19"/>
      <x:c r="C365" s="19"/>
      <x:c r="D365" s="19"/>
      <x:c r="E365" s="20"/>
      <x:c r="F365" s="20"/>
      <x:c r="G365" s="19"/>
      <x:c r="H365" s="19"/>
      <x:c r="I365" s="19"/>
      <x:c r="J365" s="26"/>
      <x:c r="K365" s="19"/>
    </x:row>
    <x:row r="366">
      <x:c r="A366" s="19"/>
      <x:c r="B366" s="19"/>
      <x:c r="C366" s="19"/>
      <x:c r="D366" s="19"/>
      <x:c r="E366" s="20"/>
      <x:c r="F366" s="20"/>
      <x:c r="G366" s="19"/>
      <x:c r="H366" s="19"/>
      <x:c r="I366" s="19"/>
      <x:c r="J366" s="26"/>
      <x:c r="K366" s="19"/>
    </x:row>
    <x:row r="367">
      <x:c r="A367" s="19"/>
      <x:c r="B367" s="19"/>
      <x:c r="C367" s="19"/>
      <x:c r="D367" s="19"/>
      <x:c r="E367" s="20"/>
      <x:c r="F367" s="20"/>
      <x:c r="G367" s="19"/>
      <x:c r="H367" s="19"/>
      <x:c r="I367" s="19"/>
      <x:c r="J367" s="26"/>
      <x:c r="K367" s="19"/>
    </x:row>
    <x:row r="368">
      <x:c r="A368" s="19"/>
      <x:c r="B368" s="19"/>
      <x:c r="C368" s="19"/>
      <x:c r="D368" s="19"/>
      <x:c r="E368" s="20"/>
      <x:c r="F368" s="20"/>
      <x:c r="G368" s="19"/>
      <x:c r="H368" s="19"/>
      <x:c r="I368" s="19"/>
      <x:c r="J368" s="26"/>
      <x:c r="K368" s="19"/>
    </x:row>
    <x:row r="369">
      <x:c r="A369" s="19"/>
      <x:c r="B369" s="19"/>
      <x:c r="C369" s="19"/>
      <x:c r="D369" s="19"/>
      <x:c r="E369" s="20"/>
      <x:c r="F369" s="20"/>
      <x:c r="G369" s="19"/>
      <x:c r="H369" s="19"/>
      <x:c r="I369" s="19"/>
      <x:c r="J369" s="26"/>
      <x:c r="K369" s="19"/>
    </x:row>
    <x:row r="370">
      <x:c r="A370" s="19"/>
      <x:c r="B370" s="19"/>
      <x:c r="C370" s="19"/>
      <x:c r="D370" s="19"/>
      <x:c r="E370" s="20"/>
      <x:c r="F370" s="20"/>
      <x:c r="G370" s="19"/>
      <x:c r="H370" s="19"/>
      <x:c r="I370" s="19"/>
      <x:c r="J370" s="26"/>
      <x:c r="K370" s="19"/>
    </x:row>
    <x:row r="371">
      <x:c r="A371" s="19"/>
      <x:c r="B371" s="19"/>
      <x:c r="C371" s="19"/>
      <x:c r="D371" s="19"/>
      <x:c r="E371" s="20"/>
      <x:c r="F371" s="20"/>
      <x:c r="G371" s="19"/>
      <x:c r="H371" s="19"/>
      <x:c r="I371" s="19"/>
      <x:c r="J371" s="26"/>
      <x:c r="K371" s="19"/>
    </x:row>
    <x:row r="372">
      <x:c r="A372" s="19"/>
      <x:c r="B372" s="19"/>
      <x:c r="C372" s="19"/>
      <x:c r="D372" s="19"/>
      <x:c r="E372" s="20"/>
      <x:c r="F372" s="20"/>
      <x:c r="G372" s="19"/>
      <x:c r="H372" s="19"/>
      <x:c r="I372" s="19"/>
      <x:c r="J372" s="26"/>
      <x:c r="K372" s="19"/>
    </x:row>
    <x:row r="373">
      <x:c r="A373" s="19"/>
      <x:c r="B373" s="19"/>
      <x:c r="C373" s="19"/>
      <x:c r="D373" s="19"/>
      <x:c r="E373" s="20"/>
      <x:c r="F373" s="20"/>
      <x:c r="G373" s="19"/>
      <x:c r="H373" s="19"/>
      <x:c r="I373" s="19"/>
      <x:c r="J373" s="26"/>
      <x:c r="K373" s="19"/>
    </x:row>
    <x:row r="374">
      <x:c r="A374" s="19"/>
      <x:c r="B374" s="19"/>
      <x:c r="C374" s="19"/>
      <x:c r="D374" s="19"/>
      <x:c r="E374" s="20"/>
      <x:c r="F374" s="20"/>
      <x:c r="G374" s="19"/>
      <x:c r="H374" s="19"/>
      <x:c r="I374" s="19"/>
      <x:c r="J374" s="26"/>
      <x:c r="K374" s="19"/>
    </x:row>
    <x:row r="375">
      <x:c r="A375" s="19"/>
      <x:c r="B375" s="19"/>
      <x:c r="C375" s="19"/>
      <x:c r="D375" s="19"/>
      <x:c r="E375" s="20"/>
      <x:c r="F375" s="20"/>
      <x:c r="G375" s="19"/>
      <x:c r="H375" s="19"/>
      <x:c r="I375" s="19"/>
      <x:c r="J375" s="26"/>
      <x:c r="K375" s="19"/>
    </x:row>
    <x:row r="376">
      <x:c r="A376" s="19"/>
      <x:c r="B376" s="19"/>
      <x:c r="C376" s="19"/>
      <x:c r="D376" s="19"/>
      <x:c r="E376" s="20"/>
      <x:c r="F376" s="20"/>
      <x:c r="G376" s="19"/>
      <x:c r="H376" s="19"/>
      <x:c r="I376" s="19"/>
      <x:c r="J376" s="26"/>
      <x:c r="K376" s="19"/>
    </x:row>
    <x:row r="377">
      <x:c r="A377" s="19"/>
      <x:c r="B377" s="19"/>
      <x:c r="C377" s="19"/>
      <x:c r="D377" s="19"/>
      <x:c r="E377" s="20"/>
      <x:c r="F377" s="20"/>
      <x:c r="G377" s="19"/>
      <x:c r="H377" s="19"/>
      <x:c r="I377" s="19"/>
      <x:c r="J377" s="26"/>
      <x:c r="K377" s="19"/>
    </x:row>
    <x:row r="378">
      <x:c r="A378" s="19"/>
      <x:c r="B378" s="19"/>
      <x:c r="C378" s="19"/>
      <x:c r="D378" s="19"/>
      <x:c r="E378" s="20"/>
      <x:c r="F378" s="20"/>
      <x:c r="G378" s="19"/>
      <x:c r="H378" s="19"/>
      <x:c r="I378" s="19"/>
      <x:c r="J378" s="26"/>
      <x:c r="K378" s="19"/>
    </x:row>
    <x:row r="379">
      <x:c r="A379" s="19"/>
      <x:c r="B379" s="19"/>
      <x:c r="C379" s="19"/>
      <x:c r="D379" s="19"/>
      <x:c r="E379" s="20"/>
      <x:c r="F379" s="20"/>
      <x:c r="G379" s="19"/>
      <x:c r="H379" s="19"/>
      <x:c r="I379" s="19"/>
      <x:c r="J379" s="26"/>
      <x:c r="K379" s="19"/>
    </x:row>
    <x:row r="380">
      <x:c r="A380" s="19"/>
      <x:c r="B380" s="19"/>
      <x:c r="C380" s="19"/>
      <x:c r="D380" s="19"/>
      <x:c r="E380" s="20"/>
      <x:c r="F380" s="20"/>
      <x:c r="G380" s="19"/>
      <x:c r="H380" s="19"/>
      <x:c r="I380" s="19"/>
      <x:c r="J380" s="26"/>
      <x:c r="K380" s="19"/>
    </x:row>
    <x:row r="381">
      <x:c r="A381" s="19"/>
      <x:c r="B381" s="19"/>
      <x:c r="C381" s="19"/>
      <x:c r="D381" s="19"/>
      <x:c r="E381" s="20"/>
      <x:c r="F381" s="20"/>
      <x:c r="G381" s="19"/>
      <x:c r="H381" s="19"/>
      <x:c r="I381" s="19"/>
      <x:c r="J381" s="26"/>
      <x:c r="K381" s="19"/>
    </x:row>
    <x:row r="382">
      <x:c r="A382" s="19"/>
      <x:c r="B382" s="19"/>
      <x:c r="C382" s="19"/>
      <x:c r="D382" s="19"/>
      <x:c r="E382" s="20"/>
      <x:c r="F382" s="20"/>
      <x:c r="G382" s="19"/>
      <x:c r="H382" s="19"/>
      <x:c r="I382" s="19"/>
      <x:c r="J382" s="26"/>
      <x:c r="K382" s="19"/>
    </x:row>
    <x:row r="383">
      <x:c r="A383" s="19"/>
      <x:c r="B383" s="19"/>
      <x:c r="C383" s="19"/>
      <x:c r="D383" s="19"/>
      <x:c r="E383" s="20"/>
      <x:c r="F383" s="20"/>
      <x:c r="G383" s="19"/>
      <x:c r="H383" s="19"/>
      <x:c r="I383" s="19"/>
      <x:c r="J383" s="26"/>
      <x:c r="K383" s="19"/>
    </x:row>
    <x:row r="384">
      <x:c r="A384" s="19"/>
      <x:c r="B384" s="19"/>
      <x:c r="C384" s="19"/>
      <x:c r="D384" s="19"/>
      <x:c r="E384" s="20"/>
      <x:c r="F384" s="20"/>
      <x:c r="G384" s="19"/>
      <x:c r="H384" s="19"/>
      <x:c r="I384" s="19"/>
      <x:c r="J384" s="26"/>
      <x:c r="K384" s="19"/>
    </x:row>
    <x:row r="385">
      <x:c r="A385" s="19"/>
      <x:c r="B385" s="19"/>
      <x:c r="C385" s="19"/>
      <x:c r="D385" s="19"/>
      <x:c r="E385" s="20"/>
      <x:c r="F385" s="20"/>
      <x:c r="G385" s="19"/>
      <x:c r="H385" s="19"/>
      <x:c r="I385" s="19"/>
      <x:c r="J385" s="26"/>
      <x:c r="K385" s="19"/>
    </x:row>
    <x:row r="386">
      <x:c r="A386" s="19"/>
      <x:c r="B386" s="19"/>
      <x:c r="C386" s="19"/>
      <x:c r="D386" s="19"/>
      <x:c r="E386" s="20"/>
      <x:c r="F386" s="20"/>
      <x:c r="G386" s="19"/>
      <x:c r="H386" s="19"/>
      <x:c r="I386" s="19"/>
      <x:c r="J386" s="26"/>
      <x:c r="K386" s="19"/>
    </x:row>
    <x:row r="387">
      <x:c r="A387" s="19"/>
      <x:c r="B387" s="19"/>
      <x:c r="C387" s="19"/>
      <x:c r="D387" s="19"/>
      <x:c r="E387" s="20"/>
      <x:c r="F387" s="20"/>
      <x:c r="G387" s="19"/>
      <x:c r="H387" s="19"/>
      <x:c r="I387" s="19"/>
      <x:c r="J387" s="26"/>
      <x:c r="K387" s="19"/>
    </x:row>
    <x:row r="388">
      <x:c r="A388" s="19"/>
      <x:c r="B388" s="19"/>
      <x:c r="C388" s="19"/>
      <x:c r="D388" s="19"/>
      <x:c r="E388" s="20"/>
      <x:c r="F388" s="20"/>
      <x:c r="G388" s="19"/>
      <x:c r="H388" s="19"/>
      <x:c r="I388" s="19"/>
      <x:c r="J388" s="26"/>
      <x:c r="K388" s="19"/>
    </x:row>
    <x:row r="389">
      <x:c r="A389" s="19"/>
      <x:c r="B389" s="19"/>
      <x:c r="C389" s="19"/>
      <x:c r="D389" s="19"/>
      <x:c r="E389" s="20"/>
      <x:c r="F389" s="20"/>
      <x:c r="G389" s="19"/>
      <x:c r="H389" s="19"/>
      <x:c r="I389" s="19"/>
      <x:c r="J389" s="26"/>
      <x:c r="K389" s="19"/>
    </x:row>
    <x:row r="390">
      <x:c r="A390" s="19"/>
      <x:c r="B390" s="19"/>
      <x:c r="C390" s="19"/>
      <x:c r="D390" s="19"/>
      <x:c r="E390" s="20"/>
      <x:c r="F390" s="20"/>
      <x:c r="G390" s="19"/>
      <x:c r="H390" s="19"/>
      <x:c r="I390" s="19"/>
      <x:c r="J390" s="26"/>
      <x:c r="K390" s="19"/>
    </x:row>
    <x:row r="391">
      <x:c r="A391" s="19"/>
      <x:c r="B391" s="19"/>
      <x:c r="C391" s="19"/>
      <x:c r="D391" s="19"/>
      <x:c r="E391" s="20"/>
      <x:c r="F391" s="20"/>
      <x:c r="G391" s="19"/>
      <x:c r="H391" s="19"/>
      <x:c r="I391" s="19"/>
      <x:c r="J391" s="26"/>
      <x:c r="K391" s="19"/>
    </x:row>
    <x:row r="392">
      <x:c r="A392" s="19"/>
      <x:c r="B392" s="19"/>
      <x:c r="C392" s="19"/>
      <x:c r="D392" s="19"/>
      <x:c r="E392" s="20"/>
      <x:c r="F392" s="20"/>
      <x:c r="G392" s="19"/>
      <x:c r="H392" s="19"/>
      <x:c r="I392" s="19"/>
      <x:c r="J392" s="26"/>
      <x:c r="K392" s="19"/>
    </x:row>
    <x:row r="393">
      <x:c r="A393" s="19"/>
      <x:c r="B393" s="19"/>
      <x:c r="C393" s="19"/>
      <x:c r="D393" s="19"/>
      <x:c r="E393" s="20"/>
      <x:c r="F393" s="20"/>
      <x:c r="G393" s="19"/>
      <x:c r="H393" s="19"/>
      <x:c r="I393" s="19"/>
      <x:c r="J393" s="26"/>
      <x:c r="K393" s="19"/>
    </x:row>
    <x:row r="394">
      <x:c r="A394" s="19"/>
      <x:c r="B394" s="19"/>
      <x:c r="C394" s="19"/>
      <x:c r="D394" s="19"/>
      <x:c r="E394" s="20"/>
      <x:c r="F394" s="20"/>
      <x:c r="G394" s="19"/>
      <x:c r="H394" s="19"/>
      <x:c r="I394" s="19"/>
      <x:c r="J394" s="26"/>
      <x:c r="K394" s="19"/>
    </x:row>
    <x:row r="395">
      <x:c r="A395" s="19"/>
      <x:c r="B395" s="19"/>
      <x:c r="C395" s="19"/>
      <x:c r="D395" s="19"/>
      <x:c r="E395" s="20"/>
      <x:c r="F395" s="20"/>
      <x:c r="G395" s="19"/>
      <x:c r="H395" s="19"/>
      <x:c r="I395" s="19"/>
      <x:c r="J395" s="26"/>
      <x:c r="K395" s="19"/>
    </x:row>
    <x:row r="396">
      <x:c r="A396" s="19"/>
      <x:c r="B396" s="19"/>
      <x:c r="C396" s="19"/>
      <x:c r="D396" s="19"/>
      <x:c r="E396" s="20"/>
      <x:c r="F396" s="20"/>
      <x:c r="G396" s="19"/>
      <x:c r="H396" s="19"/>
      <x:c r="I396" s="19"/>
      <x:c r="J396" s="26"/>
      <x:c r="K396" s="19"/>
    </x:row>
    <x:row r="397">
      <x:c r="A397" s="19"/>
      <x:c r="B397" s="19"/>
      <x:c r="C397" s="19"/>
      <x:c r="D397" s="19"/>
      <x:c r="E397" s="20"/>
      <x:c r="F397" s="20"/>
      <x:c r="G397" s="19"/>
      <x:c r="H397" s="19"/>
      <x:c r="I397" s="19"/>
      <x:c r="J397" s="26"/>
      <x:c r="K397" s="19"/>
    </x:row>
    <x:row r="398">
      <x:c r="A398" s="19"/>
      <x:c r="B398" s="19"/>
      <x:c r="C398" s="19"/>
      <x:c r="D398" s="19"/>
      <x:c r="E398" s="20"/>
      <x:c r="F398" s="20"/>
      <x:c r="G398" s="19"/>
      <x:c r="H398" s="19"/>
      <x:c r="I398" s="19"/>
      <x:c r="J398" s="26"/>
      <x:c r="K398" s="19"/>
    </x:row>
    <x:row r="399">
      <x:c r="A399" s="19"/>
      <x:c r="B399" s="19"/>
      <x:c r="C399" s="19"/>
      <x:c r="D399" s="19"/>
      <x:c r="E399" s="20"/>
      <x:c r="F399" s="20"/>
      <x:c r="G399" s="19"/>
      <x:c r="H399" s="19"/>
      <x:c r="I399" s="19"/>
      <x:c r="J399" s="26"/>
      <x:c r="K399" s="19"/>
    </x:row>
    <x:row r="400">
      <x:c r="A400" s="19"/>
      <x:c r="B400" s="19"/>
      <x:c r="C400" s="19"/>
      <x:c r="D400" s="19"/>
      <x:c r="E400" s="20"/>
      <x:c r="F400" s="20"/>
      <x:c r="G400" s="19"/>
      <x:c r="H400" s="19"/>
      <x:c r="I400" s="19"/>
      <x:c r="J400" s="26"/>
      <x:c r="K400" s="19"/>
    </x:row>
    <x:row r="401">
      <x:c r="A401" s="19"/>
      <x:c r="B401" s="19"/>
      <x:c r="C401" s="19"/>
      <x:c r="D401" s="19"/>
      <x:c r="E401" s="20"/>
      <x:c r="F401" s="20"/>
      <x:c r="G401" s="19"/>
      <x:c r="H401" s="19"/>
      <x:c r="I401" s="19"/>
      <x:c r="J401" s="26"/>
      <x:c r="K401" s="19"/>
    </x:row>
    <x:row r="402">
      <x:c r="A402" s="19"/>
      <x:c r="B402" s="19"/>
      <x:c r="C402" s="19"/>
      <x:c r="D402" s="19"/>
      <x:c r="E402" s="20"/>
      <x:c r="F402" s="20"/>
      <x:c r="G402" s="19"/>
      <x:c r="H402" s="19"/>
      <x:c r="I402" s="19"/>
      <x:c r="J402" s="26"/>
      <x:c r="K402" s="19"/>
    </x:row>
    <x:row r="403">
      <x:c r="A403" s="19"/>
      <x:c r="B403" s="19"/>
      <x:c r="C403" s="19"/>
      <x:c r="D403" s="19"/>
      <x:c r="E403" s="20"/>
      <x:c r="F403" s="20"/>
      <x:c r="G403" s="19"/>
      <x:c r="H403" s="19"/>
      <x:c r="I403" s="19"/>
      <x:c r="J403" s="26"/>
      <x:c r="K403" s="19"/>
    </x:row>
    <x:row r="404">
      <x:c r="A404" s="19"/>
      <x:c r="B404" s="19"/>
      <x:c r="C404" s="19"/>
      <x:c r="D404" s="19"/>
      <x:c r="E404" s="20"/>
      <x:c r="F404" s="20"/>
      <x:c r="G404" s="19"/>
      <x:c r="H404" s="19"/>
      <x:c r="I404" s="19"/>
      <x:c r="J404" s="26"/>
      <x:c r="K404" s="19"/>
    </x:row>
    <x:row r="405">
      <x:c r="A405" s="19"/>
      <x:c r="B405" s="19"/>
      <x:c r="C405" s="19"/>
      <x:c r="D405" s="19"/>
      <x:c r="E405" s="20"/>
      <x:c r="F405" s="20"/>
      <x:c r="G405" s="19"/>
      <x:c r="H405" s="19"/>
      <x:c r="I405" s="19"/>
      <x:c r="J405" s="26"/>
      <x:c r="K405" s="19"/>
    </x:row>
    <x:row r="406">
      <x:c r="A406" s="19"/>
      <x:c r="B406" s="19"/>
      <x:c r="C406" s="19"/>
      <x:c r="D406" s="19"/>
      <x:c r="E406" s="20"/>
      <x:c r="F406" s="20"/>
      <x:c r="G406" s="19"/>
      <x:c r="H406" s="19"/>
      <x:c r="I406" s="19"/>
      <x:c r="J406" s="26"/>
      <x:c r="K406" s="19"/>
    </x:row>
    <x:row r="407">
      <x:c r="A407" s="19"/>
      <x:c r="B407" s="19"/>
      <x:c r="C407" s="19"/>
      <x:c r="D407" s="19"/>
      <x:c r="E407" s="20"/>
      <x:c r="F407" s="20"/>
      <x:c r="G407" s="19"/>
      <x:c r="H407" s="19"/>
      <x:c r="I407" s="19"/>
      <x:c r="J407" s="26"/>
      <x:c r="K407" s="19"/>
    </x:row>
    <x:row r="408">
      <x:c r="A408" s="19"/>
      <x:c r="B408" s="19"/>
      <x:c r="C408" s="19"/>
      <x:c r="D408" s="19"/>
      <x:c r="E408" s="20"/>
      <x:c r="F408" s="20"/>
      <x:c r="G408" s="19"/>
      <x:c r="H408" s="19"/>
      <x:c r="I408" s="19"/>
      <x:c r="J408" s="26"/>
      <x:c r="K408" s="19"/>
    </x:row>
    <x:row r="409">
      <x:c r="A409" s="19"/>
      <x:c r="B409" s="19"/>
      <x:c r="C409" s="19"/>
      <x:c r="D409" s="19"/>
      <x:c r="E409" s="20"/>
      <x:c r="F409" s="20"/>
      <x:c r="G409" s="19"/>
      <x:c r="H409" s="19"/>
      <x:c r="I409" s="19"/>
      <x:c r="J409" s="26"/>
      <x:c r="K409" s="19"/>
    </x:row>
    <x:row r="410">
      <x:c r="A410" s="19"/>
      <x:c r="B410" s="19"/>
      <x:c r="C410" s="19"/>
      <x:c r="D410" s="19"/>
      <x:c r="E410" s="20"/>
      <x:c r="F410" s="20"/>
      <x:c r="G410" s="19"/>
      <x:c r="H410" s="19"/>
      <x:c r="I410" s="19"/>
      <x:c r="J410" s="26"/>
      <x:c r="K410" s="19"/>
    </x:row>
    <x:row r="411">
      <x:c r="A411" s="19"/>
      <x:c r="B411" s="19"/>
      <x:c r="C411" s="19"/>
      <x:c r="D411" s="19"/>
      <x:c r="E411" s="20"/>
      <x:c r="F411" s="20"/>
      <x:c r="G411" s="19"/>
      <x:c r="H411" s="19"/>
      <x:c r="I411" s="19"/>
      <x:c r="J411" s="26"/>
      <x:c r="K411" s="19"/>
    </x:row>
    <x:row r="412">
      <x:c r="A412" s="19"/>
      <x:c r="B412" s="19"/>
      <x:c r="C412" s="19"/>
      <x:c r="D412" s="19"/>
      <x:c r="E412" s="20"/>
      <x:c r="F412" s="20"/>
      <x:c r="G412" s="19"/>
      <x:c r="H412" s="19"/>
      <x:c r="I412" s="19"/>
      <x:c r="J412" s="26"/>
      <x:c r="K412" s="19"/>
    </x:row>
    <x:row r="413">
      <x:c r="A413" s="19"/>
      <x:c r="B413" s="19"/>
      <x:c r="C413" s="19"/>
      <x:c r="D413" s="19"/>
      <x:c r="E413" s="20"/>
      <x:c r="F413" s="20"/>
      <x:c r="G413" s="19"/>
      <x:c r="H413" s="19"/>
      <x:c r="I413" s="19"/>
      <x:c r="J413" s="26"/>
      <x:c r="K413" s="19"/>
    </x:row>
    <x:row r="414">
      <x:c r="A414" s="19"/>
      <x:c r="B414" s="19"/>
      <x:c r="C414" s="19"/>
      <x:c r="D414" s="19"/>
      <x:c r="E414" s="20"/>
      <x:c r="F414" s="20"/>
      <x:c r="G414" s="19"/>
      <x:c r="H414" s="19"/>
      <x:c r="I414" s="19"/>
      <x:c r="J414" s="26"/>
      <x:c r="K414" s="19"/>
    </x:row>
    <x:row r="415">
      <x:c r="A415" s="19"/>
      <x:c r="B415" s="19"/>
      <x:c r="C415" s="19"/>
      <x:c r="D415" s="19"/>
      <x:c r="E415" s="20"/>
      <x:c r="F415" s="20"/>
      <x:c r="G415" s="19"/>
      <x:c r="H415" s="19"/>
      <x:c r="I415" s="19"/>
      <x:c r="J415" s="26"/>
      <x:c r="K415" s="19"/>
    </x:row>
    <x:row r="416">
      <x:c r="A416" s="19"/>
      <x:c r="B416" s="19"/>
      <x:c r="C416" s="19"/>
      <x:c r="D416" s="19"/>
      <x:c r="E416" s="20"/>
      <x:c r="F416" s="20"/>
      <x:c r="G416" s="19"/>
      <x:c r="H416" s="19"/>
      <x:c r="I416" s="19"/>
      <x:c r="J416" s="26"/>
      <x:c r="K416" s="19"/>
    </x:row>
    <x:row r="417">
      <x:c r="A417" s="19"/>
      <x:c r="B417" s="19"/>
      <x:c r="C417" s="19"/>
      <x:c r="D417" s="19"/>
      <x:c r="E417" s="20"/>
      <x:c r="F417" s="20"/>
      <x:c r="G417" s="19"/>
      <x:c r="H417" s="19"/>
      <x:c r="I417" s="19"/>
      <x:c r="J417" s="26"/>
      <x:c r="K417" s="19"/>
    </x:row>
    <x:row r="418">
      <x:c r="A418" s="19"/>
      <x:c r="B418" s="19"/>
      <x:c r="C418" s="19"/>
      <x:c r="D418" s="19"/>
      <x:c r="E418" s="20"/>
      <x:c r="F418" s="20"/>
      <x:c r="G418" s="19"/>
      <x:c r="H418" s="19"/>
      <x:c r="I418" s="19"/>
      <x:c r="J418" s="26"/>
      <x:c r="K418" s="19"/>
    </x:row>
    <x:row r="419">
      <x:c r="A419" s="19"/>
      <x:c r="B419" s="19"/>
      <x:c r="C419" s="19"/>
      <x:c r="D419" s="19"/>
      <x:c r="E419" s="20"/>
      <x:c r="F419" s="20"/>
      <x:c r="G419" s="19"/>
      <x:c r="H419" s="19"/>
      <x:c r="I419" s="19"/>
      <x:c r="J419" s="26"/>
      <x:c r="K419" s="19"/>
    </x:row>
    <x:row r="420">
      <x:c r="A420" s="19"/>
      <x:c r="B420" s="19"/>
      <x:c r="C420" s="19"/>
      <x:c r="D420" s="19"/>
      <x:c r="E420" s="20"/>
      <x:c r="F420" s="20"/>
      <x:c r="G420" s="19"/>
      <x:c r="H420" s="19"/>
      <x:c r="I420" s="19"/>
      <x:c r="J420" s="26"/>
      <x:c r="K420" s="19"/>
    </x:row>
    <x:row r="421">
      <x:c r="A421" s="19"/>
      <x:c r="B421" s="19"/>
      <x:c r="C421" s="19"/>
      <x:c r="D421" s="19"/>
      <x:c r="E421" s="20"/>
      <x:c r="F421" s="20"/>
      <x:c r="G421" s="19"/>
      <x:c r="H421" s="19"/>
      <x:c r="I421" s="19"/>
      <x:c r="J421" s="26"/>
      <x:c r="K421" s="19"/>
    </x:row>
    <x:row r="422">
      <x:c r="A422" s="19"/>
      <x:c r="B422" s="19"/>
      <x:c r="C422" s="19"/>
      <x:c r="D422" s="19"/>
      <x:c r="E422" s="20"/>
      <x:c r="F422" s="20"/>
      <x:c r="G422" s="19"/>
      <x:c r="H422" s="19"/>
      <x:c r="I422" s="19"/>
      <x:c r="J422" s="26"/>
      <x:c r="K422" s="19"/>
    </x:row>
    <x:row r="423">
      <x:c r="A423" s="19"/>
      <x:c r="B423" s="19"/>
      <x:c r="C423" s="19"/>
      <x:c r="D423" s="19"/>
      <x:c r="E423" s="20"/>
      <x:c r="F423" s="20"/>
      <x:c r="G423" s="19"/>
      <x:c r="H423" s="19"/>
      <x:c r="I423" s="19"/>
      <x:c r="J423" s="26"/>
      <x:c r="K423" s="19"/>
    </x:row>
    <x:row r="424">
      <x:c r="A424" s="19"/>
      <x:c r="B424" s="19"/>
      <x:c r="C424" s="19"/>
      <x:c r="D424" s="19"/>
      <x:c r="E424" s="20"/>
      <x:c r="F424" s="20"/>
      <x:c r="G424" s="19"/>
      <x:c r="H424" s="19"/>
      <x:c r="I424" s="19"/>
      <x:c r="J424" s="26"/>
      <x:c r="K424" s="19"/>
    </x:row>
    <x:row r="425">
      <x:c r="A425" s="19"/>
      <x:c r="B425" s="19"/>
      <x:c r="C425" s="19"/>
      <x:c r="D425" s="19"/>
      <x:c r="E425" s="20"/>
      <x:c r="F425" s="20"/>
      <x:c r="G425" s="19"/>
      <x:c r="H425" s="19"/>
      <x:c r="I425" s="19"/>
      <x:c r="J425" s="26"/>
      <x:c r="K425" s="19"/>
    </x:row>
    <x:row r="426">
      <x:c r="A426" s="19"/>
      <x:c r="B426" s="19"/>
      <x:c r="C426" s="19"/>
      <x:c r="D426" s="19"/>
      <x:c r="E426" s="20"/>
      <x:c r="F426" s="20"/>
      <x:c r="G426" s="19"/>
      <x:c r="H426" s="19"/>
      <x:c r="I426" s="19"/>
      <x:c r="J426" s="26"/>
      <x:c r="K426" s="19"/>
    </x:row>
    <x:row r="427">
      <x:c r="A427" s="19"/>
      <x:c r="B427" s="19"/>
      <x:c r="C427" s="19"/>
      <x:c r="D427" s="19"/>
      <x:c r="E427" s="20"/>
      <x:c r="F427" s="20"/>
      <x:c r="G427" s="19"/>
      <x:c r="H427" s="19"/>
      <x:c r="I427" s="19"/>
      <x:c r="J427" s="26"/>
      <x:c r="K427" s="19"/>
    </x:row>
    <x:row r="428">
      <x:c r="A428" s="19"/>
      <x:c r="B428" s="19"/>
      <x:c r="C428" s="19"/>
      <x:c r="D428" s="19"/>
      <x:c r="E428" s="20"/>
      <x:c r="F428" s="20"/>
      <x:c r="G428" s="19"/>
      <x:c r="H428" s="19"/>
      <x:c r="I428" s="19"/>
      <x:c r="J428" s="26"/>
      <x:c r="K428" s="19"/>
    </x:row>
    <x:row r="429">
      <x:c r="A429" s="19"/>
      <x:c r="B429" s="19"/>
      <x:c r="C429" s="19"/>
      <x:c r="D429" s="19"/>
      <x:c r="E429" s="20"/>
      <x:c r="F429" s="20"/>
      <x:c r="G429" s="19"/>
      <x:c r="H429" s="19"/>
      <x:c r="I429" s="19"/>
      <x:c r="J429" s="26"/>
      <x:c r="K429" s="19"/>
    </x:row>
    <x:row r="430">
      <x:c r="A430" s="19"/>
      <x:c r="B430" s="19"/>
      <x:c r="C430" s="19"/>
      <x:c r="D430" s="19"/>
      <x:c r="E430" s="20"/>
      <x:c r="F430" s="20"/>
      <x:c r="G430" s="19"/>
      <x:c r="H430" s="19"/>
      <x:c r="I430" s="19"/>
      <x:c r="J430" s="26"/>
      <x:c r="K430" s="19"/>
    </x:row>
    <x:row r="431">
      <x:c r="A431" s="19"/>
      <x:c r="B431" s="19"/>
      <x:c r="C431" s="19"/>
      <x:c r="D431" s="19"/>
      <x:c r="E431" s="20"/>
      <x:c r="F431" s="20"/>
      <x:c r="G431" s="19"/>
      <x:c r="H431" s="19"/>
      <x:c r="I431" s="19"/>
      <x:c r="J431" s="26"/>
      <x:c r="K431" s="19"/>
    </x:row>
    <x:row r="432">
      <x:c r="A432" s="19"/>
      <x:c r="B432" s="19"/>
      <x:c r="C432" s="19"/>
      <x:c r="D432" s="19"/>
      <x:c r="E432" s="20"/>
      <x:c r="F432" s="20"/>
      <x:c r="G432" s="19"/>
      <x:c r="H432" s="19"/>
      <x:c r="I432" s="19"/>
      <x:c r="J432" s="26"/>
      <x:c r="K432" s="19"/>
    </x:row>
    <x:row r="433">
      <x:c r="A433" s="19"/>
      <x:c r="B433" s="19"/>
      <x:c r="C433" s="19"/>
      <x:c r="D433" s="19"/>
      <x:c r="E433" s="20"/>
      <x:c r="F433" s="20"/>
      <x:c r="G433" s="19"/>
      <x:c r="H433" s="19"/>
      <x:c r="I433" s="19"/>
      <x:c r="J433" s="26"/>
      <x:c r="K433" s="19"/>
    </x:row>
    <x:row r="434">
      <x:c r="A434" s="19"/>
      <x:c r="B434" s="19"/>
      <x:c r="C434" s="19"/>
      <x:c r="D434" s="19"/>
      <x:c r="E434" s="20"/>
      <x:c r="F434" s="20"/>
      <x:c r="G434" s="19"/>
      <x:c r="H434" s="19"/>
      <x:c r="I434" s="19"/>
      <x:c r="J434" s="26"/>
      <x:c r="K434" s="19"/>
    </x:row>
    <x:row r="435">
      <x:c r="A435" s="19"/>
      <x:c r="B435" s="19"/>
      <x:c r="C435" s="19"/>
      <x:c r="D435" s="19"/>
      <x:c r="E435" s="20"/>
      <x:c r="F435" s="20"/>
      <x:c r="G435" s="19"/>
      <x:c r="H435" s="19"/>
      <x:c r="I435" s="19"/>
      <x:c r="J435" s="26"/>
      <x:c r="K435" s="19"/>
    </x:row>
    <x:row r="436">
      <x:c r="A436" s="19"/>
      <x:c r="B436" s="19"/>
      <x:c r="C436" s="19"/>
      <x:c r="D436" s="19"/>
      <x:c r="E436" s="20"/>
      <x:c r="F436" s="20"/>
      <x:c r="G436" s="19"/>
      <x:c r="H436" s="19"/>
      <x:c r="I436" s="19"/>
      <x:c r="J436" s="26"/>
      <x:c r="K436" s="19"/>
    </x:row>
    <x:row r="437">
      <x:c r="A437" s="19"/>
      <x:c r="B437" s="19"/>
      <x:c r="C437" s="19"/>
      <x:c r="D437" s="19"/>
      <x:c r="E437" s="20"/>
      <x:c r="F437" s="20"/>
      <x:c r="G437" s="19"/>
      <x:c r="H437" s="19"/>
      <x:c r="I437" s="19"/>
      <x:c r="J437" s="26"/>
      <x:c r="K437" s="19"/>
    </x:row>
    <x:row r="438">
      <x:c r="A438" s="19"/>
      <x:c r="B438" s="19"/>
      <x:c r="C438" s="19"/>
      <x:c r="D438" s="19"/>
      <x:c r="E438" s="20"/>
      <x:c r="F438" s="20"/>
      <x:c r="G438" s="19"/>
      <x:c r="H438" s="19"/>
      <x:c r="I438" s="19"/>
      <x:c r="J438" s="26"/>
      <x:c r="K438" s="19"/>
    </x:row>
    <x:row r="439">
      <x:c r="A439" s="19"/>
      <x:c r="B439" s="19"/>
      <x:c r="C439" s="19"/>
      <x:c r="D439" s="19"/>
      <x:c r="E439" s="20"/>
      <x:c r="F439" s="20"/>
      <x:c r="G439" s="19"/>
      <x:c r="H439" s="19"/>
      <x:c r="I439" s="19"/>
      <x:c r="J439" s="26"/>
      <x:c r="K439" s="19"/>
    </x:row>
    <x:row r="440">
      <x:c r="A440" s="19"/>
      <x:c r="B440" s="19"/>
      <x:c r="C440" s="19"/>
      <x:c r="D440" s="19"/>
      <x:c r="E440" s="20"/>
      <x:c r="F440" s="20"/>
      <x:c r="G440" s="19"/>
      <x:c r="H440" s="19"/>
      <x:c r="I440" s="19"/>
      <x:c r="J440" s="26"/>
      <x:c r="K440" s="19"/>
    </x:row>
    <x:row r="441">
      <x:c r="A441" s="19"/>
      <x:c r="B441" s="19"/>
      <x:c r="C441" s="19"/>
      <x:c r="D441" s="19"/>
      <x:c r="E441" s="20"/>
      <x:c r="F441" s="20"/>
      <x:c r="G441" s="19"/>
      <x:c r="H441" s="19"/>
      <x:c r="I441" s="19"/>
      <x:c r="J441" s="26"/>
      <x:c r="K441" s="19"/>
    </x:row>
    <x:row r="442">
      <x:c r="A442" s="19"/>
      <x:c r="B442" s="19"/>
      <x:c r="C442" s="19"/>
      <x:c r="D442" s="19"/>
      <x:c r="E442" s="20"/>
      <x:c r="F442" s="20"/>
      <x:c r="G442" s="19"/>
      <x:c r="H442" s="19"/>
      <x:c r="I442" s="19"/>
      <x:c r="J442" s="26"/>
      <x:c r="K442" s="19"/>
    </x:row>
    <x:row r="443">
      <x:c r="A443" s="19"/>
      <x:c r="B443" s="19"/>
      <x:c r="C443" s="19"/>
      <x:c r="D443" s="19"/>
      <x:c r="E443" s="20"/>
      <x:c r="F443" s="20"/>
      <x:c r="G443" s="19"/>
      <x:c r="H443" s="19"/>
      <x:c r="I443" s="19"/>
      <x:c r="J443" s="26"/>
      <x:c r="K443" s="19"/>
    </x:row>
    <x:row r="444">
      <x:c r="A444" s="19"/>
      <x:c r="B444" s="19"/>
      <x:c r="C444" s="19"/>
      <x:c r="D444" s="19"/>
      <x:c r="E444" s="20"/>
      <x:c r="F444" s="20"/>
      <x:c r="G444" s="19"/>
      <x:c r="H444" s="19"/>
      <x:c r="I444" s="19"/>
      <x:c r="J444" s="26"/>
      <x:c r="K444" s="19"/>
    </x:row>
    <x:row r="445">
      <x:c r="A445" s="19"/>
      <x:c r="B445" s="19"/>
      <x:c r="C445" s="19"/>
      <x:c r="D445" s="19"/>
      <x:c r="E445" s="20"/>
      <x:c r="F445" s="20"/>
      <x:c r="G445" s="19"/>
      <x:c r="H445" s="19"/>
      <x:c r="I445" s="19"/>
      <x:c r="J445" s="26"/>
      <x:c r="K445" s="19"/>
    </x:row>
    <x:row r="446">
      <x:c r="A446" s="19"/>
      <x:c r="B446" s="19"/>
      <x:c r="C446" s="19"/>
      <x:c r="D446" s="19"/>
      <x:c r="E446" s="20"/>
      <x:c r="F446" s="20"/>
      <x:c r="G446" s="19"/>
      <x:c r="H446" s="19"/>
      <x:c r="I446" s="19"/>
      <x:c r="J446" s="26"/>
      <x:c r="K446" s="19"/>
    </x:row>
    <x:row r="447">
      <x:c r="A447" s="19"/>
      <x:c r="B447" s="19"/>
      <x:c r="C447" s="19"/>
      <x:c r="D447" s="19"/>
      <x:c r="E447" s="20"/>
      <x:c r="F447" s="20"/>
      <x:c r="G447" s="19"/>
      <x:c r="H447" s="19"/>
      <x:c r="I447" s="19"/>
      <x:c r="J447" s="26"/>
      <x:c r="K447" s="19"/>
    </x:row>
    <x:row r="448">
      <x:c r="A448" s="19"/>
      <x:c r="B448" s="19"/>
      <x:c r="C448" s="19"/>
      <x:c r="D448" s="19"/>
      <x:c r="E448" s="20"/>
      <x:c r="F448" s="20"/>
      <x:c r="G448" s="19"/>
      <x:c r="H448" s="19"/>
      <x:c r="I448" s="19"/>
      <x:c r="J448" s="26"/>
      <x:c r="K448" s="19"/>
    </x:row>
    <x:row r="449">
      <x:c r="A449" s="19"/>
      <x:c r="B449" s="19"/>
      <x:c r="C449" s="19"/>
      <x:c r="D449" s="19"/>
      <x:c r="E449" s="20"/>
      <x:c r="F449" s="20"/>
      <x:c r="G449" s="19"/>
      <x:c r="H449" s="19"/>
      <x:c r="I449" s="19"/>
      <x:c r="J449" s="26"/>
      <x:c r="K449" s="19"/>
    </x:row>
    <x:row r="450">
      <x:c r="A450" s="19"/>
      <x:c r="B450" s="19"/>
      <x:c r="C450" s="19"/>
      <x:c r="D450" s="19"/>
      <x:c r="E450" s="20"/>
      <x:c r="F450" s="20"/>
      <x:c r="G450" s="19"/>
      <x:c r="H450" s="19"/>
      <x:c r="I450" s="19"/>
      <x:c r="J450" s="26"/>
      <x:c r="K450" s="19"/>
    </x:row>
    <x:row r="451">
      <x:c r="A451" s="19"/>
      <x:c r="B451" s="19"/>
      <x:c r="C451" s="19"/>
      <x:c r="D451" s="19"/>
      <x:c r="E451" s="20"/>
      <x:c r="F451" s="20"/>
      <x:c r="G451" s="19"/>
      <x:c r="H451" s="19"/>
      <x:c r="I451" s="19"/>
      <x:c r="J451" s="26"/>
      <x:c r="K451" s="19"/>
    </x:row>
    <x:row r="452">
      <x:c r="A452" s="19"/>
      <x:c r="B452" s="19"/>
      <x:c r="C452" s="19"/>
      <x:c r="D452" s="19"/>
      <x:c r="E452" s="20"/>
      <x:c r="F452" s="20"/>
      <x:c r="G452" s="19"/>
      <x:c r="H452" s="19"/>
      <x:c r="I452" s="19"/>
      <x:c r="J452" s="26"/>
      <x:c r="K452" s="19"/>
    </x:row>
    <x:row r="453">
      <x:c r="A453" s="19"/>
      <x:c r="B453" s="19"/>
      <x:c r="C453" s="19"/>
      <x:c r="D453" s="19"/>
      <x:c r="E453" s="20"/>
      <x:c r="F453" s="20"/>
      <x:c r="G453" s="19"/>
      <x:c r="H453" s="19"/>
      <x:c r="I453" s="19"/>
      <x:c r="J453" s="26"/>
      <x:c r="K453" s="19"/>
    </x:row>
    <x:row r="454">
      <x:c r="A454" s="19"/>
      <x:c r="B454" s="19"/>
      <x:c r="C454" s="19"/>
      <x:c r="D454" s="19"/>
      <x:c r="E454" s="20"/>
      <x:c r="F454" s="20"/>
      <x:c r="G454" s="19"/>
      <x:c r="H454" s="19"/>
      <x:c r="I454" s="19"/>
      <x:c r="J454" s="26"/>
      <x:c r="K454" s="19"/>
    </x:row>
    <x:row r="455">
      <x:c r="A455" s="19"/>
      <x:c r="B455" s="19"/>
      <x:c r="C455" s="19"/>
      <x:c r="D455" s="19"/>
      <x:c r="E455" s="20"/>
      <x:c r="F455" s="20"/>
      <x:c r="G455" s="19"/>
      <x:c r="H455" s="19"/>
      <x:c r="I455" s="19"/>
      <x:c r="J455" s="26"/>
      <x:c r="K455" s="19"/>
    </x:row>
    <x:row r="456">
      <x:c r="A456" s="19"/>
      <x:c r="B456" s="19"/>
      <x:c r="C456" s="19"/>
      <x:c r="D456" s="19"/>
      <x:c r="E456" s="20"/>
      <x:c r="F456" s="20"/>
      <x:c r="G456" s="19"/>
      <x:c r="H456" s="19"/>
      <x:c r="I456" s="19"/>
      <x:c r="J456" s="26"/>
      <x:c r="K456" s="19"/>
    </x:row>
    <x:row r="457">
      <x:c r="A457" s="19"/>
      <x:c r="B457" s="19"/>
      <x:c r="C457" s="19"/>
      <x:c r="D457" s="19"/>
      <x:c r="E457" s="20"/>
      <x:c r="F457" s="20"/>
      <x:c r="G457" s="19"/>
      <x:c r="H457" s="19"/>
      <x:c r="I457" s="19"/>
      <x:c r="J457" s="26"/>
      <x:c r="K457" s="19"/>
    </x:row>
    <x:row r="458">
      <x:c r="A458" s="19"/>
      <x:c r="B458" s="19"/>
      <x:c r="C458" s="19"/>
      <x:c r="D458" s="19"/>
      <x:c r="E458" s="20"/>
      <x:c r="F458" s="20"/>
      <x:c r="G458" s="19"/>
      <x:c r="H458" s="19"/>
      <x:c r="I458" s="19"/>
      <x:c r="J458" s="26"/>
      <x:c r="K458" s="19"/>
    </x:row>
    <x:row r="459">
      <x:c r="A459" s="19"/>
      <x:c r="B459" s="19"/>
      <x:c r="C459" s="19"/>
      <x:c r="D459" s="19"/>
      <x:c r="E459" s="20"/>
      <x:c r="F459" s="20"/>
      <x:c r="G459" s="19"/>
      <x:c r="H459" s="19"/>
      <x:c r="I459" s="19"/>
      <x:c r="J459" s="26"/>
      <x:c r="K459" s="19"/>
    </x:row>
    <x:row r="460">
      <x:c r="A460" s="19"/>
      <x:c r="B460" s="19"/>
      <x:c r="C460" s="19"/>
      <x:c r="D460" s="19"/>
      <x:c r="E460" s="20"/>
      <x:c r="F460" s="20"/>
      <x:c r="G460" s="19"/>
      <x:c r="H460" s="19"/>
      <x:c r="I460" s="19"/>
      <x:c r="J460" s="26"/>
      <x:c r="K460" s="19"/>
    </x:row>
    <x:row r="461">
      <x:c r="A461" s="19"/>
      <x:c r="B461" s="19"/>
      <x:c r="C461" s="19"/>
      <x:c r="D461" s="19"/>
      <x:c r="E461" s="20"/>
      <x:c r="F461" s="20"/>
      <x:c r="G461" s="19"/>
      <x:c r="H461" s="19"/>
      <x:c r="I461" s="19"/>
      <x:c r="J461" s="26"/>
      <x:c r="K461" s="19"/>
    </x:row>
    <x:row r="462">
      <x:c r="A462" s="19"/>
      <x:c r="B462" s="19"/>
      <x:c r="C462" s="19"/>
      <x:c r="D462" s="19"/>
      <x:c r="E462" s="20"/>
      <x:c r="F462" s="20"/>
      <x:c r="G462" s="19"/>
      <x:c r="H462" s="19"/>
      <x:c r="I462" s="19"/>
      <x:c r="J462" s="26"/>
      <x:c r="K462" s="19"/>
    </x:row>
    <x:row r="463">
      <x:c r="A463" s="19"/>
      <x:c r="B463" s="19"/>
      <x:c r="C463" s="19"/>
      <x:c r="D463" s="19"/>
      <x:c r="E463" s="20"/>
      <x:c r="F463" s="20"/>
      <x:c r="G463" s="19"/>
      <x:c r="H463" s="19"/>
      <x:c r="I463" s="19"/>
      <x:c r="J463" s="26"/>
      <x:c r="K463" s="19"/>
    </x:row>
    <x:row r="464">
      <x:c r="A464" s="19"/>
      <x:c r="B464" s="19"/>
      <x:c r="C464" s="19"/>
      <x:c r="D464" s="19"/>
      <x:c r="E464" s="20"/>
      <x:c r="F464" s="20"/>
      <x:c r="G464" s="19"/>
      <x:c r="H464" s="19"/>
      <x:c r="I464" s="19"/>
      <x:c r="J464" s="26"/>
      <x:c r="K464" s="19"/>
    </x:row>
    <x:row r="465">
      <x:c r="A465" s="19"/>
      <x:c r="B465" s="19"/>
      <x:c r="C465" s="19"/>
      <x:c r="D465" s="19"/>
      <x:c r="E465" s="20"/>
      <x:c r="F465" s="20"/>
      <x:c r="G465" s="19"/>
      <x:c r="H465" s="19"/>
      <x:c r="I465" s="19"/>
      <x:c r="J465" s="26"/>
      <x:c r="K465" s="19"/>
    </x:row>
    <x:row r="466">
      <x:c r="A466" s="19"/>
      <x:c r="B466" s="19"/>
      <x:c r="C466" s="19"/>
      <x:c r="D466" s="19"/>
      <x:c r="E466" s="20"/>
      <x:c r="F466" s="20"/>
      <x:c r="G466" s="19"/>
      <x:c r="H466" s="19"/>
      <x:c r="I466" s="19"/>
      <x:c r="J466" s="26"/>
      <x:c r="K466" s="19"/>
    </x:row>
    <x:row r="467">
      <x:c r="A467" s="19"/>
      <x:c r="B467" s="19"/>
      <x:c r="C467" s="19"/>
      <x:c r="D467" s="19"/>
      <x:c r="E467" s="20"/>
      <x:c r="F467" s="20"/>
      <x:c r="G467" s="19"/>
      <x:c r="H467" s="19"/>
      <x:c r="I467" s="19"/>
      <x:c r="J467" s="26"/>
      <x:c r="K467" s="19"/>
    </x:row>
    <x:row r="468">
      <x:c r="A468" s="19"/>
      <x:c r="B468" s="19"/>
      <x:c r="C468" s="19"/>
      <x:c r="D468" s="19"/>
      <x:c r="E468" s="20"/>
      <x:c r="F468" s="20"/>
      <x:c r="G468" s="19"/>
      <x:c r="H468" s="19"/>
      <x:c r="I468" s="19"/>
      <x:c r="J468" s="26"/>
      <x:c r="K468" s="19"/>
    </x:row>
    <x:row r="469">
      <x:c r="A469" s="19"/>
      <x:c r="B469" s="19"/>
      <x:c r="C469" s="19"/>
      <x:c r="D469" s="19"/>
      <x:c r="E469" s="20"/>
      <x:c r="F469" s="20"/>
      <x:c r="G469" s="19"/>
      <x:c r="H469" s="19"/>
      <x:c r="I469" s="19"/>
      <x:c r="J469" s="26"/>
      <x:c r="K469" s="19"/>
    </x:row>
    <x:row r="470">
      <x:c r="A470" s="19"/>
      <x:c r="B470" s="19"/>
      <x:c r="C470" s="19"/>
      <x:c r="D470" s="19"/>
      <x:c r="E470" s="20"/>
      <x:c r="F470" s="20"/>
      <x:c r="G470" s="19"/>
      <x:c r="H470" s="19"/>
      <x:c r="I470" s="19"/>
      <x:c r="J470" s="26"/>
      <x:c r="K470" s="19"/>
    </x:row>
    <x:row r="471">
      <x:c r="A471" s="19"/>
      <x:c r="B471" s="19"/>
      <x:c r="C471" s="19"/>
      <x:c r="D471" s="19"/>
      <x:c r="E471" s="20"/>
      <x:c r="F471" s="20"/>
      <x:c r="G471" s="19"/>
      <x:c r="H471" s="19"/>
      <x:c r="I471" s="19"/>
      <x:c r="J471" s="26"/>
      <x:c r="K471" s="19"/>
    </x:row>
    <x:row r="472">
      <x:c r="A472" s="19"/>
      <x:c r="B472" s="19"/>
      <x:c r="C472" s="19"/>
      <x:c r="D472" s="19"/>
      <x:c r="E472" s="20"/>
      <x:c r="F472" s="20"/>
      <x:c r="G472" s="19"/>
      <x:c r="H472" s="19"/>
      <x:c r="I472" s="19"/>
      <x:c r="J472" s="26"/>
      <x:c r="K472" s="19"/>
    </x:row>
    <x:row r="473">
      <x:c r="A473" s="19"/>
      <x:c r="B473" s="19"/>
      <x:c r="C473" s="19"/>
      <x:c r="D473" s="19"/>
      <x:c r="E473" s="20"/>
      <x:c r="F473" s="20"/>
      <x:c r="G473" s="19"/>
      <x:c r="H473" s="19"/>
      <x:c r="I473" s="19"/>
      <x:c r="J473" s="26"/>
      <x:c r="K473" s="19"/>
    </x:row>
    <x:row r="474">
      <x:c r="A474" s="19"/>
      <x:c r="B474" s="19"/>
      <x:c r="C474" s="19"/>
      <x:c r="D474" s="19"/>
      <x:c r="E474" s="20"/>
      <x:c r="F474" s="20"/>
      <x:c r="G474" s="19"/>
      <x:c r="H474" s="19"/>
      <x:c r="I474" s="19"/>
      <x:c r="J474" s="26"/>
      <x:c r="K474" s="19"/>
    </x:row>
    <x:row r="475">
      <x:c r="A475" s="19"/>
      <x:c r="B475" s="19"/>
      <x:c r="C475" s="19"/>
      <x:c r="D475" s="19"/>
      <x:c r="E475" s="20"/>
      <x:c r="F475" s="20"/>
      <x:c r="G475" s="19"/>
      <x:c r="H475" s="19"/>
      <x:c r="I475" s="19"/>
      <x:c r="J475" s="26"/>
      <x:c r="K475" s="19"/>
    </x:row>
    <x:row r="476">
      <x:c r="A476" s="19"/>
      <x:c r="B476" s="19"/>
      <x:c r="C476" s="19"/>
      <x:c r="D476" s="19"/>
      <x:c r="E476" s="20"/>
      <x:c r="F476" s="20"/>
      <x:c r="G476" s="19"/>
      <x:c r="H476" s="19"/>
      <x:c r="I476" s="19"/>
      <x:c r="J476" s="26"/>
      <x:c r="K476" s="19"/>
    </x:row>
    <x:row r="477">
      <x:c r="A477" s="19"/>
      <x:c r="B477" s="19"/>
      <x:c r="C477" s="19"/>
      <x:c r="D477" s="19"/>
      <x:c r="E477" s="20"/>
      <x:c r="F477" s="20"/>
      <x:c r="G477" s="19"/>
      <x:c r="H477" s="19"/>
      <x:c r="I477" s="19"/>
      <x:c r="J477" s="26"/>
      <x:c r="K477" s="19"/>
    </x:row>
    <x:row r="478">
      <x:c r="A478" s="19"/>
      <x:c r="B478" s="19"/>
      <x:c r="C478" s="19"/>
      <x:c r="D478" s="19"/>
      <x:c r="E478" s="20"/>
      <x:c r="F478" s="20"/>
      <x:c r="G478" s="19"/>
      <x:c r="H478" s="19"/>
      <x:c r="I478" s="19"/>
      <x:c r="J478" s="26"/>
      <x:c r="K478" s="19"/>
    </x:row>
    <x:row r="479">
      <x:c r="A479" s="19"/>
      <x:c r="B479" s="19"/>
      <x:c r="C479" s="19"/>
      <x:c r="D479" s="19"/>
      <x:c r="E479" s="20"/>
      <x:c r="F479" s="20"/>
      <x:c r="G479" s="19"/>
      <x:c r="H479" s="19"/>
      <x:c r="I479" s="19"/>
      <x:c r="J479" s="26"/>
      <x:c r="K479" s="19"/>
    </x:row>
    <x:row r="480">
      <x:c r="A480" s="19"/>
      <x:c r="B480" s="19"/>
      <x:c r="C480" s="19"/>
      <x:c r="D480" s="19"/>
      <x:c r="E480" s="20"/>
      <x:c r="F480" s="20"/>
      <x:c r="G480" s="19"/>
      <x:c r="H480" s="19"/>
      <x:c r="I480" s="19"/>
      <x:c r="J480" s="26"/>
      <x:c r="K480" s="19"/>
    </x:row>
    <x:row r="481">
      <x:c r="A481" s="19"/>
      <x:c r="B481" s="19"/>
      <x:c r="C481" s="19"/>
      <x:c r="D481" s="19"/>
      <x:c r="E481" s="20"/>
      <x:c r="F481" s="20"/>
      <x:c r="G481" s="19"/>
      <x:c r="H481" s="19"/>
      <x:c r="I481" s="19"/>
      <x:c r="J481" s="26"/>
      <x:c r="K481" s="19"/>
    </x:row>
    <x:row r="482">
      <x:c r="A482" s="19"/>
      <x:c r="B482" s="19"/>
      <x:c r="C482" s="19"/>
      <x:c r="D482" s="19"/>
      <x:c r="E482" s="20"/>
      <x:c r="F482" s="20"/>
      <x:c r="G482" s="19"/>
      <x:c r="H482" s="19"/>
      <x:c r="I482" s="19"/>
      <x:c r="J482" s="26"/>
      <x:c r="K482" s="19"/>
    </x:row>
    <x:row r="483">
      <x:c r="A483" s="19"/>
      <x:c r="B483" s="19"/>
      <x:c r="C483" s="19"/>
      <x:c r="D483" s="19"/>
      <x:c r="E483" s="20"/>
      <x:c r="F483" s="20"/>
      <x:c r="G483" s="19"/>
      <x:c r="H483" s="19"/>
      <x:c r="I483" s="19"/>
      <x:c r="J483" s="26"/>
      <x:c r="K483" s="19"/>
    </x:row>
    <x:row r="484">
      <x:c r="A484" s="19"/>
      <x:c r="B484" s="19"/>
      <x:c r="C484" s="19"/>
      <x:c r="D484" s="19"/>
      <x:c r="E484" s="20"/>
      <x:c r="F484" s="20"/>
      <x:c r="G484" s="19"/>
      <x:c r="H484" s="19"/>
      <x:c r="I484" s="19"/>
      <x:c r="J484" s="26"/>
      <x:c r="K484" s="19"/>
    </x:row>
    <x:row r="485">
      <x:c r="A485" s="19"/>
      <x:c r="B485" s="19"/>
      <x:c r="C485" s="19"/>
      <x:c r="D485" s="19"/>
      <x:c r="E485" s="20"/>
      <x:c r="F485" s="20"/>
      <x:c r="G485" s="19"/>
      <x:c r="H485" s="19"/>
      <x:c r="I485" s="19"/>
      <x:c r="J485" s="26"/>
      <x:c r="K485" s="19"/>
    </x:row>
    <x:row r="486">
      <x:c r="A486" s="19"/>
      <x:c r="B486" s="19"/>
      <x:c r="C486" s="19"/>
      <x:c r="D486" s="19"/>
      <x:c r="E486" s="20"/>
      <x:c r="F486" s="20"/>
      <x:c r="G486" s="19"/>
      <x:c r="H486" s="19"/>
      <x:c r="I486" s="19"/>
      <x:c r="J486" s="26"/>
      <x:c r="K486" s="19"/>
    </x:row>
    <x:row r="487">
      <x:c r="A487" s="19"/>
      <x:c r="B487" s="19"/>
      <x:c r="C487" s="19"/>
      <x:c r="D487" s="19"/>
      <x:c r="E487" s="20"/>
      <x:c r="F487" s="20"/>
      <x:c r="G487" s="19"/>
      <x:c r="H487" s="19"/>
      <x:c r="I487" s="19"/>
      <x:c r="J487" s="26"/>
      <x:c r="K487" s="19"/>
    </x:row>
    <x:row r="488">
      <x:c r="A488" s="19"/>
      <x:c r="B488" s="19"/>
      <x:c r="C488" s="19"/>
      <x:c r="D488" s="19"/>
      <x:c r="E488" s="20"/>
      <x:c r="F488" s="20"/>
      <x:c r="G488" s="19"/>
      <x:c r="H488" s="19"/>
      <x:c r="I488" s="19"/>
      <x:c r="J488" s="26"/>
      <x:c r="K488" s="19"/>
    </x:row>
    <x:row r="489">
      <x:c r="A489" s="19"/>
      <x:c r="B489" s="19"/>
      <x:c r="C489" s="19"/>
      <x:c r="D489" s="19"/>
      <x:c r="E489" s="20"/>
      <x:c r="F489" s="20"/>
      <x:c r="G489" s="19"/>
      <x:c r="H489" s="19"/>
      <x:c r="I489" s="19"/>
      <x:c r="J489" s="26"/>
      <x:c r="K489" s="19"/>
    </x:row>
    <x:row r="490">
      <x:c r="A490" s="19"/>
      <x:c r="B490" s="19"/>
      <x:c r="C490" s="19"/>
      <x:c r="D490" s="19"/>
      <x:c r="E490" s="20"/>
      <x:c r="F490" s="20"/>
      <x:c r="G490" s="19"/>
      <x:c r="H490" s="19"/>
      <x:c r="I490" s="19"/>
      <x:c r="J490" s="26"/>
      <x:c r="K490" s="19"/>
    </x:row>
    <x:row r="491">
      <x:c r="A491" s="19"/>
      <x:c r="B491" s="19"/>
      <x:c r="C491" s="19"/>
      <x:c r="D491" s="19"/>
      <x:c r="E491" s="20"/>
      <x:c r="F491" s="20"/>
      <x:c r="G491" s="19"/>
      <x:c r="H491" s="19"/>
      <x:c r="I491" s="19"/>
      <x:c r="J491" s="26"/>
      <x:c r="K491" s="19"/>
    </x:row>
    <x:row r="492">
      <x:c r="A492" s="19"/>
      <x:c r="B492" s="19"/>
      <x:c r="C492" s="19"/>
      <x:c r="D492" s="19"/>
      <x:c r="E492" s="20"/>
      <x:c r="F492" s="20"/>
      <x:c r="G492" s="19"/>
      <x:c r="H492" s="19"/>
      <x:c r="I492" s="19"/>
      <x:c r="J492" s="26"/>
      <x:c r="K492" s="19"/>
    </x:row>
    <x:row r="493">
      <x:c r="A493" s="19"/>
      <x:c r="B493" s="19"/>
      <x:c r="C493" s="19"/>
      <x:c r="D493" s="19"/>
      <x:c r="E493" s="20"/>
      <x:c r="F493" s="20"/>
      <x:c r="G493" s="19"/>
      <x:c r="H493" s="19"/>
      <x:c r="I493" s="19"/>
      <x:c r="J493" s="26"/>
      <x:c r="K493" s="19"/>
    </x:row>
    <x:row r="494">
      <x:c r="A494" s="19"/>
      <x:c r="B494" s="19"/>
      <x:c r="C494" s="19"/>
      <x:c r="D494" s="19"/>
      <x:c r="E494" s="20"/>
      <x:c r="F494" s="20"/>
      <x:c r="G494" s="19"/>
      <x:c r="H494" s="19"/>
      <x:c r="I494" s="19"/>
      <x:c r="J494" s="26"/>
      <x:c r="K494" s="19"/>
    </x:row>
    <x:row r="495">
      <x:c r="A495" s="19"/>
      <x:c r="B495" s="19"/>
      <x:c r="C495" s="19"/>
      <x:c r="D495" s="19"/>
      <x:c r="E495" s="20"/>
      <x:c r="F495" s="20"/>
      <x:c r="G495" s="19"/>
      <x:c r="H495" s="19"/>
      <x:c r="I495" s="19"/>
      <x:c r="J495" s="26"/>
      <x:c r="K495" s="19"/>
    </x:row>
    <x:row r="496">
      <x:c r="A496" s="19"/>
      <x:c r="B496" s="19"/>
      <x:c r="C496" s="19"/>
      <x:c r="D496" s="19"/>
      <x:c r="E496" s="20"/>
      <x:c r="F496" s="20"/>
      <x:c r="G496" s="19"/>
      <x:c r="H496" s="19"/>
      <x:c r="I496" s="19"/>
      <x:c r="J496" s="26"/>
      <x:c r="K496" s="19"/>
    </x:row>
    <x:row r="497">
      <x:c r="A497" s="19"/>
      <x:c r="B497" s="19"/>
      <x:c r="C497" s="19"/>
      <x:c r="D497" s="19"/>
      <x:c r="E497" s="20"/>
      <x:c r="F497" s="20"/>
      <x:c r="G497" s="19"/>
      <x:c r="H497" s="19"/>
      <x:c r="I497" s="19"/>
      <x:c r="J497" s="26"/>
      <x:c r="K497" s="19"/>
    </x:row>
    <x:row r="498">
      <x:c r="A498" s="19"/>
      <x:c r="B498" s="19"/>
      <x:c r="C498" s="19"/>
      <x:c r="D498" s="19"/>
      <x:c r="E498" s="20"/>
      <x:c r="F498" s="20"/>
      <x:c r="G498" s="19"/>
      <x:c r="H498" s="19"/>
      <x:c r="I498" s="19"/>
      <x:c r="J498" s="26"/>
      <x:c r="K498" s="19"/>
    </x:row>
    <x:row r="499">
      <x:c r="A499" s="19"/>
      <x:c r="B499" s="19"/>
      <x:c r="C499" s="19"/>
      <x:c r="D499" s="19"/>
      <x:c r="E499" s="20"/>
      <x:c r="F499" s="20"/>
      <x:c r="G499" s="19"/>
      <x:c r="H499" s="19"/>
      <x:c r="I499" s="19"/>
      <x:c r="J499" s="26"/>
      <x:c r="K499" s="19"/>
    </x:row>
    <x:row r="500">
      <x:c r="A500" s="19"/>
      <x:c r="B500" s="19"/>
      <x:c r="C500" s="19"/>
      <x:c r="D500" s="19"/>
      <x:c r="E500" s="20"/>
      <x:c r="F500" s="20"/>
      <x:c r="G500" s="19"/>
      <x:c r="H500" s="19"/>
      <x:c r="I500" s="19"/>
      <x:c r="J500" s="26"/>
      <x:c r="K500" s="19"/>
    </x:row>
  </x:sheetData>
  <x:conditionalFormatting sqref="B2:B500">
    <x:cfRule type="expression" dxfId="117" priority="1">
      <x:formula>AND($A2&lt;&gt;"",B2="")</x:formula>
    </x:cfRule>
  </x:conditionalFormatting>
  <x:conditionalFormatting sqref="C2:C500">
    <x:cfRule type="expression" dxfId="118" priority="2">
      <x:formula>AND($A2&lt;&gt;"",C2="")</x:formula>
    </x:cfRule>
  </x:conditionalFormatting>
  <x:conditionalFormatting sqref="D2:D500">
    <x:cfRule type="expression" dxfId="119" priority="3">
      <x:formula>AND($A2&lt;&gt;"",D2="")</x:formula>
    </x:cfRule>
  </x:conditionalFormatting>
  <x:conditionalFormatting sqref="E2:E500">
    <x:cfRule type="expression" dxfId="120" priority="4">
      <x:formula>AND($A2&lt;&gt;"",E2="")</x:formula>
    </x:cfRule>
  </x:conditionalFormatting>
  <x:conditionalFormatting sqref="F2:F500">
    <x:cfRule type="expression" dxfId="121" priority="5">
      <x:formula>AND($A2&lt;&gt;"",F2="")</x:formula>
    </x:cfRule>
  </x:conditionalFormatting>
  <x:conditionalFormatting sqref="G2:G500">
    <x:cfRule type="expression" dxfId="122" priority="6">
      <x:formula>AND($A2&lt;&gt;"",G2="")</x:formula>
    </x:cfRule>
  </x:conditionalFormatting>
  <x:conditionalFormatting sqref="I2:I500">
    <x:cfRule type="expression" dxfId="123" priority="7">
      <x:formula>AND($A2&lt;&gt;"",I2="")</x:formula>
    </x:cfRule>
  </x:conditionalFormatting>
  <x:conditionalFormatting sqref="J2:J500">
    <x:cfRule type="expression" dxfId="124" priority="8">
      <x:formula>AND($A2&lt;&gt;"",J2="")</x:formula>
    </x:cfRule>
  </x:conditionalFormatting>
  <x:conditionalFormatting sqref="K2:K500">
    <x:cfRule type="expression" dxfId="125" priority="9">
      <x:formula>AND($A2&lt;&gt;"",K2="")</x:formula>
    </x:cfRule>
  </x:conditionalFormatting>
  <x:dataValidations count="2">
    <x:dataValidation type="list" sqref="G2:G500">
      <x:formula1>"TRUE,FALSE"</x:formula1>
    </x:dataValidation>
    <x:dataValidation type="list" sqref="I2:I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9fb00d78b2416b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4" hidden="0" customWidth="1"/>
    <x:col min="4" max="4" width="18" hidden="0" customWidth="1"/>
    <x:col min="5" max="5" width="17" hidden="0" customWidth="1"/>
    <x:col min="6" max="6" width="48" hidden="0" customWidth="1"/>
    <x:col min="7" max="7" width="19" hidden="0" customWidth="1"/>
    <x:col min="8" max="8" width="18" hidden="0" customWidth="1"/>
  </x:cols>
  <x:sheetData>
    <x:row r="1" ht="46" customHeight="1">
      <x:c r="A1" s="12" t="str">
        <x:v>کلید تنظیم *
(setting_key)</x:v>
      </x:c>
      <x:c r="B1" s="13" t="str">
        <x:v>مقدار *
(setting_value)</x:v>
      </x:c>
      <x:c r="C1" s="13" t="str">
        <x:v>نوع داده *
(data_type)</x:v>
      </x:c>
      <x:c r="D1" s="13" t="str">
        <x:v>گروه *
(category)</x:v>
      </x:c>
      <x:c r="E1" s="13" t="str">
        <x:v>قابل تغییر توسط *
(editable_by)</x:v>
      </x:c>
      <x:c r="F1" s="13" t="str">
        <x:v>توضیح
(description)</x:v>
      </x:c>
      <x:c r="G1" s="13" t="str">
        <x:v>آخرین تغییر *
(updated_at)</x:v>
      </x:c>
      <x:c r="H1" s="14" t="str">
        <x:v>تغییردهنده *
(updated_by)</x:v>
      </x:c>
    </x:row>
    <x:row r="2">
      <x:c r="A2" s="28" t="str">
        <x:v>tenant_id</x:v>
      </x:c>
      <x:c r="B2" s="29" t="str">
        <x:v>store_demo</x:v>
      </x:c>
      <x:c r="C2" s="29" t="str">
        <x:v>text</x:v>
      </x:c>
      <x:c r="D2" s="29" t="str">
        <x:v>identity</x:v>
      </x:c>
      <x:c r="E2" s="29" t="str">
        <x:v>owner</x:v>
      </x:c>
      <x:c r="F2" s="29" t="str">
        <x:v>شناسه ثابت فروشگاه</x:v>
      </x:c>
      <x:c r="G2" s="33" t="n">
        <x:v>46215.229166666664</x:v>
      </x:c>
      <x:c r="H2" s="36" t="str">
        <x:v>usr_owner</x:v>
      </x:c>
    </x:row>
    <x:row r="3">
      <x:c r="A3" s="37" t="str">
        <x:v>store_name</x:v>
      </x:c>
      <x:c r="B3" s="38" t="str">
        <x:v>فروشگاه نمونه</x:v>
      </x:c>
      <x:c r="C3" s="38" t="str">
        <x:v>text</x:v>
      </x:c>
      <x:c r="D3" s="38" t="str">
        <x:v>identity</x:v>
      </x:c>
      <x:c r="E3" s="38" t="str">
        <x:v>owner</x:v>
      </x:c>
      <x:c r="F3" s="38" t="str">
        <x:v>نام نمایشی</x:v>
      </x:c>
      <x:c r="G3" s="42" t="n">
        <x:v>46215.229166666664</x:v>
      </x:c>
      <x:c r="H3" s="45" t="str">
        <x:v>usr_owner</x:v>
      </x:c>
    </x:row>
    <x:row r="4">
      <x:c r="A4" s="37" t="str">
        <x:v>timezone</x:v>
      </x:c>
      <x:c r="B4" s="38" t="str">
        <x:v>Asia/Tehran</x:v>
      </x:c>
      <x:c r="C4" s="38" t="str">
        <x:v>text</x:v>
      </x:c>
      <x:c r="D4" s="38" t="str">
        <x:v>localization</x:v>
      </x:c>
      <x:c r="E4" s="38" t="str">
        <x:v>owner</x:v>
      </x:c>
      <x:c r="F4" s="38" t="str">
        <x:v>منطقه زمانی</x:v>
      </x:c>
      <x:c r="G4" s="42" t="n">
        <x:v>46215.229166666664</x:v>
      </x:c>
      <x:c r="H4" s="45" t="str">
        <x:v>usr_owner</x:v>
      </x:c>
    </x:row>
    <x:row r="5">
      <x:c r="A5" s="37" t="str">
        <x:v>base_currency_unit</x:v>
      </x:c>
      <x:c r="B5" s="38" t="str">
        <x:v>IRR</x:v>
      </x:c>
      <x:c r="C5" s="38" t="str">
        <x:v>text</x:v>
      </x:c>
      <x:c r="D5" s="38" t="str">
        <x:v>localization</x:v>
      </x:c>
      <x:c r="E5" s="38" t="str">
        <x:v>owner</x:v>
      </x:c>
      <x:c r="F5" s="38" t="str">
        <x:v>مبالغ همیشه با ریال ذخیره شوند</x:v>
      </x:c>
      <x:c r="G5" s="42" t="n">
        <x:v>46215.229166666664</x:v>
      </x:c>
      <x:c r="H5" s="45" t="str">
        <x:v>usr_owner</x:v>
      </x:c>
    </x:row>
    <x:row r="6">
      <x:c r="A6" s="37" t="str">
        <x:v>display_currency_unit</x:v>
      </x:c>
      <x:c r="B6" s="38" t="str">
        <x:v>TOMAN</x:v>
      </x:c>
      <x:c r="C6" s="38" t="str">
        <x:v>text</x:v>
      </x:c>
      <x:c r="D6" s="38" t="str">
        <x:v>localization</x:v>
      </x:c>
      <x:c r="E6" s="38" t="str">
        <x:v>manager</x:v>
      </x:c>
      <x:c r="F6" s="38" t="str">
        <x:v>فقط واحد نمایش</x:v>
      </x:c>
      <x:c r="G6" s="42" t="n">
        <x:v>46215.229166666664</x:v>
      </x:c>
      <x:c r="H6" s="45" t="str">
        <x:v>usr_owner</x:v>
      </x:c>
    </x:row>
    <x:row r="7">
      <x:c r="A7" s="37" t="str">
        <x:v>followup_sequence_days</x:v>
      </x:c>
      <x:c r="B7" s="38" t="str">
        <x:v>[1,3,7,14]</x:v>
      </x:c>
      <x:c r="C7" s="38" t="str">
        <x:v>json</x:v>
      </x:c>
      <x:c r="D7" s="38" t="str">
        <x:v>sales</x:v>
      </x:c>
      <x:c r="E7" s="38" t="str">
        <x:v>manager</x:v>
      </x:c>
      <x:c r="F7" s="38" t="str">
        <x:v>توالی پیش‌فرض</x:v>
      </x:c>
      <x:c r="G7" s="42" t="n">
        <x:v>46215.229166666664</x:v>
      </x:c>
      <x:c r="H7" s="45" t="str">
        <x:v>usr_owner</x:v>
      </x:c>
    </x:row>
    <x:row r="8">
      <x:c r="A8" s="37" t="str">
        <x:v>inactive_days</x:v>
      </x:c>
      <x:c r="B8" s="38" t="str">
        <x:v>180</x:v>
      </x:c>
      <x:c r="C8" s="38" t="str">
        <x:v>number</x:v>
      </x:c>
      <x:c r="D8" s="38" t="str">
        <x:v>retention</x:v>
      </x:c>
      <x:c r="E8" s="38" t="str">
        <x:v>manager</x:v>
      </x:c>
      <x:c r="F8" s="38" t="str">
        <x:v>آستانه غیرفعال</x:v>
      </x:c>
      <x:c r="G8" s="42" t="n">
        <x:v>46215.229166666664</x:v>
      </x:c>
      <x:c r="H8" s="45" t="str">
        <x:v>usr_owner</x:v>
      </x:c>
    </x:row>
    <x:row r="9">
      <x:c r="A9" s="37" t="str">
        <x:v>at_risk_days</x:v>
      </x:c>
      <x:c r="B9" s="38" t="str">
        <x:v>90</x:v>
      </x:c>
      <x:c r="C9" s="38" t="str">
        <x:v>number</x:v>
      </x:c>
      <x:c r="D9" s="38" t="str">
        <x:v>retention</x:v>
      </x:c>
      <x:c r="E9" s="38" t="str">
        <x:v>manager</x:v>
      </x:c>
      <x:c r="F9" s="38" t="str">
        <x:v>آستانه در معرض ریزش</x:v>
      </x:c>
      <x:c r="G9" s="42" t="n">
        <x:v>46215.229166666664</x:v>
      </x:c>
      <x:c r="H9" s="45" t="str">
        <x:v>usr_owner</x:v>
      </x:c>
    </x:row>
    <x:row r="10">
      <x:c r="A10" s="37" t="str">
        <x:v>score_purchase_target</x:v>
      </x:c>
      <x:c r="B10" s="38" t="str">
        <x:v>5</x:v>
      </x:c>
      <x:c r="C10" s="38" t="str">
        <x:v>number</x:v>
      </x:c>
      <x:c r="D10" s="38" t="str">
        <x:v>scoring</x:v>
      </x:c>
      <x:c r="E10" s="38" t="str">
        <x:v>manager</x:v>
      </x:c>
      <x:c r="F10" s="38" t="str">
        <x:v>تعداد خرید برای امتیاز کامل بخش تکرار</x:v>
      </x:c>
      <x:c r="G10" s="42" t="n">
        <x:v>46215.229166666664</x:v>
      </x:c>
      <x:c r="H10" s="45" t="str">
        <x:v>usr_owner</x:v>
      </x:c>
    </x:row>
    <x:row r="11">
      <x:c r="A11" s="37" t="str">
        <x:v>score_value_target</x:v>
      </x:c>
      <x:c r="B11" s="38" t="str">
        <x:v>1000000000</x:v>
      </x:c>
      <x:c r="C11" s="38" t="str">
        <x:v>number</x:v>
      </x:c>
      <x:c r="D11" s="38" t="str">
        <x:v>scoring</x:v>
      </x:c>
      <x:c r="E11" s="38" t="str">
        <x:v>manager</x:v>
      </x:c>
      <x:c r="F11" s="38" t="str">
        <x:v>ارزش خرید ریالی برای امتیاز کامل</x:v>
      </x:c>
      <x:c r="G11" s="42" t="n">
        <x:v>46215.229166666664</x:v>
      </x:c>
      <x:c r="H11" s="45" t="str">
        <x:v>usr_owner</x:v>
      </x:c>
    </x:row>
    <x:row r="12">
      <x:c r="A12" s="37" t="str">
        <x:v>score_recency_days</x:v>
      </x:c>
      <x:c r="B12" s="38" t="str">
        <x:v>90</x:v>
      </x:c>
      <x:c r="C12" s="38" t="str">
        <x:v>number</x:v>
      </x:c>
      <x:c r="D12" s="38" t="str">
        <x:v>scoring</x:v>
      </x:c>
      <x:c r="E12" s="38" t="str">
        <x:v>manager</x:v>
      </x:c>
      <x:c r="F12" s="38" t="str">
        <x:v>دوره تازگی خرید</x:v>
      </x:c>
      <x:c r="G12" s="42" t="n">
        <x:v>46215.229166666664</x:v>
      </x:c>
      <x:c r="H12" s="45" t="str">
        <x:v>usr_owner</x:v>
      </x:c>
    </x:row>
    <x:row r="13">
      <x:c r="A13" s="37" t="str">
        <x:v>score_response_target</x:v>
      </x:c>
      <x:c r="B13" s="38" t="str">
        <x:v>3</x:v>
      </x:c>
      <x:c r="C13" s="38" t="str">
        <x:v>number</x:v>
      </x:c>
      <x:c r="D13" s="38" t="str">
        <x:v>scoring</x:v>
      </x:c>
      <x:c r="E13" s="38" t="str">
        <x:v>manager</x:v>
      </x:c>
      <x:c r="F13" s="38" t="str">
        <x:v>پیگیری موفق برای امتیاز کامل</x:v>
      </x:c>
      <x:c r="G13" s="42" t="n">
        <x:v>46215.229166666664</x:v>
      </x:c>
      <x:c r="H13" s="45" t="str">
        <x:v>usr_owner</x:v>
      </x:c>
    </x:row>
    <x:row r="14">
      <x:c r="A14" s="37" t="str">
        <x:v>daily_report_time</x:v>
      </x:c>
      <x:c r="B14" s="38" t="str">
        <x:v>18:00</x:v>
      </x:c>
      <x:c r="C14" s="38" t="str">
        <x:v>time</x:v>
      </x:c>
      <x:c r="D14" s="38" t="str">
        <x:v>report</x:v>
      </x:c>
      <x:c r="E14" s="38" t="str">
        <x:v>manager</x:v>
      </x:c>
      <x:c r="F14" s="38" t="str">
        <x:v>ساعت گزارش تلگرام</x:v>
      </x:c>
      <x:c r="G14" s="42" t="n">
        <x:v>46215.229166666664</x:v>
      </x:c>
      <x:c r="H14" s="45" t="str">
        <x:v>usr_owner</x:v>
      </x:c>
    </x:row>
    <x:row r="15">
      <x:c r="A15" s="37" t="str">
        <x:v>schema_version</x:v>
      </x:c>
      <x:c r="B15" s="38" t="str">
        <x:v>1</x:v>
      </x:c>
      <x:c r="C15" s="38" t="str">
        <x:v>number</x:v>
      </x:c>
      <x:c r="D15" s="38" t="str">
        <x:v>system</x:v>
      </x:c>
      <x:c r="E15" s="38" t="str">
        <x:v>system</x:v>
      </x:c>
      <x:c r="F15" s="38" t="str">
        <x:v>نسخه ساختار داده</x:v>
      </x:c>
      <x:c r="G15" s="42" t="n">
        <x:v>46215.229166666664</x:v>
      </x:c>
      <x:c r="H15" s="45" t="str">
        <x:v>usr_owner</x:v>
      </x:c>
    </x:row>
    <x:row r="16">
      <x:c r="A16" s="46" t="str">
        <x:v>app_version</x:v>
      </x:c>
      <x:c r="B16" s="47" t="str">
        <x:v>0.1.0</x:v>
      </x:c>
      <x:c r="C16" s="47" t="str">
        <x:v>text</x:v>
      </x:c>
      <x:c r="D16" s="47" t="str">
        <x:v>system</x:v>
      </x:c>
      <x:c r="E16" s="47" t="str">
        <x:v>system</x:v>
      </x:c>
      <x:c r="F16" s="47" t="str">
        <x:v>نسخه برنامه</x:v>
      </x:c>
      <x:c r="G16" s="51" t="n">
        <x:v>46215.229166666664</x:v>
      </x:c>
      <x:c r="H16" s="54" t="str">
        <x:v>usr_owner</x:v>
      </x:c>
    </x:row>
    <x:row r="17">
      <x:c r="A17" s="19"/>
      <x:c r="B17" s="19"/>
      <x:c r="C17" s="19"/>
      <x:c r="D17" s="19"/>
      <x:c r="E17" s="19"/>
      <x:c r="F17" s="19"/>
      <x:c r="G17" s="26"/>
      <x:c r="H17" s="19"/>
    </x:row>
    <x:row r="18">
      <x:c r="A18" s="19"/>
      <x:c r="B18" s="19"/>
      <x:c r="C18" s="19"/>
      <x:c r="D18" s="19"/>
      <x:c r="E18" s="19"/>
      <x:c r="F18" s="19"/>
      <x:c r="G18" s="26"/>
      <x:c r="H18" s="19"/>
    </x:row>
    <x:row r="19">
      <x:c r="A19" s="19"/>
      <x:c r="B19" s="19"/>
      <x:c r="C19" s="19"/>
      <x:c r="D19" s="19"/>
      <x:c r="E19" s="19"/>
      <x:c r="F19" s="19"/>
      <x:c r="G19" s="26"/>
      <x:c r="H19" s="19"/>
    </x:row>
    <x:row r="20">
      <x:c r="A20" s="19"/>
      <x:c r="B20" s="19"/>
      <x:c r="C20" s="19"/>
      <x:c r="D20" s="19"/>
      <x:c r="E20" s="19"/>
      <x:c r="F20" s="19"/>
      <x:c r="G20" s="26"/>
      <x:c r="H20" s="19"/>
    </x:row>
    <x:row r="21">
      <x:c r="A21" s="19"/>
      <x:c r="B21" s="19"/>
      <x:c r="C21" s="19"/>
      <x:c r="D21" s="19"/>
      <x:c r="E21" s="19"/>
      <x:c r="F21" s="19"/>
      <x:c r="G21" s="26"/>
      <x:c r="H21" s="19"/>
    </x:row>
    <x:row r="22">
      <x:c r="A22" s="19"/>
      <x:c r="B22" s="19"/>
      <x:c r="C22" s="19"/>
      <x:c r="D22" s="19"/>
      <x:c r="E22" s="19"/>
      <x:c r="F22" s="19"/>
      <x:c r="G22" s="26"/>
      <x:c r="H22" s="19"/>
    </x:row>
    <x:row r="23">
      <x:c r="A23" s="19"/>
      <x:c r="B23" s="19"/>
      <x:c r="C23" s="19"/>
      <x:c r="D23" s="19"/>
      <x:c r="E23" s="19"/>
      <x:c r="F23" s="19"/>
      <x:c r="G23" s="26"/>
      <x:c r="H23" s="19"/>
    </x:row>
    <x:row r="24">
      <x:c r="A24" s="19"/>
      <x:c r="B24" s="19"/>
      <x:c r="C24" s="19"/>
      <x:c r="D24" s="19"/>
      <x:c r="E24" s="19"/>
      <x:c r="F24" s="19"/>
      <x:c r="G24" s="26"/>
      <x:c r="H24" s="19"/>
    </x:row>
    <x:row r="25">
      <x:c r="A25" s="19"/>
      <x:c r="B25" s="19"/>
      <x:c r="C25" s="19"/>
      <x:c r="D25" s="19"/>
      <x:c r="E25" s="19"/>
      <x:c r="F25" s="19"/>
      <x:c r="G25" s="26"/>
      <x:c r="H25" s="19"/>
    </x:row>
    <x:row r="26">
      <x:c r="A26" s="19"/>
      <x:c r="B26" s="19"/>
      <x:c r="C26" s="19"/>
      <x:c r="D26" s="19"/>
      <x:c r="E26" s="19"/>
      <x:c r="F26" s="19"/>
      <x:c r="G26" s="26"/>
      <x:c r="H26" s="19"/>
    </x:row>
    <x:row r="27">
      <x:c r="A27" s="19"/>
      <x:c r="B27" s="19"/>
      <x:c r="C27" s="19"/>
      <x:c r="D27" s="19"/>
      <x:c r="E27" s="19"/>
      <x:c r="F27" s="19"/>
      <x:c r="G27" s="26"/>
      <x:c r="H27" s="19"/>
    </x:row>
    <x:row r="28">
      <x:c r="A28" s="19"/>
      <x:c r="B28" s="19"/>
      <x:c r="C28" s="19"/>
      <x:c r="D28" s="19"/>
      <x:c r="E28" s="19"/>
      <x:c r="F28" s="19"/>
      <x:c r="G28" s="26"/>
      <x:c r="H28" s="19"/>
    </x:row>
    <x:row r="29">
      <x:c r="A29" s="19"/>
      <x:c r="B29" s="19"/>
      <x:c r="C29" s="19"/>
      <x:c r="D29" s="19"/>
      <x:c r="E29" s="19"/>
      <x:c r="F29" s="19"/>
      <x:c r="G29" s="26"/>
      <x:c r="H29" s="19"/>
    </x:row>
    <x:row r="30">
      <x:c r="A30" s="19"/>
      <x:c r="B30" s="19"/>
      <x:c r="C30" s="19"/>
      <x:c r="D30" s="19"/>
      <x:c r="E30" s="19"/>
      <x:c r="F30" s="19"/>
      <x:c r="G30" s="26"/>
      <x:c r="H30" s="19"/>
    </x:row>
    <x:row r="31">
      <x:c r="A31" s="19"/>
      <x:c r="B31" s="19"/>
      <x:c r="C31" s="19"/>
      <x:c r="D31" s="19"/>
      <x:c r="E31" s="19"/>
      <x:c r="F31" s="19"/>
      <x:c r="G31" s="26"/>
      <x:c r="H31" s="19"/>
    </x:row>
    <x:row r="32">
      <x:c r="A32" s="19"/>
      <x:c r="B32" s="19"/>
      <x:c r="C32" s="19"/>
      <x:c r="D32" s="19"/>
      <x:c r="E32" s="19"/>
      <x:c r="F32" s="19"/>
      <x:c r="G32" s="26"/>
      <x:c r="H32" s="19"/>
    </x:row>
    <x:row r="33">
      <x:c r="A33" s="19"/>
      <x:c r="B33" s="19"/>
      <x:c r="C33" s="19"/>
      <x:c r="D33" s="19"/>
      <x:c r="E33" s="19"/>
      <x:c r="F33" s="19"/>
      <x:c r="G33" s="26"/>
      <x:c r="H33" s="19"/>
    </x:row>
    <x:row r="34">
      <x:c r="A34" s="19"/>
      <x:c r="B34" s="19"/>
      <x:c r="C34" s="19"/>
      <x:c r="D34" s="19"/>
      <x:c r="E34" s="19"/>
      <x:c r="F34" s="19"/>
      <x:c r="G34" s="26"/>
      <x:c r="H34" s="19"/>
    </x:row>
    <x:row r="35">
      <x:c r="A35" s="19"/>
      <x:c r="B35" s="19"/>
      <x:c r="C35" s="19"/>
      <x:c r="D35" s="19"/>
      <x:c r="E35" s="19"/>
      <x:c r="F35" s="19"/>
      <x:c r="G35" s="26"/>
      <x:c r="H35" s="19"/>
    </x:row>
    <x:row r="36">
      <x:c r="A36" s="19"/>
      <x:c r="B36" s="19"/>
      <x:c r="C36" s="19"/>
      <x:c r="D36" s="19"/>
      <x:c r="E36" s="19"/>
      <x:c r="F36" s="19"/>
      <x:c r="G36" s="26"/>
      <x:c r="H36" s="19"/>
    </x:row>
    <x:row r="37">
      <x:c r="A37" s="19"/>
      <x:c r="B37" s="19"/>
      <x:c r="C37" s="19"/>
      <x:c r="D37" s="19"/>
      <x:c r="E37" s="19"/>
      <x:c r="F37" s="19"/>
      <x:c r="G37" s="26"/>
      <x:c r="H37" s="19"/>
    </x:row>
    <x:row r="38">
      <x:c r="A38" s="19"/>
      <x:c r="B38" s="19"/>
      <x:c r="C38" s="19"/>
      <x:c r="D38" s="19"/>
      <x:c r="E38" s="19"/>
      <x:c r="F38" s="19"/>
      <x:c r="G38" s="26"/>
      <x:c r="H38" s="19"/>
    </x:row>
    <x:row r="39">
      <x:c r="A39" s="19"/>
      <x:c r="B39" s="19"/>
      <x:c r="C39" s="19"/>
      <x:c r="D39" s="19"/>
      <x:c r="E39" s="19"/>
      <x:c r="F39" s="19"/>
      <x:c r="G39" s="26"/>
      <x:c r="H39" s="19"/>
    </x:row>
    <x:row r="40">
      <x:c r="A40" s="19"/>
      <x:c r="B40" s="19"/>
      <x:c r="C40" s="19"/>
      <x:c r="D40" s="19"/>
      <x:c r="E40" s="19"/>
      <x:c r="F40" s="19"/>
      <x:c r="G40" s="26"/>
      <x:c r="H40" s="19"/>
    </x:row>
    <x:row r="41">
      <x:c r="A41" s="19"/>
      <x:c r="B41" s="19"/>
      <x:c r="C41" s="19"/>
      <x:c r="D41" s="19"/>
      <x:c r="E41" s="19"/>
      <x:c r="F41" s="19"/>
      <x:c r="G41" s="26"/>
      <x:c r="H41" s="19"/>
    </x:row>
    <x:row r="42">
      <x:c r="A42" s="19"/>
      <x:c r="B42" s="19"/>
      <x:c r="C42" s="19"/>
      <x:c r="D42" s="19"/>
      <x:c r="E42" s="19"/>
      <x:c r="F42" s="19"/>
      <x:c r="G42" s="26"/>
      <x:c r="H42" s="19"/>
    </x:row>
    <x:row r="43">
      <x:c r="A43" s="19"/>
      <x:c r="B43" s="19"/>
      <x:c r="C43" s="19"/>
      <x:c r="D43" s="19"/>
      <x:c r="E43" s="19"/>
      <x:c r="F43" s="19"/>
      <x:c r="G43" s="26"/>
      <x:c r="H43" s="19"/>
    </x:row>
    <x:row r="44">
      <x:c r="A44" s="19"/>
      <x:c r="B44" s="19"/>
      <x:c r="C44" s="19"/>
      <x:c r="D44" s="19"/>
      <x:c r="E44" s="19"/>
      <x:c r="F44" s="19"/>
      <x:c r="G44" s="26"/>
      <x:c r="H44" s="19"/>
    </x:row>
    <x:row r="45">
      <x:c r="A45" s="19"/>
      <x:c r="B45" s="19"/>
      <x:c r="C45" s="19"/>
      <x:c r="D45" s="19"/>
      <x:c r="E45" s="19"/>
      <x:c r="F45" s="19"/>
      <x:c r="G45" s="26"/>
      <x:c r="H45" s="19"/>
    </x:row>
    <x:row r="46">
      <x:c r="A46" s="19"/>
      <x:c r="B46" s="19"/>
      <x:c r="C46" s="19"/>
      <x:c r="D46" s="19"/>
      <x:c r="E46" s="19"/>
      <x:c r="F46" s="19"/>
      <x:c r="G46" s="26"/>
      <x:c r="H46" s="19"/>
    </x:row>
    <x:row r="47">
      <x:c r="A47" s="19"/>
      <x:c r="B47" s="19"/>
      <x:c r="C47" s="19"/>
      <x:c r="D47" s="19"/>
      <x:c r="E47" s="19"/>
      <x:c r="F47" s="19"/>
      <x:c r="G47" s="26"/>
      <x:c r="H47" s="19"/>
    </x:row>
    <x:row r="48">
      <x:c r="A48" s="19"/>
      <x:c r="B48" s="19"/>
      <x:c r="C48" s="19"/>
      <x:c r="D48" s="19"/>
      <x:c r="E48" s="19"/>
      <x:c r="F48" s="19"/>
      <x:c r="G48" s="26"/>
      <x:c r="H48" s="19"/>
    </x:row>
    <x:row r="49">
      <x:c r="A49" s="19"/>
      <x:c r="B49" s="19"/>
      <x:c r="C49" s="19"/>
      <x:c r="D49" s="19"/>
      <x:c r="E49" s="19"/>
      <x:c r="F49" s="19"/>
      <x:c r="G49" s="26"/>
      <x:c r="H49" s="19"/>
    </x:row>
    <x:row r="50">
      <x:c r="A50" s="19"/>
      <x:c r="B50" s="19"/>
      <x:c r="C50" s="19"/>
      <x:c r="D50" s="19"/>
      <x:c r="E50" s="19"/>
      <x:c r="F50" s="19"/>
      <x:c r="G50" s="26"/>
      <x:c r="H50" s="19"/>
    </x:row>
    <x:row r="51">
      <x:c r="A51" s="19"/>
      <x:c r="B51" s="19"/>
      <x:c r="C51" s="19"/>
      <x:c r="D51" s="19"/>
      <x:c r="E51" s="19"/>
      <x:c r="F51" s="19"/>
      <x:c r="G51" s="26"/>
      <x:c r="H51" s="19"/>
    </x:row>
    <x:row r="52">
      <x:c r="A52" s="19"/>
      <x:c r="B52" s="19"/>
      <x:c r="C52" s="19"/>
      <x:c r="D52" s="19"/>
      <x:c r="E52" s="19"/>
      <x:c r="F52" s="19"/>
      <x:c r="G52" s="26"/>
      <x:c r="H52" s="19"/>
    </x:row>
    <x:row r="53">
      <x:c r="A53" s="19"/>
      <x:c r="B53" s="19"/>
      <x:c r="C53" s="19"/>
      <x:c r="D53" s="19"/>
      <x:c r="E53" s="19"/>
      <x:c r="F53" s="19"/>
      <x:c r="G53" s="26"/>
      <x:c r="H53" s="19"/>
    </x:row>
    <x:row r="54">
      <x:c r="A54" s="19"/>
      <x:c r="B54" s="19"/>
      <x:c r="C54" s="19"/>
      <x:c r="D54" s="19"/>
      <x:c r="E54" s="19"/>
      <x:c r="F54" s="19"/>
      <x:c r="G54" s="26"/>
      <x:c r="H54" s="19"/>
    </x:row>
    <x:row r="55">
      <x:c r="A55" s="19"/>
      <x:c r="B55" s="19"/>
      <x:c r="C55" s="19"/>
      <x:c r="D55" s="19"/>
      <x:c r="E55" s="19"/>
      <x:c r="F55" s="19"/>
      <x:c r="G55" s="26"/>
      <x:c r="H55" s="19"/>
    </x:row>
    <x:row r="56">
      <x:c r="A56" s="19"/>
      <x:c r="B56" s="19"/>
      <x:c r="C56" s="19"/>
      <x:c r="D56" s="19"/>
      <x:c r="E56" s="19"/>
      <x:c r="F56" s="19"/>
      <x:c r="G56" s="26"/>
      <x:c r="H56" s="19"/>
    </x:row>
    <x:row r="57">
      <x:c r="A57" s="19"/>
      <x:c r="B57" s="19"/>
      <x:c r="C57" s="19"/>
      <x:c r="D57" s="19"/>
      <x:c r="E57" s="19"/>
      <x:c r="F57" s="19"/>
      <x:c r="G57" s="26"/>
      <x:c r="H57" s="19"/>
    </x:row>
    <x:row r="58">
      <x:c r="A58" s="19"/>
      <x:c r="B58" s="19"/>
      <x:c r="C58" s="19"/>
      <x:c r="D58" s="19"/>
      <x:c r="E58" s="19"/>
      <x:c r="F58" s="19"/>
      <x:c r="G58" s="26"/>
      <x:c r="H58" s="19"/>
    </x:row>
    <x:row r="59">
      <x:c r="A59" s="19"/>
      <x:c r="B59" s="19"/>
      <x:c r="C59" s="19"/>
      <x:c r="D59" s="19"/>
      <x:c r="E59" s="19"/>
      <x:c r="F59" s="19"/>
      <x:c r="G59" s="26"/>
      <x:c r="H59" s="19"/>
    </x:row>
    <x:row r="60">
      <x:c r="A60" s="19"/>
      <x:c r="B60" s="19"/>
      <x:c r="C60" s="19"/>
      <x:c r="D60" s="19"/>
      <x:c r="E60" s="19"/>
      <x:c r="F60" s="19"/>
      <x:c r="G60" s="26"/>
      <x:c r="H60" s="19"/>
    </x:row>
    <x:row r="61">
      <x:c r="A61" s="19"/>
      <x:c r="B61" s="19"/>
      <x:c r="C61" s="19"/>
      <x:c r="D61" s="19"/>
      <x:c r="E61" s="19"/>
      <x:c r="F61" s="19"/>
      <x:c r="G61" s="26"/>
      <x:c r="H61" s="19"/>
    </x:row>
    <x:row r="62">
      <x:c r="A62" s="19"/>
      <x:c r="B62" s="19"/>
      <x:c r="C62" s="19"/>
      <x:c r="D62" s="19"/>
      <x:c r="E62" s="19"/>
      <x:c r="F62" s="19"/>
      <x:c r="G62" s="26"/>
      <x:c r="H62" s="19"/>
    </x:row>
    <x:row r="63">
      <x:c r="A63" s="19"/>
      <x:c r="B63" s="19"/>
      <x:c r="C63" s="19"/>
      <x:c r="D63" s="19"/>
      <x:c r="E63" s="19"/>
      <x:c r="F63" s="19"/>
      <x:c r="G63" s="26"/>
      <x:c r="H63" s="19"/>
    </x:row>
    <x:row r="64">
      <x:c r="A64" s="19"/>
      <x:c r="B64" s="19"/>
      <x:c r="C64" s="19"/>
      <x:c r="D64" s="19"/>
      <x:c r="E64" s="19"/>
      <x:c r="F64" s="19"/>
      <x:c r="G64" s="26"/>
      <x:c r="H64" s="19"/>
    </x:row>
    <x:row r="65">
      <x:c r="A65" s="19"/>
      <x:c r="B65" s="19"/>
      <x:c r="C65" s="19"/>
      <x:c r="D65" s="19"/>
      <x:c r="E65" s="19"/>
      <x:c r="F65" s="19"/>
      <x:c r="G65" s="26"/>
      <x:c r="H65" s="19"/>
    </x:row>
    <x:row r="66">
      <x:c r="A66" s="19"/>
      <x:c r="B66" s="19"/>
      <x:c r="C66" s="19"/>
      <x:c r="D66" s="19"/>
      <x:c r="E66" s="19"/>
      <x:c r="F66" s="19"/>
      <x:c r="G66" s="26"/>
      <x:c r="H66" s="19"/>
    </x:row>
    <x:row r="67">
      <x:c r="A67" s="19"/>
      <x:c r="B67" s="19"/>
      <x:c r="C67" s="19"/>
      <x:c r="D67" s="19"/>
      <x:c r="E67" s="19"/>
      <x:c r="F67" s="19"/>
      <x:c r="G67" s="26"/>
      <x:c r="H67" s="19"/>
    </x:row>
    <x:row r="68">
      <x:c r="A68" s="19"/>
      <x:c r="B68" s="19"/>
      <x:c r="C68" s="19"/>
      <x:c r="D68" s="19"/>
      <x:c r="E68" s="19"/>
      <x:c r="F68" s="19"/>
      <x:c r="G68" s="26"/>
      <x:c r="H68" s="19"/>
    </x:row>
    <x:row r="69">
      <x:c r="A69" s="19"/>
      <x:c r="B69" s="19"/>
      <x:c r="C69" s="19"/>
      <x:c r="D69" s="19"/>
      <x:c r="E69" s="19"/>
      <x:c r="F69" s="19"/>
      <x:c r="G69" s="26"/>
      <x:c r="H69" s="19"/>
    </x:row>
    <x:row r="70">
      <x:c r="A70" s="19"/>
      <x:c r="B70" s="19"/>
      <x:c r="C70" s="19"/>
      <x:c r="D70" s="19"/>
      <x:c r="E70" s="19"/>
      <x:c r="F70" s="19"/>
      <x:c r="G70" s="26"/>
      <x:c r="H70" s="19"/>
    </x:row>
    <x:row r="71">
      <x:c r="A71" s="19"/>
      <x:c r="B71" s="19"/>
      <x:c r="C71" s="19"/>
      <x:c r="D71" s="19"/>
      <x:c r="E71" s="19"/>
      <x:c r="F71" s="19"/>
      <x:c r="G71" s="26"/>
      <x:c r="H71" s="19"/>
    </x:row>
    <x:row r="72">
      <x:c r="A72" s="19"/>
      <x:c r="B72" s="19"/>
      <x:c r="C72" s="19"/>
      <x:c r="D72" s="19"/>
      <x:c r="E72" s="19"/>
      <x:c r="F72" s="19"/>
      <x:c r="G72" s="26"/>
      <x:c r="H72" s="19"/>
    </x:row>
    <x:row r="73">
      <x:c r="A73" s="19"/>
      <x:c r="B73" s="19"/>
      <x:c r="C73" s="19"/>
      <x:c r="D73" s="19"/>
      <x:c r="E73" s="19"/>
      <x:c r="F73" s="19"/>
      <x:c r="G73" s="26"/>
      <x:c r="H73" s="19"/>
    </x:row>
    <x:row r="74">
      <x:c r="A74" s="19"/>
      <x:c r="B74" s="19"/>
      <x:c r="C74" s="19"/>
      <x:c r="D74" s="19"/>
      <x:c r="E74" s="19"/>
      <x:c r="F74" s="19"/>
      <x:c r="G74" s="26"/>
      <x:c r="H74" s="19"/>
    </x:row>
    <x:row r="75">
      <x:c r="A75" s="19"/>
      <x:c r="B75" s="19"/>
      <x:c r="C75" s="19"/>
      <x:c r="D75" s="19"/>
      <x:c r="E75" s="19"/>
      <x:c r="F75" s="19"/>
      <x:c r="G75" s="26"/>
      <x:c r="H75" s="19"/>
    </x:row>
    <x:row r="76">
      <x:c r="A76" s="19"/>
      <x:c r="B76" s="19"/>
      <x:c r="C76" s="19"/>
      <x:c r="D76" s="19"/>
      <x:c r="E76" s="19"/>
      <x:c r="F76" s="19"/>
      <x:c r="G76" s="26"/>
      <x:c r="H76" s="19"/>
    </x:row>
    <x:row r="77">
      <x:c r="A77" s="19"/>
      <x:c r="B77" s="19"/>
      <x:c r="C77" s="19"/>
      <x:c r="D77" s="19"/>
      <x:c r="E77" s="19"/>
      <x:c r="F77" s="19"/>
      <x:c r="G77" s="26"/>
      <x:c r="H77" s="19"/>
    </x:row>
    <x:row r="78">
      <x:c r="A78" s="19"/>
      <x:c r="B78" s="19"/>
      <x:c r="C78" s="19"/>
      <x:c r="D78" s="19"/>
      <x:c r="E78" s="19"/>
      <x:c r="F78" s="19"/>
      <x:c r="G78" s="26"/>
      <x:c r="H78" s="19"/>
    </x:row>
    <x:row r="79">
      <x:c r="A79" s="19"/>
      <x:c r="B79" s="19"/>
      <x:c r="C79" s="19"/>
      <x:c r="D79" s="19"/>
      <x:c r="E79" s="19"/>
      <x:c r="F79" s="19"/>
      <x:c r="G79" s="26"/>
      <x:c r="H79" s="19"/>
    </x:row>
    <x:row r="80">
      <x:c r="A80" s="19"/>
      <x:c r="B80" s="19"/>
      <x:c r="C80" s="19"/>
      <x:c r="D80" s="19"/>
      <x:c r="E80" s="19"/>
      <x:c r="F80" s="19"/>
      <x:c r="G80" s="26"/>
      <x:c r="H80" s="19"/>
    </x:row>
    <x:row r="81">
      <x:c r="A81" s="19"/>
      <x:c r="B81" s="19"/>
      <x:c r="C81" s="19"/>
      <x:c r="D81" s="19"/>
      <x:c r="E81" s="19"/>
      <x:c r="F81" s="19"/>
      <x:c r="G81" s="26"/>
      <x:c r="H81" s="19"/>
    </x:row>
    <x:row r="82">
      <x:c r="A82" s="19"/>
      <x:c r="B82" s="19"/>
      <x:c r="C82" s="19"/>
      <x:c r="D82" s="19"/>
      <x:c r="E82" s="19"/>
      <x:c r="F82" s="19"/>
      <x:c r="G82" s="26"/>
      <x:c r="H82" s="19"/>
    </x:row>
    <x:row r="83">
      <x:c r="A83" s="19"/>
      <x:c r="B83" s="19"/>
      <x:c r="C83" s="19"/>
      <x:c r="D83" s="19"/>
      <x:c r="E83" s="19"/>
      <x:c r="F83" s="19"/>
      <x:c r="G83" s="26"/>
      <x:c r="H83" s="19"/>
    </x:row>
    <x:row r="84">
      <x:c r="A84" s="19"/>
      <x:c r="B84" s="19"/>
      <x:c r="C84" s="19"/>
      <x:c r="D84" s="19"/>
      <x:c r="E84" s="19"/>
      <x:c r="F84" s="19"/>
      <x:c r="G84" s="26"/>
      <x:c r="H84" s="19"/>
    </x:row>
    <x:row r="85">
      <x:c r="A85" s="19"/>
      <x:c r="B85" s="19"/>
      <x:c r="C85" s="19"/>
      <x:c r="D85" s="19"/>
      <x:c r="E85" s="19"/>
      <x:c r="F85" s="19"/>
      <x:c r="G85" s="26"/>
      <x:c r="H85" s="19"/>
    </x:row>
    <x:row r="86">
      <x:c r="A86" s="19"/>
      <x:c r="B86" s="19"/>
      <x:c r="C86" s="19"/>
      <x:c r="D86" s="19"/>
      <x:c r="E86" s="19"/>
      <x:c r="F86" s="19"/>
      <x:c r="G86" s="26"/>
      <x:c r="H86" s="19"/>
    </x:row>
    <x:row r="87">
      <x:c r="A87" s="19"/>
      <x:c r="B87" s="19"/>
      <x:c r="C87" s="19"/>
      <x:c r="D87" s="19"/>
      <x:c r="E87" s="19"/>
      <x:c r="F87" s="19"/>
      <x:c r="G87" s="26"/>
      <x:c r="H87" s="19"/>
    </x:row>
    <x:row r="88">
      <x:c r="A88" s="19"/>
      <x:c r="B88" s="19"/>
      <x:c r="C88" s="19"/>
      <x:c r="D88" s="19"/>
      <x:c r="E88" s="19"/>
      <x:c r="F88" s="19"/>
      <x:c r="G88" s="26"/>
      <x:c r="H88" s="19"/>
    </x:row>
    <x:row r="89">
      <x:c r="A89" s="19"/>
      <x:c r="B89" s="19"/>
      <x:c r="C89" s="19"/>
      <x:c r="D89" s="19"/>
      <x:c r="E89" s="19"/>
      <x:c r="F89" s="19"/>
      <x:c r="G89" s="26"/>
      <x:c r="H89" s="19"/>
    </x:row>
    <x:row r="90">
      <x:c r="A90" s="19"/>
      <x:c r="B90" s="19"/>
      <x:c r="C90" s="19"/>
      <x:c r="D90" s="19"/>
      <x:c r="E90" s="19"/>
      <x:c r="F90" s="19"/>
      <x:c r="G90" s="26"/>
      <x:c r="H90" s="19"/>
    </x:row>
    <x:row r="91">
      <x:c r="A91" s="19"/>
      <x:c r="B91" s="19"/>
      <x:c r="C91" s="19"/>
      <x:c r="D91" s="19"/>
      <x:c r="E91" s="19"/>
      <x:c r="F91" s="19"/>
      <x:c r="G91" s="26"/>
      <x:c r="H91" s="19"/>
    </x:row>
    <x:row r="92">
      <x:c r="A92" s="19"/>
      <x:c r="B92" s="19"/>
      <x:c r="C92" s="19"/>
      <x:c r="D92" s="19"/>
      <x:c r="E92" s="19"/>
      <x:c r="F92" s="19"/>
      <x:c r="G92" s="26"/>
      <x:c r="H92" s="19"/>
    </x:row>
    <x:row r="93">
      <x:c r="A93" s="19"/>
      <x:c r="B93" s="19"/>
      <x:c r="C93" s="19"/>
      <x:c r="D93" s="19"/>
      <x:c r="E93" s="19"/>
      <x:c r="F93" s="19"/>
      <x:c r="G93" s="26"/>
      <x:c r="H93" s="19"/>
    </x:row>
    <x:row r="94">
      <x:c r="A94" s="19"/>
      <x:c r="B94" s="19"/>
      <x:c r="C94" s="19"/>
      <x:c r="D94" s="19"/>
      <x:c r="E94" s="19"/>
      <x:c r="F94" s="19"/>
      <x:c r="G94" s="26"/>
      <x:c r="H94" s="19"/>
    </x:row>
    <x:row r="95">
      <x:c r="A95" s="19"/>
      <x:c r="B95" s="19"/>
      <x:c r="C95" s="19"/>
      <x:c r="D95" s="19"/>
      <x:c r="E95" s="19"/>
      <x:c r="F95" s="19"/>
      <x:c r="G95" s="26"/>
      <x:c r="H95" s="19"/>
    </x:row>
    <x:row r="96">
      <x:c r="A96" s="19"/>
      <x:c r="B96" s="19"/>
      <x:c r="C96" s="19"/>
      <x:c r="D96" s="19"/>
      <x:c r="E96" s="19"/>
      <x:c r="F96" s="19"/>
      <x:c r="G96" s="26"/>
      <x:c r="H96" s="19"/>
    </x:row>
    <x:row r="97">
      <x:c r="A97" s="19"/>
      <x:c r="B97" s="19"/>
      <x:c r="C97" s="19"/>
      <x:c r="D97" s="19"/>
      <x:c r="E97" s="19"/>
      <x:c r="F97" s="19"/>
      <x:c r="G97" s="26"/>
      <x:c r="H97" s="19"/>
    </x:row>
    <x:row r="98">
      <x:c r="A98" s="19"/>
      <x:c r="B98" s="19"/>
      <x:c r="C98" s="19"/>
      <x:c r="D98" s="19"/>
      <x:c r="E98" s="19"/>
      <x:c r="F98" s="19"/>
      <x:c r="G98" s="26"/>
      <x:c r="H98" s="19"/>
    </x:row>
    <x:row r="99">
      <x:c r="A99" s="19"/>
      <x:c r="B99" s="19"/>
      <x:c r="C99" s="19"/>
      <x:c r="D99" s="19"/>
      <x:c r="E99" s="19"/>
      <x:c r="F99" s="19"/>
      <x:c r="G99" s="26"/>
      <x:c r="H99" s="19"/>
    </x:row>
    <x:row r="100">
      <x:c r="A100" s="19"/>
      <x:c r="B100" s="19"/>
      <x:c r="C100" s="19"/>
      <x:c r="D100" s="19"/>
      <x:c r="E100" s="19"/>
      <x:c r="F100" s="19"/>
      <x:c r="G100" s="26"/>
      <x:c r="H100" s="19"/>
    </x:row>
    <x:row r="101">
      <x:c r="A101" s="19"/>
      <x:c r="B101" s="19"/>
      <x:c r="C101" s="19"/>
      <x:c r="D101" s="19"/>
      <x:c r="E101" s="19"/>
      <x:c r="F101" s="19"/>
      <x:c r="G101" s="26"/>
      <x:c r="H101" s="19"/>
    </x:row>
    <x:row r="102">
      <x:c r="A102" s="19"/>
      <x:c r="B102" s="19"/>
      <x:c r="C102" s="19"/>
      <x:c r="D102" s="19"/>
      <x:c r="E102" s="19"/>
      <x:c r="F102" s="19"/>
      <x:c r="G102" s="26"/>
      <x:c r="H102" s="19"/>
    </x:row>
    <x:row r="103">
      <x:c r="A103" s="19"/>
      <x:c r="B103" s="19"/>
      <x:c r="C103" s="19"/>
      <x:c r="D103" s="19"/>
      <x:c r="E103" s="19"/>
      <x:c r="F103" s="19"/>
      <x:c r="G103" s="26"/>
      <x:c r="H103" s="19"/>
    </x:row>
    <x:row r="104">
      <x:c r="A104" s="19"/>
      <x:c r="B104" s="19"/>
      <x:c r="C104" s="19"/>
      <x:c r="D104" s="19"/>
      <x:c r="E104" s="19"/>
      <x:c r="F104" s="19"/>
      <x:c r="G104" s="26"/>
      <x:c r="H104" s="19"/>
    </x:row>
    <x:row r="105">
      <x:c r="A105" s="19"/>
      <x:c r="B105" s="19"/>
      <x:c r="C105" s="19"/>
      <x:c r="D105" s="19"/>
      <x:c r="E105" s="19"/>
      <x:c r="F105" s="19"/>
      <x:c r="G105" s="26"/>
      <x:c r="H105" s="19"/>
    </x:row>
    <x:row r="106">
      <x:c r="A106" s="19"/>
      <x:c r="B106" s="19"/>
      <x:c r="C106" s="19"/>
      <x:c r="D106" s="19"/>
      <x:c r="E106" s="19"/>
      <x:c r="F106" s="19"/>
      <x:c r="G106" s="26"/>
      <x:c r="H106" s="19"/>
    </x:row>
    <x:row r="107">
      <x:c r="A107" s="19"/>
      <x:c r="B107" s="19"/>
      <x:c r="C107" s="19"/>
      <x:c r="D107" s="19"/>
      <x:c r="E107" s="19"/>
      <x:c r="F107" s="19"/>
      <x:c r="G107" s="26"/>
      <x:c r="H107" s="19"/>
    </x:row>
    <x:row r="108">
      <x:c r="A108" s="19"/>
      <x:c r="B108" s="19"/>
      <x:c r="C108" s="19"/>
      <x:c r="D108" s="19"/>
      <x:c r="E108" s="19"/>
      <x:c r="F108" s="19"/>
      <x:c r="G108" s="26"/>
      <x:c r="H108" s="19"/>
    </x:row>
    <x:row r="109">
      <x:c r="A109" s="19"/>
      <x:c r="B109" s="19"/>
      <x:c r="C109" s="19"/>
      <x:c r="D109" s="19"/>
      <x:c r="E109" s="19"/>
      <x:c r="F109" s="19"/>
      <x:c r="G109" s="26"/>
      <x:c r="H109" s="19"/>
    </x:row>
    <x:row r="110">
      <x:c r="A110" s="19"/>
      <x:c r="B110" s="19"/>
      <x:c r="C110" s="19"/>
      <x:c r="D110" s="19"/>
      <x:c r="E110" s="19"/>
      <x:c r="F110" s="19"/>
      <x:c r="G110" s="26"/>
      <x:c r="H110" s="19"/>
    </x:row>
    <x:row r="111">
      <x:c r="A111" s="19"/>
      <x:c r="B111" s="19"/>
      <x:c r="C111" s="19"/>
      <x:c r="D111" s="19"/>
      <x:c r="E111" s="19"/>
      <x:c r="F111" s="19"/>
      <x:c r="G111" s="26"/>
      <x:c r="H111" s="19"/>
    </x:row>
    <x:row r="112">
      <x:c r="A112" s="19"/>
      <x:c r="B112" s="19"/>
      <x:c r="C112" s="19"/>
      <x:c r="D112" s="19"/>
      <x:c r="E112" s="19"/>
      <x:c r="F112" s="19"/>
      <x:c r="G112" s="26"/>
      <x:c r="H112" s="19"/>
    </x:row>
    <x:row r="113">
      <x:c r="A113" s="19"/>
      <x:c r="B113" s="19"/>
      <x:c r="C113" s="19"/>
      <x:c r="D113" s="19"/>
      <x:c r="E113" s="19"/>
      <x:c r="F113" s="19"/>
      <x:c r="G113" s="26"/>
      <x:c r="H113" s="19"/>
    </x:row>
    <x:row r="114">
      <x:c r="A114" s="19"/>
      <x:c r="B114" s="19"/>
      <x:c r="C114" s="19"/>
      <x:c r="D114" s="19"/>
      <x:c r="E114" s="19"/>
      <x:c r="F114" s="19"/>
      <x:c r="G114" s="26"/>
      <x:c r="H114" s="19"/>
    </x:row>
    <x:row r="115">
      <x:c r="A115" s="19"/>
      <x:c r="B115" s="19"/>
      <x:c r="C115" s="19"/>
      <x:c r="D115" s="19"/>
      <x:c r="E115" s="19"/>
      <x:c r="F115" s="19"/>
      <x:c r="G115" s="26"/>
      <x:c r="H115" s="19"/>
    </x:row>
    <x:row r="116">
      <x:c r="A116" s="19"/>
      <x:c r="B116" s="19"/>
      <x:c r="C116" s="19"/>
      <x:c r="D116" s="19"/>
      <x:c r="E116" s="19"/>
      <x:c r="F116" s="19"/>
      <x:c r="G116" s="26"/>
      <x:c r="H116" s="19"/>
    </x:row>
    <x:row r="117">
      <x:c r="A117" s="19"/>
      <x:c r="B117" s="19"/>
      <x:c r="C117" s="19"/>
      <x:c r="D117" s="19"/>
      <x:c r="E117" s="19"/>
      <x:c r="F117" s="19"/>
      <x:c r="G117" s="26"/>
      <x:c r="H117" s="19"/>
    </x:row>
    <x:row r="118">
      <x:c r="A118" s="19"/>
      <x:c r="B118" s="19"/>
      <x:c r="C118" s="19"/>
      <x:c r="D118" s="19"/>
      <x:c r="E118" s="19"/>
      <x:c r="F118" s="19"/>
      <x:c r="G118" s="26"/>
      <x:c r="H118" s="19"/>
    </x:row>
    <x:row r="119">
      <x:c r="A119" s="19"/>
      <x:c r="B119" s="19"/>
      <x:c r="C119" s="19"/>
      <x:c r="D119" s="19"/>
      <x:c r="E119" s="19"/>
      <x:c r="F119" s="19"/>
      <x:c r="G119" s="26"/>
      <x:c r="H119" s="19"/>
    </x:row>
    <x:row r="120">
      <x:c r="A120" s="19"/>
      <x:c r="B120" s="19"/>
      <x:c r="C120" s="19"/>
      <x:c r="D120" s="19"/>
      <x:c r="E120" s="19"/>
      <x:c r="F120" s="19"/>
      <x:c r="G120" s="26"/>
      <x:c r="H120" s="19"/>
    </x:row>
    <x:row r="121">
      <x:c r="A121" s="19"/>
      <x:c r="B121" s="19"/>
      <x:c r="C121" s="19"/>
      <x:c r="D121" s="19"/>
      <x:c r="E121" s="19"/>
      <x:c r="F121" s="19"/>
      <x:c r="G121" s="26"/>
      <x:c r="H121" s="19"/>
    </x:row>
    <x:row r="122">
      <x:c r="A122" s="19"/>
      <x:c r="B122" s="19"/>
      <x:c r="C122" s="19"/>
      <x:c r="D122" s="19"/>
      <x:c r="E122" s="19"/>
      <x:c r="F122" s="19"/>
      <x:c r="G122" s="26"/>
      <x:c r="H122" s="19"/>
    </x:row>
    <x:row r="123">
      <x:c r="A123" s="19"/>
      <x:c r="B123" s="19"/>
      <x:c r="C123" s="19"/>
      <x:c r="D123" s="19"/>
      <x:c r="E123" s="19"/>
      <x:c r="F123" s="19"/>
      <x:c r="G123" s="26"/>
      <x:c r="H123" s="19"/>
    </x:row>
    <x:row r="124">
      <x:c r="A124" s="19"/>
      <x:c r="B124" s="19"/>
      <x:c r="C124" s="19"/>
      <x:c r="D124" s="19"/>
      <x:c r="E124" s="19"/>
      <x:c r="F124" s="19"/>
      <x:c r="G124" s="26"/>
      <x:c r="H124" s="19"/>
    </x:row>
    <x:row r="125">
      <x:c r="A125" s="19"/>
      <x:c r="B125" s="19"/>
      <x:c r="C125" s="19"/>
      <x:c r="D125" s="19"/>
      <x:c r="E125" s="19"/>
      <x:c r="F125" s="19"/>
      <x:c r="G125" s="26"/>
      <x:c r="H125" s="19"/>
    </x:row>
    <x:row r="126">
      <x:c r="A126" s="19"/>
      <x:c r="B126" s="19"/>
      <x:c r="C126" s="19"/>
      <x:c r="D126" s="19"/>
      <x:c r="E126" s="19"/>
      <x:c r="F126" s="19"/>
      <x:c r="G126" s="26"/>
      <x:c r="H126" s="19"/>
    </x:row>
    <x:row r="127">
      <x:c r="A127" s="19"/>
      <x:c r="B127" s="19"/>
      <x:c r="C127" s="19"/>
      <x:c r="D127" s="19"/>
      <x:c r="E127" s="19"/>
      <x:c r="F127" s="19"/>
      <x:c r="G127" s="26"/>
      <x:c r="H127" s="19"/>
    </x:row>
    <x:row r="128">
      <x:c r="A128" s="19"/>
      <x:c r="B128" s="19"/>
      <x:c r="C128" s="19"/>
      <x:c r="D128" s="19"/>
      <x:c r="E128" s="19"/>
      <x:c r="F128" s="19"/>
      <x:c r="G128" s="26"/>
      <x:c r="H128" s="19"/>
    </x:row>
    <x:row r="129">
      <x:c r="A129" s="19"/>
      <x:c r="B129" s="19"/>
      <x:c r="C129" s="19"/>
      <x:c r="D129" s="19"/>
      <x:c r="E129" s="19"/>
      <x:c r="F129" s="19"/>
      <x:c r="G129" s="26"/>
      <x:c r="H129" s="19"/>
    </x:row>
    <x:row r="130">
      <x:c r="A130" s="19"/>
      <x:c r="B130" s="19"/>
      <x:c r="C130" s="19"/>
      <x:c r="D130" s="19"/>
      <x:c r="E130" s="19"/>
      <x:c r="F130" s="19"/>
      <x:c r="G130" s="26"/>
      <x:c r="H130" s="19"/>
    </x:row>
    <x:row r="131">
      <x:c r="A131" s="19"/>
      <x:c r="B131" s="19"/>
      <x:c r="C131" s="19"/>
      <x:c r="D131" s="19"/>
      <x:c r="E131" s="19"/>
      <x:c r="F131" s="19"/>
      <x:c r="G131" s="26"/>
      <x:c r="H131" s="19"/>
    </x:row>
    <x:row r="132">
      <x:c r="A132" s="19"/>
      <x:c r="B132" s="19"/>
      <x:c r="C132" s="19"/>
      <x:c r="D132" s="19"/>
      <x:c r="E132" s="19"/>
      <x:c r="F132" s="19"/>
      <x:c r="G132" s="26"/>
      <x:c r="H132" s="19"/>
    </x:row>
    <x:row r="133">
      <x:c r="A133" s="19"/>
      <x:c r="B133" s="19"/>
      <x:c r="C133" s="19"/>
      <x:c r="D133" s="19"/>
      <x:c r="E133" s="19"/>
      <x:c r="F133" s="19"/>
      <x:c r="G133" s="26"/>
      <x:c r="H133" s="19"/>
    </x:row>
    <x:row r="134">
      <x:c r="A134" s="19"/>
      <x:c r="B134" s="19"/>
      <x:c r="C134" s="19"/>
      <x:c r="D134" s="19"/>
      <x:c r="E134" s="19"/>
      <x:c r="F134" s="19"/>
      <x:c r="G134" s="26"/>
      <x:c r="H134" s="19"/>
    </x:row>
    <x:row r="135">
      <x:c r="A135" s="19"/>
      <x:c r="B135" s="19"/>
      <x:c r="C135" s="19"/>
      <x:c r="D135" s="19"/>
      <x:c r="E135" s="19"/>
      <x:c r="F135" s="19"/>
      <x:c r="G135" s="26"/>
      <x:c r="H135" s="19"/>
    </x:row>
    <x:row r="136">
      <x:c r="A136" s="19"/>
      <x:c r="B136" s="19"/>
      <x:c r="C136" s="19"/>
      <x:c r="D136" s="19"/>
      <x:c r="E136" s="19"/>
      <x:c r="F136" s="19"/>
      <x:c r="G136" s="26"/>
      <x:c r="H136" s="19"/>
    </x:row>
    <x:row r="137">
      <x:c r="A137" s="19"/>
      <x:c r="B137" s="19"/>
      <x:c r="C137" s="19"/>
      <x:c r="D137" s="19"/>
      <x:c r="E137" s="19"/>
      <x:c r="F137" s="19"/>
      <x:c r="G137" s="26"/>
      <x:c r="H137" s="19"/>
    </x:row>
    <x:row r="138">
      <x:c r="A138" s="19"/>
      <x:c r="B138" s="19"/>
      <x:c r="C138" s="19"/>
      <x:c r="D138" s="19"/>
      <x:c r="E138" s="19"/>
      <x:c r="F138" s="19"/>
      <x:c r="G138" s="26"/>
      <x:c r="H138" s="19"/>
    </x:row>
    <x:row r="139">
      <x:c r="A139" s="19"/>
      <x:c r="B139" s="19"/>
      <x:c r="C139" s="19"/>
      <x:c r="D139" s="19"/>
      <x:c r="E139" s="19"/>
      <x:c r="F139" s="19"/>
      <x:c r="G139" s="26"/>
      <x:c r="H139" s="19"/>
    </x:row>
    <x:row r="140">
      <x:c r="A140" s="19"/>
      <x:c r="B140" s="19"/>
      <x:c r="C140" s="19"/>
      <x:c r="D140" s="19"/>
      <x:c r="E140" s="19"/>
      <x:c r="F140" s="19"/>
      <x:c r="G140" s="26"/>
      <x:c r="H140" s="19"/>
    </x:row>
    <x:row r="141">
      <x:c r="A141" s="19"/>
      <x:c r="B141" s="19"/>
      <x:c r="C141" s="19"/>
      <x:c r="D141" s="19"/>
      <x:c r="E141" s="19"/>
      <x:c r="F141" s="19"/>
      <x:c r="G141" s="26"/>
      <x:c r="H141" s="19"/>
    </x:row>
    <x:row r="142">
      <x:c r="A142" s="19"/>
      <x:c r="B142" s="19"/>
      <x:c r="C142" s="19"/>
      <x:c r="D142" s="19"/>
      <x:c r="E142" s="19"/>
      <x:c r="F142" s="19"/>
      <x:c r="G142" s="26"/>
      <x:c r="H142" s="19"/>
    </x:row>
    <x:row r="143">
      <x:c r="A143" s="19"/>
      <x:c r="B143" s="19"/>
      <x:c r="C143" s="19"/>
      <x:c r="D143" s="19"/>
      <x:c r="E143" s="19"/>
      <x:c r="F143" s="19"/>
      <x:c r="G143" s="26"/>
      <x:c r="H143" s="19"/>
    </x:row>
    <x:row r="144">
      <x:c r="A144" s="19"/>
      <x:c r="B144" s="19"/>
      <x:c r="C144" s="19"/>
      <x:c r="D144" s="19"/>
      <x:c r="E144" s="19"/>
      <x:c r="F144" s="19"/>
      <x:c r="G144" s="26"/>
      <x:c r="H144" s="19"/>
    </x:row>
    <x:row r="145">
      <x:c r="A145" s="19"/>
      <x:c r="B145" s="19"/>
      <x:c r="C145" s="19"/>
      <x:c r="D145" s="19"/>
      <x:c r="E145" s="19"/>
      <x:c r="F145" s="19"/>
      <x:c r="G145" s="26"/>
      <x:c r="H145" s="19"/>
    </x:row>
    <x:row r="146">
      <x:c r="A146" s="19"/>
      <x:c r="B146" s="19"/>
      <x:c r="C146" s="19"/>
      <x:c r="D146" s="19"/>
      <x:c r="E146" s="19"/>
      <x:c r="F146" s="19"/>
      <x:c r="G146" s="26"/>
      <x:c r="H146" s="19"/>
    </x:row>
    <x:row r="147">
      <x:c r="A147" s="19"/>
      <x:c r="B147" s="19"/>
      <x:c r="C147" s="19"/>
      <x:c r="D147" s="19"/>
      <x:c r="E147" s="19"/>
      <x:c r="F147" s="19"/>
      <x:c r="G147" s="26"/>
      <x:c r="H147" s="19"/>
    </x:row>
    <x:row r="148">
      <x:c r="A148" s="19"/>
      <x:c r="B148" s="19"/>
      <x:c r="C148" s="19"/>
      <x:c r="D148" s="19"/>
      <x:c r="E148" s="19"/>
      <x:c r="F148" s="19"/>
      <x:c r="G148" s="26"/>
      <x:c r="H148" s="19"/>
    </x:row>
    <x:row r="149">
      <x:c r="A149" s="19"/>
      <x:c r="B149" s="19"/>
      <x:c r="C149" s="19"/>
      <x:c r="D149" s="19"/>
      <x:c r="E149" s="19"/>
      <x:c r="F149" s="19"/>
      <x:c r="G149" s="26"/>
      <x:c r="H149" s="19"/>
    </x:row>
    <x:row r="150">
      <x:c r="A150" s="19"/>
      <x:c r="B150" s="19"/>
      <x:c r="C150" s="19"/>
      <x:c r="D150" s="19"/>
      <x:c r="E150" s="19"/>
      <x:c r="F150" s="19"/>
      <x:c r="G150" s="26"/>
      <x:c r="H150" s="19"/>
    </x:row>
    <x:row r="151">
      <x:c r="A151" s="19"/>
      <x:c r="B151" s="19"/>
      <x:c r="C151" s="19"/>
      <x:c r="D151" s="19"/>
      <x:c r="E151" s="19"/>
      <x:c r="F151" s="19"/>
      <x:c r="G151" s="26"/>
      <x:c r="H151" s="19"/>
    </x:row>
    <x:row r="152">
      <x:c r="A152" s="19"/>
      <x:c r="B152" s="19"/>
      <x:c r="C152" s="19"/>
      <x:c r="D152" s="19"/>
      <x:c r="E152" s="19"/>
      <x:c r="F152" s="19"/>
      <x:c r="G152" s="26"/>
      <x:c r="H152" s="19"/>
    </x:row>
    <x:row r="153">
      <x:c r="A153" s="19"/>
      <x:c r="B153" s="19"/>
      <x:c r="C153" s="19"/>
      <x:c r="D153" s="19"/>
      <x:c r="E153" s="19"/>
      <x:c r="F153" s="19"/>
      <x:c r="G153" s="26"/>
      <x:c r="H153" s="19"/>
    </x:row>
    <x:row r="154">
      <x:c r="A154" s="19"/>
      <x:c r="B154" s="19"/>
      <x:c r="C154" s="19"/>
      <x:c r="D154" s="19"/>
      <x:c r="E154" s="19"/>
      <x:c r="F154" s="19"/>
      <x:c r="G154" s="26"/>
      <x:c r="H154" s="19"/>
    </x:row>
    <x:row r="155">
      <x:c r="A155" s="19"/>
      <x:c r="B155" s="19"/>
      <x:c r="C155" s="19"/>
      <x:c r="D155" s="19"/>
      <x:c r="E155" s="19"/>
      <x:c r="F155" s="19"/>
      <x:c r="G155" s="26"/>
      <x:c r="H155" s="19"/>
    </x:row>
    <x:row r="156">
      <x:c r="A156" s="19"/>
      <x:c r="B156" s="19"/>
      <x:c r="C156" s="19"/>
      <x:c r="D156" s="19"/>
      <x:c r="E156" s="19"/>
      <x:c r="F156" s="19"/>
      <x:c r="G156" s="26"/>
      <x:c r="H156" s="19"/>
    </x:row>
    <x:row r="157">
      <x:c r="A157" s="19"/>
      <x:c r="B157" s="19"/>
      <x:c r="C157" s="19"/>
      <x:c r="D157" s="19"/>
      <x:c r="E157" s="19"/>
      <x:c r="F157" s="19"/>
      <x:c r="G157" s="26"/>
      <x:c r="H157" s="19"/>
    </x:row>
    <x:row r="158">
      <x:c r="A158" s="19"/>
      <x:c r="B158" s="19"/>
      <x:c r="C158" s="19"/>
      <x:c r="D158" s="19"/>
      <x:c r="E158" s="19"/>
      <x:c r="F158" s="19"/>
      <x:c r="G158" s="26"/>
      <x:c r="H158" s="19"/>
    </x:row>
    <x:row r="159">
      <x:c r="A159" s="19"/>
      <x:c r="B159" s="19"/>
      <x:c r="C159" s="19"/>
      <x:c r="D159" s="19"/>
      <x:c r="E159" s="19"/>
      <x:c r="F159" s="19"/>
      <x:c r="G159" s="26"/>
      <x:c r="H159" s="19"/>
    </x:row>
    <x:row r="160">
      <x:c r="A160" s="19"/>
      <x:c r="B160" s="19"/>
      <x:c r="C160" s="19"/>
      <x:c r="D160" s="19"/>
      <x:c r="E160" s="19"/>
      <x:c r="F160" s="19"/>
      <x:c r="G160" s="26"/>
      <x:c r="H160" s="19"/>
    </x:row>
    <x:row r="161">
      <x:c r="A161" s="19"/>
      <x:c r="B161" s="19"/>
      <x:c r="C161" s="19"/>
      <x:c r="D161" s="19"/>
      <x:c r="E161" s="19"/>
      <x:c r="F161" s="19"/>
      <x:c r="G161" s="26"/>
      <x:c r="H161" s="19"/>
    </x:row>
    <x:row r="162">
      <x:c r="A162" s="19"/>
      <x:c r="B162" s="19"/>
      <x:c r="C162" s="19"/>
      <x:c r="D162" s="19"/>
      <x:c r="E162" s="19"/>
      <x:c r="F162" s="19"/>
      <x:c r="G162" s="26"/>
      <x:c r="H162" s="19"/>
    </x:row>
    <x:row r="163">
      <x:c r="A163" s="19"/>
      <x:c r="B163" s="19"/>
      <x:c r="C163" s="19"/>
      <x:c r="D163" s="19"/>
      <x:c r="E163" s="19"/>
      <x:c r="F163" s="19"/>
      <x:c r="G163" s="26"/>
      <x:c r="H163" s="19"/>
    </x:row>
    <x:row r="164">
      <x:c r="A164" s="19"/>
      <x:c r="B164" s="19"/>
      <x:c r="C164" s="19"/>
      <x:c r="D164" s="19"/>
      <x:c r="E164" s="19"/>
      <x:c r="F164" s="19"/>
      <x:c r="G164" s="26"/>
      <x:c r="H164" s="19"/>
    </x:row>
    <x:row r="165">
      <x:c r="A165" s="19"/>
      <x:c r="B165" s="19"/>
      <x:c r="C165" s="19"/>
      <x:c r="D165" s="19"/>
      <x:c r="E165" s="19"/>
      <x:c r="F165" s="19"/>
      <x:c r="G165" s="26"/>
      <x:c r="H165" s="19"/>
    </x:row>
    <x:row r="166">
      <x:c r="A166" s="19"/>
      <x:c r="B166" s="19"/>
      <x:c r="C166" s="19"/>
      <x:c r="D166" s="19"/>
      <x:c r="E166" s="19"/>
      <x:c r="F166" s="19"/>
      <x:c r="G166" s="26"/>
      <x:c r="H166" s="19"/>
    </x:row>
    <x:row r="167">
      <x:c r="A167" s="19"/>
      <x:c r="B167" s="19"/>
      <x:c r="C167" s="19"/>
      <x:c r="D167" s="19"/>
      <x:c r="E167" s="19"/>
      <x:c r="F167" s="19"/>
      <x:c r="G167" s="26"/>
      <x:c r="H167" s="19"/>
    </x:row>
    <x:row r="168">
      <x:c r="A168" s="19"/>
      <x:c r="B168" s="19"/>
      <x:c r="C168" s="19"/>
      <x:c r="D168" s="19"/>
      <x:c r="E168" s="19"/>
      <x:c r="F168" s="19"/>
      <x:c r="G168" s="26"/>
      <x:c r="H168" s="19"/>
    </x:row>
    <x:row r="169">
      <x:c r="A169" s="19"/>
      <x:c r="B169" s="19"/>
      <x:c r="C169" s="19"/>
      <x:c r="D169" s="19"/>
      <x:c r="E169" s="19"/>
      <x:c r="F169" s="19"/>
      <x:c r="G169" s="26"/>
      <x:c r="H169" s="19"/>
    </x:row>
    <x:row r="170">
      <x:c r="A170" s="19"/>
      <x:c r="B170" s="19"/>
      <x:c r="C170" s="19"/>
      <x:c r="D170" s="19"/>
      <x:c r="E170" s="19"/>
      <x:c r="F170" s="19"/>
      <x:c r="G170" s="26"/>
      <x:c r="H170" s="19"/>
    </x:row>
    <x:row r="171">
      <x:c r="A171" s="19"/>
      <x:c r="B171" s="19"/>
      <x:c r="C171" s="19"/>
      <x:c r="D171" s="19"/>
      <x:c r="E171" s="19"/>
      <x:c r="F171" s="19"/>
      <x:c r="G171" s="26"/>
      <x:c r="H171" s="19"/>
    </x:row>
    <x:row r="172">
      <x:c r="A172" s="19"/>
      <x:c r="B172" s="19"/>
      <x:c r="C172" s="19"/>
      <x:c r="D172" s="19"/>
      <x:c r="E172" s="19"/>
      <x:c r="F172" s="19"/>
      <x:c r="G172" s="26"/>
      <x:c r="H172" s="19"/>
    </x:row>
    <x:row r="173">
      <x:c r="A173" s="19"/>
      <x:c r="B173" s="19"/>
      <x:c r="C173" s="19"/>
      <x:c r="D173" s="19"/>
      <x:c r="E173" s="19"/>
      <x:c r="F173" s="19"/>
      <x:c r="G173" s="26"/>
      <x:c r="H173" s="19"/>
    </x:row>
    <x:row r="174">
      <x:c r="A174" s="19"/>
      <x:c r="B174" s="19"/>
      <x:c r="C174" s="19"/>
      <x:c r="D174" s="19"/>
      <x:c r="E174" s="19"/>
      <x:c r="F174" s="19"/>
      <x:c r="G174" s="26"/>
      <x:c r="H174" s="19"/>
    </x:row>
    <x:row r="175">
      <x:c r="A175" s="19"/>
      <x:c r="B175" s="19"/>
      <x:c r="C175" s="19"/>
      <x:c r="D175" s="19"/>
      <x:c r="E175" s="19"/>
      <x:c r="F175" s="19"/>
      <x:c r="G175" s="26"/>
      <x:c r="H175" s="19"/>
    </x:row>
    <x:row r="176">
      <x:c r="A176" s="19"/>
      <x:c r="B176" s="19"/>
      <x:c r="C176" s="19"/>
      <x:c r="D176" s="19"/>
      <x:c r="E176" s="19"/>
      <x:c r="F176" s="19"/>
      <x:c r="G176" s="26"/>
      <x:c r="H176" s="19"/>
    </x:row>
    <x:row r="177">
      <x:c r="A177" s="19"/>
      <x:c r="B177" s="19"/>
      <x:c r="C177" s="19"/>
      <x:c r="D177" s="19"/>
      <x:c r="E177" s="19"/>
      <x:c r="F177" s="19"/>
      <x:c r="G177" s="26"/>
      <x:c r="H177" s="19"/>
    </x:row>
    <x:row r="178">
      <x:c r="A178" s="19"/>
      <x:c r="B178" s="19"/>
      <x:c r="C178" s="19"/>
      <x:c r="D178" s="19"/>
      <x:c r="E178" s="19"/>
      <x:c r="F178" s="19"/>
      <x:c r="G178" s="26"/>
      <x:c r="H178" s="19"/>
    </x:row>
    <x:row r="179">
      <x:c r="A179" s="19"/>
      <x:c r="B179" s="19"/>
      <x:c r="C179" s="19"/>
      <x:c r="D179" s="19"/>
      <x:c r="E179" s="19"/>
      <x:c r="F179" s="19"/>
      <x:c r="G179" s="26"/>
      <x:c r="H179" s="19"/>
    </x:row>
    <x:row r="180">
      <x:c r="A180" s="19"/>
      <x:c r="B180" s="19"/>
      <x:c r="C180" s="19"/>
      <x:c r="D180" s="19"/>
      <x:c r="E180" s="19"/>
      <x:c r="F180" s="19"/>
      <x:c r="G180" s="26"/>
      <x:c r="H180" s="19"/>
    </x:row>
    <x:row r="181">
      <x:c r="A181" s="19"/>
      <x:c r="B181" s="19"/>
      <x:c r="C181" s="19"/>
      <x:c r="D181" s="19"/>
      <x:c r="E181" s="19"/>
      <x:c r="F181" s="19"/>
      <x:c r="G181" s="26"/>
      <x:c r="H181" s="19"/>
    </x:row>
    <x:row r="182">
      <x:c r="A182" s="19"/>
      <x:c r="B182" s="19"/>
      <x:c r="C182" s="19"/>
      <x:c r="D182" s="19"/>
      <x:c r="E182" s="19"/>
      <x:c r="F182" s="19"/>
      <x:c r="G182" s="26"/>
      <x:c r="H182" s="19"/>
    </x:row>
    <x:row r="183">
      <x:c r="A183" s="19"/>
      <x:c r="B183" s="19"/>
      <x:c r="C183" s="19"/>
      <x:c r="D183" s="19"/>
      <x:c r="E183" s="19"/>
      <x:c r="F183" s="19"/>
      <x:c r="G183" s="26"/>
      <x:c r="H183" s="19"/>
    </x:row>
    <x:row r="184">
      <x:c r="A184" s="19"/>
      <x:c r="B184" s="19"/>
      <x:c r="C184" s="19"/>
      <x:c r="D184" s="19"/>
      <x:c r="E184" s="19"/>
      <x:c r="F184" s="19"/>
      <x:c r="G184" s="26"/>
      <x:c r="H184" s="19"/>
    </x:row>
    <x:row r="185">
      <x:c r="A185" s="19"/>
      <x:c r="B185" s="19"/>
      <x:c r="C185" s="19"/>
      <x:c r="D185" s="19"/>
      <x:c r="E185" s="19"/>
      <x:c r="F185" s="19"/>
      <x:c r="G185" s="26"/>
      <x:c r="H185" s="19"/>
    </x:row>
    <x:row r="186">
      <x:c r="A186" s="19"/>
      <x:c r="B186" s="19"/>
      <x:c r="C186" s="19"/>
      <x:c r="D186" s="19"/>
      <x:c r="E186" s="19"/>
      <x:c r="F186" s="19"/>
      <x:c r="G186" s="26"/>
      <x:c r="H186" s="19"/>
    </x:row>
    <x:row r="187">
      <x:c r="A187" s="19"/>
      <x:c r="B187" s="19"/>
      <x:c r="C187" s="19"/>
      <x:c r="D187" s="19"/>
      <x:c r="E187" s="19"/>
      <x:c r="F187" s="19"/>
      <x:c r="G187" s="26"/>
      <x:c r="H187" s="19"/>
    </x:row>
    <x:row r="188">
      <x:c r="A188" s="19"/>
      <x:c r="B188" s="19"/>
      <x:c r="C188" s="19"/>
      <x:c r="D188" s="19"/>
      <x:c r="E188" s="19"/>
      <x:c r="F188" s="19"/>
      <x:c r="G188" s="26"/>
      <x:c r="H188" s="19"/>
    </x:row>
    <x:row r="189">
      <x:c r="A189" s="19"/>
      <x:c r="B189" s="19"/>
      <x:c r="C189" s="19"/>
      <x:c r="D189" s="19"/>
      <x:c r="E189" s="19"/>
      <x:c r="F189" s="19"/>
      <x:c r="G189" s="26"/>
      <x:c r="H189" s="19"/>
    </x:row>
    <x:row r="190">
      <x:c r="A190" s="19"/>
      <x:c r="B190" s="19"/>
      <x:c r="C190" s="19"/>
      <x:c r="D190" s="19"/>
      <x:c r="E190" s="19"/>
      <x:c r="F190" s="19"/>
      <x:c r="G190" s="26"/>
      <x:c r="H190" s="19"/>
    </x:row>
    <x:row r="191">
      <x:c r="A191" s="19"/>
      <x:c r="B191" s="19"/>
      <x:c r="C191" s="19"/>
      <x:c r="D191" s="19"/>
      <x:c r="E191" s="19"/>
      <x:c r="F191" s="19"/>
      <x:c r="G191" s="26"/>
      <x:c r="H191" s="19"/>
    </x:row>
    <x:row r="192">
      <x:c r="A192" s="19"/>
      <x:c r="B192" s="19"/>
      <x:c r="C192" s="19"/>
      <x:c r="D192" s="19"/>
      <x:c r="E192" s="19"/>
      <x:c r="F192" s="19"/>
      <x:c r="G192" s="26"/>
      <x:c r="H192" s="19"/>
    </x:row>
    <x:row r="193">
      <x:c r="A193" s="19"/>
      <x:c r="B193" s="19"/>
      <x:c r="C193" s="19"/>
      <x:c r="D193" s="19"/>
      <x:c r="E193" s="19"/>
      <x:c r="F193" s="19"/>
      <x:c r="G193" s="26"/>
      <x:c r="H193" s="19"/>
    </x:row>
    <x:row r="194">
      <x:c r="A194" s="19"/>
      <x:c r="B194" s="19"/>
      <x:c r="C194" s="19"/>
      <x:c r="D194" s="19"/>
      <x:c r="E194" s="19"/>
      <x:c r="F194" s="19"/>
      <x:c r="G194" s="26"/>
      <x:c r="H194" s="19"/>
    </x:row>
    <x:row r="195">
      <x:c r="A195" s="19"/>
      <x:c r="B195" s="19"/>
      <x:c r="C195" s="19"/>
      <x:c r="D195" s="19"/>
      <x:c r="E195" s="19"/>
      <x:c r="F195" s="19"/>
      <x:c r="G195" s="26"/>
      <x:c r="H195" s="19"/>
    </x:row>
    <x:row r="196">
      <x:c r="A196" s="19"/>
      <x:c r="B196" s="19"/>
      <x:c r="C196" s="19"/>
      <x:c r="D196" s="19"/>
      <x:c r="E196" s="19"/>
      <x:c r="F196" s="19"/>
      <x:c r="G196" s="26"/>
      <x:c r="H196" s="19"/>
    </x:row>
    <x:row r="197">
      <x:c r="A197" s="19"/>
      <x:c r="B197" s="19"/>
      <x:c r="C197" s="19"/>
      <x:c r="D197" s="19"/>
      <x:c r="E197" s="19"/>
      <x:c r="F197" s="19"/>
      <x:c r="G197" s="26"/>
      <x:c r="H197" s="19"/>
    </x:row>
    <x:row r="198">
      <x:c r="A198" s="19"/>
      <x:c r="B198" s="19"/>
      <x:c r="C198" s="19"/>
      <x:c r="D198" s="19"/>
      <x:c r="E198" s="19"/>
      <x:c r="F198" s="19"/>
      <x:c r="G198" s="26"/>
      <x:c r="H198" s="19"/>
    </x:row>
    <x:row r="199">
      <x:c r="A199" s="19"/>
      <x:c r="B199" s="19"/>
      <x:c r="C199" s="19"/>
      <x:c r="D199" s="19"/>
      <x:c r="E199" s="19"/>
      <x:c r="F199" s="19"/>
      <x:c r="G199" s="26"/>
      <x:c r="H199" s="19"/>
    </x:row>
    <x:row r="200">
      <x:c r="A200" s="19"/>
      <x:c r="B200" s="19"/>
      <x:c r="C200" s="19"/>
      <x:c r="D200" s="19"/>
      <x:c r="E200" s="19"/>
      <x:c r="F200" s="19"/>
      <x:c r="G200" s="26"/>
      <x:c r="H200" s="19"/>
    </x:row>
    <x:row r="201">
      <x:c r="A201" s="19"/>
      <x:c r="B201" s="19"/>
      <x:c r="C201" s="19"/>
      <x:c r="D201" s="19"/>
      <x:c r="E201" s="19"/>
      <x:c r="F201" s="19"/>
      <x:c r="G201" s="26"/>
      <x:c r="H201" s="19"/>
    </x:row>
    <x:row r="202">
      <x:c r="A202" s="19"/>
      <x:c r="B202" s="19"/>
      <x:c r="C202" s="19"/>
      <x:c r="D202" s="19"/>
      <x:c r="E202" s="19"/>
      <x:c r="F202" s="19"/>
      <x:c r="G202" s="26"/>
      <x:c r="H202" s="19"/>
    </x:row>
    <x:row r="203">
      <x:c r="A203" s="19"/>
      <x:c r="B203" s="19"/>
      <x:c r="C203" s="19"/>
      <x:c r="D203" s="19"/>
      <x:c r="E203" s="19"/>
      <x:c r="F203" s="19"/>
      <x:c r="G203" s="26"/>
      <x:c r="H203" s="19"/>
    </x:row>
    <x:row r="204">
      <x:c r="A204" s="19"/>
      <x:c r="B204" s="19"/>
      <x:c r="C204" s="19"/>
      <x:c r="D204" s="19"/>
      <x:c r="E204" s="19"/>
      <x:c r="F204" s="19"/>
      <x:c r="G204" s="26"/>
      <x:c r="H204" s="19"/>
    </x:row>
    <x:row r="205">
      <x:c r="A205" s="19"/>
      <x:c r="B205" s="19"/>
      <x:c r="C205" s="19"/>
      <x:c r="D205" s="19"/>
      <x:c r="E205" s="19"/>
      <x:c r="F205" s="19"/>
      <x:c r="G205" s="26"/>
      <x:c r="H205" s="19"/>
    </x:row>
    <x:row r="206">
      <x:c r="A206" s="19"/>
      <x:c r="B206" s="19"/>
      <x:c r="C206" s="19"/>
      <x:c r="D206" s="19"/>
      <x:c r="E206" s="19"/>
      <x:c r="F206" s="19"/>
      <x:c r="G206" s="26"/>
      <x:c r="H206" s="19"/>
    </x:row>
    <x:row r="207">
      <x:c r="A207" s="19"/>
      <x:c r="B207" s="19"/>
      <x:c r="C207" s="19"/>
      <x:c r="D207" s="19"/>
      <x:c r="E207" s="19"/>
      <x:c r="F207" s="19"/>
      <x:c r="G207" s="26"/>
      <x:c r="H207" s="19"/>
    </x:row>
    <x:row r="208">
      <x:c r="A208" s="19"/>
      <x:c r="B208" s="19"/>
      <x:c r="C208" s="19"/>
      <x:c r="D208" s="19"/>
      <x:c r="E208" s="19"/>
      <x:c r="F208" s="19"/>
      <x:c r="G208" s="26"/>
      <x:c r="H208" s="19"/>
    </x:row>
    <x:row r="209">
      <x:c r="A209" s="19"/>
      <x:c r="B209" s="19"/>
      <x:c r="C209" s="19"/>
      <x:c r="D209" s="19"/>
      <x:c r="E209" s="19"/>
      <x:c r="F209" s="19"/>
      <x:c r="G209" s="26"/>
      <x:c r="H209" s="19"/>
    </x:row>
    <x:row r="210">
      <x:c r="A210" s="19"/>
      <x:c r="B210" s="19"/>
      <x:c r="C210" s="19"/>
      <x:c r="D210" s="19"/>
      <x:c r="E210" s="19"/>
      <x:c r="F210" s="19"/>
      <x:c r="G210" s="26"/>
      <x:c r="H210" s="19"/>
    </x:row>
    <x:row r="211">
      <x:c r="A211" s="19"/>
      <x:c r="B211" s="19"/>
      <x:c r="C211" s="19"/>
      <x:c r="D211" s="19"/>
      <x:c r="E211" s="19"/>
      <x:c r="F211" s="19"/>
      <x:c r="G211" s="26"/>
      <x:c r="H211" s="19"/>
    </x:row>
    <x:row r="212">
      <x:c r="A212" s="19"/>
      <x:c r="B212" s="19"/>
      <x:c r="C212" s="19"/>
      <x:c r="D212" s="19"/>
      <x:c r="E212" s="19"/>
      <x:c r="F212" s="19"/>
      <x:c r="G212" s="26"/>
      <x:c r="H212" s="19"/>
    </x:row>
    <x:row r="213">
      <x:c r="A213" s="19"/>
      <x:c r="B213" s="19"/>
      <x:c r="C213" s="19"/>
      <x:c r="D213" s="19"/>
      <x:c r="E213" s="19"/>
      <x:c r="F213" s="19"/>
      <x:c r="G213" s="26"/>
      <x:c r="H213" s="19"/>
    </x:row>
    <x:row r="214">
      <x:c r="A214" s="19"/>
      <x:c r="B214" s="19"/>
      <x:c r="C214" s="19"/>
      <x:c r="D214" s="19"/>
      <x:c r="E214" s="19"/>
      <x:c r="F214" s="19"/>
      <x:c r="G214" s="26"/>
      <x:c r="H214" s="19"/>
    </x:row>
    <x:row r="215">
      <x:c r="A215" s="19"/>
      <x:c r="B215" s="19"/>
      <x:c r="C215" s="19"/>
      <x:c r="D215" s="19"/>
      <x:c r="E215" s="19"/>
      <x:c r="F215" s="19"/>
      <x:c r="G215" s="26"/>
      <x:c r="H215" s="19"/>
    </x:row>
    <x:row r="216">
      <x:c r="A216" s="19"/>
      <x:c r="B216" s="19"/>
      <x:c r="C216" s="19"/>
      <x:c r="D216" s="19"/>
      <x:c r="E216" s="19"/>
      <x:c r="F216" s="19"/>
      <x:c r="G216" s="26"/>
      <x:c r="H216" s="19"/>
    </x:row>
    <x:row r="217">
      <x:c r="A217" s="19"/>
      <x:c r="B217" s="19"/>
      <x:c r="C217" s="19"/>
      <x:c r="D217" s="19"/>
      <x:c r="E217" s="19"/>
      <x:c r="F217" s="19"/>
      <x:c r="G217" s="26"/>
      <x:c r="H217" s="19"/>
    </x:row>
    <x:row r="218">
      <x:c r="A218" s="19"/>
      <x:c r="B218" s="19"/>
      <x:c r="C218" s="19"/>
      <x:c r="D218" s="19"/>
      <x:c r="E218" s="19"/>
      <x:c r="F218" s="19"/>
      <x:c r="G218" s="26"/>
      <x:c r="H218" s="19"/>
    </x:row>
    <x:row r="219">
      <x:c r="A219" s="19"/>
      <x:c r="B219" s="19"/>
      <x:c r="C219" s="19"/>
      <x:c r="D219" s="19"/>
      <x:c r="E219" s="19"/>
      <x:c r="F219" s="19"/>
      <x:c r="G219" s="26"/>
      <x:c r="H219" s="19"/>
    </x:row>
    <x:row r="220">
      <x:c r="A220" s="19"/>
      <x:c r="B220" s="19"/>
      <x:c r="C220" s="19"/>
      <x:c r="D220" s="19"/>
      <x:c r="E220" s="19"/>
      <x:c r="F220" s="19"/>
      <x:c r="G220" s="26"/>
      <x:c r="H220" s="19"/>
    </x:row>
    <x:row r="221">
      <x:c r="A221" s="19"/>
      <x:c r="B221" s="19"/>
      <x:c r="C221" s="19"/>
      <x:c r="D221" s="19"/>
      <x:c r="E221" s="19"/>
      <x:c r="F221" s="19"/>
      <x:c r="G221" s="26"/>
      <x:c r="H221" s="19"/>
    </x:row>
    <x:row r="222">
      <x:c r="A222" s="19"/>
      <x:c r="B222" s="19"/>
      <x:c r="C222" s="19"/>
      <x:c r="D222" s="19"/>
      <x:c r="E222" s="19"/>
      <x:c r="F222" s="19"/>
      <x:c r="G222" s="26"/>
      <x:c r="H222" s="19"/>
    </x:row>
    <x:row r="223">
      <x:c r="A223" s="19"/>
      <x:c r="B223" s="19"/>
      <x:c r="C223" s="19"/>
      <x:c r="D223" s="19"/>
      <x:c r="E223" s="19"/>
      <x:c r="F223" s="19"/>
      <x:c r="G223" s="26"/>
      <x:c r="H223" s="19"/>
    </x:row>
    <x:row r="224">
      <x:c r="A224" s="19"/>
      <x:c r="B224" s="19"/>
      <x:c r="C224" s="19"/>
      <x:c r="D224" s="19"/>
      <x:c r="E224" s="19"/>
      <x:c r="F224" s="19"/>
      <x:c r="G224" s="26"/>
      <x:c r="H224" s="19"/>
    </x:row>
    <x:row r="225">
      <x:c r="A225" s="19"/>
      <x:c r="B225" s="19"/>
      <x:c r="C225" s="19"/>
      <x:c r="D225" s="19"/>
      <x:c r="E225" s="19"/>
      <x:c r="F225" s="19"/>
      <x:c r="G225" s="26"/>
      <x:c r="H225" s="19"/>
    </x:row>
    <x:row r="226">
      <x:c r="A226" s="19"/>
      <x:c r="B226" s="19"/>
      <x:c r="C226" s="19"/>
      <x:c r="D226" s="19"/>
      <x:c r="E226" s="19"/>
      <x:c r="F226" s="19"/>
      <x:c r="G226" s="26"/>
      <x:c r="H226" s="19"/>
    </x:row>
    <x:row r="227">
      <x:c r="A227" s="19"/>
      <x:c r="B227" s="19"/>
      <x:c r="C227" s="19"/>
      <x:c r="D227" s="19"/>
      <x:c r="E227" s="19"/>
      <x:c r="F227" s="19"/>
      <x:c r="G227" s="26"/>
      <x:c r="H227" s="19"/>
    </x:row>
    <x:row r="228">
      <x:c r="A228" s="19"/>
      <x:c r="B228" s="19"/>
      <x:c r="C228" s="19"/>
      <x:c r="D228" s="19"/>
      <x:c r="E228" s="19"/>
      <x:c r="F228" s="19"/>
      <x:c r="G228" s="26"/>
      <x:c r="H228" s="19"/>
    </x:row>
    <x:row r="229">
      <x:c r="A229" s="19"/>
      <x:c r="B229" s="19"/>
      <x:c r="C229" s="19"/>
      <x:c r="D229" s="19"/>
      <x:c r="E229" s="19"/>
      <x:c r="F229" s="19"/>
      <x:c r="G229" s="26"/>
      <x:c r="H229" s="19"/>
    </x:row>
    <x:row r="230">
      <x:c r="A230" s="19"/>
      <x:c r="B230" s="19"/>
      <x:c r="C230" s="19"/>
      <x:c r="D230" s="19"/>
      <x:c r="E230" s="19"/>
      <x:c r="F230" s="19"/>
      <x:c r="G230" s="26"/>
      <x:c r="H230" s="19"/>
    </x:row>
    <x:row r="231">
      <x:c r="A231" s="19"/>
      <x:c r="B231" s="19"/>
      <x:c r="C231" s="19"/>
      <x:c r="D231" s="19"/>
      <x:c r="E231" s="19"/>
      <x:c r="F231" s="19"/>
      <x:c r="G231" s="26"/>
      <x:c r="H231" s="19"/>
    </x:row>
    <x:row r="232">
      <x:c r="A232" s="19"/>
      <x:c r="B232" s="19"/>
      <x:c r="C232" s="19"/>
      <x:c r="D232" s="19"/>
      <x:c r="E232" s="19"/>
      <x:c r="F232" s="19"/>
      <x:c r="G232" s="26"/>
      <x:c r="H232" s="19"/>
    </x:row>
    <x:row r="233">
      <x:c r="A233" s="19"/>
      <x:c r="B233" s="19"/>
      <x:c r="C233" s="19"/>
      <x:c r="D233" s="19"/>
      <x:c r="E233" s="19"/>
      <x:c r="F233" s="19"/>
      <x:c r="G233" s="26"/>
      <x:c r="H233" s="19"/>
    </x:row>
    <x:row r="234">
      <x:c r="A234" s="19"/>
      <x:c r="B234" s="19"/>
      <x:c r="C234" s="19"/>
      <x:c r="D234" s="19"/>
      <x:c r="E234" s="19"/>
      <x:c r="F234" s="19"/>
      <x:c r="G234" s="26"/>
      <x:c r="H234" s="19"/>
    </x:row>
    <x:row r="235">
      <x:c r="A235" s="19"/>
      <x:c r="B235" s="19"/>
      <x:c r="C235" s="19"/>
      <x:c r="D235" s="19"/>
      <x:c r="E235" s="19"/>
      <x:c r="F235" s="19"/>
      <x:c r="G235" s="26"/>
      <x:c r="H235" s="19"/>
    </x:row>
    <x:row r="236">
      <x:c r="A236" s="19"/>
      <x:c r="B236" s="19"/>
      <x:c r="C236" s="19"/>
      <x:c r="D236" s="19"/>
      <x:c r="E236" s="19"/>
      <x:c r="F236" s="19"/>
      <x:c r="G236" s="26"/>
      <x:c r="H236" s="19"/>
    </x:row>
    <x:row r="237">
      <x:c r="A237" s="19"/>
      <x:c r="B237" s="19"/>
      <x:c r="C237" s="19"/>
      <x:c r="D237" s="19"/>
      <x:c r="E237" s="19"/>
      <x:c r="F237" s="19"/>
      <x:c r="G237" s="26"/>
      <x:c r="H237" s="19"/>
    </x:row>
    <x:row r="238">
      <x:c r="A238" s="19"/>
      <x:c r="B238" s="19"/>
      <x:c r="C238" s="19"/>
      <x:c r="D238" s="19"/>
      <x:c r="E238" s="19"/>
      <x:c r="F238" s="19"/>
      <x:c r="G238" s="26"/>
      <x:c r="H238" s="19"/>
    </x:row>
    <x:row r="239">
      <x:c r="A239" s="19"/>
      <x:c r="B239" s="19"/>
      <x:c r="C239" s="19"/>
      <x:c r="D239" s="19"/>
      <x:c r="E239" s="19"/>
      <x:c r="F239" s="19"/>
      <x:c r="G239" s="26"/>
      <x:c r="H239" s="19"/>
    </x:row>
    <x:row r="240">
      <x:c r="A240" s="19"/>
      <x:c r="B240" s="19"/>
      <x:c r="C240" s="19"/>
      <x:c r="D240" s="19"/>
      <x:c r="E240" s="19"/>
      <x:c r="F240" s="19"/>
      <x:c r="G240" s="26"/>
      <x:c r="H240" s="19"/>
    </x:row>
    <x:row r="241">
      <x:c r="A241" s="19"/>
      <x:c r="B241" s="19"/>
      <x:c r="C241" s="19"/>
      <x:c r="D241" s="19"/>
      <x:c r="E241" s="19"/>
      <x:c r="F241" s="19"/>
      <x:c r="G241" s="26"/>
      <x:c r="H241" s="19"/>
    </x:row>
    <x:row r="242">
      <x:c r="A242" s="19"/>
      <x:c r="B242" s="19"/>
      <x:c r="C242" s="19"/>
      <x:c r="D242" s="19"/>
      <x:c r="E242" s="19"/>
      <x:c r="F242" s="19"/>
      <x:c r="G242" s="26"/>
      <x:c r="H242" s="19"/>
    </x:row>
    <x:row r="243">
      <x:c r="A243" s="19"/>
      <x:c r="B243" s="19"/>
      <x:c r="C243" s="19"/>
      <x:c r="D243" s="19"/>
      <x:c r="E243" s="19"/>
      <x:c r="F243" s="19"/>
      <x:c r="G243" s="26"/>
      <x:c r="H243" s="19"/>
    </x:row>
    <x:row r="244">
      <x:c r="A244" s="19"/>
      <x:c r="B244" s="19"/>
      <x:c r="C244" s="19"/>
      <x:c r="D244" s="19"/>
      <x:c r="E244" s="19"/>
      <x:c r="F244" s="19"/>
      <x:c r="G244" s="26"/>
      <x:c r="H244" s="19"/>
    </x:row>
    <x:row r="245">
      <x:c r="A245" s="19"/>
      <x:c r="B245" s="19"/>
      <x:c r="C245" s="19"/>
      <x:c r="D245" s="19"/>
      <x:c r="E245" s="19"/>
      <x:c r="F245" s="19"/>
      <x:c r="G245" s="26"/>
      <x:c r="H245" s="19"/>
    </x:row>
    <x:row r="246">
      <x:c r="A246" s="19"/>
      <x:c r="B246" s="19"/>
      <x:c r="C246" s="19"/>
      <x:c r="D246" s="19"/>
      <x:c r="E246" s="19"/>
      <x:c r="F246" s="19"/>
      <x:c r="G246" s="26"/>
      <x:c r="H246" s="19"/>
    </x:row>
    <x:row r="247">
      <x:c r="A247" s="19"/>
      <x:c r="B247" s="19"/>
      <x:c r="C247" s="19"/>
      <x:c r="D247" s="19"/>
      <x:c r="E247" s="19"/>
      <x:c r="F247" s="19"/>
      <x:c r="G247" s="26"/>
      <x:c r="H247" s="19"/>
    </x:row>
    <x:row r="248">
      <x:c r="A248" s="19"/>
      <x:c r="B248" s="19"/>
      <x:c r="C248" s="19"/>
      <x:c r="D248" s="19"/>
      <x:c r="E248" s="19"/>
      <x:c r="F248" s="19"/>
      <x:c r="G248" s="26"/>
      <x:c r="H248" s="19"/>
    </x:row>
    <x:row r="249">
      <x:c r="A249" s="19"/>
      <x:c r="B249" s="19"/>
      <x:c r="C249" s="19"/>
      <x:c r="D249" s="19"/>
      <x:c r="E249" s="19"/>
      <x:c r="F249" s="19"/>
      <x:c r="G249" s="26"/>
      <x:c r="H249" s="19"/>
    </x:row>
    <x:row r="250">
      <x:c r="A250" s="19"/>
      <x:c r="B250" s="19"/>
      <x:c r="C250" s="19"/>
      <x:c r="D250" s="19"/>
      <x:c r="E250" s="19"/>
      <x:c r="F250" s="19"/>
      <x:c r="G250" s="26"/>
      <x:c r="H250" s="19"/>
    </x:row>
    <x:row r="251">
      <x:c r="A251" s="19"/>
      <x:c r="B251" s="19"/>
      <x:c r="C251" s="19"/>
      <x:c r="D251" s="19"/>
      <x:c r="E251" s="19"/>
      <x:c r="F251" s="19"/>
      <x:c r="G251" s="26"/>
      <x:c r="H251" s="19"/>
    </x:row>
    <x:row r="252">
      <x:c r="A252" s="19"/>
      <x:c r="B252" s="19"/>
      <x:c r="C252" s="19"/>
      <x:c r="D252" s="19"/>
      <x:c r="E252" s="19"/>
      <x:c r="F252" s="19"/>
      <x:c r="G252" s="26"/>
      <x:c r="H252" s="19"/>
    </x:row>
    <x:row r="253">
      <x:c r="A253" s="19"/>
      <x:c r="B253" s="19"/>
      <x:c r="C253" s="19"/>
      <x:c r="D253" s="19"/>
      <x:c r="E253" s="19"/>
      <x:c r="F253" s="19"/>
      <x:c r="G253" s="26"/>
      <x:c r="H253" s="19"/>
    </x:row>
    <x:row r="254">
      <x:c r="A254" s="19"/>
      <x:c r="B254" s="19"/>
      <x:c r="C254" s="19"/>
      <x:c r="D254" s="19"/>
      <x:c r="E254" s="19"/>
      <x:c r="F254" s="19"/>
      <x:c r="G254" s="26"/>
      <x:c r="H254" s="19"/>
    </x:row>
    <x:row r="255">
      <x:c r="A255" s="19"/>
      <x:c r="B255" s="19"/>
      <x:c r="C255" s="19"/>
      <x:c r="D255" s="19"/>
      <x:c r="E255" s="19"/>
      <x:c r="F255" s="19"/>
      <x:c r="G255" s="26"/>
      <x:c r="H255" s="19"/>
    </x:row>
    <x:row r="256">
      <x:c r="A256" s="19"/>
      <x:c r="B256" s="19"/>
      <x:c r="C256" s="19"/>
      <x:c r="D256" s="19"/>
      <x:c r="E256" s="19"/>
      <x:c r="F256" s="19"/>
      <x:c r="G256" s="26"/>
      <x:c r="H256" s="19"/>
    </x:row>
    <x:row r="257">
      <x:c r="A257" s="19"/>
      <x:c r="B257" s="19"/>
      <x:c r="C257" s="19"/>
      <x:c r="D257" s="19"/>
      <x:c r="E257" s="19"/>
      <x:c r="F257" s="19"/>
      <x:c r="G257" s="26"/>
      <x:c r="H257" s="19"/>
    </x:row>
    <x:row r="258">
      <x:c r="A258" s="19"/>
      <x:c r="B258" s="19"/>
      <x:c r="C258" s="19"/>
      <x:c r="D258" s="19"/>
      <x:c r="E258" s="19"/>
      <x:c r="F258" s="19"/>
      <x:c r="G258" s="26"/>
      <x:c r="H258" s="19"/>
    </x:row>
    <x:row r="259">
      <x:c r="A259" s="19"/>
      <x:c r="B259" s="19"/>
      <x:c r="C259" s="19"/>
      <x:c r="D259" s="19"/>
      <x:c r="E259" s="19"/>
      <x:c r="F259" s="19"/>
      <x:c r="G259" s="26"/>
      <x:c r="H259" s="19"/>
    </x:row>
    <x:row r="260">
      <x:c r="A260" s="19"/>
      <x:c r="B260" s="19"/>
      <x:c r="C260" s="19"/>
      <x:c r="D260" s="19"/>
      <x:c r="E260" s="19"/>
      <x:c r="F260" s="19"/>
      <x:c r="G260" s="26"/>
      <x:c r="H260" s="19"/>
    </x:row>
    <x:row r="261">
      <x:c r="A261" s="19"/>
      <x:c r="B261" s="19"/>
      <x:c r="C261" s="19"/>
      <x:c r="D261" s="19"/>
      <x:c r="E261" s="19"/>
      <x:c r="F261" s="19"/>
      <x:c r="G261" s="26"/>
      <x:c r="H261" s="19"/>
    </x:row>
    <x:row r="262">
      <x:c r="A262" s="19"/>
      <x:c r="B262" s="19"/>
      <x:c r="C262" s="19"/>
      <x:c r="D262" s="19"/>
      <x:c r="E262" s="19"/>
      <x:c r="F262" s="19"/>
      <x:c r="G262" s="26"/>
      <x:c r="H262" s="19"/>
    </x:row>
    <x:row r="263">
      <x:c r="A263" s="19"/>
      <x:c r="B263" s="19"/>
      <x:c r="C263" s="19"/>
      <x:c r="D263" s="19"/>
      <x:c r="E263" s="19"/>
      <x:c r="F263" s="19"/>
      <x:c r="G263" s="26"/>
      <x:c r="H263" s="19"/>
    </x:row>
    <x:row r="264">
      <x:c r="A264" s="19"/>
      <x:c r="B264" s="19"/>
      <x:c r="C264" s="19"/>
      <x:c r="D264" s="19"/>
      <x:c r="E264" s="19"/>
      <x:c r="F264" s="19"/>
      <x:c r="G264" s="26"/>
      <x:c r="H264" s="19"/>
    </x:row>
    <x:row r="265">
      <x:c r="A265" s="19"/>
      <x:c r="B265" s="19"/>
      <x:c r="C265" s="19"/>
      <x:c r="D265" s="19"/>
      <x:c r="E265" s="19"/>
      <x:c r="F265" s="19"/>
      <x:c r="G265" s="26"/>
      <x:c r="H265" s="19"/>
    </x:row>
    <x:row r="266">
      <x:c r="A266" s="19"/>
      <x:c r="B266" s="19"/>
      <x:c r="C266" s="19"/>
      <x:c r="D266" s="19"/>
      <x:c r="E266" s="19"/>
      <x:c r="F266" s="19"/>
      <x:c r="G266" s="26"/>
      <x:c r="H266" s="19"/>
    </x:row>
    <x:row r="267">
      <x:c r="A267" s="19"/>
      <x:c r="B267" s="19"/>
      <x:c r="C267" s="19"/>
      <x:c r="D267" s="19"/>
      <x:c r="E267" s="19"/>
      <x:c r="F267" s="19"/>
      <x:c r="G267" s="26"/>
      <x:c r="H267" s="19"/>
    </x:row>
    <x:row r="268">
      <x:c r="A268" s="19"/>
      <x:c r="B268" s="19"/>
      <x:c r="C268" s="19"/>
      <x:c r="D268" s="19"/>
      <x:c r="E268" s="19"/>
      <x:c r="F268" s="19"/>
      <x:c r="G268" s="26"/>
      <x:c r="H268" s="19"/>
    </x:row>
    <x:row r="269">
      <x:c r="A269" s="19"/>
      <x:c r="B269" s="19"/>
      <x:c r="C269" s="19"/>
      <x:c r="D269" s="19"/>
      <x:c r="E269" s="19"/>
      <x:c r="F269" s="19"/>
      <x:c r="G269" s="26"/>
      <x:c r="H269" s="19"/>
    </x:row>
    <x:row r="270">
      <x:c r="A270" s="19"/>
      <x:c r="B270" s="19"/>
      <x:c r="C270" s="19"/>
      <x:c r="D270" s="19"/>
      <x:c r="E270" s="19"/>
      <x:c r="F270" s="19"/>
      <x:c r="G270" s="26"/>
      <x:c r="H270" s="19"/>
    </x:row>
    <x:row r="271">
      <x:c r="A271" s="19"/>
      <x:c r="B271" s="19"/>
      <x:c r="C271" s="19"/>
      <x:c r="D271" s="19"/>
      <x:c r="E271" s="19"/>
      <x:c r="F271" s="19"/>
      <x:c r="G271" s="26"/>
      <x:c r="H271" s="19"/>
    </x:row>
    <x:row r="272">
      <x:c r="A272" s="19"/>
      <x:c r="B272" s="19"/>
      <x:c r="C272" s="19"/>
      <x:c r="D272" s="19"/>
      <x:c r="E272" s="19"/>
      <x:c r="F272" s="19"/>
      <x:c r="G272" s="26"/>
      <x:c r="H272" s="19"/>
    </x:row>
    <x:row r="273">
      <x:c r="A273" s="19"/>
      <x:c r="B273" s="19"/>
      <x:c r="C273" s="19"/>
      <x:c r="D273" s="19"/>
      <x:c r="E273" s="19"/>
      <x:c r="F273" s="19"/>
      <x:c r="G273" s="26"/>
      <x:c r="H273" s="19"/>
    </x:row>
    <x:row r="274">
      <x:c r="A274" s="19"/>
      <x:c r="B274" s="19"/>
      <x:c r="C274" s="19"/>
      <x:c r="D274" s="19"/>
      <x:c r="E274" s="19"/>
      <x:c r="F274" s="19"/>
      <x:c r="G274" s="26"/>
      <x:c r="H274" s="19"/>
    </x:row>
    <x:row r="275">
      <x:c r="A275" s="19"/>
      <x:c r="B275" s="19"/>
      <x:c r="C275" s="19"/>
      <x:c r="D275" s="19"/>
      <x:c r="E275" s="19"/>
      <x:c r="F275" s="19"/>
      <x:c r="G275" s="26"/>
      <x:c r="H275" s="19"/>
    </x:row>
    <x:row r="276">
      <x:c r="A276" s="19"/>
      <x:c r="B276" s="19"/>
      <x:c r="C276" s="19"/>
      <x:c r="D276" s="19"/>
      <x:c r="E276" s="19"/>
      <x:c r="F276" s="19"/>
      <x:c r="G276" s="26"/>
      <x:c r="H276" s="19"/>
    </x:row>
    <x:row r="277">
      <x:c r="A277" s="19"/>
      <x:c r="B277" s="19"/>
      <x:c r="C277" s="19"/>
      <x:c r="D277" s="19"/>
      <x:c r="E277" s="19"/>
      <x:c r="F277" s="19"/>
      <x:c r="G277" s="26"/>
      <x:c r="H277" s="19"/>
    </x:row>
    <x:row r="278">
      <x:c r="A278" s="19"/>
      <x:c r="B278" s="19"/>
      <x:c r="C278" s="19"/>
      <x:c r="D278" s="19"/>
      <x:c r="E278" s="19"/>
      <x:c r="F278" s="19"/>
      <x:c r="G278" s="26"/>
      <x:c r="H278" s="19"/>
    </x:row>
    <x:row r="279">
      <x:c r="A279" s="19"/>
      <x:c r="B279" s="19"/>
      <x:c r="C279" s="19"/>
      <x:c r="D279" s="19"/>
      <x:c r="E279" s="19"/>
      <x:c r="F279" s="19"/>
      <x:c r="G279" s="26"/>
      <x:c r="H279" s="19"/>
    </x:row>
    <x:row r="280">
      <x:c r="A280" s="19"/>
      <x:c r="B280" s="19"/>
      <x:c r="C280" s="19"/>
      <x:c r="D280" s="19"/>
      <x:c r="E280" s="19"/>
      <x:c r="F280" s="19"/>
      <x:c r="G280" s="26"/>
      <x:c r="H280" s="19"/>
    </x:row>
    <x:row r="281">
      <x:c r="A281" s="19"/>
      <x:c r="B281" s="19"/>
      <x:c r="C281" s="19"/>
      <x:c r="D281" s="19"/>
      <x:c r="E281" s="19"/>
      <x:c r="F281" s="19"/>
      <x:c r="G281" s="26"/>
      <x:c r="H281" s="19"/>
    </x:row>
    <x:row r="282">
      <x:c r="A282" s="19"/>
      <x:c r="B282" s="19"/>
      <x:c r="C282" s="19"/>
      <x:c r="D282" s="19"/>
      <x:c r="E282" s="19"/>
      <x:c r="F282" s="19"/>
      <x:c r="G282" s="26"/>
      <x:c r="H282" s="19"/>
    </x:row>
    <x:row r="283">
      <x:c r="A283" s="19"/>
      <x:c r="B283" s="19"/>
      <x:c r="C283" s="19"/>
      <x:c r="D283" s="19"/>
      <x:c r="E283" s="19"/>
      <x:c r="F283" s="19"/>
      <x:c r="G283" s="26"/>
      <x:c r="H283" s="19"/>
    </x:row>
    <x:row r="284">
      <x:c r="A284" s="19"/>
      <x:c r="B284" s="19"/>
      <x:c r="C284" s="19"/>
      <x:c r="D284" s="19"/>
      <x:c r="E284" s="19"/>
      <x:c r="F284" s="19"/>
      <x:c r="G284" s="26"/>
      <x:c r="H284" s="19"/>
    </x:row>
    <x:row r="285">
      <x:c r="A285" s="19"/>
      <x:c r="B285" s="19"/>
      <x:c r="C285" s="19"/>
      <x:c r="D285" s="19"/>
      <x:c r="E285" s="19"/>
      <x:c r="F285" s="19"/>
      <x:c r="G285" s="26"/>
      <x:c r="H285" s="19"/>
    </x:row>
    <x:row r="286">
      <x:c r="A286" s="19"/>
      <x:c r="B286" s="19"/>
      <x:c r="C286" s="19"/>
      <x:c r="D286" s="19"/>
      <x:c r="E286" s="19"/>
      <x:c r="F286" s="19"/>
      <x:c r="G286" s="26"/>
      <x:c r="H286" s="19"/>
    </x:row>
    <x:row r="287">
      <x:c r="A287" s="19"/>
      <x:c r="B287" s="19"/>
      <x:c r="C287" s="19"/>
      <x:c r="D287" s="19"/>
      <x:c r="E287" s="19"/>
      <x:c r="F287" s="19"/>
      <x:c r="G287" s="26"/>
      <x:c r="H287" s="19"/>
    </x:row>
    <x:row r="288">
      <x:c r="A288" s="19"/>
      <x:c r="B288" s="19"/>
      <x:c r="C288" s="19"/>
      <x:c r="D288" s="19"/>
      <x:c r="E288" s="19"/>
      <x:c r="F288" s="19"/>
      <x:c r="G288" s="26"/>
      <x:c r="H288" s="19"/>
    </x:row>
    <x:row r="289">
      <x:c r="A289" s="19"/>
      <x:c r="B289" s="19"/>
      <x:c r="C289" s="19"/>
      <x:c r="D289" s="19"/>
      <x:c r="E289" s="19"/>
      <x:c r="F289" s="19"/>
      <x:c r="G289" s="26"/>
      <x:c r="H289" s="19"/>
    </x:row>
    <x:row r="290">
      <x:c r="A290" s="19"/>
      <x:c r="B290" s="19"/>
      <x:c r="C290" s="19"/>
      <x:c r="D290" s="19"/>
      <x:c r="E290" s="19"/>
      <x:c r="F290" s="19"/>
      <x:c r="G290" s="26"/>
      <x:c r="H290" s="19"/>
    </x:row>
    <x:row r="291">
      <x:c r="A291" s="19"/>
      <x:c r="B291" s="19"/>
      <x:c r="C291" s="19"/>
      <x:c r="D291" s="19"/>
      <x:c r="E291" s="19"/>
      <x:c r="F291" s="19"/>
      <x:c r="G291" s="26"/>
      <x:c r="H291" s="19"/>
    </x:row>
    <x:row r="292">
      <x:c r="A292" s="19"/>
      <x:c r="B292" s="19"/>
      <x:c r="C292" s="19"/>
      <x:c r="D292" s="19"/>
      <x:c r="E292" s="19"/>
      <x:c r="F292" s="19"/>
      <x:c r="G292" s="26"/>
      <x:c r="H292" s="19"/>
    </x:row>
    <x:row r="293">
      <x:c r="A293" s="19"/>
      <x:c r="B293" s="19"/>
      <x:c r="C293" s="19"/>
      <x:c r="D293" s="19"/>
      <x:c r="E293" s="19"/>
      <x:c r="F293" s="19"/>
      <x:c r="G293" s="26"/>
      <x:c r="H293" s="19"/>
    </x:row>
    <x:row r="294">
      <x:c r="A294" s="19"/>
      <x:c r="B294" s="19"/>
      <x:c r="C294" s="19"/>
      <x:c r="D294" s="19"/>
      <x:c r="E294" s="19"/>
      <x:c r="F294" s="19"/>
      <x:c r="G294" s="26"/>
      <x:c r="H294" s="19"/>
    </x:row>
    <x:row r="295">
      <x:c r="A295" s="19"/>
      <x:c r="B295" s="19"/>
      <x:c r="C295" s="19"/>
      <x:c r="D295" s="19"/>
      <x:c r="E295" s="19"/>
      <x:c r="F295" s="19"/>
      <x:c r="G295" s="26"/>
      <x:c r="H295" s="19"/>
    </x:row>
    <x:row r="296">
      <x:c r="A296" s="19"/>
      <x:c r="B296" s="19"/>
      <x:c r="C296" s="19"/>
      <x:c r="D296" s="19"/>
      <x:c r="E296" s="19"/>
      <x:c r="F296" s="19"/>
      <x:c r="G296" s="26"/>
      <x:c r="H296" s="19"/>
    </x:row>
    <x:row r="297">
      <x:c r="A297" s="19"/>
      <x:c r="B297" s="19"/>
      <x:c r="C297" s="19"/>
      <x:c r="D297" s="19"/>
      <x:c r="E297" s="19"/>
      <x:c r="F297" s="19"/>
      <x:c r="G297" s="26"/>
      <x:c r="H297" s="19"/>
    </x:row>
    <x:row r="298">
      <x:c r="A298" s="19"/>
      <x:c r="B298" s="19"/>
      <x:c r="C298" s="19"/>
      <x:c r="D298" s="19"/>
      <x:c r="E298" s="19"/>
      <x:c r="F298" s="19"/>
      <x:c r="G298" s="26"/>
      <x:c r="H298" s="19"/>
    </x:row>
    <x:row r="299">
      <x:c r="A299" s="19"/>
      <x:c r="B299" s="19"/>
      <x:c r="C299" s="19"/>
      <x:c r="D299" s="19"/>
      <x:c r="E299" s="19"/>
      <x:c r="F299" s="19"/>
      <x:c r="G299" s="26"/>
      <x:c r="H299" s="19"/>
    </x:row>
    <x:row r="300">
      <x:c r="A300" s="19"/>
      <x:c r="B300" s="19"/>
      <x:c r="C300" s="19"/>
      <x:c r="D300" s="19"/>
      <x:c r="E300" s="19"/>
      <x:c r="F300" s="19"/>
      <x:c r="G300" s="26"/>
      <x:c r="H300" s="19"/>
    </x:row>
    <x:row r="301">
      <x:c r="A301" s="19"/>
      <x:c r="B301" s="19"/>
      <x:c r="C301" s="19"/>
      <x:c r="D301" s="19"/>
      <x:c r="E301" s="19"/>
      <x:c r="F301" s="19"/>
      <x:c r="G301" s="26"/>
      <x:c r="H301" s="19"/>
    </x:row>
    <x:row r="302">
      <x:c r="A302" s="19"/>
      <x:c r="B302" s="19"/>
      <x:c r="C302" s="19"/>
      <x:c r="D302" s="19"/>
      <x:c r="E302" s="19"/>
      <x:c r="F302" s="19"/>
      <x:c r="G302" s="26"/>
      <x:c r="H302" s="19"/>
    </x:row>
    <x:row r="303">
      <x:c r="A303" s="19"/>
      <x:c r="B303" s="19"/>
      <x:c r="C303" s="19"/>
      <x:c r="D303" s="19"/>
      <x:c r="E303" s="19"/>
      <x:c r="F303" s="19"/>
      <x:c r="G303" s="26"/>
      <x:c r="H303" s="19"/>
    </x:row>
    <x:row r="304">
      <x:c r="A304" s="19"/>
      <x:c r="B304" s="19"/>
      <x:c r="C304" s="19"/>
      <x:c r="D304" s="19"/>
      <x:c r="E304" s="19"/>
      <x:c r="F304" s="19"/>
      <x:c r="G304" s="26"/>
      <x:c r="H304" s="19"/>
    </x:row>
    <x:row r="305">
      <x:c r="A305" s="19"/>
      <x:c r="B305" s="19"/>
      <x:c r="C305" s="19"/>
      <x:c r="D305" s="19"/>
      <x:c r="E305" s="19"/>
      <x:c r="F305" s="19"/>
      <x:c r="G305" s="26"/>
      <x:c r="H305" s="19"/>
    </x:row>
    <x:row r="306">
      <x:c r="A306" s="19"/>
      <x:c r="B306" s="19"/>
      <x:c r="C306" s="19"/>
      <x:c r="D306" s="19"/>
      <x:c r="E306" s="19"/>
      <x:c r="F306" s="19"/>
      <x:c r="G306" s="26"/>
      <x:c r="H306" s="19"/>
    </x:row>
    <x:row r="307">
      <x:c r="A307" s="19"/>
      <x:c r="B307" s="19"/>
      <x:c r="C307" s="19"/>
      <x:c r="D307" s="19"/>
      <x:c r="E307" s="19"/>
      <x:c r="F307" s="19"/>
      <x:c r="G307" s="26"/>
      <x:c r="H307" s="19"/>
    </x:row>
    <x:row r="308">
      <x:c r="A308" s="19"/>
      <x:c r="B308" s="19"/>
      <x:c r="C308" s="19"/>
      <x:c r="D308" s="19"/>
      <x:c r="E308" s="19"/>
      <x:c r="F308" s="19"/>
      <x:c r="G308" s="26"/>
      <x:c r="H308" s="19"/>
    </x:row>
    <x:row r="309">
      <x:c r="A309" s="19"/>
      <x:c r="B309" s="19"/>
      <x:c r="C309" s="19"/>
      <x:c r="D309" s="19"/>
      <x:c r="E309" s="19"/>
      <x:c r="F309" s="19"/>
      <x:c r="G309" s="26"/>
      <x:c r="H309" s="19"/>
    </x:row>
    <x:row r="310">
      <x:c r="A310" s="19"/>
      <x:c r="B310" s="19"/>
      <x:c r="C310" s="19"/>
      <x:c r="D310" s="19"/>
      <x:c r="E310" s="19"/>
      <x:c r="F310" s="19"/>
      <x:c r="G310" s="26"/>
      <x:c r="H310" s="19"/>
    </x:row>
    <x:row r="311">
      <x:c r="A311" s="19"/>
      <x:c r="B311" s="19"/>
      <x:c r="C311" s="19"/>
      <x:c r="D311" s="19"/>
      <x:c r="E311" s="19"/>
      <x:c r="F311" s="19"/>
      <x:c r="G311" s="26"/>
      <x:c r="H311" s="19"/>
    </x:row>
    <x:row r="312">
      <x:c r="A312" s="19"/>
      <x:c r="B312" s="19"/>
      <x:c r="C312" s="19"/>
      <x:c r="D312" s="19"/>
      <x:c r="E312" s="19"/>
      <x:c r="F312" s="19"/>
      <x:c r="G312" s="26"/>
      <x:c r="H312" s="19"/>
    </x:row>
    <x:row r="313">
      <x:c r="A313" s="19"/>
      <x:c r="B313" s="19"/>
      <x:c r="C313" s="19"/>
      <x:c r="D313" s="19"/>
      <x:c r="E313" s="19"/>
      <x:c r="F313" s="19"/>
      <x:c r="G313" s="26"/>
      <x:c r="H313" s="19"/>
    </x:row>
    <x:row r="314">
      <x:c r="A314" s="19"/>
      <x:c r="B314" s="19"/>
      <x:c r="C314" s="19"/>
      <x:c r="D314" s="19"/>
      <x:c r="E314" s="19"/>
      <x:c r="F314" s="19"/>
      <x:c r="G314" s="26"/>
      <x:c r="H314" s="19"/>
    </x:row>
    <x:row r="315">
      <x:c r="A315" s="19"/>
      <x:c r="B315" s="19"/>
      <x:c r="C315" s="19"/>
      <x:c r="D315" s="19"/>
      <x:c r="E315" s="19"/>
      <x:c r="F315" s="19"/>
      <x:c r="G315" s="26"/>
      <x:c r="H315" s="19"/>
    </x:row>
    <x:row r="316">
      <x:c r="A316" s="19"/>
      <x:c r="B316" s="19"/>
      <x:c r="C316" s="19"/>
      <x:c r="D316" s="19"/>
      <x:c r="E316" s="19"/>
      <x:c r="F316" s="19"/>
      <x:c r="G316" s="26"/>
      <x:c r="H316" s="19"/>
    </x:row>
    <x:row r="317">
      <x:c r="A317" s="19"/>
      <x:c r="B317" s="19"/>
      <x:c r="C317" s="19"/>
      <x:c r="D317" s="19"/>
      <x:c r="E317" s="19"/>
      <x:c r="F317" s="19"/>
      <x:c r="G317" s="26"/>
      <x:c r="H317" s="19"/>
    </x:row>
    <x:row r="318">
      <x:c r="A318" s="19"/>
      <x:c r="B318" s="19"/>
      <x:c r="C318" s="19"/>
      <x:c r="D318" s="19"/>
      <x:c r="E318" s="19"/>
      <x:c r="F318" s="19"/>
      <x:c r="G318" s="26"/>
      <x:c r="H318" s="19"/>
    </x:row>
    <x:row r="319">
      <x:c r="A319" s="19"/>
      <x:c r="B319" s="19"/>
      <x:c r="C319" s="19"/>
      <x:c r="D319" s="19"/>
      <x:c r="E319" s="19"/>
      <x:c r="F319" s="19"/>
      <x:c r="G319" s="26"/>
      <x:c r="H319" s="19"/>
    </x:row>
    <x:row r="320">
      <x:c r="A320" s="19"/>
      <x:c r="B320" s="19"/>
      <x:c r="C320" s="19"/>
      <x:c r="D320" s="19"/>
      <x:c r="E320" s="19"/>
      <x:c r="F320" s="19"/>
      <x:c r="G320" s="26"/>
      <x:c r="H320" s="19"/>
    </x:row>
    <x:row r="321">
      <x:c r="A321" s="19"/>
      <x:c r="B321" s="19"/>
      <x:c r="C321" s="19"/>
      <x:c r="D321" s="19"/>
      <x:c r="E321" s="19"/>
      <x:c r="F321" s="19"/>
      <x:c r="G321" s="26"/>
      <x:c r="H321" s="19"/>
    </x:row>
    <x:row r="322">
      <x:c r="A322" s="19"/>
      <x:c r="B322" s="19"/>
      <x:c r="C322" s="19"/>
      <x:c r="D322" s="19"/>
      <x:c r="E322" s="19"/>
      <x:c r="F322" s="19"/>
      <x:c r="G322" s="26"/>
      <x:c r="H322" s="19"/>
    </x:row>
    <x:row r="323">
      <x:c r="A323" s="19"/>
      <x:c r="B323" s="19"/>
      <x:c r="C323" s="19"/>
      <x:c r="D323" s="19"/>
      <x:c r="E323" s="19"/>
      <x:c r="F323" s="19"/>
      <x:c r="G323" s="26"/>
      <x:c r="H323" s="19"/>
    </x:row>
    <x:row r="324">
      <x:c r="A324" s="19"/>
      <x:c r="B324" s="19"/>
      <x:c r="C324" s="19"/>
      <x:c r="D324" s="19"/>
      <x:c r="E324" s="19"/>
      <x:c r="F324" s="19"/>
      <x:c r="G324" s="26"/>
      <x:c r="H324" s="19"/>
    </x:row>
    <x:row r="325">
      <x:c r="A325" s="19"/>
      <x:c r="B325" s="19"/>
      <x:c r="C325" s="19"/>
      <x:c r="D325" s="19"/>
      <x:c r="E325" s="19"/>
      <x:c r="F325" s="19"/>
      <x:c r="G325" s="26"/>
      <x:c r="H325" s="19"/>
    </x:row>
    <x:row r="326">
      <x:c r="A326" s="19"/>
      <x:c r="B326" s="19"/>
      <x:c r="C326" s="19"/>
      <x:c r="D326" s="19"/>
      <x:c r="E326" s="19"/>
      <x:c r="F326" s="19"/>
      <x:c r="G326" s="26"/>
      <x:c r="H326" s="19"/>
    </x:row>
    <x:row r="327">
      <x:c r="A327" s="19"/>
      <x:c r="B327" s="19"/>
      <x:c r="C327" s="19"/>
      <x:c r="D327" s="19"/>
      <x:c r="E327" s="19"/>
      <x:c r="F327" s="19"/>
      <x:c r="G327" s="26"/>
      <x:c r="H327" s="19"/>
    </x:row>
    <x:row r="328">
      <x:c r="A328" s="19"/>
      <x:c r="B328" s="19"/>
      <x:c r="C328" s="19"/>
      <x:c r="D328" s="19"/>
      <x:c r="E328" s="19"/>
      <x:c r="F328" s="19"/>
      <x:c r="G328" s="26"/>
      <x:c r="H328" s="19"/>
    </x:row>
    <x:row r="329">
      <x:c r="A329" s="19"/>
      <x:c r="B329" s="19"/>
      <x:c r="C329" s="19"/>
      <x:c r="D329" s="19"/>
      <x:c r="E329" s="19"/>
      <x:c r="F329" s="19"/>
      <x:c r="G329" s="26"/>
      <x:c r="H329" s="19"/>
    </x:row>
    <x:row r="330">
      <x:c r="A330" s="19"/>
      <x:c r="B330" s="19"/>
      <x:c r="C330" s="19"/>
      <x:c r="D330" s="19"/>
      <x:c r="E330" s="19"/>
      <x:c r="F330" s="19"/>
      <x:c r="G330" s="26"/>
      <x:c r="H330" s="19"/>
    </x:row>
    <x:row r="331">
      <x:c r="A331" s="19"/>
      <x:c r="B331" s="19"/>
      <x:c r="C331" s="19"/>
      <x:c r="D331" s="19"/>
      <x:c r="E331" s="19"/>
      <x:c r="F331" s="19"/>
      <x:c r="G331" s="26"/>
      <x:c r="H331" s="19"/>
    </x:row>
    <x:row r="332">
      <x:c r="A332" s="19"/>
      <x:c r="B332" s="19"/>
      <x:c r="C332" s="19"/>
      <x:c r="D332" s="19"/>
      <x:c r="E332" s="19"/>
      <x:c r="F332" s="19"/>
      <x:c r="G332" s="26"/>
      <x:c r="H332" s="19"/>
    </x:row>
    <x:row r="333">
      <x:c r="A333" s="19"/>
      <x:c r="B333" s="19"/>
      <x:c r="C333" s="19"/>
      <x:c r="D333" s="19"/>
      <x:c r="E333" s="19"/>
      <x:c r="F333" s="19"/>
      <x:c r="G333" s="26"/>
      <x:c r="H333" s="19"/>
    </x:row>
    <x:row r="334">
      <x:c r="A334" s="19"/>
      <x:c r="B334" s="19"/>
      <x:c r="C334" s="19"/>
      <x:c r="D334" s="19"/>
      <x:c r="E334" s="19"/>
      <x:c r="F334" s="19"/>
      <x:c r="G334" s="26"/>
      <x:c r="H334" s="19"/>
    </x:row>
    <x:row r="335">
      <x:c r="A335" s="19"/>
      <x:c r="B335" s="19"/>
      <x:c r="C335" s="19"/>
      <x:c r="D335" s="19"/>
      <x:c r="E335" s="19"/>
      <x:c r="F335" s="19"/>
      <x:c r="G335" s="26"/>
      <x:c r="H335" s="19"/>
    </x:row>
    <x:row r="336">
      <x:c r="A336" s="19"/>
      <x:c r="B336" s="19"/>
      <x:c r="C336" s="19"/>
      <x:c r="D336" s="19"/>
      <x:c r="E336" s="19"/>
      <x:c r="F336" s="19"/>
      <x:c r="G336" s="26"/>
      <x:c r="H336" s="19"/>
    </x:row>
    <x:row r="337">
      <x:c r="A337" s="19"/>
      <x:c r="B337" s="19"/>
      <x:c r="C337" s="19"/>
      <x:c r="D337" s="19"/>
      <x:c r="E337" s="19"/>
      <x:c r="F337" s="19"/>
      <x:c r="G337" s="26"/>
      <x:c r="H337" s="19"/>
    </x:row>
    <x:row r="338">
      <x:c r="A338" s="19"/>
      <x:c r="B338" s="19"/>
      <x:c r="C338" s="19"/>
      <x:c r="D338" s="19"/>
      <x:c r="E338" s="19"/>
      <x:c r="F338" s="19"/>
      <x:c r="G338" s="26"/>
      <x:c r="H338" s="19"/>
    </x:row>
    <x:row r="339">
      <x:c r="A339" s="19"/>
      <x:c r="B339" s="19"/>
      <x:c r="C339" s="19"/>
      <x:c r="D339" s="19"/>
      <x:c r="E339" s="19"/>
      <x:c r="F339" s="19"/>
      <x:c r="G339" s="26"/>
      <x:c r="H339" s="19"/>
    </x:row>
    <x:row r="340">
      <x:c r="A340" s="19"/>
      <x:c r="B340" s="19"/>
      <x:c r="C340" s="19"/>
      <x:c r="D340" s="19"/>
      <x:c r="E340" s="19"/>
      <x:c r="F340" s="19"/>
      <x:c r="G340" s="26"/>
      <x:c r="H340" s="19"/>
    </x:row>
    <x:row r="341">
      <x:c r="A341" s="19"/>
      <x:c r="B341" s="19"/>
      <x:c r="C341" s="19"/>
      <x:c r="D341" s="19"/>
      <x:c r="E341" s="19"/>
      <x:c r="F341" s="19"/>
      <x:c r="G341" s="26"/>
      <x:c r="H341" s="19"/>
    </x:row>
    <x:row r="342">
      <x:c r="A342" s="19"/>
      <x:c r="B342" s="19"/>
      <x:c r="C342" s="19"/>
      <x:c r="D342" s="19"/>
      <x:c r="E342" s="19"/>
      <x:c r="F342" s="19"/>
      <x:c r="G342" s="26"/>
      <x:c r="H342" s="19"/>
    </x:row>
    <x:row r="343">
      <x:c r="A343" s="19"/>
      <x:c r="B343" s="19"/>
      <x:c r="C343" s="19"/>
      <x:c r="D343" s="19"/>
      <x:c r="E343" s="19"/>
      <x:c r="F343" s="19"/>
      <x:c r="G343" s="26"/>
      <x:c r="H343" s="19"/>
    </x:row>
    <x:row r="344">
      <x:c r="A344" s="19"/>
      <x:c r="B344" s="19"/>
      <x:c r="C344" s="19"/>
      <x:c r="D344" s="19"/>
      <x:c r="E344" s="19"/>
      <x:c r="F344" s="19"/>
      <x:c r="G344" s="26"/>
      <x:c r="H344" s="19"/>
    </x:row>
    <x:row r="345">
      <x:c r="A345" s="19"/>
      <x:c r="B345" s="19"/>
      <x:c r="C345" s="19"/>
      <x:c r="D345" s="19"/>
      <x:c r="E345" s="19"/>
      <x:c r="F345" s="19"/>
      <x:c r="G345" s="26"/>
      <x:c r="H345" s="19"/>
    </x:row>
    <x:row r="346">
      <x:c r="A346" s="19"/>
      <x:c r="B346" s="19"/>
      <x:c r="C346" s="19"/>
      <x:c r="D346" s="19"/>
      <x:c r="E346" s="19"/>
      <x:c r="F346" s="19"/>
      <x:c r="G346" s="26"/>
      <x:c r="H346" s="19"/>
    </x:row>
    <x:row r="347">
      <x:c r="A347" s="19"/>
      <x:c r="B347" s="19"/>
      <x:c r="C347" s="19"/>
      <x:c r="D347" s="19"/>
      <x:c r="E347" s="19"/>
      <x:c r="F347" s="19"/>
      <x:c r="G347" s="26"/>
      <x:c r="H347" s="19"/>
    </x:row>
    <x:row r="348">
      <x:c r="A348" s="19"/>
      <x:c r="B348" s="19"/>
      <x:c r="C348" s="19"/>
      <x:c r="D348" s="19"/>
      <x:c r="E348" s="19"/>
      <x:c r="F348" s="19"/>
      <x:c r="G348" s="26"/>
      <x:c r="H348" s="19"/>
    </x:row>
    <x:row r="349">
      <x:c r="A349" s="19"/>
      <x:c r="B349" s="19"/>
      <x:c r="C349" s="19"/>
      <x:c r="D349" s="19"/>
      <x:c r="E349" s="19"/>
      <x:c r="F349" s="19"/>
      <x:c r="G349" s="26"/>
      <x:c r="H349" s="19"/>
    </x:row>
    <x:row r="350">
      <x:c r="A350" s="19"/>
      <x:c r="B350" s="19"/>
      <x:c r="C350" s="19"/>
      <x:c r="D350" s="19"/>
      <x:c r="E350" s="19"/>
      <x:c r="F350" s="19"/>
      <x:c r="G350" s="26"/>
      <x:c r="H350" s="19"/>
    </x:row>
    <x:row r="351">
      <x:c r="A351" s="19"/>
      <x:c r="B351" s="19"/>
      <x:c r="C351" s="19"/>
      <x:c r="D351" s="19"/>
      <x:c r="E351" s="19"/>
      <x:c r="F351" s="19"/>
      <x:c r="G351" s="26"/>
      <x:c r="H351" s="19"/>
    </x:row>
    <x:row r="352">
      <x:c r="A352" s="19"/>
      <x:c r="B352" s="19"/>
      <x:c r="C352" s="19"/>
      <x:c r="D352" s="19"/>
      <x:c r="E352" s="19"/>
      <x:c r="F352" s="19"/>
      <x:c r="G352" s="26"/>
      <x:c r="H352" s="19"/>
    </x:row>
    <x:row r="353">
      <x:c r="A353" s="19"/>
      <x:c r="B353" s="19"/>
      <x:c r="C353" s="19"/>
      <x:c r="D353" s="19"/>
      <x:c r="E353" s="19"/>
      <x:c r="F353" s="19"/>
      <x:c r="G353" s="26"/>
      <x:c r="H353" s="19"/>
    </x:row>
    <x:row r="354">
      <x:c r="A354" s="19"/>
      <x:c r="B354" s="19"/>
      <x:c r="C354" s="19"/>
      <x:c r="D354" s="19"/>
      <x:c r="E354" s="19"/>
      <x:c r="F354" s="19"/>
      <x:c r="G354" s="26"/>
      <x:c r="H354" s="19"/>
    </x:row>
    <x:row r="355">
      <x:c r="A355" s="19"/>
      <x:c r="B355" s="19"/>
      <x:c r="C355" s="19"/>
      <x:c r="D355" s="19"/>
      <x:c r="E355" s="19"/>
      <x:c r="F355" s="19"/>
      <x:c r="G355" s="26"/>
      <x:c r="H355" s="19"/>
    </x:row>
    <x:row r="356">
      <x:c r="A356" s="19"/>
      <x:c r="B356" s="19"/>
      <x:c r="C356" s="19"/>
      <x:c r="D356" s="19"/>
      <x:c r="E356" s="19"/>
      <x:c r="F356" s="19"/>
      <x:c r="G356" s="26"/>
      <x:c r="H356" s="19"/>
    </x:row>
    <x:row r="357">
      <x:c r="A357" s="19"/>
      <x:c r="B357" s="19"/>
      <x:c r="C357" s="19"/>
      <x:c r="D357" s="19"/>
      <x:c r="E357" s="19"/>
      <x:c r="F357" s="19"/>
      <x:c r="G357" s="26"/>
      <x:c r="H357" s="19"/>
    </x:row>
    <x:row r="358">
      <x:c r="A358" s="19"/>
      <x:c r="B358" s="19"/>
      <x:c r="C358" s="19"/>
      <x:c r="D358" s="19"/>
      <x:c r="E358" s="19"/>
      <x:c r="F358" s="19"/>
      <x:c r="G358" s="26"/>
      <x:c r="H358" s="19"/>
    </x:row>
    <x:row r="359">
      <x:c r="A359" s="19"/>
      <x:c r="B359" s="19"/>
      <x:c r="C359" s="19"/>
      <x:c r="D359" s="19"/>
      <x:c r="E359" s="19"/>
      <x:c r="F359" s="19"/>
      <x:c r="G359" s="26"/>
      <x:c r="H359" s="19"/>
    </x:row>
    <x:row r="360">
      <x:c r="A360" s="19"/>
      <x:c r="B360" s="19"/>
      <x:c r="C360" s="19"/>
      <x:c r="D360" s="19"/>
      <x:c r="E360" s="19"/>
      <x:c r="F360" s="19"/>
      <x:c r="G360" s="26"/>
      <x:c r="H360" s="19"/>
    </x:row>
    <x:row r="361">
      <x:c r="A361" s="19"/>
      <x:c r="B361" s="19"/>
      <x:c r="C361" s="19"/>
      <x:c r="D361" s="19"/>
      <x:c r="E361" s="19"/>
      <x:c r="F361" s="19"/>
      <x:c r="G361" s="26"/>
      <x:c r="H361" s="19"/>
    </x:row>
    <x:row r="362">
      <x:c r="A362" s="19"/>
      <x:c r="B362" s="19"/>
      <x:c r="C362" s="19"/>
      <x:c r="D362" s="19"/>
      <x:c r="E362" s="19"/>
      <x:c r="F362" s="19"/>
      <x:c r="G362" s="26"/>
      <x:c r="H362" s="19"/>
    </x:row>
    <x:row r="363">
      <x:c r="A363" s="19"/>
      <x:c r="B363" s="19"/>
      <x:c r="C363" s="19"/>
      <x:c r="D363" s="19"/>
      <x:c r="E363" s="19"/>
      <x:c r="F363" s="19"/>
      <x:c r="G363" s="26"/>
      <x:c r="H363" s="19"/>
    </x:row>
    <x:row r="364">
      <x:c r="A364" s="19"/>
      <x:c r="B364" s="19"/>
      <x:c r="C364" s="19"/>
      <x:c r="D364" s="19"/>
      <x:c r="E364" s="19"/>
      <x:c r="F364" s="19"/>
      <x:c r="G364" s="26"/>
      <x:c r="H364" s="19"/>
    </x:row>
    <x:row r="365">
      <x:c r="A365" s="19"/>
      <x:c r="B365" s="19"/>
      <x:c r="C365" s="19"/>
      <x:c r="D365" s="19"/>
      <x:c r="E365" s="19"/>
      <x:c r="F365" s="19"/>
      <x:c r="G365" s="26"/>
      <x:c r="H365" s="19"/>
    </x:row>
    <x:row r="366">
      <x:c r="A366" s="19"/>
      <x:c r="B366" s="19"/>
      <x:c r="C366" s="19"/>
      <x:c r="D366" s="19"/>
      <x:c r="E366" s="19"/>
      <x:c r="F366" s="19"/>
      <x:c r="G366" s="26"/>
      <x:c r="H366" s="19"/>
    </x:row>
    <x:row r="367">
      <x:c r="A367" s="19"/>
      <x:c r="B367" s="19"/>
      <x:c r="C367" s="19"/>
      <x:c r="D367" s="19"/>
      <x:c r="E367" s="19"/>
      <x:c r="F367" s="19"/>
      <x:c r="G367" s="26"/>
      <x:c r="H367" s="19"/>
    </x:row>
    <x:row r="368">
      <x:c r="A368" s="19"/>
      <x:c r="B368" s="19"/>
      <x:c r="C368" s="19"/>
      <x:c r="D368" s="19"/>
      <x:c r="E368" s="19"/>
      <x:c r="F368" s="19"/>
      <x:c r="G368" s="26"/>
      <x:c r="H368" s="19"/>
    </x:row>
    <x:row r="369">
      <x:c r="A369" s="19"/>
      <x:c r="B369" s="19"/>
      <x:c r="C369" s="19"/>
      <x:c r="D369" s="19"/>
      <x:c r="E369" s="19"/>
      <x:c r="F369" s="19"/>
      <x:c r="G369" s="26"/>
      <x:c r="H369" s="19"/>
    </x:row>
    <x:row r="370">
      <x:c r="A370" s="19"/>
      <x:c r="B370" s="19"/>
      <x:c r="C370" s="19"/>
      <x:c r="D370" s="19"/>
      <x:c r="E370" s="19"/>
      <x:c r="F370" s="19"/>
      <x:c r="G370" s="26"/>
      <x:c r="H370" s="19"/>
    </x:row>
    <x:row r="371">
      <x:c r="A371" s="19"/>
      <x:c r="B371" s="19"/>
      <x:c r="C371" s="19"/>
      <x:c r="D371" s="19"/>
      <x:c r="E371" s="19"/>
      <x:c r="F371" s="19"/>
      <x:c r="G371" s="26"/>
      <x:c r="H371" s="19"/>
    </x:row>
    <x:row r="372">
      <x:c r="A372" s="19"/>
      <x:c r="B372" s="19"/>
      <x:c r="C372" s="19"/>
      <x:c r="D372" s="19"/>
      <x:c r="E372" s="19"/>
      <x:c r="F372" s="19"/>
      <x:c r="G372" s="26"/>
      <x:c r="H372" s="19"/>
    </x:row>
    <x:row r="373">
      <x:c r="A373" s="19"/>
      <x:c r="B373" s="19"/>
      <x:c r="C373" s="19"/>
      <x:c r="D373" s="19"/>
      <x:c r="E373" s="19"/>
      <x:c r="F373" s="19"/>
      <x:c r="G373" s="26"/>
      <x:c r="H373" s="19"/>
    </x:row>
    <x:row r="374">
      <x:c r="A374" s="19"/>
      <x:c r="B374" s="19"/>
      <x:c r="C374" s="19"/>
      <x:c r="D374" s="19"/>
      <x:c r="E374" s="19"/>
      <x:c r="F374" s="19"/>
      <x:c r="G374" s="26"/>
      <x:c r="H374" s="19"/>
    </x:row>
    <x:row r="375">
      <x:c r="A375" s="19"/>
      <x:c r="B375" s="19"/>
      <x:c r="C375" s="19"/>
      <x:c r="D375" s="19"/>
      <x:c r="E375" s="19"/>
      <x:c r="F375" s="19"/>
      <x:c r="G375" s="26"/>
      <x:c r="H375" s="19"/>
    </x:row>
    <x:row r="376">
      <x:c r="A376" s="19"/>
      <x:c r="B376" s="19"/>
      <x:c r="C376" s="19"/>
      <x:c r="D376" s="19"/>
      <x:c r="E376" s="19"/>
      <x:c r="F376" s="19"/>
      <x:c r="G376" s="26"/>
      <x:c r="H376" s="19"/>
    </x:row>
    <x:row r="377">
      <x:c r="A377" s="19"/>
      <x:c r="B377" s="19"/>
      <x:c r="C377" s="19"/>
      <x:c r="D377" s="19"/>
      <x:c r="E377" s="19"/>
      <x:c r="F377" s="19"/>
      <x:c r="G377" s="26"/>
      <x:c r="H377" s="19"/>
    </x:row>
    <x:row r="378">
      <x:c r="A378" s="19"/>
      <x:c r="B378" s="19"/>
      <x:c r="C378" s="19"/>
      <x:c r="D378" s="19"/>
      <x:c r="E378" s="19"/>
      <x:c r="F378" s="19"/>
      <x:c r="G378" s="26"/>
      <x:c r="H378" s="19"/>
    </x:row>
    <x:row r="379">
      <x:c r="A379" s="19"/>
      <x:c r="B379" s="19"/>
      <x:c r="C379" s="19"/>
      <x:c r="D379" s="19"/>
      <x:c r="E379" s="19"/>
      <x:c r="F379" s="19"/>
      <x:c r="G379" s="26"/>
      <x:c r="H379" s="19"/>
    </x:row>
    <x:row r="380">
      <x:c r="A380" s="19"/>
      <x:c r="B380" s="19"/>
      <x:c r="C380" s="19"/>
      <x:c r="D380" s="19"/>
      <x:c r="E380" s="19"/>
      <x:c r="F380" s="19"/>
      <x:c r="G380" s="26"/>
      <x:c r="H380" s="19"/>
    </x:row>
    <x:row r="381">
      <x:c r="A381" s="19"/>
      <x:c r="B381" s="19"/>
      <x:c r="C381" s="19"/>
      <x:c r="D381" s="19"/>
      <x:c r="E381" s="19"/>
      <x:c r="F381" s="19"/>
      <x:c r="G381" s="26"/>
      <x:c r="H381" s="19"/>
    </x:row>
    <x:row r="382">
      <x:c r="A382" s="19"/>
      <x:c r="B382" s="19"/>
      <x:c r="C382" s="19"/>
      <x:c r="D382" s="19"/>
      <x:c r="E382" s="19"/>
      <x:c r="F382" s="19"/>
      <x:c r="G382" s="26"/>
      <x:c r="H382" s="19"/>
    </x:row>
    <x:row r="383">
      <x:c r="A383" s="19"/>
      <x:c r="B383" s="19"/>
      <x:c r="C383" s="19"/>
      <x:c r="D383" s="19"/>
      <x:c r="E383" s="19"/>
      <x:c r="F383" s="19"/>
      <x:c r="G383" s="26"/>
      <x:c r="H383" s="19"/>
    </x:row>
    <x:row r="384">
      <x:c r="A384" s="19"/>
      <x:c r="B384" s="19"/>
      <x:c r="C384" s="19"/>
      <x:c r="D384" s="19"/>
      <x:c r="E384" s="19"/>
      <x:c r="F384" s="19"/>
      <x:c r="G384" s="26"/>
      <x:c r="H384" s="19"/>
    </x:row>
    <x:row r="385">
      <x:c r="A385" s="19"/>
      <x:c r="B385" s="19"/>
      <x:c r="C385" s="19"/>
      <x:c r="D385" s="19"/>
      <x:c r="E385" s="19"/>
      <x:c r="F385" s="19"/>
      <x:c r="G385" s="26"/>
      <x:c r="H385" s="19"/>
    </x:row>
    <x:row r="386">
      <x:c r="A386" s="19"/>
      <x:c r="B386" s="19"/>
      <x:c r="C386" s="19"/>
      <x:c r="D386" s="19"/>
      <x:c r="E386" s="19"/>
      <x:c r="F386" s="19"/>
      <x:c r="G386" s="26"/>
      <x:c r="H386" s="19"/>
    </x:row>
    <x:row r="387">
      <x:c r="A387" s="19"/>
      <x:c r="B387" s="19"/>
      <x:c r="C387" s="19"/>
      <x:c r="D387" s="19"/>
      <x:c r="E387" s="19"/>
      <x:c r="F387" s="19"/>
      <x:c r="G387" s="26"/>
      <x:c r="H387" s="19"/>
    </x:row>
    <x:row r="388">
      <x:c r="A388" s="19"/>
      <x:c r="B388" s="19"/>
      <x:c r="C388" s="19"/>
      <x:c r="D388" s="19"/>
      <x:c r="E388" s="19"/>
      <x:c r="F388" s="19"/>
      <x:c r="G388" s="26"/>
      <x:c r="H388" s="19"/>
    </x:row>
    <x:row r="389">
      <x:c r="A389" s="19"/>
      <x:c r="B389" s="19"/>
      <x:c r="C389" s="19"/>
      <x:c r="D389" s="19"/>
      <x:c r="E389" s="19"/>
      <x:c r="F389" s="19"/>
      <x:c r="G389" s="26"/>
      <x:c r="H389" s="19"/>
    </x:row>
    <x:row r="390">
      <x:c r="A390" s="19"/>
      <x:c r="B390" s="19"/>
      <x:c r="C390" s="19"/>
      <x:c r="D390" s="19"/>
      <x:c r="E390" s="19"/>
      <x:c r="F390" s="19"/>
      <x:c r="G390" s="26"/>
      <x:c r="H390" s="19"/>
    </x:row>
    <x:row r="391">
      <x:c r="A391" s="19"/>
      <x:c r="B391" s="19"/>
      <x:c r="C391" s="19"/>
      <x:c r="D391" s="19"/>
      <x:c r="E391" s="19"/>
      <x:c r="F391" s="19"/>
      <x:c r="G391" s="26"/>
      <x:c r="H391" s="19"/>
    </x:row>
    <x:row r="392">
      <x:c r="A392" s="19"/>
      <x:c r="B392" s="19"/>
      <x:c r="C392" s="19"/>
      <x:c r="D392" s="19"/>
      <x:c r="E392" s="19"/>
      <x:c r="F392" s="19"/>
      <x:c r="G392" s="26"/>
      <x:c r="H392" s="19"/>
    </x:row>
    <x:row r="393">
      <x:c r="A393" s="19"/>
      <x:c r="B393" s="19"/>
      <x:c r="C393" s="19"/>
      <x:c r="D393" s="19"/>
      <x:c r="E393" s="19"/>
      <x:c r="F393" s="19"/>
      <x:c r="G393" s="26"/>
      <x:c r="H393" s="19"/>
    </x:row>
    <x:row r="394">
      <x:c r="A394" s="19"/>
      <x:c r="B394" s="19"/>
      <x:c r="C394" s="19"/>
      <x:c r="D394" s="19"/>
      <x:c r="E394" s="19"/>
      <x:c r="F394" s="19"/>
      <x:c r="G394" s="26"/>
      <x:c r="H394" s="19"/>
    </x:row>
    <x:row r="395">
      <x:c r="A395" s="19"/>
      <x:c r="B395" s="19"/>
      <x:c r="C395" s="19"/>
      <x:c r="D395" s="19"/>
      <x:c r="E395" s="19"/>
      <x:c r="F395" s="19"/>
      <x:c r="G395" s="26"/>
      <x:c r="H395" s="19"/>
    </x:row>
    <x:row r="396">
      <x:c r="A396" s="19"/>
      <x:c r="B396" s="19"/>
      <x:c r="C396" s="19"/>
      <x:c r="D396" s="19"/>
      <x:c r="E396" s="19"/>
      <x:c r="F396" s="19"/>
      <x:c r="G396" s="26"/>
      <x:c r="H396" s="19"/>
    </x:row>
    <x:row r="397">
      <x:c r="A397" s="19"/>
      <x:c r="B397" s="19"/>
      <x:c r="C397" s="19"/>
      <x:c r="D397" s="19"/>
      <x:c r="E397" s="19"/>
      <x:c r="F397" s="19"/>
      <x:c r="G397" s="26"/>
      <x:c r="H397" s="19"/>
    </x:row>
    <x:row r="398">
      <x:c r="A398" s="19"/>
      <x:c r="B398" s="19"/>
      <x:c r="C398" s="19"/>
      <x:c r="D398" s="19"/>
      <x:c r="E398" s="19"/>
      <x:c r="F398" s="19"/>
      <x:c r="G398" s="26"/>
      <x:c r="H398" s="19"/>
    </x:row>
    <x:row r="399">
      <x:c r="A399" s="19"/>
      <x:c r="B399" s="19"/>
      <x:c r="C399" s="19"/>
      <x:c r="D399" s="19"/>
      <x:c r="E399" s="19"/>
      <x:c r="F399" s="19"/>
      <x:c r="G399" s="26"/>
      <x:c r="H399" s="19"/>
    </x:row>
    <x:row r="400">
      <x:c r="A400" s="19"/>
      <x:c r="B400" s="19"/>
      <x:c r="C400" s="19"/>
      <x:c r="D400" s="19"/>
      <x:c r="E400" s="19"/>
      <x:c r="F400" s="19"/>
      <x:c r="G400" s="26"/>
      <x:c r="H400" s="19"/>
    </x:row>
    <x:row r="401">
      <x:c r="A401" s="19"/>
      <x:c r="B401" s="19"/>
      <x:c r="C401" s="19"/>
      <x:c r="D401" s="19"/>
      <x:c r="E401" s="19"/>
      <x:c r="F401" s="19"/>
      <x:c r="G401" s="26"/>
      <x:c r="H401" s="19"/>
    </x:row>
    <x:row r="402">
      <x:c r="A402" s="19"/>
      <x:c r="B402" s="19"/>
      <x:c r="C402" s="19"/>
      <x:c r="D402" s="19"/>
      <x:c r="E402" s="19"/>
      <x:c r="F402" s="19"/>
      <x:c r="G402" s="26"/>
      <x:c r="H402" s="19"/>
    </x:row>
    <x:row r="403">
      <x:c r="A403" s="19"/>
      <x:c r="B403" s="19"/>
      <x:c r="C403" s="19"/>
      <x:c r="D403" s="19"/>
      <x:c r="E403" s="19"/>
      <x:c r="F403" s="19"/>
      <x:c r="G403" s="26"/>
      <x:c r="H403" s="19"/>
    </x:row>
    <x:row r="404">
      <x:c r="A404" s="19"/>
      <x:c r="B404" s="19"/>
      <x:c r="C404" s="19"/>
      <x:c r="D404" s="19"/>
      <x:c r="E404" s="19"/>
      <x:c r="F404" s="19"/>
      <x:c r="G404" s="26"/>
      <x:c r="H404" s="19"/>
    </x:row>
    <x:row r="405">
      <x:c r="A405" s="19"/>
      <x:c r="B405" s="19"/>
      <x:c r="C405" s="19"/>
      <x:c r="D405" s="19"/>
      <x:c r="E405" s="19"/>
      <x:c r="F405" s="19"/>
      <x:c r="G405" s="26"/>
      <x:c r="H405" s="19"/>
    </x:row>
    <x:row r="406">
      <x:c r="A406" s="19"/>
      <x:c r="B406" s="19"/>
      <x:c r="C406" s="19"/>
      <x:c r="D406" s="19"/>
      <x:c r="E406" s="19"/>
      <x:c r="F406" s="19"/>
      <x:c r="G406" s="26"/>
      <x:c r="H406" s="19"/>
    </x:row>
    <x:row r="407">
      <x:c r="A407" s="19"/>
      <x:c r="B407" s="19"/>
      <x:c r="C407" s="19"/>
      <x:c r="D407" s="19"/>
      <x:c r="E407" s="19"/>
      <x:c r="F407" s="19"/>
      <x:c r="G407" s="26"/>
      <x:c r="H407" s="19"/>
    </x:row>
    <x:row r="408">
      <x:c r="A408" s="19"/>
      <x:c r="B408" s="19"/>
      <x:c r="C408" s="19"/>
      <x:c r="D408" s="19"/>
      <x:c r="E408" s="19"/>
      <x:c r="F408" s="19"/>
      <x:c r="G408" s="26"/>
      <x:c r="H408" s="19"/>
    </x:row>
    <x:row r="409">
      <x:c r="A409" s="19"/>
      <x:c r="B409" s="19"/>
      <x:c r="C409" s="19"/>
      <x:c r="D409" s="19"/>
      <x:c r="E409" s="19"/>
      <x:c r="F409" s="19"/>
      <x:c r="G409" s="26"/>
      <x:c r="H409" s="19"/>
    </x:row>
    <x:row r="410">
      <x:c r="A410" s="19"/>
      <x:c r="B410" s="19"/>
      <x:c r="C410" s="19"/>
      <x:c r="D410" s="19"/>
      <x:c r="E410" s="19"/>
      <x:c r="F410" s="19"/>
      <x:c r="G410" s="26"/>
      <x:c r="H410" s="19"/>
    </x:row>
    <x:row r="411">
      <x:c r="A411" s="19"/>
      <x:c r="B411" s="19"/>
      <x:c r="C411" s="19"/>
      <x:c r="D411" s="19"/>
      <x:c r="E411" s="19"/>
      <x:c r="F411" s="19"/>
      <x:c r="G411" s="26"/>
      <x:c r="H411" s="19"/>
    </x:row>
    <x:row r="412">
      <x:c r="A412" s="19"/>
      <x:c r="B412" s="19"/>
      <x:c r="C412" s="19"/>
      <x:c r="D412" s="19"/>
      <x:c r="E412" s="19"/>
      <x:c r="F412" s="19"/>
      <x:c r="G412" s="26"/>
      <x:c r="H412" s="19"/>
    </x:row>
    <x:row r="413">
      <x:c r="A413" s="19"/>
      <x:c r="B413" s="19"/>
      <x:c r="C413" s="19"/>
      <x:c r="D413" s="19"/>
      <x:c r="E413" s="19"/>
      <x:c r="F413" s="19"/>
      <x:c r="G413" s="26"/>
      <x:c r="H413" s="19"/>
    </x:row>
    <x:row r="414">
      <x:c r="A414" s="19"/>
      <x:c r="B414" s="19"/>
      <x:c r="C414" s="19"/>
      <x:c r="D414" s="19"/>
      <x:c r="E414" s="19"/>
      <x:c r="F414" s="19"/>
      <x:c r="G414" s="26"/>
      <x:c r="H414" s="19"/>
    </x:row>
    <x:row r="415">
      <x:c r="A415" s="19"/>
      <x:c r="B415" s="19"/>
      <x:c r="C415" s="19"/>
      <x:c r="D415" s="19"/>
      <x:c r="E415" s="19"/>
      <x:c r="F415" s="19"/>
      <x:c r="G415" s="26"/>
      <x:c r="H415" s="19"/>
    </x:row>
    <x:row r="416">
      <x:c r="A416" s="19"/>
      <x:c r="B416" s="19"/>
      <x:c r="C416" s="19"/>
      <x:c r="D416" s="19"/>
      <x:c r="E416" s="19"/>
      <x:c r="F416" s="19"/>
      <x:c r="G416" s="26"/>
      <x:c r="H416" s="19"/>
    </x:row>
    <x:row r="417">
      <x:c r="A417" s="19"/>
      <x:c r="B417" s="19"/>
      <x:c r="C417" s="19"/>
      <x:c r="D417" s="19"/>
      <x:c r="E417" s="19"/>
      <x:c r="F417" s="19"/>
      <x:c r="G417" s="26"/>
      <x:c r="H417" s="19"/>
    </x:row>
    <x:row r="418">
      <x:c r="A418" s="19"/>
      <x:c r="B418" s="19"/>
      <x:c r="C418" s="19"/>
      <x:c r="D418" s="19"/>
      <x:c r="E418" s="19"/>
      <x:c r="F418" s="19"/>
      <x:c r="G418" s="26"/>
      <x:c r="H418" s="19"/>
    </x:row>
    <x:row r="419">
      <x:c r="A419" s="19"/>
      <x:c r="B419" s="19"/>
      <x:c r="C419" s="19"/>
      <x:c r="D419" s="19"/>
      <x:c r="E419" s="19"/>
      <x:c r="F419" s="19"/>
      <x:c r="G419" s="26"/>
      <x:c r="H419" s="19"/>
    </x:row>
    <x:row r="420">
      <x:c r="A420" s="19"/>
      <x:c r="B420" s="19"/>
      <x:c r="C420" s="19"/>
      <x:c r="D420" s="19"/>
      <x:c r="E420" s="19"/>
      <x:c r="F420" s="19"/>
      <x:c r="G420" s="26"/>
      <x:c r="H420" s="19"/>
    </x:row>
    <x:row r="421">
      <x:c r="A421" s="19"/>
      <x:c r="B421" s="19"/>
      <x:c r="C421" s="19"/>
      <x:c r="D421" s="19"/>
      <x:c r="E421" s="19"/>
      <x:c r="F421" s="19"/>
      <x:c r="G421" s="26"/>
      <x:c r="H421" s="19"/>
    </x:row>
    <x:row r="422">
      <x:c r="A422" s="19"/>
      <x:c r="B422" s="19"/>
      <x:c r="C422" s="19"/>
      <x:c r="D422" s="19"/>
      <x:c r="E422" s="19"/>
      <x:c r="F422" s="19"/>
      <x:c r="G422" s="26"/>
      <x:c r="H422" s="19"/>
    </x:row>
    <x:row r="423">
      <x:c r="A423" s="19"/>
      <x:c r="B423" s="19"/>
      <x:c r="C423" s="19"/>
      <x:c r="D423" s="19"/>
      <x:c r="E423" s="19"/>
      <x:c r="F423" s="19"/>
      <x:c r="G423" s="26"/>
      <x:c r="H423" s="19"/>
    </x:row>
    <x:row r="424">
      <x:c r="A424" s="19"/>
      <x:c r="B424" s="19"/>
      <x:c r="C424" s="19"/>
      <x:c r="D424" s="19"/>
      <x:c r="E424" s="19"/>
      <x:c r="F424" s="19"/>
      <x:c r="G424" s="26"/>
      <x:c r="H424" s="19"/>
    </x:row>
    <x:row r="425">
      <x:c r="A425" s="19"/>
      <x:c r="B425" s="19"/>
      <x:c r="C425" s="19"/>
      <x:c r="D425" s="19"/>
      <x:c r="E425" s="19"/>
      <x:c r="F425" s="19"/>
      <x:c r="G425" s="26"/>
      <x:c r="H425" s="19"/>
    </x:row>
    <x:row r="426">
      <x:c r="A426" s="19"/>
      <x:c r="B426" s="19"/>
      <x:c r="C426" s="19"/>
      <x:c r="D426" s="19"/>
      <x:c r="E426" s="19"/>
      <x:c r="F426" s="19"/>
      <x:c r="G426" s="26"/>
      <x:c r="H426" s="19"/>
    </x:row>
    <x:row r="427">
      <x:c r="A427" s="19"/>
      <x:c r="B427" s="19"/>
      <x:c r="C427" s="19"/>
      <x:c r="D427" s="19"/>
      <x:c r="E427" s="19"/>
      <x:c r="F427" s="19"/>
      <x:c r="G427" s="26"/>
      <x:c r="H427" s="19"/>
    </x:row>
    <x:row r="428">
      <x:c r="A428" s="19"/>
      <x:c r="B428" s="19"/>
      <x:c r="C428" s="19"/>
      <x:c r="D428" s="19"/>
      <x:c r="E428" s="19"/>
      <x:c r="F428" s="19"/>
      <x:c r="G428" s="26"/>
      <x:c r="H428" s="19"/>
    </x:row>
    <x:row r="429">
      <x:c r="A429" s="19"/>
      <x:c r="B429" s="19"/>
      <x:c r="C429" s="19"/>
      <x:c r="D429" s="19"/>
      <x:c r="E429" s="19"/>
      <x:c r="F429" s="19"/>
      <x:c r="G429" s="26"/>
      <x:c r="H429" s="19"/>
    </x:row>
    <x:row r="430">
      <x:c r="A430" s="19"/>
      <x:c r="B430" s="19"/>
      <x:c r="C430" s="19"/>
      <x:c r="D430" s="19"/>
      <x:c r="E430" s="19"/>
      <x:c r="F430" s="19"/>
      <x:c r="G430" s="26"/>
      <x:c r="H430" s="19"/>
    </x:row>
    <x:row r="431">
      <x:c r="A431" s="19"/>
      <x:c r="B431" s="19"/>
      <x:c r="C431" s="19"/>
      <x:c r="D431" s="19"/>
      <x:c r="E431" s="19"/>
      <x:c r="F431" s="19"/>
      <x:c r="G431" s="26"/>
      <x:c r="H431" s="19"/>
    </x:row>
    <x:row r="432">
      <x:c r="A432" s="19"/>
      <x:c r="B432" s="19"/>
      <x:c r="C432" s="19"/>
      <x:c r="D432" s="19"/>
      <x:c r="E432" s="19"/>
      <x:c r="F432" s="19"/>
      <x:c r="G432" s="26"/>
      <x:c r="H432" s="19"/>
    </x:row>
    <x:row r="433">
      <x:c r="A433" s="19"/>
      <x:c r="B433" s="19"/>
      <x:c r="C433" s="19"/>
      <x:c r="D433" s="19"/>
      <x:c r="E433" s="19"/>
      <x:c r="F433" s="19"/>
      <x:c r="G433" s="26"/>
      <x:c r="H433" s="19"/>
    </x:row>
    <x:row r="434">
      <x:c r="A434" s="19"/>
      <x:c r="B434" s="19"/>
      <x:c r="C434" s="19"/>
      <x:c r="D434" s="19"/>
      <x:c r="E434" s="19"/>
      <x:c r="F434" s="19"/>
      <x:c r="G434" s="26"/>
      <x:c r="H434" s="19"/>
    </x:row>
    <x:row r="435">
      <x:c r="A435" s="19"/>
      <x:c r="B435" s="19"/>
      <x:c r="C435" s="19"/>
      <x:c r="D435" s="19"/>
      <x:c r="E435" s="19"/>
      <x:c r="F435" s="19"/>
      <x:c r="G435" s="26"/>
      <x:c r="H435" s="19"/>
    </x:row>
    <x:row r="436">
      <x:c r="A436" s="19"/>
      <x:c r="B436" s="19"/>
      <x:c r="C436" s="19"/>
      <x:c r="D436" s="19"/>
      <x:c r="E436" s="19"/>
      <x:c r="F436" s="19"/>
      <x:c r="G436" s="26"/>
      <x:c r="H436" s="19"/>
    </x:row>
    <x:row r="437">
      <x:c r="A437" s="19"/>
      <x:c r="B437" s="19"/>
      <x:c r="C437" s="19"/>
      <x:c r="D437" s="19"/>
      <x:c r="E437" s="19"/>
      <x:c r="F437" s="19"/>
      <x:c r="G437" s="26"/>
      <x:c r="H437" s="19"/>
    </x:row>
    <x:row r="438">
      <x:c r="A438" s="19"/>
      <x:c r="B438" s="19"/>
      <x:c r="C438" s="19"/>
      <x:c r="D438" s="19"/>
      <x:c r="E438" s="19"/>
      <x:c r="F438" s="19"/>
      <x:c r="G438" s="26"/>
      <x:c r="H438" s="19"/>
    </x:row>
    <x:row r="439">
      <x:c r="A439" s="19"/>
      <x:c r="B439" s="19"/>
      <x:c r="C439" s="19"/>
      <x:c r="D439" s="19"/>
      <x:c r="E439" s="19"/>
      <x:c r="F439" s="19"/>
      <x:c r="G439" s="26"/>
      <x:c r="H439" s="19"/>
    </x:row>
    <x:row r="440">
      <x:c r="A440" s="19"/>
      <x:c r="B440" s="19"/>
      <x:c r="C440" s="19"/>
      <x:c r="D440" s="19"/>
      <x:c r="E440" s="19"/>
      <x:c r="F440" s="19"/>
      <x:c r="G440" s="26"/>
      <x:c r="H440" s="19"/>
    </x:row>
    <x:row r="441">
      <x:c r="A441" s="19"/>
      <x:c r="B441" s="19"/>
      <x:c r="C441" s="19"/>
      <x:c r="D441" s="19"/>
      <x:c r="E441" s="19"/>
      <x:c r="F441" s="19"/>
      <x:c r="G441" s="26"/>
      <x:c r="H441" s="19"/>
    </x:row>
    <x:row r="442">
      <x:c r="A442" s="19"/>
      <x:c r="B442" s="19"/>
      <x:c r="C442" s="19"/>
      <x:c r="D442" s="19"/>
      <x:c r="E442" s="19"/>
      <x:c r="F442" s="19"/>
      <x:c r="G442" s="26"/>
      <x:c r="H442" s="19"/>
    </x:row>
    <x:row r="443">
      <x:c r="A443" s="19"/>
      <x:c r="B443" s="19"/>
      <x:c r="C443" s="19"/>
      <x:c r="D443" s="19"/>
      <x:c r="E443" s="19"/>
      <x:c r="F443" s="19"/>
      <x:c r="G443" s="26"/>
      <x:c r="H443" s="19"/>
    </x:row>
    <x:row r="444">
      <x:c r="A444" s="19"/>
      <x:c r="B444" s="19"/>
      <x:c r="C444" s="19"/>
      <x:c r="D444" s="19"/>
      <x:c r="E444" s="19"/>
      <x:c r="F444" s="19"/>
      <x:c r="G444" s="26"/>
      <x:c r="H444" s="19"/>
    </x:row>
    <x:row r="445">
      <x:c r="A445" s="19"/>
      <x:c r="B445" s="19"/>
      <x:c r="C445" s="19"/>
      <x:c r="D445" s="19"/>
      <x:c r="E445" s="19"/>
      <x:c r="F445" s="19"/>
      <x:c r="G445" s="26"/>
      <x:c r="H445" s="19"/>
    </x:row>
    <x:row r="446">
      <x:c r="A446" s="19"/>
      <x:c r="B446" s="19"/>
      <x:c r="C446" s="19"/>
      <x:c r="D446" s="19"/>
      <x:c r="E446" s="19"/>
      <x:c r="F446" s="19"/>
      <x:c r="G446" s="26"/>
      <x:c r="H446" s="19"/>
    </x:row>
    <x:row r="447">
      <x:c r="A447" s="19"/>
      <x:c r="B447" s="19"/>
      <x:c r="C447" s="19"/>
      <x:c r="D447" s="19"/>
      <x:c r="E447" s="19"/>
      <x:c r="F447" s="19"/>
      <x:c r="G447" s="26"/>
      <x:c r="H447" s="19"/>
    </x:row>
    <x:row r="448">
      <x:c r="A448" s="19"/>
      <x:c r="B448" s="19"/>
      <x:c r="C448" s="19"/>
      <x:c r="D448" s="19"/>
      <x:c r="E448" s="19"/>
      <x:c r="F448" s="19"/>
      <x:c r="G448" s="26"/>
      <x:c r="H448" s="19"/>
    </x:row>
    <x:row r="449">
      <x:c r="A449" s="19"/>
      <x:c r="B449" s="19"/>
      <x:c r="C449" s="19"/>
      <x:c r="D449" s="19"/>
      <x:c r="E449" s="19"/>
      <x:c r="F449" s="19"/>
      <x:c r="G449" s="26"/>
      <x:c r="H449" s="19"/>
    </x:row>
    <x:row r="450">
      <x:c r="A450" s="19"/>
      <x:c r="B450" s="19"/>
      <x:c r="C450" s="19"/>
      <x:c r="D450" s="19"/>
      <x:c r="E450" s="19"/>
      <x:c r="F450" s="19"/>
      <x:c r="G450" s="26"/>
      <x:c r="H450" s="19"/>
    </x:row>
    <x:row r="451">
      <x:c r="A451" s="19"/>
      <x:c r="B451" s="19"/>
      <x:c r="C451" s="19"/>
      <x:c r="D451" s="19"/>
      <x:c r="E451" s="19"/>
      <x:c r="F451" s="19"/>
      <x:c r="G451" s="26"/>
      <x:c r="H451" s="19"/>
    </x:row>
    <x:row r="452">
      <x:c r="A452" s="19"/>
      <x:c r="B452" s="19"/>
      <x:c r="C452" s="19"/>
      <x:c r="D452" s="19"/>
      <x:c r="E452" s="19"/>
      <x:c r="F452" s="19"/>
      <x:c r="G452" s="26"/>
      <x:c r="H452" s="19"/>
    </x:row>
    <x:row r="453">
      <x:c r="A453" s="19"/>
      <x:c r="B453" s="19"/>
      <x:c r="C453" s="19"/>
      <x:c r="D453" s="19"/>
      <x:c r="E453" s="19"/>
      <x:c r="F453" s="19"/>
      <x:c r="G453" s="26"/>
      <x:c r="H453" s="19"/>
    </x:row>
    <x:row r="454">
      <x:c r="A454" s="19"/>
      <x:c r="B454" s="19"/>
      <x:c r="C454" s="19"/>
      <x:c r="D454" s="19"/>
      <x:c r="E454" s="19"/>
      <x:c r="F454" s="19"/>
      <x:c r="G454" s="26"/>
      <x:c r="H454" s="19"/>
    </x:row>
    <x:row r="455">
      <x:c r="A455" s="19"/>
      <x:c r="B455" s="19"/>
      <x:c r="C455" s="19"/>
      <x:c r="D455" s="19"/>
      <x:c r="E455" s="19"/>
      <x:c r="F455" s="19"/>
      <x:c r="G455" s="26"/>
      <x:c r="H455" s="19"/>
    </x:row>
    <x:row r="456">
      <x:c r="A456" s="19"/>
      <x:c r="B456" s="19"/>
      <x:c r="C456" s="19"/>
      <x:c r="D456" s="19"/>
      <x:c r="E456" s="19"/>
      <x:c r="F456" s="19"/>
      <x:c r="G456" s="26"/>
      <x:c r="H456" s="19"/>
    </x:row>
    <x:row r="457">
      <x:c r="A457" s="19"/>
      <x:c r="B457" s="19"/>
      <x:c r="C457" s="19"/>
      <x:c r="D457" s="19"/>
      <x:c r="E457" s="19"/>
      <x:c r="F457" s="19"/>
      <x:c r="G457" s="26"/>
      <x:c r="H457" s="19"/>
    </x:row>
    <x:row r="458">
      <x:c r="A458" s="19"/>
      <x:c r="B458" s="19"/>
      <x:c r="C458" s="19"/>
      <x:c r="D458" s="19"/>
      <x:c r="E458" s="19"/>
      <x:c r="F458" s="19"/>
      <x:c r="G458" s="26"/>
      <x:c r="H458" s="19"/>
    </x:row>
    <x:row r="459">
      <x:c r="A459" s="19"/>
      <x:c r="B459" s="19"/>
      <x:c r="C459" s="19"/>
      <x:c r="D459" s="19"/>
      <x:c r="E459" s="19"/>
      <x:c r="F459" s="19"/>
      <x:c r="G459" s="26"/>
      <x:c r="H459" s="19"/>
    </x:row>
    <x:row r="460">
      <x:c r="A460" s="19"/>
      <x:c r="B460" s="19"/>
      <x:c r="C460" s="19"/>
      <x:c r="D460" s="19"/>
      <x:c r="E460" s="19"/>
      <x:c r="F460" s="19"/>
      <x:c r="G460" s="26"/>
      <x:c r="H460" s="19"/>
    </x:row>
    <x:row r="461">
      <x:c r="A461" s="19"/>
      <x:c r="B461" s="19"/>
      <x:c r="C461" s="19"/>
      <x:c r="D461" s="19"/>
      <x:c r="E461" s="19"/>
      <x:c r="F461" s="19"/>
      <x:c r="G461" s="26"/>
      <x:c r="H461" s="19"/>
    </x:row>
    <x:row r="462">
      <x:c r="A462" s="19"/>
      <x:c r="B462" s="19"/>
      <x:c r="C462" s="19"/>
      <x:c r="D462" s="19"/>
      <x:c r="E462" s="19"/>
      <x:c r="F462" s="19"/>
      <x:c r="G462" s="26"/>
      <x:c r="H462" s="19"/>
    </x:row>
    <x:row r="463">
      <x:c r="A463" s="19"/>
      <x:c r="B463" s="19"/>
      <x:c r="C463" s="19"/>
      <x:c r="D463" s="19"/>
      <x:c r="E463" s="19"/>
      <x:c r="F463" s="19"/>
      <x:c r="G463" s="26"/>
      <x:c r="H463" s="19"/>
    </x:row>
    <x:row r="464">
      <x:c r="A464" s="19"/>
      <x:c r="B464" s="19"/>
      <x:c r="C464" s="19"/>
      <x:c r="D464" s="19"/>
      <x:c r="E464" s="19"/>
      <x:c r="F464" s="19"/>
      <x:c r="G464" s="26"/>
      <x:c r="H464" s="19"/>
    </x:row>
    <x:row r="465">
      <x:c r="A465" s="19"/>
      <x:c r="B465" s="19"/>
      <x:c r="C465" s="19"/>
      <x:c r="D465" s="19"/>
      <x:c r="E465" s="19"/>
      <x:c r="F465" s="19"/>
      <x:c r="G465" s="26"/>
      <x:c r="H465" s="19"/>
    </x:row>
    <x:row r="466">
      <x:c r="A466" s="19"/>
      <x:c r="B466" s="19"/>
      <x:c r="C466" s="19"/>
      <x:c r="D466" s="19"/>
      <x:c r="E466" s="19"/>
      <x:c r="F466" s="19"/>
      <x:c r="G466" s="26"/>
      <x:c r="H466" s="19"/>
    </x:row>
    <x:row r="467">
      <x:c r="A467" s="19"/>
      <x:c r="B467" s="19"/>
      <x:c r="C467" s="19"/>
      <x:c r="D467" s="19"/>
      <x:c r="E467" s="19"/>
      <x:c r="F467" s="19"/>
      <x:c r="G467" s="26"/>
      <x:c r="H467" s="19"/>
    </x:row>
    <x:row r="468">
      <x:c r="A468" s="19"/>
      <x:c r="B468" s="19"/>
      <x:c r="C468" s="19"/>
      <x:c r="D468" s="19"/>
      <x:c r="E468" s="19"/>
      <x:c r="F468" s="19"/>
      <x:c r="G468" s="26"/>
      <x:c r="H468" s="19"/>
    </x:row>
    <x:row r="469">
      <x:c r="A469" s="19"/>
      <x:c r="B469" s="19"/>
      <x:c r="C469" s="19"/>
      <x:c r="D469" s="19"/>
      <x:c r="E469" s="19"/>
      <x:c r="F469" s="19"/>
      <x:c r="G469" s="26"/>
      <x:c r="H469" s="19"/>
    </x:row>
    <x:row r="470">
      <x:c r="A470" s="19"/>
      <x:c r="B470" s="19"/>
      <x:c r="C470" s="19"/>
      <x:c r="D470" s="19"/>
      <x:c r="E470" s="19"/>
      <x:c r="F470" s="19"/>
      <x:c r="G470" s="26"/>
      <x:c r="H470" s="19"/>
    </x:row>
    <x:row r="471">
      <x:c r="A471" s="19"/>
      <x:c r="B471" s="19"/>
      <x:c r="C471" s="19"/>
      <x:c r="D471" s="19"/>
      <x:c r="E471" s="19"/>
      <x:c r="F471" s="19"/>
      <x:c r="G471" s="26"/>
      <x:c r="H471" s="19"/>
    </x:row>
    <x:row r="472">
      <x:c r="A472" s="19"/>
      <x:c r="B472" s="19"/>
      <x:c r="C472" s="19"/>
      <x:c r="D472" s="19"/>
      <x:c r="E472" s="19"/>
      <x:c r="F472" s="19"/>
      <x:c r="G472" s="26"/>
      <x:c r="H472" s="19"/>
    </x:row>
    <x:row r="473">
      <x:c r="A473" s="19"/>
      <x:c r="B473" s="19"/>
      <x:c r="C473" s="19"/>
      <x:c r="D473" s="19"/>
      <x:c r="E473" s="19"/>
      <x:c r="F473" s="19"/>
      <x:c r="G473" s="26"/>
      <x:c r="H473" s="19"/>
    </x:row>
    <x:row r="474">
      <x:c r="A474" s="19"/>
      <x:c r="B474" s="19"/>
      <x:c r="C474" s="19"/>
      <x:c r="D474" s="19"/>
      <x:c r="E474" s="19"/>
      <x:c r="F474" s="19"/>
      <x:c r="G474" s="26"/>
      <x:c r="H474" s="19"/>
    </x:row>
    <x:row r="475">
      <x:c r="A475" s="19"/>
      <x:c r="B475" s="19"/>
      <x:c r="C475" s="19"/>
      <x:c r="D475" s="19"/>
      <x:c r="E475" s="19"/>
      <x:c r="F475" s="19"/>
      <x:c r="G475" s="26"/>
      <x:c r="H475" s="19"/>
    </x:row>
    <x:row r="476">
      <x:c r="A476" s="19"/>
      <x:c r="B476" s="19"/>
      <x:c r="C476" s="19"/>
      <x:c r="D476" s="19"/>
      <x:c r="E476" s="19"/>
      <x:c r="F476" s="19"/>
      <x:c r="G476" s="26"/>
      <x:c r="H476" s="19"/>
    </x:row>
    <x:row r="477">
      <x:c r="A477" s="19"/>
      <x:c r="B477" s="19"/>
      <x:c r="C477" s="19"/>
      <x:c r="D477" s="19"/>
      <x:c r="E477" s="19"/>
      <x:c r="F477" s="19"/>
      <x:c r="G477" s="26"/>
      <x:c r="H477" s="19"/>
    </x:row>
    <x:row r="478">
      <x:c r="A478" s="19"/>
      <x:c r="B478" s="19"/>
      <x:c r="C478" s="19"/>
      <x:c r="D478" s="19"/>
      <x:c r="E478" s="19"/>
      <x:c r="F478" s="19"/>
      <x:c r="G478" s="26"/>
      <x:c r="H478" s="19"/>
    </x:row>
    <x:row r="479">
      <x:c r="A479" s="19"/>
      <x:c r="B479" s="19"/>
      <x:c r="C479" s="19"/>
      <x:c r="D479" s="19"/>
      <x:c r="E479" s="19"/>
      <x:c r="F479" s="19"/>
      <x:c r="G479" s="26"/>
      <x:c r="H479" s="19"/>
    </x:row>
    <x:row r="480">
      <x:c r="A480" s="19"/>
      <x:c r="B480" s="19"/>
      <x:c r="C480" s="19"/>
      <x:c r="D480" s="19"/>
      <x:c r="E480" s="19"/>
      <x:c r="F480" s="19"/>
      <x:c r="G480" s="26"/>
      <x:c r="H480" s="19"/>
    </x:row>
    <x:row r="481">
      <x:c r="A481" s="19"/>
      <x:c r="B481" s="19"/>
      <x:c r="C481" s="19"/>
      <x:c r="D481" s="19"/>
      <x:c r="E481" s="19"/>
      <x:c r="F481" s="19"/>
      <x:c r="G481" s="26"/>
      <x:c r="H481" s="19"/>
    </x:row>
    <x:row r="482">
      <x:c r="A482" s="19"/>
      <x:c r="B482" s="19"/>
      <x:c r="C482" s="19"/>
      <x:c r="D482" s="19"/>
      <x:c r="E482" s="19"/>
      <x:c r="F482" s="19"/>
      <x:c r="G482" s="26"/>
      <x:c r="H482" s="19"/>
    </x:row>
    <x:row r="483">
      <x:c r="A483" s="19"/>
      <x:c r="B483" s="19"/>
      <x:c r="C483" s="19"/>
      <x:c r="D483" s="19"/>
      <x:c r="E483" s="19"/>
      <x:c r="F483" s="19"/>
      <x:c r="G483" s="26"/>
      <x:c r="H483" s="19"/>
    </x:row>
    <x:row r="484">
      <x:c r="A484" s="19"/>
      <x:c r="B484" s="19"/>
      <x:c r="C484" s="19"/>
      <x:c r="D484" s="19"/>
      <x:c r="E484" s="19"/>
      <x:c r="F484" s="19"/>
      <x:c r="G484" s="26"/>
      <x:c r="H484" s="19"/>
    </x:row>
    <x:row r="485">
      <x:c r="A485" s="19"/>
      <x:c r="B485" s="19"/>
      <x:c r="C485" s="19"/>
      <x:c r="D485" s="19"/>
      <x:c r="E485" s="19"/>
      <x:c r="F485" s="19"/>
      <x:c r="G485" s="26"/>
      <x:c r="H485" s="19"/>
    </x:row>
    <x:row r="486">
      <x:c r="A486" s="19"/>
      <x:c r="B486" s="19"/>
      <x:c r="C486" s="19"/>
      <x:c r="D486" s="19"/>
      <x:c r="E486" s="19"/>
      <x:c r="F486" s="19"/>
      <x:c r="G486" s="26"/>
      <x:c r="H486" s="19"/>
    </x:row>
    <x:row r="487">
      <x:c r="A487" s="19"/>
      <x:c r="B487" s="19"/>
      <x:c r="C487" s="19"/>
      <x:c r="D487" s="19"/>
      <x:c r="E487" s="19"/>
      <x:c r="F487" s="19"/>
      <x:c r="G487" s="26"/>
      <x:c r="H487" s="19"/>
    </x:row>
    <x:row r="488">
      <x:c r="A488" s="19"/>
      <x:c r="B488" s="19"/>
      <x:c r="C488" s="19"/>
      <x:c r="D488" s="19"/>
      <x:c r="E488" s="19"/>
      <x:c r="F488" s="19"/>
      <x:c r="G488" s="26"/>
      <x:c r="H488" s="19"/>
    </x:row>
    <x:row r="489">
      <x:c r="A489" s="19"/>
      <x:c r="B489" s="19"/>
      <x:c r="C489" s="19"/>
      <x:c r="D489" s="19"/>
      <x:c r="E489" s="19"/>
      <x:c r="F489" s="19"/>
      <x:c r="G489" s="26"/>
      <x:c r="H489" s="19"/>
    </x:row>
    <x:row r="490">
      <x:c r="A490" s="19"/>
      <x:c r="B490" s="19"/>
      <x:c r="C490" s="19"/>
      <x:c r="D490" s="19"/>
      <x:c r="E490" s="19"/>
      <x:c r="F490" s="19"/>
      <x:c r="G490" s="26"/>
      <x:c r="H490" s="19"/>
    </x:row>
    <x:row r="491">
      <x:c r="A491" s="19"/>
      <x:c r="B491" s="19"/>
      <x:c r="C491" s="19"/>
      <x:c r="D491" s="19"/>
      <x:c r="E491" s="19"/>
      <x:c r="F491" s="19"/>
      <x:c r="G491" s="26"/>
      <x:c r="H491" s="19"/>
    </x:row>
    <x:row r="492">
      <x:c r="A492" s="19"/>
      <x:c r="B492" s="19"/>
      <x:c r="C492" s="19"/>
      <x:c r="D492" s="19"/>
      <x:c r="E492" s="19"/>
      <x:c r="F492" s="19"/>
      <x:c r="G492" s="26"/>
      <x:c r="H492" s="19"/>
    </x:row>
    <x:row r="493">
      <x:c r="A493" s="19"/>
      <x:c r="B493" s="19"/>
      <x:c r="C493" s="19"/>
      <x:c r="D493" s="19"/>
      <x:c r="E493" s="19"/>
      <x:c r="F493" s="19"/>
      <x:c r="G493" s="26"/>
      <x:c r="H493" s="19"/>
    </x:row>
    <x:row r="494">
      <x:c r="A494" s="19"/>
      <x:c r="B494" s="19"/>
      <x:c r="C494" s="19"/>
      <x:c r="D494" s="19"/>
      <x:c r="E494" s="19"/>
      <x:c r="F494" s="19"/>
      <x:c r="G494" s="26"/>
      <x:c r="H494" s="19"/>
    </x:row>
    <x:row r="495">
      <x:c r="A495" s="19"/>
      <x:c r="B495" s="19"/>
      <x:c r="C495" s="19"/>
      <x:c r="D495" s="19"/>
      <x:c r="E495" s="19"/>
      <x:c r="F495" s="19"/>
      <x:c r="G495" s="26"/>
      <x:c r="H495" s="19"/>
    </x:row>
    <x:row r="496">
      <x:c r="A496" s="19"/>
      <x:c r="B496" s="19"/>
      <x:c r="C496" s="19"/>
      <x:c r="D496" s="19"/>
      <x:c r="E496" s="19"/>
      <x:c r="F496" s="19"/>
      <x:c r="G496" s="26"/>
      <x:c r="H496" s="19"/>
    </x:row>
    <x:row r="497">
      <x:c r="A497" s="19"/>
      <x:c r="B497" s="19"/>
      <x:c r="C497" s="19"/>
      <x:c r="D497" s="19"/>
      <x:c r="E497" s="19"/>
      <x:c r="F497" s="19"/>
      <x:c r="G497" s="26"/>
      <x:c r="H497" s="19"/>
    </x:row>
    <x:row r="498">
      <x:c r="A498" s="19"/>
      <x:c r="B498" s="19"/>
      <x:c r="C498" s="19"/>
      <x:c r="D498" s="19"/>
      <x:c r="E498" s="19"/>
      <x:c r="F498" s="19"/>
      <x:c r="G498" s="26"/>
      <x:c r="H498" s="19"/>
    </x:row>
    <x:row r="499">
      <x:c r="A499" s="19"/>
      <x:c r="B499" s="19"/>
      <x:c r="C499" s="19"/>
      <x:c r="D499" s="19"/>
      <x:c r="E499" s="19"/>
      <x:c r="F499" s="19"/>
      <x:c r="G499" s="26"/>
      <x:c r="H499" s="19"/>
    </x:row>
    <x:row r="500">
      <x:c r="A500" s="19"/>
      <x:c r="B500" s="19"/>
      <x:c r="C500" s="19"/>
      <x:c r="D500" s="19"/>
      <x:c r="E500" s="19"/>
      <x:c r="F500" s="19"/>
      <x:c r="G500" s="26"/>
      <x:c r="H500" s="19"/>
    </x:row>
  </x:sheetData>
  <x:conditionalFormatting sqref="B2:B500">
    <x:cfRule type="expression" dxfId="126" priority="1">
      <x:formula>AND($A2&lt;&gt;"",B2="")</x:formula>
    </x:cfRule>
  </x:conditionalFormatting>
  <x:conditionalFormatting sqref="C2:C500">
    <x:cfRule type="expression" dxfId="127" priority="2">
      <x:formula>AND($A2&lt;&gt;"",C2="")</x:formula>
    </x:cfRule>
  </x:conditionalFormatting>
  <x:conditionalFormatting sqref="D2:D500">
    <x:cfRule type="expression" dxfId="128" priority="3">
      <x:formula>AND($A2&lt;&gt;"",D2="")</x:formula>
    </x:cfRule>
  </x:conditionalFormatting>
  <x:conditionalFormatting sqref="E2:E500">
    <x:cfRule type="expression" dxfId="129" priority="4">
      <x:formula>AND($A2&lt;&gt;"",E2="")</x:formula>
    </x:cfRule>
  </x:conditionalFormatting>
  <x:conditionalFormatting sqref="G2:G500">
    <x:cfRule type="expression" dxfId="130" priority="5">
      <x:formula>AND($A2&lt;&gt;"",G2="")</x:formula>
    </x:cfRule>
  </x:conditionalFormatting>
  <x:conditionalFormatting sqref="H2:H500">
    <x:cfRule type="expression" dxfId="131" priority="6">
      <x:formula>AND($A2&lt;&gt;"",H2="")</x:formula>
    </x:cfRule>
  </x:conditionalFormatting>
  <x:dataValidations count="2">
    <x:dataValidation type="list" sqref="C2:C500">
      <x:formula1>"text,number,boolean,json,time"</x:formula1>
    </x:dataValidation>
    <x:dataValidation type="list" sqref="E2:E500">
      <x:formula1>"owner,manager,system"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eabd8c772c42e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9" hidden="0" customWidth="1"/>
    <x:col min="4" max="4" width="14" hidden="0" customWidth="1"/>
    <x:col min="5" max="5" width="18" hidden="0" customWidth="1"/>
    <x:col min="6" max="6" width="22" hidden="0" customWidth="1"/>
    <x:col min="7" max="7" width="18" hidden="0" customWidth="1"/>
    <x:col min="8" max="8" width="18" hidden="0" customWidth="1"/>
    <x:col min="9" max="9" width="35" hidden="0" customWidth="1"/>
    <x:col min="10" max="10" width="35" hidden="0" customWidth="1"/>
    <x:col min="11" max="11" width="14" hidden="0" customWidth="1"/>
    <x:col min="12" max="12" width="18" hidden="0" customWidth="1"/>
    <x:col min="13" max="13" width="24" hidden="0" customWidth="1"/>
  </x:cols>
  <x:sheetData>
    <x:row r="1" ht="46" customHeight="1">
      <x:c r="A1" s="12" t="str">
        <x:v>شناسه لاگ *
(log_id)</x:v>
      </x:c>
      <x:c r="B1" s="13" t="str">
        <x:v>کلید رویداد *
(event_key)</x:v>
      </x:c>
      <x:c r="C1" s="13" t="str">
        <x:v>زمان *
(occurred_at)</x:v>
      </x:c>
      <x:c r="D1" s="13" t="str">
        <x:v>نوع عامل *
(actor_type)</x:v>
      </x:c>
      <x:c r="E1" s="13" t="str">
        <x:v>عامل *
(actor_id)</x:v>
      </x:c>
      <x:c r="F1" s="13" t="str">
        <x:v>عملیات *
(action)</x:v>
      </x:c>
      <x:c r="G1" s="13" t="str">
        <x:v>نوع رکورد *
(entity_type)</x:v>
      </x:c>
      <x:c r="H1" s="13" t="str">
        <x:v>شناسه رکورد *
(entity_id)</x:v>
      </x:c>
      <x:c r="I1" s="13" t="str">
        <x:v>قبل
(before_json)</x:v>
      </x:c>
      <x:c r="J1" s="13" t="str">
        <x:v>بعد
(after_json)</x:v>
      </x:c>
      <x:c r="K1" s="13" t="str">
        <x:v>نتیجه *
(status)</x:v>
      </x:c>
      <x:c r="L1" s="13" t="str">
        <x:v>کد خطا
(error_code)</x:v>
      </x:c>
      <x:c r="M1" s="14" t="str">
        <x:v>شناسه زنجیره
(correlation_id)</x:v>
      </x:c>
    </x:row>
    <x:row r="2">
      <x:c r="A2" s="69" t="str">
        <x:v>log_001</x:v>
      </x:c>
      <x:c r="B2" s="70" t="str">
        <x:v>SEED:CRM:1</x:v>
      </x:c>
      <x:c r="C2" s="71" t="n">
        <x:v>46215.229166666664</x:v>
      </x:c>
      <x:c r="D2" s="70" t="str">
        <x:v>system</x:v>
      </x:c>
      <x:c r="E2" s="70" t="str">
        <x:v>system</x:v>
      </x:c>
      <x:c r="F2" s="70" t="str">
        <x:v>SEED_DATA</x:v>
      </x:c>
      <x:c r="G2" s="70" t="str">
        <x:v>workbook</x:v>
      </x:c>
      <x:c r="H2" s="70" t="str">
        <x:v>store_demo</x:v>
      </x:c>
      <x:c r="I2" s="72" t="str"/>
      <x:c r="J2" s="72" t="str">
        <x:v>{"schema_version":1}</x:v>
      </x:c>
      <x:c r="K2" s="70" t="str">
        <x:v>success</x:v>
      </x:c>
      <x:c r="L2" s="70" t="str"/>
      <x:c r="M2" s="73" t="str">
        <x:v>seed_001</x:v>
      </x:c>
    </x:row>
    <x:row r="3">
      <x:c r="A3" s="19"/>
      <x:c r="B3" s="19"/>
      <x:c r="C3" s="26"/>
      <x:c r="D3" s="19"/>
      <x:c r="E3" s="19"/>
      <x:c r="F3" s="19"/>
      <x:c r="G3" s="19"/>
      <x:c r="H3" s="19"/>
      <x:c r="I3" s="20"/>
      <x:c r="J3" s="20"/>
      <x:c r="K3" s="19"/>
      <x:c r="L3" s="19"/>
      <x:c r="M3" s="19"/>
    </x:row>
    <x:row r="4">
      <x:c r="A4" s="19"/>
      <x:c r="B4" s="19"/>
      <x:c r="C4" s="26"/>
      <x:c r="D4" s="19"/>
      <x:c r="E4" s="19"/>
      <x:c r="F4" s="19"/>
      <x:c r="G4" s="19"/>
      <x:c r="H4" s="19"/>
      <x:c r="I4" s="20"/>
      <x:c r="J4" s="20"/>
      <x:c r="K4" s="19"/>
      <x:c r="L4" s="19"/>
      <x:c r="M4" s="19"/>
    </x:row>
    <x:row r="5">
      <x:c r="A5" s="19"/>
      <x:c r="B5" s="19"/>
      <x:c r="C5" s="26"/>
      <x:c r="D5" s="19"/>
      <x:c r="E5" s="19"/>
      <x:c r="F5" s="19"/>
      <x:c r="G5" s="19"/>
      <x:c r="H5" s="19"/>
      <x:c r="I5" s="20"/>
      <x:c r="J5" s="20"/>
      <x:c r="K5" s="19"/>
      <x:c r="L5" s="19"/>
      <x:c r="M5" s="19"/>
    </x:row>
    <x:row r="6">
      <x:c r="A6" s="19"/>
      <x:c r="B6" s="19"/>
      <x:c r="C6" s="26"/>
      <x:c r="D6" s="19"/>
      <x:c r="E6" s="19"/>
      <x:c r="F6" s="19"/>
      <x:c r="G6" s="19"/>
      <x:c r="H6" s="19"/>
      <x:c r="I6" s="20"/>
      <x:c r="J6" s="20"/>
      <x:c r="K6" s="19"/>
      <x:c r="L6" s="19"/>
      <x:c r="M6" s="19"/>
    </x:row>
    <x:row r="7">
      <x:c r="A7" s="19"/>
      <x:c r="B7" s="19"/>
      <x:c r="C7" s="26"/>
      <x:c r="D7" s="19"/>
      <x:c r="E7" s="19"/>
      <x:c r="F7" s="19"/>
      <x:c r="G7" s="19"/>
      <x:c r="H7" s="19"/>
      <x:c r="I7" s="20"/>
      <x:c r="J7" s="20"/>
      <x:c r="K7" s="19"/>
      <x:c r="L7" s="19"/>
      <x:c r="M7" s="19"/>
    </x:row>
    <x:row r="8">
      <x:c r="A8" s="19"/>
      <x:c r="B8" s="19"/>
      <x:c r="C8" s="26"/>
      <x:c r="D8" s="19"/>
      <x:c r="E8" s="19"/>
      <x:c r="F8" s="19"/>
      <x:c r="G8" s="19"/>
      <x:c r="H8" s="19"/>
      <x:c r="I8" s="20"/>
      <x:c r="J8" s="20"/>
      <x:c r="K8" s="19"/>
      <x:c r="L8" s="19"/>
      <x:c r="M8" s="19"/>
    </x:row>
    <x:row r="9">
      <x:c r="A9" s="19"/>
      <x:c r="B9" s="19"/>
      <x:c r="C9" s="26"/>
      <x:c r="D9" s="19"/>
      <x:c r="E9" s="19"/>
      <x:c r="F9" s="19"/>
      <x:c r="G9" s="19"/>
      <x:c r="H9" s="19"/>
      <x:c r="I9" s="20"/>
      <x:c r="J9" s="20"/>
      <x:c r="K9" s="19"/>
      <x:c r="L9" s="19"/>
      <x:c r="M9" s="19"/>
    </x:row>
    <x:row r="10">
      <x:c r="A10" s="19"/>
      <x:c r="B10" s="19"/>
      <x:c r="C10" s="26"/>
      <x:c r="D10" s="19"/>
      <x:c r="E10" s="19"/>
      <x:c r="F10" s="19"/>
      <x:c r="G10" s="19"/>
      <x:c r="H10" s="19"/>
      <x:c r="I10" s="20"/>
      <x:c r="J10" s="20"/>
      <x:c r="K10" s="19"/>
      <x:c r="L10" s="19"/>
      <x:c r="M10" s="19"/>
    </x:row>
    <x:row r="11">
      <x:c r="A11" s="19"/>
      <x:c r="B11" s="19"/>
      <x:c r="C11" s="26"/>
      <x:c r="D11" s="19"/>
      <x:c r="E11" s="19"/>
      <x:c r="F11" s="19"/>
      <x:c r="G11" s="19"/>
      <x:c r="H11" s="19"/>
      <x:c r="I11" s="20"/>
      <x:c r="J11" s="20"/>
      <x:c r="K11" s="19"/>
      <x:c r="L11" s="19"/>
      <x:c r="M11" s="19"/>
    </x:row>
    <x:row r="12">
      <x:c r="A12" s="19"/>
      <x:c r="B12" s="19"/>
      <x:c r="C12" s="26"/>
      <x:c r="D12" s="19"/>
      <x:c r="E12" s="19"/>
      <x:c r="F12" s="19"/>
      <x:c r="G12" s="19"/>
      <x:c r="H12" s="19"/>
      <x:c r="I12" s="20"/>
      <x:c r="J12" s="20"/>
      <x:c r="K12" s="19"/>
      <x:c r="L12" s="19"/>
      <x:c r="M12" s="19"/>
    </x:row>
    <x:row r="13">
      <x:c r="A13" s="19"/>
      <x:c r="B13" s="19"/>
      <x:c r="C13" s="26"/>
      <x:c r="D13" s="19"/>
      <x:c r="E13" s="19"/>
      <x:c r="F13" s="19"/>
      <x:c r="G13" s="19"/>
      <x:c r="H13" s="19"/>
      <x:c r="I13" s="20"/>
      <x:c r="J13" s="20"/>
      <x:c r="K13" s="19"/>
      <x:c r="L13" s="19"/>
      <x:c r="M13" s="19"/>
    </x:row>
    <x:row r="14">
      <x:c r="A14" s="19"/>
      <x:c r="B14" s="19"/>
      <x:c r="C14" s="26"/>
      <x:c r="D14" s="19"/>
      <x:c r="E14" s="19"/>
      <x:c r="F14" s="19"/>
      <x:c r="G14" s="19"/>
      <x:c r="H14" s="19"/>
      <x:c r="I14" s="20"/>
      <x:c r="J14" s="20"/>
      <x:c r="K14" s="19"/>
      <x:c r="L14" s="19"/>
      <x:c r="M14" s="19"/>
    </x:row>
    <x:row r="15">
      <x:c r="A15" s="19"/>
      <x:c r="B15" s="19"/>
      <x:c r="C15" s="26"/>
      <x:c r="D15" s="19"/>
      <x:c r="E15" s="19"/>
      <x:c r="F15" s="19"/>
      <x:c r="G15" s="19"/>
      <x:c r="H15" s="19"/>
      <x:c r="I15" s="20"/>
      <x:c r="J15" s="20"/>
      <x:c r="K15" s="19"/>
      <x:c r="L15" s="19"/>
      <x:c r="M15" s="19"/>
    </x:row>
    <x:row r="16">
      <x:c r="A16" s="19"/>
      <x:c r="B16" s="19"/>
      <x:c r="C16" s="26"/>
      <x:c r="D16" s="19"/>
      <x:c r="E16" s="19"/>
      <x:c r="F16" s="19"/>
      <x:c r="G16" s="19"/>
      <x:c r="H16" s="19"/>
      <x:c r="I16" s="20"/>
      <x:c r="J16" s="20"/>
      <x:c r="K16" s="19"/>
      <x:c r="L16" s="19"/>
      <x:c r="M16" s="19"/>
    </x:row>
    <x:row r="17">
      <x:c r="A17" s="19"/>
      <x:c r="B17" s="19"/>
      <x:c r="C17" s="26"/>
      <x:c r="D17" s="19"/>
      <x:c r="E17" s="19"/>
      <x:c r="F17" s="19"/>
      <x:c r="G17" s="19"/>
      <x:c r="H17" s="19"/>
      <x:c r="I17" s="20"/>
      <x:c r="J17" s="20"/>
      <x:c r="K17" s="19"/>
      <x:c r="L17" s="19"/>
      <x:c r="M17" s="19"/>
    </x:row>
    <x:row r="18">
      <x:c r="A18" s="19"/>
      <x:c r="B18" s="19"/>
      <x:c r="C18" s="26"/>
      <x:c r="D18" s="19"/>
      <x:c r="E18" s="19"/>
      <x:c r="F18" s="19"/>
      <x:c r="G18" s="19"/>
      <x:c r="H18" s="19"/>
      <x:c r="I18" s="20"/>
      <x:c r="J18" s="20"/>
      <x:c r="K18" s="19"/>
      <x:c r="L18" s="19"/>
      <x:c r="M18" s="19"/>
    </x:row>
    <x:row r="19">
      <x:c r="A19" s="19"/>
      <x:c r="B19" s="19"/>
      <x:c r="C19" s="26"/>
      <x:c r="D19" s="19"/>
      <x:c r="E19" s="19"/>
      <x:c r="F19" s="19"/>
      <x:c r="G19" s="19"/>
      <x:c r="H19" s="19"/>
      <x:c r="I19" s="20"/>
      <x:c r="J19" s="20"/>
      <x:c r="K19" s="19"/>
      <x:c r="L19" s="19"/>
      <x:c r="M19" s="19"/>
    </x:row>
    <x:row r="20">
      <x:c r="A20" s="19"/>
      <x:c r="B20" s="19"/>
      <x:c r="C20" s="26"/>
      <x:c r="D20" s="19"/>
      <x:c r="E20" s="19"/>
      <x:c r="F20" s="19"/>
      <x:c r="G20" s="19"/>
      <x:c r="H20" s="19"/>
      <x:c r="I20" s="20"/>
      <x:c r="J20" s="20"/>
      <x:c r="K20" s="19"/>
      <x:c r="L20" s="19"/>
      <x:c r="M20" s="19"/>
    </x:row>
    <x:row r="21">
      <x:c r="A21" s="19"/>
      <x:c r="B21" s="19"/>
      <x:c r="C21" s="26"/>
      <x:c r="D21" s="19"/>
      <x:c r="E21" s="19"/>
      <x:c r="F21" s="19"/>
      <x:c r="G21" s="19"/>
      <x:c r="H21" s="19"/>
      <x:c r="I21" s="20"/>
      <x:c r="J21" s="20"/>
      <x:c r="K21" s="19"/>
      <x:c r="L21" s="19"/>
      <x:c r="M21" s="19"/>
    </x:row>
    <x:row r="22">
      <x:c r="A22" s="19"/>
      <x:c r="B22" s="19"/>
      <x:c r="C22" s="26"/>
      <x:c r="D22" s="19"/>
      <x:c r="E22" s="19"/>
      <x:c r="F22" s="19"/>
      <x:c r="G22" s="19"/>
      <x:c r="H22" s="19"/>
      <x:c r="I22" s="20"/>
      <x:c r="J22" s="20"/>
      <x:c r="K22" s="19"/>
      <x:c r="L22" s="19"/>
      <x:c r="M22" s="19"/>
    </x:row>
    <x:row r="23">
      <x:c r="A23" s="19"/>
      <x:c r="B23" s="19"/>
      <x:c r="C23" s="26"/>
      <x:c r="D23" s="19"/>
      <x:c r="E23" s="19"/>
      <x:c r="F23" s="19"/>
      <x:c r="G23" s="19"/>
      <x:c r="H23" s="19"/>
      <x:c r="I23" s="20"/>
      <x:c r="J23" s="20"/>
      <x:c r="K23" s="19"/>
      <x:c r="L23" s="19"/>
      <x:c r="M23" s="19"/>
    </x:row>
    <x:row r="24">
      <x:c r="A24" s="19"/>
      <x:c r="B24" s="19"/>
      <x:c r="C24" s="26"/>
      <x:c r="D24" s="19"/>
      <x:c r="E24" s="19"/>
      <x:c r="F24" s="19"/>
      <x:c r="G24" s="19"/>
      <x:c r="H24" s="19"/>
      <x:c r="I24" s="20"/>
      <x:c r="J24" s="20"/>
      <x:c r="K24" s="19"/>
      <x:c r="L24" s="19"/>
      <x:c r="M24" s="19"/>
    </x:row>
    <x:row r="25">
      <x:c r="A25" s="19"/>
      <x:c r="B25" s="19"/>
      <x:c r="C25" s="26"/>
      <x:c r="D25" s="19"/>
      <x:c r="E25" s="19"/>
      <x:c r="F25" s="19"/>
      <x:c r="G25" s="19"/>
      <x:c r="H25" s="19"/>
      <x:c r="I25" s="20"/>
      <x:c r="J25" s="20"/>
      <x:c r="K25" s="19"/>
      <x:c r="L25" s="19"/>
      <x:c r="M25" s="19"/>
    </x:row>
    <x:row r="26">
      <x:c r="A26" s="19"/>
      <x:c r="B26" s="19"/>
      <x:c r="C26" s="26"/>
      <x:c r="D26" s="19"/>
      <x:c r="E26" s="19"/>
      <x:c r="F26" s="19"/>
      <x:c r="G26" s="19"/>
      <x:c r="H26" s="19"/>
      <x:c r="I26" s="20"/>
      <x:c r="J26" s="20"/>
      <x:c r="K26" s="19"/>
      <x:c r="L26" s="19"/>
      <x:c r="M26" s="19"/>
    </x:row>
    <x:row r="27">
      <x:c r="A27" s="19"/>
      <x:c r="B27" s="19"/>
      <x:c r="C27" s="26"/>
      <x:c r="D27" s="19"/>
      <x:c r="E27" s="19"/>
      <x:c r="F27" s="19"/>
      <x:c r="G27" s="19"/>
      <x:c r="H27" s="19"/>
      <x:c r="I27" s="20"/>
      <x:c r="J27" s="20"/>
      <x:c r="K27" s="19"/>
      <x:c r="L27" s="19"/>
      <x:c r="M27" s="19"/>
    </x:row>
    <x:row r="28">
      <x:c r="A28" s="19"/>
      <x:c r="B28" s="19"/>
      <x:c r="C28" s="26"/>
      <x:c r="D28" s="19"/>
      <x:c r="E28" s="19"/>
      <x:c r="F28" s="19"/>
      <x:c r="G28" s="19"/>
      <x:c r="H28" s="19"/>
      <x:c r="I28" s="20"/>
      <x:c r="J28" s="20"/>
      <x:c r="K28" s="19"/>
      <x:c r="L28" s="19"/>
      <x:c r="M28" s="19"/>
    </x:row>
    <x:row r="29">
      <x:c r="A29" s="19"/>
      <x:c r="B29" s="19"/>
      <x:c r="C29" s="26"/>
      <x:c r="D29" s="19"/>
      <x:c r="E29" s="19"/>
      <x:c r="F29" s="19"/>
      <x:c r="G29" s="19"/>
      <x:c r="H29" s="19"/>
      <x:c r="I29" s="20"/>
      <x:c r="J29" s="20"/>
      <x:c r="K29" s="19"/>
      <x:c r="L29" s="19"/>
      <x:c r="M29" s="19"/>
    </x:row>
    <x:row r="30">
      <x:c r="A30" s="19"/>
      <x:c r="B30" s="19"/>
      <x:c r="C30" s="26"/>
      <x:c r="D30" s="19"/>
      <x:c r="E30" s="19"/>
      <x:c r="F30" s="19"/>
      <x:c r="G30" s="19"/>
      <x:c r="H30" s="19"/>
      <x:c r="I30" s="20"/>
      <x:c r="J30" s="20"/>
      <x:c r="K30" s="19"/>
      <x:c r="L30" s="19"/>
      <x:c r="M30" s="19"/>
    </x:row>
    <x:row r="31">
      <x:c r="A31" s="19"/>
      <x:c r="B31" s="19"/>
      <x:c r="C31" s="26"/>
      <x:c r="D31" s="19"/>
      <x:c r="E31" s="19"/>
      <x:c r="F31" s="19"/>
      <x:c r="G31" s="19"/>
      <x:c r="H31" s="19"/>
      <x:c r="I31" s="20"/>
      <x:c r="J31" s="20"/>
      <x:c r="K31" s="19"/>
      <x:c r="L31" s="19"/>
      <x:c r="M31" s="19"/>
    </x:row>
    <x:row r="32">
      <x:c r="A32" s="19"/>
      <x:c r="B32" s="19"/>
      <x:c r="C32" s="26"/>
      <x:c r="D32" s="19"/>
      <x:c r="E32" s="19"/>
      <x:c r="F32" s="19"/>
      <x:c r="G32" s="19"/>
      <x:c r="H32" s="19"/>
      <x:c r="I32" s="20"/>
      <x:c r="J32" s="20"/>
      <x:c r="K32" s="19"/>
      <x:c r="L32" s="19"/>
      <x:c r="M32" s="19"/>
    </x:row>
    <x:row r="33">
      <x:c r="A33" s="19"/>
      <x:c r="B33" s="19"/>
      <x:c r="C33" s="26"/>
      <x:c r="D33" s="19"/>
      <x:c r="E33" s="19"/>
      <x:c r="F33" s="19"/>
      <x:c r="G33" s="19"/>
      <x:c r="H33" s="19"/>
      <x:c r="I33" s="20"/>
      <x:c r="J33" s="20"/>
      <x:c r="K33" s="19"/>
      <x:c r="L33" s="19"/>
      <x:c r="M33" s="19"/>
    </x:row>
    <x:row r="34">
      <x:c r="A34" s="19"/>
      <x:c r="B34" s="19"/>
      <x:c r="C34" s="26"/>
      <x:c r="D34" s="19"/>
      <x:c r="E34" s="19"/>
      <x:c r="F34" s="19"/>
      <x:c r="G34" s="19"/>
      <x:c r="H34" s="19"/>
      <x:c r="I34" s="20"/>
      <x:c r="J34" s="20"/>
      <x:c r="K34" s="19"/>
      <x:c r="L34" s="19"/>
      <x:c r="M34" s="19"/>
    </x:row>
    <x:row r="35">
      <x:c r="A35" s="19"/>
      <x:c r="B35" s="19"/>
      <x:c r="C35" s="26"/>
      <x:c r="D35" s="19"/>
      <x:c r="E35" s="19"/>
      <x:c r="F35" s="19"/>
      <x:c r="G35" s="19"/>
      <x:c r="H35" s="19"/>
      <x:c r="I35" s="20"/>
      <x:c r="J35" s="20"/>
      <x:c r="K35" s="19"/>
      <x:c r="L35" s="19"/>
      <x:c r="M35" s="19"/>
    </x:row>
    <x:row r="36">
      <x:c r="A36" s="19"/>
      <x:c r="B36" s="19"/>
      <x:c r="C36" s="26"/>
      <x:c r="D36" s="19"/>
      <x:c r="E36" s="19"/>
      <x:c r="F36" s="19"/>
      <x:c r="G36" s="19"/>
      <x:c r="H36" s="19"/>
      <x:c r="I36" s="20"/>
      <x:c r="J36" s="20"/>
      <x:c r="K36" s="19"/>
      <x:c r="L36" s="19"/>
      <x:c r="M36" s="19"/>
    </x:row>
    <x:row r="37">
      <x:c r="A37" s="19"/>
      <x:c r="B37" s="19"/>
      <x:c r="C37" s="26"/>
      <x:c r="D37" s="19"/>
      <x:c r="E37" s="19"/>
      <x:c r="F37" s="19"/>
      <x:c r="G37" s="19"/>
      <x:c r="H37" s="19"/>
      <x:c r="I37" s="20"/>
      <x:c r="J37" s="20"/>
      <x:c r="K37" s="19"/>
      <x:c r="L37" s="19"/>
      <x:c r="M37" s="19"/>
    </x:row>
    <x:row r="38">
      <x:c r="A38" s="19"/>
      <x:c r="B38" s="19"/>
      <x:c r="C38" s="26"/>
      <x:c r="D38" s="19"/>
      <x:c r="E38" s="19"/>
      <x:c r="F38" s="19"/>
      <x:c r="G38" s="19"/>
      <x:c r="H38" s="19"/>
      <x:c r="I38" s="20"/>
      <x:c r="J38" s="20"/>
      <x:c r="K38" s="19"/>
      <x:c r="L38" s="19"/>
      <x:c r="M38" s="19"/>
    </x:row>
    <x:row r="39">
      <x:c r="A39" s="19"/>
      <x:c r="B39" s="19"/>
      <x:c r="C39" s="26"/>
      <x:c r="D39" s="19"/>
      <x:c r="E39" s="19"/>
      <x:c r="F39" s="19"/>
      <x:c r="G39" s="19"/>
      <x:c r="H39" s="19"/>
      <x:c r="I39" s="20"/>
      <x:c r="J39" s="20"/>
      <x:c r="K39" s="19"/>
      <x:c r="L39" s="19"/>
      <x:c r="M39" s="19"/>
    </x:row>
    <x:row r="40">
      <x:c r="A40" s="19"/>
      <x:c r="B40" s="19"/>
      <x:c r="C40" s="26"/>
      <x:c r="D40" s="19"/>
      <x:c r="E40" s="19"/>
      <x:c r="F40" s="19"/>
      <x:c r="G40" s="19"/>
      <x:c r="H40" s="19"/>
      <x:c r="I40" s="20"/>
      <x:c r="J40" s="20"/>
      <x:c r="K40" s="19"/>
      <x:c r="L40" s="19"/>
      <x:c r="M40" s="19"/>
    </x:row>
    <x:row r="41">
      <x:c r="A41" s="19"/>
      <x:c r="B41" s="19"/>
      <x:c r="C41" s="26"/>
      <x:c r="D41" s="19"/>
      <x:c r="E41" s="19"/>
      <x:c r="F41" s="19"/>
      <x:c r="G41" s="19"/>
      <x:c r="H41" s="19"/>
      <x:c r="I41" s="20"/>
      <x:c r="J41" s="20"/>
      <x:c r="K41" s="19"/>
      <x:c r="L41" s="19"/>
      <x:c r="M41" s="19"/>
    </x:row>
    <x:row r="42">
      <x:c r="A42" s="19"/>
      <x:c r="B42" s="19"/>
      <x:c r="C42" s="26"/>
      <x:c r="D42" s="19"/>
      <x:c r="E42" s="19"/>
      <x:c r="F42" s="19"/>
      <x:c r="G42" s="19"/>
      <x:c r="H42" s="19"/>
      <x:c r="I42" s="20"/>
      <x:c r="J42" s="20"/>
      <x:c r="K42" s="19"/>
      <x:c r="L42" s="19"/>
      <x:c r="M42" s="19"/>
    </x:row>
    <x:row r="43">
      <x:c r="A43" s="19"/>
      <x:c r="B43" s="19"/>
      <x:c r="C43" s="26"/>
      <x:c r="D43" s="19"/>
      <x:c r="E43" s="19"/>
      <x:c r="F43" s="19"/>
      <x:c r="G43" s="19"/>
      <x:c r="H43" s="19"/>
      <x:c r="I43" s="20"/>
      <x:c r="J43" s="20"/>
      <x:c r="K43" s="19"/>
      <x:c r="L43" s="19"/>
      <x:c r="M43" s="19"/>
    </x:row>
    <x:row r="44">
      <x:c r="A44" s="19"/>
      <x:c r="B44" s="19"/>
      <x:c r="C44" s="26"/>
      <x:c r="D44" s="19"/>
      <x:c r="E44" s="19"/>
      <x:c r="F44" s="19"/>
      <x:c r="G44" s="19"/>
      <x:c r="H44" s="19"/>
      <x:c r="I44" s="20"/>
      <x:c r="J44" s="20"/>
      <x:c r="K44" s="19"/>
      <x:c r="L44" s="19"/>
      <x:c r="M44" s="19"/>
    </x:row>
    <x:row r="45">
      <x:c r="A45" s="19"/>
      <x:c r="B45" s="19"/>
      <x:c r="C45" s="26"/>
      <x:c r="D45" s="19"/>
      <x:c r="E45" s="19"/>
      <x:c r="F45" s="19"/>
      <x:c r="G45" s="19"/>
      <x:c r="H45" s="19"/>
      <x:c r="I45" s="20"/>
      <x:c r="J45" s="20"/>
      <x:c r="K45" s="19"/>
      <x:c r="L45" s="19"/>
      <x:c r="M45" s="19"/>
    </x:row>
    <x:row r="46">
      <x:c r="A46" s="19"/>
      <x:c r="B46" s="19"/>
      <x:c r="C46" s="26"/>
      <x:c r="D46" s="19"/>
      <x:c r="E46" s="19"/>
      <x:c r="F46" s="19"/>
      <x:c r="G46" s="19"/>
      <x:c r="H46" s="19"/>
      <x:c r="I46" s="20"/>
      <x:c r="J46" s="20"/>
      <x:c r="K46" s="19"/>
      <x:c r="L46" s="19"/>
      <x:c r="M46" s="19"/>
    </x:row>
    <x:row r="47">
      <x:c r="A47" s="19"/>
      <x:c r="B47" s="19"/>
      <x:c r="C47" s="26"/>
      <x:c r="D47" s="19"/>
      <x:c r="E47" s="19"/>
      <x:c r="F47" s="19"/>
      <x:c r="G47" s="19"/>
      <x:c r="H47" s="19"/>
      <x:c r="I47" s="20"/>
      <x:c r="J47" s="20"/>
      <x:c r="K47" s="19"/>
      <x:c r="L47" s="19"/>
      <x:c r="M47" s="19"/>
    </x:row>
    <x:row r="48">
      <x:c r="A48" s="19"/>
      <x:c r="B48" s="19"/>
      <x:c r="C48" s="26"/>
      <x:c r="D48" s="19"/>
      <x:c r="E48" s="19"/>
      <x:c r="F48" s="19"/>
      <x:c r="G48" s="19"/>
      <x:c r="H48" s="19"/>
      <x:c r="I48" s="20"/>
      <x:c r="J48" s="20"/>
      <x:c r="K48" s="19"/>
      <x:c r="L48" s="19"/>
      <x:c r="M48" s="19"/>
    </x:row>
    <x:row r="49">
      <x:c r="A49" s="19"/>
      <x:c r="B49" s="19"/>
      <x:c r="C49" s="26"/>
      <x:c r="D49" s="19"/>
      <x:c r="E49" s="19"/>
      <x:c r="F49" s="19"/>
      <x:c r="G49" s="19"/>
      <x:c r="H49" s="19"/>
      <x:c r="I49" s="20"/>
      <x:c r="J49" s="20"/>
      <x:c r="K49" s="19"/>
      <x:c r="L49" s="19"/>
      <x:c r="M49" s="19"/>
    </x:row>
    <x:row r="50">
      <x:c r="A50" s="19"/>
      <x:c r="B50" s="19"/>
      <x:c r="C50" s="26"/>
      <x:c r="D50" s="19"/>
      <x:c r="E50" s="19"/>
      <x:c r="F50" s="19"/>
      <x:c r="G50" s="19"/>
      <x:c r="H50" s="19"/>
      <x:c r="I50" s="20"/>
      <x:c r="J50" s="20"/>
      <x:c r="K50" s="19"/>
      <x:c r="L50" s="19"/>
      <x:c r="M50" s="19"/>
    </x:row>
    <x:row r="51">
      <x:c r="A51" s="19"/>
      <x:c r="B51" s="19"/>
      <x:c r="C51" s="26"/>
      <x:c r="D51" s="19"/>
      <x:c r="E51" s="19"/>
      <x:c r="F51" s="19"/>
      <x:c r="G51" s="19"/>
      <x:c r="H51" s="19"/>
      <x:c r="I51" s="20"/>
      <x:c r="J51" s="20"/>
      <x:c r="K51" s="19"/>
      <x:c r="L51" s="19"/>
      <x:c r="M51" s="19"/>
    </x:row>
    <x:row r="52">
      <x:c r="A52" s="19"/>
      <x:c r="B52" s="19"/>
      <x:c r="C52" s="26"/>
      <x:c r="D52" s="19"/>
      <x:c r="E52" s="19"/>
      <x:c r="F52" s="19"/>
      <x:c r="G52" s="19"/>
      <x:c r="H52" s="19"/>
      <x:c r="I52" s="20"/>
      <x:c r="J52" s="20"/>
      <x:c r="K52" s="19"/>
      <x:c r="L52" s="19"/>
      <x:c r="M52" s="19"/>
    </x:row>
    <x:row r="53">
      <x:c r="A53" s="19"/>
      <x:c r="B53" s="19"/>
      <x:c r="C53" s="26"/>
      <x:c r="D53" s="19"/>
      <x:c r="E53" s="19"/>
      <x:c r="F53" s="19"/>
      <x:c r="G53" s="19"/>
      <x:c r="H53" s="19"/>
      <x:c r="I53" s="20"/>
      <x:c r="J53" s="20"/>
      <x:c r="K53" s="19"/>
      <x:c r="L53" s="19"/>
      <x:c r="M53" s="19"/>
    </x:row>
    <x:row r="54">
      <x:c r="A54" s="19"/>
      <x:c r="B54" s="19"/>
      <x:c r="C54" s="26"/>
      <x:c r="D54" s="19"/>
      <x:c r="E54" s="19"/>
      <x:c r="F54" s="19"/>
      <x:c r="G54" s="19"/>
      <x:c r="H54" s="19"/>
      <x:c r="I54" s="20"/>
      <x:c r="J54" s="20"/>
      <x:c r="K54" s="19"/>
      <x:c r="L54" s="19"/>
      <x:c r="M54" s="19"/>
    </x:row>
    <x:row r="55">
      <x:c r="A55" s="19"/>
      <x:c r="B55" s="19"/>
      <x:c r="C55" s="26"/>
      <x:c r="D55" s="19"/>
      <x:c r="E55" s="19"/>
      <x:c r="F55" s="19"/>
      <x:c r="G55" s="19"/>
      <x:c r="H55" s="19"/>
      <x:c r="I55" s="20"/>
      <x:c r="J55" s="20"/>
      <x:c r="K55" s="19"/>
      <x:c r="L55" s="19"/>
      <x:c r="M55" s="19"/>
    </x:row>
    <x:row r="56">
      <x:c r="A56" s="19"/>
      <x:c r="B56" s="19"/>
      <x:c r="C56" s="26"/>
      <x:c r="D56" s="19"/>
      <x:c r="E56" s="19"/>
      <x:c r="F56" s="19"/>
      <x:c r="G56" s="19"/>
      <x:c r="H56" s="19"/>
      <x:c r="I56" s="20"/>
      <x:c r="J56" s="20"/>
      <x:c r="K56" s="19"/>
      <x:c r="L56" s="19"/>
      <x:c r="M56" s="19"/>
    </x:row>
    <x:row r="57">
      <x:c r="A57" s="19"/>
      <x:c r="B57" s="19"/>
      <x:c r="C57" s="26"/>
      <x:c r="D57" s="19"/>
      <x:c r="E57" s="19"/>
      <x:c r="F57" s="19"/>
      <x:c r="G57" s="19"/>
      <x:c r="H57" s="19"/>
      <x:c r="I57" s="20"/>
      <x:c r="J57" s="20"/>
      <x:c r="K57" s="19"/>
      <x:c r="L57" s="19"/>
      <x:c r="M57" s="19"/>
    </x:row>
    <x:row r="58">
      <x:c r="A58" s="19"/>
      <x:c r="B58" s="19"/>
      <x:c r="C58" s="26"/>
      <x:c r="D58" s="19"/>
      <x:c r="E58" s="19"/>
      <x:c r="F58" s="19"/>
      <x:c r="G58" s="19"/>
      <x:c r="H58" s="19"/>
      <x:c r="I58" s="20"/>
      <x:c r="J58" s="20"/>
      <x:c r="K58" s="19"/>
      <x:c r="L58" s="19"/>
      <x:c r="M58" s="19"/>
    </x:row>
    <x:row r="59">
      <x:c r="A59" s="19"/>
      <x:c r="B59" s="19"/>
      <x:c r="C59" s="26"/>
      <x:c r="D59" s="19"/>
      <x:c r="E59" s="19"/>
      <x:c r="F59" s="19"/>
      <x:c r="G59" s="19"/>
      <x:c r="H59" s="19"/>
      <x:c r="I59" s="20"/>
      <x:c r="J59" s="20"/>
      <x:c r="K59" s="19"/>
      <x:c r="L59" s="19"/>
      <x:c r="M59" s="19"/>
    </x:row>
    <x:row r="60">
      <x:c r="A60" s="19"/>
      <x:c r="B60" s="19"/>
      <x:c r="C60" s="26"/>
      <x:c r="D60" s="19"/>
      <x:c r="E60" s="19"/>
      <x:c r="F60" s="19"/>
      <x:c r="G60" s="19"/>
      <x:c r="H60" s="19"/>
      <x:c r="I60" s="20"/>
      <x:c r="J60" s="20"/>
      <x:c r="K60" s="19"/>
      <x:c r="L60" s="19"/>
      <x:c r="M60" s="19"/>
    </x:row>
    <x:row r="61">
      <x:c r="A61" s="19"/>
      <x:c r="B61" s="19"/>
      <x:c r="C61" s="26"/>
      <x:c r="D61" s="19"/>
      <x:c r="E61" s="19"/>
      <x:c r="F61" s="19"/>
      <x:c r="G61" s="19"/>
      <x:c r="H61" s="19"/>
      <x:c r="I61" s="20"/>
      <x:c r="J61" s="20"/>
      <x:c r="K61" s="19"/>
      <x:c r="L61" s="19"/>
      <x:c r="M61" s="19"/>
    </x:row>
    <x:row r="62">
      <x:c r="A62" s="19"/>
      <x:c r="B62" s="19"/>
      <x:c r="C62" s="26"/>
      <x:c r="D62" s="19"/>
      <x:c r="E62" s="19"/>
      <x:c r="F62" s="19"/>
      <x:c r="G62" s="19"/>
      <x:c r="H62" s="19"/>
      <x:c r="I62" s="20"/>
      <x:c r="J62" s="20"/>
      <x:c r="K62" s="19"/>
      <x:c r="L62" s="19"/>
      <x:c r="M62" s="19"/>
    </x:row>
    <x:row r="63">
      <x:c r="A63" s="19"/>
      <x:c r="B63" s="19"/>
      <x:c r="C63" s="26"/>
      <x:c r="D63" s="19"/>
      <x:c r="E63" s="19"/>
      <x:c r="F63" s="19"/>
      <x:c r="G63" s="19"/>
      <x:c r="H63" s="19"/>
      <x:c r="I63" s="20"/>
      <x:c r="J63" s="20"/>
      <x:c r="K63" s="19"/>
      <x:c r="L63" s="19"/>
      <x:c r="M63" s="19"/>
    </x:row>
    <x:row r="64">
      <x:c r="A64" s="19"/>
      <x:c r="B64" s="19"/>
      <x:c r="C64" s="26"/>
      <x:c r="D64" s="19"/>
      <x:c r="E64" s="19"/>
      <x:c r="F64" s="19"/>
      <x:c r="G64" s="19"/>
      <x:c r="H64" s="19"/>
      <x:c r="I64" s="20"/>
      <x:c r="J64" s="20"/>
      <x:c r="K64" s="19"/>
      <x:c r="L64" s="19"/>
      <x:c r="M64" s="19"/>
    </x:row>
    <x:row r="65">
      <x:c r="A65" s="19"/>
      <x:c r="B65" s="19"/>
      <x:c r="C65" s="26"/>
      <x:c r="D65" s="19"/>
      <x:c r="E65" s="19"/>
      <x:c r="F65" s="19"/>
      <x:c r="G65" s="19"/>
      <x:c r="H65" s="19"/>
      <x:c r="I65" s="20"/>
      <x:c r="J65" s="20"/>
      <x:c r="K65" s="19"/>
      <x:c r="L65" s="19"/>
      <x:c r="M65" s="19"/>
    </x:row>
    <x:row r="66">
      <x:c r="A66" s="19"/>
      <x:c r="B66" s="19"/>
      <x:c r="C66" s="26"/>
      <x:c r="D66" s="19"/>
      <x:c r="E66" s="19"/>
      <x:c r="F66" s="19"/>
      <x:c r="G66" s="19"/>
      <x:c r="H66" s="19"/>
      <x:c r="I66" s="20"/>
      <x:c r="J66" s="20"/>
      <x:c r="K66" s="19"/>
      <x:c r="L66" s="19"/>
      <x:c r="M66" s="19"/>
    </x:row>
    <x:row r="67">
      <x:c r="A67" s="19"/>
      <x:c r="B67" s="19"/>
      <x:c r="C67" s="26"/>
      <x:c r="D67" s="19"/>
      <x:c r="E67" s="19"/>
      <x:c r="F67" s="19"/>
      <x:c r="G67" s="19"/>
      <x:c r="H67" s="19"/>
      <x:c r="I67" s="20"/>
      <x:c r="J67" s="20"/>
      <x:c r="K67" s="19"/>
      <x:c r="L67" s="19"/>
      <x:c r="M67" s="19"/>
    </x:row>
    <x:row r="68">
      <x:c r="A68" s="19"/>
      <x:c r="B68" s="19"/>
      <x:c r="C68" s="26"/>
      <x:c r="D68" s="19"/>
      <x:c r="E68" s="19"/>
      <x:c r="F68" s="19"/>
      <x:c r="G68" s="19"/>
      <x:c r="H68" s="19"/>
      <x:c r="I68" s="20"/>
      <x:c r="J68" s="20"/>
      <x:c r="K68" s="19"/>
      <x:c r="L68" s="19"/>
      <x:c r="M68" s="19"/>
    </x:row>
    <x:row r="69">
      <x:c r="A69" s="19"/>
      <x:c r="B69" s="19"/>
      <x:c r="C69" s="26"/>
      <x:c r="D69" s="19"/>
      <x:c r="E69" s="19"/>
      <x:c r="F69" s="19"/>
      <x:c r="G69" s="19"/>
      <x:c r="H69" s="19"/>
      <x:c r="I69" s="20"/>
      <x:c r="J69" s="20"/>
      <x:c r="K69" s="19"/>
      <x:c r="L69" s="19"/>
      <x:c r="M69" s="19"/>
    </x:row>
    <x:row r="70">
      <x:c r="A70" s="19"/>
      <x:c r="B70" s="19"/>
      <x:c r="C70" s="26"/>
      <x:c r="D70" s="19"/>
      <x:c r="E70" s="19"/>
      <x:c r="F70" s="19"/>
      <x:c r="G70" s="19"/>
      <x:c r="H70" s="19"/>
      <x:c r="I70" s="20"/>
      <x:c r="J70" s="20"/>
      <x:c r="K70" s="19"/>
      <x:c r="L70" s="19"/>
      <x:c r="M70" s="19"/>
    </x:row>
    <x:row r="71">
      <x:c r="A71" s="19"/>
      <x:c r="B71" s="19"/>
      <x:c r="C71" s="26"/>
      <x:c r="D71" s="19"/>
      <x:c r="E71" s="19"/>
      <x:c r="F71" s="19"/>
      <x:c r="G71" s="19"/>
      <x:c r="H71" s="19"/>
      <x:c r="I71" s="20"/>
      <x:c r="J71" s="20"/>
      <x:c r="K71" s="19"/>
      <x:c r="L71" s="19"/>
      <x:c r="M71" s="19"/>
    </x:row>
    <x:row r="72">
      <x:c r="A72" s="19"/>
      <x:c r="B72" s="19"/>
      <x:c r="C72" s="26"/>
      <x:c r="D72" s="19"/>
      <x:c r="E72" s="19"/>
      <x:c r="F72" s="19"/>
      <x:c r="G72" s="19"/>
      <x:c r="H72" s="19"/>
      <x:c r="I72" s="20"/>
      <x:c r="J72" s="20"/>
      <x:c r="K72" s="19"/>
      <x:c r="L72" s="19"/>
      <x:c r="M72" s="19"/>
    </x:row>
    <x:row r="73">
      <x:c r="A73" s="19"/>
      <x:c r="B73" s="19"/>
      <x:c r="C73" s="26"/>
      <x:c r="D73" s="19"/>
      <x:c r="E73" s="19"/>
      <x:c r="F73" s="19"/>
      <x:c r="G73" s="19"/>
      <x:c r="H73" s="19"/>
      <x:c r="I73" s="20"/>
      <x:c r="J73" s="20"/>
      <x:c r="K73" s="19"/>
      <x:c r="L73" s="19"/>
      <x:c r="M73" s="19"/>
    </x:row>
    <x:row r="74">
      <x:c r="A74" s="19"/>
      <x:c r="B74" s="19"/>
      <x:c r="C74" s="26"/>
      <x:c r="D74" s="19"/>
      <x:c r="E74" s="19"/>
      <x:c r="F74" s="19"/>
      <x:c r="G74" s="19"/>
      <x:c r="H74" s="19"/>
      <x:c r="I74" s="20"/>
      <x:c r="J74" s="20"/>
      <x:c r="K74" s="19"/>
      <x:c r="L74" s="19"/>
      <x:c r="M74" s="19"/>
    </x:row>
    <x:row r="75">
      <x:c r="A75" s="19"/>
      <x:c r="B75" s="19"/>
      <x:c r="C75" s="26"/>
      <x:c r="D75" s="19"/>
      <x:c r="E75" s="19"/>
      <x:c r="F75" s="19"/>
      <x:c r="G75" s="19"/>
      <x:c r="H75" s="19"/>
      <x:c r="I75" s="20"/>
      <x:c r="J75" s="20"/>
      <x:c r="K75" s="19"/>
      <x:c r="L75" s="19"/>
      <x:c r="M75" s="19"/>
    </x:row>
    <x:row r="76">
      <x:c r="A76" s="19"/>
      <x:c r="B76" s="19"/>
      <x:c r="C76" s="26"/>
      <x:c r="D76" s="19"/>
      <x:c r="E76" s="19"/>
      <x:c r="F76" s="19"/>
      <x:c r="G76" s="19"/>
      <x:c r="H76" s="19"/>
      <x:c r="I76" s="20"/>
      <x:c r="J76" s="20"/>
      <x:c r="K76" s="19"/>
      <x:c r="L76" s="19"/>
      <x:c r="M76" s="19"/>
    </x:row>
    <x:row r="77">
      <x:c r="A77" s="19"/>
      <x:c r="B77" s="19"/>
      <x:c r="C77" s="26"/>
      <x:c r="D77" s="19"/>
      <x:c r="E77" s="19"/>
      <x:c r="F77" s="19"/>
      <x:c r="G77" s="19"/>
      <x:c r="H77" s="19"/>
      <x:c r="I77" s="20"/>
      <x:c r="J77" s="20"/>
      <x:c r="K77" s="19"/>
      <x:c r="L77" s="19"/>
      <x:c r="M77" s="19"/>
    </x:row>
    <x:row r="78">
      <x:c r="A78" s="19"/>
      <x:c r="B78" s="19"/>
      <x:c r="C78" s="26"/>
      <x:c r="D78" s="19"/>
      <x:c r="E78" s="19"/>
      <x:c r="F78" s="19"/>
      <x:c r="G78" s="19"/>
      <x:c r="H78" s="19"/>
      <x:c r="I78" s="20"/>
      <x:c r="J78" s="20"/>
      <x:c r="K78" s="19"/>
      <x:c r="L78" s="19"/>
      <x:c r="M78" s="19"/>
    </x:row>
    <x:row r="79">
      <x:c r="A79" s="19"/>
      <x:c r="B79" s="19"/>
      <x:c r="C79" s="26"/>
      <x:c r="D79" s="19"/>
      <x:c r="E79" s="19"/>
      <x:c r="F79" s="19"/>
      <x:c r="G79" s="19"/>
      <x:c r="H79" s="19"/>
      <x:c r="I79" s="20"/>
      <x:c r="J79" s="20"/>
      <x:c r="K79" s="19"/>
      <x:c r="L79" s="19"/>
      <x:c r="M79" s="19"/>
    </x:row>
    <x:row r="80">
      <x:c r="A80" s="19"/>
      <x:c r="B80" s="19"/>
      <x:c r="C80" s="26"/>
      <x:c r="D80" s="19"/>
      <x:c r="E80" s="19"/>
      <x:c r="F80" s="19"/>
      <x:c r="G80" s="19"/>
      <x:c r="H80" s="19"/>
      <x:c r="I80" s="20"/>
      <x:c r="J80" s="20"/>
      <x:c r="K80" s="19"/>
      <x:c r="L80" s="19"/>
      <x:c r="M80" s="19"/>
    </x:row>
    <x:row r="81">
      <x:c r="A81" s="19"/>
      <x:c r="B81" s="19"/>
      <x:c r="C81" s="26"/>
      <x:c r="D81" s="19"/>
      <x:c r="E81" s="19"/>
      <x:c r="F81" s="19"/>
      <x:c r="G81" s="19"/>
      <x:c r="H81" s="19"/>
      <x:c r="I81" s="20"/>
      <x:c r="J81" s="20"/>
      <x:c r="K81" s="19"/>
      <x:c r="L81" s="19"/>
      <x:c r="M81" s="19"/>
    </x:row>
    <x:row r="82">
      <x:c r="A82" s="19"/>
      <x:c r="B82" s="19"/>
      <x:c r="C82" s="26"/>
      <x:c r="D82" s="19"/>
      <x:c r="E82" s="19"/>
      <x:c r="F82" s="19"/>
      <x:c r="G82" s="19"/>
      <x:c r="H82" s="19"/>
      <x:c r="I82" s="20"/>
      <x:c r="J82" s="20"/>
      <x:c r="K82" s="19"/>
      <x:c r="L82" s="19"/>
      <x:c r="M82" s="19"/>
    </x:row>
    <x:row r="83">
      <x:c r="A83" s="19"/>
      <x:c r="B83" s="19"/>
      <x:c r="C83" s="26"/>
      <x:c r="D83" s="19"/>
      <x:c r="E83" s="19"/>
      <x:c r="F83" s="19"/>
      <x:c r="G83" s="19"/>
      <x:c r="H83" s="19"/>
      <x:c r="I83" s="20"/>
      <x:c r="J83" s="20"/>
      <x:c r="K83" s="19"/>
      <x:c r="L83" s="19"/>
      <x:c r="M83" s="19"/>
    </x:row>
    <x:row r="84">
      <x:c r="A84" s="19"/>
      <x:c r="B84" s="19"/>
      <x:c r="C84" s="26"/>
      <x:c r="D84" s="19"/>
      <x:c r="E84" s="19"/>
      <x:c r="F84" s="19"/>
      <x:c r="G84" s="19"/>
      <x:c r="H84" s="19"/>
      <x:c r="I84" s="20"/>
      <x:c r="J84" s="20"/>
      <x:c r="K84" s="19"/>
      <x:c r="L84" s="19"/>
      <x:c r="M84" s="19"/>
    </x:row>
    <x:row r="85">
      <x:c r="A85" s="19"/>
      <x:c r="B85" s="19"/>
      <x:c r="C85" s="26"/>
      <x:c r="D85" s="19"/>
      <x:c r="E85" s="19"/>
      <x:c r="F85" s="19"/>
      <x:c r="G85" s="19"/>
      <x:c r="H85" s="19"/>
      <x:c r="I85" s="20"/>
      <x:c r="J85" s="20"/>
      <x:c r="K85" s="19"/>
      <x:c r="L85" s="19"/>
      <x:c r="M85" s="19"/>
    </x:row>
    <x:row r="86">
      <x:c r="A86" s="19"/>
      <x:c r="B86" s="19"/>
      <x:c r="C86" s="26"/>
      <x:c r="D86" s="19"/>
      <x:c r="E86" s="19"/>
      <x:c r="F86" s="19"/>
      <x:c r="G86" s="19"/>
      <x:c r="H86" s="19"/>
      <x:c r="I86" s="20"/>
      <x:c r="J86" s="20"/>
      <x:c r="K86" s="19"/>
      <x:c r="L86" s="19"/>
      <x:c r="M86" s="19"/>
    </x:row>
    <x:row r="87">
      <x:c r="A87" s="19"/>
      <x:c r="B87" s="19"/>
      <x:c r="C87" s="26"/>
      <x:c r="D87" s="19"/>
      <x:c r="E87" s="19"/>
      <x:c r="F87" s="19"/>
      <x:c r="G87" s="19"/>
      <x:c r="H87" s="19"/>
      <x:c r="I87" s="20"/>
      <x:c r="J87" s="20"/>
      <x:c r="K87" s="19"/>
      <x:c r="L87" s="19"/>
      <x:c r="M87" s="19"/>
    </x:row>
    <x:row r="88">
      <x:c r="A88" s="19"/>
      <x:c r="B88" s="19"/>
      <x:c r="C88" s="26"/>
      <x:c r="D88" s="19"/>
      <x:c r="E88" s="19"/>
      <x:c r="F88" s="19"/>
      <x:c r="G88" s="19"/>
      <x:c r="H88" s="19"/>
      <x:c r="I88" s="20"/>
      <x:c r="J88" s="20"/>
      <x:c r="K88" s="19"/>
      <x:c r="L88" s="19"/>
      <x:c r="M88" s="19"/>
    </x:row>
    <x:row r="89">
      <x:c r="A89" s="19"/>
      <x:c r="B89" s="19"/>
      <x:c r="C89" s="26"/>
      <x:c r="D89" s="19"/>
      <x:c r="E89" s="19"/>
      <x:c r="F89" s="19"/>
      <x:c r="G89" s="19"/>
      <x:c r="H89" s="19"/>
      <x:c r="I89" s="20"/>
      <x:c r="J89" s="20"/>
      <x:c r="K89" s="19"/>
      <x:c r="L89" s="19"/>
      <x:c r="M89" s="19"/>
    </x:row>
    <x:row r="90">
      <x:c r="A90" s="19"/>
      <x:c r="B90" s="19"/>
      <x:c r="C90" s="26"/>
      <x:c r="D90" s="19"/>
      <x:c r="E90" s="19"/>
      <x:c r="F90" s="19"/>
      <x:c r="G90" s="19"/>
      <x:c r="H90" s="19"/>
      <x:c r="I90" s="20"/>
      <x:c r="J90" s="20"/>
      <x:c r="K90" s="19"/>
      <x:c r="L90" s="19"/>
      <x:c r="M90" s="19"/>
    </x:row>
    <x:row r="91">
      <x:c r="A91" s="19"/>
      <x:c r="B91" s="19"/>
      <x:c r="C91" s="26"/>
      <x:c r="D91" s="19"/>
      <x:c r="E91" s="19"/>
      <x:c r="F91" s="19"/>
      <x:c r="G91" s="19"/>
      <x:c r="H91" s="19"/>
      <x:c r="I91" s="20"/>
      <x:c r="J91" s="20"/>
      <x:c r="K91" s="19"/>
      <x:c r="L91" s="19"/>
      <x:c r="M91" s="19"/>
    </x:row>
    <x:row r="92">
      <x:c r="A92" s="19"/>
      <x:c r="B92" s="19"/>
      <x:c r="C92" s="26"/>
      <x:c r="D92" s="19"/>
      <x:c r="E92" s="19"/>
      <x:c r="F92" s="19"/>
      <x:c r="G92" s="19"/>
      <x:c r="H92" s="19"/>
      <x:c r="I92" s="20"/>
      <x:c r="J92" s="20"/>
      <x:c r="K92" s="19"/>
      <x:c r="L92" s="19"/>
      <x:c r="M92" s="19"/>
    </x:row>
    <x:row r="93">
      <x:c r="A93" s="19"/>
      <x:c r="B93" s="19"/>
      <x:c r="C93" s="26"/>
      <x:c r="D93" s="19"/>
      <x:c r="E93" s="19"/>
      <x:c r="F93" s="19"/>
      <x:c r="G93" s="19"/>
      <x:c r="H93" s="19"/>
      <x:c r="I93" s="20"/>
      <x:c r="J93" s="20"/>
      <x:c r="K93" s="19"/>
      <x:c r="L93" s="19"/>
      <x:c r="M93" s="19"/>
    </x:row>
    <x:row r="94">
      <x:c r="A94" s="19"/>
      <x:c r="B94" s="19"/>
      <x:c r="C94" s="26"/>
      <x:c r="D94" s="19"/>
      <x:c r="E94" s="19"/>
      <x:c r="F94" s="19"/>
      <x:c r="G94" s="19"/>
      <x:c r="H94" s="19"/>
      <x:c r="I94" s="20"/>
      <x:c r="J94" s="20"/>
      <x:c r="K94" s="19"/>
      <x:c r="L94" s="19"/>
      <x:c r="M94" s="19"/>
    </x:row>
    <x:row r="95">
      <x:c r="A95" s="19"/>
      <x:c r="B95" s="19"/>
      <x:c r="C95" s="26"/>
      <x:c r="D95" s="19"/>
      <x:c r="E95" s="19"/>
      <x:c r="F95" s="19"/>
      <x:c r="G95" s="19"/>
      <x:c r="H95" s="19"/>
      <x:c r="I95" s="20"/>
      <x:c r="J95" s="20"/>
      <x:c r="K95" s="19"/>
      <x:c r="L95" s="19"/>
      <x:c r="M95" s="19"/>
    </x:row>
    <x:row r="96">
      <x:c r="A96" s="19"/>
      <x:c r="B96" s="19"/>
      <x:c r="C96" s="26"/>
      <x:c r="D96" s="19"/>
      <x:c r="E96" s="19"/>
      <x:c r="F96" s="19"/>
      <x:c r="G96" s="19"/>
      <x:c r="H96" s="19"/>
      <x:c r="I96" s="20"/>
      <x:c r="J96" s="20"/>
      <x:c r="K96" s="19"/>
      <x:c r="L96" s="19"/>
      <x:c r="M96" s="19"/>
    </x:row>
    <x:row r="97">
      <x:c r="A97" s="19"/>
      <x:c r="B97" s="19"/>
      <x:c r="C97" s="26"/>
      <x:c r="D97" s="19"/>
      <x:c r="E97" s="19"/>
      <x:c r="F97" s="19"/>
      <x:c r="G97" s="19"/>
      <x:c r="H97" s="19"/>
      <x:c r="I97" s="20"/>
      <x:c r="J97" s="20"/>
      <x:c r="K97" s="19"/>
      <x:c r="L97" s="19"/>
      <x:c r="M97" s="19"/>
    </x:row>
    <x:row r="98">
      <x:c r="A98" s="19"/>
      <x:c r="B98" s="19"/>
      <x:c r="C98" s="26"/>
      <x:c r="D98" s="19"/>
      <x:c r="E98" s="19"/>
      <x:c r="F98" s="19"/>
      <x:c r="G98" s="19"/>
      <x:c r="H98" s="19"/>
      <x:c r="I98" s="20"/>
      <x:c r="J98" s="20"/>
      <x:c r="K98" s="19"/>
      <x:c r="L98" s="19"/>
      <x:c r="M98" s="19"/>
    </x:row>
    <x:row r="99">
      <x:c r="A99" s="19"/>
      <x:c r="B99" s="19"/>
      <x:c r="C99" s="26"/>
      <x:c r="D99" s="19"/>
      <x:c r="E99" s="19"/>
      <x:c r="F99" s="19"/>
      <x:c r="G99" s="19"/>
      <x:c r="H99" s="19"/>
      <x:c r="I99" s="20"/>
      <x:c r="J99" s="20"/>
      <x:c r="K99" s="19"/>
      <x:c r="L99" s="19"/>
      <x:c r="M99" s="19"/>
    </x:row>
    <x:row r="100">
      <x:c r="A100" s="19"/>
      <x:c r="B100" s="19"/>
      <x:c r="C100" s="26"/>
      <x:c r="D100" s="19"/>
      <x:c r="E100" s="19"/>
      <x:c r="F100" s="19"/>
      <x:c r="G100" s="19"/>
      <x:c r="H100" s="19"/>
      <x:c r="I100" s="20"/>
      <x:c r="J100" s="20"/>
      <x:c r="K100" s="19"/>
      <x:c r="L100" s="19"/>
      <x:c r="M100" s="19"/>
    </x:row>
    <x:row r="101">
      <x:c r="A101" s="19"/>
      <x:c r="B101" s="19"/>
      <x:c r="C101" s="26"/>
      <x:c r="D101" s="19"/>
      <x:c r="E101" s="19"/>
      <x:c r="F101" s="19"/>
      <x:c r="G101" s="19"/>
      <x:c r="H101" s="19"/>
      <x:c r="I101" s="20"/>
      <x:c r="J101" s="20"/>
      <x:c r="K101" s="19"/>
      <x:c r="L101" s="19"/>
      <x:c r="M101" s="19"/>
    </x:row>
    <x:row r="102">
      <x:c r="A102" s="19"/>
      <x:c r="B102" s="19"/>
      <x:c r="C102" s="26"/>
      <x:c r="D102" s="19"/>
      <x:c r="E102" s="19"/>
      <x:c r="F102" s="19"/>
      <x:c r="G102" s="19"/>
      <x:c r="H102" s="19"/>
      <x:c r="I102" s="20"/>
      <x:c r="J102" s="20"/>
      <x:c r="K102" s="19"/>
      <x:c r="L102" s="19"/>
      <x:c r="M102" s="19"/>
    </x:row>
    <x:row r="103">
      <x:c r="A103" s="19"/>
      <x:c r="B103" s="19"/>
      <x:c r="C103" s="26"/>
      <x:c r="D103" s="19"/>
      <x:c r="E103" s="19"/>
      <x:c r="F103" s="19"/>
      <x:c r="G103" s="19"/>
      <x:c r="H103" s="19"/>
      <x:c r="I103" s="20"/>
      <x:c r="J103" s="20"/>
      <x:c r="K103" s="19"/>
      <x:c r="L103" s="19"/>
      <x:c r="M103" s="19"/>
    </x:row>
    <x:row r="104">
      <x:c r="A104" s="19"/>
      <x:c r="B104" s="19"/>
      <x:c r="C104" s="26"/>
      <x:c r="D104" s="19"/>
      <x:c r="E104" s="19"/>
      <x:c r="F104" s="19"/>
      <x:c r="G104" s="19"/>
      <x:c r="H104" s="19"/>
      <x:c r="I104" s="20"/>
      <x:c r="J104" s="20"/>
      <x:c r="K104" s="19"/>
      <x:c r="L104" s="19"/>
      <x:c r="M104" s="19"/>
    </x:row>
    <x:row r="105">
      <x:c r="A105" s="19"/>
      <x:c r="B105" s="19"/>
      <x:c r="C105" s="26"/>
      <x:c r="D105" s="19"/>
      <x:c r="E105" s="19"/>
      <x:c r="F105" s="19"/>
      <x:c r="G105" s="19"/>
      <x:c r="H105" s="19"/>
      <x:c r="I105" s="20"/>
      <x:c r="J105" s="20"/>
      <x:c r="K105" s="19"/>
      <x:c r="L105" s="19"/>
      <x:c r="M105" s="19"/>
    </x:row>
    <x:row r="106">
      <x:c r="A106" s="19"/>
      <x:c r="B106" s="19"/>
      <x:c r="C106" s="26"/>
      <x:c r="D106" s="19"/>
      <x:c r="E106" s="19"/>
      <x:c r="F106" s="19"/>
      <x:c r="G106" s="19"/>
      <x:c r="H106" s="19"/>
      <x:c r="I106" s="20"/>
      <x:c r="J106" s="20"/>
      <x:c r="K106" s="19"/>
      <x:c r="L106" s="19"/>
      <x:c r="M106" s="19"/>
    </x:row>
    <x:row r="107">
      <x:c r="A107" s="19"/>
      <x:c r="B107" s="19"/>
      <x:c r="C107" s="26"/>
      <x:c r="D107" s="19"/>
      <x:c r="E107" s="19"/>
      <x:c r="F107" s="19"/>
      <x:c r="G107" s="19"/>
      <x:c r="H107" s="19"/>
      <x:c r="I107" s="20"/>
      <x:c r="J107" s="20"/>
      <x:c r="K107" s="19"/>
      <x:c r="L107" s="19"/>
      <x:c r="M107" s="19"/>
    </x:row>
    <x:row r="108">
      <x:c r="A108" s="19"/>
      <x:c r="B108" s="19"/>
      <x:c r="C108" s="26"/>
      <x:c r="D108" s="19"/>
      <x:c r="E108" s="19"/>
      <x:c r="F108" s="19"/>
      <x:c r="G108" s="19"/>
      <x:c r="H108" s="19"/>
      <x:c r="I108" s="20"/>
      <x:c r="J108" s="20"/>
      <x:c r="K108" s="19"/>
      <x:c r="L108" s="19"/>
      <x:c r="M108" s="19"/>
    </x:row>
    <x:row r="109">
      <x:c r="A109" s="19"/>
      <x:c r="B109" s="19"/>
      <x:c r="C109" s="26"/>
      <x:c r="D109" s="19"/>
      <x:c r="E109" s="19"/>
      <x:c r="F109" s="19"/>
      <x:c r="G109" s="19"/>
      <x:c r="H109" s="19"/>
      <x:c r="I109" s="20"/>
      <x:c r="J109" s="20"/>
      <x:c r="K109" s="19"/>
      <x:c r="L109" s="19"/>
      <x:c r="M109" s="19"/>
    </x:row>
    <x:row r="110">
      <x:c r="A110" s="19"/>
      <x:c r="B110" s="19"/>
      <x:c r="C110" s="26"/>
      <x:c r="D110" s="19"/>
      <x:c r="E110" s="19"/>
      <x:c r="F110" s="19"/>
      <x:c r="G110" s="19"/>
      <x:c r="H110" s="19"/>
      <x:c r="I110" s="20"/>
      <x:c r="J110" s="20"/>
      <x:c r="K110" s="19"/>
      <x:c r="L110" s="19"/>
      <x:c r="M110" s="19"/>
    </x:row>
    <x:row r="111">
      <x:c r="A111" s="19"/>
      <x:c r="B111" s="19"/>
      <x:c r="C111" s="26"/>
      <x:c r="D111" s="19"/>
      <x:c r="E111" s="19"/>
      <x:c r="F111" s="19"/>
      <x:c r="G111" s="19"/>
      <x:c r="H111" s="19"/>
      <x:c r="I111" s="20"/>
      <x:c r="J111" s="20"/>
      <x:c r="K111" s="19"/>
      <x:c r="L111" s="19"/>
      <x:c r="M111" s="19"/>
    </x:row>
    <x:row r="112">
      <x:c r="A112" s="19"/>
      <x:c r="B112" s="19"/>
      <x:c r="C112" s="26"/>
      <x:c r="D112" s="19"/>
      <x:c r="E112" s="19"/>
      <x:c r="F112" s="19"/>
      <x:c r="G112" s="19"/>
      <x:c r="H112" s="19"/>
      <x:c r="I112" s="20"/>
      <x:c r="J112" s="20"/>
      <x:c r="K112" s="19"/>
      <x:c r="L112" s="19"/>
      <x:c r="M112" s="19"/>
    </x:row>
    <x:row r="113">
      <x:c r="A113" s="19"/>
      <x:c r="B113" s="19"/>
      <x:c r="C113" s="26"/>
      <x:c r="D113" s="19"/>
      <x:c r="E113" s="19"/>
      <x:c r="F113" s="19"/>
      <x:c r="G113" s="19"/>
      <x:c r="H113" s="19"/>
      <x:c r="I113" s="20"/>
      <x:c r="J113" s="20"/>
      <x:c r="K113" s="19"/>
      <x:c r="L113" s="19"/>
      <x:c r="M113" s="19"/>
    </x:row>
    <x:row r="114">
      <x:c r="A114" s="19"/>
      <x:c r="B114" s="19"/>
      <x:c r="C114" s="26"/>
      <x:c r="D114" s="19"/>
      <x:c r="E114" s="19"/>
      <x:c r="F114" s="19"/>
      <x:c r="G114" s="19"/>
      <x:c r="H114" s="19"/>
      <x:c r="I114" s="20"/>
      <x:c r="J114" s="20"/>
      <x:c r="K114" s="19"/>
      <x:c r="L114" s="19"/>
      <x:c r="M114" s="19"/>
    </x:row>
    <x:row r="115">
      <x:c r="A115" s="19"/>
      <x:c r="B115" s="19"/>
      <x:c r="C115" s="26"/>
      <x:c r="D115" s="19"/>
      <x:c r="E115" s="19"/>
      <x:c r="F115" s="19"/>
      <x:c r="G115" s="19"/>
      <x:c r="H115" s="19"/>
      <x:c r="I115" s="20"/>
      <x:c r="J115" s="20"/>
      <x:c r="K115" s="19"/>
      <x:c r="L115" s="19"/>
      <x:c r="M115" s="19"/>
    </x:row>
    <x:row r="116">
      <x:c r="A116" s="19"/>
      <x:c r="B116" s="19"/>
      <x:c r="C116" s="26"/>
      <x:c r="D116" s="19"/>
      <x:c r="E116" s="19"/>
      <x:c r="F116" s="19"/>
      <x:c r="G116" s="19"/>
      <x:c r="H116" s="19"/>
      <x:c r="I116" s="20"/>
      <x:c r="J116" s="20"/>
      <x:c r="K116" s="19"/>
      <x:c r="L116" s="19"/>
      <x:c r="M116" s="19"/>
    </x:row>
    <x:row r="117">
      <x:c r="A117" s="19"/>
      <x:c r="B117" s="19"/>
      <x:c r="C117" s="26"/>
      <x:c r="D117" s="19"/>
      <x:c r="E117" s="19"/>
      <x:c r="F117" s="19"/>
      <x:c r="G117" s="19"/>
      <x:c r="H117" s="19"/>
      <x:c r="I117" s="20"/>
      <x:c r="J117" s="20"/>
      <x:c r="K117" s="19"/>
      <x:c r="L117" s="19"/>
      <x:c r="M117" s="19"/>
    </x:row>
    <x:row r="118">
      <x:c r="A118" s="19"/>
      <x:c r="B118" s="19"/>
      <x:c r="C118" s="26"/>
      <x:c r="D118" s="19"/>
      <x:c r="E118" s="19"/>
      <x:c r="F118" s="19"/>
      <x:c r="G118" s="19"/>
      <x:c r="H118" s="19"/>
      <x:c r="I118" s="20"/>
      <x:c r="J118" s="20"/>
      <x:c r="K118" s="19"/>
      <x:c r="L118" s="19"/>
      <x:c r="M118" s="19"/>
    </x:row>
    <x:row r="119">
      <x:c r="A119" s="19"/>
      <x:c r="B119" s="19"/>
      <x:c r="C119" s="26"/>
      <x:c r="D119" s="19"/>
      <x:c r="E119" s="19"/>
      <x:c r="F119" s="19"/>
      <x:c r="G119" s="19"/>
      <x:c r="H119" s="19"/>
      <x:c r="I119" s="20"/>
      <x:c r="J119" s="20"/>
      <x:c r="K119" s="19"/>
      <x:c r="L119" s="19"/>
      <x:c r="M119" s="19"/>
    </x:row>
    <x:row r="120">
      <x:c r="A120" s="19"/>
      <x:c r="B120" s="19"/>
      <x:c r="C120" s="26"/>
      <x:c r="D120" s="19"/>
      <x:c r="E120" s="19"/>
      <x:c r="F120" s="19"/>
      <x:c r="G120" s="19"/>
      <x:c r="H120" s="19"/>
      <x:c r="I120" s="20"/>
      <x:c r="J120" s="20"/>
      <x:c r="K120" s="19"/>
      <x:c r="L120" s="19"/>
      <x:c r="M120" s="19"/>
    </x:row>
    <x:row r="121">
      <x:c r="A121" s="19"/>
      <x:c r="B121" s="19"/>
      <x:c r="C121" s="26"/>
      <x:c r="D121" s="19"/>
      <x:c r="E121" s="19"/>
      <x:c r="F121" s="19"/>
      <x:c r="G121" s="19"/>
      <x:c r="H121" s="19"/>
      <x:c r="I121" s="20"/>
      <x:c r="J121" s="20"/>
      <x:c r="K121" s="19"/>
      <x:c r="L121" s="19"/>
      <x:c r="M121" s="19"/>
    </x:row>
    <x:row r="122">
      <x:c r="A122" s="19"/>
      <x:c r="B122" s="19"/>
      <x:c r="C122" s="26"/>
      <x:c r="D122" s="19"/>
      <x:c r="E122" s="19"/>
      <x:c r="F122" s="19"/>
      <x:c r="G122" s="19"/>
      <x:c r="H122" s="19"/>
      <x:c r="I122" s="20"/>
      <x:c r="J122" s="20"/>
      <x:c r="K122" s="19"/>
      <x:c r="L122" s="19"/>
      <x:c r="M122" s="19"/>
    </x:row>
    <x:row r="123">
      <x:c r="A123" s="19"/>
      <x:c r="B123" s="19"/>
      <x:c r="C123" s="26"/>
      <x:c r="D123" s="19"/>
      <x:c r="E123" s="19"/>
      <x:c r="F123" s="19"/>
      <x:c r="G123" s="19"/>
      <x:c r="H123" s="19"/>
      <x:c r="I123" s="20"/>
      <x:c r="J123" s="20"/>
      <x:c r="K123" s="19"/>
      <x:c r="L123" s="19"/>
      <x:c r="M123" s="19"/>
    </x:row>
    <x:row r="124">
      <x:c r="A124" s="19"/>
      <x:c r="B124" s="19"/>
      <x:c r="C124" s="26"/>
      <x:c r="D124" s="19"/>
      <x:c r="E124" s="19"/>
      <x:c r="F124" s="19"/>
      <x:c r="G124" s="19"/>
      <x:c r="H124" s="19"/>
      <x:c r="I124" s="20"/>
      <x:c r="J124" s="20"/>
      <x:c r="K124" s="19"/>
      <x:c r="L124" s="19"/>
      <x:c r="M124" s="19"/>
    </x:row>
    <x:row r="125">
      <x:c r="A125" s="19"/>
      <x:c r="B125" s="19"/>
      <x:c r="C125" s="26"/>
      <x:c r="D125" s="19"/>
      <x:c r="E125" s="19"/>
      <x:c r="F125" s="19"/>
      <x:c r="G125" s="19"/>
      <x:c r="H125" s="19"/>
      <x:c r="I125" s="20"/>
      <x:c r="J125" s="20"/>
      <x:c r="K125" s="19"/>
      <x:c r="L125" s="19"/>
      <x:c r="M125" s="19"/>
    </x:row>
    <x:row r="126">
      <x:c r="A126" s="19"/>
      <x:c r="B126" s="19"/>
      <x:c r="C126" s="26"/>
      <x:c r="D126" s="19"/>
      <x:c r="E126" s="19"/>
      <x:c r="F126" s="19"/>
      <x:c r="G126" s="19"/>
      <x:c r="H126" s="19"/>
      <x:c r="I126" s="20"/>
      <x:c r="J126" s="20"/>
      <x:c r="K126" s="19"/>
      <x:c r="L126" s="19"/>
      <x:c r="M126" s="19"/>
    </x:row>
    <x:row r="127">
      <x:c r="A127" s="19"/>
      <x:c r="B127" s="19"/>
      <x:c r="C127" s="26"/>
      <x:c r="D127" s="19"/>
      <x:c r="E127" s="19"/>
      <x:c r="F127" s="19"/>
      <x:c r="G127" s="19"/>
      <x:c r="H127" s="19"/>
      <x:c r="I127" s="20"/>
      <x:c r="J127" s="20"/>
      <x:c r="K127" s="19"/>
      <x:c r="L127" s="19"/>
      <x:c r="M127" s="19"/>
    </x:row>
    <x:row r="128">
      <x:c r="A128" s="19"/>
      <x:c r="B128" s="19"/>
      <x:c r="C128" s="26"/>
      <x:c r="D128" s="19"/>
      <x:c r="E128" s="19"/>
      <x:c r="F128" s="19"/>
      <x:c r="G128" s="19"/>
      <x:c r="H128" s="19"/>
      <x:c r="I128" s="20"/>
      <x:c r="J128" s="20"/>
      <x:c r="K128" s="19"/>
      <x:c r="L128" s="19"/>
      <x:c r="M128" s="19"/>
    </x:row>
    <x:row r="129">
      <x:c r="A129" s="19"/>
      <x:c r="B129" s="19"/>
      <x:c r="C129" s="26"/>
      <x:c r="D129" s="19"/>
      <x:c r="E129" s="19"/>
      <x:c r="F129" s="19"/>
      <x:c r="G129" s="19"/>
      <x:c r="H129" s="19"/>
      <x:c r="I129" s="20"/>
      <x:c r="J129" s="20"/>
      <x:c r="K129" s="19"/>
      <x:c r="L129" s="19"/>
      <x:c r="M129" s="19"/>
    </x:row>
    <x:row r="130">
      <x:c r="A130" s="19"/>
      <x:c r="B130" s="19"/>
      <x:c r="C130" s="26"/>
      <x:c r="D130" s="19"/>
      <x:c r="E130" s="19"/>
      <x:c r="F130" s="19"/>
      <x:c r="G130" s="19"/>
      <x:c r="H130" s="19"/>
      <x:c r="I130" s="20"/>
      <x:c r="J130" s="20"/>
      <x:c r="K130" s="19"/>
      <x:c r="L130" s="19"/>
      <x:c r="M130" s="19"/>
    </x:row>
    <x:row r="131">
      <x:c r="A131" s="19"/>
      <x:c r="B131" s="19"/>
      <x:c r="C131" s="26"/>
      <x:c r="D131" s="19"/>
      <x:c r="E131" s="19"/>
      <x:c r="F131" s="19"/>
      <x:c r="G131" s="19"/>
      <x:c r="H131" s="19"/>
      <x:c r="I131" s="20"/>
      <x:c r="J131" s="20"/>
      <x:c r="K131" s="19"/>
      <x:c r="L131" s="19"/>
      <x:c r="M131" s="19"/>
    </x:row>
    <x:row r="132">
      <x:c r="A132" s="19"/>
      <x:c r="B132" s="19"/>
      <x:c r="C132" s="26"/>
      <x:c r="D132" s="19"/>
      <x:c r="E132" s="19"/>
      <x:c r="F132" s="19"/>
      <x:c r="G132" s="19"/>
      <x:c r="H132" s="19"/>
      <x:c r="I132" s="20"/>
      <x:c r="J132" s="20"/>
      <x:c r="K132" s="19"/>
      <x:c r="L132" s="19"/>
      <x:c r="M132" s="19"/>
    </x:row>
    <x:row r="133">
      <x:c r="A133" s="19"/>
      <x:c r="B133" s="19"/>
      <x:c r="C133" s="26"/>
      <x:c r="D133" s="19"/>
      <x:c r="E133" s="19"/>
      <x:c r="F133" s="19"/>
      <x:c r="G133" s="19"/>
      <x:c r="H133" s="19"/>
      <x:c r="I133" s="20"/>
      <x:c r="J133" s="20"/>
      <x:c r="K133" s="19"/>
      <x:c r="L133" s="19"/>
      <x:c r="M133" s="19"/>
    </x:row>
    <x:row r="134">
      <x:c r="A134" s="19"/>
      <x:c r="B134" s="19"/>
      <x:c r="C134" s="26"/>
      <x:c r="D134" s="19"/>
      <x:c r="E134" s="19"/>
      <x:c r="F134" s="19"/>
      <x:c r="G134" s="19"/>
      <x:c r="H134" s="19"/>
      <x:c r="I134" s="20"/>
      <x:c r="J134" s="20"/>
      <x:c r="K134" s="19"/>
      <x:c r="L134" s="19"/>
      <x:c r="M134" s="19"/>
    </x:row>
    <x:row r="135">
      <x:c r="A135" s="19"/>
      <x:c r="B135" s="19"/>
      <x:c r="C135" s="26"/>
      <x:c r="D135" s="19"/>
      <x:c r="E135" s="19"/>
      <x:c r="F135" s="19"/>
      <x:c r="G135" s="19"/>
      <x:c r="H135" s="19"/>
      <x:c r="I135" s="20"/>
      <x:c r="J135" s="20"/>
      <x:c r="K135" s="19"/>
      <x:c r="L135" s="19"/>
      <x:c r="M135" s="19"/>
    </x:row>
    <x:row r="136">
      <x:c r="A136" s="19"/>
      <x:c r="B136" s="19"/>
      <x:c r="C136" s="26"/>
      <x:c r="D136" s="19"/>
      <x:c r="E136" s="19"/>
      <x:c r="F136" s="19"/>
      <x:c r="G136" s="19"/>
      <x:c r="H136" s="19"/>
      <x:c r="I136" s="20"/>
      <x:c r="J136" s="20"/>
      <x:c r="K136" s="19"/>
      <x:c r="L136" s="19"/>
      <x:c r="M136" s="19"/>
    </x:row>
    <x:row r="137">
      <x:c r="A137" s="19"/>
      <x:c r="B137" s="19"/>
      <x:c r="C137" s="26"/>
      <x:c r="D137" s="19"/>
      <x:c r="E137" s="19"/>
      <x:c r="F137" s="19"/>
      <x:c r="G137" s="19"/>
      <x:c r="H137" s="19"/>
      <x:c r="I137" s="20"/>
      <x:c r="J137" s="20"/>
      <x:c r="K137" s="19"/>
      <x:c r="L137" s="19"/>
      <x:c r="M137" s="19"/>
    </x:row>
    <x:row r="138">
      <x:c r="A138" s="19"/>
      <x:c r="B138" s="19"/>
      <x:c r="C138" s="26"/>
      <x:c r="D138" s="19"/>
      <x:c r="E138" s="19"/>
      <x:c r="F138" s="19"/>
      <x:c r="G138" s="19"/>
      <x:c r="H138" s="19"/>
      <x:c r="I138" s="20"/>
      <x:c r="J138" s="20"/>
      <x:c r="K138" s="19"/>
      <x:c r="L138" s="19"/>
      <x:c r="M138" s="19"/>
    </x:row>
    <x:row r="139">
      <x:c r="A139" s="19"/>
      <x:c r="B139" s="19"/>
      <x:c r="C139" s="26"/>
      <x:c r="D139" s="19"/>
      <x:c r="E139" s="19"/>
      <x:c r="F139" s="19"/>
      <x:c r="G139" s="19"/>
      <x:c r="H139" s="19"/>
      <x:c r="I139" s="20"/>
      <x:c r="J139" s="20"/>
      <x:c r="K139" s="19"/>
      <x:c r="L139" s="19"/>
      <x:c r="M139" s="19"/>
    </x:row>
    <x:row r="140">
      <x:c r="A140" s="19"/>
      <x:c r="B140" s="19"/>
      <x:c r="C140" s="26"/>
      <x:c r="D140" s="19"/>
      <x:c r="E140" s="19"/>
      <x:c r="F140" s="19"/>
      <x:c r="G140" s="19"/>
      <x:c r="H140" s="19"/>
      <x:c r="I140" s="20"/>
      <x:c r="J140" s="20"/>
      <x:c r="K140" s="19"/>
      <x:c r="L140" s="19"/>
      <x:c r="M140" s="19"/>
    </x:row>
    <x:row r="141">
      <x:c r="A141" s="19"/>
      <x:c r="B141" s="19"/>
      <x:c r="C141" s="26"/>
      <x:c r="D141" s="19"/>
      <x:c r="E141" s="19"/>
      <x:c r="F141" s="19"/>
      <x:c r="G141" s="19"/>
      <x:c r="H141" s="19"/>
      <x:c r="I141" s="20"/>
      <x:c r="J141" s="20"/>
      <x:c r="K141" s="19"/>
      <x:c r="L141" s="19"/>
      <x:c r="M141" s="19"/>
    </x:row>
    <x:row r="142">
      <x:c r="A142" s="19"/>
      <x:c r="B142" s="19"/>
      <x:c r="C142" s="26"/>
      <x:c r="D142" s="19"/>
      <x:c r="E142" s="19"/>
      <x:c r="F142" s="19"/>
      <x:c r="G142" s="19"/>
      <x:c r="H142" s="19"/>
      <x:c r="I142" s="20"/>
      <x:c r="J142" s="20"/>
      <x:c r="K142" s="19"/>
      <x:c r="L142" s="19"/>
      <x:c r="M142" s="19"/>
    </x:row>
    <x:row r="143">
      <x:c r="A143" s="19"/>
      <x:c r="B143" s="19"/>
      <x:c r="C143" s="26"/>
      <x:c r="D143" s="19"/>
      <x:c r="E143" s="19"/>
      <x:c r="F143" s="19"/>
      <x:c r="G143" s="19"/>
      <x:c r="H143" s="19"/>
      <x:c r="I143" s="20"/>
      <x:c r="J143" s="20"/>
      <x:c r="K143" s="19"/>
      <x:c r="L143" s="19"/>
      <x:c r="M143" s="19"/>
    </x:row>
    <x:row r="144">
      <x:c r="A144" s="19"/>
      <x:c r="B144" s="19"/>
      <x:c r="C144" s="26"/>
      <x:c r="D144" s="19"/>
      <x:c r="E144" s="19"/>
      <x:c r="F144" s="19"/>
      <x:c r="G144" s="19"/>
      <x:c r="H144" s="19"/>
      <x:c r="I144" s="20"/>
      <x:c r="J144" s="20"/>
      <x:c r="K144" s="19"/>
      <x:c r="L144" s="19"/>
      <x:c r="M144" s="19"/>
    </x:row>
    <x:row r="145">
      <x:c r="A145" s="19"/>
      <x:c r="B145" s="19"/>
      <x:c r="C145" s="26"/>
      <x:c r="D145" s="19"/>
      <x:c r="E145" s="19"/>
      <x:c r="F145" s="19"/>
      <x:c r="G145" s="19"/>
      <x:c r="H145" s="19"/>
      <x:c r="I145" s="20"/>
      <x:c r="J145" s="20"/>
      <x:c r="K145" s="19"/>
      <x:c r="L145" s="19"/>
      <x:c r="M145" s="19"/>
    </x:row>
    <x:row r="146">
      <x:c r="A146" s="19"/>
      <x:c r="B146" s="19"/>
      <x:c r="C146" s="26"/>
      <x:c r="D146" s="19"/>
      <x:c r="E146" s="19"/>
      <x:c r="F146" s="19"/>
      <x:c r="G146" s="19"/>
      <x:c r="H146" s="19"/>
      <x:c r="I146" s="20"/>
      <x:c r="J146" s="20"/>
      <x:c r="K146" s="19"/>
      <x:c r="L146" s="19"/>
      <x:c r="M146" s="19"/>
    </x:row>
    <x:row r="147">
      <x:c r="A147" s="19"/>
      <x:c r="B147" s="19"/>
      <x:c r="C147" s="26"/>
      <x:c r="D147" s="19"/>
      <x:c r="E147" s="19"/>
      <x:c r="F147" s="19"/>
      <x:c r="G147" s="19"/>
      <x:c r="H147" s="19"/>
      <x:c r="I147" s="20"/>
      <x:c r="J147" s="20"/>
      <x:c r="K147" s="19"/>
      <x:c r="L147" s="19"/>
      <x:c r="M147" s="19"/>
    </x:row>
    <x:row r="148">
      <x:c r="A148" s="19"/>
      <x:c r="B148" s="19"/>
      <x:c r="C148" s="26"/>
      <x:c r="D148" s="19"/>
      <x:c r="E148" s="19"/>
      <x:c r="F148" s="19"/>
      <x:c r="G148" s="19"/>
      <x:c r="H148" s="19"/>
      <x:c r="I148" s="20"/>
      <x:c r="J148" s="20"/>
      <x:c r="K148" s="19"/>
      <x:c r="L148" s="19"/>
      <x:c r="M148" s="19"/>
    </x:row>
    <x:row r="149">
      <x:c r="A149" s="19"/>
      <x:c r="B149" s="19"/>
      <x:c r="C149" s="26"/>
      <x:c r="D149" s="19"/>
      <x:c r="E149" s="19"/>
      <x:c r="F149" s="19"/>
      <x:c r="G149" s="19"/>
      <x:c r="H149" s="19"/>
      <x:c r="I149" s="20"/>
      <x:c r="J149" s="20"/>
      <x:c r="K149" s="19"/>
      <x:c r="L149" s="19"/>
      <x:c r="M149" s="19"/>
    </x:row>
    <x:row r="150">
      <x:c r="A150" s="19"/>
      <x:c r="B150" s="19"/>
      <x:c r="C150" s="26"/>
      <x:c r="D150" s="19"/>
      <x:c r="E150" s="19"/>
      <x:c r="F150" s="19"/>
      <x:c r="G150" s="19"/>
      <x:c r="H150" s="19"/>
      <x:c r="I150" s="20"/>
      <x:c r="J150" s="20"/>
      <x:c r="K150" s="19"/>
      <x:c r="L150" s="19"/>
      <x:c r="M150" s="19"/>
    </x:row>
    <x:row r="151">
      <x:c r="A151" s="19"/>
      <x:c r="B151" s="19"/>
      <x:c r="C151" s="26"/>
      <x:c r="D151" s="19"/>
      <x:c r="E151" s="19"/>
      <x:c r="F151" s="19"/>
      <x:c r="G151" s="19"/>
      <x:c r="H151" s="19"/>
      <x:c r="I151" s="20"/>
      <x:c r="J151" s="20"/>
      <x:c r="K151" s="19"/>
      <x:c r="L151" s="19"/>
      <x:c r="M151" s="19"/>
    </x:row>
    <x:row r="152">
      <x:c r="A152" s="19"/>
      <x:c r="B152" s="19"/>
      <x:c r="C152" s="26"/>
      <x:c r="D152" s="19"/>
      <x:c r="E152" s="19"/>
      <x:c r="F152" s="19"/>
      <x:c r="G152" s="19"/>
      <x:c r="H152" s="19"/>
      <x:c r="I152" s="20"/>
      <x:c r="J152" s="20"/>
      <x:c r="K152" s="19"/>
      <x:c r="L152" s="19"/>
      <x:c r="M152" s="19"/>
    </x:row>
    <x:row r="153">
      <x:c r="A153" s="19"/>
      <x:c r="B153" s="19"/>
      <x:c r="C153" s="26"/>
      <x:c r="D153" s="19"/>
      <x:c r="E153" s="19"/>
      <x:c r="F153" s="19"/>
      <x:c r="G153" s="19"/>
      <x:c r="H153" s="19"/>
      <x:c r="I153" s="20"/>
      <x:c r="J153" s="20"/>
      <x:c r="K153" s="19"/>
      <x:c r="L153" s="19"/>
      <x:c r="M153" s="19"/>
    </x:row>
    <x:row r="154">
      <x:c r="A154" s="19"/>
      <x:c r="B154" s="19"/>
      <x:c r="C154" s="26"/>
      <x:c r="D154" s="19"/>
      <x:c r="E154" s="19"/>
      <x:c r="F154" s="19"/>
      <x:c r="G154" s="19"/>
      <x:c r="H154" s="19"/>
      <x:c r="I154" s="20"/>
      <x:c r="J154" s="20"/>
      <x:c r="K154" s="19"/>
      <x:c r="L154" s="19"/>
      <x:c r="M154" s="19"/>
    </x:row>
    <x:row r="155">
      <x:c r="A155" s="19"/>
      <x:c r="B155" s="19"/>
      <x:c r="C155" s="26"/>
      <x:c r="D155" s="19"/>
      <x:c r="E155" s="19"/>
      <x:c r="F155" s="19"/>
      <x:c r="G155" s="19"/>
      <x:c r="H155" s="19"/>
      <x:c r="I155" s="20"/>
      <x:c r="J155" s="20"/>
      <x:c r="K155" s="19"/>
      <x:c r="L155" s="19"/>
      <x:c r="M155" s="19"/>
    </x:row>
    <x:row r="156">
      <x:c r="A156" s="19"/>
      <x:c r="B156" s="19"/>
      <x:c r="C156" s="26"/>
      <x:c r="D156" s="19"/>
      <x:c r="E156" s="19"/>
      <x:c r="F156" s="19"/>
      <x:c r="G156" s="19"/>
      <x:c r="H156" s="19"/>
      <x:c r="I156" s="20"/>
      <x:c r="J156" s="20"/>
      <x:c r="K156" s="19"/>
      <x:c r="L156" s="19"/>
      <x:c r="M156" s="19"/>
    </x:row>
    <x:row r="157">
      <x:c r="A157" s="19"/>
      <x:c r="B157" s="19"/>
      <x:c r="C157" s="26"/>
      <x:c r="D157" s="19"/>
      <x:c r="E157" s="19"/>
      <x:c r="F157" s="19"/>
      <x:c r="G157" s="19"/>
      <x:c r="H157" s="19"/>
      <x:c r="I157" s="20"/>
      <x:c r="J157" s="20"/>
      <x:c r="K157" s="19"/>
      <x:c r="L157" s="19"/>
      <x:c r="M157" s="19"/>
    </x:row>
    <x:row r="158">
      <x:c r="A158" s="19"/>
      <x:c r="B158" s="19"/>
      <x:c r="C158" s="26"/>
      <x:c r="D158" s="19"/>
      <x:c r="E158" s="19"/>
      <x:c r="F158" s="19"/>
      <x:c r="G158" s="19"/>
      <x:c r="H158" s="19"/>
      <x:c r="I158" s="20"/>
      <x:c r="J158" s="20"/>
      <x:c r="K158" s="19"/>
      <x:c r="L158" s="19"/>
      <x:c r="M158" s="19"/>
    </x:row>
    <x:row r="159">
      <x:c r="A159" s="19"/>
      <x:c r="B159" s="19"/>
      <x:c r="C159" s="26"/>
      <x:c r="D159" s="19"/>
      <x:c r="E159" s="19"/>
      <x:c r="F159" s="19"/>
      <x:c r="G159" s="19"/>
      <x:c r="H159" s="19"/>
      <x:c r="I159" s="20"/>
      <x:c r="J159" s="20"/>
      <x:c r="K159" s="19"/>
      <x:c r="L159" s="19"/>
      <x:c r="M159" s="19"/>
    </x:row>
    <x:row r="160">
      <x:c r="A160" s="19"/>
      <x:c r="B160" s="19"/>
      <x:c r="C160" s="26"/>
      <x:c r="D160" s="19"/>
      <x:c r="E160" s="19"/>
      <x:c r="F160" s="19"/>
      <x:c r="G160" s="19"/>
      <x:c r="H160" s="19"/>
      <x:c r="I160" s="20"/>
      <x:c r="J160" s="20"/>
      <x:c r="K160" s="19"/>
      <x:c r="L160" s="19"/>
      <x:c r="M160" s="19"/>
    </x:row>
    <x:row r="161">
      <x:c r="A161" s="19"/>
      <x:c r="B161" s="19"/>
      <x:c r="C161" s="26"/>
      <x:c r="D161" s="19"/>
      <x:c r="E161" s="19"/>
      <x:c r="F161" s="19"/>
      <x:c r="G161" s="19"/>
      <x:c r="H161" s="19"/>
      <x:c r="I161" s="20"/>
      <x:c r="J161" s="20"/>
      <x:c r="K161" s="19"/>
      <x:c r="L161" s="19"/>
      <x:c r="M161" s="19"/>
    </x:row>
    <x:row r="162">
      <x:c r="A162" s="19"/>
      <x:c r="B162" s="19"/>
      <x:c r="C162" s="26"/>
      <x:c r="D162" s="19"/>
      <x:c r="E162" s="19"/>
      <x:c r="F162" s="19"/>
      <x:c r="G162" s="19"/>
      <x:c r="H162" s="19"/>
      <x:c r="I162" s="20"/>
      <x:c r="J162" s="20"/>
      <x:c r="K162" s="19"/>
      <x:c r="L162" s="19"/>
      <x:c r="M162" s="19"/>
    </x:row>
    <x:row r="163">
      <x:c r="A163" s="19"/>
      <x:c r="B163" s="19"/>
      <x:c r="C163" s="26"/>
      <x:c r="D163" s="19"/>
      <x:c r="E163" s="19"/>
      <x:c r="F163" s="19"/>
      <x:c r="G163" s="19"/>
      <x:c r="H163" s="19"/>
      <x:c r="I163" s="20"/>
      <x:c r="J163" s="20"/>
      <x:c r="K163" s="19"/>
      <x:c r="L163" s="19"/>
      <x:c r="M163" s="19"/>
    </x:row>
    <x:row r="164">
      <x:c r="A164" s="19"/>
      <x:c r="B164" s="19"/>
      <x:c r="C164" s="26"/>
      <x:c r="D164" s="19"/>
      <x:c r="E164" s="19"/>
      <x:c r="F164" s="19"/>
      <x:c r="G164" s="19"/>
      <x:c r="H164" s="19"/>
      <x:c r="I164" s="20"/>
      <x:c r="J164" s="20"/>
      <x:c r="K164" s="19"/>
      <x:c r="L164" s="19"/>
      <x:c r="M164" s="19"/>
    </x:row>
    <x:row r="165">
      <x:c r="A165" s="19"/>
      <x:c r="B165" s="19"/>
      <x:c r="C165" s="26"/>
      <x:c r="D165" s="19"/>
      <x:c r="E165" s="19"/>
      <x:c r="F165" s="19"/>
      <x:c r="G165" s="19"/>
      <x:c r="H165" s="19"/>
      <x:c r="I165" s="20"/>
      <x:c r="J165" s="20"/>
      <x:c r="K165" s="19"/>
      <x:c r="L165" s="19"/>
      <x:c r="M165" s="19"/>
    </x:row>
    <x:row r="166">
      <x:c r="A166" s="19"/>
      <x:c r="B166" s="19"/>
      <x:c r="C166" s="26"/>
      <x:c r="D166" s="19"/>
      <x:c r="E166" s="19"/>
      <x:c r="F166" s="19"/>
      <x:c r="G166" s="19"/>
      <x:c r="H166" s="19"/>
      <x:c r="I166" s="20"/>
      <x:c r="J166" s="20"/>
      <x:c r="K166" s="19"/>
      <x:c r="L166" s="19"/>
      <x:c r="M166" s="19"/>
    </x:row>
    <x:row r="167">
      <x:c r="A167" s="19"/>
      <x:c r="B167" s="19"/>
      <x:c r="C167" s="26"/>
      <x:c r="D167" s="19"/>
      <x:c r="E167" s="19"/>
      <x:c r="F167" s="19"/>
      <x:c r="G167" s="19"/>
      <x:c r="H167" s="19"/>
      <x:c r="I167" s="20"/>
      <x:c r="J167" s="20"/>
      <x:c r="K167" s="19"/>
      <x:c r="L167" s="19"/>
      <x:c r="M167" s="19"/>
    </x:row>
    <x:row r="168">
      <x:c r="A168" s="19"/>
      <x:c r="B168" s="19"/>
      <x:c r="C168" s="26"/>
      <x:c r="D168" s="19"/>
      <x:c r="E168" s="19"/>
      <x:c r="F168" s="19"/>
      <x:c r="G168" s="19"/>
      <x:c r="H168" s="19"/>
      <x:c r="I168" s="20"/>
      <x:c r="J168" s="20"/>
      <x:c r="K168" s="19"/>
      <x:c r="L168" s="19"/>
      <x:c r="M168" s="19"/>
    </x:row>
    <x:row r="169">
      <x:c r="A169" s="19"/>
      <x:c r="B169" s="19"/>
      <x:c r="C169" s="26"/>
      <x:c r="D169" s="19"/>
      <x:c r="E169" s="19"/>
      <x:c r="F169" s="19"/>
      <x:c r="G169" s="19"/>
      <x:c r="H169" s="19"/>
      <x:c r="I169" s="20"/>
      <x:c r="J169" s="20"/>
      <x:c r="K169" s="19"/>
      <x:c r="L169" s="19"/>
      <x:c r="M169" s="19"/>
    </x:row>
    <x:row r="170">
      <x:c r="A170" s="19"/>
      <x:c r="B170" s="19"/>
      <x:c r="C170" s="26"/>
      <x:c r="D170" s="19"/>
      <x:c r="E170" s="19"/>
      <x:c r="F170" s="19"/>
      <x:c r="G170" s="19"/>
      <x:c r="H170" s="19"/>
      <x:c r="I170" s="20"/>
      <x:c r="J170" s="20"/>
      <x:c r="K170" s="19"/>
      <x:c r="L170" s="19"/>
      <x:c r="M170" s="19"/>
    </x:row>
    <x:row r="171">
      <x:c r="A171" s="19"/>
      <x:c r="B171" s="19"/>
      <x:c r="C171" s="26"/>
      <x:c r="D171" s="19"/>
      <x:c r="E171" s="19"/>
      <x:c r="F171" s="19"/>
      <x:c r="G171" s="19"/>
      <x:c r="H171" s="19"/>
      <x:c r="I171" s="20"/>
      <x:c r="J171" s="20"/>
      <x:c r="K171" s="19"/>
      <x:c r="L171" s="19"/>
      <x:c r="M171" s="19"/>
    </x:row>
    <x:row r="172">
      <x:c r="A172" s="19"/>
      <x:c r="B172" s="19"/>
      <x:c r="C172" s="26"/>
      <x:c r="D172" s="19"/>
      <x:c r="E172" s="19"/>
      <x:c r="F172" s="19"/>
      <x:c r="G172" s="19"/>
      <x:c r="H172" s="19"/>
      <x:c r="I172" s="20"/>
      <x:c r="J172" s="20"/>
      <x:c r="K172" s="19"/>
      <x:c r="L172" s="19"/>
      <x:c r="M172" s="19"/>
    </x:row>
    <x:row r="173">
      <x:c r="A173" s="19"/>
      <x:c r="B173" s="19"/>
      <x:c r="C173" s="26"/>
      <x:c r="D173" s="19"/>
      <x:c r="E173" s="19"/>
      <x:c r="F173" s="19"/>
      <x:c r="G173" s="19"/>
      <x:c r="H173" s="19"/>
      <x:c r="I173" s="20"/>
      <x:c r="J173" s="20"/>
      <x:c r="K173" s="19"/>
      <x:c r="L173" s="19"/>
      <x:c r="M173" s="19"/>
    </x:row>
    <x:row r="174">
      <x:c r="A174" s="19"/>
      <x:c r="B174" s="19"/>
      <x:c r="C174" s="26"/>
      <x:c r="D174" s="19"/>
      <x:c r="E174" s="19"/>
      <x:c r="F174" s="19"/>
      <x:c r="G174" s="19"/>
      <x:c r="H174" s="19"/>
      <x:c r="I174" s="20"/>
      <x:c r="J174" s="20"/>
      <x:c r="K174" s="19"/>
      <x:c r="L174" s="19"/>
      <x:c r="M174" s="19"/>
    </x:row>
    <x:row r="175">
      <x:c r="A175" s="19"/>
      <x:c r="B175" s="19"/>
      <x:c r="C175" s="26"/>
      <x:c r="D175" s="19"/>
      <x:c r="E175" s="19"/>
      <x:c r="F175" s="19"/>
      <x:c r="G175" s="19"/>
      <x:c r="H175" s="19"/>
      <x:c r="I175" s="20"/>
      <x:c r="J175" s="20"/>
      <x:c r="K175" s="19"/>
      <x:c r="L175" s="19"/>
      <x:c r="M175" s="19"/>
    </x:row>
    <x:row r="176">
      <x:c r="A176" s="19"/>
      <x:c r="B176" s="19"/>
      <x:c r="C176" s="26"/>
      <x:c r="D176" s="19"/>
      <x:c r="E176" s="19"/>
      <x:c r="F176" s="19"/>
      <x:c r="G176" s="19"/>
      <x:c r="H176" s="19"/>
      <x:c r="I176" s="20"/>
      <x:c r="J176" s="20"/>
      <x:c r="K176" s="19"/>
      <x:c r="L176" s="19"/>
      <x:c r="M176" s="19"/>
    </x:row>
    <x:row r="177">
      <x:c r="A177" s="19"/>
      <x:c r="B177" s="19"/>
      <x:c r="C177" s="26"/>
      <x:c r="D177" s="19"/>
      <x:c r="E177" s="19"/>
      <x:c r="F177" s="19"/>
      <x:c r="G177" s="19"/>
      <x:c r="H177" s="19"/>
      <x:c r="I177" s="20"/>
      <x:c r="J177" s="20"/>
      <x:c r="K177" s="19"/>
      <x:c r="L177" s="19"/>
      <x:c r="M177" s="19"/>
    </x:row>
    <x:row r="178">
      <x:c r="A178" s="19"/>
      <x:c r="B178" s="19"/>
      <x:c r="C178" s="26"/>
      <x:c r="D178" s="19"/>
      <x:c r="E178" s="19"/>
      <x:c r="F178" s="19"/>
      <x:c r="G178" s="19"/>
      <x:c r="H178" s="19"/>
      <x:c r="I178" s="20"/>
      <x:c r="J178" s="20"/>
      <x:c r="K178" s="19"/>
      <x:c r="L178" s="19"/>
      <x:c r="M178" s="19"/>
    </x:row>
    <x:row r="179">
      <x:c r="A179" s="19"/>
      <x:c r="B179" s="19"/>
      <x:c r="C179" s="26"/>
      <x:c r="D179" s="19"/>
      <x:c r="E179" s="19"/>
      <x:c r="F179" s="19"/>
      <x:c r="G179" s="19"/>
      <x:c r="H179" s="19"/>
      <x:c r="I179" s="20"/>
      <x:c r="J179" s="20"/>
      <x:c r="K179" s="19"/>
      <x:c r="L179" s="19"/>
      <x:c r="M179" s="19"/>
    </x:row>
    <x:row r="180">
      <x:c r="A180" s="19"/>
      <x:c r="B180" s="19"/>
      <x:c r="C180" s="26"/>
      <x:c r="D180" s="19"/>
      <x:c r="E180" s="19"/>
      <x:c r="F180" s="19"/>
      <x:c r="G180" s="19"/>
      <x:c r="H180" s="19"/>
      <x:c r="I180" s="20"/>
      <x:c r="J180" s="20"/>
      <x:c r="K180" s="19"/>
      <x:c r="L180" s="19"/>
      <x:c r="M180" s="19"/>
    </x:row>
    <x:row r="181">
      <x:c r="A181" s="19"/>
      <x:c r="B181" s="19"/>
      <x:c r="C181" s="26"/>
      <x:c r="D181" s="19"/>
      <x:c r="E181" s="19"/>
      <x:c r="F181" s="19"/>
      <x:c r="G181" s="19"/>
      <x:c r="H181" s="19"/>
      <x:c r="I181" s="20"/>
      <x:c r="J181" s="20"/>
      <x:c r="K181" s="19"/>
      <x:c r="L181" s="19"/>
      <x:c r="M181" s="19"/>
    </x:row>
    <x:row r="182">
      <x:c r="A182" s="19"/>
      <x:c r="B182" s="19"/>
      <x:c r="C182" s="26"/>
      <x:c r="D182" s="19"/>
      <x:c r="E182" s="19"/>
      <x:c r="F182" s="19"/>
      <x:c r="G182" s="19"/>
      <x:c r="H182" s="19"/>
      <x:c r="I182" s="20"/>
      <x:c r="J182" s="20"/>
      <x:c r="K182" s="19"/>
      <x:c r="L182" s="19"/>
      <x:c r="M182" s="19"/>
    </x:row>
    <x:row r="183">
      <x:c r="A183" s="19"/>
      <x:c r="B183" s="19"/>
      <x:c r="C183" s="26"/>
      <x:c r="D183" s="19"/>
      <x:c r="E183" s="19"/>
      <x:c r="F183" s="19"/>
      <x:c r="G183" s="19"/>
      <x:c r="H183" s="19"/>
      <x:c r="I183" s="20"/>
      <x:c r="J183" s="20"/>
      <x:c r="K183" s="19"/>
      <x:c r="L183" s="19"/>
      <x:c r="M183" s="19"/>
    </x:row>
    <x:row r="184">
      <x:c r="A184" s="19"/>
      <x:c r="B184" s="19"/>
      <x:c r="C184" s="26"/>
      <x:c r="D184" s="19"/>
      <x:c r="E184" s="19"/>
      <x:c r="F184" s="19"/>
      <x:c r="G184" s="19"/>
      <x:c r="H184" s="19"/>
      <x:c r="I184" s="20"/>
      <x:c r="J184" s="20"/>
      <x:c r="K184" s="19"/>
      <x:c r="L184" s="19"/>
      <x:c r="M184" s="19"/>
    </x:row>
    <x:row r="185">
      <x:c r="A185" s="19"/>
      <x:c r="B185" s="19"/>
      <x:c r="C185" s="26"/>
      <x:c r="D185" s="19"/>
      <x:c r="E185" s="19"/>
      <x:c r="F185" s="19"/>
      <x:c r="G185" s="19"/>
      <x:c r="H185" s="19"/>
      <x:c r="I185" s="20"/>
      <x:c r="J185" s="20"/>
      <x:c r="K185" s="19"/>
      <x:c r="L185" s="19"/>
      <x:c r="M185" s="19"/>
    </x:row>
    <x:row r="186">
      <x:c r="A186" s="19"/>
      <x:c r="B186" s="19"/>
      <x:c r="C186" s="26"/>
      <x:c r="D186" s="19"/>
      <x:c r="E186" s="19"/>
      <x:c r="F186" s="19"/>
      <x:c r="G186" s="19"/>
      <x:c r="H186" s="19"/>
      <x:c r="I186" s="20"/>
      <x:c r="J186" s="20"/>
      <x:c r="K186" s="19"/>
      <x:c r="L186" s="19"/>
      <x:c r="M186" s="19"/>
    </x:row>
    <x:row r="187">
      <x:c r="A187" s="19"/>
      <x:c r="B187" s="19"/>
      <x:c r="C187" s="26"/>
      <x:c r="D187" s="19"/>
      <x:c r="E187" s="19"/>
      <x:c r="F187" s="19"/>
      <x:c r="G187" s="19"/>
      <x:c r="H187" s="19"/>
      <x:c r="I187" s="20"/>
      <x:c r="J187" s="20"/>
      <x:c r="K187" s="19"/>
      <x:c r="L187" s="19"/>
      <x:c r="M187" s="19"/>
    </x:row>
    <x:row r="188">
      <x:c r="A188" s="19"/>
      <x:c r="B188" s="19"/>
      <x:c r="C188" s="26"/>
      <x:c r="D188" s="19"/>
      <x:c r="E188" s="19"/>
      <x:c r="F188" s="19"/>
      <x:c r="G188" s="19"/>
      <x:c r="H188" s="19"/>
      <x:c r="I188" s="20"/>
      <x:c r="J188" s="20"/>
      <x:c r="K188" s="19"/>
      <x:c r="L188" s="19"/>
      <x:c r="M188" s="19"/>
    </x:row>
    <x:row r="189">
      <x:c r="A189" s="19"/>
      <x:c r="B189" s="19"/>
      <x:c r="C189" s="26"/>
      <x:c r="D189" s="19"/>
      <x:c r="E189" s="19"/>
      <x:c r="F189" s="19"/>
      <x:c r="G189" s="19"/>
      <x:c r="H189" s="19"/>
      <x:c r="I189" s="20"/>
      <x:c r="J189" s="20"/>
      <x:c r="K189" s="19"/>
      <x:c r="L189" s="19"/>
      <x:c r="M189" s="19"/>
    </x:row>
    <x:row r="190">
      <x:c r="A190" s="19"/>
      <x:c r="B190" s="19"/>
      <x:c r="C190" s="26"/>
      <x:c r="D190" s="19"/>
      <x:c r="E190" s="19"/>
      <x:c r="F190" s="19"/>
      <x:c r="G190" s="19"/>
      <x:c r="H190" s="19"/>
      <x:c r="I190" s="20"/>
      <x:c r="J190" s="20"/>
      <x:c r="K190" s="19"/>
      <x:c r="L190" s="19"/>
      <x:c r="M190" s="19"/>
    </x:row>
    <x:row r="191">
      <x:c r="A191" s="19"/>
      <x:c r="B191" s="19"/>
      <x:c r="C191" s="26"/>
      <x:c r="D191" s="19"/>
      <x:c r="E191" s="19"/>
      <x:c r="F191" s="19"/>
      <x:c r="G191" s="19"/>
      <x:c r="H191" s="19"/>
      <x:c r="I191" s="20"/>
      <x:c r="J191" s="20"/>
      <x:c r="K191" s="19"/>
      <x:c r="L191" s="19"/>
      <x:c r="M191" s="19"/>
    </x:row>
    <x:row r="192">
      <x:c r="A192" s="19"/>
      <x:c r="B192" s="19"/>
      <x:c r="C192" s="26"/>
      <x:c r="D192" s="19"/>
      <x:c r="E192" s="19"/>
      <x:c r="F192" s="19"/>
      <x:c r="G192" s="19"/>
      <x:c r="H192" s="19"/>
      <x:c r="I192" s="20"/>
      <x:c r="J192" s="20"/>
      <x:c r="K192" s="19"/>
      <x:c r="L192" s="19"/>
      <x:c r="M192" s="19"/>
    </x:row>
    <x:row r="193">
      <x:c r="A193" s="19"/>
      <x:c r="B193" s="19"/>
      <x:c r="C193" s="26"/>
      <x:c r="D193" s="19"/>
      <x:c r="E193" s="19"/>
      <x:c r="F193" s="19"/>
      <x:c r="G193" s="19"/>
      <x:c r="H193" s="19"/>
      <x:c r="I193" s="20"/>
      <x:c r="J193" s="20"/>
      <x:c r="K193" s="19"/>
      <x:c r="L193" s="19"/>
      <x:c r="M193" s="19"/>
    </x:row>
    <x:row r="194">
      <x:c r="A194" s="19"/>
      <x:c r="B194" s="19"/>
      <x:c r="C194" s="26"/>
      <x:c r="D194" s="19"/>
      <x:c r="E194" s="19"/>
      <x:c r="F194" s="19"/>
      <x:c r="G194" s="19"/>
      <x:c r="H194" s="19"/>
      <x:c r="I194" s="20"/>
      <x:c r="J194" s="20"/>
      <x:c r="K194" s="19"/>
      <x:c r="L194" s="19"/>
      <x:c r="M194" s="19"/>
    </x:row>
    <x:row r="195">
      <x:c r="A195" s="19"/>
      <x:c r="B195" s="19"/>
      <x:c r="C195" s="26"/>
      <x:c r="D195" s="19"/>
      <x:c r="E195" s="19"/>
      <x:c r="F195" s="19"/>
      <x:c r="G195" s="19"/>
      <x:c r="H195" s="19"/>
      <x:c r="I195" s="20"/>
      <x:c r="J195" s="20"/>
      <x:c r="K195" s="19"/>
      <x:c r="L195" s="19"/>
      <x:c r="M195" s="19"/>
    </x:row>
    <x:row r="196">
      <x:c r="A196" s="19"/>
      <x:c r="B196" s="19"/>
      <x:c r="C196" s="26"/>
      <x:c r="D196" s="19"/>
      <x:c r="E196" s="19"/>
      <x:c r="F196" s="19"/>
      <x:c r="G196" s="19"/>
      <x:c r="H196" s="19"/>
      <x:c r="I196" s="20"/>
      <x:c r="J196" s="20"/>
      <x:c r="K196" s="19"/>
      <x:c r="L196" s="19"/>
      <x:c r="M196" s="19"/>
    </x:row>
    <x:row r="197">
      <x:c r="A197" s="19"/>
      <x:c r="B197" s="19"/>
      <x:c r="C197" s="26"/>
      <x:c r="D197" s="19"/>
      <x:c r="E197" s="19"/>
      <x:c r="F197" s="19"/>
      <x:c r="G197" s="19"/>
      <x:c r="H197" s="19"/>
      <x:c r="I197" s="20"/>
      <x:c r="J197" s="20"/>
      <x:c r="K197" s="19"/>
      <x:c r="L197" s="19"/>
      <x:c r="M197" s="19"/>
    </x:row>
    <x:row r="198">
      <x:c r="A198" s="19"/>
      <x:c r="B198" s="19"/>
      <x:c r="C198" s="26"/>
      <x:c r="D198" s="19"/>
      <x:c r="E198" s="19"/>
      <x:c r="F198" s="19"/>
      <x:c r="G198" s="19"/>
      <x:c r="H198" s="19"/>
      <x:c r="I198" s="20"/>
      <x:c r="J198" s="20"/>
      <x:c r="K198" s="19"/>
      <x:c r="L198" s="19"/>
      <x:c r="M198" s="19"/>
    </x:row>
    <x:row r="199">
      <x:c r="A199" s="19"/>
      <x:c r="B199" s="19"/>
      <x:c r="C199" s="26"/>
      <x:c r="D199" s="19"/>
      <x:c r="E199" s="19"/>
      <x:c r="F199" s="19"/>
      <x:c r="G199" s="19"/>
      <x:c r="H199" s="19"/>
      <x:c r="I199" s="20"/>
      <x:c r="J199" s="20"/>
      <x:c r="K199" s="19"/>
      <x:c r="L199" s="19"/>
      <x:c r="M199" s="19"/>
    </x:row>
    <x:row r="200">
      <x:c r="A200" s="19"/>
      <x:c r="B200" s="19"/>
      <x:c r="C200" s="26"/>
      <x:c r="D200" s="19"/>
      <x:c r="E200" s="19"/>
      <x:c r="F200" s="19"/>
      <x:c r="G200" s="19"/>
      <x:c r="H200" s="19"/>
      <x:c r="I200" s="20"/>
      <x:c r="J200" s="20"/>
      <x:c r="K200" s="19"/>
      <x:c r="L200" s="19"/>
      <x:c r="M200" s="19"/>
    </x:row>
    <x:row r="201">
      <x:c r="A201" s="19"/>
      <x:c r="B201" s="19"/>
      <x:c r="C201" s="26"/>
      <x:c r="D201" s="19"/>
      <x:c r="E201" s="19"/>
      <x:c r="F201" s="19"/>
      <x:c r="G201" s="19"/>
      <x:c r="H201" s="19"/>
      <x:c r="I201" s="20"/>
      <x:c r="J201" s="20"/>
      <x:c r="K201" s="19"/>
      <x:c r="L201" s="19"/>
      <x:c r="M201" s="19"/>
    </x:row>
    <x:row r="202">
      <x:c r="A202" s="19"/>
      <x:c r="B202" s="19"/>
      <x:c r="C202" s="26"/>
      <x:c r="D202" s="19"/>
      <x:c r="E202" s="19"/>
      <x:c r="F202" s="19"/>
      <x:c r="G202" s="19"/>
      <x:c r="H202" s="19"/>
      <x:c r="I202" s="20"/>
      <x:c r="J202" s="20"/>
      <x:c r="K202" s="19"/>
      <x:c r="L202" s="19"/>
      <x:c r="M202" s="19"/>
    </x:row>
    <x:row r="203">
      <x:c r="A203" s="19"/>
      <x:c r="B203" s="19"/>
      <x:c r="C203" s="26"/>
      <x:c r="D203" s="19"/>
      <x:c r="E203" s="19"/>
      <x:c r="F203" s="19"/>
      <x:c r="G203" s="19"/>
      <x:c r="H203" s="19"/>
      <x:c r="I203" s="20"/>
      <x:c r="J203" s="20"/>
      <x:c r="K203" s="19"/>
      <x:c r="L203" s="19"/>
      <x:c r="M203" s="19"/>
    </x:row>
    <x:row r="204">
      <x:c r="A204" s="19"/>
      <x:c r="B204" s="19"/>
      <x:c r="C204" s="26"/>
      <x:c r="D204" s="19"/>
      <x:c r="E204" s="19"/>
      <x:c r="F204" s="19"/>
      <x:c r="G204" s="19"/>
      <x:c r="H204" s="19"/>
      <x:c r="I204" s="20"/>
      <x:c r="J204" s="20"/>
      <x:c r="K204" s="19"/>
      <x:c r="L204" s="19"/>
      <x:c r="M204" s="19"/>
    </x:row>
    <x:row r="205">
      <x:c r="A205" s="19"/>
      <x:c r="B205" s="19"/>
      <x:c r="C205" s="26"/>
      <x:c r="D205" s="19"/>
      <x:c r="E205" s="19"/>
      <x:c r="F205" s="19"/>
      <x:c r="G205" s="19"/>
      <x:c r="H205" s="19"/>
      <x:c r="I205" s="20"/>
      <x:c r="J205" s="20"/>
      <x:c r="K205" s="19"/>
      <x:c r="L205" s="19"/>
      <x:c r="M205" s="19"/>
    </x:row>
    <x:row r="206">
      <x:c r="A206" s="19"/>
      <x:c r="B206" s="19"/>
      <x:c r="C206" s="26"/>
      <x:c r="D206" s="19"/>
      <x:c r="E206" s="19"/>
      <x:c r="F206" s="19"/>
      <x:c r="G206" s="19"/>
      <x:c r="H206" s="19"/>
      <x:c r="I206" s="20"/>
      <x:c r="J206" s="20"/>
      <x:c r="K206" s="19"/>
      <x:c r="L206" s="19"/>
      <x:c r="M206" s="19"/>
    </x:row>
    <x:row r="207">
      <x:c r="A207" s="19"/>
      <x:c r="B207" s="19"/>
      <x:c r="C207" s="26"/>
      <x:c r="D207" s="19"/>
      <x:c r="E207" s="19"/>
      <x:c r="F207" s="19"/>
      <x:c r="G207" s="19"/>
      <x:c r="H207" s="19"/>
      <x:c r="I207" s="20"/>
      <x:c r="J207" s="20"/>
      <x:c r="K207" s="19"/>
      <x:c r="L207" s="19"/>
      <x:c r="M207" s="19"/>
    </x:row>
    <x:row r="208">
      <x:c r="A208" s="19"/>
      <x:c r="B208" s="19"/>
      <x:c r="C208" s="26"/>
      <x:c r="D208" s="19"/>
      <x:c r="E208" s="19"/>
      <x:c r="F208" s="19"/>
      <x:c r="G208" s="19"/>
      <x:c r="H208" s="19"/>
      <x:c r="I208" s="20"/>
      <x:c r="J208" s="20"/>
      <x:c r="K208" s="19"/>
      <x:c r="L208" s="19"/>
      <x:c r="M208" s="19"/>
    </x:row>
    <x:row r="209">
      <x:c r="A209" s="19"/>
      <x:c r="B209" s="19"/>
      <x:c r="C209" s="26"/>
      <x:c r="D209" s="19"/>
      <x:c r="E209" s="19"/>
      <x:c r="F209" s="19"/>
      <x:c r="G209" s="19"/>
      <x:c r="H209" s="19"/>
      <x:c r="I209" s="20"/>
      <x:c r="J209" s="20"/>
      <x:c r="K209" s="19"/>
      <x:c r="L209" s="19"/>
      <x:c r="M209" s="19"/>
    </x:row>
    <x:row r="210">
      <x:c r="A210" s="19"/>
      <x:c r="B210" s="19"/>
      <x:c r="C210" s="26"/>
      <x:c r="D210" s="19"/>
      <x:c r="E210" s="19"/>
      <x:c r="F210" s="19"/>
      <x:c r="G210" s="19"/>
      <x:c r="H210" s="19"/>
      <x:c r="I210" s="20"/>
      <x:c r="J210" s="20"/>
      <x:c r="K210" s="19"/>
      <x:c r="L210" s="19"/>
      <x:c r="M210" s="19"/>
    </x:row>
    <x:row r="211">
      <x:c r="A211" s="19"/>
      <x:c r="B211" s="19"/>
      <x:c r="C211" s="26"/>
      <x:c r="D211" s="19"/>
      <x:c r="E211" s="19"/>
      <x:c r="F211" s="19"/>
      <x:c r="G211" s="19"/>
      <x:c r="H211" s="19"/>
      <x:c r="I211" s="20"/>
      <x:c r="J211" s="20"/>
      <x:c r="K211" s="19"/>
      <x:c r="L211" s="19"/>
      <x:c r="M211" s="19"/>
    </x:row>
    <x:row r="212">
      <x:c r="A212" s="19"/>
      <x:c r="B212" s="19"/>
      <x:c r="C212" s="26"/>
      <x:c r="D212" s="19"/>
      <x:c r="E212" s="19"/>
      <x:c r="F212" s="19"/>
      <x:c r="G212" s="19"/>
      <x:c r="H212" s="19"/>
      <x:c r="I212" s="20"/>
      <x:c r="J212" s="20"/>
      <x:c r="K212" s="19"/>
      <x:c r="L212" s="19"/>
      <x:c r="M212" s="19"/>
    </x:row>
    <x:row r="213">
      <x:c r="A213" s="19"/>
      <x:c r="B213" s="19"/>
      <x:c r="C213" s="26"/>
      <x:c r="D213" s="19"/>
      <x:c r="E213" s="19"/>
      <x:c r="F213" s="19"/>
      <x:c r="G213" s="19"/>
      <x:c r="H213" s="19"/>
      <x:c r="I213" s="20"/>
      <x:c r="J213" s="20"/>
      <x:c r="K213" s="19"/>
      <x:c r="L213" s="19"/>
      <x:c r="M213" s="19"/>
    </x:row>
    <x:row r="214">
      <x:c r="A214" s="19"/>
      <x:c r="B214" s="19"/>
      <x:c r="C214" s="26"/>
      <x:c r="D214" s="19"/>
      <x:c r="E214" s="19"/>
      <x:c r="F214" s="19"/>
      <x:c r="G214" s="19"/>
      <x:c r="H214" s="19"/>
      <x:c r="I214" s="20"/>
      <x:c r="J214" s="20"/>
      <x:c r="K214" s="19"/>
      <x:c r="L214" s="19"/>
      <x:c r="M214" s="19"/>
    </x:row>
    <x:row r="215">
      <x:c r="A215" s="19"/>
      <x:c r="B215" s="19"/>
      <x:c r="C215" s="26"/>
      <x:c r="D215" s="19"/>
      <x:c r="E215" s="19"/>
      <x:c r="F215" s="19"/>
      <x:c r="G215" s="19"/>
      <x:c r="H215" s="19"/>
      <x:c r="I215" s="20"/>
      <x:c r="J215" s="20"/>
      <x:c r="K215" s="19"/>
      <x:c r="L215" s="19"/>
      <x:c r="M215" s="19"/>
    </x:row>
    <x:row r="216">
      <x:c r="A216" s="19"/>
      <x:c r="B216" s="19"/>
      <x:c r="C216" s="26"/>
      <x:c r="D216" s="19"/>
      <x:c r="E216" s="19"/>
      <x:c r="F216" s="19"/>
      <x:c r="G216" s="19"/>
      <x:c r="H216" s="19"/>
      <x:c r="I216" s="20"/>
      <x:c r="J216" s="20"/>
      <x:c r="K216" s="19"/>
      <x:c r="L216" s="19"/>
      <x:c r="M216" s="19"/>
    </x:row>
    <x:row r="217">
      <x:c r="A217" s="19"/>
      <x:c r="B217" s="19"/>
      <x:c r="C217" s="26"/>
      <x:c r="D217" s="19"/>
      <x:c r="E217" s="19"/>
      <x:c r="F217" s="19"/>
      <x:c r="G217" s="19"/>
      <x:c r="H217" s="19"/>
      <x:c r="I217" s="20"/>
      <x:c r="J217" s="20"/>
      <x:c r="K217" s="19"/>
      <x:c r="L217" s="19"/>
      <x:c r="M217" s="19"/>
    </x:row>
    <x:row r="218">
      <x:c r="A218" s="19"/>
      <x:c r="B218" s="19"/>
      <x:c r="C218" s="26"/>
      <x:c r="D218" s="19"/>
      <x:c r="E218" s="19"/>
      <x:c r="F218" s="19"/>
      <x:c r="G218" s="19"/>
      <x:c r="H218" s="19"/>
      <x:c r="I218" s="20"/>
      <x:c r="J218" s="20"/>
      <x:c r="K218" s="19"/>
      <x:c r="L218" s="19"/>
      <x:c r="M218" s="19"/>
    </x:row>
    <x:row r="219">
      <x:c r="A219" s="19"/>
      <x:c r="B219" s="19"/>
      <x:c r="C219" s="26"/>
      <x:c r="D219" s="19"/>
      <x:c r="E219" s="19"/>
      <x:c r="F219" s="19"/>
      <x:c r="G219" s="19"/>
      <x:c r="H219" s="19"/>
      <x:c r="I219" s="20"/>
      <x:c r="J219" s="20"/>
      <x:c r="K219" s="19"/>
      <x:c r="L219" s="19"/>
      <x:c r="M219" s="19"/>
    </x:row>
    <x:row r="220">
      <x:c r="A220" s="19"/>
      <x:c r="B220" s="19"/>
      <x:c r="C220" s="26"/>
      <x:c r="D220" s="19"/>
      <x:c r="E220" s="19"/>
      <x:c r="F220" s="19"/>
      <x:c r="G220" s="19"/>
      <x:c r="H220" s="19"/>
      <x:c r="I220" s="20"/>
      <x:c r="J220" s="20"/>
      <x:c r="K220" s="19"/>
      <x:c r="L220" s="19"/>
      <x:c r="M220" s="19"/>
    </x:row>
    <x:row r="221">
      <x:c r="A221" s="19"/>
      <x:c r="B221" s="19"/>
      <x:c r="C221" s="26"/>
      <x:c r="D221" s="19"/>
      <x:c r="E221" s="19"/>
      <x:c r="F221" s="19"/>
      <x:c r="G221" s="19"/>
      <x:c r="H221" s="19"/>
      <x:c r="I221" s="20"/>
      <x:c r="J221" s="20"/>
      <x:c r="K221" s="19"/>
      <x:c r="L221" s="19"/>
      <x:c r="M221" s="19"/>
    </x:row>
    <x:row r="222">
      <x:c r="A222" s="19"/>
      <x:c r="B222" s="19"/>
      <x:c r="C222" s="26"/>
      <x:c r="D222" s="19"/>
      <x:c r="E222" s="19"/>
      <x:c r="F222" s="19"/>
      <x:c r="G222" s="19"/>
      <x:c r="H222" s="19"/>
      <x:c r="I222" s="20"/>
      <x:c r="J222" s="20"/>
      <x:c r="K222" s="19"/>
      <x:c r="L222" s="19"/>
      <x:c r="M222" s="19"/>
    </x:row>
    <x:row r="223">
      <x:c r="A223" s="19"/>
      <x:c r="B223" s="19"/>
      <x:c r="C223" s="26"/>
      <x:c r="D223" s="19"/>
      <x:c r="E223" s="19"/>
      <x:c r="F223" s="19"/>
      <x:c r="G223" s="19"/>
      <x:c r="H223" s="19"/>
      <x:c r="I223" s="20"/>
      <x:c r="J223" s="20"/>
      <x:c r="K223" s="19"/>
      <x:c r="L223" s="19"/>
      <x:c r="M223" s="19"/>
    </x:row>
    <x:row r="224">
      <x:c r="A224" s="19"/>
      <x:c r="B224" s="19"/>
      <x:c r="C224" s="26"/>
      <x:c r="D224" s="19"/>
      <x:c r="E224" s="19"/>
      <x:c r="F224" s="19"/>
      <x:c r="G224" s="19"/>
      <x:c r="H224" s="19"/>
      <x:c r="I224" s="20"/>
      <x:c r="J224" s="20"/>
      <x:c r="K224" s="19"/>
      <x:c r="L224" s="19"/>
      <x:c r="M224" s="19"/>
    </x:row>
    <x:row r="225">
      <x:c r="A225" s="19"/>
      <x:c r="B225" s="19"/>
      <x:c r="C225" s="26"/>
      <x:c r="D225" s="19"/>
      <x:c r="E225" s="19"/>
      <x:c r="F225" s="19"/>
      <x:c r="G225" s="19"/>
      <x:c r="H225" s="19"/>
      <x:c r="I225" s="20"/>
      <x:c r="J225" s="20"/>
      <x:c r="K225" s="19"/>
      <x:c r="L225" s="19"/>
      <x:c r="M225" s="19"/>
    </x:row>
    <x:row r="226">
      <x:c r="A226" s="19"/>
      <x:c r="B226" s="19"/>
      <x:c r="C226" s="26"/>
      <x:c r="D226" s="19"/>
      <x:c r="E226" s="19"/>
      <x:c r="F226" s="19"/>
      <x:c r="G226" s="19"/>
      <x:c r="H226" s="19"/>
      <x:c r="I226" s="20"/>
      <x:c r="J226" s="20"/>
      <x:c r="K226" s="19"/>
      <x:c r="L226" s="19"/>
      <x:c r="M226" s="19"/>
    </x:row>
    <x:row r="227">
      <x:c r="A227" s="19"/>
      <x:c r="B227" s="19"/>
      <x:c r="C227" s="26"/>
      <x:c r="D227" s="19"/>
      <x:c r="E227" s="19"/>
      <x:c r="F227" s="19"/>
      <x:c r="G227" s="19"/>
      <x:c r="H227" s="19"/>
      <x:c r="I227" s="20"/>
      <x:c r="J227" s="20"/>
      <x:c r="K227" s="19"/>
      <x:c r="L227" s="19"/>
      <x:c r="M227" s="19"/>
    </x:row>
    <x:row r="228">
      <x:c r="A228" s="19"/>
      <x:c r="B228" s="19"/>
      <x:c r="C228" s="26"/>
      <x:c r="D228" s="19"/>
      <x:c r="E228" s="19"/>
      <x:c r="F228" s="19"/>
      <x:c r="G228" s="19"/>
      <x:c r="H228" s="19"/>
      <x:c r="I228" s="20"/>
      <x:c r="J228" s="20"/>
      <x:c r="K228" s="19"/>
      <x:c r="L228" s="19"/>
      <x:c r="M228" s="19"/>
    </x:row>
    <x:row r="229">
      <x:c r="A229" s="19"/>
      <x:c r="B229" s="19"/>
      <x:c r="C229" s="26"/>
      <x:c r="D229" s="19"/>
      <x:c r="E229" s="19"/>
      <x:c r="F229" s="19"/>
      <x:c r="G229" s="19"/>
      <x:c r="H229" s="19"/>
      <x:c r="I229" s="20"/>
      <x:c r="J229" s="20"/>
      <x:c r="K229" s="19"/>
      <x:c r="L229" s="19"/>
      <x:c r="M229" s="19"/>
    </x:row>
    <x:row r="230">
      <x:c r="A230" s="19"/>
      <x:c r="B230" s="19"/>
      <x:c r="C230" s="26"/>
      <x:c r="D230" s="19"/>
      <x:c r="E230" s="19"/>
      <x:c r="F230" s="19"/>
      <x:c r="G230" s="19"/>
      <x:c r="H230" s="19"/>
      <x:c r="I230" s="20"/>
      <x:c r="J230" s="20"/>
      <x:c r="K230" s="19"/>
      <x:c r="L230" s="19"/>
      <x:c r="M230" s="19"/>
    </x:row>
    <x:row r="231">
      <x:c r="A231" s="19"/>
      <x:c r="B231" s="19"/>
      <x:c r="C231" s="26"/>
      <x:c r="D231" s="19"/>
      <x:c r="E231" s="19"/>
      <x:c r="F231" s="19"/>
      <x:c r="G231" s="19"/>
      <x:c r="H231" s="19"/>
      <x:c r="I231" s="20"/>
      <x:c r="J231" s="20"/>
      <x:c r="K231" s="19"/>
      <x:c r="L231" s="19"/>
      <x:c r="M231" s="19"/>
    </x:row>
    <x:row r="232">
      <x:c r="A232" s="19"/>
      <x:c r="B232" s="19"/>
      <x:c r="C232" s="26"/>
      <x:c r="D232" s="19"/>
      <x:c r="E232" s="19"/>
      <x:c r="F232" s="19"/>
      <x:c r="G232" s="19"/>
      <x:c r="H232" s="19"/>
      <x:c r="I232" s="20"/>
      <x:c r="J232" s="20"/>
      <x:c r="K232" s="19"/>
      <x:c r="L232" s="19"/>
      <x:c r="M232" s="19"/>
    </x:row>
    <x:row r="233">
      <x:c r="A233" s="19"/>
      <x:c r="B233" s="19"/>
      <x:c r="C233" s="26"/>
      <x:c r="D233" s="19"/>
      <x:c r="E233" s="19"/>
      <x:c r="F233" s="19"/>
      <x:c r="G233" s="19"/>
      <x:c r="H233" s="19"/>
      <x:c r="I233" s="20"/>
      <x:c r="J233" s="20"/>
      <x:c r="K233" s="19"/>
      <x:c r="L233" s="19"/>
      <x:c r="M233" s="19"/>
    </x:row>
    <x:row r="234">
      <x:c r="A234" s="19"/>
      <x:c r="B234" s="19"/>
      <x:c r="C234" s="26"/>
      <x:c r="D234" s="19"/>
      <x:c r="E234" s="19"/>
      <x:c r="F234" s="19"/>
      <x:c r="G234" s="19"/>
      <x:c r="H234" s="19"/>
      <x:c r="I234" s="20"/>
      <x:c r="J234" s="20"/>
      <x:c r="K234" s="19"/>
      <x:c r="L234" s="19"/>
      <x:c r="M234" s="19"/>
    </x:row>
    <x:row r="235">
      <x:c r="A235" s="19"/>
      <x:c r="B235" s="19"/>
      <x:c r="C235" s="26"/>
      <x:c r="D235" s="19"/>
      <x:c r="E235" s="19"/>
      <x:c r="F235" s="19"/>
      <x:c r="G235" s="19"/>
      <x:c r="H235" s="19"/>
      <x:c r="I235" s="20"/>
      <x:c r="J235" s="20"/>
      <x:c r="K235" s="19"/>
      <x:c r="L235" s="19"/>
      <x:c r="M235" s="19"/>
    </x:row>
    <x:row r="236">
      <x:c r="A236" s="19"/>
      <x:c r="B236" s="19"/>
      <x:c r="C236" s="26"/>
      <x:c r="D236" s="19"/>
      <x:c r="E236" s="19"/>
      <x:c r="F236" s="19"/>
      <x:c r="G236" s="19"/>
      <x:c r="H236" s="19"/>
      <x:c r="I236" s="20"/>
      <x:c r="J236" s="20"/>
      <x:c r="K236" s="19"/>
      <x:c r="L236" s="19"/>
      <x:c r="M236" s="19"/>
    </x:row>
    <x:row r="237">
      <x:c r="A237" s="19"/>
      <x:c r="B237" s="19"/>
      <x:c r="C237" s="26"/>
      <x:c r="D237" s="19"/>
      <x:c r="E237" s="19"/>
      <x:c r="F237" s="19"/>
      <x:c r="G237" s="19"/>
      <x:c r="H237" s="19"/>
      <x:c r="I237" s="20"/>
      <x:c r="J237" s="20"/>
      <x:c r="K237" s="19"/>
      <x:c r="L237" s="19"/>
      <x:c r="M237" s="19"/>
    </x:row>
    <x:row r="238">
      <x:c r="A238" s="19"/>
      <x:c r="B238" s="19"/>
      <x:c r="C238" s="26"/>
      <x:c r="D238" s="19"/>
      <x:c r="E238" s="19"/>
      <x:c r="F238" s="19"/>
      <x:c r="G238" s="19"/>
      <x:c r="H238" s="19"/>
      <x:c r="I238" s="20"/>
      <x:c r="J238" s="20"/>
      <x:c r="K238" s="19"/>
      <x:c r="L238" s="19"/>
      <x:c r="M238" s="19"/>
    </x:row>
    <x:row r="239">
      <x:c r="A239" s="19"/>
      <x:c r="B239" s="19"/>
      <x:c r="C239" s="26"/>
      <x:c r="D239" s="19"/>
      <x:c r="E239" s="19"/>
      <x:c r="F239" s="19"/>
      <x:c r="G239" s="19"/>
      <x:c r="H239" s="19"/>
      <x:c r="I239" s="20"/>
      <x:c r="J239" s="20"/>
      <x:c r="K239" s="19"/>
      <x:c r="L239" s="19"/>
      <x:c r="M239" s="19"/>
    </x:row>
    <x:row r="240">
      <x:c r="A240" s="19"/>
      <x:c r="B240" s="19"/>
      <x:c r="C240" s="26"/>
      <x:c r="D240" s="19"/>
      <x:c r="E240" s="19"/>
      <x:c r="F240" s="19"/>
      <x:c r="G240" s="19"/>
      <x:c r="H240" s="19"/>
      <x:c r="I240" s="20"/>
      <x:c r="J240" s="20"/>
      <x:c r="K240" s="19"/>
      <x:c r="L240" s="19"/>
      <x:c r="M240" s="19"/>
    </x:row>
    <x:row r="241">
      <x:c r="A241" s="19"/>
      <x:c r="B241" s="19"/>
      <x:c r="C241" s="26"/>
      <x:c r="D241" s="19"/>
      <x:c r="E241" s="19"/>
      <x:c r="F241" s="19"/>
      <x:c r="G241" s="19"/>
      <x:c r="H241" s="19"/>
      <x:c r="I241" s="20"/>
      <x:c r="J241" s="20"/>
      <x:c r="K241" s="19"/>
      <x:c r="L241" s="19"/>
      <x:c r="M241" s="19"/>
    </x:row>
    <x:row r="242">
      <x:c r="A242" s="19"/>
      <x:c r="B242" s="19"/>
      <x:c r="C242" s="26"/>
      <x:c r="D242" s="19"/>
      <x:c r="E242" s="19"/>
      <x:c r="F242" s="19"/>
      <x:c r="G242" s="19"/>
      <x:c r="H242" s="19"/>
      <x:c r="I242" s="20"/>
      <x:c r="J242" s="20"/>
      <x:c r="K242" s="19"/>
      <x:c r="L242" s="19"/>
      <x:c r="M242" s="19"/>
    </x:row>
    <x:row r="243">
      <x:c r="A243" s="19"/>
      <x:c r="B243" s="19"/>
      <x:c r="C243" s="26"/>
      <x:c r="D243" s="19"/>
      <x:c r="E243" s="19"/>
      <x:c r="F243" s="19"/>
      <x:c r="G243" s="19"/>
      <x:c r="H243" s="19"/>
      <x:c r="I243" s="20"/>
      <x:c r="J243" s="20"/>
      <x:c r="K243" s="19"/>
      <x:c r="L243" s="19"/>
      <x:c r="M243" s="19"/>
    </x:row>
    <x:row r="244">
      <x:c r="A244" s="19"/>
      <x:c r="B244" s="19"/>
      <x:c r="C244" s="26"/>
      <x:c r="D244" s="19"/>
      <x:c r="E244" s="19"/>
      <x:c r="F244" s="19"/>
      <x:c r="G244" s="19"/>
      <x:c r="H244" s="19"/>
      <x:c r="I244" s="20"/>
      <x:c r="J244" s="20"/>
      <x:c r="K244" s="19"/>
      <x:c r="L244" s="19"/>
      <x:c r="M244" s="19"/>
    </x:row>
    <x:row r="245">
      <x:c r="A245" s="19"/>
      <x:c r="B245" s="19"/>
      <x:c r="C245" s="26"/>
      <x:c r="D245" s="19"/>
      <x:c r="E245" s="19"/>
      <x:c r="F245" s="19"/>
      <x:c r="G245" s="19"/>
      <x:c r="H245" s="19"/>
      <x:c r="I245" s="20"/>
      <x:c r="J245" s="20"/>
      <x:c r="K245" s="19"/>
      <x:c r="L245" s="19"/>
      <x:c r="M245" s="19"/>
    </x:row>
    <x:row r="246">
      <x:c r="A246" s="19"/>
      <x:c r="B246" s="19"/>
      <x:c r="C246" s="26"/>
      <x:c r="D246" s="19"/>
      <x:c r="E246" s="19"/>
      <x:c r="F246" s="19"/>
      <x:c r="G246" s="19"/>
      <x:c r="H246" s="19"/>
      <x:c r="I246" s="20"/>
      <x:c r="J246" s="20"/>
      <x:c r="K246" s="19"/>
      <x:c r="L246" s="19"/>
      <x:c r="M246" s="19"/>
    </x:row>
    <x:row r="247">
      <x:c r="A247" s="19"/>
      <x:c r="B247" s="19"/>
      <x:c r="C247" s="26"/>
      <x:c r="D247" s="19"/>
      <x:c r="E247" s="19"/>
      <x:c r="F247" s="19"/>
      <x:c r="G247" s="19"/>
      <x:c r="H247" s="19"/>
      <x:c r="I247" s="20"/>
      <x:c r="J247" s="20"/>
      <x:c r="K247" s="19"/>
      <x:c r="L247" s="19"/>
      <x:c r="M247" s="19"/>
    </x:row>
    <x:row r="248">
      <x:c r="A248" s="19"/>
      <x:c r="B248" s="19"/>
      <x:c r="C248" s="26"/>
      <x:c r="D248" s="19"/>
      <x:c r="E248" s="19"/>
      <x:c r="F248" s="19"/>
      <x:c r="G248" s="19"/>
      <x:c r="H248" s="19"/>
      <x:c r="I248" s="20"/>
      <x:c r="J248" s="20"/>
      <x:c r="K248" s="19"/>
      <x:c r="L248" s="19"/>
      <x:c r="M248" s="19"/>
    </x:row>
    <x:row r="249">
      <x:c r="A249" s="19"/>
      <x:c r="B249" s="19"/>
      <x:c r="C249" s="26"/>
      <x:c r="D249" s="19"/>
      <x:c r="E249" s="19"/>
      <x:c r="F249" s="19"/>
      <x:c r="G249" s="19"/>
      <x:c r="H249" s="19"/>
      <x:c r="I249" s="20"/>
      <x:c r="J249" s="20"/>
      <x:c r="K249" s="19"/>
      <x:c r="L249" s="19"/>
      <x:c r="M249" s="19"/>
    </x:row>
    <x:row r="250">
      <x:c r="A250" s="19"/>
      <x:c r="B250" s="19"/>
      <x:c r="C250" s="26"/>
      <x:c r="D250" s="19"/>
      <x:c r="E250" s="19"/>
      <x:c r="F250" s="19"/>
      <x:c r="G250" s="19"/>
      <x:c r="H250" s="19"/>
      <x:c r="I250" s="20"/>
      <x:c r="J250" s="20"/>
      <x:c r="K250" s="19"/>
      <x:c r="L250" s="19"/>
      <x:c r="M250" s="19"/>
    </x:row>
    <x:row r="251">
      <x:c r="A251" s="19"/>
      <x:c r="B251" s="19"/>
      <x:c r="C251" s="26"/>
      <x:c r="D251" s="19"/>
      <x:c r="E251" s="19"/>
      <x:c r="F251" s="19"/>
      <x:c r="G251" s="19"/>
      <x:c r="H251" s="19"/>
      <x:c r="I251" s="20"/>
      <x:c r="J251" s="20"/>
      <x:c r="K251" s="19"/>
      <x:c r="L251" s="19"/>
      <x:c r="M251" s="19"/>
    </x:row>
    <x:row r="252">
      <x:c r="A252" s="19"/>
      <x:c r="B252" s="19"/>
      <x:c r="C252" s="26"/>
      <x:c r="D252" s="19"/>
      <x:c r="E252" s="19"/>
      <x:c r="F252" s="19"/>
      <x:c r="G252" s="19"/>
      <x:c r="H252" s="19"/>
      <x:c r="I252" s="20"/>
      <x:c r="J252" s="20"/>
      <x:c r="K252" s="19"/>
      <x:c r="L252" s="19"/>
      <x:c r="M252" s="19"/>
    </x:row>
    <x:row r="253">
      <x:c r="A253" s="19"/>
      <x:c r="B253" s="19"/>
      <x:c r="C253" s="26"/>
      <x:c r="D253" s="19"/>
      <x:c r="E253" s="19"/>
      <x:c r="F253" s="19"/>
      <x:c r="G253" s="19"/>
      <x:c r="H253" s="19"/>
      <x:c r="I253" s="20"/>
      <x:c r="J253" s="20"/>
      <x:c r="K253" s="19"/>
      <x:c r="L253" s="19"/>
      <x:c r="M253" s="19"/>
    </x:row>
    <x:row r="254">
      <x:c r="A254" s="19"/>
      <x:c r="B254" s="19"/>
      <x:c r="C254" s="26"/>
      <x:c r="D254" s="19"/>
      <x:c r="E254" s="19"/>
      <x:c r="F254" s="19"/>
      <x:c r="G254" s="19"/>
      <x:c r="H254" s="19"/>
      <x:c r="I254" s="20"/>
      <x:c r="J254" s="20"/>
      <x:c r="K254" s="19"/>
      <x:c r="L254" s="19"/>
      <x:c r="M254" s="19"/>
    </x:row>
    <x:row r="255">
      <x:c r="A255" s="19"/>
      <x:c r="B255" s="19"/>
      <x:c r="C255" s="26"/>
      <x:c r="D255" s="19"/>
      <x:c r="E255" s="19"/>
      <x:c r="F255" s="19"/>
      <x:c r="G255" s="19"/>
      <x:c r="H255" s="19"/>
      <x:c r="I255" s="20"/>
      <x:c r="J255" s="20"/>
      <x:c r="K255" s="19"/>
      <x:c r="L255" s="19"/>
      <x:c r="M255" s="19"/>
    </x:row>
    <x:row r="256">
      <x:c r="A256" s="19"/>
      <x:c r="B256" s="19"/>
      <x:c r="C256" s="26"/>
      <x:c r="D256" s="19"/>
      <x:c r="E256" s="19"/>
      <x:c r="F256" s="19"/>
      <x:c r="G256" s="19"/>
      <x:c r="H256" s="19"/>
      <x:c r="I256" s="20"/>
      <x:c r="J256" s="20"/>
      <x:c r="K256" s="19"/>
      <x:c r="L256" s="19"/>
      <x:c r="M256" s="19"/>
    </x:row>
    <x:row r="257">
      <x:c r="A257" s="19"/>
      <x:c r="B257" s="19"/>
      <x:c r="C257" s="26"/>
      <x:c r="D257" s="19"/>
      <x:c r="E257" s="19"/>
      <x:c r="F257" s="19"/>
      <x:c r="G257" s="19"/>
      <x:c r="H257" s="19"/>
      <x:c r="I257" s="20"/>
      <x:c r="J257" s="20"/>
      <x:c r="K257" s="19"/>
      <x:c r="L257" s="19"/>
      <x:c r="M257" s="19"/>
    </x:row>
    <x:row r="258">
      <x:c r="A258" s="19"/>
      <x:c r="B258" s="19"/>
      <x:c r="C258" s="26"/>
      <x:c r="D258" s="19"/>
      <x:c r="E258" s="19"/>
      <x:c r="F258" s="19"/>
      <x:c r="G258" s="19"/>
      <x:c r="H258" s="19"/>
      <x:c r="I258" s="20"/>
      <x:c r="J258" s="20"/>
      <x:c r="K258" s="19"/>
      <x:c r="L258" s="19"/>
      <x:c r="M258" s="19"/>
    </x:row>
    <x:row r="259">
      <x:c r="A259" s="19"/>
      <x:c r="B259" s="19"/>
      <x:c r="C259" s="26"/>
      <x:c r="D259" s="19"/>
      <x:c r="E259" s="19"/>
      <x:c r="F259" s="19"/>
      <x:c r="G259" s="19"/>
      <x:c r="H259" s="19"/>
      <x:c r="I259" s="20"/>
      <x:c r="J259" s="20"/>
      <x:c r="K259" s="19"/>
      <x:c r="L259" s="19"/>
      <x:c r="M259" s="19"/>
    </x:row>
    <x:row r="260">
      <x:c r="A260" s="19"/>
      <x:c r="B260" s="19"/>
      <x:c r="C260" s="26"/>
      <x:c r="D260" s="19"/>
      <x:c r="E260" s="19"/>
      <x:c r="F260" s="19"/>
      <x:c r="G260" s="19"/>
      <x:c r="H260" s="19"/>
      <x:c r="I260" s="20"/>
      <x:c r="J260" s="20"/>
      <x:c r="K260" s="19"/>
      <x:c r="L260" s="19"/>
      <x:c r="M260" s="19"/>
    </x:row>
    <x:row r="261">
      <x:c r="A261" s="19"/>
      <x:c r="B261" s="19"/>
      <x:c r="C261" s="26"/>
      <x:c r="D261" s="19"/>
      <x:c r="E261" s="19"/>
      <x:c r="F261" s="19"/>
      <x:c r="G261" s="19"/>
      <x:c r="H261" s="19"/>
      <x:c r="I261" s="20"/>
      <x:c r="J261" s="20"/>
      <x:c r="K261" s="19"/>
      <x:c r="L261" s="19"/>
      <x:c r="M261" s="19"/>
    </x:row>
    <x:row r="262">
      <x:c r="A262" s="19"/>
      <x:c r="B262" s="19"/>
      <x:c r="C262" s="26"/>
      <x:c r="D262" s="19"/>
      <x:c r="E262" s="19"/>
      <x:c r="F262" s="19"/>
      <x:c r="G262" s="19"/>
      <x:c r="H262" s="19"/>
      <x:c r="I262" s="20"/>
      <x:c r="J262" s="20"/>
      <x:c r="K262" s="19"/>
      <x:c r="L262" s="19"/>
      <x:c r="M262" s="19"/>
    </x:row>
    <x:row r="263">
      <x:c r="A263" s="19"/>
      <x:c r="B263" s="19"/>
      <x:c r="C263" s="26"/>
      <x:c r="D263" s="19"/>
      <x:c r="E263" s="19"/>
      <x:c r="F263" s="19"/>
      <x:c r="G263" s="19"/>
      <x:c r="H263" s="19"/>
      <x:c r="I263" s="20"/>
      <x:c r="J263" s="20"/>
      <x:c r="K263" s="19"/>
      <x:c r="L263" s="19"/>
      <x:c r="M263" s="19"/>
    </x:row>
    <x:row r="264">
      <x:c r="A264" s="19"/>
      <x:c r="B264" s="19"/>
      <x:c r="C264" s="26"/>
      <x:c r="D264" s="19"/>
      <x:c r="E264" s="19"/>
      <x:c r="F264" s="19"/>
      <x:c r="G264" s="19"/>
      <x:c r="H264" s="19"/>
      <x:c r="I264" s="20"/>
      <x:c r="J264" s="20"/>
      <x:c r="K264" s="19"/>
      <x:c r="L264" s="19"/>
      <x:c r="M264" s="19"/>
    </x:row>
    <x:row r="265">
      <x:c r="A265" s="19"/>
      <x:c r="B265" s="19"/>
      <x:c r="C265" s="26"/>
      <x:c r="D265" s="19"/>
      <x:c r="E265" s="19"/>
      <x:c r="F265" s="19"/>
      <x:c r="G265" s="19"/>
      <x:c r="H265" s="19"/>
      <x:c r="I265" s="20"/>
      <x:c r="J265" s="20"/>
      <x:c r="K265" s="19"/>
      <x:c r="L265" s="19"/>
      <x:c r="M265" s="19"/>
    </x:row>
    <x:row r="266">
      <x:c r="A266" s="19"/>
      <x:c r="B266" s="19"/>
      <x:c r="C266" s="26"/>
      <x:c r="D266" s="19"/>
      <x:c r="E266" s="19"/>
      <x:c r="F266" s="19"/>
      <x:c r="G266" s="19"/>
      <x:c r="H266" s="19"/>
      <x:c r="I266" s="20"/>
      <x:c r="J266" s="20"/>
      <x:c r="K266" s="19"/>
      <x:c r="L266" s="19"/>
      <x:c r="M266" s="19"/>
    </x:row>
    <x:row r="267">
      <x:c r="A267" s="19"/>
      <x:c r="B267" s="19"/>
      <x:c r="C267" s="26"/>
      <x:c r="D267" s="19"/>
      <x:c r="E267" s="19"/>
      <x:c r="F267" s="19"/>
      <x:c r="G267" s="19"/>
      <x:c r="H267" s="19"/>
      <x:c r="I267" s="20"/>
      <x:c r="J267" s="20"/>
      <x:c r="K267" s="19"/>
      <x:c r="L267" s="19"/>
      <x:c r="M267" s="19"/>
    </x:row>
    <x:row r="268">
      <x:c r="A268" s="19"/>
      <x:c r="B268" s="19"/>
      <x:c r="C268" s="26"/>
      <x:c r="D268" s="19"/>
      <x:c r="E268" s="19"/>
      <x:c r="F268" s="19"/>
      <x:c r="G268" s="19"/>
      <x:c r="H268" s="19"/>
      <x:c r="I268" s="20"/>
      <x:c r="J268" s="20"/>
      <x:c r="K268" s="19"/>
      <x:c r="L268" s="19"/>
      <x:c r="M268" s="19"/>
    </x:row>
    <x:row r="269">
      <x:c r="A269" s="19"/>
      <x:c r="B269" s="19"/>
      <x:c r="C269" s="26"/>
      <x:c r="D269" s="19"/>
      <x:c r="E269" s="19"/>
      <x:c r="F269" s="19"/>
      <x:c r="G269" s="19"/>
      <x:c r="H269" s="19"/>
      <x:c r="I269" s="20"/>
      <x:c r="J269" s="20"/>
      <x:c r="K269" s="19"/>
      <x:c r="L269" s="19"/>
      <x:c r="M269" s="19"/>
    </x:row>
    <x:row r="270">
      <x:c r="A270" s="19"/>
      <x:c r="B270" s="19"/>
      <x:c r="C270" s="26"/>
      <x:c r="D270" s="19"/>
      <x:c r="E270" s="19"/>
      <x:c r="F270" s="19"/>
      <x:c r="G270" s="19"/>
      <x:c r="H270" s="19"/>
      <x:c r="I270" s="20"/>
      <x:c r="J270" s="20"/>
      <x:c r="K270" s="19"/>
      <x:c r="L270" s="19"/>
      <x:c r="M270" s="19"/>
    </x:row>
    <x:row r="271">
      <x:c r="A271" s="19"/>
      <x:c r="B271" s="19"/>
      <x:c r="C271" s="26"/>
      <x:c r="D271" s="19"/>
      <x:c r="E271" s="19"/>
      <x:c r="F271" s="19"/>
      <x:c r="G271" s="19"/>
      <x:c r="H271" s="19"/>
      <x:c r="I271" s="20"/>
      <x:c r="J271" s="20"/>
      <x:c r="K271" s="19"/>
      <x:c r="L271" s="19"/>
      <x:c r="M271" s="19"/>
    </x:row>
    <x:row r="272">
      <x:c r="A272" s="19"/>
      <x:c r="B272" s="19"/>
      <x:c r="C272" s="26"/>
      <x:c r="D272" s="19"/>
      <x:c r="E272" s="19"/>
      <x:c r="F272" s="19"/>
      <x:c r="G272" s="19"/>
      <x:c r="H272" s="19"/>
      <x:c r="I272" s="20"/>
      <x:c r="J272" s="20"/>
      <x:c r="K272" s="19"/>
      <x:c r="L272" s="19"/>
      <x:c r="M272" s="19"/>
    </x:row>
    <x:row r="273">
      <x:c r="A273" s="19"/>
      <x:c r="B273" s="19"/>
      <x:c r="C273" s="26"/>
      <x:c r="D273" s="19"/>
      <x:c r="E273" s="19"/>
      <x:c r="F273" s="19"/>
      <x:c r="G273" s="19"/>
      <x:c r="H273" s="19"/>
      <x:c r="I273" s="20"/>
      <x:c r="J273" s="20"/>
      <x:c r="K273" s="19"/>
      <x:c r="L273" s="19"/>
      <x:c r="M273" s="19"/>
    </x:row>
    <x:row r="274">
      <x:c r="A274" s="19"/>
      <x:c r="B274" s="19"/>
      <x:c r="C274" s="26"/>
      <x:c r="D274" s="19"/>
      <x:c r="E274" s="19"/>
      <x:c r="F274" s="19"/>
      <x:c r="G274" s="19"/>
      <x:c r="H274" s="19"/>
      <x:c r="I274" s="20"/>
      <x:c r="J274" s="20"/>
      <x:c r="K274" s="19"/>
      <x:c r="L274" s="19"/>
      <x:c r="M274" s="19"/>
    </x:row>
    <x:row r="275">
      <x:c r="A275" s="19"/>
      <x:c r="B275" s="19"/>
      <x:c r="C275" s="26"/>
      <x:c r="D275" s="19"/>
      <x:c r="E275" s="19"/>
      <x:c r="F275" s="19"/>
      <x:c r="G275" s="19"/>
      <x:c r="H275" s="19"/>
      <x:c r="I275" s="20"/>
      <x:c r="J275" s="20"/>
      <x:c r="K275" s="19"/>
      <x:c r="L275" s="19"/>
      <x:c r="M275" s="19"/>
    </x:row>
    <x:row r="276">
      <x:c r="A276" s="19"/>
      <x:c r="B276" s="19"/>
      <x:c r="C276" s="26"/>
      <x:c r="D276" s="19"/>
      <x:c r="E276" s="19"/>
      <x:c r="F276" s="19"/>
      <x:c r="G276" s="19"/>
      <x:c r="H276" s="19"/>
      <x:c r="I276" s="20"/>
      <x:c r="J276" s="20"/>
      <x:c r="K276" s="19"/>
      <x:c r="L276" s="19"/>
      <x:c r="M276" s="19"/>
    </x:row>
    <x:row r="277">
      <x:c r="A277" s="19"/>
      <x:c r="B277" s="19"/>
      <x:c r="C277" s="26"/>
      <x:c r="D277" s="19"/>
      <x:c r="E277" s="19"/>
      <x:c r="F277" s="19"/>
      <x:c r="G277" s="19"/>
      <x:c r="H277" s="19"/>
      <x:c r="I277" s="20"/>
      <x:c r="J277" s="20"/>
      <x:c r="K277" s="19"/>
      <x:c r="L277" s="19"/>
      <x:c r="M277" s="19"/>
    </x:row>
    <x:row r="278">
      <x:c r="A278" s="19"/>
      <x:c r="B278" s="19"/>
      <x:c r="C278" s="26"/>
      <x:c r="D278" s="19"/>
      <x:c r="E278" s="19"/>
      <x:c r="F278" s="19"/>
      <x:c r="G278" s="19"/>
      <x:c r="H278" s="19"/>
      <x:c r="I278" s="20"/>
      <x:c r="J278" s="20"/>
      <x:c r="K278" s="19"/>
      <x:c r="L278" s="19"/>
      <x:c r="M278" s="19"/>
    </x:row>
    <x:row r="279">
      <x:c r="A279" s="19"/>
      <x:c r="B279" s="19"/>
      <x:c r="C279" s="26"/>
      <x:c r="D279" s="19"/>
      <x:c r="E279" s="19"/>
      <x:c r="F279" s="19"/>
      <x:c r="G279" s="19"/>
      <x:c r="H279" s="19"/>
      <x:c r="I279" s="20"/>
      <x:c r="J279" s="20"/>
      <x:c r="K279" s="19"/>
      <x:c r="L279" s="19"/>
      <x:c r="M279" s="19"/>
    </x:row>
    <x:row r="280">
      <x:c r="A280" s="19"/>
      <x:c r="B280" s="19"/>
      <x:c r="C280" s="26"/>
      <x:c r="D280" s="19"/>
      <x:c r="E280" s="19"/>
      <x:c r="F280" s="19"/>
      <x:c r="G280" s="19"/>
      <x:c r="H280" s="19"/>
      <x:c r="I280" s="20"/>
      <x:c r="J280" s="20"/>
      <x:c r="K280" s="19"/>
      <x:c r="L280" s="19"/>
      <x:c r="M280" s="19"/>
    </x:row>
    <x:row r="281">
      <x:c r="A281" s="19"/>
      <x:c r="B281" s="19"/>
      <x:c r="C281" s="26"/>
      <x:c r="D281" s="19"/>
      <x:c r="E281" s="19"/>
      <x:c r="F281" s="19"/>
      <x:c r="G281" s="19"/>
      <x:c r="H281" s="19"/>
      <x:c r="I281" s="20"/>
      <x:c r="J281" s="20"/>
      <x:c r="K281" s="19"/>
      <x:c r="L281" s="19"/>
      <x:c r="M281" s="19"/>
    </x:row>
    <x:row r="282">
      <x:c r="A282" s="19"/>
      <x:c r="B282" s="19"/>
      <x:c r="C282" s="26"/>
      <x:c r="D282" s="19"/>
      <x:c r="E282" s="19"/>
      <x:c r="F282" s="19"/>
      <x:c r="G282" s="19"/>
      <x:c r="H282" s="19"/>
      <x:c r="I282" s="20"/>
      <x:c r="J282" s="20"/>
      <x:c r="K282" s="19"/>
      <x:c r="L282" s="19"/>
      <x:c r="M282" s="19"/>
    </x:row>
    <x:row r="283">
      <x:c r="A283" s="19"/>
      <x:c r="B283" s="19"/>
      <x:c r="C283" s="26"/>
      <x:c r="D283" s="19"/>
      <x:c r="E283" s="19"/>
      <x:c r="F283" s="19"/>
      <x:c r="G283" s="19"/>
      <x:c r="H283" s="19"/>
      <x:c r="I283" s="20"/>
      <x:c r="J283" s="20"/>
      <x:c r="K283" s="19"/>
      <x:c r="L283" s="19"/>
      <x:c r="M283" s="19"/>
    </x:row>
    <x:row r="284">
      <x:c r="A284" s="19"/>
      <x:c r="B284" s="19"/>
      <x:c r="C284" s="26"/>
      <x:c r="D284" s="19"/>
      <x:c r="E284" s="19"/>
      <x:c r="F284" s="19"/>
      <x:c r="G284" s="19"/>
      <x:c r="H284" s="19"/>
      <x:c r="I284" s="20"/>
      <x:c r="J284" s="20"/>
      <x:c r="K284" s="19"/>
      <x:c r="L284" s="19"/>
      <x:c r="M284" s="19"/>
    </x:row>
    <x:row r="285">
      <x:c r="A285" s="19"/>
      <x:c r="B285" s="19"/>
      <x:c r="C285" s="26"/>
      <x:c r="D285" s="19"/>
      <x:c r="E285" s="19"/>
      <x:c r="F285" s="19"/>
      <x:c r="G285" s="19"/>
      <x:c r="H285" s="19"/>
      <x:c r="I285" s="20"/>
      <x:c r="J285" s="20"/>
      <x:c r="K285" s="19"/>
      <x:c r="L285" s="19"/>
      <x:c r="M285" s="19"/>
    </x:row>
    <x:row r="286">
      <x:c r="A286" s="19"/>
      <x:c r="B286" s="19"/>
      <x:c r="C286" s="26"/>
      <x:c r="D286" s="19"/>
      <x:c r="E286" s="19"/>
      <x:c r="F286" s="19"/>
      <x:c r="G286" s="19"/>
      <x:c r="H286" s="19"/>
      <x:c r="I286" s="20"/>
      <x:c r="J286" s="20"/>
      <x:c r="K286" s="19"/>
      <x:c r="L286" s="19"/>
      <x:c r="M286" s="19"/>
    </x:row>
    <x:row r="287">
      <x:c r="A287" s="19"/>
      <x:c r="B287" s="19"/>
      <x:c r="C287" s="26"/>
      <x:c r="D287" s="19"/>
      <x:c r="E287" s="19"/>
      <x:c r="F287" s="19"/>
      <x:c r="G287" s="19"/>
      <x:c r="H287" s="19"/>
      <x:c r="I287" s="20"/>
      <x:c r="J287" s="20"/>
      <x:c r="K287" s="19"/>
      <x:c r="L287" s="19"/>
      <x:c r="M287" s="19"/>
    </x:row>
    <x:row r="288">
      <x:c r="A288" s="19"/>
      <x:c r="B288" s="19"/>
      <x:c r="C288" s="26"/>
      <x:c r="D288" s="19"/>
      <x:c r="E288" s="19"/>
      <x:c r="F288" s="19"/>
      <x:c r="G288" s="19"/>
      <x:c r="H288" s="19"/>
      <x:c r="I288" s="20"/>
      <x:c r="J288" s="20"/>
      <x:c r="K288" s="19"/>
      <x:c r="L288" s="19"/>
      <x:c r="M288" s="19"/>
    </x:row>
    <x:row r="289">
      <x:c r="A289" s="19"/>
      <x:c r="B289" s="19"/>
      <x:c r="C289" s="26"/>
      <x:c r="D289" s="19"/>
      <x:c r="E289" s="19"/>
      <x:c r="F289" s="19"/>
      <x:c r="G289" s="19"/>
      <x:c r="H289" s="19"/>
      <x:c r="I289" s="20"/>
      <x:c r="J289" s="20"/>
      <x:c r="K289" s="19"/>
      <x:c r="L289" s="19"/>
      <x:c r="M289" s="19"/>
    </x:row>
    <x:row r="290">
      <x:c r="A290" s="19"/>
      <x:c r="B290" s="19"/>
      <x:c r="C290" s="26"/>
      <x:c r="D290" s="19"/>
      <x:c r="E290" s="19"/>
      <x:c r="F290" s="19"/>
      <x:c r="G290" s="19"/>
      <x:c r="H290" s="19"/>
      <x:c r="I290" s="20"/>
      <x:c r="J290" s="20"/>
      <x:c r="K290" s="19"/>
      <x:c r="L290" s="19"/>
      <x:c r="M290" s="19"/>
    </x:row>
    <x:row r="291">
      <x:c r="A291" s="19"/>
      <x:c r="B291" s="19"/>
      <x:c r="C291" s="26"/>
      <x:c r="D291" s="19"/>
      <x:c r="E291" s="19"/>
      <x:c r="F291" s="19"/>
      <x:c r="G291" s="19"/>
      <x:c r="H291" s="19"/>
      <x:c r="I291" s="20"/>
      <x:c r="J291" s="20"/>
      <x:c r="K291" s="19"/>
      <x:c r="L291" s="19"/>
      <x:c r="M291" s="19"/>
    </x:row>
    <x:row r="292">
      <x:c r="A292" s="19"/>
      <x:c r="B292" s="19"/>
      <x:c r="C292" s="26"/>
      <x:c r="D292" s="19"/>
      <x:c r="E292" s="19"/>
      <x:c r="F292" s="19"/>
      <x:c r="G292" s="19"/>
      <x:c r="H292" s="19"/>
      <x:c r="I292" s="20"/>
      <x:c r="J292" s="20"/>
      <x:c r="K292" s="19"/>
      <x:c r="L292" s="19"/>
      <x:c r="M292" s="19"/>
    </x:row>
    <x:row r="293">
      <x:c r="A293" s="19"/>
      <x:c r="B293" s="19"/>
      <x:c r="C293" s="26"/>
      <x:c r="D293" s="19"/>
      <x:c r="E293" s="19"/>
      <x:c r="F293" s="19"/>
      <x:c r="G293" s="19"/>
      <x:c r="H293" s="19"/>
      <x:c r="I293" s="20"/>
      <x:c r="J293" s="20"/>
      <x:c r="K293" s="19"/>
      <x:c r="L293" s="19"/>
      <x:c r="M293" s="19"/>
    </x:row>
    <x:row r="294">
      <x:c r="A294" s="19"/>
      <x:c r="B294" s="19"/>
      <x:c r="C294" s="26"/>
      <x:c r="D294" s="19"/>
      <x:c r="E294" s="19"/>
      <x:c r="F294" s="19"/>
      <x:c r="G294" s="19"/>
      <x:c r="H294" s="19"/>
      <x:c r="I294" s="20"/>
      <x:c r="J294" s="20"/>
      <x:c r="K294" s="19"/>
      <x:c r="L294" s="19"/>
      <x:c r="M294" s="19"/>
    </x:row>
    <x:row r="295">
      <x:c r="A295" s="19"/>
      <x:c r="B295" s="19"/>
      <x:c r="C295" s="26"/>
      <x:c r="D295" s="19"/>
      <x:c r="E295" s="19"/>
      <x:c r="F295" s="19"/>
      <x:c r="G295" s="19"/>
      <x:c r="H295" s="19"/>
      <x:c r="I295" s="20"/>
      <x:c r="J295" s="20"/>
      <x:c r="K295" s="19"/>
      <x:c r="L295" s="19"/>
      <x:c r="M295" s="19"/>
    </x:row>
    <x:row r="296">
      <x:c r="A296" s="19"/>
      <x:c r="B296" s="19"/>
      <x:c r="C296" s="26"/>
      <x:c r="D296" s="19"/>
      <x:c r="E296" s="19"/>
      <x:c r="F296" s="19"/>
      <x:c r="G296" s="19"/>
      <x:c r="H296" s="19"/>
      <x:c r="I296" s="20"/>
      <x:c r="J296" s="20"/>
      <x:c r="K296" s="19"/>
      <x:c r="L296" s="19"/>
      <x:c r="M296" s="19"/>
    </x:row>
    <x:row r="297">
      <x:c r="A297" s="19"/>
      <x:c r="B297" s="19"/>
      <x:c r="C297" s="26"/>
      <x:c r="D297" s="19"/>
      <x:c r="E297" s="19"/>
      <x:c r="F297" s="19"/>
      <x:c r="G297" s="19"/>
      <x:c r="H297" s="19"/>
      <x:c r="I297" s="20"/>
      <x:c r="J297" s="20"/>
      <x:c r="K297" s="19"/>
      <x:c r="L297" s="19"/>
      <x:c r="M297" s="19"/>
    </x:row>
    <x:row r="298">
      <x:c r="A298" s="19"/>
      <x:c r="B298" s="19"/>
      <x:c r="C298" s="26"/>
      <x:c r="D298" s="19"/>
      <x:c r="E298" s="19"/>
      <x:c r="F298" s="19"/>
      <x:c r="G298" s="19"/>
      <x:c r="H298" s="19"/>
      <x:c r="I298" s="20"/>
      <x:c r="J298" s="20"/>
      <x:c r="K298" s="19"/>
      <x:c r="L298" s="19"/>
      <x:c r="M298" s="19"/>
    </x:row>
    <x:row r="299">
      <x:c r="A299" s="19"/>
      <x:c r="B299" s="19"/>
      <x:c r="C299" s="26"/>
      <x:c r="D299" s="19"/>
      <x:c r="E299" s="19"/>
      <x:c r="F299" s="19"/>
      <x:c r="G299" s="19"/>
      <x:c r="H299" s="19"/>
      <x:c r="I299" s="20"/>
      <x:c r="J299" s="20"/>
      <x:c r="K299" s="19"/>
      <x:c r="L299" s="19"/>
      <x:c r="M299" s="19"/>
    </x:row>
    <x:row r="300">
      <x:c r="A300" s="19"/>
      <x:c r="B300" s="19"/>
      <x:c r="C300" s="26"/>
      <x:c r="D300" s="19"/>
      <x:c r="E300" s="19"/>
      <x:c r="F300" s="19"/>
      <x:c r="G300" s="19"/>
      <x:c r="H300" s="19"/>
      <x:c r="I300" s="20"/>
      <x:c r="J300" s="20"/>
      <x:c r="K300" s="19"/>
      <x:c r="L300" s="19"/>
      <x:c r="M300" s="19"/>
    </x:row>
    <x:row r="301">
      <x:c r="A301" s="19"/>
      <x:c r="B301" s="19"/>
      <x:c r="C301" s="26"/>
      <x:c r="D301" s="19"/>
      <x:c r="E301" s="19"/>
      <x:c r="F301" s="19"/>
      <x:c r="G301" s="19"/>
      <x:c r="H301" s="19"/>
      <x:c r="I301" s="20"/>
      <x:c r="J301" s="20"/>
      <x:c r="K301" s="19"/>
      <x:c r="L301" s="19"/>
      <x:c r="M301" s="19"/>
    </x:row>
    <x:row r="302">
      <x:c r="A302" s="19"/>
      <x:c r="B302" s="19"/>
      <x:c r="C302" s="26"/>
      <x:c r="D302" s="19"/>
      <x:c r="E302" s="19"/>
      <x:c r="F302" s="19"/>
      <x:c r="G302" s="19"/>
      <x:c r="H302" s="19"/>
      <x:c r="I302" s="20"/>
      <x:c r="J302" s="20"/>
      <x:c r="K302" s="19"/>
      <x:c r="L302" s="19"/>
      <x:c r="M302" s="19"/>
    </x:row>
    <x:row r="303">
      <x:c r="A303" s="19"/>
      <x:c r="B303" s="19"/>
      <x:c r="C303" s="26"/>
      <x:c r="D303" s="19"/>
      <x:c r="E303" s="19"/>
      <x:c r="F303" s="19"/>
      <x:c r="G303" s="19"/>
      <x:c r="H303" s="19"/>
      <x:c r="I303" s="20"/>
      <x:c r="J303" s="20"/>
      <x:c r="K303" s="19"/>
      <x:c r="L303" s="19"/>
      <x:c r="M303" s="19"/>
    </x:row>
    <x:row r="304">
      <x:c r="A304" s="19"/>
      <x:c r="B304" s="19"/>
      <x:c r="C304" s="26"/>
      <x:c r="D304" s="19"/>
      <x:c r="E304" s="19"/>
      <x:c r="F304" s="19"/>
      <x:c r="G304" s="19"/>
      <x:c r="H304" s="19"/>
      <x:c r="I304" s="20"/>
      <x:c r="J304" s="20"/>
      <x:c r="K304" s="19"/>
      <x:c r="L304" s="19"/>
      <x:c r="M304" s="19"/>
    </x:row>
    <x:row r="305">
      <x:c r="A305" s="19"/>
      <x:c r="B305" s="19"/>
      <x:c r="C305" s="26"/>
      <x:c r="D305" s="19"/>
      <x:c r="E305" s="19"/>
      <x:c r="F305" s="19"/>
      <x:c r="G305" s="19"/>
      <x:c r="H305" s="19"/>
      <x:c r="I305" s="20"/>
      <x:c r="J305" s="20"/>
      <x:c r="K305" s="19"/>
      <x:c r="L305" s="19"/>
      <x:c r="M305" s="19"/>
    </x:row>
    <x:row r="306">
      <x:c r="A306" s="19"/>
      <x:c r="B306" s="19"/>
      <x:c r="C306" s="26"/>
      <x:c r="D306" s="19"/>
      <x:c r="E306" s="19"/>
      <x:c r="F306" s="19"/>
      <x:c r="G306" s="19"/>
      <x:c r="H306" s="19"/>
      <x:c r="I306" s="20"/>
      <x:c r="J306" s="20"/>
      <x:c r="K306" s="19"/>
      <x:c r="L306" s="19"/>
      <x:c r="M306" s="19"/>
    </x:row>
    <x:row r="307">
      <x:c r="A307" s="19"/>
      <x:c r="B307" s="19"/>
      <x:c r="C307" s="26"/>
      <x:c r="D307" s="19"/>
      <x:c r="E307" s="19"/>
      <x:c r="F307" s="19"/>
      <x:c r="G307" s="19"/>
      <x:c r="H307" s="19"/>
      <x:c r="I307" s="20"/>
      <x:c r="J307" s="20"/>
      <x:c r="K307" s="19"/>
      <x:c r="L307" s="19"/>
      <x:c r="M307" s="19"/>
    </x:row>
    <x:row r="308">
      <x:c r="A308" s="19"/>
      <x:c r="B308" s="19"/>
      <x:c r="C308" s="26"/>
      <x:c r="D308" s="19"/>
      <x:c r="E308" s="19"/>
      <x:c r="F308" s="19"/>
      <x:c r="G308" s="19"/>
      <x:c r="H308" s="19"/>
      <x:c r="I308" s="20"/>
      <x:c r="J308" s="20"/>
      <x:c r="K308" s="19"/>
      <x:c r="L308" s="19"/>
      <x:c r="M308" s="19"/>
    </x:row>
    <x:row r="309">
      <x:c r="A309" s="19"/>
      <x:c r="B309" s="19"/>
      <x:c r="C309" s="26"/>
      <x:c r="D309" s="19"/>
      <x:c r="E309" s="19"/>
      <x:c r="F309" s="19"/>
      <x:c r="G309" s="19"/>
      <x:c r="H309" s="19"/>
      <x:c r="I309" s="20"/>
      <x:c r="J309" s="20"/>
      <x:c r="K309" s="19"/>
      <x:c r="L309" s="19"/>
      <x:c r="M309" s="19"/>
    </x:row>
    <x:row r="310">
      <x:c r="A310" s="19"/>
      <x:c r="B310" s="19"/>
      <x:c r="C310" s="26"/>
      <x:c r="D310" s="19"/>
      <x:c r="E310" s="19"/>
      <x:c r="F310" s="19"/>
      <x:c r="G310" s="19"/>
      <x:c r="H310" s="19"/>
      <x:c r="I310" s="20"/>
      <x:c r="J310" s="20"/>
      <x:c r="K310" s="19"/>
      <x:c r="L310" s="19"/>
      <x:c r="M310" s="19"/>
    </x:row>
    <x:row r="311">
      <x:c r="A311" s="19"/>
      <x:c r="B311" s="19"/>
      <x:c r="C311" s="26"/>
      <x:c r="D311" s="19"/>
      <x:c r="E311" s="19"/>
      <x:c r="F311" s="19"/>
      <x:c r="G311" s="19"/>
      <x:c r="H311" s="19"/>
      <x:c r="I311" s="20"/>
      <x:c r="J311" s="20"/>
      <x:c r="K311" s="19"/>
      <x:c r="L311" s="19"/>
      <x:c r="M311" s="19"/>
    </x:row>
    <x:row r="312">
      <x:c r="A312" s="19"/>
      <x:c r="B312" s="19"/>
      <x:c r="C312" s="26"/>
      <x:c r="D312" s="19"/>
      <x:c r="E312" s="19"/>
      <x:c r="F312" s="19"/>
      <x:c r="G312" s="19"/>
      <x:c r="H312" s="19"/>
      <x:c r="I312" s="20"/>
      <x:c r="J312" s="20"/>
      <x:c r="K312" s="19"/>
      <x:c r="L312" s="19"/>
      <x:c r="M312" s="19"/>
    </x:row>
    <x:row r="313">
      <x:c r="A313" s="19"/>
      <x:c r="B313" s="19"/>
      <x:c r="C313" s="26"/>
      <x:c r="D313" s="19"/>
      <x:c r="E313" s="19"/>
      <x:c r="F313" s="19"/>
      <x:c r="G313" s="19"/>
      <x:c r="H313" s="19"/>
      <x:c r="I313" s="20"/>
      <x:c r="J313" s="20"/>
      <x:c r="K313" s="19"/>
      <x:c r="L313" s="19"/>
      <x:c r="M313" s="19"/>
    </x:row>
    <x:row r="314">
      <x:c r="A314" s="19"/>
      <x:c r="B314" s="19"/>
      <x:c r="C314" s="26"/>
      <x:c r="D314" s="19"/>
      <x:c r="E314" s="19"/>
      <x:c r="F314" s="19"/>
      <x:c r="G314" s="19"/>
      <x:c r="H314" s="19"/>
      <x:c r="I314" s="20"/>
      <x:c r="J314" s="20"/>
      <x:c r="K314" s="19"/>
      <x:c r="L314" s="19"/>
      <x:c r="M314" s="19"/>
    </x:row>
    <x:row r="315">
      <x:c r="A315" s="19"/>
      <x:c r="B315" s="19"/>
      <x:c r="C315" s="26"/>
      <x:c r="D315" s="19"/>
      <x:c r="E315" s="19"/>
      <x:c r="F315" s="19"/>
      <x:c r="G315" s="19"/>
      <x:c r="H315" s="19"/>
      <x:c r="I315" s="20"/>
      <x:c r="J315" s="20"/>
      <x:c r="K315" s="19"/>
      <x:c r="L315" s="19"/>
      <x:c r="M315" s="19"/>
    </x:row>
    <x:row r="316">
      <x:c r="A316" s="19"/>
      <x:c r="B316" s="19"/>
      <x:c r="C316" s="26"/>
      <x:c r="D316" s="19"/>
      <x:c r="E316" s="19"/>
      <x:c r="F316" s="19"/>
      <x:c r="G316" s="19"/>
      <x:c r="H316" s="19"/>
      <x:c r="I316" s="20"/>
      <x:c r="J316" s="20"/>
      <x:c r="K316" s="19"/>
      <x:c r="L316" s="19"/>
      <x:c r="M316" s="19"/>
    </x:row>
    <x:row r="317">
      <x:c r="A317" s="19"/>
      <x:c r="B317" s="19"/>
      <x:c r="C317" s="26"/>
      <x:c r="D317" s="19"/>
      <x:c r="E317" s="19"/>
      <x:c r="F317" s="19"/>
      <x:c r="G317" s="19"/>
      <x:c r="H317" s="19"/>
      <x:c r="I317" s="20"/>
      <x:c r="J317" s="20"/>
      <x:c r="K317" s="19"/>
      <x:c r="L317" s="19"/>
      <x:c r="M317" s="19"/>
    </x:row>
    <x:row r="318">
      <x:c r="A318" s="19"/>
      <x:c r="B318" s="19"/>
      <x:c r="C318" s="26"/>
      <x:c r="D318" s="19"/>
      <x:c r="E318" s="19"/>
      <x:c r="F318" s="19"/>
      <x:c r="G318" s="19"/>
      <x:c r="H318" s="19"/>
      <x:c r="I318" s="20"/>
      <x:c r="J318" s="20"/>
      <x:c r="K318" s="19"/>
      <x:c r="L318" s="19"/>
      <x:c r="M318" s="19"/>
    </x:row>
    <x:row r="319">
      <x:c r="A319" s="19"/>
      <x:c r="B319" s="19"/>
      <x:c r="C319" s="26"/>
      <x:c r="D319" s="19"/>
      <x:c r="E319" s="19"/>
      <x:c r="F319" s="19"/>
      <x:c r="G319" s="19"/>
      <x:c r="H319" s="19"/>
      <x:c r="I319" s="20"/>
      <x:c r="J319" s="20"/>
      <x:c r="K319" s="19"/>
      <x:c r="L319" s="19"/>
      <x:c r="M319" s="19"/>
    </x:row>
    <x:row r="320">
      <x:c r="A320" s="19"/>
      <x:c r="B320" s="19"/>
      <x:c r="C320" s="26"/>
      <x:c r="D320" s="19"/>
      <x:c r="E320" s="19"/>
      <x:c r="F320" s="19"/>
      <x:c r="G320" s="19"/>
      <x:c r="H320" s="19"/>
      <x:c r="I320" s="20"/>
      <x:c r="J320" s="20"/>
      <x:c r="K320" s="19"/>
      <x:c r="L320" s="19"/>
      <x:c r="M320" s="19"/>
    </x:row>
    <x:row r="321">
      <x:c r="A321" s="19"/>
      <x:c r="B321" s="19"/>
      <x:c r="C321" s="26"/>
      <x:c r="D321" s="19"/>
      <x:c r="E321" s="19"/>
      <x:c r="F321" s="19"/>
      <x:c r="G321" s="19"/>
      <x:c r="H321" s="19"/>
      <x:c r="I321" s="20"/>
      <x:c r="J321" s="20"/>
      <x:c r="K321" s="19"/>
      <x:c r="L321" s="19"/>
      <x:c r="M321" s="19"/>
    </x:row>
    <x:row r="322">
      <x:c r="A322" s="19"/>
      <x:c r="B322" s="19"/>
      <x:c r="C322" s="26"/>
      <x:c r="D322" s="19"/>
      <x:c r="E322" s="19"/>
      <x:c r="F322" s="19"/>
      <x:c r="G322" s="19"/>
      <x:c r="H322" s="19"/>
      <x:c r="I322" s="20"/>
      <x:c r="J322" s="20"/>
      <x:c r="K322" s="19"/>
      <x:c r="L322" s="19"/>
      <x:c r="M322" s="19"/>
    </x:row>
    <x:row r="323">
      <x:c r="A323" s="19"/>
      <x:c r="B323" s="19"/>
      <x:c r="C323" s="26"/>
      <x:c r="D323" s="19"/>
      <x:c r="E323" s="19"/>
      <x:c r="F323" s="19"/>
      <x:c r="G323" s="19"/>
      <x:c r="H323" s="19"/>
      <x:c r="I323" s="20"/>
      <x:c r="J323" s="20"/>
      <x:c r="K323" s="19"/>
      <x:c r="L323" s="19"/>
      <x:c r="M323" s="19"/>
    </x:row>
    <x:row r="324">
      <x:c r="A324" s="19"/>
      <x:c r="B324" s="19"/>
      <x:c r="C324" s="26"/>
      <x:c r="D324" s="19"/>
      <x:c r="E324" s="19"/>
      <x:c r="F324" s="19"/>
      <x:c r="G324" s="19"/>
      <x:c r="H324" s="19"/>
      <x:c r="I324" s="20"/>
      <x:c r="J324" s="20"/>
      <x:c r="K324" s="19"/>
      <x:c r="L324" s="19"/>
      <x:c r="M324" s="19"/>
    </x:row>
    <x:row r="325">
      <x:c r="A325" s="19"/>
      <x:c r="B325" s="19"/>
      <x:c r="C325" s="26"/>
      <x:c r="D325" s="19"/>
      <x:c r="E325" s="19"/>
      <x:c r="F325" s="19"/>
      <x:c r="G325" s="19"/>
      <x:c r="H325" s="19"/>
      <x:c r="I325" s="20"/>
      <x:c r="J325" s="20"/>
      <x:c r="K325" s="19"/>
      <x:c r="L325" s="19"/>
      <x:c r="M325" s="19"/>
    </x:row>
    <x:row r="326">
      <x:c r="A326" s="19"/>
      <x:c r="B326" s="19"/>
      <x:c r="C326" s="26"/>
      <x:c r="D326" s="19"/>
      <x:c r="E326" s="19"/>
      <x:c r="F326" s="19"/>
      <x:c r="G326" s="19"/>
      <x:c r="H326" s="19"/>
      <x:c r="I326" s="20"/>
      <x:c r="J326" s="20"/>
      <x:c r="K326" s="19"/>
      <x:c r="L326" s="19"/>
      <x:c r="M326" s="19"/>
    </x:row>
    <x:row r="327">
      <x:c r="A327" s="19"/>
      <x:c r="B327" s="19"/>
      <x:c r="C327" s="26"/>
      <x:c r="D327" s="19"/>
      <x:c r="E327" s="19"/>
      <x:c r="F327" s="19"/>
      <x:c r="G327" s="19"/>
      <x:c r="H327" s="19"/>
      <x:c r="I327" s="20"/>
      <x:c r="J327" s="20"/>
      <x:c r="K327" s="19"/>
      <x:c r="L327" s="19"/>
      <x:c r="M327" s="19"/>
    </x:row>
    <x:row r="328">
      <x:c r="A328" s="19"/>
      <x:c r="B328" s="19"/>
      <x:c r="C328" s="26"/>
      <x:c r="D328" s="19"/>
      <x:c r="E328" s="19"/>
      <x:c r="F328" s="19"/>
      <x:c r="G328" s="19"/>
      <x:c r="H328" s="19"/>
      <x:c r="I328" s="20"/>
      <x:c r="J328" s="20"/>
      <x:c r="K328" s="19"/>
      <x:c r="L328" s="19"/>
      <x:c r="M328" s="19"/>
    </x:row>
    <x:row r="329">
      <x:c r="A329" s="19"/>
      <x:c r="B329" s="19"/>
      <x:c r="C329" s="26"/>
      <x:c r="D329" s="19"/>
      <x:c r="E329" s="19"/>
      <x:c r="F329" s="19"/>
      <x:c r="G329" s="19"/>
      <x:c r="H329" s="19"/>
      <x:c r="I329" s="20"/>
      <x:c r="J329" s="20"/>
      <x:c r="K329" s="19"/>
      <x:c r="L329" s="19"/>
      <x:c r="M329" s="19"/>
    </x:row>
    <x:row r="330">
      <x:c r="A330" s="19"/>
      <x:c r="B330" s="19"/>
      <x:c r="C330" s="26"/>
      <x:c r="D330" s="19"/>
      <x:c r="E330" s="19"/>
      <x:c r="F330" s="19"/>
      <x:c r="G330" s="19"/>
      <x:c r="H330" s="19"/>
      <x:c r="I330" s="20"/>
      <x:c r="J330" s="20"/>
      <x:c r="K330" s="19"/>
      <x:c r="L330" s="19"/>
      <x:c r="M330" s="19"/>
    </x:row>
    <x:row r="331">
      <x:c r="A331" s="19"/>
      <x:c r="B331" s="19"/>
      <x:c r="C331" s="26"/>
      <x:c r="D331" s="19"/>
      <x:c r="E331" s="19"/>
      <x:c r="F331" s="19"/>
      <x:c r="G331" s="19"/>
      <x:c r="H331" s="19"/>
      <x:c r="I331" s="20"/>
      <x:c r="J331" s="20"/>
      <x:c r="K331" s="19"/>
      <x:c r="L331" s="19"/>
      <x:c r="M331" s="19"/>
    </x:row>
    <x:row r="332">
      <x:c r="A332" s="19"/>
      <x:c r="B332" s="19"/>
      <x:c r="C332" s="26"/>
      <x:c r="D332" s="19"/>
      <x:c r="E332" s="19"/>
      <x:c r="F332" s="19"/>
      <x:c r="G332" s="19"/>
      <x:c r="H332" s="19"/>
      <x:c r="I332" s="20"/>
      <x:c r="J332" s="20"/>
      <x:c r="K332" s="19"/>
      <x:c r="L332" s="19"/>
      <x:c r="M332" s="19"/>
    </x:row>
    <x:row r="333">
      <x:c r="A333" s="19"/>
      <x:c r="B333" s="19"/>
      <x:c r="C333" s="26"/>
      <x:c r="D333" s="19"/>
      <x:c r="E333" s="19"/>
      <x:c r="F333" s="19"/>
      <x:c r="G333" s="19"/>
      <x:c r="H333" s="19"/>
      <x:c r="I333" s="20"/>
      <x:c r="J333" s="20"/>
      <x:c r="K333" s="19"/>
      <x:c r="L333" s="19"/>
      <x:c r="M333" s="19"/>
    </x:row>
    <x:row r="334">
      <x:c r="A334" s="19"/>
      <x:c r="B334" s="19"/>
      <x:c r="C334" s="26"/>
      <x:c r="D334" s="19"/>
      <x:c r="E334" s="19"/>
      <x:c r="F334" s="19"/>
      <x:c r="G334" s="19"/>
      <x:c r="H334" s="19"/>
      <x:c r="I334" s="20"/>
      <x:c r="J334" s="20"/>
      <x:c r="K334" s="19"/>
      <x:c r="L334" s="19"/>
      <x:c r="M334" s="19"/>
    </x:row>
    <x:row r="335">
      <x:c r="A335" s="19"/>
      <x:c r="B335" s="19"/>
      <x:c r="C335" s="26"/>
      <x:c r="D335" s="19"/>
      <x:c r="E335" s="19"/>
      <x:c r="F335" s="19"/>
      <x:c r="G335" s="19"/>
      <x:c r="H335" s="19"/>
      <x:c r="I335" s="20"/>
      <x:c r="J335" s="20"/>
      <x:c r="K335" s="19"/>
      <x:c r="L335" s="19"/>
      <x:c r="M335" s="19"/>
    </x:row>
    <x:row r="336">
      <x:c r="A336" s="19"/>
      <x:c r="B336" s="19"/>
      <x:c r="C336" s="26"/>
      <x:c r="D336" s="19"/>
      <x:c r="E336" s="19"/>
      <x:c r="F336" s="19"/>
      <x:c r="G336" s="19"/>
      <x:c r="H336" s="19"/>
      <x:c r="I336" s="20"/>
      <x:c r="J336" s="20"/>
      <x:c r="K336" s="19"/>
      <x:c r="L336" s="19"/>
      <x:c r="M336" s="19"/>
    </x:row>
    <x:row r="337">
      <x:c r="A337" s="19"/>
      <x:c r="B337" s="19"/>
      <x:c r="C337" s="26"/>
      <x:c r="D337" s="19"/>
      <x:c r="E337" s="19"/>
      <x:c r="F337" s="19"/>
      <x:c r="G337" s="19"/>
      <x:c r="H337" s="19"/>
      <x:c r="I337" s="20"/>
      <x:c r="J337" s="20"/>
      <x:c r="K337" s="19"/>
      <x:c r="L337" s="19"/>
      <x:c r="M337" s="19"/>
    </x:row>
    <x:row r="338">
      <x:c r="A338" s="19"/>
      <x:c r="B338" s="19"/>
      <x:c r="C338" s="26"/>
      <x:c r="D338" s="19"/>
      <x:c r="E338" s="19"/>
      <x:c r="F338" s="19"/>
      <x:c r="G338" s="19"/>
      <x:c r="H338" s="19"/>
      <x:c r="I338" s="20"/>
      <x:c r="J338" s="20"/>
      <x:c r="K338" s="19"/>
      <x:c r="L338" s="19"/>
      <x:c r="M338" s="19"/>
    </x:row>
    <x:row r="339">
      <x:c r="A339" s="19"/>
      <x:c r="B339" s="19"/>
      <x:c r="C339" s="26"/>
      <x:c r="D339" s="19"/>
      <x:c r="E339" s="19"/>
      <x:c r="F339" s="19"/>
      <x:c r="G339" s="19"/>
      <x:c r="H339" s="19"/>
      <x:c r="I339" s="20"/>
      <x:c r="J339" s="20"/>
      <x:c r="K339" s="19"/>
      <x:c r="L339" s="19"/>
      <x:c r="M339" s="19"/>
    </x:row>
    <x:row r="340">
      <x:c r="A340" s="19"/>
      <x:c r="B340" s="19"/>
      <x:c r="C340" s="26"/>
      <x:c r="D340" s="19"/>
      <x:c r="E340" s="19"/>
      <x:c r="F340" s="19"/>
      <x:c r="G340" s="19"/>
      <x:c r="H340" s="19"/>
      <x:c r="I340" s="20"/>
      <x:c r="J340" s="20"/>
      <x:c r="K340" s="19"/>
      <x:c r="L340" s="19"/>
      <x:c r="M340" s="19"/>
    </x:row>
    <x:row r="341">
      <x:c r="A341" s="19"/>
      <x:c r="B341" s="19"/>
      <x:c r="C341" s="26"/>
      <x:c r="D341" s="19"/>
      <x:c r="E341" s="19"/>
      <x:c r="F341" s="19"/>
      <x:c r="G341" s="19"/>
      <x:c r="H341" s="19"/>
      <x:c r="I341" s="20"/>
      <x:c r="J341" s="20"/>
      <x:c r="K341" s="19"/>
      <x:c r="L341" s="19"/>
      <x:c r="M341" s="19"/>
    </x:row>
    <x:row r="342">
      <x:c r="A342" s="19"/>
      <x:c r="B342" s="19"/>
      <x:c r="C342" s="26"/>
      <x:c r="D342" s="19"/>
      <x:c r="E342" s="19"/>
      <x:c r="F342" s="19"/>
      <x:c r="G342" s="19"/>
      <x:c r="H342" s="19"/>
      <x:c r="I342" s="20"/>
      <x:c r="J342" s="20"/>
      <x:c r="K342" s="19"/>
      <x:c r="L342" s="19"/>
      <x:c r="M342" s="19"/>
    </x:row>
    <x:row r="343">
      <x:c r="A343" s="19"/>
      <x:c r="B343" s="19"/>
      <x:c r="C343" s="26"/>
      <x:c r="D343" s="19"/>
      <x:c r="E343" s="19"/>
      <x:c r="F343" s="19"/>
      <x:c r="G343" s="19"/>
      <x:c r="H343" s="19"/>
      <x:c r="I343" s="20"/>
      <x:c r="J343" s="20"/>
      <x:c r="K343" s="19"/>
      <x:c r="L343" s="19"/>
      <x:c r="M343" s="19"/>
    </x:row>
    <x:row r="344">
      <x:c r="A344" s="19"/>
      <x:c r="B344" s="19"/>
      <x:c r="C344" s="26"/>
      <x:c r="D344" s="19"/>
      <x:c r="E344" s="19"/>
      <x:c r="F344" s="19"/>
      <x:c r="G344" s="19"/>
      <x:c r="H344" s="19"/>
      <x:c r="I344" s="20"/>
      <x:c r="J344" s="20"/>
      <x:c r="K344" s="19"/>
      <x:c r="L344" s="19"/>
      <x:c r="M344" s="19"/>
    </x:row>
    <x:row r="345">
      <x:c r="A345" s="19"/>
      <x:c r="B345" s="19"/>
      <x:c r="C345" s="26"/>
      <x:c r="D345" s="19"/>
      <x:c r="E345" s="19"/>
      <x:c r="F345" s="19"/>
      <x:c r="G345" s="19"/>
      <x:c r="H345" s="19"/>
      <x:c r="I345" s="20"/>
      <x:c r="J345" s="20"/>
      <x:c r="K345" s="19"/>
      <x:c r="L345" s="19"/>
      <x:c r="M345" s="19"/>
    </x:row>
    <x:row r="346">
      <x:c r="A346" s="19"/>
      <x:c r="B346" s="19"/>
      <x:c r="C346" s="26"/>
      <x:c r="D346" s="19"/>
      <x:c r="E346" s="19"/>
      <x:c r="F346" s="19"/>
      <x:c r="G346" s="19"/>
      <x:c r="H346" s="19"/>
      <x:c r="I346" s="20"/>
      <x:c r="J346" s="20"/>
      <x:c r="K346" s="19"/>
      <x:c r="L346" s="19"/>
      <x:c r="M346" s="19"/>
    </x:row>
    <x:row r="347">
      <x:c r="A347" s="19"/>
      <x:c r="B347" s="19"/>
      <x:c r="C347" s="26"/>
      <x:c r="D347" s="19"/>
      <x:c r="E347" s="19"/>
      <x:c r="F347" s="19"/>
      <x:c r="G347" s="19"/>
      <x:c r="H347" s="19"/>
      <x:c r="I347" s="20"/>
      <x:c r="J347" s="20"/>
      <x:c r="K347" s="19"/>
      <x:c r="L347" s="19"/>
      <x:c r="M347" s="19"/>
    </x:row>
    <x:row r="348">
      <x:c r="A348" s="19"/>
      <x:c r="B348" s="19"/>
      <x:c r="C348" s="26"/>
      <x:c r="D348" s="19"/>
      <x:c r="E348" s="19"/>
      <x:c r="F348" s="19"/>
      <x:c r="G348" s="19"/>
      <x:c r="H348" s="19"/>
      <x:c r="I348" s="20"/>
      <x:c r="J348" s="20"/>
      <x:c r="K348" s="19"/>
      <x:c r="L348" s="19"/>
      <x:c r="M348" s="19"/>
    </x:row>
    <x:row r="349">
      <x:c r="A349" s="19"/>
      <x:c r="B349" s="19"/>
      <x:c r="C349" s="26"/>
      <x:c r="D349" s="19"/>
      <x:c r="E349" s="19"/>
      <x:c r="F349" s="19"/>
      <x:c r="G349" s="19"/>
      <x:c r="H349" s="19"/>
      <x:c r="I349" s="20"/>
      <x:c r="J349" s="20"/>
      <x:c r="K349" s="19"/>
      <x:c r="L349" s="19"/>
      <x:c r="M349" s="19"/>
    </x:row>
    <x:row r="350">
      <x:c r="A350" s="19"/>
      <x:c r="B350" s="19"/>
      <x:c r="C350" s="26"/>
      <x:c r="D350" s="19"/>
      <x:c r="E350" s="19"/>
      <x:c r="F350" s="19"/>
      <x:c r="G350" s="19"/>
      <x:c r="H350" s="19"/>
      <x:c r="I350" s="20"/>
      <x:c r="J350" s="20"/>
      <x:c r="K350" s="19"/>
      <x:c r="L350" s="19"/>
      <x:c r="M350" s="19"/>
    </x:row>
    <x:row r="351">
      <x:c r="A351" s="19"/>
      <x:c r="B351" s="19"/>
      <x:c r="C351" s="26"/>
      <x:c r="D351" s="19"/>
      <x:c r="E351" s="19"/>
      <x:c r="F351" s="19"/>
      <x:c r="G351" s="19"/>
      <x:c r="H351" s="19"/>
      <x:c r="I351" s="20"/>
      <x:c r="J351" s="20"/>
      <x:c r="K351" s="19"/>
      <x:c r="L351" s="19"/>
      <x:c r="M351" s="19"/>
    </x:row>
    <x:row r="352">
      <x:c r="A352" s="19"/>
      <x:c r="B352" s="19"/>
      <x:c r="C352" s="26"/>
      <x:c r="D352" s="19"/>
      <x:c r="E352" s="19"/>
      <x:c r="F352" s="19"/>
      <x:c r="G352" s="19"/>
      <x:c r="H352" s="19"/>
      <x:c r="I352" s="20"/>
      <x:c r="J352" s="20"/>
      <x:c r="K352" s="19"/>
      <x:c r="L352" s="19"/>
      <x:c r="M352" s="19"/>
    </x:row>
    <x:row r="353">
      <x:c r="A353" s="19"/>
      <x:c r="B353" s="19"/>
      <x:c r="C353" s="26"/>
      <x:c r="D353" s="19"/>
      <x:c r="E353" s="19"/>
      <x:c r="F353" s="19"/>
      <x:c r="G353" s="19"/>
      <x:c r="H353" s="19"/>
      <x:c r="I353" s="20"/>
      <x:c r="J353" s="20"/>
      <x:c r="K353" s="19"/>
      <x:c r="L353" s="19"/>
      <x:c r="M353" s="19"/>
    </x:row>
    <x:row r="354">
      <x:c r="A354" s="19"/>
      <x:c r="B354" s="19"/>
      <x:c r="C354" s="26"/>
      <x:c r="D354" s="19"/>
      <x:c r="E354" s="19"/>
      <x:c r="F354" s="19"/>
      <x:c r="G354" s="19"/>
      <x:c r="H354" s="19"/>
      <x:c r="I354" s="20"/>
      <x:c r="J354" s="20"/>
      <x:c r="K354" s="19"/>
      <x:c r="L354" s="19"/>
      <x:c r="M354" s="19"/>
    </x:row>
    <x:row r="355">
      <x:c r="A355" s="19"/>
      <x:c r="B355" s="19"/>
      <x:c r="C355" s="26"/>
      <x:c r="D355" s="19"/>
      <x:c r="E355" s="19"/>
      <x:c r="F355" s="19"/>
      <x:c r="G355" s="19"/>
      <x:c r="H355" s="19"/>
      <x:c r="I355" s="20"/>
      <x:c r="J355" s="20"/>
      <x:c r="K355" s="19"/>
      <x:c r="L355" s="19"/>
      <x:c r="M355" s="19"/>
    </x:row>
    <x:row r="356">
      <x:c r="A356" s="19"/>
      <x:c r="B356" s="19"/>
      <x:c r="C356" s="26"/>
      <x:c r="D356" s="19"/>
      <x:c r="E356" s="19"/>
      <x:c r="F356" s="19"/>
      <x:c r="G356" s="19"/>
      <x:c r="H356" s="19"/>
      <x:c r="I356" s="20"/>
      <x:c r="J356" s="20"/>
      <x:c r="K356" s="19"/>
      <x:c r="L356" s="19"/>
      <x:c r="M356" s="19"/>
    </x:row>
    <x:row r="357">
      <x:c r="A357" s="19"/>
      <x:c r="B357" s="19"/>
      <x:c r="C357" s="26"/>
      <x:c r="D357" s="19"/>
      <x:c r="E357" s="19"/>
      <x:c r="F357" s="19"/>
      <x:c r="G357" s="19"/>
      <x:c r="H357" s="19"/>
      <x:c r="I357" s="20"/>
      <x:c r="J357" s="20"/>
      <x:c r="K357" s="19"/>
      <x:c r="L357" s="19"/>
      <x:c r="M357" s="19"/>
    </x:row>
    <x:row r="358">
      <x:c r="A358" s="19"/>
      <x:c r="B358" s="19"/>
      <x:c r="C358" s="26"/>
      <x:c r="D358" s="19"/>
      <x:c r="E358" s="19"/>
      <x:c r="F358" s="19"/>
      <x:c r="G358" s="19"/>
      <x:c r="H358" s="19"/>
      <x:c r="I358" s="20"/>
      <x:c r="J358" s="20"/>
      <x:c r="K358" s="19"/>
      <x:c r="L358" s="19"/>
      <x:c r="M358" s="19"/>
    </x:row>
    <x:row r="359">
      <x:c r="A359" s="19"/>
      <x:c r="B359" s="19"/>
      <x:c r="C359" s="26"/>
      <x:c r="D359" s="19"/>
      <x:c r="E359" s="19"/>
      <x:c r="F359" s="19"/>
      <x:c r="G359" s="19"/>
      <x:c r="H359" s="19"/>
      <x:c r="I359" s="20"/>
      <x:c r="J359" s="20"/>
      <x:c r="K359" s="19"/>
      <x:c r="L359" s="19"/>
      <x:c r="M359" s="19"/>
    </x:row>
    <x:row r="360">
      <x:c r="A360" s="19"/>
      <x:c r="B360" s="19"/>
      <x:c r="C360" s="26"/>
      <x:c r="D360" s="19"/>
      <x:c r="E360" s="19"/>
      <x:c r="F360" s="19"/>
      <x:c r="G360" s="19"/>
      <x:c r="H360" s="19"/>
      <x:c r="I360" s="20"/>
      <x:c r="J360" s="20"/>
      <x:c r="K360" s="19"/>
      <x:c r="L360" s="19"/>
      <x:c r="M360" s="19"/>
    </x:row>
    <x:row r="361">
      <x:c r="A361" s="19"/>
      <x:c r="B361" s="19"/>
      <x:c r="C361" s="26"/>
      <x:c r="D361" s="19"/>
      <x:c r="E361" s="19"/>
      <x:c r="F361" s="19"/>
      <x:c r="G361" s="19"/>
      <x:c r="H361" s="19"/>
      <x:c r="I361" s="20"/>
      <x:c r="J361" s="20"/>
      <x:c r="K361" s="19"/>
      <x:c r="L361" s="19"/>
      <x:c r="M361" s="19"/>
    </x:row>
    <x:row r="362">
      <x:c r="A362" s="19"/>
      <x:c r="B362" s="19"/>
      <x:c r="C362" s="26"/>
      <x:c r="D362" s="19"/>
      <x:c r="E362" s="19"/>
      <x:c r="F362" s="19"/>
      <x:c r="G362" s="19"/>
      <x:c r="H362" s="19"/>
      <x:c r="I362" s="20"/>
      <x:c r="J362" s="20"/>
      <x:c r="K362" s="19"/>
      <x:c r="L362" s="19"/>
      <x:c r="M362" s="19"/>
    </x:row>
    <x:row r="363">
      <x:c r="A363" s="19"/>
      <x:c r="B363" s="19"/>
      <x:c r="C363" s="26"/>
      <x:c r="D363" s="19"/>
      <x:c r="E363" s="19"/>
      <x:c r="F363" s="19"/>
      <x:c r="G363" s="19"/>
      <x:c r="H363" s="19"/>
      <x:c r="I363" s="20"/>
      <x:c r="J363" s="20"/>
      <x:c r="K363" s="19"/>
      <x:c r="L363" s="19"/>
      <x:c r="M363" s="19"/>
    </x:row>
    <x:row r="364">
      <x:c r="A364" s="19"/>
      <x:c r="B364" s="19"/>
      <x:c r="C364" s="26"/>
      <x:c r="D364" s="19"/>
      <x:c r="E364" s="19"/>
      <x:c r="F364" s="19"/>
      <x:c r="G364" s="19"/>
      <x:c r="H364" s="19"/>
      <x:c r="I364" s="20"/>
      <x:c r="J364" s="20"/>
      <x:c r="K364" s="19"/>
      <x:c r="L364" s="19"/>
      <x:c r="M364" s="19"/>
    </x:row>
    <x:row r="365">
      <x:c r="A365" s="19"/>
      <x:c r="B365" s="19"/>
      <x:c r="C365" s="26"/>
      <x:c r="D365" s="19"/>
      <x:c r="E365" s="19"/>
      <x:c r="F365" s="19"/>
      <x:c r="G365" s="19"/>
      <x:c r="H365" s="19"/>
      <x:c r="I365" s="20"/>
      <x:c r="J365" s="20"/>
      <x:c r="K365" s="19"/>
      <x:c r="L365" s="19"/>
      <x:c r="M365" s="19"/>
    </x:row>
    <x:row r="366">
      <x:c r="A366" s="19"/>
      <x:c r="B366" s="19"/>
      <x:c r="C366" s="26"/>
      <x:c r="D366" s="19"/>
      <x:c r="E366" s="19"/>
      <x:c r="F366" s="19"/>
      <x:c r="G366" s="19"/>
      <x:c r="H366" s="19"/>
      <x:c r="I366" s="20"/>
      <x:c r="J366" s="20"/>
      <x:c r="K366" s="19"/>
      <x:c r="L366" s="19"/>
      <x:c r="M366" s="19"/>
    </x:row>
    <x:row r="367">
      <x:c r="A367" s="19"/>
      <x:c r="B367" s="19"/>
      <x:c r="C367" s="26"/>
      <x:c r="D367" s="19"/>
      <x:c r="E367" s="19"/>
      <x:c r="F367" s="19"/>
      <x:c r="G367" s="19"/>
      <x:c r="H367" s="19"/>
      <x:c r="I367" s="20"/>
      <x:c r="J367" s="20"/>
      <x:c r="K367" s="19"/>
      <x:c r="L367" s="19"/>
      <x:c r="M367" s="19"/>
    </x:row>
    <x:row r="368">
      <x:c r="A368" s="19"/>
      <x:c r="B368" s="19"/>
      <x:c r="C368" s="26"/>
      <x:c r="D368" s="19"/>
      <x:c r="E368" s="19"/>
      <x:c r="F368" s="19"/>
      <x:c r="G368" s="19"/>
      <x:c r="H368" s="19"/>
      <x:c r="I368" s="20"/>
      <x:c r="J368" s="20"/>
      <x:c r="K368" s="19"/>
      <x:c r="L368" s="19"/>
      <x:c r="M368" s="19"/>
    </x:row>
    <x:row r="369">
      <x:c r="A369" s="19"/>
      <x:c r="B369" s="19"/>
      <x:c r="C369" s="26"/>
      <x:c r="D369" s="19"/>
      <x:c r="E369" s="19"/>
      <x:c r="F369" s="19"/>
      <x:c r="G369" s="19"/>
      <x:c r="H369" s="19"/>
      <x:c r="I369" s="20"/>
      <x:c r="J369" s="20"/>
      <x:c r="K369" s="19"/>
      <x:c r="L369" s="19"/>
      <x:c r="M369" s="19"/>
    </x:row>
    <x:row r="370">
      <x:c r="A370" s="19"/>
      <x:c r="B370" s="19"/>
      <x:c r="C370" s="26"/>
      <x:c r="D370" s="19"/>
      <x:c r="E370" s="19"/>
      <x:c r="F370" s="19"/>
      <x:c r="G370" s="19"/>
      <x:c r="H370" s="19"/>
      <x:c r="I370" s="20"/>
      <x:c r="J370" s="20"/>
      <x:c r="K370" s="19"/>
      <x:c r="L370" s="19"/>
      <x:c r="M370" s="19"/>
    </x:row>
    <x:row r="371">
      <x:c r="A371" s="19"/>
      <x:c r="B371" s="19"/>
      <x:c r="C371" s="26"/>
      <x:c r="D371" s="19"/>
      <x:c r="E371" s="19"/>
      <x:c r="F371" s="19"/>
      <x:c r="G371" s="19"/>
      <x:c r="H371" s="19"/>
      <x:c r="I371" s="20"/>
      <x:c r="J371" s="20"/>
      <x:c r="K371" s="19"/>
      <x:c r="L371" s="19"/>
      <x:c r="M371" s="19"/>
    </x:row>
    <x:row r="372">
      <x:c r="A372" s="19"/>
      <x:c r="B372" s="19"/>
      <x:c r="C372" s="26"/>
      <x:c r="D372" s="19"/>
      <x:c r="E372" s="19"/>
      <x:c r="F372" s="19"/>
      <x:c r="G372" s="19"/>
      <x:c r="H372" s="19"/>
      <x:c r="I372" s="20"/>
      <x:c r="J372" s="20"/>
      <x:c r="K372" s="19"/>
      <x:c r="L372" s="19"/>
      <x:c r="M372" s="19"/>
    </x:row>
    <x:row r="373">
      <x:c r="A373" s="19"/>
      <x:c r="B373" s="19"/>
      <x:c r="C373" s="26"/>
      <x:c r="D373" s="19"/>
      <x:c r="E373" s="19"/>
      <x:c r="F373" s="19"/>
      <x:c r="G373" s="19"/>
      <x:c r="H373" s="19"/>
      <x:c r="I373" s="20"/>
      <x:c r="J373" s="20"/>
      <x:c r="K373" s="19"/>
      <x:c r="L373" s="19"/>
      <x:c r="M373" s="19"/>
    </x:row>
    <x:row r="374">
      <x:c r="A374" s="19"/>
      <x:c r="B374" s="19"/>
      <x:c r="C374" s="26"/>
      <x:c r="D374" s="19"/>
      <x:c r="E374" s="19"/>
      <x:c r="F374" s="19"/>
      <x:c r="G374" s="19"/>
      <x:c r="H374" s="19"/>
      <x:c r="I374" s="20"/>
      <x:c r="J374" s="20"/>
      <x:c r="K374" s="19"/>
      <x:c r="L374" s="19"/>
      <x:c r="M374" s="19"/>
    </x:row>
    <x:row r="375">
      <x:c r="A375" s="19"/>
      <x:c r="B375" s="19"/>
      <x:c r="C375" s="26"/>
      <x:c r="D375" s="19"/>
      <x:c r="E375" s="19"/>
      <x:c r="F375" s="19"/>
      <x:c r="G375" s="19"/>
      <x:c r="H375" s="19"/>
      <x:c r="I375" s="20"/>
      <x:c r="J375" s="20"/>
      <x:c r="K375" s="19"/>
      <x:c r="L375" s="19"/>
      <x:c r="M375" s="19"/>
    </x:row>
    <x:row r="376">
      <x:c r="A376" s="19"/>
      <x:c r="B376" s="19"/>
      <x:c r="C376" s="26"/>
      <x:c r="D376" s="19"/>
      <x:c r="E376" s="19"/>
      <x:c r="F376" s="19"/>
      <x:c r="G376" s="19"/>
      <x:c r="H376" s="19"/>
      <x:c r="I376" s="20"/>
      <x:c r="J376" s="20"/>
      <x:c r="K376" s="19"/>
      <x:c r="L376" s="19"/>
      <x:c r="M376" s="19"/>
    </x:row>
    <x:row r="377">
      <x:c r="A377" s="19"/>
      <x:c r="B377" s="19"/>
      <x:c r="C377" s="26"/>
      <x:c r="D377" s="19"/>
      <x:c r="E377" s="19"/>
      <x:c r="F377" s="19"/>
      <x:c r="G377" s="19"/>
      <x:c r="H377" s="19"/>
      <x:c r="I377" s="20"/>
      <x:c r="J377" s="20"/>
      <x:c r="K377" s="19"/>
      <x:c r="L377" s="19"/>
      <x:c r="M377" s="19"/>
    </x:row>
    <x:row r="378">
      <x:c r="A378" s="19"/>
      <x:c r="B378" s="19"/>
      <x:c r="C378" s="26"/>
      <x:c r="D378" s="19"/>
      <x:c r="E378" s="19"/>
      <x:c r="F378" s="19"/>
      <x:c r="G378" s="19"/>
      <x:c r="H378" s="19"/>
      <x:c r="I378" s="20"/>
      <x:c r="J378" s="20"/>
      <x:c r="K378" s="19"/>
      <x:c r="L378" s="19"/>
      <x:c r="M378" s="19"/>
    </x:row>
    <x:row r="379">
      <x:c r="A379" s="19"/>
      <x:c r="B379" s="19"/>
      <x:c r="C379" s="26"/>
      <x:c r="D379" s="19"/>
      <x:c r="E379" s="19"/>
      <x:c r="F379" s="19"/>
      <x:c r="G379" s="19"/>
      <x:c r="H379" s="19"/>
      <x:c r="I379" s="20"/>
      <x:c r="J379" s="20"/>
      <x:c r="K379" s="19"/>
      <x:c r="L379" s="19"/>
      <x:c r="M379" s="19"/>
    </x:row>
    <x:row r="380">
      <x:c r="A380" s="19"/>
      <x:c r="B380" s="19"/>
      <x:c r="C380" s="26"/>
      <x:c r="D380" s="19"/>
      <x:c r="E380" s="19"/>
      <x:c r="F380" s="19"/>
      <x:c r="G380" s="19"/>
      <x:c r="H380" s="19"/>
      <x:c r="I380" s="20"/>
      <x:c r="J380" s="20"/>
      <x:c r="K380" s="19"/>
      <x:c r="L380" s="19"/>
      <x:c r="M380" s="19"/>
    </x:row>
    <x:row r="381">
      <x:c r="A381" s="19"/>
      <x:c r="B381" s="19"/>
      <x:c r="C381" s="26"/>
      <x:c r="D381" s="19"/>
      <x:c r="E381" s="19"/>
      <x:c r="F381" s="19"/>
      <x:c r="G381" s="19"/>
      <x:c r="H381" s="19"/>
      <x:c r="I381" s="20"/>
      <x:c r="J381" s="20"/>
      <x:c r="K381" s="19"/>
      <x:c r="L381" s="19"/>
      <x:c r="M381" s="19"/>
    </x:row>
    <x:row r="382">
      <x:c r="A382" s="19"/>
      <x:c r="B382" s="19"/>
      <x:c r="C382" s="26"/>
      <x:c r="D382" s="19"/>
      <x:c r="E382" s="19"/>
      <x:c r="F382" s="19"/>
      <x:c r="G382" s="19"/>
      <x:c r="H382" s="19"/>
      <x:c r="I382" s="20"/>
      <x:c r="J382" s="20"/>
      <x:c r="K382" s="19"/>
      <x:c r="L382" s="19"/>
      <x:c r="M382" s="19"/>
    </x:row>
    <x:row r="383">
      <x:c r="A383" s="19"/>
      <x:c r="B383" s="19"/>
      <x:c r="C383" s="26"/>
      <x:c r="D383" s="19"/>
      <x:c r="E383" s="19"/>
      <x:c r="F383" s="19"/>
      <x:c r="G383" s="19"/>
      <x:c r="H383" s="19"/>
      <x:c r="I383" s="20"/>
      <x:c r="J383" s="20"/>
      <x:c r="K383" s="19"/>
      <x:c r="L383" s="19"/>
      <x:c r="M383" s="19"/>
    </x:row>
    <x:row r="384">
      <x:c r="A384" s="19"/>
      <x:c r="B384" s="19"/>
      <x:c r="C384" s="26"/>
      <x:c r="D384" s="19"/>
      <x:c r="E384" s="19"/>
      <x:c r="F384" s="19"/>
      <x:c r="G384" s="19"/>
      <x:c r="H384" s="19"/>
      <x:c r="I384" s="20"/>
      <x:c r="J384" s="20"/>
      <x:c r="K384" s="19"/>
      <x:c r="L384" s="19"/>
      <x:c r="M384" s="19"/>
    </x:row>
    <x:row r="385">
      <x:c r="A385" s="19"/>
      <x:c r="B385" s="19"/>
      <x:c r="C385" s="26"/>
      <x:c r="D385" s="19"/>
      <x:c r="E385" s="19"/>
      <x:c r="F385" s="19"/>
      <x:c r="G385" s="19"/>
      <x:c r="H385" s="19"/>
      <x:c r="I385" s="20"/>
      <x:c r="J385" s="20"/>
      <x:c r="K385" s="19"/>
      <x:c r="L385" s="19"/>
      <x:c r="M385" s="19"/>
    </x:row>
    <x:row r="386">
      <x:c r="A386" s="19"/>
      <x:c r="B386" s="19"/>
      <x:c r="C386" s="26"/>
      <x:c r="D386" s="19"/>
      <x:c r="E386" s="19"/>
      <x:c r="F386" s="19"/>
      <x:c r="G386" s="19"/>
      <x:c r="H386" s="19"/>
      <x:c r="I386" s="20"/>
      <x:c r="J386" s="20"/>
      <x:c r="K386" s="19"/>
      <x:c r="L386" s="19"/>
      <x:c r="M386" s="19"/>
    </x:row>
    <x:row r="387">
      <x:c r="A387" s="19"/>
      <x:c r="B387" s="19"/>
      <x:c r="C387" s="26"/>
      <x:c r="D387" s="19"/>
      <x:c r="E387" s="19"/>
      <x:c r="F387" s="19"/>
      <x:c r="G387" s="19"/>
      <x:c r="H387" s="19"/>
      <x:c r="I387" s="20"/>
      <x:c r="J387" s="20"/>
      <x:c r="K387" s="19"/>
      <x:c r="L387" s="19"/>
      <x:c r="M387" s="19"/>
    </x:row>
    <x:row r="388">
      <x:c r="A388" s="19"/>
      <x:c r="B388" s="19"/>
      <x:c r="C388" s="26"/>
      <x:c r="D388" s="19"/>
      <x:c r="E388" s="19"/>
      <x:c r="F388" s="19"/>
      <x:c r="G388" s="19"/>
      <x:c r="H388" s="19"/>
      <x:c r="I388" s="20"/>
      <x:c r="J388" s="20"/>
      <x:c r="K388" s="19"/>
      <x:c r="L388" s="19"/>
      <x:c r="M388" s="19"/>
    </x:row>
    <x:row r="389">
      <x:c r="A389" s="19"/>
      <x:c r="B389" s="19"/>
      <x:c r="C389" s="26"/>
      <x:c r="D389" s="19"/>
      <x:c r="E389" s="19"/>
      <x:c r="F389" s="19"/>
      <x:c r="G389" s="19"/>
      <x:c r="H389" s="19"/>
      <x:c r="I389" s="20"/>
      <x:c r="J389" s="20"/>
      <x:c r="K389" s="19"/>
      <x:c r="L389" s="19"/>
      <x:c r="M389" s="19"/>
    </x:row>
    <x:row r="390">
      <x:c r="A390" s="19"/>
      <x:c r="B390" s="19"/>
      <x:c r="C390" s="26"/>
      <x:c r="D390" s="19"/>
      <x:c r="E390" s="19"/>
      <x:c r="F390" s="19"/>
      <x:c r="G390" s="19"/>
      <x:c r="H390" s="19"/>
      <x:c r="I390" s="20"/>
      <x:c r="J390" s="20"/>
      <x:c r="K390" s="19"/>
      <x:c r="L390" s="19"/>
      <x:c r="M390" s="19"/>
    </x:row>
    <x:row r="391">
      <x:c r="A391" s="19"/>
      <x:c r="B391" s="19"/>
      <x:c r="C391" s="26"/>
      <x:c r="D391" s="19"/>
      <x:c r="E391" s="19"/>
      <x:c r="F391" s="19"/>
      <x:c r="G391" s="19"/>
      <x:c r="H391" s="19"/>
      <x:c r="I391" s="20"/>
      <x:c r="J391" s="20"/>
      <x:c r="K391" s="19"/>
      <x:c r="L391" s="19"/>
      <x:c r="M391" s="19"/>
    </x:row>
    <x:row r="392">
      <x:c r="A392" s="19"/>
      <x:c r="B392" s="19"/>
      <x:c r="C392" s="26"/>
      <x:c r="D392" s="19"/>
      <x:c r="E392" s="19"/>
      <x:c r="F392" s="19"/>
      <x:c r="G392" s="19"/>
      <x:c r="H392" s="19"/>
      <x:c r="I392" s="20"/>
      <x:c r="J392" s="20"/>
      <x:c r="K392" s="19"/>
      <x:c r="L392" s="19"/>
      <x:c r="M392" s="19"/>
    </x:row>
    <x:row r="393">
      <x:c r="A393" s="19"/>
      <x:c r="B393" s="19"/>
      <x:c r="C393" s="26"/>
      <x:c r="D393" s="19"/>
      <x:c r="E393" s="19"/>
      <x:c r="F393" s="19"/>
      <x:c r="G393" s="19"/>
      <x:c r="H393" s="19"/>
      <x:c r="I393" s="20"/>
      <x:c r="J393" s="20"/>
      <x:c r="K393" s="19"/>
      <x:c r="L393" s="19"/>
      <x:c r="M393" s="19"/>
    </x:row>
    <x:row r="394">
      <x:c r="A394" s="19"/>
      <x:c r="B394" s="19"/>
      <x:c r="C394" s="26"/>
      <x:c r="D394" s="19"/>
      <x:c r="E394" s="19"/>
      <x:c r="F394" s="19"/>
      <x:c r="G394" s="19"/>
      <x:c r="H394" s="19"/>
      <x:c r="I394" s="20"/>
      <x:c r="J394" s="20"/>
      <x:c r="K394" s="19"/>
      <x:c r="L394" s="19"/>
      <x:c r="M394" s="19"/>
    </x:row>
    <x:row r="395">
      <x:c r="A395" s="19"/>
      <x:c r="B395" s="19"/>
      <x:c r="C395" s="26"/>
      <x:c r="D395" s="19"/>
      <x:c r="E395" s="19"/>
      <x:c r="F395" s="19"/>
      <x:c r="G395" s="19"/>
      <x:c r="H395" s="19"/>
      <x:c r="I395" s="20"/>
      <x:c r="J395" s="20"/>
      <x:c r="K395" s="19"/>
      <x:c r="L395" s="19"/>
      <x:c r="M395" s="19"/>
    </x:row>
    <x:row r="396">
      <x:c r="A396" s="19"/>
      <x:c r="B396" s="19"/>
      <x:c r="C396" s="26"/>
      <x:c r="D396" s="19"/>
      <x:c r="E396" s="19"/>
      <x:c r="F396" s="19"/>
      <x:c r="G396" s="19"/>
      <x:c r="H396" s="19"/>
      <x:c r="I396" s="20"/>
      <x:c r="J396" s="20"/>
      <x:c r="K396" s="19"/>
      <x:c r="L396" s="19"/>
      <x:c r="M396" s="19"/>
    </x:row>
    <x:row r="397">
      <x:c r="A397" s="19"/>
      <x:c r="B397" s="19"/>
      <x:c r="C397" s="26"/>
      <x:c r="D397" s="19"/>
      <x:c r="E397" s="19"/>
      <x:c r="F397" s="19"/>
      <x:c r="G397" s="19"/>
      <x:c r="H397" s="19"/>
      <x:c r="I397" s="20"/>
      <x:c r="J397" s="20"/>
      <x:c r="K397" s="19"/>
      <x:c r="L397" s="19"/>
      <x:c r="M397" s="19"/>
    </x:row>
    <x:row r="398">
      <x:c r="A398" s="19"/>
      <x:c r="B398" s="19"/>
      <x:c r="C398" s="26"/>
      <x:c r="D398" s="19"/>
      <x:c r="E398" s="19"/>
      <x:c r="F398" s="19"/>
      <x:c r="G398" s="19"/>
      <x:c r="H398" s="19"/>
      <x:c r="I398" s="20"/>
      <x:c r="J398" s="20"/>
      <x:c r="K398" s="19"/>
      <x:c r="L398" s="19"/>
      <x:c r="M398" s="19"/>
    </x:row>
    <x:row r="399">
      <x:c r="A399" s="19"/>
      <x:c r="B399" s="19"/>
      <x:c r="C399" s="26"/>
      <x:c r="D399" s="19"/>
      <x:c r="E399" s="19"/>
      <x:c r="F399" s="19"/>
      <x:c r="G399" s="19"/>
      <x:c r="H399" s="19"/>
      <x:c r="I399" s="20"/>
      <x:c r="J399" s="20"/>
      <x:c r="K399" s="19"/>
      <x:c r="L399" s="19"/>
      <x:c r="M399" s="19"/>
    </x:row>
    <x:row r="400">
      <x:c r="A400" s="19"/>
      <x:c r="B400" s="19"/>
      <x:c r="C400" s="26"/>
      <x:c r="D400" s="19"/>
      <x:c r="E400" s="19"/>
      <x:c r="F400" s="19"/>
      <x:c r="G400" s="19"/>
      <x:c r="H400" s="19"/>
      <x:c r="I400" s="20"/>
      <x:c r="J400" s="20"/>
      <x:c r="K400" s="19"/>
      <x:c r="L400" s="19"/>
      <x:c r="M400" s="19"/>
    </x:row>
    <x:row r="401">
      <x:c r="A401" s="19"/>
      <x:c r="B401" s="19"/>
      <x:c r="C401" s="26"/>
      <x:c r="D401" s="19"/>
      <x:c r="E401" s="19"/>
      <x:c r="F401" s="19"/>
      <x:c r="G401" s="19"/>
      <x:c r="H401" s="19"/>
      <x:c r="I401" s="20"/>
      <x:c r="J401" s="20"/>
      <x:c r="K401" s="19"/>
      <x:c r="L401" s="19"/>
      <x:c r="M401" s="19"/>
    </x:row>
    <x:row r="402">
      <x:c r="A402" s="19"/>
      <x:c r="B402" s="19"/>
      <x:c r="C402" s="26"/>
      <x:c r="D402" s="19"/>
      <x:c r="E402" s="19"/>
      <x:c r="F402" s="19"/>
      <x:c r="G402" s="19"/>
      <x:c r="H402" s="19"/>
      <x:c r="I402" s="20"/>
      <x:c r="J402" s="20"/>
      <x:c r="K402" s="19"/>
      <x:c r="L402" s="19"/>
      <x:c r="M402" s="19"/>
    </x:row>
    <x:row r="403">
      <x:c r="A403" s="19"/>
      <x:c r="B403" s="19"/>
      <x:c r="C403" s="26"/>
      <x:c r="D403" s="19"/>
      <x:c r="E403" s="19"/>
      <x:c r="F403" s="19"/>
      <x:c r="G403" s="19"/>
      <x:c r="H403" s="19"/>
      <x:c r="I403" s="20"/>
      <x:c r="J403" s="20"/>
      <x:c r="K403" s="19"/>
      <x:c r="L403" s="19"/>
      <x:c r="M403" s="19"/>
    </x:row>
    <x:row r="404">
      <x:c r="A404" s="19"/>
      <x:c r="B404" s="19"/>
      <x:c r="C404" s="26"/>
      <x:c r="D404" s="19"/>
      <x:c r="E404" s="19"/>
      <x:c r="F404" s="19"/>
      <x:c r="G404" s="19"/>
      <x:c r="H404" s="19"/>
      <x:c r="I404" s="20"/>
      <x:c r="J404" s="20"/>
      <x:c r="K404" s="19"/>
      <x:c r="L404" s="19"/>
      <x:c r="M404" s="19"/>
    </x:row>
    <x:row r="405">
      <x:c r="A405" s="19"/>
      <x:c r="B405" s="19"/>
      <x:c r="C405" s="26"/>
      <x:c r="D405" s="19"/>
      <x:c r="E405" s="19"/>
      <x:c r="F405" s="19"/>
      <x:c r="G405" s="19"/>
      <x:c r="H405" s="19"/>
      <x:c r="I405" s="20"/>
      <x:c r="J405" s="20"/>
      <x:c r="K405" s="19"/>
      <x:c r="L405" s="19"/>
      <x:c r="M405" s="19"/>
    </x:row>
    <x:row r="406">
      <x:c r="A406" s="19"/>
      <x:c r="B406" s="19"/>
      <x:c r="C406" s="26"/>
      <x:c r="D406" s="19"/>
      <x:c r="E406" s="19"/>
      <x:c r="F406" s="19"/>
      <x:c r="G406" s="19"/>
      <x:c r="H406" s="19"/>
      <x:c r="I406" s="20"/>
      <x:c r="J406" s="20"/>
      <x:c r="K406" s="19"/>
      <x:c r="L406" s="19"/>
      <x:c r="M406" s="19"/>
    </x:row>
    <x:row r="407">
      <x:c r="A407" s="19"/>
      <x:c r="B407" s="19"/>
      <x:c r="C407" s="26"/>
      <x:c r="D407" s="19"/>
      <x:c r="E407" s="19"/>
      <x:c r="F407" s="19"/>
      <x:c r="G407" s="19"/>
      <x:c r="H407" s="19"/>
      <x:c r="I407" s="20"/>
      <x:c r="J407" s="20"/>
      <x:c r="K407" s="19"/>
      <x:c r="L407" s="19"/>
      <x:c r="M407" s="19"/>
    </x:row>
    <x:row r="408">
      <x:c r="A408" s="19"/>
      <x:c r="B408" s="19"/>
      <x:c r="C408" s="26"/>
      <x:c r="D408" s="19"/>
      <x:c r="E408" s="19"/>
      <x:c r="F408" s="19"/>
      <x:c r="G408" s="19"/>
      <x:c r="H408" s="19"/>
      <x:c r="I408" s="20"/>
      <x:c r="J408" s="20"/>
      <x:c r="K408" s="19"/>
      <x:c r="L408" s="19"/>
      <x:c r="M408" s="19"/>
    </x:row>
    <x:row r="409">
      <x:c r="A409" s="19"/>
      <x:c r="B409" s="19"/>
      <x:c r="C409" s="26"/>
      <x:c r="D409" s="19"/>
      <x:c r="E409" s="19"/>
      <x:c r="F409" s="19"/>
      <x:c r="G409" s="19"/>
      <x:c r="H409" s="19"/>
      <x:c r="I409" s="20"/>
      <x:c r="J409" s="20"/>
      <x:c r="K409" s="19"/>
      <x:c r="L409" s="19"/>
      <x:c r="M409" s="19"/>
    </x:row>
    <x:row r="410">
      <x:c r="A410" s="19"/>
      <x:c r="B410" s="19"/>
      <x:c r="C410" s="26"/>
      <x:c r="D410" s="19"/>
      <x:c r="E410" s="19"/>
      <x:c r="F410" s="19"/>
      <x:c r="G410" s="19"/>
      <x:c r="H410" s="19"/>
      <x:c r="I410" s="20"/>
      <x:c r="J410" s="20"/>
      <x:c r="K410" s="19"/>
      <x:c r="L410" s="19"/>
      <x:c r="M410" s="19"/>
    </x:row>
    <x:row r="411">
      <x:c r="A411" s="19"/>
      <x:c r="B411" s="19"/>
      <x:c r="C411" s="26"/>
      <x:c r="D411" s="19"/>
      <x:c r="E411" s="19"/>
      <x:c r="F411" s="19"/>
      <x:c r="G411" s="19"/>
      <x:c r="H411" s="19"/>
      <x:c r="I411" s="20"/>
      <x:c r="J411" s="20"/>
      <x:c r="K411" s="19"/>
      <x:c r="L411" s="19"/>
      <x:c r="M411" s="19"/>
    </x:row>
    <x:row r="412">
      <x:c r="A412" s="19"/>
      <x:c r="B412" s="19"/>
      <x:c r="C412" s="26"/>
      <x:c r="D412" s="19"/>
      <x:c r="E412" s="19"/>
      <x:c r="F412" s="19"/>
      <x:c r="G412" s="19"/>
      <x:c r="H412" s="19"/>
      <x:c r="I412" s="20"/>
      <x:c r="J412" s="20"/>
      <x:c r="K412" s="19"/>
      <x:c r="L412" s="19"/>
      <x:c r="M412" s="19"/>
    </x:row>
    <x:row r="413">
      <x:c r="A413" s="19"/>
      <x:c r="B413" s="19"/>
      <x:c r="C413" s="26"/>
      <x:c r="D413" s="19"/>
      <x:c r="E413" s="19"/>
      <x:c r="F413" s="19"/>
      <x:c r="G413" s="19"/>
      <x:c r="H413" s="19"/>
      <x:c r="I413" s="20"/>
      <x:c r="J413" s="20"/>
      <x:c r="K413" s="19"/>
      <x:c r="L413" s="19"/>
      <x:c r="M413" s="19"/>
    </x:row>
    <x:row r="414">
      <x:c r="A414" s="19"/>
      <x:c r="B414" s="19"/>
      <x:c r="C414" s="26"/>
      <x:c r="D414" s="19"/>
      <x:c r="E414" s="19"/>
      <x:c r="F414" s="19"/>
      <x:c r="G414" s="19"/>
      <x:c r="H414" s="19"/>
      <x:c r="I414" s="20"/>
      <x:c r="J414" s="20"/>
      <x:c r="K414" s="19"/>
      <x:c r="L414" s="19"/>
      <x:c r="M414" s="19"/>
    </x:row>
    <x:row r="415">
      <x:c r="A415" s="19"/>
      <x:c r="B415" s="19"/>
      <x:c r="C415" s="26"/>
      <x:c r="D415" s="19"/>
      <x:c r="E415" s="19"/>
      <x:c r="F415" s="19"/>
      <x:c r="G415" s="19"/>
      <x:c r="H415" s="19"/>
      <x:c r="I415" s="20"/>
      <x:c r="J415" s="20"/>
      <x:c r="K415" s="19"/>
      <x:c r="L415" s="19"/>
      <x:c r="M415" s="19"/>
    </x:row>
    <x:row r="416">
      <x:c r="A416" s="19"/>
      <x:c r="B416" s="19"/>
      <x:c r="C416" s="26"/>
      <x:c r="D416" s="19"/>
      <x:c r="E416" s="19"/>
      <x:c r="F416" s="19"/>
      <x:c r="G416" s="19"/>
      <x:c r="H416" s="19"/>
      <x:c r="I416" s="20"/>
      <x:c r="J416" s="20"/>
      <x:c r="K416" s="19"/>
      <x:c r="L416" s="19"/>
      <x:c r="M416" s="19"/>
    </x:row>
    <x:row r="417">
      <x:c r="A417" s="19"/>
      <x:c r="B417" s="19"/>
      <x:c r="C417" s="26"/>
      <x:c r="D417" s="19"/>
      <x:c r="E417" s="19"/>
      <x:c r="F417" s="19"/>
      <x:c r="G417" s="19"/>
      <x:c r="H417" s="19"/>
      <x:c r="I417" s="20"/>
      <x:c r="J417" s="20"/>
      <x:c r="K417" s="19"/>
      <x:c r="L417" s="19"/>
      <x:c r="M417" s="19"/>
    </x:row>
    <x:row r="418">
      <x:c r="A418" s="19"/>
      <x:c r="B418" s="19"/>
      <x:c r="C418" s="26"/>
      <x:c r="D418" s="19"/>
      <x:c r="E418" s="19"/>
      <x:c r="F418" s="19"/>
      <x:c r="G418" s="19"/>
      <x:c r="H418" s="19"/>
      <x:c r="I418" s="20"/>
      <x:c r="J418" s="20"/>
      <x:c r="K418" s="19"/>
      <x:c r="L418" s="19"/>
      <x:c r="M418" s="19"/>
    </x:row>
    <x:row r="419">
      <x:c r="A419" s="19"/>
      <x:c r="B419" s="19"/>
      <x:c r="C419" s="26"/>
      <x:c r="D419" s="19"/>
      <x:c r="E419" s="19"/>
      <x:c r="F419" s="19"/>
      <x:c r="G419" s="19"/>
      <x:c r="H419" s="19"/>
      <x:c r="I419" s="20"/>
      <x:c r="J419" s="20"/>
      <x:c r="K419" s="19"/>
      <x:c r="L419" s="19"/>
      <x:c r="M419" s="19"/>
    </x:row>
    <x:row r="420">
      <x:c r="A420" s="19"/>
      <x:c r="B420" s="19"/>
      <x:c r="C420" s="26"/>
      <x:c r="D420" s="19"/>
      <x:c r="E420" s="19"/>
      <x:c r="F420" s="19"/>
      <x:c r="G420" s="19"/>
      <x:c r="H420" s="19"/>
      <x:c r="I420" s="20"/>
      <x:c r="J420" s="20"/>
      <x:c r="K420" s="19"/>
      <x:c r="L420" s="19"/>
      <x:c r="M420" s="19"/>
    </x:row>
    <x:row r="421">
      <x:c r="A421" s="19"/>
      <x:c r="B421" s="19"/>
      <x:c r="C421" s="26"/>
      <x:c r="D421" s="19"/>
      <x:c r="E421" s="19"/>
      <x:c r="F421" s="19"/>
      <x:c r="G421" s="19"/>
      <x:c r="H421" s="19"/>
      <x:c r="I421" s="20"/>
      <x:c r="J421" s="20"/>
      <x:c r="K421" s="19"/>
      <x:c r="L421" s="19"/>
      <x:c r="M421" s="19"/>
    </x:row>
    <x:row r="422">
      <x:c r="A422" s="19"/>
      <x:c r="B422" s="19"/>
      <x:c r="C422" s="26"/>
      <x:c r="D422" s="19"/>
      <x:c r="E422" s="19"/>
      <x:c r="F422" s="19"/>
      <x:c r="G422" s="19"/>
      <x:c r="H422" s="19"/>
      <x:c r="I422" s="20"/>
      <x:c r="J422" s="20"/>
      <x:c r="K422" s="19"/>
      <x:c r="L422" s="19"/>
      <x:c r="M422" s="19"/>
    </x:row>
    <x:row r="423">
      <x:c r="A423" s="19"/>
      <x:c r="B423" s="19"/>
      <x:c r="C423" s="26"/>
      <x:c r="D423" s="19"/>
      <x:c r="E423" s="19"/>
      <x:c r="F423" s="19"/>
      <x:c r="G423" s="19"/>
      <x:c r="H423" s="19"/>
      <x:c r="I423" s="20"/>
      <x:c r="J423" s="20"/>
      <x:c r="K423" s="19"/>
      <x:c r="L423" s="19"/>
      <x:c r="M423" s="19"/>
    </x:row>
    <x:row r="424">
      <x:c r="A424" s="19"/>
      <x:c r="B424" s="19"/>
      <x:c r="C424" s="26"/>
      <x:c r="D424" s="19"/>
      <x:c r="E424" s="19"/>
      <x:c r="F424" s="19"/>
      <x:c r="G424" s="19"/>
      <x:c r="H424" s="19"/>
      <x:c r="I424" s="20"/>
      <x:c r="J424" s="20"/>
      <x:c r="K424" s="19"/>
      <x:c r="L424" s="19"/>
      <x:c r="M424" s="19"/>
    </x:row>
    <x:row r="425">
      <x:c r="A425" s="19"/>
      <x:c r="B425" s="19"/>
      <x:c r="C425" s="26"/>
      <x:c r="D425" s="19"/>
      <x:c r="E425" s="19"/>
      <x:c r="F425" s="19"/>
      <x:c r="G425" s="19"/>
      <x:c r="H425" s="19"/>
      <x:c r="I425" s="20"/>
      <x:c r="J425" s="20"/>
      <x:c r="K425" s="19"/>
      <x:c r="L425" s="19"/>
      <x:c r="M425" s="19"/>
    </x:row>
    <x:row r="426">
      <x:c r="A426" s="19"/>
      <x:c r="B426" s="19"/>
      <x:c r="C426" s="26"/>
      <x:c r="D426" s="19"/>
      <x:c r="E426" s="19"/>
      <x:c r="F426" s="19"/>
      <x:c r="G426" s="19"/>
      <x:c r="H426" s="19"/>
      <x:c r="I426" s="20"/>
      <x:c r="J426" s="20"/>
      <x:c r="K426" s="19"/>
      <x:c r="L426" s="19"/>
      <x:c r="M426" s="19"/>
    </x:row>
    <x:row r="427">
      <x:c r="A427" s="19"/>
      <x:c r="B427" s="19"/>
      <x:c r="C427" s="26"/>
      <x:c r="D427" s="19"/>
      <x:c r="E427" s="19"/>
      <x:c r="F427" s="19"/>
      <x:c r="G427" s="19"/>
      <x:c r="H427" s="19"/>
      <x:c r="I427" s="20"/>
      <x:c r="J427" s="20"/>
      <x:c r="K427" s="19"/>
      <x:c r="L427" s="19"/>
      <x:c r="M427" s="19"/>
    </x:row>
    <x:row r="428">
      <x:c r="A428" s="19"/>
      <x:c r="B428" s="19"/>
      <x:c r="C428" s="26"/>
      <x:c r="D428" s="19"/>
      <x:c r="E428" s="19"/>
      <x:c r="F428" s="19"/>
      <x:c r="G428" s="19"/>
      <x:c r="H428" s="19"/>
      <x:c r="I428" s="20"/>
      <x:c r="J428" s="20"/>
      <x:c r="K428" s="19"/>
      <x:c r="L428" s="19"/>
      <x:c r="M428" s="19"/>
    </x:row>
    <x:row r="429">
      <x:c r="A429" s="19"/>
      <x:c r="B429" s="19"/>
      <x:c r="C429" s="26"/>
      <x:c r="D429" s="19"/>
      <x:c r="E429" s="19"/>
      <x:c r="F429" s="19"/>
      <x:c r="G429" s="19"/>
      <x:c r="H429" s="19"/>
      <x:c r="I429" s="20"/>
      <x:c r="J429" s="20"/>
      <x:c r="K429" s="19"/>
      <x:c r="L429" s="19"/>
      <x:c r="M429" s="19"/>
    </x:row>
    <x:row r="430">
      <x:c r="A430" s="19"/>
      <x:c r="B430" s="19"/>
      <x:c r="C430" s="26"/>
      <x:c r="D430" s="19"/>
      <x:c r="E430" s="19"/>
      <x:c r="F430" s="19"/>
      <x:c r="G430" s="19"/>
      <x:c r="H430" s="19"/>
      <x:c r="I430" s="20"/>
      <x:c r="J430" s="20"/>
      <x:c r="K430" s="19"/>
      <x:c r="L430" s="19"/>
      <x:c r="M430" s="19"/>
    </x:row>
    <x:row r="431">
      <x:c r="A431" s="19"/>
      <x:c r="B431" s="19"/>
      <x:c r="C431" s="26"/>
      <x:c r="D431" s="19"/>
      <x:c r="E431" s="19"/>
      <x:c r="F431" s="19"/>
      <x:c r="G431" s="19"/>
      <x:c r="H431" s="19"/>
      <x:c r="I431" s="20"/>
      <x:c r="J431" s="20"/>
      <x:c r="K431" s="19"/>
      <x:c r="L431" s="19"/>
      <x:c r="M431" s="19"/>
    </x:row>
    <x:row r="432">
      <x:c r="A432" s="19"/>
      <x:c r="B432" s="19"/>
      <x:c r="C432" s="26"/>
      <x:c r="D432" s="19"/>
      <x:c r="E432" s="19"/>
      <x:c r="F432" s="19"/>
      <x:c r="G432" s="19"/>
      <x:c r="H432" s="19"/>
      <x:c r="I432" s="20"/>
      <x:c r="J432" s="20"/>
      <x:c r="K432" s="19"/>
      <x:c r="L432" s="19"/>
      <x:c r="M432" s="19"/>
    </x:row>
    <x:row r="433">
      <x:c r="A433" s="19"/>
      <x:c r="B433" s="19"/>
      <x:c r="C433" s="26"/>
      <x:c r="D433" s="19"/>
      <x:c r="E433" s="19"/>
      <x:c r="F433" s="19"/>
      <x:c r="G433" s="19"/>
      <x:c r="H433" s="19"/>
      <x:c r="I433" s="20"/>
      <x:c r="J433" s="20"/>
      <x:c r="K433" s="19"/>
      <x:c r="L433" s="19"/>
      <x:c r="M433" s="19"/>
    </x:row>
    <x:row r="434">
      <x:c r="A434" s="19"/>
      <x:c r="B434" s="19"/>
      <x:c r="C434" s="26"/>
      <x:c r="D434" s="19"/>
      <x:c r="E434" s="19"/>
      <x:c r="F434" s="19"/>
      <x:c r="G434" s="19"/>
      <x:c r="H434" s="19"/>
      <x:c r="I434" s="20"/>
      <x:c r="J434" s="20"/>
      <x:c r="K434" s="19"/>
      <x:c r="L434" s="19"/>
      <x:c r="M434" s="19"/>
    </x:row>
    <x:row r="435">
      <x:c r="A435" s="19"/>
      <x:c r="B435" s="19"/>
      <x:c r="C435" s="26"/>
      <x:c r="D435" s="19"/>
      <x:c r="E435" s="19"/>
      <x:c r="F435" s="19"/>
      <x:c r="G435" s="19"/>
      <x:c r="H435" s="19"/>
      <x:c r="I435" s="20"/>
      <x:c r="J435" s="20"/>
      <x:c r="K435" s="19"/>
      <x:c r="L435" s="19"/>
      <x:c r="M435" s="19"/>
    </x:row>
    <x:row r="436">
      <x:c r="A436" s="19"/>
      <x:c r="B436" s="19"/>
      <x:c r="C436" s="26"/>
      <x:c r="D436" s="19"/>
      <x:c r="E436" s="19"/>
      <x:c r="F436" s="19"/>
      <x:c r="G436" s="19"/>
      <x:c r="H436" s="19"/>
      <x:c r="I436" s="20"/>
      <x:c r="J436" s="20"/>
      <x:c r="K436" s="19"/>
      <x:c r="L436" s="19"/>
      <x:c r="M436" s="19"/>
    </x:row>
    <x:row r="437">
      <x:c r="A437" s="19"/>
      <x:c r="B437" s="19"/>
      <x:c r="C437" s="26"/>
      <x:c r="D437" s="19"/>
      <x:c r="E437" s="19"/>
      <x:c r="F437" s="19"/>
      <x:c r="G437" s="19"/>
      <x:c r="H437" s="19"/>
      <x:c r="I437" s="20"/>
      <x:c r="J437" s="20"/>
      <x:c r="K437" s="19"/>
      <x:c r="L437" s="19"/>
      <x:c r="M437" s="19"/>
    </x:row>
    <x:row r="438">
      <x:c r="A438" s="19"/>
      <x:c r="B438" s="19"/>
      <x:c r="C438" s="26"/>
      <x:c r="D438" s="19"/>
      <x:c r="E438" s="19"/>
      <x:c r="F438" s="19"/>
      <x:c r="G438" s="19"/>
      <x:c r="H438" s="19"/>
      <x:c r="I438" s="20"/>
      <x:c r="J438" s="20"/>
      <x:c r="K438" s="19"/>
      <x:c r="L438" s="19"/>
      <x:c r="M438" s="19"/>
    </x:row>
    <x:row r="439">
      <x:c r="A439" s="19"/>
      <x:c r="B439" s="19"/>
      <x:c r="C439" s="26"/>
      <x:c r="D439" s="19"/>
      <x:c r="E439" s="19"/>
      <x:c r="F439" s="19"/>
      <x:c r="G439" s="19"/>
      <x:c r="H439" s="19"/>
      <x:c r="I439" s="20"/>
      <x:c r="J439" s="20"/>
      <x:c r="K439" s="19"/>
      <x:c r="L439" s="19"/>
      <x:c r="M439" s="19"/>
    </x:row>
    <x:row r="440">
      <x:c r="A440" s="19"/>
      <x:c r="B440" s="19"/>
      <x:c r="C440" s="26"/>
      <x:c r="D440" s="19"/>
      <x:c r="E440" s="19"/>
      <x:c r="F440" s="19"/>
      <x:c r="G440" s="19"/>
      <x:c r="H440" s="19"/>
      <x:c r="I440" s="20"/>
      <x:c r="J440" s="20"/>
      <x:c r="K440" s="19"/>
      <x:c r="L440" s="19"/>
      <x:c r="M440" s="19"/>
    </x:row>
    <x:row r="441">
      <x:c r="A441" s="19"/>
      <x:c r="B441" s="19"/>
      <x:c r="C441" s="26"/>
      <x:c r="D441" s="19"/>
      <x:c r="E441" s="19"/>
      <x:c r="F441" s="19"/>
      <x:c r="G441" s="19"/>
      <x:c r="H441" s="19"/>
      <x:c r="I441" s="20"/>
      <x:c r="J441" s="20"/>
      <x:c r="K441" s="19"/>
      <x:c r="L441" s="19"/>
      <x:c r="M441" s="19"/>
    </x:row>
    <x:row r="442">
      <x:c r="A442" s="19"/>
      <x:c r="B442" s="19"/>
      <x:c r="C442" s="26"/>
      <x:c r="D442" s="19"/>
      <x:c r="E442" s="19"/>
      <x:c r="F442" s="19"/>
      <x:c r="G442" s="19"/>
      <x:c r="H442" s="19"/>
      <x:c r="I442" s="20"/>
      <x:c r="J442" s="20"/>
      <x:c r="K442" s="19"/>
      <x:c r="L442" s="19"/>
      <x:c r="M442" s="19"/>
    </x:row>
    <x:row r="443">
      <x:c r="A443" s="19"/>
      <x:c r="B443" s="19"/>
      <x:c r="C443" s="26"/>
      <x:c r="D443" s="19"/>
      <x:c r="E443" s="19"/>
      <x:c r="F443" s="19"/>
      <x:c r="G443" s="19"/>
      <x:c r="H443" s="19"/>
      <x:c r="I443" s="20"/>
      <x:c r="J443" s="20"/>
      <x:c r="K443" s="19"/>
      <x:c r="L443" s="19"/>
      <x:c r="M443" s="19"/>
    </x:row>
    <x:row r="444">
      <x:c r="A444" s="19"/>
      <x:c r="B444" s="19"/>
      <x:c r="C444" s="26"/>
      <x:c r="D444" s="19"/>
      <x:c r="E444" s="19"/>
      <x:c r="F444" s="19"/>
      <x:c r="G444" s="19"/>
      <x:c r="H444" s="19"/>
      <x:c r="I444" s="20"/>
      <x:c r="J444" s="20"/>
      <x:c r="K444" s="19"/>
      <x:c r="L444" s="19"/>
      <x:c r="M444" s="19"/>
    </x:row>
    <x:row r="445">
      <x:c r="A445" s="19"/>
      <x:c r="B445" s="19"/>
      <x:c r="C445" s="26"/>
      <x:c r="D445" s="19"/>
      <x:c r="E445" s="19"/>
      <x:c r="F445" s="19"/>
      <x:c r="G445" s="19"/>
      <x:c r="H445" s="19"/>
      <x:c r="I445" s="20"/>
      <x:c r="J445" s="20"/>
      <x:c r="K445" s="19"/>
      <x:c r="L445" s="19"/>
      <x:c r="M445" s="19"/>
    </x:row>
    <x:row r="446">
      <x:c r="A446" s="19"/>
      <x:c r="B446" s="19"/>
      <x:c r="C446" s="26"/>
      <x:c r="D446" s="19"/>
      <x:c r="E446" s="19"/>
      <x:c r="F446" s="19"/>
      <x:c r="G446" s="19"/>
      <x:c r="H446" s="19"/>
      <x:c r="I446" s="20"/>
      <x:c r="J446" s="20"/>
      <x:c r="K446" s="19"/>
      <x:c r="L446" s="19"/>
      <x:c r="M446" s="19"/>
    </x:row>
    <x:row r="447">
      <x:c r="A447" s="19"/>
      <x:c r="B447" s="19"/>
      <x:c r="C447" s="26"/>
      <x:c r="D447" s="19"/>
      <x:c r="E447" s="19"/>
      <x:c r="F447" s="19"/>
      <x:c r="G447" s="19"/>
      <x:c r="H447" s="19"/>
      <x:c r="I447" s="20"/>
      <x:c r="J447" s="20"/>
      <x:c r="K447" s="19"/>
      <x:c r="L447" s="19"/>
      <x:c r="M447" s="19"/>
    </x:row>
    <x:row r="448">
      <x:c r="A448" s="19"/>
      <x:c r="B448" s="19"/>
      <x:c r="C448" s="26"/>
      <x:c r="D448" s="19"/>
      <x:c r="E448" s="19"/>
      <x:c r="F448" s="19"/>
      <x:c r="G448" s="19"/>
      <x:c r="H448" s="19"/>
      <x:c r="I448" s="20"/>
      <x:c r="J448" s="20"/>
      <x:c r="K448" s="19"/>
      <x:c r="L448" s="19"/>
      <x:c r="M448" s="19"/>
    </x:row>
    <x:row r="449">
      <x:c r="A449" s="19"/>
      <x:c r="B449" s="19"/>
      <x:c r="C449" s="26"/>
      <x:c r="D449" s="19"/>
      <x:c r="E449" s="19"/>
      <x:c r="F449" s="19"/>
      <x:c r="G449" s="19"/>
      <x:c r="H449" s="19"/>
      <x:c r="I449" s="20"/>
      <x:c r="J449" s="20"/>
      <x:c r="K449" s="19"/>
      <x:c r="L449" s="19"/>
      <x:c r="M449" s="19"/>
    </x:row>
    <x:row r="450">
      <x:c r="A450" s="19"/>
      <x:c r="B450" s="19"/>
      <x:c r="C450" s="26"/>
      <x:c r="D450" s="19"/>
      <x:c r="E450" s="19"/>
      <x:c r="F450" s="19"/>
      <x:c r="G450" s="19"/>
      <x:c r="H450" s="19"/>
      <x:c r="I450" s="20"/>
      <x:c r="J450" s="20"/>
      <x:c r="K450" s="19"/>
      <x:c r="L450" s="19"/>
      <x:c r="M450" s="19"/>
    </x:row>
    <x:row r="451">
      <x:c r="A451" s="19"/>
      <x:c r="B451" s="19"/>
      <x:c r="C451" s="26"/>
      <x:c r="D451" s="19"/>
      <x:c r="E451" s="19"/>
      <x:c r="F451" s="19"/>
      <x:c r="G451" s="19"/>
      <x:c r="H451" s="19"/>
      <x:c r="I451" s="20"/>
      <x:c r="J451" s="20"/>
      <x:c r="K451" s="19"/>
      <x:c r="L451" s="19"/>
      <x:c r="M451" s="19"/>
    </x:row>
    <x:row r="452">
      <x:c r="A452" s="19"/>
      <x:c r="B452" s="19"/>
      <x:c r="C452" s="26"/>
      <x:c r="D452" s="19"/>
      <x:c r="E452" s="19"/>
      <x:c r="F452" s="19"/>
      <x:c r="G452" s="19"/>
      <x:c r="H452" s="19"/>
      <x:c r="I452" s="20"/>
      <x:c r="J452" s="20"/>
      <x:c r="K452" s="19"/>
      <x:c r="L452" s="19"/>
      <x:c r="M452" s="19"/>
    </x:row>
    <x:row r="453">
      <x:c r="A453" s="19"/>
      <x:c r="B453" s="19"/>
      <x:c r="C453" s="26"/>
      <x:c r="D453" s="19"/>
      <x:c r="E453" s="19"/>
      <x:c r="F453" s="19"/>
      <x:c r="G453" s="19"/>
      <x:c r="H453" s="19"/>
      <x:c r="I453" s="20"/>
      <x:c r="J453" s="20"/>
      <x:c r="K453" s="19"/>
      <x:c r="L453" s="19"/>
      <x:c r="M453" s="19"/>
    </x:row>
    <x:row r="454">
      <x:c r="A454" s="19"/>
      <x:c r="B454" s="19"/>
      <x:c r="C454" s="26"/>
      <x:c r="D454" s="19"/>
      <x:c r="E454" s="19"/>
      <x:c r="F454" s="19"/>
      <x:c r="G454" s="19"/>
      <x:c r="H454" s="19"/>
      <x:c r="I454" s="20"/>
      <x:c r="J454" s="20"/>
      <x:c r="K454" s="19"/>
      <x:c r="L454" s="19"/>
      <x:c r="M454" s="19"/>
    </x:row>
    <x:row r="455">
      <x:c r="A455" s="19"/>
      <x:c r="B455" s="19"/>
      <x:c r="C455" s="26"/>
      <x:c r="D455" s="19"/>
      <x:c r="E455" s="19"/>
      <x:c r="F455" s="19"/>
      <x:c r="G455" s="19"/>
      <x:c r="H455" s="19"/>
      <x:c r="I455" s="20"/>
      <x:c r="J455" s="20"/>
      <x:c r="K455" s="19"/>
      <x:c r="L455" s="19"/>
      <x:c r="M455" s="19"/>
    </x:row>
    <x:row r="456">
      <x:c r="A456" s="19"/>
      <x:c r="B456" s="19"/>
      <x:c r="C456" s="26"/>
      <x:c r="D456" s="19"/>
      <x:c r="E456" s="19"/>
      <x:c r="F456" s="19"/>
      <x:c r="G456" s="19"/>
      <x:c r="H456" s="19"/>
      <x:c r="I456" s="20"/>
      <x:c r="J456" s="20"/>
      <x:c r="K456" s="19"/>
      <x:c r="L456" s="19"/>
      <x:c r="M456" s="19"/>
    </x:row>
    <x:row r="457">
      <x:c r="A457" s="19"/>
      <x:c r="B457" s="19"/>
      <x:c r="C457" s="26"/>
      <x:c r="D457" s="19"/>
      <x:c r="E457" s="19"/>
      <x:c r="F457" s="19"/>
      <x:c r="G457" s="19"/>
      <x:c r="H457" s="19"/>
      <x:c r="I457" s="20"/>
      <x:c r="J457" s="20"/>
      <x:c r="K457" s="19"/>
      <x:c r="L457" s="19"/>
      <x:c r="M457" s="19"/>
    </x:row>
    <x:row r="458">
      <x:c r="A458" s="19"/>
      <x:c r="B458" s="19"/>
      <x:c r="C458" s="26"/>
      <x:c r="D458" s="19"/>
      <x:c r="E458" s="19"/>
      <x:c r="F458" s="19"/>
      <x:c r="G458" s="19"/>
      <x:c r="H458" s="19"/>
      <x:c r="I458" s="20"/>
      <x:c r="J458" s="20"/>
      <x:c r="K458" s="19"/>
      <x:c r="L458" s="19"/>
      <x:c r="M458" s="19"/>
    </x:row>
    <x:row r="459">
      <x:c r="A459" s="19"/>
      <x:c r="B459" s="19"/>
      <x:c r="C459" s="26"/>
      <x:c r="D459" s="19"/>
      <x:c r="E459" s="19"/>
      <x:c r="F459" s="19"/>
      <x:c r="G459" s="19"/>
      <x:c r="H459" s="19"/>
      <x:c r="I459" s="20"/>
      <x:c r="J459" s="20"/>
      <x:c r="K459" s="19"/>
      <x:c r="L459" s="19"/>
      <x:c r="M459" s="19"/>
    </x:row>
    <x:row r="460">
      <x:c r="A460" s="19"/>
      <x:c r="B460" s="19"/>
      <x:c r="C460" s="26"/>
      <x:c r="D460" s="19"/>
      <x:c r="E460" s="19"/>
      <x:c r="F460" s="19"/>
      <x:c r="G460" s="19"/>
      <x:c r="H460" s="19"/>
      <x:c r="I460" s="20"/>
      <x:c r="J460" s="20"/>
      <x:c r="K460" s="19"/>
      <x:c r="L460" s="19"/>
      <x:c r="M460" s="19"/>
    </x:row>
    <x:row r="461">
      <x:c r="A461" s="19"/>
      <x:c r="B461" s="19"/>
      <x:c r="C461" s="26"/>
      <x:c r="D461" s="19"/>
      <x:c r="E461" s="19"/>
      <x:c r="F461" s="19"/>
      <x:c r="G461" s="19"/>
      <x:c r="H461" s="19"/>
      <x:c r="I461" s="20"/>
      <x:c r="J461" s="20"/>
      <x:c r="K461" s="19"/>
      <x:c r="L461" s="19"/>
      <x:c r="M461" s="19"/>
    </x:row>
    <x:row r="462">
      <x:c r="A462" s="19"/>
      <x:c r="B462" s="19"/>
      <x:c r="C462" s="26"/>
      <x:c r="D462" s="19"/>
      <x:c r="E462" s="19"/>
      <x:c r="F462" s="19"/>
      <x:c r="G462" s="19"/>
      <x:c r="H462" s="19"/>
      <x:c r="I462" s="20"/>
      <x:c r="J462" s="20"/>
      <x:c r="K462" s="19"/>
      <x:c r="L462" s="19"/>
      <x:c r="M462" s="19"/>
    </x:row>
    <x:row r="463">
      <x:c r="A463" s="19"/>
      <x:c r="B463" s="19"/>
      <x:c r="C463" s="26"/>
      <x:c r="D463" s="19"/>
      <x:c r="E463" s="19"/>
      <x:c r="F463" s="19"/>
      <x:c r="G463" s="19"/>
      <x:c r="H463" s="19"/>
      <x:c r="I463" s="20"/>
      <x:c r="J463" s="20"/>
      <x:c r="K463" s="19"/>
      <x:c r="L463" s="19"/>
      <x:c r="M463" s="19"/>
    </x:row>
    <x:row r="464">
      <x:c r="A464" s="19"/>
      <x:c r="B464" s="19"/>
      <x:c r="C464" s="26"/>
      <x:c r="D464" s="19"/>
      <x:c r="E464" s="19"/>
      <x:c r="F464" s="19"/>
      <x:c r="G464" s="19"/>
      <x:c r="H464" s="19"/>
      <x:c r="I464" s="20"/>
      <x:c r="J464" s="20"/>
      <x:c r="K464" s="19"/>
      <x:c r="L464" s="19"/>
      <x:c r="M464" s="19"/>
    </x:row>
    <x:row r="465">
      <x:c r="A465" s="19"/>
      <x:c r="B465" s="19"/>
      <x:c r="C465" s="26"/>
      <x:c r="D465" s="19"/>
      <x:c r="E465" s="19"/>
      <x:c r="F465" s="19"/>
      <x:c r="G465" s="19"/>
      <x:c r="H465" s="19"/>
      <x:c r="I465" s="20"/>
      <x:c r="J465" s="20"/>
      <x:c r="K465" s="19"/>
      <x:c r="L465" s="19"/>
      <x:c r="M465" s="19"/>
    </x:row>
    <x:row r="466">
      <x:c r="A466" s="19"/>
      <x:c r="B466" s="19"/>
      <x:c r="C466" s="26"/>
      <x:c r="D466" s="19"/>
      <x:c r="E466" s="19"/>
      <x:c r="F466" s="19"/>
      <x:c r="G466" s="19"/>
      <x:c r="H466" s="19"/>
      <x:c r="I466" s="20"/>
      <x:c r="J466" s="20"/>
      <x:c r="K466" s="19"/>
      <x:c r="L466" s="19"/>
      <x:c r="M466" s="19"/>
    </x:row>
    <x:row r="467">
      <x:c r="A467" s="19"/>
      <x:c r="B467" s="19"/>
      <x:c r="C467" s="26"/>
      <x:c r="D467" s="19"/>
      <x:c r="E467" s="19"/>
      <x:c r="F467" s="19"/>
      <x:c r="G467" s="19"/>
      <x:c r="H467" s="19"/>
      <x:c r="I467" s="20"/>
      <x:c r="J467" s="20"/>
      <x:c r="K467" s="19"/>
      <x:c r="L467" s="19"/>
      <x:c r="M467" s="19"/>
    </x:row>
    <x:row r="468">
      <x:c r="A468" s="19"/>
      <x:c r="B468" s="19"/>
      <x:c r="C468" s="26"/>
      <x:c r="D468" s="19"/>
      <x:c r="E468" s="19"/>
      <x:c r="F468" s="19"/>
      <x:c r="G468" s="19"/>
      <x:c r="H468" s="19"/>
      <x:c r="I468" s="20"/>
      <x:c r="J468" s="20"/>
      <x:c r="K468" s="19"/>
      <x:c r="L468" s="19"/>
      <x:c r="M468" s="19"/>
    </x:row>
    <x:row r="469">
      <x:c r="A469" s="19"/>
      <x:c r="B469" s="19"/>
      <x:c r="C469" s="26"/>
      <x:c r="D469" s="19"/>
      <x:c r="E469" s="19"/>
      <x:c r="F469" s="19"/>
      <x:c r="G469" s="19"/>
      <x:c r="H469" s="19"/>
      <x:c r="I469" s="20"/>
      <x:c r="J469" s="20"/>
      <x:c r="K469" s="19"/>
      <x:c r="L469" s="19"/>
      <x:c r="M469" s="19"/>
    </x:row>
    <x:row r="470">
      <x:c r="A470" s="19"/>
      <x:c r="B470" s="19"/>
      <x:c r="C470" s="26"/>
      <x:c r="D470" s="19"/>
      <x:c r="E470" s="19"/>
      <x:c r="F470" s="19"/>
      <x:c r="G470" s="19"/>
      <x:c r="H470" s="19"/>
      <x:c r="I470" s="20"/>
      <x:c r="J470" s="20"/>
      <x:c r="K470" s="19"/>
      <x:c r="L470" s="19"/>
      <x:c r="M470" s="19"/>
    </x:row>
    <x:row r="471">
      <x:c r="A471" s="19"/>
      <x:c r="B471" s="19"/>
      <x:c r="C471" s="26"/>
      <x:c r="D471" s="19"/>
      <x:c r="E471" s="19"/>
      <x:c r="F471" s="19"/>
      <x:c r="G471" s="19"/>
      <x:c r="H471" s="19"/>
      <x:c r="I471" s="20"/>
      <x:c r="J471" s="20"/>
      <x:c r="K471" s="19"/>
      <x:c r="L471" s="19"/>
      <x:c r="M471" s="19"/>
    </x:row>
    <x:row r="472">
      <x:c r="A472" s="19"/>
      <x:c r="B472" s="19"/>
      <x:c r="C472" s="26"/>
      <x:c r="D472" s="19"/>
      <x:c r="E472" s="19"/>
      <x:c r="F472" s="19"/>
      <x:c r="G472" s="19"/>
      <x:c r="H472" s="19"/>
      <x:c r="I472" s="20"/>
      <x:c r="J472" s="20"/>
      <x:c r="K472" s="19"/>
      <x:c r="L472" s="19"/>
      <x:c r="M472" s="19"/>
    </x:row>
    <x:row r="473">
      <x:c r="A473" s="19"/>
      <x:c r="B473" s="19"/>
      <x:c r="C473" s="26"/>
      <x:c r="D473" s="19"/>
      <x:c r="E473" s="19"/>
      <x:c r="F473" s="19"/>
      <x:c r="G473" s="19"/>
      <x:c r="H473" s="19"/>
      <x:c r="I473" s="20"/>
      <x:c r="J473" s="20"/>
      <x:c r="K473" s="19"/>
      <x:c r="L473" s="19"/>
      <x:c r="M473" s="19"/>
    </x:row>
    <x:row r="474">
      <x:c r="A474" s="19"/>
      <x:c r="B474" s="19"/>
      <x:c r="C474" s="26"/>
      <x:c r="D474" s="19"/>
      <x:c r="E474" s="19"/>
      <x:c r="F474" s="19"/>
      <x:c r="G474" s="19"/>
      <x:c r="H474" s="19"/>
      <x:c r="I474" s="20"/>
      <x:c r="J474" s="20"/>
      <x:c r="K474" s="19"/>
      <x:c r="L474" s="19"/>
      <x:c r="M474" s="19"/>
    </x:row>
    <x:row r="475">
      <x:c r="A475" s="19"/>
      <x:c r="B475" s="19"/>
      <x:c r="C475" s="26"/>
      <x:c r="D475" s="19"/>
      <x:c r="E475" s="19"/>
      <x:c r="F475" s="19"/>
      <x:c r="G475" s="19"/>
      <x:c r="H475" s="19"/>
      <x:c r="I475" s="20"/>
      <x:c r="J475" s="20"/>
      <x:c r="K475" s="19"/>
      <x:c r="L475" s="19"/>
      <x:c r="M475" s="19"/>
    </x:row>
    <x:row r="476">
      <x:c r="A476" s="19"/>
      <x:c r="B476" s="19"/>
      <x:c r="C476" s="26"/>
      <x:c r="D476" s="19"/>
      <x:c r="E476" s="19"/>
      <x:c r="F476" s="19"/>
      <x:c r="G476" s="19"/>
      <x:c r="H476" s="19"/>
      <x:c r="I476" s="20"/>
      <x:c r="J476" s="20"/>
      <x:c r="K476" s="19"/>
      <x:c r="L476" s="19"/>
      <x:c r="M476" s="19"/>
    </x:row>
    <x:row r="477">
      <x:c r="A477" s="19"/>
      <x:c r="B477" s="19"/>
      <x:c r="C477" s="26"/>
      <x:c r="D477" s="19"/>
      <x:c r="E477" s="19"/>
      <x:c r="F477" s="19"/>
      <x:c r="G477" s="19"/>
      <x:c r="H477" s="19"/>
      <x:c r="I477" s="20"/>
      <x:c r="J477" s="20"/>
      <x:c r="K477" s="19"/>
      <x:c r="L477" s="19"/>
      <x:c r="M477" s="19"/>
    </x:row>
    <x:row r="478">
      <x:c r="A478" s="19"/>
      <x:c r="B478" s="19"/>
      <x:c r="C478" s="26"/>
      <x:c r="D478" s="19"/>
      <x:c r="E478" s="19"/>
      <x:c r="F478" s="19"/>
      <x:c r="G478" s="19"/>
      <x:c r="H478" s="19"/>
      <x:c r="I478" s="20"/>
      <x:c r="J478" s="20"/>
      <x:c r="K478" s="19"/>
      <x:c r="L478" s="19"/>
      <x:c r="M478" s="19"/>
    </x:row>
    <x:row r="479">
      <x:c r="A479" s="19"/>
      <x:c r="B479" s="19"/>
      <x:c r="C479" s="26"/>
      <x:c r="D479" s="19"/>
      <x:c r="E479" s="19"/>
      <x:c r="F479" s="19"/>
      <x:c r="G479" s="19"/>
      <x:c r="H479" s="19"/>
      <x:c r="I479" s="20"/>
      <x:c r="J479" s="20"/>
      <x:c r="K479" s="19"/>
      <x:c r="L479" s="19"/>
      <x:c r="M479" s="19"/>
    </x:row>
    <x:row r="480">
      <x:c r="A480" s="19"/>
      <x:c r="B480" s="19"/>
      <x:c r="C480" s="26"/>
      <x:c r="D480" s="19"/>
      <x:c r="E480" s="19"/>
      <x:c r="F480" s="19"/>
      <x:c r="G480" s="19"/>
      <x:c r="H480" s="19"/>
      <x:c r="I480" s="20"/>
      <x:c r="J480" s="20"/>
      <x:c r="K480" s="19"/>
      <x:c r="L480" s="19"/>
      <x:c r="M480" s="19"/>
    </x:row>
    <x:row r="481">
      <x:c r="A481" s="19"/>
      <x:c r="B481" s="19"/>
      <x:c r="C481" s="26"/>
      <x:c r="D481" s="19"/>
      <x:c r="E481" s="19"/>
      <x:c r="F481" s="19"/>
      <x:c r="G481" s="19"/>
      <x:c r="H481" s="19"/>
      <x:c r="I481" s="20"/>
      <x:c r="J481" s="20"/>
      <x:c r="K481" s="19"/>
      <x:c r="L481" s="19"/>
      <x:c r="M481" s="19"/>
    </x:row>
    <x:row r="482">
      <x:c r="A482" s="19"/>
      <x:c r="B482" s="19"/>
      <x:c r="C482" s="26"/>
      <x:c r="D482" s="19"/>
      <x:c r="E482" s="19"/>
      <x:c r="F482" s="19"/>
      <x:c r="G482" s="19"/>
      <x:c r="H482" s="19"/>
      <x:c r="I482" s="20"/>
      <x:c r="J482" s="20"/>
      <x:c r="K482" s="19"/>
      <x:c r="L482" s="19"/>
      <x:c r="M482" s="19"/>
    </x:row>
    <x:row r="483">
      <x:c r="A483" s="19"/>
      <x:c r="B483" s="19"/>
      <x:c r="C483" s="26"/>
      <x:c r="D483" s="19"/>
      <x:c r="E483" s="19"/>
      <x:c r="F483" s="19"/>
      <x:c r="G483" s="19"/>
      <x:c r="H483" s="19"/>
      <x:c r="I483" s="20"/>
      <x:c r="J483" s="20"/>
      <x:c r="K483" s="19"/>
      <x:c r="L483" s="19"/>
      <x:c r="M483" s="19"/>
    </x:row>
    <x:row r="484">
      <x:c r="A484" s="19"/>
      <x:c r="B484" s="19"/>
      <x:c r="C484" s="26"/>
      <x:c r="D484" s="19"/>
      <x:c r="E484" s="19"/>
      <x:c r="F484" s="19"/>
      <x:c r="G484" s="19"/>
      <x:c r="H484" s="19"/>
      <x:c r="I484" s="20"/>
      <x:c r="J484" s="20"/>
      <x:c r="K484" s="19"/>
      <x:c r="L484" s="19"/>
      <x:c r="M484" s="19"/>
    </x:row>
    <x:row r="485">
      <x:c r="A485" s="19"/>
      <x:c r="B485" s="19"/>
      <x:c r="C485" s="26"/>
      <x:c r="D485" s="19"/>
      <x:c r="E485" s="19"/>
      <x:c r="F485" s="19"/>
      <x:c r="G485" s="19"/>
      <x:c r="H485" s="19"/>
      <x:c r="I485" s="20"/>
      <x:c r="J485" s="20"/>
      <x:c r="K485" s="19"/>
      <x:c r="L485" s="19"/>
      <x:c r="M485" s="19"/>
    </x:row>
    <x:row r="486">
      <x:c r="A486" s="19"/>
      <x:c r="B486" s="19"/>
      <x:c r="C486" s="26"/>
      <x:c r="D486" s="19"/>
      <x:c r="E486" s="19"/>
      <x:c r="F486" s="19"/>
      <x:c r="G486" s="19"/>
      <x:c r="H486" s="19"/>
      <x:c r="I486" s="20"/>
      <x:c r="J486" s="20"/>
      <x:c r="K486" s="19"/>
      <x:c r="L486" s="19"/>
      <x:c r="M486" s="19"/>
    </x:row>
    <x:row r="487">
      <x:c r="A487" s="19"/>
      <x:c r="B487" s="19"/>
      <x:c r="C487" s="26"/>
      <x:c r="D487" s="19"/>
      <x:c r="E487" s="19"/>
      <x:c r="F487" s="19"/>
      <x:c r="G487" s="19"/>
      <x:c r="H487" s="19"/>
      <x:c r="I487" s="20"/>
      <x:c r="J487" s="20"/>
      <x:c r="K487" s="19"/>
      <x:c r="L487" s="19"/>
      <x:c r="M487" s="19"/>
    </x:row>
    <x:row r="488">
      <x:c r="A488" s="19"/>
      <x:c r="B488" s="19"/>
      <x:c r="C488" s="26"/>
      <x:c r="D488" s="19"/>
      <x:c r="E488" s="19"/>
      <x:c r="F488" s="19"/>
      <x:c r="G488" s="19"/>
      <x:c r="H488" s="19"/>
      <x:c r="I488" s="20"/>
      <x:c r="J488" s="20"/>
      <x:c r="K488" s="19"/>
      <x:c r="L488" s="19"/>
      <x:c r="M488" s="19"/>
    </x:row>
    <x:row r="489">
      <x:c r="A489" s="19"/>
      <x:c r="B489" s="19"/>
      <x:c r="C489" s="26"/>
      <x:c r="D489" s="19"/>
      <x:c r="E489" s="19"/>
      <x:c r="F489" s="19"/>
      <x:c r="G489" s="19"/>
      <x:c r="H489" s="19"/>
      <x:c r="I489" s="20"/>
      <x:c r="J489" s="20"/>
      <x:c r="K489" s="19"/>
      <x:c r="L489" s="19"/>
      <x:c r="M489" s="19"/>
    </x:row>
    <x:row r="490">
      <x:c r="A490" s="19"/>
      <x:c r="B490" s="19"/>
      <x:c r="C490" s="26"/>
      <x:c r="D490" s="19"/>
      <x:c r="E490" s="19"/>
      <x:c r="F490" s="19"/>
      <x:c r="G490" s="19"/>
      <x:c r="H490" s="19"/>
      <x:c r="I490" s="20"/>
      <x:c r="J490" s="20"/>
      <x:c r="K490" s="19"/>
      <x:c r="L490" s="19"/>
      <x:c r="M490" s="19"/>
    </x:row>
    <x:row r="491">
      <x:c r="A491" s="19"/>
      <x:c r="B491" s="19"/>
      <x:c r="C491" s="26"/>
      <x:c r="D491" s="19"/>
      <x:c r="E491" s="19"/>
      <x:c r="F491" s="19"/>
      <x:c r="G491" s="19"/>
      <x:c r="H491" s="19"/>
      <x:c r="I491" s="20"/>
      <x:c r="J491" s="20"/>
      <x:c r="K491" s="19"/>
      <x:c r="L491" s="19"/>
      <x:c r="M491" s="19"/>
    </x:row>
    <x:row r="492">
      <x:c r="A492" s="19"/>
      <x:c r="B492" s="19"/>
      <x:c r="C492" s="26"/>
      <x:c r="D492" s="19"/>
      <x:c r="E492" s="19"/>
      <x:c r="F492" s="19"/>
      <x:c r="G492" s="19"/>
      <x:c r="H492" s="19"/>
      <x:c r="I492" s="20"/>
      <x:c r="J492" s="20"/>
      <x:c r="K492" s="19"/>
      <x:c r="L492" s="19"/>
      <x:c r="M492" s="19"/>
    </x:row>
    <x:row r="493">
      <x:c r="A493" s="19"/>
      <x:c r="B493" s="19"/>
      <x:c r="C493" s="26"/>
      <x:c r="D493" s="19"/>
      <x:c r="E493" s="19"/>
      <x:c r="F493" s="19"/>
      <x:c r="G493" s="19"/>
      <x:c r="H493" s="19"/>
      <x:c r="I493" s="20"/>
      <x:c r="J493" s="20"/>
      <x:c r="K493" s="19"/>
      <x:c r="L493" s="19"/>
      <x:c r="M493" s="19"/>
    </x:row>
    <x:row r="494">
      <x:c r="A494" s="19"/>
      <x:c r="B494" s="19"/>
      <x:c r="C494" s="26"/>
      <x:c r="D494" s="19"/>
      <x:c r="E494" s="19"/>
      <x:c r="F494" s="19"/>
      <x:c r="G494" s="19"/>
      <x:c r="H494" s="19"/>
      <x:c r="I494" s="20"/>
      <x:c r="J494" s="20"/>
      <x:c r="K494" s="19"/>
      <x:c r="L494" s="19"/>
      <x:c r="M494" s="19"/>
    </x:row>
    <x:row r="495">
      <x:c r="A495" s="19"/>
      <x:c r="B495" s="19"/>
      <x:c r="C495" s="26"/>
      <x:c r="D495" s="19"/>
      <x:c r="E495" s="19"/>
      <x:c r="F495" s="19"/>
      <x:c r="G495" s="19"/>
      <x:c r="H495" s="19"/>
      <x:c r="I495" s="20"/>
      <x:c r="J495" s="20"/>
      <x:c r="K495" s="19"/>
      <x:c r="L495" s="19"/>
      <x:c r="M495" s="19"/>
    </x:row>
    <x:row r="496">
      <x:c r="A496" s="19"/>
      <x:c r="B496" s="19"/>
      <x:c r="C496" s="26"/>
      <x:c r="D496" s="19"/>
      <x:c r="E496" s="19"/>
      <x:c r="F496" s="19"/>
      <x:c r="G496" s="19"/>
      <x:c r="H496" s="19"/>
      <x:c r="I496" s="20"/>
      <x:c r="J496" s="20"/>
      <x:c r="K496" s="19"/>
      <x:c r="L496" s="19"/>
      <x:c r="M496" s="19"/>
    </x:row>
    <x:row r="497">
      <x:c r="A497" s="19"/>
      <x:c r="B497" s="19"/>
      <x:c r="C497" s="26"/>
      <x:c r="D497" s="19"/>
      <x:c r="E497" s="19"/>
      <x:c r="F497" s="19"/>
      <x:c r="G497" s="19"/>
      <x:c r="H497" s="19"/>
      <x:c r="I497" s="20"/>
      <x:c r="J497" s="20"/>
      <x:c r="K497" s="19"/>
      <x:c r="L497" s="19"/>
      <x:c r="M497" s="19"/>
    </x:row>
    <x:row r="498">
      <x:c r="A498" s="19"/>
      <x:c r="B498" s="19"/>
      <x:c r="C498" s="26"/>
      <x:c r="D498" s="19"/>
      <x:c r="E498" s="19"/>
      <x:c r="F498" s="19"/>
      <x:c r="G498" s="19"/>
      <x:c r="H498" s="19"/>
      <x:c r="I498" s="20"/>
      <x:c r="J498" s="20"/>
      <x:c r="K498" s="19"/>
      <x:c r="L498" s="19"/>
      <x:c r="M498" s="19"/>
    </x:row>
    <x:row r="499">
      <x:c r="A499" s="19"/>
      <x:c r="B499" s="19"/>
      <x:c r="C499" s="26"/>
      <x:c r="D499" s="19"/>
      <x:c r="E499" s="19"/>
      <x:c r="F499" s="19"/>
      <x:c r="G499" s="19"/>
      <x:c r="H499" s="19"/>
      <x:c r="I499" s="20"/>
      <x:c r="J499" s="20"/>
      <x:c r="K499" s="19"/>
      <x:c r="L499" s="19"/>
      <x:c r="M499" s="19"/>
    </x:row>
    <x:row r="500">
      <x:c r="A500" s="19"/>
      <x:c r="B500" s="19"/>
      <x:c r="C500" s="26"/>
      <x:c r="D500" s="19"/>
      <x:c r="E500" s="19"/>
      <x:c r="F500" s="19"/>
      <x:c r="G500" s="19"/>
      <x:c r="H500" s="19"/>
      <x:c r="I500" s="20"/>
      <x:c r="J500" s="20"/>
      <x:c r="K500" s="19"/>
      <x:c r="L500" s="19"/>
      <x:c r="M500" s="19"/>
    </x:row>
  </x:sheetData>
  <x:conditionalFormatting sqref="B2:B500">
    <x:cfRule type="expression" dxfId="132" priority="1">
      <x:formula>AND($A2&lt;&gt;"",B2="")</x:formula>
    </x:cfRule>
  </x:conditionalFormatting>
  <x:conditionalFormatting sqref="C2:C500">
    <x:cfRule type="expression" dxfId="133" priority="2">
      <x:formula>AND($A2&lt;&gt;"",C2="")</x:formula>
    </x:cfRule>
  </x:conditionalFormatting>
  <x:conditionalFormatting sqref="D2:D500">
    <x:cfRule type="expression" dxfId="134" priority="3">
      <x:formula>AND($A2&lt;&gt;"",D2="")</x:formula>
    </x:cfRule>
  </x:conditionalFormatting>
  <x:conditionalFormatting sqref="E2:E500">
    <x:cfRule type="expression" dxfId="135" priority="4">
      <x:formula>AND($A2&lt;&gt;"",E2="")</x:formula>
    </x:cfRule>
  </x:conditionalFormatting>
  <x:conditionalFormatting sqref="F2:F500">
    <x:cfRule type="expression" dxfId="136" priority="5">
      <x:formula>AND($A2&lt;&gt;"",F2="")</x:formula>
    </x:cfRule>
  </x:conditionalFormatting>
  <x:conditionalFormatting sqref="G2:G500">
    <x:cfRule type="expression" dxfId="137" priority="6">
      <x:formula>AND($A2&lt;&gt;"",G2="")</x:formula>
    </x:cfRule>
  </x:conditionalFormatting>
  <x:conditionalFormatting sqref="H2:H500">
    <x:cfRule type="expression" dxfId="138" priority="7">
      <x:formula>AND($A2&lt;&gt;"",H2="")</x:formula>
    </x:cfRule>
  </x:conditionalFormatting>
  <x:conditionalFormatting sqref="K2:K500">
    <x:cfRule type="expression" dxfId="139" priority="8">
      <x:formula>AND($A2&lt;&gt;"",K2="")</x:formula>
    </x:cfRule>
    <x:cfRule type="containsText" dxfId="140" priority="9" operator="containsText" text="failed"/>
    <x:cfRule type="containsText" dxfId="141" priority="10" operator="containsText" text="success"/>
  </x:conditionalFormatting>
  <x:dataValidations count="2">
    <x:dataValidation type="list" sqref="D2:D500">
      <x:formula1>"user,system,api"</x:formula1>
    </x:dataValidation>
    <x:dataValidation type="list" sqref="K2:K500">
      <x:formula1>"success,failed,skipped"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5e4c9ee35d48e8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16" hidden="0" customWidth="1"/>
    <x:col min="4" max="4" width="20" hidden="0" customWidth="1"/>
    <x:col min="5" max="5" width="14" hidden="0" customWidth="1"/>
    <x:col min="6" max="6" width="15" hidden="0" customWidth="1"/>
    <x:col min="7" max="7" width="15" hidden="0" customWidth="1"/>
    <x:col min="8" max="8" width="18" hidden="0" customWidth="1"/>
    <x:col min="9" max="9" width="19" hidden="0" customWidth="1"/>
    <x:col min="10" max="10" width="10" hidden="0" customWidth="1"/>
  </x:cols>
  <x:sheetData>
    <x:row r="1" ht="46" customHeight="1">
      <x:c r="A1" s="12" t="str">
        <x:v>زمان محاسبه *
(snapshot_at)</x:v>
      </x:c>
      <x:c r="B1" s="13" t="str">
        <x:v>کد شاخص *
(metric_code)</x:v>
      </x:c>
      <x:c r="C1" s="13" t="str">
        <x:v>نوع بُعد
(dimension_type)</x:v>
      </x:c>
      <x:c r="D1" s="13" t="str">
        <x:v>مقدار بُعد
(dimension_value)</x:v>
      </x:c>
      <x:c r="E1" s="13" t="str">
        <x:v>نوع دوره *
(period_type)</x:v>
      </x:c>
      <x:c r="F1" s="13" t="str">
        <x:v>شروع دوره *
(period_start)</x:v>
      </x:c>
      <x:c r="G1" s="13" t="str">
        <x:v>پایان دوره *
(period_end)</x:v>
      </x:c>
      <x:c r="H1" s="13" t="str">
        <x:v>مقدار شاخص *
(metric_value)</x:v>
      </x:c>
      <x:c r="I1" s="13" t="str">
        <x:v>زمان محاسبه *
(calculated_at)</x:v>
      </x:c>
      <x:c r="J1" s="14" t="str">
        <x:v>نسخه *
(data_version)</x:v>
      </x:c>
    </x:row>
    <x:row r="2">
      <x:c r="A2" s="74" t="n">
        <x:v>46215.229166666664</x:v>
      </x:c>
      <x:c r="B2" s="29" t="str">
        <x:v>won_revenue</x:v>
      </x:c>
      <x:c r="C2" s="29" t="str">
        <x:v>campaign</x:v>
      </x:c>
      <x:c r="D2" s="29" t="str">
        <x:v>cmp_ig_summer</x:v>
      </x:c>
      <x:c r="E2" s="29" t="str">
        <x:v>month</x:v>
      </x:c>
      <x:c r="F2" s="31" t="n">
        <x:v>46204</x:v>
      </x:c>
      <x:c r="G2" s="31" t="n">
        <x:v>46234</x:v>
      </x:c>
      <x:c r="H2" s="63" t="n">
        <x:v>0</x:v>
      </x:c>
      <x:c r="I2" s="33" t="n">
        <x:v>46215.229166666664</x:v>
      </x:c>
      <x:c r="J2" s="75" t="n">
        <x:v>1</x:v>
      </x:c>
    </x:row>
    <x:row r="3">
      <x:c r="A3" s="76" t="n">
        <x:v>46215.229166666664</x:v>
      </x:c>
      <x:c r="B3" s="47" t="str">
        <x:v>won_revenue</x:v>
      </x:c>
      <x:c r="C3" s="47" t="str">
        <x:v>campaign</x:v>
      </x:c>
      <x:c r="D3" s="47" t="str">
        <x:v>cmp_web_seo</x:v>
      </x:c>
      <x:c r="E3" s="47" t="str">
        <x:v>month</x:v>
      </x:c>
      <x:c r="F3" s="49" t="n">
        <x:v>46204</x:v>
      </x:c>
      <x:c r="G3" s="49" t="n">
        <x:v>46234</x:v>
      </x:c>
      <x:c r="H3" s="65" t="n">
        <x:v>885000000</x:v>
      </x:c>
      <x:c r="I3" s="51" t="n">
        <x:v>46215.229166666664</x:v>
      </x:c>
      <x:c r="J3" s="77" t="n">
        <x:v>1</x:v>
      </x:c>
    </x:row>
    <x:row r="4">
      <x:c r="A4" s="26"/>
      <x:c r="B4" s="19"/>
      <x:c r="C4" s="19"/>
      <x:c r="D4" s="19"/>
      <x:c r="E4" s="19"/>
      <x:c r="F4" s="24"/>
      <x:c r="G4" s="24"/>
      <x:c r="H4" s="62"/>
      <x:c r="I4" s="26"/>
      <x:c r="J4" s="27"/>
    </x:row>
    <x:row r="5">
      <x:c r="A5" s="26"/>
      <x:c r="B5" s="19"/>
      <x:c r="C5" s="19"/>
      <x:c r="D5" s="19"/>
      <x:c r="E5" s="19"/>
      <x:c r="F5" s="24"/>
      <x:c r="G5" s="24"/>
      <x:c r="H5" s="62"/>
      <x:c r="I5" s="26"/>
      <x:c r="J5" s="27"/>
    </x:row>
    <x:row r="6">
      <x:c r="A6" s="26"/>
      <x:c r="B6" s="19"/>
      <x:c r="C6" s="19"/>
      <x:c r="D6" s="19"/>
      <x:c r="E6" s="19"/>
      <x:c r="F6" s="24"/>
      <x:c r="G6" s="24"/>
      <x:c r="H6" s="62"/>
      <x:c r="I6" s="26"/>
      <x:c r="J6" s="27"/>
    </x:row>
    <x:row r="7">
      <x:c r="A7" s="26"/>
      <x:c r="B7" s="19"/>
      <x:c r="C7" s="19"/>
      <x:c r="D7" s="19"/>
      <x:c r="E7" s="19"/>
      <x:c r="F7" s="24"/>
      <x:c r="G7" s="24"/>
      <x:c r="H7" s="62"/>
      <x:c r="I7" s="26"/>
      <x:c r="J7" s="27"/>
    </x:row>
    <x:row r="8">
      <x:c r="A8" s="26"/>
      <x:c r="B8" s="19"/>
      <x:c r="C8" s="19"/>
      <x:c r="D8" s="19"/>
      <x:c r="E8" s="19"/>
      <x:c r="F8" s="24"/>
      <x:c r="G8" s="24"/>
      <x:c r="H8" s="62"/>
      <x:c r="I8" s="26"/>
      <x:c r="J8" s="27"/>
    </x:row>
    <x:row r="9">
      <x:c r="A9" s="26"/>
      <x:c r="B9" s="19"/>
      <x:c r="C9" s="19"/>
      <x:c r="D9" s="19"/>
      <x:c r="E9" s="19"/>
      <x:c r="F9" s="24"/>
      <x:c r="G9" s="24"/>
      <x:c r="H9" s="62"/>
      <x:c r="I9" s="26"/>
      <x:c r="J9" s="27"/>
    </x:row>
    <x:row r="10">
      <x:c r="A10" s="26"/>
      <x:c r="B10" s="19"/>
      <x:c r="C10" s="19"/>
      <x:c r="D10" s="19"/>
      <x:c r="E10" s="19"/>
      <x:c r="F10" s="24"/>
      <x:c r="G10" s="24"/>
      <x:c r="H10" s="62"/>
      <x:c r="I10" s="26"/>
      <x:c r="J10" s="27"/>
    </x:row>
    <x:row r="11">
      <x:c r="A11" s="26"/>
      <x:c r="B11" s="19"/>
      <x:c r="C11" s="19"/>
      <x:c r="D11" s="19"/>
      <x:c r="E11" s="19"/>
      <x:c r="F11" s="24"/>
      <x:c r="G11" s="24"/>
      <x:c r="H11" s="62"/>
      <x:c r="I11" s="26"/>
      <x:c r="J11" s="27"/>
    </x:row>
    <x:row r="12">
      <x:c r="A12" s="26"/>
      <x:c r="B12" s="19"/>
      <x:c r="C12" s="19"/>
      <x:c r="D12" s="19"/>
      <x:c r="E12" s="19"/>
      <x:c r="F12" s="24"/>
      <x:c r="G12" s="24"/>
      <x:c r="H12" s="62"/>
      <x:c r="I12" s="26"/>
      <x:c r="J12" s="27"/>
    </x:row>
    <x:row r="13">
      <x:c r="A13" s="26"/>
      <x:c r="B13" s="19"/>
      <x:c r="C13" s="19"/>
      <x:c r="D13" s="19"/>
      <x:c r="E13" s="19"/>
      <x:c r="F13" s="24"/>
      <x:c r="G13" s="24"/>
      <x:c r="H13" s="62"/>
      <x:c r="I13" s="26"/>
      <x:c r="J13" s="27"/>
    </x:row>
    <x:row r="14">
      <x:c r="A14" s="26"/>
      <x:c r="B14" s="19"/>
      <x:c r="C14" s="19"/>
      <x:c r="D14" s="19"/>
      <x:c r="E14" s="19"/>
      <x:c r="F14" s="24"/>
      <x:c r="G14" s="24"/>
      <x:c r="H14" s="62"/>
      <x:c r="I14" s="26"/>
      <x:c r="J14" s="27"/>
    </x:row>
    <x:row r="15">
      <x:c r="A15" s="26"/>
      <x:c r="B15" s="19"/>
      <x:c r="C15" s="19"/>
      <x:c r="D15" s="19"/>
      <x:c r="E15" s="19"/>
      <x:c r="F15" s="24"/>
      <x:c r="G15" s="24"/>
      <x:c r="H15" s="62"/>
      <x:c r="I15" s="26"/>
      <x:c r="J15" s="27"/>
    </x:row>
    <x:row r="16">
      <x:c r="A16" s="26"/>
      <x:c r="B16" s="19"/>
      <x:c r="C16" s="19"/>
      <x:c r="D16" s="19"/>
      <x:c r="E16" s="19"/>
      <x:c r="F16" s="24"/>
      <x:c r="G16" s="24"/>
      <x:c r="H16" s="62"/>
      <x:c r="I16" s="26"/>
      <x:c r="J16" s="27"/>
    </x:row>
    <x:row r="17">
      <x:c r="A17" s="26"/>
      <x:c r="B17" s="19"/>
      <x:c r="C17" s="19"/>
      <x:c r="D17" s="19"/>
      <x:c r="E17" s="19"/>
      <x:c r="F17" s="24"/>
      <x:c r="G17" s="24"/>
      <x:c r="H17" s="62"/>
      <x:c r="I17" s="26"/>
      <x:c r="J17" s="27"/>
    </x:row>
    <x:row r="18">
      <x:c r="A18" s="26"/>
      <x:c r="B18" s="19"/>
      <x:c r="C18" s="19"/>
      <x:c r="D18" s="19"/>
      <x:c r="E18" s="19"/>
      <x:c r="F18" s="24"/>
      <x:c r="G18" s="24"/>
      <x:c r="H18" s="62"/>
      <x:c r="I18" s="26"/>
      <x:c r="J18" s="27"/>
    </x:row>
    <x:row r="19">
      <x:c r="A19" s="26"/>
      <x:c r="B19" s="19"/>
      <x:c r="C19" s="19"/>
      <x:c r="D19" s="19"/>
      <x:c r="E19" s="19"/>
      <x:c r="F19" s="24"/>
      <x:c r="G19" s="24"/>
      <x:c r="H19" s="62"/>
      <x:c r="I19" s="26"/>
      <x:c r="J19" s="27"/>
    </x:row>
    <x:row r="20">
      <x:c r="A20" s="26"/>
      <x:c r="B20" s="19"/>
      <x:c r="C20" s="19"/>
      <x:c r="D20" s="19"/>
      <x:c r="E20" s="19"/>
      <x:c r="F20" s="24"/>
      <x:c r="G20" s="24"/>
      <x:c r="H20" s="62"/>
      <x:c r="I20" s="26"/>
      <x:c r="J20" s="27"/>
    </x:row>
    <x:row r="21">
      <x:c r="A21" s="26"/>
      <x:c r="B21" s="19"/>
      <x:c r="C21" s="19"/>
      <x:c r="D21" s="19"/>
      <x:c r="E21" s="19"/>
      <x:c r="F21" s="24"/>
      <x:c r="G21" s="24"/>
      <x:c r="H21" s="62"/>
      <x:c r="I21" s="26"/>
      <x:c r="J21" s="27"/>
    </x:row>
    <x:row r="22">
      <x:c r="A22" s="26"/>
      <x:c r="B22" s="19"/>
      <x:c r="C22" s="19"/>
      <x:c r="D22" s="19"/>
      <x:c r="E22" s="19"/>
      <x:c r="F22" s="24"/>
      <x:c r="G22" s="24"/>
      <x:c r="H22" s="62"/>
      <x:c r="I22" s="26"/>
      <x:c r="J22" s="27"/>
    </x:row>
    <x:row r="23">
      <x:c r="A23" s="26"/>
      <x:c r="B23" s="19"/>
      <x:c r="C23" s="19"/>
      <x:c r="D23" s="19"/>
      <x:c r="E23" s="19"/>
      <x:c r="F23" s="24"/>
      <x:c r="G23" s="24"/>
      <x:c r="H23" s="62"/>
      <x:c r="I23" s="26"/>
      <x:c r="J23" s="27"/>
    </x:row>
    <x:row r="24">
      <x:c r="A24" s="26"/>
      <x:c r="B24" s="19"/>
      <x:c r="C24" s="19"/>
      <x:c r="D24" s="19"/>
      <x:c r="E24" s="19"/>
      <x:c r="F24" s="24"/>
      <x:c r="G24" s="24"/>
      <x:c r="H24" s="62"/>
      <x:c r="I24" s="26"/>
      <x:c r="J24" s="27"/>
    </x:row>
    <x:row r="25">
      <x:c r="A25" s="26"/>
      <x:c r="B25" s="19"/>
      <x:c r="C25" s="19"/>
      <x:c r="D25" s="19"/>
      <x:c r="E25" s="19"/>
      <x:c r="F25" s="24"/>
      <x:c r="G25" s="24"/>
      <x:c r="H25" s="62"/>
      <x:c r="I25" s="26"/>
      <x:c r="J25" s="27"/>
    </x:row>
    <x:row r="26">
      <x:c r="A26" s="26"/>
      <x:c r="B26" s="19"/>
      <x:c r="C26" s="19"/>
      <x:c r="D26" s="19"/>
      <x:c r="E26" s="19"/>
      <x:c r="F26" s="24"/>
      <x:c r="G26" s="24"/>
      <x:c r="H26" s="62"/>
      <x:c r="I26" s="26"/>
      <x:c r="J26" s="27"/>
    </x:row>
    <x:row r="27">
      <x:c r="A27" s="26"/>
      <x:c r="B27" s="19"/>
      <x:c r="C27" s="19"/>
      <x:c r="D27" s="19"/>
      <x:c r="E27" s="19"/>
      <x:c r="F27" s="24"/>
      <x:c r="G27" s="24"/>
      <x:c r="H27" s="62"/>
      <x:c r="I27" s="26"/>
      <x:c r="J27" s="27"/>
    </x:row>
    <x:row r="28">
      <x:c r="A28" s="26"/>
      <x:c r="B28" s="19"/>
      <x:c r="C28" s="19"/>
      <x:c r="D28" s="19"/>
      <x:c r="E28" s="19"/>
      <x:c r="F28" s="24"/>
      <x:c r="G28" s="24"/>
      <x:c r="H28" s="62"/>
      <x:c r="I28" s="26"/>
      <x:c r="J28" s="27"/>
    </x:row>
    <x:row r="29">
      <x:c r="A29" s="26"/>
      <x:c r="B29" s="19"/>
      <x:c r="C29" s="19"/>
      <x:c r="D29" s="19"/>
      <x:c r="E29" s="19"/>
      <x:c r="F29" s="24"/>
      <x:c r="G29" s="24"/>
      <x:c r="H29" s="62"/>
      <x:c r="I29" s="26"/>
      <x:c r="J29" s="27"/>
    </x:row>
    <x:row r="30">
      <x:c r="A30" s="26"/>
      <x:c r="B30" s="19"/>
      <x:c r="C30" s="19"/>
      <x:c r="D30" s="19"/>
      <x:c r="E30" s="19"/>
      <x:c r="F30" s="24"/>
      <x:c r="G30" s="24"/>
      <x:c r="H30" s="62"/>
      <x:c r="I30" s="26"/>
      <x:c r="J30" s="27"/>
    </x:row>
    <x:row r="31">
      <x:c r="A31" s="26"/>
      <x:c r="B31" s="19"/>
      <x:c r="C31" s="19"/>
      <x:c r="D31" s="19"/>
      <x:c r="E31" s="19"/>
      <x:c r="F31" s="24"/>
      <x:c r="G31" s="24"/>
      <x:c r="H31" s="62"/>
      <x:c r="I31" s="26"/>
      <x:c r="J31" s="27"/>
    </x:row>
    <x:row r="32">
      <x:c r="A32" s="26"/>
      <x:c r="B32" s="19"/>
      <x:c r="C32" s="19"/>
      <x:c r="D32" s="19"/>
      <x:c r="E32" s="19"/>
      <x:c r="F32" s="24"/>
      <x:c r="G32" s="24"/>
      <x:c r="H32" s="62"/>
      <x:c r="I32" s="26"/>
      <x:c r="J32" s="27"/>
    </x:row>
    <x:row r="33">
      <x:c r="A33" s="26"/>
      <x:c r="B33" s="19"/>
      <x:c r="C33" s="19"/>
      <x:c r="D33" s="19"/>
      <x:c r="E33" s="19"/>
      <x:c r="F33" s="24"/>
      <x:c r="G33" s="24"/>
      <x:c r="H33" s="62"/>
      <x:c r="I33" s="26"/>
      <x:c r="J33" s="27"/>
    </x:row>
    <x:row r="34">
      <x:c r="A34" s="26"/>
      <x:c r="B34" s="19"/>
      <x:c r="C34" s="19"/>
      <x:c r="D34" s="19"/>
      <x:c r="E34" s="19"/>
      <x:c r="F34" s="24"/>
      <x:c r="G34" s="24"/>
      <x:c r="H34" s="62"/>
      <x:c r="I34" s="26"/>
      <x:c r="J34" s="27"/>
    </x:row>
    <x:row r="35">
      <x:c r="A35" s="26"/>
      <x:c r="B35" s="19"/>
      <x:c r="C35" s="19"/>
      <x:c r="D35" s="19"/>
      <x:c r="E35" s="19"/>
      <x:c r="F35" s="24"/>
      <x:c r="G35" s="24"/>
      <x:c r="H35" s="62"/>
      <x:c r="I35" s="26"/>
      <x:c r="J35" s="27"/>
    </x:row>
    <x:row r="36">
      <x:c r="A36" s="26"/>
      <x:c r="B36" s="19"/>
      <x:c r="C36" s="19"/>
      <x:c r="D36" s="19"/>
      <x:c r="E36" s="19"/>
      <x:c r="F36" s="24"/>
      <x:c r="G36" s="24"/>
      <x:c r="H36" s="62"/>
      <x:c r="I36" s="26"/>
      <x:c r="J36" s="27"/>
    </x:row>
    <x:row r="37">
      <x:c r="A37" s="26"/>
      <x:c r="B37" s="19"/>
      <x:c r="C37" s="19"/>
      <x:c r="D37" s="19"/>
      <x:c r="E37" s="19"/>
      <x:c r="F37" s="24"/>
      <x:c r="G37" s="24"/>
      <x:c r="H37" s="62"/>
      <x:c r="I37" s="26"/>
      <x:c r="J37" s="27"/>
    </x:row>
    <x:row r="38">
      <x:c r="A38" s="26"/>
      <x:c r="B38" s="19"/>
      <x:c r="C38" s="19"/>
      <x:c r="D38" s="19"/>
      <x:c r="E38" s="19"/>
      <x:c r="F38" s="24"/>
      <x:c r="G38" s="24"/>
      <x:c r="H38" s="62"/>
      <x:c r="I38" s="26"/>
      <x:c r="J38" s="27"/>
    </x:row>
    <x:row r="39">
      <x:c r="A39" s="26"/>
      <x:c r="B39" s="19"/>
      <x:c r="C39" s="19"/>
      <x:c r="D39" s="19"/>
      <x:c r="E39" s="19"/>
      <x:c r="F39" s="24"/>
      <x:c r="G39" s="24"/>
      <x:c r="H39" s="62"/>
      <x:c r="I39" s="26"/>
      <x:c r="J39" s="27"/>
    </x:row>
    <x:row r="40">
      <x:c r="A40" s="26"/>
      <x:c r="B40" s="19"/>
      <x:c r="C40" s="19"/>
      <x:c r="D40" s="19"/>
      <x:c r="E40" s="19"/>
      <x:c r="F40" s="24"/>
      <x:c r="G40" s="24"/>
      <x:c r="H40" s="62"/>
      <x:c r="I40" s="26"/>
      <x:c r="J40" s="27"/>
    </x:row>
    <x:row r="41">
      <x:c r="A41" s="26"/>
      <x:c r="B41" s="19"/>
      <x:c r="C41" s="19"/>
      <x:c r="D41" s="19"/>
      <x:c r="E41" s="19"/>
      <x:c r="F41" s="24"/>
      <x:c r="G41" s="24"/>
      <x:c r="H41" s="62"/>
      <x:c r="I41" s="26"/>
      <x:c r="J41" s="27"/>
    </x:row>
    <x:row r="42">
      <x:c r="A42" s="26"/>
      <x:c r="B42" s="19"/>
      <x:c r="C42" s="19"/>
      <x:c r="D42" s="19"/>
      <x:c r="E42" s="19"/>
      <x:c r="F42" s="24"/>
      <x:c r="G42" s="24"/>
      <x:c r="H42" s="62"/>
      <x:c r="I42" s="26"/>
      <x:c r="J42" s="27"/>
    </x:row>
    <x:row r="43">
      <x:c r="A43" s="26"/>
      <x:c r="B43" s="19"/>
      <x:c r="C43" s="19"/>
      <x:c r="D43" s="19"/>
      <x:c r="E43" s="19"/>
      <x:c r="F43" s="24"/>
      <x:c r="G43" s="24"/>
      <x:c r="H43" s="62"/>
      <x:c r="I43" s="26"/>
      <x:c r="J43" s="27"/>
    </x:row>
    <x:row r="44">
      <x:c r="A44" s="26"/>
      <x:c r="B44" s="19"/>
      <x:c r="C44" s="19"/>
      <x:c r="D44" s="19"/>
      <x:c r="E44" s="19"/>
      <x:c r="F44" s="24"/>
      <x:c r="G44" s="24"/>
      <x:c r="H44" s="62"/>
      <x:c r="I44" s="26"/>
      <x:c r="J44" s="27"/>
    </x:row>
    <x:row r="45">
      <x:c r="A45" s="26"/>
      <x:c r="B45" s="19"/>
      <x:c r="C45" s="19"/>
      <x:c r="D45" s="19"/>
      <x:c r="E45" s="19"/>
      <x:c r="F45" s="24"/>
      <x:c r="G45" s="24"/>
      <x:c r="H45" s="62"/>
      <x:c r="I45" s="26"/>
      <x:c r="J45" s="27"/>
    </x:row>
    <x:row r="46">
      <x:c r="A46" s="26"/>
      <x:c r="B46" s="19"/>
      <x:c r="C46" s="19"/>
      <x:c r="D46" s="19"/>
      <x:c r="E46" s="19"/>
      <x:c r="F46" s="24"/>
      <x:c r="G46" s="24"/>
      <x:c r="H46" s="62"/>
      <x:c r="I46" s="26"/>
      <x:c r="J46" s="27"/>
    </x:row>
    <x:row r="47">
      <x:c r="A47" s="26"/>
      <x:c r="B47" s="19"/>
      <x:c r="C47" s="19"/>
      <x:c r="D47" s="19"/>
      <x:c r="E47" s="19"/>
      <x:c r="F47" s="24"/>
      <x:c r="G47" s="24"/>
      <x:c r="H47" s="62"/>
      <x:c r="I47" s="26"/>
      <x:c r="J47" s="27"/>
    </x:row>
    <x:row r="48">
      <x:c r="A48" s="26"/>
      <x:c r="B48" s="19"/>
      <x:c r="C48" s="19"/>
      <x:c r="D48" s="19"/>
      <x:c r="E48" s="19"/>
      <x:c r="F48" s="24"/>
      <x:c r="G48" s="24"/>
      <x:c r="H48" s="62"/>
      <x:c r="I48" s="26"/>
      <x:c r="J48" s="27"/>
    </x:row>
    <x:row r="49">
      <x:c r="A49" s="26"/>
      <x:c r="B49" s="19"/>
      <x:c r="C49" s="19"/>
      <x:c r="D49" s="19"/>
      <x:c r="E49" s="19"/>
      <x:c r="F49" s="24"/>
      <x:c r="G49" s="24"/>
      <x:c r="H49" s="62"/>
      <x:c r="I49" s="26"/>
      <x:c r="J49" s="27"/>
    </x:row>
    <x:row r="50">
      <x:c r="A50" s="26"/>
      <x:c r="B50" s="19"/>
      <x:c r="C50" s="19"/>
      <x:c r="D50" s="19"/>
      <x:c r="E50" s="19"/>
      <x:c r="F50" s="24"/>
      <x:c r="G50" s="24"/>
      <x:c r="H50" s="62"/>
      <x:c r="I50" s="26"/>
      <x:c r="J50" s="27"/>
    </x:row>
    <x:row r="51">
      <x:c r="A51" s="26"/>
      <x:c r="B51" s="19"/>
      <x:c r="C51" s="19"/>
      <x:c r="D51" s="19"/>
      <x:c r="E51" s="19"/>
      <x:c r="F51" s="24"/>
      <x:c r="G51" s="24"/>
      <x:c r="H51" s="62"/>
      <x:c r="I51" s="26"/>
      <x:c r="J51" s="27"/>
    </x:row>
    <x:row r="52">
      <x:c r="A52" s="26"/>
      <x:c r="B52" s="19"/>
      <x:c r="C52" s="19"/>
      <x:c r="D52" s="19"/>
      <x:c r="E52" s="19"/>
      <x:c r="F52" s="24"/>
      <x:c r="G52" s="24"/>
      <x:c r="H52" s="62"/>
      <x:c r="I52" s="26"/>
      <x:c r="J52" s="27"/>
    </x:row>
    <x:row r="53">
      <x:c r="A53" s="26"/>
      <x:c r="B53" s="19"/>
      <x:c r="C53" s="19"/>
      <x:c r="D53" s="19"/>
      <x:c r="E53" s="19"/>
      <x:c r="F53" s="24"/>
      <x:c r="G53" s="24"/>
      <x:c r="H53" s="62"/>
      <x:c r="I53" s="26"/>
      <x:c r="J53" s="27"/>
    </x:row>
    <x:row r="54">
      <x:c r="A54" s="26"/>
      <x:c r="B54" s="19"/>
      <x:c r="C54" s="19"/>
      <x:c r="D54" s="19"/>
      <x:c r="E54" s="19"/>
      <x:c r="F54" s="24"/>
      <x:c r="G54" s="24"/>
      <x:c r="H54" s="62"/>
      <x:c r="I54" s="26"/>
      <x:c r="J54" s="27"/>
    </x:row>
    <x:row r="55">
      <x:c r="A55" s="26"/>
      <x:c r="B55" s="19"/>
      <x:c r="C55" s="19"/>
      <x:c r="D55" s="19"/>
      <x:c r="E55" s="19"/>
      <x:c r="F55" s="24"/>
      <x:c r="G55" s="24"/>
      <x:c r="H55" s="62"/>
      <x:c r="I55" s="26"/>
      <x:c r="J55" s="27"/>
    </x:row>
    <x:row r="56">
      <x:c r="A56" s="26"/>
      <x:c r="B56" s="19"/>
      <x:c r="C56" s="19"/>
      <x:c r="D56" s="19"/>
      <x:c r="E56" s="19"/>
      <x:c r="F56" s="24"/>
      <x:c r="G56" s="24"/>
      <x:c r="H56" s="62"/>
      <x:c r="I56" s="26"/>
      <x:c r="J56" s="27"/>
    </x:row>
    <x:row r="57">
      <x:c r="A57" s="26"/>
      <x:c r="B57" s="19"/>
      <x:c r="C57" s="19"/>
      <x:c r="D57" s="19"/>
      <x:c r="E57" s="19"/>
      <x:c r="F57" s="24"/>
      <x:c r="G57" s="24"/>
      <x:c r="H57" s="62"/>
      <x:c r="I57" s="26"/>
      <x:c r="J57" s="27"/>
    </x:row>
    <x:row r="58">
      <x:c r="A58" s="26"/>
      <x:c r="B58" s="19"/>
      <x:c r="C58" s="19"/>
      <x:c r="D58" s="19"/>
      <x:c r="E58" s="19"/>
      <x:c r="F58" s="24"/>
      <x:c r="G58" s="24"/>
      <x:c r="H58" s="62"/>
      <x:c r="I58" s="26"/>
      <x:c r="J58" s="27"/>
    </x:row>
    <x:row r="59">
      <x:c r="A59" s="26"/>
      <x:c r="B59" s="19"/>
      <x:c r="C59" s="19"/>
      <x:c r="D59" s="19"/>
      <x:c r="E59" s="19"/>
      <x:c r="F59" s="24"/>
      <x:c r="G59" s="24"/>
      <x:c r="H59" s="62"/>
      <x:c r="I59" s="26"/>
      <x:c r="J59" s="27"/>
    </x:row>
    <x:row r="60">
      <x:c r="A60" s="26"/>
      <x:c r="B60" s="19"/>
      <x:c r="C60" s="19"/>
      <x:c r="D60" s="19"/>
      <x:c r="E60" s="19"/>
      <x:c r="F60" s="24"/>
      <x:c r="G60" s="24"/>
      <x:c r="H60" s="62"/>
      <x:c r="I60" s="26"/>
      <x:c r="J60" s="27"/>
    </x:row>
    <x:row r="61">
      <x:c r="A61" s="26"/>
      <x:c r="B61" s="19"/>
      <x:c r="C61" s="19"/>
      <x:c r="D61" s="19"/>
      <x:c r="E61" s="19"/>
      <x:c r="F61" s="24"/>
      <x:c r="G61" s="24"/>
      <x:c r="H61" s="62"/>
      <x:c r="I61" s="26"/>
      <x:c r="J61" s="27"/>
    </x:row>
    <x:row r="62">
      <x:c r="A62" s="26"/>
      <x:c r="B62" s="19"/>
      <x:c r="C62" s="19"/>
      <x:c r="D62" s="19"/>
      <x:c r="E62" s="19"/>
      <x:c r="F62" s="24"/>
      <x:c r="G62" s="24"/>
      <x:c r="H62" s="62"/>
      <x:c r="I62" s="26"/>
      <x:c r="J62" s="27"/>
    </x:row>
    <x:row r="63">
      <x:c r="A63" s="26"/>
      <x:c r="B63" s="19"/>
      <x:c r="C63" s="19"/>
      <x:c r="D63" s="19"/>
      <x:c r="E63" s="19"/>
      <x:c r="F63" s="24"/>
      <x:c r="G63" s="24"/>
      <x:c r="H63" s="62"/>
      <x:c r="I63" s="26"/>
      <x:c r="J63" s="27"/>
    </x:row>
    <x:row r="64">
      <x:c r="A64" s="26"/>
      <x:c r="B64" s="19"/>
      <x:c r="C64" s="19"/>
      <x:c r="D64" s="19"/>
      <x:c r="E64" s="19"/>
      <x:c r="F64" s="24"/>
      <x:c r="G64" s="24"/>
      <x:c r="H64" s="62"/>
      <x:c r="I64" s="26"/>
      <x:c r="J64" s="27"/>
    </x:row>
    <x:row r="65">
      <x:c r="A65" s="26"/>
      <x:c r="B65" s="19"/>
      <x:c r="C65" s="19"/>
      <x:c r="D65" s="19"/>
      <x:c r="E65" s="19"/>
      <x:c r="F65" s="24"/>
      <x:c r="G65" s="24"/>
      <x:c r="H65" s="62"/>
      <x:c r="I65" s="26"/>
      <x:c r="J65" s="27"/>
    </x:row>
    <x:row r="66">
      <x:c r="A66" s="26"/>
      <x:c r="B66" s="19"/>
      <x:c r="C66" s="19"/>
      <x:c r="D66" s="19"/>
      <x:c r="E66" s="19"/>
      <x:c r="F66" s="24"/>
      <x:c r="G66" s="24"/>
      <x:c r="H66" s="62"/>
      <x:c r="I66" s="26"/>
      <x:c r="J66" s="27"/>
    </x:row>
    <x:row r="67">
      <x:c r="A67" s="26"/>
      <x:c r="B67" s="19"/>
      <x:c r="C67" s="19"/>
      <x:c r="D67" s="19"/>
      <x:c r="E67" s="19"/>
      <x:c r="F67" s="24"/>
      <x:c r="G67" s="24"/>
      <x:c r="H67" s="62"/>
      <x:c r="I67" s="26"/>
      <x:c r="J67" s="27"/>
    </x:row>
    <x:row r="68">
      <x:c r="A68" s="26"/>
      <x:c r="B68" s="19"/>
      <x:c r="C68" s="19"/>
      <x:c r="D68" s="19"/>
      <x:c r="E68" s="19"/>
      <x:c r="F68" s="24"/>
      <x:c r="G68" s="24"/>
      <x:c r="H68" s="62"/>
      <x:c r="I68" s="26"/>
      <x:c r="J68" s="27"/>
    </x:row>
    <x:row r="69">
      <x:c r="A69" s="26"/>
      <x:c r="B69" s="19"/>
      <x:c r="C69" s="19"/>
      <x:c r="D69" s="19"/>
      <x:c r="E69" s="19"/>
      <x:c r="F69" s="24"/>
      <x:c r="G69" s="24"/>
      <x:c r="H69" s="62"/>
      <x:c r="I69" s="26"/>
      <x:c r="J69" s="27"/>
    </x:row>
    <x:row r="70">
      <x:c r="A70" s="26"/>
      <x:c r="B70" s="19"/>
      <x:c r="C70" s="19"/>
      <x:c r="D70" s="19"/>
      <x:c r="E70" s="19"/>
      <x:c r="F70" s="24"/>
      <x:c r="G70" s="24"/>
      <x:c r="H70" s="62"/>
      <x:c r="I70" s="26"/>
      <x:c r="J70" s="27"/>
    </x:row>
    <x:row r="71">
      <x:c r="A71" s="26"/>
      <x:c r="B71" s="19"/>
      <x:c r="C71" s="19"/>
      <x:c r="D71" s="19"/>
      <x:c r="E71" s="19"/>
      <x:c r="F71" s="24"/>
      <x:c r="G71" s="24"/>
      <x:c r="H71" s="62"/>
      <x:c r="I71" s="26"/>
      <x:c r="J71" s="27"/>
    </x:row>
    <x:row r="72">
      <x:c r="A72" s="26"/>
      <x:c r="B72" s="19"/>
      <x:c r="C72" s="19"/>
      <x:c r="D72" s="19"/>
      <x:c r="E72" s="19"/>
      <x:c r="F72" s="24"/>
      <x:c r="G72" s="24"/>
      <x:c r="H72" s="62"/>
      <x:c r="I72" s="26"/>
      <x:c r="J72" s="27"/>
    </x:row>
    <x:row r="73">
      <x:c r="A73" s="26"/>
      <x:c r="B73" s="19"/>
      <x:c r="C73" s="19"/>
      <x:c r="D73" s="19"/>
      <x:c r="E73" s="19"/>
      <x:c r="F73" s="24"/>
      <x:c r="G73" s="24"/>
      <x:c r="H73" s="62"/>
      <x:c r="I73" s="26"/>
      <x:c r="J73" s="27"/>
    </x:row>
    <x:row r="74">
      <x:c r="A74" s="26"/>
      <x:c r="B74" s="19"/>
      <x:c r="C74" s="19"/>
      <x:c r="D74" s="19"/>
      <x:c r="E74" s="19"/>
      <x:c r="F74" s="24"/>
      <x:c r="G74" s="24"/>
      <x:c r="H74" s="62"/>
      <x:c r="I74" s="26"/>
      <x:c r="J74" s="27"/>
    </x:row>
    <x:row r="75">
      <x:c r="A75" s="26"/>
      <x:c r="B75" s="19"/>
      <x:c r="C75" s="19"/>
      <x:c r="D75" s="19"/>
      <x:c r="E75" s="19"/>
      <x:c r="F75" s="24"/>
      <x:c r="G75" s="24"/>
      <x:c r="H75" s="62"/>
      <x:c r="I75" s="26"/>
      <x:c r="J75" s="27"/>
    </x:row>
    <x:row r="76">
      <x:c r="A76" s="26"/>
      <x:c r="B76" s="19"/>
      <x:c r="C76" s="19"/>
      <x:c r="D76" s="19"/>
      <x:c r="E76" s="19"/>
      <x:c r="F76" s="24"/>
      <x:c r="G76" s="24"/>
      <x:c r="H76" s="62"/>
      <x:c r="I76" s="26"/>
      <x:c r="J76" s="27"/>
    </x:row>
    <x:row r="77">
      <x:c r="A77" s="26"/>
      <x:c r="B77" s="19"/>
      <x:c r="C77" s="19"/>
      <x:c r="D77" s="19"/>
      <x:c r="E77" s="19"/>
      <x:c r="F77" s="24"/>
      <x:c r="G77" s="24"/>
      <x:c r="H77" s="62"/>
      <x:c r="I77" s="26"/>
      <x:c r="J77" s="27"/>
    </x:row>
    <x:row r="78">
      <x:c r="A78" s="26"/>
      <x:c r="B78" s="19"/>
      <x:c r="C78" s="19"/>
      <x:c r="D78" s="19"/>
      <x:c r="E78" s="19"/>
      <x:c r="F78" s="24"/>
      <x:c r="G78" s="24"/>
      <x:c r="H78" s="62"/>
      <x:c r="I78" s="26"/>
      <x:c r="J78" s="27"/>
    </x:row>
    <x:row r="79">
      <x:c r="A79" s="26"/>
      <x:c r="B79" s="19"/>
      <x:c r="C79" s="19"/>
      <x:c r="D79" s="19"/>
      <x:c r="E79" s="19"/>
      <x:c r="F79" s="24"/>
      <x:c r="G79" s="24"/>
      <x:c r="H79" s="62"/>
      <x:c r="I79" s="26"/>
      <x:c r="J79" s="27"/>
    </x:row>
    <x:row r="80">
      <x:c r="A80" s="26"/>
      <x:c r="B80" s="19"/>
      <x:c r="C80" s="19"/>
      <x:c r="D80" s="19"/>
      <x:c r="E80" s="19"/>
      <x:c r="F80" s="24"/>
      <x:c r="G80" s="24"/>
      <x:c r="H80" s="62"/>
      <x:c r="I80" s="26"/>
      <x:c r="J80" s="27"/>
    </x:row>
    <x:row r="81">
      <x:c r="A81" s="26"/>
      <x:c r="B81" s="19"/>
      <x:c r="C81" s="19"/>
      <x:c r="D81" s="19"/>
      <x:c r="E81" s="19"/>
      <x:c r="F81" s="24"/>
      <x:c r="G81" s="24"/>
      <x:c r="H81" s="62"/>
      <x:c r="I81" s="26"/>
      <x:c r="J81" s="27"/>
    </x:row>
    <x:row r="82">
      <x:c r="A82" s="26"/>
      <x:c r="B82" s="19"/>
      <x:c r="C82" s="19"/>
      <x:c r="D82" s="19"/>
      <x:c r="E82" s="19"/>
      <x:c r="F82" s="24"/>
      <x:c r="G82" s="24"/>
      <x:c r="H82" s="62"/>
      <x:c r="I82" s="26"/>
      <x:c r="J82" s="27"/>
    </x:row>
    <x:row r="83">
      <x:c r="A83" s="26"/>
      <x:c r="B83" s="19"/>
      <x:c r="C83" s="19"/>
      <x:c r="D83" s="19"/>
      <x:c r="E83" s="19"/>
      <x:c r="F83" s="24"/>
      <x:c r="G83" s="24"/>
      <x:c r="H83" s="62"/>
      <x:c r="I83" s="26"/>
      <x:c r="J83" s="27"/>
    </x:row>
    <x:row r="84">
      <x:c r="A84" s="26"/>
      <x:c r="B84" s="19"/>
      <x:c r="C84" s="19"/>
      <x:c r="D84" s="19"/>
      <x:c r="E84" s="19"/>
      <x:c r="F84" s="24"/>
      <x:c r="G84" s="24"/>
      <x:c r="H84" s="62"/>
      <x:c r="I84" s="26"/>
      <x:c r="J84" s="27"/>
    </x:row>
    <x:row r="85">
      <x:c r="A85" s="26"/>
      <x:c r="B85" s="19"/>
      <x:c r="C85" s="19"/>
      <x:c r="D85" s="19"/>
      <x:c r="E85" s="19"/>
      <x:c r="F85" s="24"/>
      <x:c r="G85" s="24"/>
      <x:c r="H85" s="62"/>
      <x:c r="I85" s="26"/>
      <x:c r="J85" s="27"/>
    </x:row>
    <x:row r="86">
      <x:c r="A86" s="26"/>
      <x:c r="B86" s="19"/>
      <x:c r="C86" s="19"/>
      <x:c r="D86" s="19"/>
      <x:c r="E86" s="19"/>
      <x:c r="F86" s="24"/>
      <x:c r="G86" s="24"/>
      <x:c r="H86" s="62"/>
      <x:c r="I86" s="26"/>
      <x:c r="J86" s="27"/>
    </x:row>
    <x:row r="87">
      <x:c r="A87" s="26"/>
      <x:c r="B87" s="19"/>
      <x:c r="C87" s="19"/>
      <x:c r="D87" s="19"/>
      <x:c r="E87" s="19"/>
      <x:c r="F87" s="24"/>
      <x:c r="G87" s="24"/>
      <x:c r="H87" s="62"/>
      <x:c r="I87" s="26"/>
      <x:c r="J87" s="27"/>
    </x:row>
    <x:row r="88">
      <x:c r="A88" s="26"/>
      <x:c r="B88" s="19"/>
      <x:c r="C88" s="19"/>
      <x:c r="D88" s="19"/>
      <x:c r="E88" s="19"/>
      <x:c r="F88" s="24"/>
      <x:c r="G88" s="24"/>
      <x:c r="H88" s="62"/>
      <x:c r="I88" s="26"/>
      <x:c r="J88" s="27"/>
    </x:row>
    <x:row r="89">
      <x:c r="A89" s="26"/>
      <x:c r="B89" s="19"/>
      <x:c r="C89" s="19"/>
      <x:c r="D89" s="19"/>
      <x:c r="E89" s="19"/>
      <x:c r="F89" s="24"/>
      <x:c r="G89" s="24"/>
      <x:c r="H89" s="62"/>
      <x:c r="I89" s="26"/>
      <x:c r="J89" s="27"/>
    </x:row>
    <x:row r="90">
      <x:c r="A90" s="26"/>
      <x:c r="B90" s="19"/>
      <x:c r="C90" s="19"/>
      <x:c r="D90" s="19"/>
      <x:c r="E90" s="19"/>
      <x:c r="F90" s="24"/>
      <x:c r="G90" s="24"/>
      <x:c r="H90" s="62"/>
      <x:c r="I90" s="26"/>
      <x:c r="J90" s="27"/>
    </x:row>
    <x:row r="91">
      <x:c r="A91" s="26"/>
      <x:c r="B91" s="19"/>
      <x:c r="C91" s="19"/>
      <x:c r="D91" s="19"/>
      <x:c r="E91" s="19"/>
      <x:c r="F91" s="24"/>
      <x:c r="G91" s="24"/>
      <x:c r="H91" s="62"/>
      <x:c r="I91" s="26"/>
      <x:c r="J91" s="27"/>
    </x:row>
    <x:row r="92">
      <x:c r="A92" s="26"/>
      <x:c r="B92" s="19"/>
      <x:c r="C92" s="19"/>
      <x:c r="D92" s="19"/>
      <x:c r="E92" s="19"/>
      <x:c r="F92" s="24"/>
      <x:c r="G92" s="24"/>
      <x:c r="H92" s="62"/>
      <x:c r="I92" s="26"/>
      <x:c r="J92" s="27"/>
    </x:row>
    <x:row r="93">
      <x:c r="A93" s="26"/>
      <x:c r="B93" s="19"/>
      <x:c r="C93" s="19"/>
      <x:c r="D93" s="19"/>
      <x:c r="E93" s="19"/>
      <x:c r="F93" s="24"/>
      <x:c r="G93" s="24"/>
      <x:c r="H93" s="62"/>
      <x:c r="I93" s="26"/>
      <x:c r="J93" s="27"/>
    </x:row>
    <x:row r="94">
      <x:c r="A94" s="26"/>
      <x:c r="B94" s="19"/>
      <x:c r="C94" s="19"/>
      <x:c r="D94" s="19"/>
      <x:c r="E94" s="19"/>
      <x:c r="F94" s="24"/>
      <x:c r="G94" s="24"/>
      <x:c r="H94" s="62"/>
      <x:c r="I94" s="26"/>
      <x:c r="J94" s="27"/>
    </x:row>
    <x:row r="95">
      <x:c r="A95" s="26"/>
      <x:c r="B95" s="19"/>
      <x:c r="C95" s="19"/>
      <x:c r="D95" s="19"/>
      <x:c r="E95" s="19"/>
      <x:c r="F95" s="24"/>
      <x:c r="G95" s="24"/>
      <x:c r="H95" s="62"/>
      <x:c r="I95" s="26"/>
      <x:c r="J95" s="27"/>
    </x:row>
    <x:row r="96">
      <x:c r="A96" s="26"/>
      <x:c r="B96" s="19"/>
      <x:c r="C96" s="19"/>
      <x:c r="D96" s="19"/>
      <x:c r="E96" s="19"/>
      <x:c r="F96" s="24"/>
      <x:c r="G96" s="24"/>
      <x:c r="H96" s="62"/>
      <x:c r="I96" s="26"/>
      <x:c r="J96" s="27"/>
    </x:row>
    <x:row r="97">
      <x:c r="A97" s="26"/>
      <x:c r="B97" s="19"/>
      <x:c r="C97" s="19"/>
      <x:c r="D97" s="19"/>
      <x:c r="E97" s="19"/>
      <x:c r="F97" s="24"/>
      <x:c r="G97" s="24"/>
      <x:c r="H97" s="62"/>
      <x:c r="I97" s="26"/>
      <x:c r="J97" s="27"/>
    </x:row>
    <x:row r="98">
      <x:c r="A98" s="26"/>
      <x:c r="B98" s="19"/>
      <x:c r="C98" s="19"/>
      <x:c r="D98" s="19"/>
      <x:c r="E98" s="19"/>
      <x:c r="F98" s="24"/>
      <x:c r="G98" s="24"/>
      <x:c r="H98" s="62"/>
      <x:c r="I98" s="26"/>
      <x:c r="J98" s="27"/>
    </x:row>
    <x:row r="99">
      <x:c r="A99" s="26"/>
      <x:c r="B99" s="19"/>
      <x:c r="C99" s="19"/>
      <x:c r="D99" s="19"/>
      <x:c r="E99" s="19"/>
      <x:c r="F99" s="24"/>
      <x:c r="G99" s="24"/>
      <x:c r="H99" s="62"/>
      <x:c r="I99" s="26"/>
      <x:c r="J99" s="27"/>
    </x:row>
    <x:row r="100">
      <x:c r="A100" s="26"/>
      <x:c r="B100" s="19"/>
      <x:c r="C100" s="19"/>
      <x:c r="D100" s="19"/>
      <x:c r="E100" s="19"/>
      <x:c r="F100" s="24"/>
      <x:c r="G100" s="24"/>
      <x:c r="H100" s="62"/>
      <x:c r="I100" s="26"/>
      <x:c r="J100" s="27"/>
    </x:row>
    <x:row r="101">
      <x:c r="A101" s="26"/>
      <x:c r="B101" s="19"/>
      <x:c r="C101" s="19"/>
      <x:c r="D101" s="19"/>
      <x:c r="E101" s="19"/>
      <x:c r="F101" s="24"/>
      <x:c r="G101" s="24"/>
      <x:c r="H101" s="62"/>
      <x:c r="I101" s="26"/>
      <x:c r="J101" s="27"/>
    </x:row>
    <x:row r="102">
      <x:c r="A102" s="26"/>
      <x:c r="B102" s="19"/>
      <x:c r="C102" s="19"/>
      <x:c r="D102" s="19"/>
      <x:c r="E102" s="19"/>
      <x:c r="F102" s="24"/>
      <x:c r="G102" s="24"/>
      <x:c r="H102" s="62"/>
      <x:c r="I102" s="26"/>
      <x:c r="J102" s="27"/>
    </x:row>
    <x:row r="103">
      <x:c r="A103" s="26"/>
      <x:c r="B103" s="19"/>
      <x:c r="C103" s="19"/>
      <x:c r="D103" s="19"/>
      <x:c r="E103" s="19"/>
      <x:c r="F103" s="24"/>
      <x:c r="G103" s="24"/>
      <x:c r="H103" s="62"/>
      <x:c r="I103" s="26"/>
      <x:c r="J103" s="27"/>
    </x:row>
    <x:row r="104">
      <x:c r="A104" s="26"/>
      <x:c r="B104" s="19"/>
      <x:c r="C104" s="19"/>
      <x:c r="D104" s="19"/>
      <x:c r="E104" s="19"/>
      <x:c r="F104" s="24"/>
      <x:c r="G104" s="24"/>
      <x:c r="H104" s="62"/>
      <x:c r="I104" s="26"/>
      <x:c r="J104" s="27"/>
    </x:row>
    <x:row r="105">
      <x:c r="A105" s="26"/>
      <x:c r="B105" s="19"/>
      <x:c r="C105" s="19"/>
      <x:c r="D105" s="19"/>
      <x:c r="E105" s="19"/>
      <x:c r="F105" s="24"/>
      <x:c r="G105" s="24"/>
      <x:c r="H105" s="62"/>
      <x:c r="I105" s="26"/>
      <x:c r="J105" s="27"/>
    </x:row>
    <x:row r="106">
      <x:c r="A106" s="26"/>
      <x:c r="B106" s="19"/>
      <x:c r="C106" s="19"/>
      <x:c r="D106" s="19"/>
      <x:c r="E106" s="19"/>
      <x:c r="F106" s="24"/>
      <x:c r="G106" s="24"/>
      <x:c r="H106" s="62"/>
      <x:c r="I106" s="26"/>
      <x:c r="J106" s="27"/>
    </x:row>
    <x:row r="107">
      <x:c r="A107" s="26"/>
      <x:c r="B107" s="19"/>
      <x:c r="C107" s="19"/>
      <x:c r="D107" s="19"/>
      <x:c r="E107" s="19"/>
      <x:c r="F107" s="24"/>
      <x:c r="G107" s="24"/>
      <x:c r="H107" s="62"/>
      <x:c r="I107" s="26"/>
      <x:c r="J107" s="27"/>
    </x:row>
    <x:row r="108">
      <x:c r="A108" s="26"/>
      <x:c r="B108" s="19"/>
      <x:c r="C108" s="19"/>
      <x:c r="D108" s="19"/>
      <x:c r="E108" s="19"/>
      <x:c r="F108" s="24"/>
      <x:c r="G108" s="24"/>
      <x:c r="H108" s="62"/>
      <x:c r="I108" s="26"/>
      <x:c r="J108" s="27"/>
    </x:row>
    <x:row r="109">
      <x:c r="A109" s="26"/>
      <x:c r="B109" s="19"/>
      <x:c r="C109" s="19"/>
      <x:c r="D109" s="19"/>
      <x:c r="E109" s="19"/>
      <x:c r="F109" s="24"/>
      <x:c r="G109" s="24"/>
      <x:c r="H109" s="62"/>
      <x:c r="I109" s="26"/>
      <x:c r="J109" s="27"/>
    </x:row>
    <x:row r="110">
      <x:c r="A110" s="26"/>
      <x:c r="B110" s="19"/>
      <x:c r="C110" s="19"/>
      <x:c r="D110" s="19"/>
      <x:c r="E110" s="19"/>
      <x:c r="F110" s="24"/>
      <x:c r="G110" s="24"/>
      <x:c r="H110" s="62"/>
      <x:c r="I110" s="26"/>
      <x:c r="J110" s="27"/>
    </x:row>
    <x:row r="111">
      <x:c r="A111" s="26"/>
      <x:c r="B111" s="19"/>
      <x:c r="C111" s="19"/>
      <x:c r="D111" s="19"/>
      <x:c r="E111" s="19"/>
      <x:c r="F111" s="24"/>
      <x:c r="G111" s="24"/>
      <x:c r="H111" s="62"/>
      <x:c r="I111" s="26"/>
      <x:c r="J111" s="27"/>
    </x:row>
    <x:row r="112">
      <x:c r="A112" s="26"/>
      <x:c r="B112" s="19"/>
      <x:c r="C112" s="19"/>
      <x:c r="D112" s="19"/>
      <x:c r="E112" s="19"/>
      <x:c r="F112" s="24"/>
      <x:c r="G112" s="24"/>
      <x:c r="H112" s="62"/>
      <x:c r="I112" s="26"/>
      <x:c r="J112" s="27"/>
    </x:row>
    <x:row r="113">
      <x:c r="A113" s="26"/>
      <x:c r="B113" s="19"/>
      <x:c r="C113" s="19"/>
      <x:c r="D113" s="19"/>
      <x:c r="E113" s="19"/>
      <x:c r="F113" s="24"/>
      <x:c r="G113" s="24"/>
      <x:c r="H113" s="62"/>
      <x:c r="I113" s="26"/>
      <x:c r="J113" s="27"/>
    </x:row>
    <x:row r="114">
      <x:c r="A114" s="26"/>
      <x:c r="B114" s="19"/>
      <x:c r="C114" s="19"/>
      <x:c r="D114" s="19"/>
      <x:c r="E114" s="19"/>
      <x:c r="F114" s="24"/>
      <x:c r="G114" s="24"/>
      <x:c r="H114" s="62"/>
      <x:c r="I114" s="26"/>
      <x:c r="J114" s="27"/>
    </x:row>
    <x:row r="115">
      <x:c r="A115" s="26"/>
      <x:c r="B115" s="19"/>
      <x:c r="C115" s="19"/>
      <x:c r="D115" s="19"/>
      <x:c r="E115" s="19"/>
      <x:c r="F115" s="24"/>
      <x:c r="G115" s="24"/>
      <x:c r="H115" s="62"/>
      <x:c r="I115" s="26"/>
      <x:c r="J115" s="27"/>
    </x:row>
    <x:row r="116">
      <x:c r="A116" s="26"/>
      <x:c r="B116" s="19"/>
      <x:c r="C116" s="19"/>
      <x:c r="D116" s="19"/>
      <x:c r="E116" s="19"/>
      <x:c r="F116" s="24"/>
      <x:c r="G116" s="24"/>
      <x:c r="H116" s="62"/>
      <x:c r="I116" s="26"/>
      <x:c r="J116" s="27"/>
    </x:row>
    <x:row r="117">
      <x:c r="A117" s="26"/>
      <x:c r="B117" s="19"/>
      <x:c r="C117" s="19"/>
      <x:c r="D117" s="19"/>
      <x:c r="E117" s="19"/>
      <x:c r="F117" s="24"/>
      <x:c r="G117" s="24"/>
      <x:c r="H117" s="62"/>
      <x:c r="I117" s="26"/>
      <x:c r="J117" s="27"/>
    </x:row>
    <x:row r="118">
      <x:c r="A118" s="26"/>
      <x:c r="B118" s="19"/>
      <x:c r="C118" s="19"/>
      <x:c r="D118" s="19"/>
      <x:c r="E118" s="19"/>
      <x:c r="F118" s="24"/>
      <x:c r="G118" s="24"/>
      <x:c r="H118" s="62"/>
      <x:c r="I118" s="26"/>
      <x:c r="J118" s="27"/>
    </x:row>
    <x:row r="119">
      <x:c r="A119" s="26"/>
      <x:c r="B119" s="19"/>
      <x:c r="C119" s="19"/>
      <x:c r="D119" s="19"/>
      <x:c r="E119" s="19"/>
      <x:c r="F119" s="24"/>
      <x:c r="G119" s="24"/>
      <x:c r="H119" s="62"/>
      <x:c r="I119" s="26"/>
      <x:c r="J119" s="27"/>
    </x:row>
    <x:row r="120">
      <x:c r="A120" s="26"/>
      <x:c r="B120" s="19"/>
      <x:c r="C120" s="19"/>
      <x:c r="D120" s="19"/>
      <x:c r="E120" s="19"/>
      <x:c r="F120" s="24"/>
      <x:c r="G120" s="24"/>
      <x:c r="H120" s="62"/>
      <x:c r="I120" s="26"/>
      <x:c r="J120" s="27"/>
    </x:row>
    <x:row r="121">
      <x:c r="A121" s="26"/>
      <x:c r="B121" s="19"/>
      <x:c r="C121" s="19"/>
      <x:c r="D121" s="19"/>
      <x:c r="E121" s="19"/>
      <x:c r="F121" s="24"/>
      <x:c r="G121" s="24"/>
      <x:c r="H121" s="62"/>
      <x:c r="I121" s="26"/>
      <x:c r="J121" s="27"/>
    </x:row>
    <x:row r="122">
      <x:c r="A122" s="26"/>
      <x:c r="B122" s="19"/>
      <x:c r="C122" s="19"/>
      <x:c r="D122" s="19"/>
      <x:c r="E122" s="19"/>
      <x:c r="F122" s="24"/>
      <x:c r="G122" s="24"/>
      <x:c r="H122" s="62"/>
      <x:c r="I122" s="26"/>
      <x:c r="J122" s="27"/>
    </x:row>
    <x:row r="123">
      <x:c r="A123" s="26"/>
      <x:c r="B123" s="19"/>
      <x:c r="C123" s="19"/>
      <x:c r="D123" s="19"/>
      <x:c r="E123" s="19"/>
      <x:c r="F123" s="24"/>
      <x:c r="G123" s="24"/>
      <x:c r="H123" s="62"/>
      <x:c r="I123" s="26"/>
      <x:c r="J123" s="27"/>
    </x:row>
    <x:row r="124">
      <x:c r="A124" s="26"/>
      <x:c r="B124" s="19"/>
      <x:c r="C124" s="19"/>
      <x:c r="D124" s="19"/>
      <x:c r="E124" s="19"/>
      <x:c r="F124" s="24"/>
      <x:c r="G124" s="24"/>
      <x:c r="H124" s="62"/>
      <x:c r="I124" s="26"/>
      <x:c r="J124" s="27"/>
    </x:row>
    <x:row r="125">
      <x:c r="A125" s="26"/>
      <x:c r="B125" s="19"/>
      <x:c r="C125" s="19"/>
      <x:c r="D125" s="19"/>
      <x:c r="E125" s="19"/>
      <x:c r="F125" s="24"/>
      <x:c r="G125" s="24"/>
      <x:c r="H125" s="62"/>
      <x:c r="I125" s="26"/>
      <x:c r="J125" s="27"/>
    </x:row>
    <x:row r="126">
      <x:c r="A126" s="26"/>
      <x:c r="B126" s="19"/>
      <x:c r="C126" s="19"/>
      <x:c r="D126" s="19"/>
      <x:c r="E126" s="19"/>
      <x:c r="F126" s="24"/>
      <x:c r="G126" s="24"/>
      <x:c r="H126" s="62"/>
      <x:c r="I126" s="26"/>
      <x:c r="J126" s="27"/>
    </x:row>
    <x:row r="127">
      <x:c r="A127" s="26"/>
      <x:c r="B127" s="19"/>
      <x:c r="C127" s="19"/>
      <x:c r="D127" s="19"/>
      <x:c r="E127" s="19"/>
      <x:c r="F127" s="24"/>
      <x:c r="G127" s="24"/>
      <x:c r="H127" s="62"/>
      <x:c r="I127" s="26"/>
      <x:c r="J127" s="27"/>
    </x:row>
    <x:row r="128">
      <x:c r="A128" s="26"/>
      <x:c r="B128" s="19"/>
      <x:c r="C128" s="19"/>
      <x:c r="D128" s="19"/>
      <x:c r="E128" s="19"/>
      <x:c r="F128" s="24"/>
      <x:c r="G128" s="24"/>
      <x:c r="H128" s="62"/>
      <x:c r="I128" s="26"/>
      <x:c r="J128" s="27"/>
    </x:row>
    <x:row r="129">
      <x:c r="A129" s="26"/>
      <x:c r="B129" s="19"/>
      <x:c r="C129" s="19"/>
      <x:c r="D129" s="19"/>
      <x:c r="E129" s="19"/>
      <x:c r="F129" s="24"/>
      <x:c r="G129" s="24"/>
      <x:c r="H129" s="62"/>
      <x:c r="I129" s="26"/>
      <x:c r="J129" s="27"/>
    </x:row>
    <x:row r="130">
      <x:c r="A130" s="26"/>
      <x:c r="B130" s="19"/>
      <x:c r="C130" s="19"/>
      <x:c r="D130" s="19"/>
      <x:c r="E130" s="19"/>
      <x:c r="F130" s="24"/>
      <x:c r="G130" s="24"/>
      <x:c r="H130" s="62"/>
      <x:c r="I130" s="26"/>
      <x:c r="J130" s="27"/>
    </x:row>
    <x:row r="131">
      <x:c r="A131" s="26"/>
      <x:c r="B131" s="19"/>
      <x:c r="C131" s="19"/>
      <x:c r="D131" s="19"/>
      <x:c r="E131" s="19"/>
      <x:c r="F131" s="24"/>
      <x:c r="G131" s="24"/>
      <x:c r="H131" s="62"/>
      <x:c r="I131" s="26"/>
      <x:c r="J131" s="27"/>
    </x:row>
    <x:row r="132">
      <x:c r="A132" s="26"/>
      <x:c r="B132" s="19"/>
      <x:c r="C132" s="19"/>
      <x:c r="D132" s="19"/>
      <x:c r="E132" s="19"/>
      <x:c r="F132" s="24"/>
      <x:c r="G132" s="24"/>
      <x:c r="H132" s="62"/>
      <x:c r="I132" s="26"/>
      <x:c r="J132" s="27"/>
    </x:row>
    <x:row r="133">
      <x:c r="A133" s="26"/>
      <x:c r="B133" s="19"/>
      <x:c r="C133" s="19"/>
      <x:c r="D133" s="19"/>
      <x:c r="E133" s="19"/>
      <x:c r="F133" s="24"/>
      <x:c r="G133" s="24"/>
      <x:c r="H133" s="62"/>
      <x:c r="I133" s="26"/>
      <x:c r="J133" s="27"/>
    </x:row>
    <x:row r="134">
      <x:c r="A134" s="26"/>
      <x:c r="B134" s="19"/>
      <x:c r="C134" s="19"/>
      <x:c r="D134" s="19"/>
      <x:c r="E134" s="19"/>
      <x:c r="F134" s="24"/>
      <x:c r="G134" s="24"/>
      <x:c r="H134" s="62"/>
      <x:c r="I134" s="26"/>
      <x:c r="J134" s="27"/>
    </x:row>
    <x:row r="135">
      <x:c r="A135" s="26"/>
      <x:c r="B135" s="19"/>
      <x:c r="C135" s="19"/>
      <x:c r="D135" s="19"/>
      <x:c r="E135" s="19"/>
      <x:c r="F135" s="24"/>
      <x:c r="G135" s="24"/>
      <x:c r="H135" s="62"/>
      <x:c r="I135" s="26"/>
      <x:c r="J135" s="27"/>
    </x:row>
    <x:row r="136">
      <x:c r="A136" s="26"/>
      <x:c r="B136" s="19"/>
      <x:c r="C136" s="19"/>
      <x:c r="D136" s="19"/>
      <x:c r="E136" s="19"/>
      <x:c r="F136" s="24"/>
      <x:c r="G136" s="24"/>
      <x:c r="H136" s="62"/>
      <x:c r="I136" s="26"/>
      <x:c r="J136" s="27"/>
    </x:row>
    <x:row r="137">
      <x:c r="A137" s="26"/>
      <x:c r="B137" s="19"/>
      <x:c r="C137" s="19"/>
      <x:c r="D137" s="19"/>
      <x:c r="E137" s="19"/>
      <x:c r="F137" s="24"/>
      <x:c r="G137" s="24"/>
      <x:c r="H137" s="62"/>
      <x:c r="I137" s="26"/>
      <x:c r="J137" s="27"/>
    </x:row>
    <x:row r="138">
      <x:c r="A138" s="26"/>
      <x:c r="B138" s="19"/>
      <x:c r="C138" s="19"/>
      <x:c r="D138" s="19"/>
      <x:c r="E138" s="19"/>
      <x:c r="F138" s="24"/>
      <x:c r="G138" s="24"/>
      <x:c r="H138" s="62"/>
      <x:c r="I138" s="26"/>
      <x:c r="J138" s="27"/>
    </x:row>
    <x:row r="139">
      <x:c r="A139" s="26"/>
      <x:c r="B139" s="19"/>
      <x:c r="C139" s="19"/>
      <x:c r="D139" s="19"/>
      <x:c r="E139" s="19"/>
      <x:c r="F139" s="24"/>
      <x:c r="G139" s="24"/>
      <x:c r="H139" s="62"/>
      <x:c r="I139" s="26"/>
      <x:c r="J139" s="27"/>
    </x:row>
    <x:row r="140">
      <x:c r="A140" s="26"/>
      <x:c r="B140" s="19"/>
      <x:c r="C140" s="19"/>
      <x:c r="D140" s="19"/>
      <x:c r="E140" s="19"/>
      <x:c r="F140" s="24"/>
      <x:c r="G140" s="24"/>
      <x:c r="H140" s="62"/>
      <x:c r="I140" s="26"/>
      <x:c r="J140" s="27"/>
    </x:row>
    <x:row r="141">
      <x:c r="A141" s="26"/>
      <x:c r="B141" s="19"/>
      <x:c r="C141" s="19"/>
      <x:c r="D141" s="19"/>
      <x:c r="E141" s="19"/>
      <x:c r="F141" s="24"/>
      <x:c r="G141" s="24"/>
      <x:c r="H141" s="62"/>
      <x:c r="I141" s="26"/>
      <x:c r="J141" s="27"/>
    </x:row>
    <x:row r="142">
      <x:c r="A142" s="26"/>
      <x:c r="B142" s="19"/>
      <x:c r="C142" s="19"/>
      <x:c r="D142" s="19"/>
      <x:c r="E142" s="19"/>
      <x:c r="F142" s="24"/>
      <x:c r="G142" s="24"/>
      <x:c r="H142" s="62"/>
      <x:c r="I142" s="26"/>
      <x:c r="J142" s="27"/>
    </x:row>
    <x:row r="143">
      <x:c r="A143" s="26"/>
      <x:c r="B143" s="19"/>
      <x:c r="C143" s="19"/>
      <x:c r="D143" s="19"/>
      <x:c r="E143" s="19"/>
      <x:c r="F143" s="24"/>
      <x:c r="G143" s="24"/>
      <x:c r="H143" s="62"/>
      <x:c r="I143" s="26"/>
      <x:c r="J143" s="27"/>
    </x:row>
    <x:row r="144">
      <x:c r="A144" s="26"/>
      <x:c r="B144" s="19"/>
      <x:c r="C144" s="19"/>
      <x:c r="D144" s="19"/>
      <x:c r="E144" s="19"/>
      <x:c r="F144" s="24"/>
      <x:c r="G144" s="24"/>
      <x:c r="H144" s="62"/>
      <x:c r="I144" s="26"/>
      <x:c r="J144" s="27"/>
    </x:row>
    <x:row r="145">
      <x:c r="A145" s="26"/>
      <x:c r="B145" s="19"/>
      <x:c r="C145" s="19"/>
      <x:c r="D145" s="19"/>
      <x:c r="E145" s="19"/>
      <x:c r="F145" s="24"/>
      <x:c r="G145" s="24"/>
      <x:c r="H145" s="62"/>
      <x:c r="I145" s="26"/>
      <x:c r="J145" s="27"/>
    </x:row>
    <x:row r="146">
      <x:c r="A146" s="26"/>
      <x:c r="B146" s="19"/>
      <x:c r="C146" s="19"/>
      <x:c r="D146" s="19"/>
      <x:c r="E146" s="19"/>
      <x:c r="F146" s="24"/>
      <x:c r="G146" s="24"/>
      <x:c r="H146" s="62"/>
      <x:c r="I146" s="26"/>
      <x:c r="J146" s="27"/>
    </x:row>
    <x:row r="147">
      <x:c r="A147" s="26"/>
      <x:c r="B147" s="19"/>
      <x:c r="C147" s="19"/>
      <x:c r="D147" s="19"/>
      <x:c r="E147" s="19"/>
      <x:c r="F147" s="24"/>
      <x:c r="G147" s="24"/>
      <x:c r="H147" s="62"/>
      <x:c r="I147" s="26"/>
      <x:c r="J147" s="27"/>
    </x:row>
    <x:row r="148">
      <x:c r="A148" s="26"/>
      <x:c r="B148" s="19"/>
      <x:c r="C148" s="19"/>
      <x:c r="D148" s="19"/>
      <x:c r="E148" s="19"/>
      <x:c r="F148" s="24"/>
      <x:c r="G148" s="24"/>
      <x:c r="H148" s="62"/>
      <x:c r="I148" s="26"/>
      <x:c r="J148" s="27"/>
    </x:row>
    <x:row r="149">
      <x:c r="A149" s="26"/>
      <x:c r="B149" s="19"/>
      <x:c r="C149" s="19"/>
      <x:c r="D149" s="19"/>
      <x:c r="E149" s="19"/>
      <x:c r="F149" s="24"/>
      <x:c r="G149" s="24"/>
      <x:c r="H149" s="62"/>
      <x:c r="I149" s="26"/>
      <x:c r="J149" s="27"/>
    </x:row>
    <x:row r="150">
      <x:c r="A150" s="26"/>
      <x:c r="B150" s="19"/>
      <x:c r="C150" s="19"/>
      <x:c r="D150" s="19"/>
      <x:c r="E150" s="19"/>
      <x:c r="F150" s="24"/>
      <x:c r="G150" s="24"/>
      <x:c r="H150" s="62"/>
      <x:c r="I150" s="26"/>
      <x:c r="J150" s="27"/>
    </x:row>
    <x:row r="151">
      <x:c r="A151" s="26"/>
      <x:c r="B151" s="19"/>
      <x:c r="C151" s="19"/>
      <x:c r="D151" s="19"/>
      <x:c r="E151" s="19"/>
      <x:c r="F151" s="24"/>
      <x:c r="G151" s="24"/>
      <x:c r="H151" s="62"/>
      <x:c r="I151" s="26"/>
      <x:c r="J151" s="27"/>
    </x:row>
    <x:row r="152">
      <x:c r="A152" s="26"/>
      <x:c r="B152" s="19"/>
      <x:c r="C152" s="19"/>
      <x:c r="D152" s="19"/>
      <x:c r="E152" s="19"/>
      <x:c r="F152" s="24"/>
      <x:c r="G152" s="24"/>
      <x:c r="H152" s="62"/>
      <x:c r="I152" s="26"/>
      <x:c r="J152" s="27"/>
    </x:row>
    <x:row r="153">
      <x:c r="A153" s="26"/>
      <x:c r="B153" s="19"/>
      <x:c r="C153" s="19"/>
      <x:c r="D153" s="19"/>
      <x:c r="E153" s="19"/>
      <x:c r="F153" s="24"/>
      <x:c r="G153" s="24"/>
      <x:c r="H153" s="62"/>
      <x:c r="I153" s="26"/>
      <x:c r="J153" s="27"/>
    </x:row>
    <x:row r="154">
      <x:c r="A154" s="26"/>
      <x:c r="B154" s="19"/>
      <x:c r="C154" s="19"/>
      <x:c r="D154" s="19"/>
      <x:c r="E154" s="19"/>
      <x:c r="F154" s="24"/>
      <x:c r="G154" s="24"/>
      <x:c r="H154" s="62"/>
      <x:c r="I154" s="26"/>
      <x:c r="J154" s="27"/>
    </x:row>
    <x:row r="155">
      <x:c r="A155" s="26"/>
      <x:c r="B155" s="19"/>
      <x:c r="C155" s="19"/>
      <x:c r="D155" s="19"/>
      <x:c r="E155" s="19"/>
      <x:c r="F155" s="24"/>
      <x:c r="G155" s="24"/>
      <x:c r="H155" s="62"/>
      <x:c r="I155" s="26"/>
      <x:c r="J155" s="27"/>
    </x:row>
    <x:row r="156">
      <x:c r="A156" s="26"/>
      <x:c r="B156" s="19"/>
      <x:c r="C156" s="19"/>
      <x:c r="D156" s="19"/>
      <x:c r="E156" s="19"/>
      <x:c r="F156" s="24"/>
      <x:c r="G156" s="24"/>
      <x:c r="H156" s="62"/>
      <x:c r="I156" s="26"/>
      <x:c r="J156" s="27"/>
    </x:row>
    <x:row r="157">
      <x:c r="A157" s="26"/>
      <x:c r="B157" s="19"/>
      <x:c r="C157" s="19"/>
      <x:c r="D157" s="19"/>
      <x:c r="E157" s="19"/>
      <x:c r="F157" s="24"/>
      <x:c r="G157" s="24"/>
      <x:c r="H157" s="62"/>
      <x:c r="I157" s="26"/>
      <x:c r="J157" s="27"/>
    </x:row>
    <x:row r="158">
      <x:c r="A158" s="26"/>
      <x:c r="B158" s="19"/>
      <x:c r="C158" s="19"/>
      <x:c r="D158" s="19"/>
      <x:c r="E158" s="19"/>
      <x:c r="F158" s="24"/>
      <x:c r="G158" s="24"/>
      <x:c r="H158" s="62"/>
      <x:c r="I158" s="26"/>
      <x:c r="J158" s="27"/>
    </x:row>
    <x:row r="159">
      <x:c r="A159" s="26"/>
      <x:c r="B159" s="19"/>
      <x:c r="C159" s="19"/>
      <x:c r="D159" s="19"/>
      <x:c r="E159" s="19"/>
      <x:c r="F159" s="24"/>
      <x:c r="G159" s="24"/>
      <x:c r="H159" s="62"/>
      <x:c r="I159" s="26"/>
      <x:c r="J159" s="27"/>
    </x:row>
    <x:row r="160">
      <x:c r="A160" s="26"/>
      <x:c r="B160" s="19"/>
      <x:c r="C160" s="19"/>
      <x:c r="D160" s="19"/>
      <x:c r="E160" s="19"/>
      <x:c r="F160" s="24"/>
      <x:c r="G160" s="24"/>
      <x:c r="H160" s="62"/>
      <x:c r="I160" s="26"/>
      <x:c r="J160" s="27"/>
    </x:row>
    <x:row r="161">
      <x:c r="A161" s="26"/>
      <x:c r="B161" s="19"/>
      <x:c r="C161" s="19"/>
      <x:c r="D161" s="19"/>
      <x:c r="E161" s="19"/>
      <x:c r="F161" s="24"/>
      <x:c r="G161" s="24"/>
      <x:c r="H161" s="62"/>
      <x:c r="I161" s="26"/>
      <x:c r="J161" s="27"/>
    </x:row>
    <x:row r="162">
      <x:c r="A162" s="26"/>
      <x:c r="B162" s="19"/>
      <x:c r="C162" s="19"/>
      <x:c r="D162" s="19"/>
      <x:c r="E162" s="19"/>
      <x:c r="F162" s="24"/>
      <x:c r="G162" s="24"/>
      <x:c r="H162" s="62"/>
      <x:c r="I162" s="26"/>
      <x:c r="J162" s="27"/>
    </x:row>
    <x:row r="163">
      <x:c r="A163" s="26"/>
      <x:c r="B163" s="19"/>
      <x:c r="C163" s="19"/>
      <x:c r="D163" s="19"/>
      <x:c r="E163" s="19"/>
      <x:c r="F163" s="24"/>
      <x:c r="G163" s="24"/>
      <x:c r="H163" s="62"/>
      <x:c r="I163" s="26"/>
      <x:c r="J163" s="27"/>
    </x:row>
    <x:row r="164">
      <x:c r="A164" s="26"/>
      <x:c r="B164" s="19"/>
      <x:c r="C164" s="19"/>
      <x:c r="D164" s="19"/>
      <x:c r="E164" s="19"/>
      <x:c r="F164" s="24"/>
      <x:c r="G164" s="24"/>
      <x:c r="H164" s="62"/>
      <x:c r="I164" s="26"/>
      <x:c r="J164" s="27"/>
    </x:row>
    <x:row r="165">
      <x:c r="A165" s="26"/>
      <x:c r="B165" s="19"/>
      <x:c r="C165" s="19"/>
      <x:c r="D165" s="19"/>
      <x:c r="E165" s="19"/>
      <x:c r="F165" s="24"/>
      <x:c r="G165" s="24"/>
      <x:c r="H165" s="62"/>
      <x:c r="I165" s="26"/>
      <x:c r="J165" s="27"/>
    </x:row>
    <x:row r="166">
      <x:c r="A166" s="26"/>
      <x:c r="B166" s="19"/>
      <x:c r="C166" s="19"/>
      <x:c r="D166" s="19"/>
      <x:c r="E166" s="19"/>
      <x:c r="F166" s="24"/>
      <x:c r="G166" s="24"/>
      <x:c r="H166" s="62"/>
      <x:c r="I166" s="26"/>
      <x:c r="J166" s="27"/>
    </x:row>
    <x:row r="167">
      <x:c r="A167" s="26"/>
      <x:c r="B167" s="19"/>
      <x:c r="C167" s="19"/>
      <x:c r="D167" s="19"/>
      <x:c r="E167" s="19"/>
      <x:c r="F167" s="24"/>
      <x:c r="G167" s="24"/>
      <x:c r="H167" s="62"/>
      <x:c r="I167" s="26"/>
      <x:c r="J167" s="27"/>
    </x:row>
    <x:row r="168">
      <x:c r="A168" s="26"/>
      <x:c r="B168" s="19"/>
      <x:c r="C168" s="19"/>
      <x:c r="D168" s="19"/>
      <x:c r="E168" s="19"/>
      <x:c r="F168" s="24"/>
      <x:c r="G168" s="24"/>
      <x:c r="H168" s="62"/>
      <x:c r="I168" s="26"/>
      <x:c r="J168" s="27"/>
    </x:row>
    <x:row r="169">
      <x:c r="A169" s="26"/>
      <x:c r="B169" s="19"/>
      <x:c r="C169" s="19"/>
      <x:c r="D169" s="19"/>
      <x:c r="E169" s="19"/>
      <x:c r="F169" s="24"/>
      <x:c r="G169" s="24"/>
      <x:c r="H169" s="62"/>
      <x:c r="I169" s="26"/>
      <x:c r="J169" s="27"/>
    </x:row>
    <x:row r="170">
      <x:c r="A170" s="26"/>
      <x:c r="B170" s="19"/>
      <x:c r="C170" s="19"/>
      <x:c r="D170" s="19"/>
      <x:c r="E170" s="19"/>
      <x:c r="F170" s="24"/>
      <x:c r="G170" s="24"/>
      <x:c r="H170" s="62"/>
      <x:c r="I170" s="26"/>
      <x:c r="J170" s="27"/>
    </x:row>
    <x:row r="171">
      <x:c r="A171" s="26"/>
      <x:c r="B171" s="19"/>
      <x:c r="C171" s="19"/>
      <x:c r="D171" s="19"/>
      <x:c r="E171" s="19"/>
      <x:c r="F171" s="24"/>
      <x:c r="G171" s="24"/>
      <x:c r="H171" s="62"/>
      <x:c r="I171" s="26"/>
      <x:c r="J171" s="27"/>
    </x:row>
    <x:row r="172">
      <x:c r="A172" s="26"/>
      <x:c r="B172" s="19"/>
      <x:c r="C172" s="19"/>
      <x:c r="D172" s="19"/>
      <x:c r="E172" s="19"/>
      <x:c r="F172" s="24"/>
      <x:c r="G172" s="24"/>
      <x:c r="H172" s="62"/>
      <x:c r="I172" s="26"/>
      <x:c r="J172" s="27"/>
    </x:row>
    <x:row r="173">
      <x:c r="A173" s="26"/>
      <x:c r="B173" s="19"/>
      <x:c r="C173" s="19"/>
      <x:c r="D173" s="19"/>
      <x:c r="E173" s="19"/>
      <x:c r="F173" s="24"/>
      <x:c r="G173" s="24"/>
      <x:c r="H173" s="62"/>
      <x:c r="I173" s="26"/>
      <x:c r="J173" s="27"/>
    </x:row>
    <x:row r="174">
      <x:c r="A174" s="26"/>
      <x:c r="B174" s="19"/>
      <x:c r="C174" s="19"/>
      <x:c r="D174" s="19"/>
      <x:c r="E174" s="19"/>
      <x:c r="F174" s="24"/>
      <x:c r="G174" s="24"/>
      <x:c r="H174" s="62"/>
      <x:c r="I174" s="26"/>
      <x:c r="J174" s="27"/>
    </x:row>
    <x:row r="175">
      <x:c r="A175" s="26"/>
      <x:c r="B175" s="19"/>
      <x:c r="C175" s="19"/>
      <x:c r="D175" s="19"/>
      <x:c r="E175" s="19"/>
      <x:c r="F175" s="24"/>
      <x:c r="G175" s="24"/>
      <x:c r="H175" s="62"/>
      <x:c r="I175" s="26"/>
      <x:c r="J175" s="27"/>
    </x:row>
    <x:row r="176">
      <x:c r="A176" s="26"/>
      <x:c r="B176" s="19"/>
      <x:c r="C176" s="19"/>
      <x:c r="D176" s="19"/>
      <x:c r="E176" s="19"/>
      <x:c r="F176" s="24"/>
      <x:c r="G176" s="24"/>
      <x:c r="H176" s="62"/>
      <x:c r="I176" s="26"/>
      <x:c r="J176" s="27"/>
    </x:row>
    <x:row r="177">
      <x:c r="A177" s="26"/>
      <x:c r="B177" s="19"/>
      <x:c r="C177" s="19"/>
      <x:c r="D177" s="19"/>
      <x:c r="E177" s="19"/>
      <x:c r="F177" s="24"/>
      <x:c r="G177" s="24"/>
      <x:c r="H177" s="62"/>
      <x:c r="I177" s="26"/>
      <x:c r="J177" s="27"/>
    </x:row>
    <x:row r="178">
      <x:c r="A178" s="26"/>
      <x:c r="B178" s="19"/>
      <x:c r="C178" s="19"/>
      <x:c r="D178" s="19"/>
      <x:c r="E178" s="19"/>
      <x:c r="F178" s="24"/>
      <x:c r="G178" s="24"/>
      <x:c r="H178" s="62"/>
      <x:c r="I178" s="26"/>
      <x:c r="J178" s="27"/>
    </x:row>
    <x:row r="179">
      <x:c r="A179" s="26"/>
      <x:c r="B179" s="19"/>
      <x:c r="C179" s="19"/>
      <x:c r="D179" s="19"/>
      <x:c r="E179" s="19"/>
      <x:c r="F179" s="24"/>
      <x:c r="G179" s="24"/>
      <x:c r="H179" s="62"/>
      <x:c r="I179" s="26"/>
      <x:c r="J179" s="27"/>
    </x:row>
    <x:row r="180">
      <x:c r="A180" s="26"/>
      <x:c r="B180" s="19"/>
      <x:c r="C180" s="19"/>
      <x:c r="D180" s="19"/>
      <x:c r="E180" s="19"/>
      <x:c r="F180" s="24"/>
      <x:c r="G180" s="24"/>
      <x:c r="H180" s="62"/>
      <x:c r="I180" s="26"/>
      <x:c r="J180" s="27"/>
    </x:row>
    <x:row r="181">
      <x:c r="A181" s="26"/>
      <x:c r="B181" s="19"/>
      <x:c r="C181" s="19"/>
      <x:c r="D181" s="19"/>
      <x:c r="E181" s="19"/>
      <x:c r="F181" s="24"/>
      <x:c r="G181" s="24"/>
      <x:c r="H181" s="62"/>
      <x:c r="I181" s="26"/>
      <x:c r="J181" s="27"/>
    </x:row>
    <x:row r="182">
      <x:c r="A182" s="26"/>
      <x:c r="B182" s="19"/>
      <x:c r="C182" s="19"/>
      <x:c r="D182" s="19"/>
      <x:c r="E182" s="19"/>
      <x:c r="F182" s="24"/>
      <x:c r="G182" s="24"/>
      <x:c r="H182" s="62"/>
      <x:c r="I182" s="26"/>
      <x:c r="J182" s="27"/>
    </x:row>
    <x:row r="183">
      <x:c r="A183" s="26"/>
      <x:c r="B183" s="19"/>
      <x:c r="C183" s="19"/>
      <x:c r="D183" s="19"/>
      <x:c r="E183" s="19"/>
      <x:c r="F183" s="24"/>
      <x:c r="G183" s="24"/>
      <x:c r="H183" s="62"/>
      <x:c r="I183" s="26"/>
      <x:c r="J183" s="27"/>
    </x:row>
    <x:row r="184">
      <x:c r="A184" s="26"/>
      <x:c r="B184" s="19"/>
      <x:c r="C184" s="19"/>
      <x:c r="D184" s="19"/>
      <x:c r="E184" s="19"/>
      <x:c r="F184" s="24"/>
      <x:c r="G184" s="24"/>
      <x:c r="H184" s="62"/>
      <x:c r="I184" s="26"/>
      <x:c r="J184" s="27"/>
    </x:row>
    <x:row r="185">
      <x:c r="A185" s="26"/>
      <x:c r="B185" s="19"/>
      <x:c r="C185" s="19"/>
      <x:c r="D185" s="19"/>
      <x:c r="E185" s="19"/>
      <x:c r="F185" s="24"/>
      <x:c r="G185" s="24"/>
      <x:c r="H185" s="62"/>
      <x:c r="I185" s="26"/>
      <x:c r="J185" s="27"/>
    </x:row>
    <x:row r="186">
      <x:c r="A186" s="26"/>
      <x:c r="B186" s="19"/>
      <x:c r="C186" s="19"/>
      <x:c r="D186" s="19"/>
      <x:c r="E186" s="19"/>
      <x:c r="F186" s="24"/>
      <x:c r="G186" s="24"/>
      <x:c r="H186" s="62"/>
      <x:c r="I186" s="26"/>
      <x:c r="J186" s="27"/>
    </x:row>
    <x:row r="187">
      <x:c r="A187" s="26"/>
      <x:c r="B187" s="19"/>
      <x:c r="C187" s="19"/>
      <x:c r="D187" s="19"/>
      <x:c r="E187" s="19"/>
      <x:c r="F187" s="24"/>
      <x:c r="G187" s="24"/>
      <x:c r="H187" s="62"/>
      <x:c r="I187" s="26"/>
      <x:c r="J187" s="27"/>
    </x:row>
    <x:row r="188">
      <x:c r="A188" s="26"/>
      <x:c r="B188" s="19"/>
      <x:c r="C188" s="19"/>
      <x:c r="D188" s="19"/>
      <x:c r="E188" s="19"/>
      <x:c r="F188" s="24"/>
      <x:c r="G188" s="24"/>
      <x:c r="H188" s="62"/>
      <x:c r="I188" s="26"/>
      <x:c r="J188" s="27"/>
    </x:row>
    <x:row r="189">
      <x:c r="A189" s="26"/>
      <x:c r="B189" s="19"/>
      <x:c r="C189" s="19"/>
      <x:c r="D189" s="19"/>
      <x:c r="E189" s="19"/>
      <x:c r="F189" s="24"/>
      <x:c r="G189" s="24"/>
      <x:c r="H189" s="62"/>
      <x:c r="I189" s="26"/>
      <x:c r="J189" s="27"/>
    </x:row>
    <x:row r="190">
      <x:c r="A190" s="26"/>
      <x:c r="B190" s="19"/>
      <x:c r="C190" s="19"/>
      <x:c r="D190" s="19"/>
      <x:c r="E190" s="19"/>
      <x:c r="F190" s="24"/>
      <x:c r="G190" s="24"/>
      <x:c r="H190" s="62"/>
      <x:c r="I190" s="26"/>
      <x:c r="J190" s="27"/>
    </x:row>
    <x:row r="191">
      <x:c r="A191" s="26"/>
      <x:c r="B191" s="19"/>
      <x:c r="C191" s="19"/>
      <x:c r="D191" s="19"/>
      <x:c r="E191" s="19"/>
      <x:c r="F191" s="24"/>
      <x:c r="G191" s="24"/>
      <x:c r="H191" s="62"/>
      <x:c r="I191" s="26"/>
      <x:c r="J191" s="27"/>
    </x:row>
    <x:row r="192">
      <x:c r="A192" s="26"/>
      <x:c r="B192" s="19"/>
      <x:c r="C192" s="19"/>
      <x:c r="D192" s="19"/>
      <x:c r="E192" s="19"/>
      <x:c r="F192" s="24"/>
      <x:c r="G192" s="24"/>
      <x:c r="H192" s="62"/>
      <x:c r="I192" s="26"/>
      <x:c r="J192" s="27"/>
    </x:row>
    <x:row r="193">
      <x:c r="A193" s="26"/>
      <x:c r="B193" s="19"/>
      <x:c r="C193" s="19"/>
      <x:c r="D193" s="19"/>
      <x:c r="E193" s="19"/>
      <x:c r="F193" s="24"/>
      <x:c r="G193" s="24"/>
      <x:c r="H193" s="62"/>
      <x:c r="I193" s="26"/>
      <x:c r="J193" s="27"/>
    </x:row>
    <x:row r="194">
      <x:c r="A194" s="26"/>
      <x:c r="B194" s="19"/>
      <x:c r="C194" s="19"/>
      <x:c r="D194" s="19"/>
      <x:c r="E194" s="19"/>
      <x:c r="F194" s="24"/>
      <x:c r="G194" s="24"/>
      <x:c r="H194" s="62"/>
      <x:c r="I194" s="26"/>
      <x:c r="J194" s="27"/>
    </x:row>
    <x:row r="195">
      <x:c r="A195" s="26"/>
      <x:c r="B195" s="19"/>
      <x:c r="C195" s="19"/>
      <x:c r="D195" s="19"/>
      <x:c r="E195" s="19"/>
      <x:c r="F195" s="24"/>
      <x:c r="G195" s="24"/>
      <x:c r="H195" s="62"/>
      <x:c r="I195" s="26"/>
      <x:c r="J195" s="27"/>
    </x:row>
    <x:row r="196">
      <x:c r="A196" s="26"/>
      <x:c r="B196" s="19"/>
      <x:c r="C196" s="19"/>
      <x:c r="D196" s="19"/>
      <x:c r="E196" s="19"/>
      <x:c r="F196" s="24"/>
      <x:c r="G196" s="24"/>
      <x:c r="H196" s="62"/>
      <x:c r="I196" s="26"/>
      <x:c r="J196" s="27"/>
    </x:row>
    <x:row r="197">
      <x:c r="A197" s="26"/>
      <x:c r="B197" s="19"/>
      <x:c r="C197" s="19"/>
      <x:c r="D197" s="19"/>
      <x:c r="E197" s="19"/>
      <x:c r="F197" s="24"/>
      <x:c r="G197" s="24"/>
      <x:c r="H197" s="62"/>
      <x:c r="I197" s="26"/>
      <x:c r="J197" s="27"/>
    </x:row>
    <x:row r="198">
      <x:c r="A198" s="26"/>
      <x:c r="B198" s="19"/>
      <x:c r="C198" s="19"/>
      <x:c r="D198" s="19"/>
      <x:c r="E198" s="19"/>
      <x:c r="F198" s="24"/>
      <x:c r="G198" s="24"/>
      <x:c r="H198" s="62"/>
      <x:c r="I198" s="26"/>
      <x:c r="J198" s="27"/>
    </x:row>
    <x:row r="199">
      <x:c r="A199" s="26"/>
      <x:c r="B199" s="19"/>
      <x:c r="C199" s="19"/>
      <x:c r="D199" s="19"/>
      <x:c r="E199" s="19"/>
      <x:c r="F199" s="24"/>
      <x:c r="G199" s="24"/>
      <x:c r="H199" s="62"/>
      <x:c r="I199" s="26"/>
      <x:c r="J199" s="27"/>
    </x:row>
    <x:row r="200">
      <x:c r="A200" s="26"/>
      <x:c r="B200" s="19"/>
      <x:c r="C200" s="19"/>
      <x:c r="D200" s="19"/>
      <x:c r="E200" s="19"/>
      <x:c r="F200" s="24"/>
      <x:c r="G200" s="24"/>
      <x:c r="H200" s="62"/>
      <x:c r="I200" s="26"/>
      <x:c r="J200" s="27"/>
    </x:row>
    <x:row r="201">
      <x:c r="A201" s="26"/>
      <x:c r="B201" s="19"/>
      <x:c r="C201" s="19"/>
      <x:c r="D201" s="19"/>
      <x:c r="E201" s="19"/>
      <x:c r="F201" s="24"/>
      <x:c r="G201" s="24"/>
      <x:c r="H201" s="62"/>
      <x:c r="I201" s="26"/>
      <x:c r="J201" s="27"/>
    </x:row>
    <x:row r="202">
      <x:c r="A202" s="26"/>
      <x:c r="B202" s="19"/>
      <x:c r="C202" s="19"/>
      <x:c r="D202" s="19"/>
      <x:c r="E202" s="19"/>
      <x:c r="F202" s="24"/>
      <x:c r="G202" s="24"/>
      <x:c r="H202" s="62"/>
      <x:c r="I202" s="26"/>
      <x:c r="J202" s="27"/>
    </x:row>
    <x:row r="203">
      <x:c r="A203" s="26"/>
      <x:c r="B203" s="19"/>
      <x:c r="C203" s="19"/>
      <x:c r="D203" s="19"/>
      <x:c r="E203" s="19"/>
      <x:c r="F203" s="24"/>
      <x:c r="G203" s="24"/>
      <x:c r="H203" s="62"/>
      <x:c r="I203" s="26"/>
      <x:c r="J203" s="27"/>
    </x:row>
    <x:row r="204">
      <x:c r="A204" s="26"/>
      <x:c r="B204" s="19"/>
      <x:c r="C204" s="19"/>
      <x:c r="D204" s="19"/>
      <x:c r="E204" s="19"/>
      <x:c r="F204" s="24"/>
      <x:c r="G204" s="24"/>
      <x:c r="H204" s="62"/>
      <x:c r="I204" s="26"/>
      <x:c r="J204" s="27"/>
    </x:row>
    <x:row r="205">
      <x:c r="A205" s="26"/>
      <x:c r="B205" s="19"/>
      <x:c r="C205" s="19"/>
      <x:c r="D205" s="19"/>
      <x:c r="E205" s="19"/>
      <x:c r="F205" s="24"/>
      <x:c r="G205" s="24"/>
      <x:c r="H205" s="62"/>
      <x:c r="I205" s="26"/>
      <x:c r="J205" s="27"/>
    </x:row>
    <x:row r="206">
      <x:c r="A206" s="26"/>
      <x:c r="B206" s="19"/>
      <x:c r="C206" s="19"/>
      <x:c r="D206" s="19"/>
      <x:c r="E206" s="19"/>
      <x:c r="F206" s="24"/>
      <x:c r="G206" s="24"/>
      <x:c r="H206" s="62"/>
      <x:c r="I206" s="26"/>
      <x:c r="J206" s="27"/>
    </x:row>
    <x:row r="207">
      <x:c r="A207" s="26"/>
      <x:c r="B207" s="19"/>
      <x:c r="C207" s="19"/>
      <x:c r="D207" s="19"/>
      <x:c r="E207" s="19"/>
      <x:c r="F207" s="24"/>
      <x:c r="G207" s="24"/>
      <x:c r="H207" s="62"/>
      <x:c r="I207" s="26"/>
      <x:c r="J207" s="27"/>
    </x:row>
    <x:row r="208">
      <x:c r="A208" s="26"/>
      <x:c r="B208" s="19"/>
      <x:c r="C208" s="19"/>
      <x:c r="D208" s="19"/>
      <x:c r="E208" s="19"/>
      <x:c r="F208" s="24"/>
      <x:c r="G208" s="24"/>
      <x:c r="H208" s="62"/>
      <x:c r="I208" s="26"/>
      <x:c r="J208" s="27"/>
    </x:row>
    <x:row r="209">
      <x:c r="A209" s="26"/>
      <x:c r="B209" s="19"/>
      <x:c r="C209" s="19"/>
      <x:c r="D209" s="19"/>
      <x:c r="E209" s="19"/>
      <x:c r="F209" s="24"/>
      <x:c r="G209" s="24"/>
      <x:c r="H209" s="62"/>
      <x:c r="I209" s="26"/>
      <x:c r="J209" s="27"/>
    </x:row>
    <x:row r="210">
      <x:c r="A210" s="26"/>
      <x:c r="B210" s="19"/>
      <x:c r="C210" s="19"/>
      <x:c r="D210" s="19"/>
      <x:c r="E210" s="19"/>
      <x:c r="F210" s="24"/>
      <x:c r="G210" s="24"/>
      <x:c r="H210" s="62"/>
      <x:c r="I210" s="26"/>
      <x:c r="J210" s="27"/>
    </x:row>
    <x:row r="211">
      <x:c r="A211" s="26"/>
      <x:c r="B211" s="19"/>
      <x:c r="C211" s="19"/>
      <x:c r="D211" s="19"/>
      <x:c r="E211" s="19"/>
      <x:c r="F211" s="24"/>
      <x:c r="G211" s="24"/>
      <x:c r="H211" s="62"/>
      <x:c r="I211" s="26"/>
      <x:c r="J211" s="27"/>
    </x:row>
    <x:row r="212">
      <x:c r="A212" s="26"/>
      <x:c r="B212" s="19"/>
      <x:c r="C212" s="19"/>
      <x:c r="D212" s="19"/>
      <x:c r="E212" s="19"/>
      <x:c r="F212" s="24"/>
      <x:c r="G212" s="24"/>
      <x:c r="H212" s="62"/>
      <x:c r="I212" s="26"/>
      <x:c r="J212" s="27"/>
    </x:row>
    <x:row r="213">
      <x:c r="A213" s="26"/>
      <x:c r="B213" s="19"/>
      <x:c r="C213" s="19"/>
      <x:c r="D213" s="19"/>
      <x:c r="E213" s="19"/>
      <x:c r="F213" s="24"/>
      <x:c r="G213" s="24"/>
      <x:c r="H213" s="62"/>
      <x:c r="I213" s="26"/>
      <x:c r="J213" s="27"/>
    </x:row>
    <x:row r="214">
      <x:c r="A214" s="26"/>
      <x:c r="B214" s="19"/>
      <x:c r="C214" s="19"/>
      <x:c r="D214" s="19"/>
      <x:c r="E214" s="19"/>
      <x:c r="F214" s="24"/>
      <x:c r="G214" s="24"/>
      <x:c r="H214" s="62"/>
      <x:c r="I214" s="26"/>
      <x:c r="J214" s="27"/>
    </x:row>
    <x:row r="215">
      <x:c r="A215" s="26"/>
      <x:c r="B215" s="19"/>
      <x:c r="C215" s="19"/>
      <x:c r="D215" s="19"/>
      <x:c r="E215" s="19"/>
      <x:c r="F215" s="24"/>
      <x:c r="G215" s="24"/>
      <x:c r="H215" s="62"/>
      <x:c r="I215" s="26"/>
      <x:c r="J215" s="27"/>
    </x:row>
    <x:row r="216">
      <x:c r="A216" s="26"/>
      <x:c r="B216" s="19"/>
      <x:c r="C216" s="19"/>
      <x:c r="D216" s="19"/>
      <x:c r="E216" s="19"/>
      <x:c r="F216" s="24"/>
      <x:c r="G216" s="24"/>
      <x:c r="H216" s="62"/>
      <x:c r="I216" s="26"/>
      <x:c r="J216" s="27"/>
    </x:row>
    <x:row r="217">
      <x:c r="A217" s="26"/>
      <x:c r="B217" s="19"/>
      <x:c r="C217" s="19"/>
      <x:c r="D217" s="19"/>
      <x:c r="E217" s="19"/>
      <x:c r="F217" s="24"/>
      <x:c r="G217" s="24"/>
      <x:c r="H217" s="62"/>
      <x:c r="I217" s="26"/>
      <x:c r="J217" s="27"/>
    </x:row>
    <x:row r="218">
      <x:c r="A218" s="26"/>
      <x:c r="B218" s="19"/>
      <x:c r="C218" s="19"/>
      <x:c r="D218" s="19"/>
      <x:c r="E218" s="19"/>
      <x:c r="F218" s="24"/>
      <x:c r="G218" s="24"/>
      <x:c r="H218" s="62"/>
      <x:c r="I218" s="26"/>
      <x:c r="J218" s="27"/>
    </x:row>
    <x:row r="219">
      <x:c r="A219" s="26"/>
      <x:c r="B219" s="19"/>
      <x:c r="C219" s="19"/>
      <x:c r="D219" s="19"/>
      <x:c r="E219" s="19"/>
      <x:c r="F219" s="24"/>
      <x:c r="G219" s="24"/>
      <x:c r="H219" s="62"/>
      <x:c r="I219" s="26"/>
      <x:c r="J219" s="27"/>
    </x:row>
    <x:row r="220">
      <x:c r="A220" s="26"/>
      <x:c r="B220" s="19"/>
      <x:c r="C220" s="19"/>
      <x:c r="D220" s="19"/>
      <x:c r="E220" s="19"/>
      <x:c r="F220" s="24"/>
      <x:c r="G220" s="24"/>
      <x:c r="H220" s="62"/>
      <x:c r="I220" s="26"/>
      <x:c r="J220" s="27"/>
    </x:row>
    <x:row r="221">
      <x:c r="A221" s="26"/>
      <x:c r="B221" s="19"/>
      <x:c r="C221" s="19"/>
      <x:c r="D221" s="19"/>
      <x:c r="E221" s="19"/>
      <x:c r="F221" s="24"/>
      <x:c r="G221" s="24"/>
      <x:c r="H221" s="62"/>
      <x:c r="I221" s="26"/>
      <x:c r="J221" s="27"/>
    </x:row>
    <x:row r="222">
      <x:c r="A222" s="26"/>
      <x:c r="B222" s="19"/>
      <x:c r="C222" s="19"/>
      <x:c r="D222" s="19"/>
      <x:c r="E222" s="19"/>
      <x:c r="F222" s="24"/>
      <x:c r="G222" s="24"/>
      <x:c r="H222" s="62"/>
      <x:c r="I222" s="26"/>
      <x:c r="J222" s="27"/>
    </x:row>
    <x:row r="223">
      <x:c r="A223" s="26"/>
      <x:c r="B223" s="19"/>
      <x:c r="C223" s="19"/>
      <x:c r="D223" s="19"/>
      <x:c r="E223" s="19"/>
      <x:c r="F223" s="24"/>
      <x:c r="G223" s="24"/>
      <x:c r="H223" s="62"/>
      <x:c r="I223" s="26"/>
      <x:c r="J223" s="27"/>
    </x:row>
    <x:row r="224">
      <x:c r="A224" s="26"/>
      <x:c r="B224" s="19"/>
      <x:c r="C224" s="19"/>
      <x:c r="D224" s="19"/>
      <x:c r="E224" s="19"/>
      <x:c r="F224" s="24"/>
      <x:c r="G224" s="24"/>
      <x:c r="H224" s="62"/>
      <x:c r="I224" s="26"/>
      <x:c r="J224" s="27"/>
    </x:row>
    <x:row r="225">
      <x:c r="A225" s="26"/>
      <x:c r="B225" s="19"/>
      <x:c r="C225" s="19"/>
      <x:c r="D225" s="19"/>
      <x:c r="E225" s="19"/>
      <x:c r="F225" s="24"/>
      <x:c r="G225" s="24"/>
      <x:c r="H225" s="62"/>
      <x:c r="I225" s="26"/>
      <x:c r="J225" s="27"/>
    </x:row>
    <x:row r="226">
      <x:c r="A226" s="26"/>
      <x:c r="B226" s="19"/>
      <x:c r="C226" s="19"/>
      <x:c r="D226" s="19"/>
      <x:c r="E226" s="19"/>
      <x:c r="F226" s="24"/>
      <x:c r="G226" s="24"/>
      <x:c r="H226" s="62"/>
      <x:c r="I226" s="26"/>
      <x:c r="J226" s="27"/>
    </x:row>
    <x:row r="227">
      <x:c r="A227" s="26"/>
      <x:c r="B227" s="19"/>
      <x:c r="C227" s="19"/>
      <x:c r="D227" s="19"/>
      <x:c r="E227" s="19"/>
      <x:c r="F227" s="24"/>
      <x:c r="G227" s="24"/>
      <x:c r="H227" s="62"/>
      <x:c r="I227" s="26"/>
      <x:c r="J227" s="27"/>
    </x:row>
    <x:row r="228">
      <x:c r="A228" s="26"/>
      <x:c r="B228" s="19"/>
      <x:c r="C228" s="19"/>
      <x:c r="D228" s="19"/>
      <x:c r="E228" s="19"/>
      <x:c r="F228" s="24"/>
      <x:c r="G228" s="24"/>
      <x:c r="H228" s="62"/>
      <x:c r="I228" s="26"/>
      <x:c r="J228" s="27"/>
    </x:row>
    <x:row r="229">
      <x:c r="A229" s="26"/>
      <x:c r="B229" s="19"/>
      <x:c r="C229" s="19"/>
      <x:c r="D229" s="19"/>
      <x:c r="E229" s="19"/>
      <x:c r="F229" s="24"/>
      <x:c r="G229" s="24"/>
      <x:c r="H229" s="62"/>
      <x:c r="I229" s="26"/>
      <x:c r="J229" s="27"/>
    </x:row>
    <x:row r="230">
      <x:c r="A230" s="26"/>
      <x:c r="B230" s="19"/>
      <x:c r="C230" s="19"/>
      <x:c r="D230" s="19"/>
      <x:c r="E230" s="19"/>
      <x:c r="F230" s="24"/>
      <x:c r="G230" s="24"/>
      <x:c r="H230" s="62"/>
      <x:c r="I230" s="26"/>
      <x:c r="J230" s="27"/>
    </x:row>
    <x:row r="231">
      <x:c r="A231" s="26"/>
      <x:c r="B231" s="19"/>
      <x:c r="C231" s="19"/>
      <x:c r="D231" s="19"/>
      <x:c r="E231" s="19"/>
      <x:c r="F231" s="24"/>
      <x:c r="G231" s="24"/>
      <x:c r="H231" s="62"/>
      <x:c r="I231" s="26"/>
      <x:c r="J231" s="27"/>
    </x:row>
    <x:row r="232">
      <x:c r="A232" s="26"/>
      <x:c r="B232" s="19"/>
      <x:c r="C232" s="19"/>
      <x:c r="D232" s="19"/>
      <x:c r="E232" s="19"/>
      <x:c r="F232" s="24"/>
      <x:c r="G232" s="24"/>
      <x:c r="H232" s="62"/>
      <x:c r="I232" s="26"/>
      <x:c r="J232" s="27"/>
    </x:row>
    <x:row r="233">
      <x:c r="A233" s="26"/>
      <x:c r="B233" s="19"/>
      <x:c r="C233" s="19"/>
      <x:c r="D233" s="19"/>
      <x:c r="E233" s="19"/>
      <x:c r="F233" s="24"/>
      <x:c r="G233" s="24"/>
      <x:c r="H233" s="62"/>
      <x:c r="I233" s="26"/>
      <x:c r="J233" s="27"/>
    </x:row>
    <x:row r="234">
      <x:c r="A234" s="26"/>
      <x:c r="B234" s="19"/>
      <x:c r="C234" s="19"/>
      <x:c r="D234" s="19"/>
      <x:c r="E234" s="19"/>
      <x:c r="F234" s="24"/>
      <x:c r="G234" s="24"/>
      <x:c r="H234" s="62"/>
      <x:c r="I234" s="26"/>
      <x:c r="J234" s="27"/>
    </x:row>
    <x:row r="235">
      <x:c r="A235" s="26"/>
      <x:c r="B235" s="19"/>
      <x:c r="C235" s="19"/>
      <x:c r="D235" s="19"/>
      <x:c r="E235" s="19"/>
      <x:c r="F235" s="24"/>
      <x:c r="G235" s="24"/>
      <x:c r="H235" s="62"/>
      <x:c r="I235" s="26"/>
      <x:c r="J235" s="27"/>
    </x:row>
    <x:row r="236">
      <x:c r="A236" s="26"/>
      <x:c r="B236" s="19"/>
      <x:c r="C236" s="19"/>
      <x:c r="D236" s="19"/>
      <x:c r="E236" s="19"/>
      <x:c r="F236" s="24"/>
      <x:c r="G236" s="24"/>
      <x:c r="H236" s="62"/>
      <x:c r="I236" s="26"/>
      <x:c r="J236" s="27"/>
    </x:row>
    <x:row r="237">
      <x:c r="A237" s="26"/>
      <x:c r="B237" s="19"/>
      <x:c r="C237" s="19"/>
      <x:c r="D237" s="19"/>
      <x:c r="E237" s="19"/>
      <x:c r="F237" s="24"/>
      <x:c r="G237" s="24"/>
      <x:c r="H237" s="62"/>
      <x:c r="I237" s="26"/>
      <x:c r="J237" s="27"/>
    </x:row>
    <x:row r="238">
      <x:c r="A238" s="26"/>
      <x:c r="B238" s="19"/>
      <x:c r="C238" s="19"/>
      <x:c r="D238" s="19"/>
      <x:c r="E238" s="19"/>
      <x:c r="F238" s="24"/>
      <x:c r="G238" s="24"/>
      <x:c r="H238" s="62"/>
      <x:c r="I238" s="26"/>
      <x:c r="J238" s="27"/>
    </x:row>
    <x:row r="239">
      <x:c r="A239" s="26"/>
      <x:c r="B239" s="19"/>
      <x:c r="C239" s="19"/>
      <x:c r="D239" s="19"/>
      <x:c r="E239" s="19"/>
      <x:c r="F239" s="24"/>
      <x:c r="G239" s="24"/>
      <x:c r="H239" s="62"/>
      <x:c r="I239" s="26"/>
      <x:c r="J239" s="27"/>
    </x:row>
    <x:row r="240">
      <x:c r="A240" s="26"/>
      <x:c r="B240" s="19"/>
      <x:c r="C240" s="19"/>
      <x:c r="D240" s="19"/>
      <x:c r="E240" s="19"/>
      <x:c r="F240" s="24"/>
      <x:c r="G240" s="24"/>
      <x:c r="H240" s="62"/>
      <x:c r="I240" s="26"/>
      <x:c r="J240" s="27"/>
    </x:row>
    <x:row r="241">
      <x:c r="A241" s="26"/>
      <x:c r="B241" s="19"/>
      <x:c r="C241" s="19"/>
      <x:c r="D241" s="19"/>
      <x:c r="E241" s="19"/>
      <x:c r="F241" s="24"/>
      <x:c r="G241" s="24"/>
      <x:c r="H241" s="62"/>
      <x:c r="I241" s="26"/>
      <x:c r="J241" s="27"/>
    </x:row>
    <x:row r="242">
      <x:c r="A242" s="26"/>
      <x:c r="B242" s="19"/>
      <x:c r="C242" s="19"/>
      <x:c r="D242" s="19"/>
      <x:c r="E242" s="19"/>
      <x:c r="F242" s="24"/>
      <x:c r="G242" s="24"/>
      <x:c r="H242" s="62"/>
      <x:c r="I242" s="26"/>
      <x:c r="J242" s="27"/>
    </x:row>
    <x:row r="243">
      <x:c r="A243" s="26"/>
      <x:c r="B243" s="19"/>
      <x:c r="C243" s="19"/>
      <x:c r="D243" s="19"/>
      <x:c r="E243" s="19"/>
      <x:c r="F243" s="24"/>
      <x:c r="G243" s="24"/>
      <x:c r="H243" s="62"/>
      <x:c r="I243" s="26"/>
      <x:c r="J243" s="27"/>
    </x:row>
    <x:row r="244">
      <x:c r="A244" s="26"/>
      <x:c r="B244" s="19"/>
      <x:c r="C244" s="19"/>
      <x:c r="D244" s="19"/>
      <x:c r="E244" s="19"/>
      <x:c r="F244" s="24"/>
      <x:c r="G244" s="24"/>
      <x:c r="H244" s="62"/>
      <x:c r="I244" s="26"/>
      <x:c r="J244" s="27"/>
    </x:row>
    <x:row r="245">
      <x:c r="A245" s="26"/>
      <x:c r="B245" s="19"/>
      <x:c r="C245" s="19"/>
      <x:c r="D245" s="19"/>
      <x:c r="E245" s="19"/>
      <x:c r="F245" s="24"/>
      <x:c r="G245" s="24"/>
      <x:c r="H245" s="62"/>
      <x:c r="I245" s="26"/>
      <x:c r="J245" s="27"/>
    </x:row>
    <x:row r="246">
      <x:c r="A246" s="26"/>
      <x:c r="B246" s="19"/>
      <x:c r="C246" s="19"/>
      <x:c r="D246" s="19"/>
      <x:c r="E246" s="19"/>
      <x:c r="F246" s="24"/>
      <x:c r="G246" s="24"/>
      <x:c r="H246" s="62"/>
      <x:c r="I246" s="26"/>
      <x:c r="J246" s="27"/>
    </x:row>
    <x:row r="247">
      <x:c r="A247" s="26"/>
      <x:c r="B247" s="19"/>
      <x:c r="C247" s="19"/>
      <x:c r="D247" s="19"/>
      <x:c r="E247" s="19"/>
      <x:c r="F247" s="24"/>
      <x:c r="G247" s="24"/>
      <x:c r="H247" s="62"/>
      <x:c r="I247" s="26"/>
      <x:c r="J247" s="27"/>
    </x:row>
    <x:row r="248">
      <x:c r="A248" s="26"/>
      <x:c r="B248" s="19"/>
      <x:c r="C248" s="19"/>
      <x:c r="D248" s="19"/>
      <x:c r="E248" s="19"/>
      <x:c r="F248" s="24"/>
      <x:c r="G248" s="24"/>
      <x:c r="H248" s="62"/>
      <x:c r="I248" s="26"/>
      <x:c r="J248" s="27"/>
    </x:row>
    <x:row r="249">
      <x:c r="A249" s="26"/>
      <x:c r="B249" s="19"/>
      <x:c r="C249" s="19"/>
      <x:c r="D249" s="19"/>
      <x:c r="E249" s="19"/>
      <x:c r="F249" s="24"/>
      <x:c r="G249" s="24"/>
      <x:c r="H249" s="62"/>
      <x:c r="I249" s="26"/>
      <x:c r="J249" s="27"/>
    </x:row>
    <x:row r="250">
      <x:c r="A250" s="26"/>
      <x:c r="B250" s="19"/>
      <x:c r="C250" s="19"/>
      <x:c r="D250" s="19"/>
      <x:c r="E250" s="19"/>
      <x:c r="F250" s="24"/>
      <x:c r="G250" s="24"/>
      <x:c r="H250" s="62"/>
      <x:c r="I250" s="26"/>
      <x:c r="J250" s="27"/>
    </x:row>
    <x:row r="251">
      <x:c r="A251" s="26"/>
      <x:c r="B251" s="19"/>
      <x:c r="C251" s="19"/>
      <x:c r="D251" s="19"/>
      <x:c r="E251" s="19"/>
      <x:c r="F251" s="24"/>
      <x:c r="G251" s="24"/>
      <x:c r="H251" s="62"/>
      <x:c r="I251" s="26"/>
      <x:c r="J251" s="27"/>
    </x:row>
    <x:row r="252">
      <x:c r="A252" s="26"/>
      <x:c r="B252" s="19"/>
      <x:c r="C252" s="19"/>
      <x:c r="D252" s="19"/>
      <x:c r="E252" s="19"/>
      <x:c r="F252" s="24"/>
      <x:c r="G252" s="24"/>
      <x:c r="H252" s="62"/>
      <x:c r="I252" s="26"/>
      <x:c r="J252" s="27"/>
    </x:row>
    <x:row r="253">
      <x:c r="A253" s="26"/>
      <x:c r="B253" s="19"/>
      <x:c r="C253" s="19"/>
      <x:c r="D253" s="19"/>
      <x:c r="E253" s="19"/>
      <x:c r="F253" s="24"/>
      <x:c r="G253" s="24"/>
      <x:c r="H253" s="62"/>
      <x:c r="I253" s="26"/>
      <x:c r="J253" s="27"/>
    </x:row>
    <x:row r="254">
      <x:c r="A254" s="26"/>
      <x:c r="B254" s="19"/>
      <x:c r="C254" s="19"/>
      <x:c r="D254" s="19"/>
      <x:c r="E254" s="19"/>
      <x:c r="F254" s="24"/>
      <x:c r="G254" s="24"/>
      <x:c r="H254" s="62"/>
      <x:c r="I254" s="26"/>
      <x:c r="J254" s="27"/>
    </x:row>
    <x:row r="255">
      <x:c r="A255" s="26"/>
      <x:c r="B255" s="19"/>
      <x:c r="C255" s="19"/>
      <x:c r="D255" s="19"/>
      <x:c r="E255" s="19"/>
      <x:c r="F255" s="24"/>
      <x:c r="G255" s="24"/>
      <x:c r="H255" s="62"/>
      <x:c r="I255" s="26"/>
      <x:c r="J255" s="27"/>
    </x:row>
    <x:row r="256">
      <x:c r="A256" s="26"/>
      <x:c r="B256" s="19"/>
      <x:c r="C256" s="19"/>
      <x:c r="D256" s="19"/>
      <x:c r="E256" s="19"/>
      <x:c r="F256" s="24"/>
      <x:c r="G256" s="24"/>
      <x:c r="H256" s="62"/>
      <x:c r="I256" s="26"/>
      <x:c r="J256" s="27"/>
    </x:row>
    <x:row r="257">
      <x:c r="A257" s="26"/>
      <x:c r="B257" s="19"/>
      <x:c r="C257" s="19"/>
      <x:c r="D257" s="19"/>
      <x:c r="E257" s="19"/>
      <x:c r="F257" s="24"/>
      <x:c r="G257" s="24"/>
      <x:c r="H257" s="62"/>
      <x:c r="I257" s="26"/>
      <x:c r="J257" s="27"/>
    </x:row>
    <x:row r="258">
      <x:c r="A258" s="26"/>
      <x:c r="B258" s="19"/>
      <x:c r="C258" s="19"/>
      <x:c r="D258" s="19"/>
      <x:c r="E258" s="19"/>
      <x:c r="F258" s="24"/>
      <x:c r="G258" s="24"/>
      <x:c r="H258" s="62"/>
      <x:c r="I258" s="26"/>
      <x:c r="J258" s="27"/>
    </x:row>
    <x:row r="259">
      <x:c r="A259" s="26"/>
      <x:c r="B259" s="19"/>
      <x:c r="C259" s="19"/>
      <x:c r="D259" s="19"/>
      <x:c r="E259" s="19"/>
      <x:c r="F259" s="24"/>
      <x:c r="G259" s="24"/>
      <x:c r="H259" s="62"/>
      <x:c r="I259" s="26"/>
      <x:c r="J259" s="27"/>
    </x:row>
    <x:row r="260">
      <x:c r="A260" s="26"/>
      <x:c r="B260" s="19"/>
      <x:c r="C260" s="19"/>
      <x:c r="D260" s="19"/>
      <x:c r="E260" s="19"/>
      <x:c r="F260" s="24"/>
      <x:c r="G260" s="24"/>
      <x:c r="H260" s="62"/>
      <x:c r="I260" s="26"/>
      <x:c r="J260" s="27"/>
    </x:row>
    <x:row r="261">
      <x:c r="A261" s="26"/>
      <x:c r="B261" s="19"/>
      <x:c r="C261" s="19"/>
      <x:c r="D261" s="19"/>
      <x:c r="E261" s="19"/>
      <x:c r="F261" s="24"/>
      <x:c r="G261" s="24"/>
      <x:c r="H261" s="62"/>
      <x:c r="I261" s="26"/>
      <x:c r="J261" s="27"/>
    </x:row>
    <x:row r="262">
      <x:c r="A262" s="26"/>
      <x:c r="B262" s="19"/>
      <x:c r="C262" s="19"/>
      <x:c r="D262" s="19"/>
      <x:c r="E262" s="19"/>
      <x:c r="F262" s="24"/>
      <x:c r="G262" s="24"/>
      <x:c r="H262" s="62"/>
      <x:c r="I262" s="26"/>
      <x:c r="J262" s="27"/>
    </x:row>
    <x:row r="263">
      <x:c r="A263" s="26"/>
      <x:c r="B263" s="19"/>
      <x:c r="C263" s="19"/>
      <x:c r="D263" s="19"/>
      <x:c r="E263" s="19"/>
      <x:c r="F263" s="24"/>
      <x:c r="G263" s="24"/>
      <x:c r="H263" s="62"/>
      <x:c r="I263" s="26"/>
      <x:c r="J263" s="27"/>
    </x:row>
    <x:row r="264">
      <x:c r="A264" s="26"/>
      <x:c r="B264" s="19"/>
      <x:c r="C264" s="19"/>
      <x:c r="D264" s="19"/>
      <x:c r="E264" s="19"/>
      <x:c r="F264" s="24"/>
      <x:c r="G264" s="24"/>
      <x:c r="H264" s="62"/>
      <x:c r="I264" s="26"/>
      <x:c r="J264" s="27"/>
    </x:row>
    <x:row r="265">
      <x:c r="A265" s="26"/>
      <x:c r="B265" s="19"/>
      <x:c r="C265" s="19"/>
      <x:c r="D265" s="19"/>
      <x:c r="E265" s="19"/>
      <x:c r="F265" s="24"/>
      <x:c r="G265" s="24"/>
      <x:c r="H265" s="62"/>
      <x:c r="I265" s="26"/>
      <x:c r="J265" s="27"/>
    </x:row>
    <x:row r="266">
      <x:c r="A266" s="26"/>
      <x:c r="B266" s="19"/>
      <x:c r="C266" s="19"/>
      <x:c r="D266" s="19"/>
      <x:c r="E266" s="19"/>
      <x:c r="F266" s="24"/>
      <x:c r="G266" s="24"/>
      <x:c r="H266" s="62"/>
      <x:c r="I266" s="26"/>
      <x:c r="J266" s="27"/>
    </x:row>
    <x:row r="267">
      <x:c r="A267" s="26"/>
      <x:c r="B267" s="19"/>
      <x:c r="C267" s="19"/>
      <x:c r="D267" s="19"/>
      <x:c r="E267" s="19"/>
      <x:c r="F267" s="24"/>
      <x:c r="G267" s="24"/>
      <x:c r="H267" s="62"/>
      <x:c r="I267" s="26"/>
      <x:c r="J267" s="27"/>
    </x:row>
    <x:row r="268">
      <x:c r="A268" s="26"/>
      <x:c r="B268" s="19"/>
      <x:c r="C268" s="19"/>
      <x:c r="D268" s="19"/>
      <x:c r="E268" s="19"/>
      <x:c r="F268" s="24"/>
      <x:c r="G268" s="24"/>
      <x:c r="H268" s="62"/>
      <x:c r="I268" s="26"/>
      <x:c r="J268" s="27"/>
    </x:row>
    <x:row r="269">
      <x:c r="A269" s="26"/>
      <x:c r="B269" s="19"/>
      <x:c r="C269" s="19"/>
      <x:c r="D269" s="19"/>
      <x:c r="E269" s="19"/>
      <x:c r="F269" s="24"/>
      <x:c r="G269" s="24"/>
      <x:c r="H269" s="62"/>
      <x:c r="I269" s="26"/>
      <x:c r="J269" s="27"/>
    </x:row>
    <x:row r="270">
      <x:c r="A270" s="26"/>
      <x:c r="B270" s="19"/>
      <x:c r="C270" s="19"/>
      <x:c r="D270" s="19"/>
      <x:c r="E270" s="19"/>
      <x:c r="F270" s="24"/>
      <x:c r="G270" s="24"/>
      <x:c r="H270" s="62"/>
      <x:c r="I270" s="26"/>
      <x:c r="J270" s="27"/>
    </x:row>
    <x:row r="271">
      <x:c r="A271" s="26"/>
      <x:c r="B271" s="19"/>
      <x:c r="C271" s="19"/>
      <x:c r="D271" s="19"/>
      <x:c r="E271" s="19"/>
      <x:c r="F271" s="24"/>
      <x:c r="G271" s="24"/>
      <x:c r="H271" s="62"/>
      <x:c r="I271" s="26"/>
      <x:c r="J271" s="27"/>
    </x:row>
    <x:row r="272">
      <x:c r="A272" s="26"/>
      <x:c r="B272" s="19"/>
      <x:c r="C272" s="19"/>
      <x:c r="D272" s="19"/>
      <x:c r="E272" s="19"/>
      <x:c r="F272" s="24"/>
      <x:c r="G272" s="24"/>
      <x:c r="H272" s="62"/>
      <x:c r="I272" s="26"/>
      <x:c r="J272" s="27"/>
    </x:row>
    <x:row r="273">
      <x:c r="A273" s="26"/>
      <x:c r="B273" s="19"/>
      <x:c r="C273" s="19"/>
      <x:c r="D273" s="19"/>
      <x:c r="E273" s="19"/>
      <x:c r="F273" s="24"/>
      <x:c r="G273" s="24"/>
      <x:c r="H273" s="62"/>
      <x:c r="I273" s="26"/>
      <x:c r="J273" s="27"/>
    </x:row>
    <x:row r="274">
      <x:c r="A274" s="26"/>
      <x:c r="B274" s="19"/>
      <x:c r="C274" s="19"/>
      <x:c r="D274" s="19"/>
      <x:c r="E274" s="19"/>
      <x:c r="F274" s="24"/>
      <x:c r="G274" s="24"/>
      <x:c r="H274" s="62"/>
      <x:c r="I274" s="26"/>
      <x:c r="J274" s="27"/>
    </x:row>
    <x:row r="275">
      <x:c r="A275" s="26"/>
      <x:c r="B275" s="19"/>
      <x:c r="C275" s="19"/>
      <x:c r="D275" s="19"/>
      <x:c r="E275" s="19"/>
      <x:c r="F275" s="24"/>
      <x:c r="G275" s="24"/>
      <x:c r="H275" s="62"/>
      <x:c r="I275" s="26"/>
      <x:c r="J275" s="27"/>
    </x:row>
    <x:row r="276">
      <x:c r="A276" s="26"/>
      <x:c r="B276" s="19"/>
      <x:c r="C276" s="19"/>
      <x:c r="D276" s="19"/>
      <x:c r="E276" s="19"/>
      <x:c r="F276" s="24"/>
      <x:c r="G276" s="24"/>
      <x:c r="H276" s="62"/>
      <x:c r="I276" s="26"/>
      <x:c r="J276" s="27"/>
    </x:row>
    <x:row r="277">
      <x:c r="A277" s="26"/>
      <x:c r="B277" s="19"/>
      <x:c r="C277" s="19"/>
      <x:c r="D277" s="19"/>
      <x:c r="E277" s="19"/>
      <x:c r="F277" s="24"/>
      <x:c r="G277" s="24"/>
      <x:c r="H277" s="62"/>
      <x:c r="I277" s="26"/>
      <x:c r="J277" s="27"/>
    </x:row>
    <x:row r="278">
      <x:c r="A278" s="26"/>
      <x:c r="B278" s="19"/>
      <x:c r="C278" s="19"/>
      <x:c r="D278" s="19"/>
      <x:c r="E278" s="19"/>
      <x:c r="F278" s="24"/>
      <x:c r="G278" s="24"/>
      <x:c r="H278" s="62"/>
      <x:c r="I278" s="26"/>
      <x:c r="J278" s="27"/>
    </x:row>
    <x:row r="279">
      <x:c r="A279" s="26"/>
      <x:c r="B279" s="19"/>
      <x:c r="C279" s="19"/>
      <x:c r="D279" s="19"/>
      <x:c r="E279" s="19"/>
      <x:c r="F279" s="24"/>
      <x:c r="G279" s="24"/>
      <x:c r="H279" s="62"/>
      <x:c r="I279" s="26"/>
      <x:c r="J279" s="27"/>
    </x:row>
    <x:row r="280">
      <x:c r="A280" s="26"/>
      <x:c r="B280" s="19"/>
      <x:c r="C280" s="19"/>
      <x:c r="D280" s="19"/>
      <x:c r="E280" s="19"/>
      <x:c r="F280" s="24"/>
      <x:c r="G280" s="24"/>
      <x:c r="H280" s="62"/>
      <x:c r="I280" s="26"/>
      <x:c r="J280" s="27"/>
    </x:row>
    <x:row r="281">
      <x:c r="A281" s="26"/>
      <x:c r="B281" s="19"/>
      <x:c r="C281" s="19"/>
      <x:c r="D281" s="19"/>
      <x:c r="E281" s="19"/>
      <x:c r="F281" s="24"/>
      <x:c r="G281" s="24"/>
      <x:c r="H281" s="62"/>
      <x:c r="I281" s="26"/>
      <x:c r="J281" s="27"/>
    </x:row>
    <x:row r="282">
      <x:c r="A282" s="26"/>
      <x:c r="B282" s="19"/>
      <x:c r="C282" s="19"/>
      <x:c r="D282" s="19"/>
      <x:c r="E282" s="19"/>
      <x:c r="F282" s="24"/>
      <x:c r="G282" s="24"/>
      <x:c r="H282" s="62"/>
      <x:c r="I282" s="26"/>
      <x:c r="J282" s="27"/>
    </x:row>
    <x:row r="283">
      <x:c r="A283" s="26"/>
      <x:c r="B283" s="19"/>
      <x:c r="C283" s="19"/>
      <x:c r="D283" s="19"/>
      <x:c r="E283" s="19"/>
      <x:c r="F283" s="24"/>
      <x:c r="G283" s="24"/>
      <x:c r="H283" s="62"/>
      <x:c r="I283" s="26"/>
      <x:c r="J283" s="27"/>
    </x:row>
    <x:row r="284">
      <x:c r="A284" s="26"/>
      <x:c r="B284" s="19"/>
      <x:c r="C284" s="19"/>
      <x:c r="D284" s="19"/>
      <x:c r="E284" s="19"/>
      <x:c r="F284" s="24"/>
      <x:c r="G284" s="24"/>
      <x:c r="H284" s="62"/>
      <x:c r="I284" s="26"/>
      <x:c r="J284" s="27"/>
    </x:row>
    <x:row r="285">
      <x:c r="A285" s="26"/>
      <x:c r="B285" s="19"/>
      <x:c r="C285" s="19"/>
      <x:c r="D285" s="19"/>
      <x:c r="E285" s="19"/>
      <x:c r="F285" s="24"/>
      <x:c r="G285" s="24"/>
      <x:c r="H285" s="62"/>
      <x:c r="I285" s="26"/>
      <x:c r="J285" s="27"/>
    </x:row>
    <x:row r="286">
      <x:c r="A286" s="26"/>
      <x:c r="B286" s="19"/>
      <x:c r="C286" s="19"/>
      <x:c r="D286" s="19"/>
      <x:c r="E286" s="19"/>
      <x:c r="F286" s="24"/>
      <x:c r="G286" s="24"/>
      <x:c r="H286" s="62"/>
      <x:c r="I286" s="26"/>
      <x:c r="J286" s="27"/>
    </x:row>
    <x:row r="287">
      <x:c r="A287" s="26"/>
      <x:c r="B287" s="19"/>
      <x:c r="C287" s="19"/>
      <x:c r="D287" s="19"/>
      <x:c r="E287" s="19"/>
      <x:c r="F287" s="24"/>
      <x:c r="G287" s="24"/>
      <x:c r="H287" s="62"/>
      <x:c r="I287" s="26"/>
      <x:c r="J287" s="27"/>
    </x:row>
    <x:row r="288">
      <x:c r="A288" s="26"/>
      <x:c r="B288" s="19"/>
      <x:c r="C288" s="19"/>
      <x:c r="D288" s="19"/>
      <x:c r="E288" s="19"/>
      <x:c r="F288" s="24"/>
      <x:c r="G288" s="24"/>
      <x:c r="H288" s="62"/>
      <x:c r="I288" s="26"/>
      <x:c r="J288" s="27"/>
    </x:row>
    <x:row r="289">
      <x:c r="A289" s="26"/>
      <x:c r="B289" s="19"/>
      <x:c r="C289" s="19"/>
      <x:c r="D289" s="19"/>
      <x:c r="E289" s="19"/>
      <x:c r="F289" s="24"/>
      <x:c r="G289" s="24"/>
      <x:c r="H289" s="62"/>
      <x:c r="I289" s="26"/>
      <x:c r="J289" s="27"/>
    </x:row>
    <x:row r="290">
      <x:c r="A290" s="26"/>
      <x:c r="B290" s="19"/>
      <x:c r="C290" s="19"/>
      <x:c r="D290" s="19"/>
      <x:c r="E290" s="19"/>
      <x:c r="F290" s="24"/>
      <x:c r="G290" s="24"/>
      <x:c r="H290" s="62"/>
      <x:c r="I290" s="26"/>
      <x:c r="J290" s="27"/>
    </x:row>
    <x:row r="291">
      <x:c r="A291" s="26"/>
      <x:c r="B291" s="19"/>
      <x:c r="C291" s="19"/>
      <x:c r="D291" s="19"/>
      <x:c r="E291" s="19"/>
      <x:c r="F291" s="24"/>
      <x:c r="G291" s="24"/>
      <x:c r="H291" s="62"/>
      <x:c r="I291" s="26"/>
      <x:c r="J291" s="27"/>
    </x:row>
    <x:row r="292">
      <x:c r="A292" s="26"/>
      <x:c r="B292" s="19"/>
      <x:c r="C292" s="19"/>
      <x:c r="D292" s="19"/>
      <x:c r="E292" s="19"/>
      <x:c r="F292" s="24"/>
      <x:c r="G292" s="24"/>
      <x:c r="H292" s="62"/>
      <x:c r="I292" s="26"/>
      <x:c r="J292" s="27"/>
    </x:row>
    <x:row r="293">
      <x:c r="A293" s="26"/>
      <x:c r="B293" s="19"/>
      <x:c r="C293" s="19"/>
      <x:c r="D293" s="19"/>
      <x:c r="E293" s="19"/>
      <x:c r="F293" s="24"/>
      <x:c r="G293" s="24"/>
      <x:c r="H293" s="62"/>
      <x:c r="I293" s="26"/>
      <x:c r="J293" s="27"/>
    </x:row>
    <x:row r="294">
      <x:c r="A294" s="26"/>
      <x:c r="B294" s="19"/>
      <x:c r="C294" s="19"/>
      <x:c r="D294" s="19"/>
      <x:c r="E294" s="19"/>
      <x:c r="F294" s="24"/>
      <x:c r="G294" s="24"/>
      <x:c r="H294" s="62"/>
      <x:c r="I294" s="26"/>
      <x:c r="J294" s="27"/>
    </x:row>
    <x:row r="295">
      <x:c r="A295" s="26"/>
      <x:c r="B295" s="19"/>
      <x:c r="C295" s="19"/>
      <x:c r="D295" s="19"/>
      <x:c r="E295" s="19"/>
      <x:c r="F295" s="24"/>
      <x:c r="G295" s="24"/>
      <x:c r="H295" s="62"/>
      <x:c r="I295" s="26"/>
      <x:c r="J295" s="27"/>
    </x:row>
    <x:row r="296">
      <x:c r="A296" s="26"/>
      <x:c r="B296" s="19"/>
      <x:c r="C296" s="19"/>
      <x:c r="D296" s="19"/>
      <x:c r="E296" s="19"/>
      <x:c r="F296" s="24"/>
      <x:c r="G296" s="24"/>
      <x:c r="H296" s="62"/>
      <x:c r="I296" s="26"/>
      <x:c r="J296" s="27"/>
    </x:row>
    <x:row r="297">
      <x:c r="A297" s="26"/>
      <x:c r="B297" s="19"/>
      <x:c r="C297" s="19"/>
      <x:c r="D297" s="19"/>
      <x:c r="E297" s="19"/>
      <x:c r="F297" s="24"/>
      <x:c r="G297" s="24"/>
      <x:c r="H297" s="62"/>
      <x:c r="I297" s="26"/>
      <x:c r="J297" s="27"/>
    </x:row>
    <x:row r="298">
      <x:c r="A298" s="26"/>
      <x:c r="B298" s="19"/>
      <x:c r="C298" s="19"/>
      <x:c r="D298" s="19"/>
      <x:c r="E298" s="19"/>
      <x:c r="F298" s="24"/>
      <x:c r="G298" s="24"/>
      <x:c r="H298" s="62"/>
      <x:c r="I298" s="26"/>
      <x:c r="J298" s="27"/>
    </x:row>
    <x:row r="299">
      <x:c r="A299" s="26"/>
      <x:c r="B299" s="19"/>
      <x:c r="C299" s="19"/>
      <x:c r="D299" s="19"/>
      <x:c r="E299" s="19"/>
      <x:c r="F299" s="24"/>
      <x:c r="G299" s="24"/>
      <x:c r="H299" s="62"/>
      <x:c r="I299" s="26"/>
      <x:c r="J299" s="27"/>
    </x:row>
    <x:row r="300">
      <x:c r="A300" s="26"/>
      <x:c r="B300" s="19"/>
      <x:c r="C300" s="19"/>
      <x:c r="D300" s="19"/>
      <x:c r="E300" s="19"/>
      <x:c r="F300" s="24"/>
      <x:c r="G300" s="24"/>
      <x:c r="H300" s="62"/>
      <x:c r="I300" s="26"/>
      <x:c r="J300" s="27"/>
    </x:row>
    <x:row r="301">
      <x:c r="A301" s="26"/>
      <x:c r="B301" s="19"/>
      <x:c r="C301" s="19"/>
      <x:c r="D301" s="19"/>
      <x:c r="E301" s="19"/>
      <x:c r="F301" s="24"/>
      <x:c r="G301" s="24"/>
      <x:c r="H301" s="62"/>
      <x:c r="I301" s="26"/>
      <x:c r="J301" s="27"/>
    </x:row>
    <x:row r="302">
      <x:c r="A302" s="26"/>
      <x:c r="B302" s="19"/>
      <x:c r="C302" s="19"/>
      <x:c r="D302" s="19"/>
      <x:c r="E302" s="19"/>
      <x:c r="F302" s="24"/>
      <x:c r="G302" s="24"/>
      <x:c r="H302" s="62"/>
      <x:c r="I302" s="26"/>
      <x:c r="J302" s="27"/>
    </x:row>
    <x:row r="303">
      <x:c r="A303" s="26"/>
      <x:c r="B303" s="19"/>
      <x:c r="C303" s="19"/>
      <x:c r="D303" s="19"/>
      <x:c r="E303" s="19"/>
      <x:c r="F303" s="24"/>
      <x:c r="G303" s="24"/>
      <x:c r="H303" s="62"/>
      <x:c r="I303" s="26"/>
      <x:c r="J303" s="27"/>
    </x:row>
    <x:row r="304">
      <x:c r="A304" s="26"/>
      <x:c r="B304" s="19"/>
      <x:c r="C304" s="19"/>
      <x:c r="D304" s="19"/>
      <x:c r="E304" s="19"/>
      <x:c r="F304" s="24"/>
      <x:c r="G304" s="24"/>
      <x:c r="H304" s="62"/>
      <x:c r="I304" s="26"/>
      <x:c r="J304" s="27"/>
    </x:row>
    <x:row r="305">
      <x:c r="A305" s="26"/>
      <x:c r="B305" s="19"/>
      <x:c r="C305" s="19"/>
      <x:c r="D305" s="19"/>
      <x:c r="E305" s="19"/>
      <x:c r="F305" s="24"/>
      <x:c r="G305" s="24"/>
      <x:c r="H305" s="62"/>
      <x:c r="I305" s="26"/>
      <x:c r="J305" s="27"/>
    </x:row>
    <x:row r="306">
      <x:c r="A306" s="26"/>
      <x:c r="B306" s="19"/>
      <x:c r="C306" s="19"/>
      <x:c r="D306" s="19"/>
      <x:c r="E306" s="19"/>
      <x:c r="F306" s="24"/>
      <x:c r="G306" s="24"/>
      <x:c r="H306" s="62"/>
      <x:c r="I306" s="26"/>
      <x:c r="J306" s="27"/>
    </x:row>
    <x:row r="307">
      <x:c r="A307" s="26"/>
      <x:c r="B307" s="19"/>
      <x:c r="C307" s="19"/>
      <x:c r="D307" s="19"/>
      <x:c r="E307" s="19"/>
      <x:c r="F307" s="24"/>
      <x:c r="G307" s="24"/>
      <x:c r="H307" s="62"/>
      <x:c r="I307" s="26"/>
      <x:c r="J307" s="27"/>
    </x:row>
    <x:row r="308">
      <x:c r="A308" s="26"/>
      <x:c r="B308" s="19"/>
      <x:c r="C308" s="19"/>
      <x:c r="D308" s="19"/>
      <x:c r="E308" s="19"/>
      <x:c r="F308" s="24"/>
      <x:c r="G308" s="24"/>
      <x:c r="H308" s="62"/>
      <x:c r="I308" s="26"/>
      <x:c r="J308" s="27"/>
    </x:row>
    <x:row r="309">
      <x:c r="A309" s="26"/>
      <x:c r="B309" s="19"/>
      <x:c r="C309" s="19"/>
      <x:c r="D309" s="19"/>
      <x:c r="E309" s="19"/>
      <x:c r="F309" s="24"/>
      <x:c r="G309" s="24"/>
      <x:c r="H309" s="62"/>
      <x:c r="I309" s="26"/>
      <x:c r="J309" s="27"/>
    </x:row>
    <x:row r="310">
      <x:c r="A310" s="26"/>
      <x:c r="B310" s="19"/>
      <x:c r="C310" s="19"/>
      <x:c r="D310" s="19"/>
      <x:c r="E310" s="19"/>
      <x:c r="F310" s="24"/>
      <x:c r="G310" s="24"/>
      <x:c r="H310" s="62"/>
      <x:c r="I310" s="26"/>
      <x:c r="J310" s="27"/>
    </x:row>
    <x:row r="311">
      <x:c r="A311" s="26"/>
      <x:c r="B311" s="19"/>
      <x:c r="C311" s="19"/>
      <x:c r="D311" s="19"/>
      <x:c r="E311" s="19"/>
      <x:c r="F311" s="24"/>
      <x:c r="G311" s="24"/>
      <x:c r="H311" s="62"/>
      <x:c r="I311" s="26"/>
      <x:c r="J311" s="27"/>
    </x:row>
    <x:row r="312">
      <x:c r="A312" s="26"/>
      <x:c r="B312" s="19"/>
      <x:c r="C312" s="19"/>
      <x:c r="D312" s="19"/>
      <x:c r="E312" s="19"/>
      <x:c r="F312" s="24"/>
      <x:c r="G312" s="24"/>
      <x:c r="H312" s="62"/>
      <x:c r="I312" s="26"/>
      <x:c r="J312" s="27"/>
    </x:row>
    <x:row r="313">
      <x:c r="A313" s="26"/>
      <x:c r="B313" s="19"/>
      <x:c r="C313" s="19"/>
      <x:c r="D313" s="19"/>
      <x:c r="E313" s="19"/>
      <x:c r="F313" s="24"/>
      <x:c r="G313" s="24"/>
      <x:c r="H313" s="62"/>
      <x:c r="I313" s="26"/>
      <x:c r="J313" s="27"/>
    </x:row>
    <x:row r="314">
      <x:c r="A314" s="26"/>
      <x:c r="B314" s="19"/>
      <x:c r="C314" s="19"/>
      <x:c r="D314" s="19"/>
      <x:c r="E314" s="19"/>
      <x:c r="F314" s="24"/>
      <x:c r="G314" s="24"/>
      <x:c r="H314" s="62"/>
      <x:c r="I314" s="26"/>
      <x:c r="J314" s="27"/>
    </x:row>
    <x:row r="315">
      <x:c r="A315" s="26"/>
      <x:c r="B315" s="19"/>
      <x:c r="C315" s="19"/>
      <x:c r="D315" s="19"/>
      <x:c r="E315" s="19"/>
      <x:c r="F315" s="24"/>
      <x:c r="G315" s="24"/>
      <x:c r="H315" s="62"/>
      <x:c r="I315" s="26"/>
      <x:c r="J315" s="27"/>
    </x:row>
    <x:row r="316">
      <x:c r="A316" s="26"/>
      <x:c r="B316" s="19"/>
      <x:c r="C316" s="19"/>
      <x:c r="D316" s="19"/>
      <x:c r="E316" s="19"/>
      <x:c r="F316" s="24"/>
      <x:c r="G316" s="24"/>
      <x:c r="H316" s="62"/>
      <x:c r="I316" s="26"/>
      <x:c r="J316" s="27"/>
    </x:row>
    <x:row r="317">
      <x:c r="A317" s="26"/>
      <x:c r="B317" s="19"/>
      <x:c r="C317" s="19"/>
      <x:c r="D317" s="19"/>
      <x:c r="E317" s="19"/>
      <x:c r="F317" s="24"/>
      <x:c r="G317" s="24"/>
      <x:c r="H317" s="62"/>
      <x:c r="I317" s="26"/>
      <x:c r="J317" s="27"/>
    </x:row>
    <x:row r="318">
      <x:c r="A318" s="26"/>
      <x:c r="B318" s="19"/>
      <x:c r="C318" s="19"/>
      <x:c r="D318" s="19"/>
      <x:c r="E318" s="19"/>
      <x:c r="F318" s="24"/>
      <x:c r="G318" s="24"/>
      <x:c r="H318" s="62"/>
      <x:c r="I318" s="26"/>
      <x:c r="J318" s="27"/>
    </x:row>
    <x:row r="319">
      <x:c r="A319" s="26"/>
      <x:c r="B319" s="19"/>
      <x:c r="C319" s="19"/>
      <x:c r="D319" s="19"/>
      <x:c r="E319" s="19"/>
      <x:c r="F319" s="24"/>
      <x:c r="G319" s="24"/>
      <x:c r="H319" s="62"/>
      <x:c r="I319" s="26"/>
      <x:c r="J319" s="27"/>
    </x:row>
    <x:row r="320">
      <x:c r="A320" s="26"/>
      <x:c r="B320" s="19"/>
      <x:c r="C320" s="19"/>
      <x:c r="D320" s="19"/>
      <x:c r="E320" s="19"/>
      <x:c r="F320" s="24"/>
      <x:c r="G320" s="24"/>
      <x:c r="H320" s="62"/>
      <x:c r="I320" s="26"/>
      <x:c r="J320" s="27"/>
    </x:row>
    <x:row r="321">
      <x:c r="A321" s="26"/>
      <x:c r="B321" s="19"/>
      <x:c r="C321" s="19"/>
      <x:c r="D321" s="19"/>
      <x:c r="E321" s="19"/>
      <x:c r="F321" s="24"/>
      <x:c r="G321" s="24"/>
      <x:c r="H321" s="62"/>
      <x:c r="I321" s="26"/>
      <x:c r="J321" s="27"/>
    </x:row>
    <x:row r="322">
      <x:c r="A322" s="26"/>
      <x:c r="B322" s="19"/>
      <x:c r="C322" s="19"/>
      <x:c r="D322" s="19"/>
      <x:c r="E322" s="19"/>
      <x:c r="F322" s="24"/>
      <x:c r="G322" s="24"/>
      <x:c r="H322" s="62"/>
      <x:c r="I322" s="26"/>
      <x:c r="J322" s="27"/>
    </x:row>
    <x:row r="323">
      <x:c r="A323" s="26"/>
      <x:c r="B323" s="19"/>
      <x:c r="C323" s="19"/>
      <x:c r="D323" s="19"/>
      <x:c r="E323" s="19"/>
      <x:c r="F323" s="24"/>
      <x:c r="G323" s="24"/>
      <x:c r="H323" s="62"/>
      <x:c r="I323" s="26"/>
      <x:c r="J323" s="27"/>
    </x:row>
    <x:row r="324">
      <x:c r="A324" s="26"/>
      <x:c r="B324" s="19"/>
      <x:c r="C324" s="19"/>
      <x:c r="D324" s="19"/>
      <x:c r="E324" s="19"/>
      <x:c r="F324" s="24"/>
      <x:c r="G324" s="24"/>
      <x:c r="H324" s="62"/>
      <x:c r="I324" s="26"/>
      <x:c r="J324" s="27"/>
    </x:row>
    <x:row r="325">
      <x:c r="A325" s="26"/>
      <x:c r="B325" s="19"/>
      <x:c r="C325" s="19"/>
      <x:c r="D325" s="19"/>
      <x:c r="E325" s="19"/>
      <x:c r="F325" s="24"/>
      <x:c r="G325" s="24"/>
      <x:c r="H325" s="62"/>
      <x:c r="I325" s="26"/>
      <x:c r="J325" s="27"/>
    </x:row>
    <x:row r="326">
      <x:c r="A326" s="26"/>
      <x:c r="B326" s="19"/>
      <x:c r="C326" s="19"/>
      <x:c r="D326" s="19"/>
      <x:c r="E326" s="19"/>
      <x:c r="F326" s="24"/>
      <x:c r="G326" s="24"/>
      <x:c r="H326" s="62"/>
      <x:c r="I326" s="26"/>
      <x:c r="J326" s="27"/>
    </x:row>
    <x:row r="327">
      <x:c r="A327" s="26"/>
      <x:c r="B327" s="19"/>
      <x:c r="C327" s="19"/>
      <x:c r="D327" s="19"/>
      <x:c r="E327" s="19"/>
      <x:c r="F327" s="24"/>
      <x:c r="G327" s="24"/>
      <x:c r="H327" s="62"/>
      <x:c r="I327" s="26"/>
      <x:c r="J327" s="27"/>
    </x:row>
    <x:row r="328">
      <x:c r="A328" s="26"/>
      <x:c r="B328" s="19"/>
      <x:c r="C328" s="19"/>
      <x:c r="D328" s="19"/>
      <x:c r="E328" s="19"/>
      <x:c r="F328" s="24"/>
      <x:c r="G328" s="24"/>
      <x:c r="H328" s="62"/>
      <x:c r="I328" s="26"/>
      <x:c r="J328" s="27"/>
    </x:row>
    <x:row r="329">
      <x:c r="A329" s="26"/>
      <x:c r="B329" s="19"/>
      <x:c r="C329" s="19"/>
      <x:c r="D329" s="19"/>
      <x:c r="E329" s="19"/>
      <x:c r="F329" s="24"/>
      <x:c r="G329" s="24"/>
      <x:c r="H329" s="62"/>
      <x:c r="I329" s="26"/>
      <x:c r="J329" s="27"/>
    </x:row>
    <x:row r="330">
      <x:c r="A330" s="26"/>
      <x:c r="B330" s="19"/>
      <x:c r="C330" s="19"/>
      <x:c r="D330" s="19"/>
      <x:c r="E330" s="19"/>
      <x:c r="F330" s="24"/>
      <x:c r="G330" s="24"/>
      <x:c r="H330" s="62"/>
      <x:c r="I330" s="26"/>
      <x:c r="J330" s="27"/>
    </x:row>
    <x:row r="331">
      <x:c r="A331" s="26"/>
      <x:c r="B331" s="19"/>
      <x:c r="C331" s="19"/>
      <x:c r="D331" s="19"/>
      <x:c r="E331" s="19"/>
      <x:c r="F331" s="24"/>
      <x:c r="G331" s="24"/>
      <x:c r="H331" s="62"/>
      <x:c r="I331" s="26"/>
      <x:c r="J331" s="27"/>
    </x:row>
    <x:row r="332">
      <x:c r="A332" s="26"/>
      <x:c r="B332" s="19"/>
      <x:c r="C332" s="19"/>
      <x:c r="D332" s="19"/>
      <x:c r="E332" s="19"/>
      <x:c r="F332" s="24"/>
      <x:c r="G332" s="24"/>
      <x:c r="H332" s="62"/>
      <x:c r="I332" s="26"/>
      <x:c r="J332" s="27"/>
    </x:row>
    <x:row r="333">
      <x:c r="A333" s="26"/>
      <x:c r="B333" s="19"/>
      <x:c r="C333" s="19"/>
      <x:c r="D333" s="19"/>
      <x:c r="E333" s="19"/>
      <x:c r="F333" s="24"/>
      <x:c r="G333" s="24"/>
      <x:c r="H333" s="62"/>
      <x:c r="I333" s="26"/>
      <x:c r="J333" s="27"/>
    </x:row>
    <x:row r="334">
      <x:c r="A334" s="26"/>
      <x:c r="B334" s="19"/>
      <x:c r="C334" s="19"/>
      <x:c r="D334" s="19"/>
      <x:c r="E334" s="19"/>
      <x:c r="F334" s="24"/>
      <x:c r="G334" s="24"/>
      <x:c r="H334" s="62"/>
      <x:c r="I334" s="26"/>
      <x:c r="J334" s="27"/>
    </x:row>
    <x:row r="335">
      <x:c r="A335" s="26"/>
      <x:c r="B335" s="19"/>
      <x:c r="C335" s="19"/>
      <x:c r="D335" s="19"/>
      <x:c r="E335" s="19"/>
      <x:c r="F335" s="24"/>
      <x:c r="G335" s="24"/>
      <x:c r="H335" s="62"/>
      <x:c r="I335" s="26"/>
      <x:c r="J335" s="27"/>
    </x:row>
    <x:row r="336">
      <x:c r="A336" s="26"/>
      <x:c r="B336" s="19"/>
      <x:c r="C336" s="19"/>
      <x:c r="D336" s="19"/>
      <x:c r="E336" s="19"/>
      <x:c r="F336" s="24"/>
      <x:c r="G336" s="24"/>
      <x:c r="H336" s="62"/>
      <x:c r="I336" s="26"/>
      <x:c r="J336" s="27"/>
    </x:row>
    <x:row r="337">
      <x:c r="A337" s="26"/>
      <x:c r="B337" s="19"/>
      <x:c r="C337" s="19"/>
      <x:c r="D337" s="19"/>
      <x:c r="E337" s="19"/>
      <x:c r="F337" s="24"/>
      <x:c r="G337" s="24"/>
      <x:c r="H337" s="62"/>
      <x:c r="I337" s="26"/>
      <x:c r="J337" s="27"/>
    </x:row>
    <x:row r="338">
      <x:c r="A338" s="26"/>
      <x:c r="B338" s="19"/>
      <x:c r="C338" s="19"/>
      <x:c r="D338" s="19"/>
      <x:c r="E338" s="19"/>
      <x:c r="F338" s="24"/>
      <x:c r="G338" s="24"/>
      <x:c r="H338" s="62"/>
      <x:c r="I338" s="26"/>
      <x:c r="J338" s="27"/>
    </x:row>
    <x:row r="339">
      <x:c r="A339" s="26"/>
      <x:c r="B339" s="19"/>
      <x:c r="C339" s="19"/>
      <x:c r="D339" s="19"/>
      <x:c r="E339" s="19"/>
      <x:c r="F339" s="24"/>
      <x:c r="G339" s="24"/>
      <x:c r="H339" s="62"/>
      <x:c r="I339" s="26"/>
      <x:c r="J339" s="27"/>
    </x:row>
    <x:row r="340">
      <x:c r="A340" s="26"/>
      <x:c r="B340" s="19"/>
      <x:c r="C340" s="19"/>
      <x:c r="D340" s="19"/>
      <x:c r="E340" s="19"/>
      <x:c r="F340" s="24"/>
      <x:c r="G340" s="24"/>
      <x:c r="H340" s="62"/>
      <x:c r="I340" s="26"/>
      <x:c r="J340" s="27"/>
    </x:row>
    <x:row r="341">
      <x:c r="A341" s="26"/>
      <x:c r="B341" s="19"/>
      <x:c r="C341" s="19"/>
      <x:c r="D341" s="19"/>
      <x:c r="E341" s="19"/>
      <x:c r="F341" s="24"/>
      <x:c r="G341" s="24"/>
      <x:c r="H341" s="62"/>
      <x:c r="I341" s="26"/>
      <x:c r="J341" s="27"/>
    </x:row>
    <x:row r="342">
      <x:c r="A342" s="26"/>
      <x:c r="B342" s="19"/>
      <x:c r="C342" s="19"/>
      <x:c r="D342" s="19"/>
      <x:c r="E342" s="19"/>
      <x:c r="F342" s="24"/>
      <x:c r="G342" s="24"/>
      <x:c r="H342" s="62"/>
      <x:c r="I342" s="26"/>
      <x:c r="J342" s="27"/>
    </x:row>
    <x:row r="343">
      <x:c r="A343" s="26"/>
      <x:c r="B343" s="19"/>
      <x:c r="C343" s="19"/>
      <x:c r="D343" s="19"/>
      <x:c r="E343" s="19"/>
      <x:c r="F343" s="24"/>
      <x:c r="G343" s="24"/>
      <x:c r="H343" s="62"/>
      <x:c r="I343" s="26"/>
      <x:c r="J343" s="27"/>
    </x:row>
    <x:row r="344">
      <x:c r="A344" s="26"/>
      <x:c r="B344" s="19"/>
      <x:c r="C344" s="19"/>
      <x:c r="D344" s="19"/>
      <x:c r="E344" s="19"/>
      <x:c r="F344" s="24"/>
      <x:c r="G344" s="24"/>
      <x:c r="H344" s="62"/>
      <x:c r="I344" s="26"/>
      <x:c r="J344" s="27"/>
    </x:row>
    <x:row r="345">
      <x:c r="A345" s="26"/>
      <x:c r="B345" s="19"/>
      <x:c r="C345" s="19"/>
      <x:c r="D345" s="19"/>
      <x:c r="E345" s="19"/>
      <x:c r="F345" s="24"/>
      <x:c r="G345" s="24"/>
      <x:c r="H345" s="62"/>
      <x:c r="I345" s="26"/>
      <x:c r="J345" s="27"/>
    </x:row>
    <x:row r="346">
      <x:c r="A346" s="26"/>
      <x:c r="B346" s="19"/>
      <x:c r="C346" s="19"/>
      <x:c r="D346" s="19"/>
      <x:c r="E346" s="19"/>
      <x:c r="F346" s="24"/>
      <x:c r="G346" s="24"/>
      <x:c r="H346" s="62"/>
      <x:c r="I346" s="26"/>
      <x:c r="J346" s="27"/>
    </x:row>
    <x:row r="347">
      <x:c r="A347" s="26"/>
      <x:c r="B347" s="19"/>
      <x:c r="C347" s="19"/>
      <x:c r="D347" s="19"/>
      <x:c r="E347" s="19"/>
      <x:c r="F347" s="24"/>
      <x:c r="G347" s="24"/>
      <x:c r="H347" s="62"/>
      <x:c r="I347" s="26"/>
      <x:c r="J347" s="27"/>
    </x:row>
    <x:row r="348">
      <x:c r="A348" s="26"/>
      <x:c r="B348" s="19"/>
      <x:c r="C348" s="19"/>
      <x:c r="D348" s="19"/>
      <x:c r="E348" s="19"/>
      <x:c r="F348" s="24"/>
      <x:c r="G348" s="24"/>
      <x:c r="H348" s="62"/>
      <x:c r="I348" s="26"/>
      <x:c r="J348" s="27"/>
    </x:row>
    <x:row r="349">
      <x:c r="A349" s="26"/>
      <x:c r="B349" s="19"/>
      <x:c r="C349" s="19"/>
      <x:c r="D349" s="19"/>
      <x:c r="E349" s="19"/>
      <x:c r="F349" s="24"/>
      <x:c r="G349" s="24"/>
      <x:c r="H349" s="62"/>
      <x:c r="I349" s="26"/>
      <x:c r="J349" s="27"/>
    </x:row>
    <x:row r="350">
      <x:c r="A350" s="26"/>
      <x:c r="B350" s="19"/>
      <x:c r="C350" s="19"/>
      <x:c r="D350" s="19"/>
      <x:c r="E350" s="19"/>
      <x:c r="F350" s="24"/>
      <x:c r="G350" s="24"/>
      <x:c r="H350" s="62"/>
      <x:c r="I350" s="26"/>
      <x:c r="J350" s="27"/>
    </x:row>
    <x:row r="351">
      <x:c r="A351" s="26"/>
      <x:c r="B351" s="19"/>
      <x:c r="C351" s="19"/>
      <x:c r="D351" s="19"/>
      <x:c r="E351" s="19"/>
      <x:c r="F351" s="24"/>
      <x:c r="G351" s="24"/>
      <x:c r="H351" s="62"/>
      <x:c r="I351" s="26"/>
      <x:c r="J351" s="27"/>
    </x:row>
    <x:row r="352">
      <x:c r="A352" s="26"/>
      <x:c r="B352" s="19"/>
      <x:c r="C352" s="19"/>
      <x:c r="D352" s="19"/>
      <x:c r="E352" s="19"/>
      <x:c r="F352" s="24"/>
      <x:c r="G352" s="24"/>
      <x:c r="H352" s="62"/>
      <x:c r="I352" s="26"/>
      <x:c r="J352" s="27"/>
    </x:row>
    <x:row r="353">
      <x:c r="A353" s="26"/>
      <x:c r="B353" s="19"/>
      <x:c r="C353" s="19"/>
      <x:c r="D353" s="19"/>
      <x:c r="E353" s="19"/>
      <x:c r="F353" s="24"/>
      <x:c r="G353" s="24"/>
      <x:c r="H353" s="62"/>
      <x:c r="I353" s="26"/>
      <x:c r="J353" s="27"/>
    </x:row>
    <x:row r="354">
      <x:c r="A354" s="26"/>
      <x:c r="B354" s="19"/>
      <x:c r="C354" s="19"/>
      <x:c r="D354" s="19"/>
      <x:c r="E354" s="19"/>
      <x:c r="F354" s="24"/>
      <x:c r="G354" s="24"/>
      <x:c r="H354" s="62"/>
      <x:c r="I354" s="26"/>
      <x:c r="J354" s="27"/>
    </x:row>
    <x:row r="355">
      <x:c r="A355" s="26"/>
      <x:c r="B355" s="19"/>
      <x:c r="C355" s="19"/>
      <x:c r="D355" s="19"/>
      <x:c r="E355" s="19"/>
      <x:c r="F355" s="24"/>
      <x:c r="G355" s="24"/>
      <x:c r="H355" s="62"/>
      <x:c r="I355" s="26"/>
      <x:c r="J355" s="27"/>
    </x:row>
    <x:row r="356">
      <x:c r="A356" s="26"/>
      <x:c r="B356" s="19"/>
      <x:c r="C356" s="19"/>
      <x:c r="D356" s="19"/>
      <x:c r="E356" s="19"/>
      <x:c r="F356" s="24"/>
      <x:c r="G356" s="24"/>
      <x:c r="H356" s="62"/>
      <x:c r="I356" s="26"/>
      <x:c r="J356" s="27"/>
    </x:row>
    <x:row r="357">
      <x:c r="A357" s="26"/>
      <x:c r="B357" s="19"/>
      <x:c r="C357" s="19"/>
      <x:c r="D357" s="19"/>
      <x:c r="E357" s="19"/>
      <x:c r="F357" s="24"/>
      <x:c r="G357" s="24"/>
      <x:c r="H357" s="62"/>
      <x:c r="I357" s="26"/>
      <x:c r="J357" s="27"/>
    </x:row>
    <x:row r="358">
      <x:c r="A358" s="26"/>
      <x:c r="B358" s="19"/>
      <x:c r="C358" s="19"/>
      <x:c r="D358" s="19"/>
      <x:c r="E358" s="19"/>
      <x:c r="F358" s="24"/>
      <x:c r="G358" s="24"/>
      <x:c r="H358" s="62"/>
      <x:c r="I358" s="26"/>
      <x:c r="J358" s="27"/>
    </x:row>
    <x:row r="359">
      <x:c r="A359" s="26"/>
      <x:c r="B359" s="19"/>
      <x:c r="C359" s="19"/>
      <x:c r="D359" s="19"/>
      <x:c r="E359" s="19"/>
      <x:c r="F359" s="24"/>
      <x:c r="G359" s="24"/>
      <x:c r="H359" s="62"/>
      <x:c r="I359" s="26"/>
      <x:c r="J359" s="27"/>
    </x:row>
    <x:row r="360">
      <x:c r="A360" s="26"/>
      <x:c r="B360" s="19"/>
      <x:c r="C360" s="19"/>
      <x:c r="D360" s="19"/>
      <x:c r="E360" s="19"/>
      <x:c r="F360" s="24"/>
      <x:c r="G360" s="24"/>
      <x:c r="H360" s="62"/>
      <x:c r="I360" s="26"/>
      <x:c r="J360" s="27"/>
    </x:row>
    <x:row r="361">
      <x:c r="A361" s="26"/>
      <x:c r="B361" s="19"/>
      <x:c r="C361" s="19"/>
      <x:c r="D361" s="19"/>
      <x:c r="E361" s="19"/>
      <x:c r="F361" s="24"/>
      <x:c r="G361" s="24"/>
      <x:c r="H361" s="62"/>
      <x:c r="I361" s="26"/>
      <x:c r="J361" s="27"/>
    </x:row>
    <x:row r="362">
      <x:c r="A362" s="26"/>
      <x:c r="B362" s="19"/>
      <x:c r="C362" s="19"/>
      <x:c r="D362" s="19"/>
      <x:c r="E362" s="19"/>
      <x:c r="F362" s="24"/>
      <x:c r="G362" s="24"/>
      <x:c r="H362" s="62"/>
      <x:c r="I362" s="26"/>
      <x:c r="J362" s="27"/>
    </x:row>
    <x:row r="363">
      <x:c r="A363" s="26"/>
      <x:c r="B363" s="19"/>
      <x:c r="C363" s="19"/>
      <x:c r="D363" s="19"/>
      <x:c r="E363" s="19"/>
      <x:c r="F363" s="24"/>
      <x:c r="G363" s="24"/>
      <x:c r="H363" s="62"/>
      <x:c r="I363" s="26"/>
      <x:c r="J363" s="27"/>
    </x:row>
    <x:row r="364">
      <x:c r="A364" s="26"/>
      <x:c r="B364" s="19"/>
      <x:c r="C364" s="19"/>
      <x:c r="D364" s="19"/>
      <x:c r="E364" s="19"/>
      <x:c r="F364" s="24"/>
      <x:c r="G364" s="24"/>
      <x:c r="H364" s="62"/>
      <x:c r="I364" s="26"/>
      <x:c r="J364" s="27"/>
    </x:row>
    <x:row r="365">
      <x:c r="A365" s="26"/>
      <x:c r="B365" s="19"/>
      <x:c r="C365" s="19"/>
      <x:c r="D365" s="19"/>
      <x:c r="E365" s="19"/>
      <x:c r="F365" s="24"/>
      <x:c r="G365" s="24"/>
      <x:c r="H365" s="62"/>
      <x:c r="I365" s="26"/>
      <x:c r="J365" s="27"/>
    </x:row>
    <x:row r="366">
      <x:c r="A366" s="26"/>
      <x:c r="B366" s="19"/>
      <x:c r="C366" s="19"/>
      <x:c r="D366" s="19"/>
      <x:c r="E366" s="19"/>
      <x:c r="F366" s="24"/>
      <x:c r="G366" s="24"/>
      <x:c r="H366" s="62"/>
      <x:c r="I366" s="26"/>
      <x:c r="J366" s="27"/>
    </x:row>
    <x:row r="367">
      <x:c r="A367" s="26"/>
      <x:c r="B367" s="19"/>
      <x:c r="C367" s="19"/>
      <x:c r="D367" s="19"/>
      <x:c r="E367" s="19"/>
      <x:c r="F367" s="24"/>
      <x:c r="G367" s="24"/>
      <x:c r="H367" s="62"/>
      <x:c r="I367" s="26"/>
      <x:c r="J367" s="27"/>
    </x:row>
    <x:row r="368">
      <x:c r="A368" s="26"/>
      <x:c r="B368" s="19"/>
      <x:c r="C368" s="19"/>
      <x:c r="D368" s="19"/>
      <x:c r="E368" s="19"/>
      <x:c r="F368" s="24"/>
      <x:c r="G368" s="24"/>
      <x:c r="H368" s="62"/>
      <x:c r="I368" s="26"/>
      <x:c r="J368" s="27"/>
    </x:row>
    <x:row r="369">
      <x:c r="A369" s="26"/>
      <x:c r="B369" s="19"/>
      <x:c r="C369" s="19"/>
      <x:c r="D369" s="19"/>
      <x:c r="E369" s="19"/>
      <x:c r="F369" s="24"/>
      <x:c r="G369" s="24"/>
      <x:c r="H369" s="62"/>
      <x:c r="I369" s="26"/>
      <x:c r="J369" s="27"/>
    </x:row>
    <x:row r="370">
      <x:c r="A370" s="26"/>
      <x:c r="B370" s="19"/>
      <x:c r="C370" s="19"/>
      <x:c r="D370" s="19"/>
      <x:c r="E370" s="19"/>
      <x:c r="F370" s="24"/>
      <x:c r="G370" s="24"/>
      <x:c r="H370" s="62"/>
      <x:c r="I370" s="26"/>
      <x:c r="J370" s="27"/>
    </x:row>
    <x:row r="371">
      <x:c r="A371" s="26"/>
      <x:c r="B371" s="19"/>
      <x:c r="C371" s="19"/>
      <x:c r="D371" s="19"/>
      <x:c r="E371" s="19"/>
      <x:c r="F371" s="24"/>
      <x:c r="G371" s="24"/>
      <x:c r="H371" s="62"/>
      <x:c r="I371" s="26"/>
      <x:c r="J371" s="27"/>
    </x:row>
    <x:row r="372">
      <x:c r="A372" s="26"/>
      <x:c r="B372" s="19"/>
      <x:c r="C372" s="19"/>
      <x:c r="D372" s="19"/>
      <x:c r="E372" s="19"/>
      <x:c r="F372" s="24"/>
      <x:c r="G372" s="24"/>
      <x:c r="H372" s="62"/>
      <x:c r="I372" s="26"/>
      <x:c r="J372" s="27"/>
    </x:row>
    <x:row r="373">
      <x:c r="A373" s="26"/>
      <x:c r="B373" s="19"/>
      <x:c r="C373" s="19"/>
      <x:c r="D373" s="19"/>
      <x:c r="E373" s="19"/>
      <x:c r="F373" s="24"/>
      <x:c r="G373" s="24"/>
      <x:c r="H373" s="62"/>
      <x:c r="I373" s="26"/>
      <x:c r="J373" s="27"/>
    </x:row>
    <x:row r="374">
      <x:c r="A374" s="26"/>
      <x:c r="B374" s="19"/>
      <x:c r="C374" s="19"/>
      <x:c r="D374" s="19"/>
      <x:c r="E374" s="19"/>
      <x:c r="F374" s="24"/>
      <x:c r="G374" s="24"/>
      <x:c r="H374" s="62"/>
      <x:c r="I374" s="26"/>
      <x:c r="J374" s="27"/>
    </x:row>
    <x:row r="375">
      <x:c r="A375" s="26"/>
      <x:c r="B375" s="19"/>
      <x:c r="C375" s="19"/>
      <x:c r="D375" s="19"/>
      <x:c r="E375" s="19"/>
      <x:c r="F375" s="24"/>
      <x:c r="G375" s="24"/>
      <x:c r="H375" s="62"/>
      <x:c r="I375" s="26"/>
      <x:c r="J375" s="27"/>
    </x:row>
    <x:row r="376">
      <x:c r="A376" s="26"/>
      <x:c r="B376" s="19"/>
      <x:c r="C376" s="19"/>
      <x:c r="D376" s="19"/>
      <x:c r="E376" s="19"/>
      <x:c r="F376" s="24"/>
      <x:c r="G376" s="24"/>
      <x:c r="H376" s="62"/>
      <x:c r="I376" s="26"/>
      <x:c r="J376" s="27"/>
    </x:row>
    <x:row r="377">
      <x:c r="A377" s="26"/>
      <x:c r="B377" s="19"/>
      <x:c r="C377" s="19"/>
      <x:c r="D377" s="19"/>
      <x:c r="E377" s="19"/>
      <x:c r="F377" s="24"/>
      <x:c r="G377" s="24"/>
      <x:c r="H377" s="62"/>
      <x:c r="I377" s="26"/>
      <x:c r="J377" s="27"/>
    </x:row>
    <x:row r="378">
      <x:c r="A378" s="26"/>
      <x:c r="B378" s="19"/>
      <x:c r="C378" s="19"/>
      <x:c r="D378" s="19"/>
      <x:c r="E378" s="19"/>
      <x:c r="F378" s="24"/>
      <x:c r="G378" s="24"/>
      <x:c r="H378" s="62"/>
      <x:c r="I378" s="26"/>
      <x:c r="J378" s="27"/>
    </x:row>
    <x:row r="379">
      <x:c r="A379" s="26"/>
      <x:c r="B379" s="19"/>
      <x:c r="C379" s="19"/>
      <x:c r="D379" s="19"/>
      <x:c r="E379" s="19"/>
      <x:c r="F379" s="24"/>
      <x:c r="G379" s="24"/>
      <x:c r="H379" s="62"/>
      <x:c r="I379" s="26"/>
      <x:c r="J379" s="27"/>
    </x:row>
    <x:row r="380">
      <x:c r="A380" s="26"/>
      <x:c r="B380" s="19"/>
      <x:c r="C380" s="19"/>
      <x:c r="D380" s="19"/>
      <x:c r="E380" s="19"/>
      <x:c r="F380" s="24"/>
      <x:c r="G380" s="24"/>
      <x:c r="H380" s="62"/>
      <x:c r="I380" s="26"/>
      <x:c r="J380" s="27"/>
    </x:row>
    <x:row r="381">
      <x:c r="A381" s="26"/>
      <x:c r="B381" s="19"/>
      <x:c r="C381" s="19"/>
      <x:c r="D381" s="19"/>
      <x:c r="E381" s="19"/>
      <x:c r="F381" s="24"/>
      <x:c r="G381" s="24"/>
      <x:c r="H381" s="62"/>
      <x:c r="I381" s="26"/>
      <x:c r="J381" s="27"/>
    </x:row>
    <x:row r="382">
      <x:c r="A382" s="26"/>
      <x:c r="B382" s="19"/>
      <x:c r="C382" s="19"/>
      <x:c r="D382" s="19"/>
      <x:c r="E382" s="19"/>
      <x:c r="F382" s="24"/>
      <x:c r="G382" s="24"/>
      <x:c r="H382" s="62"/>
      <x:c r="I382" s="26"/>
      <x:c r="J382" s="27"/>
    </x:row>
    <x:row r="383">
      <x:c r="A383" s="26"/>
      <x:c r="B383" s="19"/>
      <x:c r="C383" s="19"/>
      <x:c r="D383" s="19"/>
      <x:c r="E383" s="19"/>
      <x:c r="F383" s="24"/>
      <x:c r="G383" s="24"/>
      <x:c r="H383" s="62"/>
      <x:c r="I383" s="26"/>
      <x:c r="J383" s="27"/>
    </x:row>
    <x:row r="384">
      <x:c r="A384" s="26"/>
      <x:c r="B384" s="19"/>
      <x:c r="C384" s="19"/>
      <x:c r="D384" s="19"/>
      <x:c r="E384" s="19"/>
      <x:c r="F384" s="24"/>
      <x:c r="G384" s="24"/>
      <x:c r="H384" s="62"/>
      <x:c r="I384" s="26"/>
      <x:c r="J384" s="27"/>
    </x:row>
    <x:row r="385">
      <x:c r="A385" s="26"/>
      <x:c r="B385" s="19"/>
      <x:c r="C385" s="19"/>
      <x:c r="D385" s="19"/>
      <x:c r="E385" s="19"/>
      <x:c r="F385" s="24"/>
      <x:c r="G385" s="24"/>
      <x:c r="H385" s="62"/>
      <x:c r="I385" s="26"/>
      <x:c r="J385" s="27"/>
    </x:row>
    <x:row r="386">
      <x:c r="A386" s="26"/>
      <x:c r="B386" s="19"/>
      <x:c r="C386" s="19"/>
      <x:c r="D386" s="19"/>
      <x:c r="E386" s="19"/>
      <x:c r="F386" s="24"/>
      <x:c r="G386" s="24"/>
      <x:c r="H386" s="62"/>
      <x:c r="I386" s="26"/>
      <x:c r="J386" s="27"/>
    </x:row>
    <x:row r="387">
      <x:c r="A387" s="26"/>
      <x:c r="B387" s="19"/>
      <x:c r="C387" s="19"/>
      <x:c r="D387" s="19"/>
      <x:c r="E387" s="19"/>
      <x:c r="F387" s="24"/>
      <x:c r="G387" s="24"/>
      <x:c r="H387" s="62"/>
      <x:c r="I387" s="26"/>
      <x:c r="J387" s="27"/>
    </x:row>
    <x:row r="388">
      <x:c r="A388" s="26"/>
      <x:c r="B388" s="19"/>
      <x:c r="C388" s="19"/>
      <x:c r="D388" s="19"/>
      <x:c r="E388" s="19"/>
      <x:c r="F388" s="24"/>
      <x:c r="G388" s="24"/>
      <x:c r="H388" s="62"/>
      <x:c r="I388" s="26"/>
      <x:c r="J388" s="27"/>
    </x:row>
    <x:row r="389">
      <x:c r="A389" s="26"/>
      <x:c r="B389" s="19"/>
      <x:c r="C389" s="19"/>
      <x:c r="D389" s="19"/>
      <x:c r="E389" s="19"/>
      <x:c r="F389" s="24"/>
      <x:c r="G389" s="24"/>
      <x:c r="H389" s="62"/>
      <x:c r="I389" s="26"/>
      <x:c r="J389" s="27"/>
    </x:row>
    <x:row r="390">
      <x:c r="A390" s="26"/>
      <x:c r="B390" s="19"/>
      <x:c r="C390" s="19"/>
      <x:c r="D390" s="19"/>
      <x:c r="E390" s="19"/>
      <x:c r="F390" s="24"/>
      <x:c r="G390" s="24"/>
      <x:c r="H390" s="62"/>
      <x:c r="I390" s="26"/>
      <x:c r="J390" s="27"/>
    </x:row>
    <x:row r="391">
      <x:c r="A391" s="26"/>
      <x:c r="B391" s="19"/>
      <x:c r="C391" s="19"/>
      <x:c r="D391" s="19"/>
      <x:c r="E391" s="19"/>
      <x:c r="F391" s="24"/>
      <x:c r="G391" s="24"/>
      <x:c r="H391" s="62"/>
      <x:c r="I391" s="26"/>
      <x:c r="J391" s="27"/>
    </x:row>
    <x:row r="392">
      <x:c r="A392" s="26"/>
      <x:c r="B392" s="19"/>
      <x:c r="C392" s="19"/>
      <x:c r="D392" s="19"/>
      <x:c r="E392" s="19"/>
      <x:c r="F392" s="24"/>
      <x:c r="G392" s="24"/>
      <x:c r="H392" s="62"/>
      <x:c r="I392" s="26"/>
      <x:c r="J392" s="27"/>
    </x:row>
    <x:row r="393">
      <x:c r="A393" s="26"/>
      <x:c r="B393" s="19"/>
      <x:c r="C393" s="19"/>
      <x:c r="D393" s="19"/>
      <x:c r="E393" s="19"/>
      <x:c r="F393" s="24"/>
      <x:c r="G393" s="24"/>
      <x:c r="H393" s="62"/>
      <x:c r="I393" s="26"/>
      <x:c r="J393" s="27"/>
    </x:row>
    <x:row r="394">
      <x:c r="A394" s="26"/>
      <x:c r="B394" s="19"/>
      <x:c r="C394" s="19"/>
      <x:c r="D394" s="19"/>
      <x:c r="E394" s="19"/>
      <x:c r="F394" s="24"/>
      <x:c r="G394" s="24"/>
      <x:c r="H394" s="62"/>
      <x:c r="I394" s="26"/>
      <x:c r="J394" s="27"/>
    </x:row>
    <x:row r="395">
      <x:c r="A395" s="26"/>
      <x:c r="B395" s="19"/>
      <x:c r="C395" s="19"/>
      <x:c r="D395" s="19"/>
      <x:c r="E395" s="19"/>
      <x:c r="F395" s="24"/>
      <x:c r="G395" s="24"/>
      <x:c r="H395" s="62"/>
      <x:c r="I395" s="26"/>
      <x:c r="J395" s="27"/>
    </x:row>
    <x:row r="396">
      <x:c r="A396" s="26"/>
      <x:c r="B396" s="19"/>
      <x:c r="C396" s="19"/>
      <x:c r="D396" s="19"/>
      <x:c r="E396" s="19"/>
      <x:c r="F396" s="24"/>
      <x:c r="G396" s="24"/>
      <x:c r="H396" s="62"/>
      <x:c r="I396" s="26"/>
      <x:c r="J396" s="27"/>
    </x:row>
    <x:row r="397">
      <x:c r="A397" s="26"/>
      <x:c r="B397" s="19"/>
      <x:c r="C397" s="19"/>
      <x:c r="D397" s="19"/>
      <x:c r="E397" s="19"/>
      <x:c r="F397" s="24"/>
      <x:c r="G397" s="24"/>
      <x:c r="H397" s="62"/>
      <x:c r="I397" s="26"/>
      <x:c r="J397" s="27"/>
    </x:row>
    <x:row r="398">
      <x:c r="A398" s="26"/>
      <x:c r="B398" s="19"/>
      <x:c r="C398" s="19"/>
      <x:c r="D398" s="19"/>
      <x:c r="E398" s="19"/>
      <x:c r="F398" s="24"/>
      <x:c r="G398" s="24"/>
      <x:c r="H398" s="62"/>
      <x:c r="I398" s="26"/>
      <x:c r="J398" s="27"/>
    </x:row>
    <x:row r="399">
      <x:c r="A399" s="26"/>
      <x:c r="B399" s="19"/>
      <x:c r="C399" s="19"/>
      <x:c r="D399" s="19"/>
      <x:c r="E399" s="19"/>
      <x:c r="F399" s="24"/>
      <x:c r="G399" s="24"/>
      <x:c r="H399" s="62"/>
      <x:c r="I399" s="26"/>
      <x:c r="J399" s="27"/>
    </x:row>
    <x:row r="400">
      <x:c r="A400" s="26"/>
      <x:c r="B400" s="19"/>
      <x:c r="C400" s="19"/>
      <x:c r="D400" s="19"/>
      <x:c r="E400" s="19"/>
      <x:c r="F400" s="24"/>
      <x:c r="G400" s="24"/>
      <x:c r="H400" s="62"/>
      <x:c r="I400" s="26"/>
      <x:c r="J400" s="27"/>
    </x:row>
    <x:row r="401">
      <x:c r="A401" s="26"/>
      <x:c r="B401" s="19"/>
      <x:c r="C401" s="19"/>
      <x:c r="D401" s="19"/>
      <x:c r="E401" s="19"/>
      <x:c r="F401" s="24"/>
      <x:c r="G401" s="24"/>
      <x:c r="H401" s="62"/>
      <x:c r="I401" s="26"/>
      <x:c r="J401" s="27"/>
    </x:row>
    <x:row r="402">
      <x:c r="A402" s="26"/>
      <x:c r="B402" s="19"/>
      <x:c r="C402" s="19"/>
      <x:c r="D402" s="19"/>
      <x:c r="E402" s="19"/>
      <x:c r="F402" s="24"/>
      <x:c r="G402" s="24"/>
      <x:c r="H402" s="62"/>
      <x:c r="I402" s="26"/>
      <x:c r="J402" s="27"/>
    </x:row>
    <x:row r="403">
      <x:c r="A403" s="26"/>
      <x:c r="B403" s="19"/>
      <x:c r="C403" s="19"/>
      <x:c r="D403" s="19"/>
      <x:c r="E403" s="19"/>
      <x:c r="F403" s="24"/>
      <x:c r="G403" s="24"/>
      <x:c r="H403" s="62"/>
      <x:c r="I403" s="26"/>
      <x:c r="J403" s="27"/>
    </x:row>
    <x:row r="404">
      <x:c r="A404" s="26"/>
      <x:c r="B404" s="19"/>
      <x:c r="C404" s="19"/>
      <x:c r="D404" s="19"/>
      <x:c r="E404" s="19"/>
      <x:c r="F404" s="24"/>
      <x:c r="G404" s="24"/>
      <x:c r="H404" s="62"/>
      <x:c r="I404" s="26"/>
      <x:c r="J404" s="27"/>
    </x:row>
    <x:row r="405">
      <x:c r="A405" s="26"/>
      <x:c r="B405" s="19"/>
      <x:c r="C405" s="19"/>
      <x:c r="D405" s="19"/>
      <x:c r="E405" s="19"/>
      <x:c r="F405" s="24"/>
      <x:c r="G405" s="24"/>
      <x:c r="H405" s="62"/>
      <x:c r="I405" s="26"/>
      <x:c r="J405" s="27"/>
    </x:row>
    <x:row r="406">
      <x:c r="A406" s="26"/>
      <x:c r="B406" s="19"/>
      <x:c r="C406" s="19"/>
      <x:c r="D406" s="19"/>
      <x:c r="E406" s="19"/>
      <x:c r="F406" s="24"/>
      <x:c r="G406" s="24"/>
      <x:c r="H406" s="62"/>
      <x:c r="I406" s="26"/>
      <x:c r="J406" s="27"/>
    </x:row>
    <x:row r="407">
      <x:c r="A407" s="26"/>
      <x:c r="B407" s="19"/>
      <x:c r="C407" s="19"/>
      <x:c r="D407" s="19"/>
      <x:c r="E407" s="19"/>
      <x:c r="F407" s="24"/>
      <x:c r="G407" s="24"/>
      <x:c r="H407" s="62"/>
      <x:c r="I407" s="26"/>
      <x:c r="J407" s="27"/>
    </x:row>
    <x:row r="408">
      <x:c r="A408" s="26"/>
      <x:c r="B408" s="19"/>
      <x:c r="C408" s="19"/>
      <x:c r="D408" s="19"/>
      <x:c r="E408" s="19"/>
      <x:c r="F408" s="24"/>
      <x:c r="G408" s="24"/>
      <x:c r="H408" s="62"/>
      <x:c r="I408" s="26"/>
      <x:c r="J408" s="27"/>
    </x:row>
    <x:row r="409">
      <x:c r="A409" s="26"/>
      <x:c r="B409" s="19"/>
      <x:c r="C409" s="19"/>
      <x:c r="D409" s="19"/>
      <x:c r="E409" s="19"/>
      <x:c r="F409" s="24"/>
      <x:c r="G409" s="24"/>
      <x:c r="H409" s="62"/>
      <x:c r="I409" s="26"/>
      <x:c r="J409" s="27"/>
    </x:row>
    <x:row r="410">
      <x:c r="A410" s="26"/>
      <x:c r="B410" s="19"/>
      <x:c r="C410" s="19"/>
      <x:c r="D410" s="19"/>
      <x:c r="E410" s="19"/>
      <x:c r="F410" s="24"/>
      <x:c r="G410" s="24"/>
      <x:c r="H410" s="62"/>
      <x:c r="I410" s="26"/>
      <x:c r="J410" s="27"/>
    </x:row>
    <x:row r="411">
      <x:c r="A411" s="26"/>
      <x:c r="B411" s="19"/>
      <x:c r="C411" s="19"/>
      <x:c r="D411" s="19"/>
      <x:c r="E411" s="19"/>
      <x:c r="F411" s="24"/>
      <x:c r="G411" s="24"/>
      <x:c r="H411" s="62"/>
      <x:c r="I411" s="26"/>
      <x:c r="J411" s="27"/>
    </x:row>
    <x:row r="412">
      <x:c r="A412" s="26"/>
      <x:c r="B412" s="19"/>
      <x:c r="C412" s="19"/>
      <x:c r="D412" s="19"/>
      <x:c r="E412" s="19"/>
      <x:c r="F412" s="24"/>
      <x:c r="G412" s="24"/>
      <x:c r="H412" s="62"/>
      <x:c r="I412" s="26"/>
      <x:c r="J412" s="27"/>
    </x:row>
    <x:row r="413">
      <x:c r="A413" s="26"/>
      <x:c r="B413" s="19"/>
      <x:c r="C413" s="19"/>
      <x:c r="D413" s="19"/>
      <x:c r="E413" s="19"/>
      <x:c r="F413" s="24"/>
      <x:c r="G413" s="24"/>
      <x:c r="H413" s="62"/>
      <x:c r="I413" s="26"/>
      <x:c r="J413" s="27"/>
    </x:row>
    <x:row r="414">
      <x:c r="A414" s="26"/>
      <x:c r="B414" s="19"/>
      <x:c r="C414" s="19"/>
      <x:c r="D414" s="19"/>
      <x:c r="E414" s="19"/>
      <x:c r="F414" s="24"/>
      <x:c r="G414" s="24"/>
      <x:c r="H414" s="62"/>
      <x:c r="I414" s="26"/>
      <x:c r="J414" s="27"/>
    </x:row>
    <x:row r="415">
      <x:c r="A415" s="26"/>
      <x:c r="B415" s="19"/>
      <x:c r="C415" s="19"/>
      <x:c r="D415" s="19"/>
      <x:c r="E415" s="19"/>
      <x:c r="F415" s="24"/>
      <x:c r="G415" s="24"/>
      <x:c r="H415" s="62"/>
      <x:c r="I415" s="26"/>
      <x:c r="J415" s="27"/>
    </x:row>
    <x:row r="416">
      <x:c r="A416" s="26"/>
      <x:c r="B416" s="19"/>
      <x:c r="C416" s="19"/>
      <x:c r="D416" s="19"/>
      <x:c r="E416" s="19"/>
      <x:c r="F416" s="24"/>
      <x:c r="G416" s="24"/>
      <x:c r="H416" s="62"/>
      <x:c r="I416" s="26"/>
      <x:c r="J416" s="27"/>
    </x:row>
    <x:row r="417">
      <x:c r="A417" s="26"/>
      <x:c r="B417" s="19"/>
      <x:c r="C417" s="19"/>
      <x:c r="D417" s="19"/>
      <x:c r="E417" s="19"/>
      <x:c r="F417" s="24"/>
      <x:c r="G417" s="24"/>
      <x:c r="H417" s="62"/>
      <x:c r="I417" s="26"/>
      <x:c r="J417" s="27"/>
    </x:row>
    <x:row r="418">
      <x:c r="A418" s="26"/>
      <x:c r="B418" s="19"/>
      <x:c r="C418" s="19"/>
      <x:c r="D418" s="19"/>
      <x:c r="E418" s="19"/>
      <x:c r="F418" s="24"/>
      <x:c r="G418" s="24"/>
      <x:c r="H418" s="62"/>
      <x:c r="I418" s="26"/>
      <x:c r="J418" s="27"/>
    </x:row>
    <x:row r="419">
      <x:c r="A419" s="26"/>
      <x:c r="B419" s="19"/>
      <x:c r="C419" s="19"/>
      <x:c r="D419" s="19"/>
      <x:c r="E419" s="19"/>
      <x:c r="F419" s="24"/>
      <x:c r="G419" s="24"/>
      <x:c r="H419" s="62"/>
      <x:c r="I419" s="26"/>
      <x:c r="J419" s="27"/>
    </x:row>
    <x:row r="420">
      <x:c r="A420" s="26"/>
      <x:c r="B420" s="19"/>
      <x:c r="C420" s="19"/>
      <x:c r="D420" s="19"/>
      <x:c r="E420" s="19"/>
      <x:c r="F420" s="24"/>
      <x:c r="G420" s="24"/>
      <x:c r="H420" s="62"/>
      <x:c r="I420" s="26"/>
      <x:c r="J420" s="27"/>
    </x:row>
    <x:row r="421">
      <x:c r="A421" s="26"/>
      <x:c r="B421" s="19"/>
      <x:c r="C421" s="19"/>
      <x:c r="D421" s="19"/>
      <x:c r="E421" s="19"/>
      <x:c r="F421" s="24"/>
      <x:c r="G421" s="24"/>
      <x:c r="H421" s="62"/>
      <x:c r="I421" s="26"/>
      <x:c r="J421" s="27"/>
    </x:row>
    <x:row r="422">
      <x:c r="A422" s="26"/>
      <x:c r="B422" s="19"/>
      <x:c r="C422" s="19"/>
      <x:c r="D422" s="19"/>
      <x:c r="E422" s="19"/>
      <x:c r="F422" s="24"/>
      <x:c r="G422" s="24"/>
      <x:c r="H422" s="62"/>
      <x:c r="I422" s="26"/>
      <x:c r="J422" s="27"/>
    </x:row>
    <x:row r="423">
      <x:c r="A423" s="26"/>
      <x:c r="B423" s="19"/>
      <x:c r="C423" s="19"/>
      <x:c r="D423" s="19"/>
      <x:c r="E423" s="19"/>
      <x:c r="F423" s="24"/>
      <x:c r="G423" s="24"/>
      <x:c r="H423" s="62"/>
      <x:c r="I423" s="26"/>
      <x:c r="J423" s="27"/>
    </x:row>
    <x:row r="424">
      <x:c r="A424" s="26"/>
      <x:c r="B424" s="19"/>
      <x:c r="C424" s="19"/>
      <x:c r="D424" s="19"/>
      <x:c r="E424" s="19"/>
      <x:c r="F424" s="24"/>
      <x:c r="G424" s="24"/>
      <x:c r="H424" s="62"/>
      <x:c r="I424" s="26"/>
      <x:c r="J424" s="27"/>
    </x:row>
    <x:row r="425">
      <x:c r="A425" s="26"/>
      <x:c r="B425" s="19"/>
      <x:c r="C425" s="19"/>
      <x:c r="D425" s="19"/>
      <x:c r="E425" s="19"/>
      <x:c r="F425" s="24"/>
      <x:c r="G425" s="24"/>
      <x:c r="H425" s="62"/>
      <x:c r="I425" s="26"/>
      <x:c r="J425" s="27"/>
    </x:row>
    <x:row r="426">
      <x:c r="A426" s="26"/>
      <x:c r="B426" s="19"/>
      <x:c r="C426" s="19"/>
      <x:c r="D426" s="19"/>
      <x:c r="E426" s="19"/>
      <x:c r="F426" s="24"/>
      <x:c r="G426" s="24"/>
      <x:c r="H426" s="62"/>
      <x:c r="I426" s="26"/>
      <x:c r="J426" s="27"/>
    </x:row>
    <x:row r="427">
      <x:c r="A427" s="26"/>
      <x:c r="B427" s="19"/>
      <x:c r="C427" s="19"/>
      <x:c r="D427" s="19"/>
      <x:c r="E427" s="19"/>
      <x:c r="F427" s="24"/>
      <x:c r="G427" s="24"/>
      <x:c r="H427" s="62"/>
      <x:c r="I427" s="26"/>
      <x:c r="J427" s="27"/>
    </x:row>
    <x:row r="428">
      <x:c r="A428" s="26"/>
      <x:c r="B428" s="19"/>
      <x:c r="C428" s="19"/>
      <x:c r="D428" s="19"/>
      <x:c r="E428" s="19"/>
      <x:c r="F428" s="24"/>
      <x:c r="G428" s="24"/>
      <x:c r="H428" s="62"/>
      <x:c r="I428" s="26"/>
      <x:c r="J428" s="27"/>
    </x:row>
    <x:row r="429">
      <x:c r="A429" s="26"/>
      <x:c r="B429" s="19"/>
      <x:c r="C429" s="19"/>
      <x:c r="D429" s="19"/>
      <x:c r="E429" s="19"/>
      <x:c r="F429" s="24"/>
      <x:c r="G429" s="24"/>
      <x:c r="H429" s="62"/>
      <x:c r="I429" s="26"/>
      <x:c r="J429" s="27"/>
    </x:row>
    <x:row r="430">
      <x:c r="A430" s="26"/>
      <x:c r="B430" s="19"/>
      <x:c r="C430" s="19"/>
      <x:c r="D430" s="19"/>
      <x:c r="E430" s="19"/>
      <x:c r="F430" s="24"/>
      <x:c r="G430" s="24"/>
      <x:c r="H430" s="62"/>
      <x:c r="I430" s="26"/>
      <x:c r="J430" s="27"/>
    </x:row>
    <x:row r="431">
      <x:c r="A431" s="26"/>
      <x:c r="B431" s="19"/>
      <x:c r="C431" s="19"/>
      <x:c r="D431" s="19"/>
      <x:c r="E431" s="19"/>
      <x:c r="F431" s="24"/>
      <x:c r="G431" s="24"/>
      <x:c r="H431" s="62"/>
      <x:c r="I431" s="26"/>
      <x:c r="J431" s="27"/>
    </x:row>
    <x:row r="432">
      <x:c r="A432" s="26"/>
      <x:c r="B432" s="19"/>
      <x:c r="C432" s="19"/>
      <x:c r="D432" s="19"/>
      <x:c r="E432" s="19"/>
      <x:c r="F432" s="24"/>
      <x:c r="G432" s="24"/>
      <x:c r="H432" s="62"/>
      <x:c r="I432" s="26"/>
      <x:c r="J432" s="27"/>
    </x:row>
    <x:row r="433">
      <x:c r="A433" s="26"/>
      <x:c r="B433" s="19"/>
      <x:c r="C433" s="19"/>
      <x:c r="D433" s="19"/>
      <x:c r="E433" s="19"/>
      <x:c r="F433" s="24"/>
      <x:c r="G433" s="24"/>
      <x:c r="H433" s="62"/>
      <x:c r="I433" s="26"/>
      <x:c r="J433" s="27"/>
    </x:row>
    <x:row r="434">
      <x:c r="A434" s="26"/>
      <x:c r="B434" s="19"/>
      <x:c r="C434" s="19"/>
      <x:c r="D434" s="19"/>
      <x:c r="E434" s="19"/>
      <x:c r="F434" s="24"/>
      <x:c r="G434" s="24"/>
      <x:c r="H434" s="62"/>
      <x:c r="I434" s="26"/>
      <x:c r="J434" s="27"/>
    </x:row>
    <x:row r="435">
      <x:c r="A435" s="26"/>
      <x:c r="B435" s="19"/>
      <x:c r="C435" s="19"/>
      <x:c r="D435" s="19"/>
      <x:c r="E435" s="19"/>
      <x:c r="F435" s="24"/>
      <x:c r="G435" s="24"/>
      <x:c r="H435" s="62"/>
      <x:c r="I435" s="26"/>
      <x:c r="J435" s="27"/>
    </x:row>
    <x:row r="436">
      <x:c r="A436" s="26"/>
      <x:c r="B436" s="19"/>
      <x:c r="C436" s="19"/>
      <x:c r="D436" s="19"/>
      <x:c r="E436" s="19"/>
      <x:c r="F436" s="24"/>
      <x:c r="G436" s="24"/>
      <x:c r="H436" s="62"/>
      <x:c r="I436" s="26"/>
      <x:c r="J436" s="27"/>
    </x:row>
    <x:row r="437">
      <x:c r="A437" s="26"/>
      <x:c r="B437" s="19"/>
      <x:c r="C437" s="19"/>
      <x:c r="D437" s="19"/>
      <x:c r="E437" s="19"/>
      <x:c r="F437" s="24"/>
      <x:c r="G437" s="24"/>
      <x:c r="H437" s="62"/>
      <x:c r="I437" s="26"/>
      <x:c r="J437" s="27"/>
    </x:row>
    <x:row r="438">
      <x:c r="A438" s="26"/>
      <x:c r="B438" s="19"/>
      <x:c r="C438" s="19"/>
      <x:c r="D438" s="19"/>
      <x:c r="E438" s="19"/>
      <x:c r="F438" s="24"/>
      <x:c r="G438" s="24"/>
      <x:c r="H438" s="62"/>
      <x:c r="I438" s="26"/>
      <x:c r="J438" s="27"/>
    </x:row>
    <x:row r="439">
      <x:c r="A439" s="26"/>
      <x:c r="B439" s="19"/>
      <x:c r="C439" s="19"/>
      <x:c r="D439" s="19"/>
      <x:c r="E439" s="19"/>
      <x:c r="F439" s="24"/>
      <x:c r="G439" s="24"/>
      <x:c r="H439" s="62"/>
      <x:c r="I439" s="26"/>
      <x:c r="J439" s="27"/>
    </x:row>
    <x:row r="440">
      <x:c r="A440" s="26"/>
      <x:c r="B440" s="19"/>
      <x:c r="C440" s="19"/>
      <x:c r="D440" s="19"/>
      <x:c r="E440" s="19"/>
      <x:c r="F440" s="24"/>
      <x:c r="G440" s="24"/>
      <x:c r="H440" s="62"/>
      <x:c r="I440" s="26"/>
      <x:c r="J440" s="27"/>
    </x:row>
    <x:row r="441">
      <x:c r="A441" s="26"/>
      <x:c r="B441" s="19"/>
      <x:c r="C441" s="19"/>
      <x:c r="D441" s="19"/>
      <x:c r="E441" s="19"/>
      <x:c r="F441" s="24"/>
      <x:c r="G441" s="24"/>
      <x:c r="H441" s="62"/>
      <x:c r="I441" s="26"/>
      <x:c r="J441" s="27"/>
    </x:row>
    <x:row r="442">
      <x:c r="A442" s="26"/>
      <x:c r="B442" s="19"/>
      <x:c r="C442" s="19"/>
      <x:c r="D442" s="19"/>
      <x:c r="E442" s="19"/>
      <x:c r="F442" s="24"/>
      <x:c r="G442" s="24"/>
      <x:c r="H442" s="62"/>
      <x:c r="I442" s="26"/>
      <x:c r="J442" s="27"/>
    </x:row>
    <x:row r="443">
      <x:c r="A443" s="26"/>
      <x:c r="B443" s="19"/>
      <x:c r="C443" s="19"/>
      <x:c r="D443" s="19"/>
      <x:c r="E443" s="19"/>
      <x:c r="F443" s="24"/>
      <x:c r="G443" s="24"/>
      <x:c r="H443" s="62"/>
      <x:c r="I443" s="26"/>
      <x:c r="J443" s="27"/>
    </x:row>
    <x:row r="444">
      <x:c r="A444" s="26"/>
      <x:c r="B444" s="19"/>
      <x:c r="C444" s="19"/>
      <x:c r="D444" s="19"/>
      <x:c r="E444" s="19"/>
      <x:c r="F444" s="24"/>
      <x:c r="G444" s="24"/>
      <x:c r="H444" s="62"/>
      <x:c r="I444" s="26"/>
      <x:c r="J444" s="27"/>
    </x:row>
    <x:row r="445">
      <x:c r="A445" s="26"/>
      <x:c r="B445" s="19"/>
      <x:c r="C445" s="19"/>
      <x:c r="D445" s="19"/>
      <x:c r="E445" s="19"/>
      <x:c r="F445" s="24"/>
      <x:c r="G445" s="24"/>
      <x:c r="H445" s="62"/>
      <x:c r="I445" s="26"/>
      <x:c r="J445" s="27"/>
    </x:row>
    <x:row r="446">
      <x:c r="A446" s="26"/>
      <x:c r="B446" s="19"/>
      <x:c r="C446" s="19"/>
      <x:c r="D446" s="19"/>
      <x:c r="E446" s="19"/>
      <x:c r="F446" s="24"/>
      <x:c r="G446" s="24"/>
      <x:c r="H446" s="62"/>
      <x:c r="I446" s="26"/>
      <x:c r="J446" s="27"/>
    </x:row>
    <x:row r="447">
      <x:c r="A447" s="26"/>
      <x:c r="B447" s="19"/>
      <x:c r="C447" s="19"/>
      <x:c r="D447" s="19"/>
      <x:c r="E447" s="19"/>
      <x:c r="F447" s="24"/>
      <x:c r="G447" s="24"/>
      <x:c r="H447" s="62"/>
      <x:c r="I447" s="26"/>
      <x:c r="J447" s="27"/>
    </x:row>
    <x:row r="448">
      <x:c r="A448" s="26"/>
      <x:c r="B448" s="19"/>
      <x:c r="C448" s="19"/>
      <x:c r="D448" s="19"/>
      <x:c r="E448" s="19"/>
      <x:c r="F448" s="24"/>
      <x:c r="G448" s="24"/>
      <x:c r="H448" s="62"/>
      <x:c r="I448" s="26"/>
      <x:c r="J448" s="27"/>
    </x:row>
    <x:row r="449">
      <x:c r="A449" s="26"/>
      <x:c r="B449" s="19"/>
      <x:c r="C449" s="19"/>
      <x:c r="D449" s="19"/>
      <x:c r="E449" s="19"/>
      <x:c r="F449" s="24"/>
      <x:c r="G449" s="24"/>
      <x:c r="H449" s="62"/>
      <x:c r="I449" s="26"/>
      <x:c r="J449" s="27"/>
    </x:row>
    <x:row r="450">
      <x:c r="A450" s="26"/>
      <x:c r="B450" s="19"/>
      <x:c r="C450" s="19"/>
      <x:c r="D450" s="19"/>
      <x:c r="E450" s="19"/>
      <x:c r="F450" s="24"/>
      <x:c r="G450" s="24"/>
      <x:c r="H450" s="62"/>
      <x:c r="I450" s="26"/>
      <x:c r="J450" s="27"/>
    </x:row>
    <x:row r="451">
      <x:c r="A451" s="26"/>
      <x:c r="B451" s="19"/>
      <x:c r="C451" s="19"/>
      <x:c r="D451" s="19"/>
      <x:c r="E451" s="19"/>
      <x:c r="F451" s="24"/>
      <x:c r="G451" s="24"/>
      <x:c r="H451" s="62"/>
      <x:c r="I451" s="26"/>
      <x:c r="J451" s="27"/>
    </x:row>
    <x:row r="452">
      <x:c r="A452" s="26"/>
      <x:c r="B452" s="19"/>
      <x:c r="C452" s="19"/>
      <x:c r="D452" s="19"/>
      <x:c r="E452" s="19"/>
      <x:c r="F452" s="24"/>
      <x:c r="G452" s="24"/>
      <x:c r="H452" s="62"/>
      <x:c r="I452" s="26"/>
      <x:c r="J452" s="27"/>
    </x:row>
    <x:row r="453">
      <x:c r="A453" s="26"/>
      <x:c r="B453" s="19"/>
      <x:c r="C453" s="19"/>
      <x:c r="D453" s="19"/>
      <x:c r="E453" s="19"/>
      <x:c r="F453" s="24"/>
      <x:c r="G453" s="24"/>
      <x:c r="H453" s="62"/>
      <x:c r="I453" s="26"/>
      <x:c r="J453" s="27"/>
    </x:row>
    <x:row r="454">
      <x:c r="A454" s="26"/>
      <x:c r="B454" s="19"/>
      <x:c r="C454" s="19"/>
      <x:c r="D454" s="19"/>
      <x:c r="E454" s="19"/>
      <x:c r="F454" s="24"/>
      <x:c r="G454" s="24"/>
      <x:c r="H454" s="62"/>
      <x:c r="I454" s="26"/>
      <x:c r="J454" s="27"/>
    </x:row>
    <x:row r="455">
      <x:c r="A455" s="26"/>
      <x:c r="B455" s="19"/>
      <x:c r="C455" s="19"/>
      <x:c r="D455" s="19"/>
      <x:c r="E455" s="19"/>
      <x:c r="F455" s="24"/>
      <x:c r="G455" s="24"/>
      <x:c r="H455" s="62"/>
      <x:c r="I455" s="26"/>
      <x:c r="J455" s="27"/>
    </x:row>
    <x:row r="456">
      <x:c r="A456" s="26"/>
      <x:c r="B456" s="19"/>
      <x:c r="C456" s="19"/>
      <x:c r="D456" s="19"/>
      <x:c r="E456" s="19"/>
      <x:c r="F456" s="24"/>
      <x:c r="G456" s="24"/>
      <x:c r="H456" s="62"/>
      <x:c r="I456" s="26"/>
      <x:c r="J456" s="27"/>
    </x:row>
    <x:row r="457">
      <x:c r="A457" s="26"/>
      <x:c r="B457" s="19"/>
      <x:c r="C457" s="19"/>
      <x:c r="D457" s="19"/>
      <x:c r="E457" s="19"/>
      <x:c r="F457" s="24"/>
      <x:c r="G457" s="24"/>
      <x:c r="H457" s="62"/>
      <x:c r="I457" s="26"/>
      <x:c r="J457" s="27"/>
    </x:row>
    <x:row r="458">
      <x:c r="A458" s="26"/>
      <x:c r="B458" s="19"/>
      <x:c r="C458" s="19"/>
      <x:c r="D458" s="19"/>
      <x:c r="E458" s="19"/>
      <x:c r="F458" s="24"/>
      <x:c r="G458" s="24"/>
      <x:c r="H458" s="62"/>
      <x:c r="I458" s="26"/>
      <x:c r="J458" s="27"/>
    </x:row>
    <x:row r="459">
      <x:c r="A459" s="26"/>
      <x:c r="B459" s="19"/>
      <x:c r="C459" s="19"/>
      <x:c r="D459" s="19"/>
      <x:c r="E459" s="19"/>
      <x:c r="F459" s="24"/>
      <x:c r="G459" s="24"/>
      <x:c r="H459" s="62"/>
      <x:c r="I459" s="26"/>
      <x:c r="J459" s="27"/>
    </x:row>
    <x:row r="460">
      <x:c r="A460" s="26"/>
      <x:c r="B460" s="19"/>
      <x:c r="C460" s="19"/>
      <x:c r="D460" s="19"/>
      <x:c r="E460" s="19"/>
      <x:c r="F460" s="24"/>
      <x:c r="G460" s="24"/>
      <x:c r="H460" s="62"/>
      <x:c r="I460" s="26"/>
      <x:c r="J460" s="27"/>
    </x:row>
    <x:row r="461">
      <x:c r="A461" s="26"/>
      <x:c r="B461" s="19"/>
      <x:c r="C461" s="19"/>
      <x:c r="D461" s="19"/>
      <x:c r="E461" s="19"/>
      <x:c r="F461" s="24"/>
      <x:c r="G461" s="24"/>
      <x:c r="H461" s="62"/>
      <x:c r="I461" s="26"/>
      <x:c r="J461" s="27"/>
    </x:row>
    <x:row r="462">
      <x:c r="A462" s="26"/>
      <x:c r="B462" s="19"/>
      <x:c r="C462" s="19"/>
      <x:c r="D462" s="19"/>
      <x:c r="E462" s="19"/>
      <x:c r="F462" s="24"/>
      <x:c r="G462" s="24"/>
      <x:c r="H462" s="62"/>
      <x:c r="I462" s="26"/>
      <x:c r="J462" s="27"/>
    </x:row>
    <x:row r="463">
      <x:c r="A463" s="26"/>
      <x:c r="B463" s="19"/>
      <x:c r="C463" s="19"/>
      <x:c r="D463" s="19"/>
      <x:c r="E463" s="19"/>
      <x:c r="F463" s="24"/>
      <x:c r="G463" s="24"/>
      <x:c r="H463" s="62"/>
      <x:c r="I463" s="26"/>
      <x:c r="J463" s="27"/>
    </x:row>
    <x:row r="464">
      <x:c r="A464" s="26"/>
      <x:c r="B464" s="19"/>
      <x:c r="C464" s="19"/>
      <x:c r="D464" s="19"/>
      <x:c r="E464" s="19"/>
      <x:c r="F464" s="24"/>
      <x:c r="G464" s="24"/>
      <x:c r="H464" s="62"/>
      <x:c r="I464" s="26"/>
      <x:c r="J464" s="27"/>
    </x:row>
    <x:row r="465">
      <x:c r="A465" s="26"/>
      <x:c r="B465" s="19"/>
      <x:c r="C465" s="19"/>
      <x:c r="D465" s="19"/>
      <x:c r="E465" s="19"/>
      <x:c r="F465" s="24"/>
      <x:c r="G465" s="24"/>
      <x:c r="H465" s="62"/>
      <x:c r="I465" s="26"/>
      <x:c r="J465" s="27"/>
    </x:row>
    <x:row r="466">
      <x:c r="A466" s="26"/>
      <x:c r="B466" s="19"/>
      <x:c r="C466" s="19"/>
      <x:c r="D466" s="19"/>
      <x:c r="E466" s="19"/>
      <x:c r="F466" s="24"/>
      <x:c r="G466" s="24"/>
      <x:c r="H466" s="62"/>
      <x:c r="I466" s="26"/>
      <x:c r="J466" s="27"/>
    </x:row>
    <x:row r="467">
      <x:c r="A467" s="26"/>
      <x:c r="B467" s="19"/>
      <x:c r="C467" s="19"/>
      <x:c r="D467" s="19"/>
      <x:c r="E467" s="19"/>
      <x:c r="F467" s="24"/>
      <x:c r="G467" s="24"/>
      <x:c r="H467" s="62"/>
      <x:c r="I467" s="26"/>
      <x:c r="J467" s="27"/>
    </x:row>
    <x:row r="468">
      <x:c r="A468" s="26"/>
      <x:c r="B468" s="19"/>
      <x:c r="C468" s="19"/>
      <x:c r="D468" s="19"/>
      <x:c r="E468" s="19"/>
      <x:c r="F468" s="24"/>
      <x:c r="G468" s="24"/>
      <x:c r="H468" s="62"/>
      <x:c r="I468" s="26"/>
      <x:c r="J468" s="27"/>
    </x:row>
    <x:row r="469">
      <x:c r="A469" s="26"/>
      <x:c r="B469" s="19"/>
      <x:c r="C469" s="19"/>
      <x:c r="D469" s="19"/>
      <x:c r="E469" s="19"/>
      <x:c r="F469" s="24"/>
      <x:c r="G469" s="24"/>
      <x:c r="H469" s="62"/>
      <x:c r="I469" s="26"/>
      <x:c r="J469" s="27"/>
    </x:row>
    <x:row r="470">
      <x:c r="A470" s="26"/>
      <x:c r="B470" s="19"/>
      <x:c r="C470" s="19"/>
      <x:c r="D470" s="19"/>
      <x:c r="E470" s="19"/>
      <x:c r="F470" s="24"/>
      <x:c r="G470" s="24"/>
      <x:c r="H470" s="62"/>
      <x:c r="I470" s="26"/>
      <x:c r="J470" s="27"/>
    </x:row>
    <x:row r="471">
      <x:c r="A471" s="26"/>
      <x:c r="B471" s="19"/>
      <x:c r="C471" s="19"/>
      <x:c r="D471" s="19"/>
      <x:c r="E471" s="19"/>
      <x:c r="F471" s="24"/>
      <x:c r="G471" s="24"/>
      <x:c r="H471" s="62"/>
      <x:c r="I471" s="26"/>
      <x:c r="J471" s="27"/>
    </x:row>
    <x:row r="472">
      <x:c r="A472" s="26"/>
      <x:c r="B472" s="19"/>
      <x:c r="C472" s="19"/>
      <x:c r="D472" s="19"/>
      <x:c r="E472" s="19"/>
      <x:c r="F472" s="24"/>
      <x:c r="G472" s="24"/>
      <x:c r="H472" s="62"/>
      <x:c r="I472" s="26"/>
      <x:c r="J472" s="27"/>
    </x:row>
    <x:row r="473">
      <x:c r="A473" s="26"/>
      <x:c r="B473" s="19"/>
      <x:c r="C473" s="19"/>
      <x:c r="D473" s="19"/>
      <x:c r="E473" s="19"/>
      <x:c r="F473" s="24"/>
      <x:c r="G473" s="24"/>
      <x:c r="H473" s="62"/>
      <x:c r="I473" s="26"/>
      <x:c r="J473" s="27"/>
    </x:row>
    <x:row r="474">
      <x:c r="A474" s="26"/>
      <x:c r="B474" s="19"/>
      <x:c r="C474" s="19"/>
      <x:c r="D474" s="19"/>
      <x:c r="E474" s="19"/>
      <x:c r="F474" s="24"/>
      <x:c r="G474" s="24"/>
      <x:c r="H474" s="62"/>
      <x:c r="I474" s="26"/>
      <x:c r="J474" s="27"/>
    </x:row>
    <x:row r="475">
      <x:c r="A475" s="26"/>
      <x:c r="B475" s="19"/>
      <x:c r="C475" s="19"/>
      <x:c r="D475" s="19"/>
      <x:c r="E475" s="19"/>
      <x:c r="F475" s="24"/>
      <x:c r="G475" s="24"/>
      <x:c r="H475" s="62"/>
      <x:c r="I475" s="26"/>
      <x:c r="J475" s="27"/>
    </x:row>
    <x:row r="476">
      <x:c r="A476" s="26"/>
      <x:c r="B476" s="19"/>
      <x:c r="C476" s="19"/>
      <x:c r="D476" s="19"/>
      <x:c r="E476" s="19"/>
      <x:c r="F476" s="24"/>
      <x:c r="G476" s="24"/>
      <x:c r="H476" s="62"/>
      <x:c r="I476" s="26"/>
      <x:c r="J476" s="27"/>
    </x:row>
    <x:row r="477">
      <x:c r="A477" s="26"/>
      <x:c r="B477" s="19"/>
      <x:c r="C477" s="19"/>
      <x:c r="D477" s="19"/>
      <x:c r="E477" s="19"/>
      <x:c r="F477" s="24"/>
      <x:c r="G477" s="24"/>
      <x:c r="H477" s="62"/>
      <x:c r="I477" s="26"/>
      <x:c r="J477" s="27"/>
    </x:row>
    <x:row r="478">
      <x:c r="A478" s="26"/>
      <x:c r="B478" s="19"/>
      <x:c r="C478" s="19"/>
      <x:c r="D478" s="19"/>
      <x:c r="E478" s="19"/>
      <x:c r="F478" s="24"/>
      <x:c r="G478" s="24"/>
      <x:c r="H478" s="62"/>
      <x:c r="I478" s="26"/>
      <x:c r="J478" s="27"/>
    </x:row>
    <x:row r="479">
      <x:c r="A479" s="26"/>
      <x:c r="B479" s="19"/>
      <x:c r="C479" s="19"/>
      <x:c r="D479" s="19"/>
      <x:c r="E479" s="19"/>
      <x:c r="F479" s="24"/>
      <x:c r="G479" s="24"/>
      <x:c r="H479" s="62"/>
      <x:c r="I479" s="26"/>
      <x:c r="J479" s="27"/>
    </x:row>
    <x:row r="480">
      <x:c r="A480" s="26"/>
      <x:c r="B480" s="19"/>
      <x:c r="C480" s="19"/>
      <x:c r="D480" s="19"/>
      <x:c r="E480" s="19"/>
      <x:c r="F480" s="24"/>
      <x:c r="G480" s="24"/>
      <x:c r="H480" s="62"/>
      <x:c r="I480" s="26"/>
      <x:c r="J480" s="27"/>
    </x:row>
    <x:row r="481">
      <x:c r="A481" s="26"/>
      <x:c r="B481" s="19"/>
      <x:c r="C481" s="19"/>
      <x:c r="D481" s="19"/>
      <x:c r="E481" s="19"/>
      <x:c r="F481" s="24"/>
      <x:c r="G481" s="24"/>
      <x:c r="H481" s="62"/>
      <x:c r="I481" s="26"/>
      <x:c r="J481" s="27"/>
    </x:row>
    <x:row r="482">
      <x:c r="A482" s="26"/>
      <x:c r="B482" s="19"/>
      <x:c r="C482" s="19"/>
      <x:c r="D482" s="19"/>
      <x:c r="E482" s="19"/>
      <x:c r="F482" s="24"/>
      <x:c r="G482" s="24"/>
      <x:c r="H482" s="62"/>
      <x:c r="I482" s="26"/>
      <x:c r="J482" s="27"/>
    </x:row>
    <x:row r="483">
      <x:c r="A483" s="26"/>
      <x:c r="B483" s="19"/>
      <x:c r="C483" s="19"/>
      <x:c r="D483" s="19"/>
      <x:c r="E483" s="19"/>
      <x:c r="F483" s="24"/>
      <x:c r="G483" s="24"/>
      <x:c r="H483" s="62"/>
      <x:c r="I483" s="26"/>
      <x:c r="J483" s="27"/>
    </x:row>
    <x:row r="484">
      <x:c r="A484" s="26"/>
      <x:c r="B484" s="19"/>
      <x:c r="C484" s="19"/>
      <x:c r="D484" s="19"/>
      <x:c r="E484" s="19"/>
      <x:c r="F484" s="24"/>
      <x:c r="G484" s="24"/>
      <x:c r="H484" s="62"/>
      <x:c r="I484" s="26"/>
      <x:c r="J484" s="27"/>
    </x:row>
    <x:row r="485">
      <x:c r="A485" s="26"/>
      <x:c r="B485" s="19"/>
      <x:c r="C485" s="19"/>
      <x:c r="D485" s="19"/>
      <x:c r="E485" s="19"/>
      <x:c r="F485" s="24"/>
      <x:c r="G485" s="24"/>
      <x:c r="H485" s="62"/>
      <x:c r="I485" s="26"/>
      <x:c r="J485" s="27"/>
    </x:row>
    <x:row r="486">
      <x:c r="A486" s="26"/>
      <x:c r="B486" s="19"/>
      <x:c r="C486" s="19"/>
      <x:c r="D486" s="19"/>
      <x:c r="E486" s="19"/>
      <x:c r="F486" s="24"/>
      <x:c r="G486" s="24"/>
      <x:c r="H486" s="62"/>
      <x:c r="I486" s="26"/>
      <x:c r="J486" s="27"/>
    </x:row>
    <x:row r="487">
      <x:c r="A487" s="26"/>
      <x:c r="B487" s="19"/>
      <x:c r="C487" s="19"/>
      <x:c r="D487" s="19"/>
      <x:c r="E487" s="19"/>
      <x:c r="F487" s="24"/>
      <x:c r="G487" s="24"/>
      <x:c r="H487" s="62"/>
      <x:c r="I487" s="26"/>
      <x:c r="J487" s="27"/>
    </x:row>
    <x:row r="488">
      <x:c r="A488" s="26"/>
      <x:c r="B488" s="19"/>
      <x:c r="C488" s="19"/>
      <x:c r="D488" s="19"/>
      <x:c r="E488" s="19"/>
      <x:c r="F488" s="24"/>
      <x:c r="G488" s="24"/>
      <x:c r="H488" s="62"/>
      <x:c r="I488" s="26"/>
      <x:c r="J488" s="27"/>
    </x:row>
    <x:row r="489">
      <x:c r="A489" s="26"/>
      <x:c r="B489" s="19"/>
      <x:c r="C489" s="19"/>
      <x:c r="D489" s="19"/>
      <x:c r="E489" s="19"/>
      <x:c r="F489" s="24"/>
      <x:c r="G489" s="24"/>
      <x:c r="H489" s="62"/>
      <x:c r="I489" s="26"/>
      <x:c r="J489" s="27"/>
    </x:row>
    <x:row r="490">
      <x:c r="A490" s="26"/>
      <x:c r="B490" s="19"/>
      <x:c r="C490" s="19"/>
      <x:c r="D490" s="19"/>
      <x:c r="E490" s="19"/>
      <x:c r="F490" s="24"/>
      <x:c r="G490" s="24"/>
      <x:c r="H490" s="62"/>
      <x:c r="I490" s="26"/>
      <x:c r="J490" s="27"/>
    </x:row>
    <x:row r="491">
      <x:c r="A491" s="26"/>
      <x:c r="B491" s="19"/>
      <x:c r="C491" s="19"/>
      <x:c r="D491" s="19"/>
      <x:c r="E491" s="19"/>
      <x:c r="F491" s="24"/>
      <x:c r="G491" s="24"/>
      <x:c r="H491" s="62"/>
      <x:c r="I491" s="26"/>
      <x:c r="J491" s="27"/>
    </x:row>
    <x:row r="492">
      <x:c r="A492" s="26"/>
      <x:c r="B492" s="19"/>
      <x:c r="C492" s="19"/>
      <x:c r="D492" s="19"/>
      <x:c r="E492" s="19"/>
      <x:c r="F492" s="24"/>
      <x:c r="G492" s="24"/>
      <x:c r="H492" s="62"/>
      <x:c r="I492" s="26"/>
      <x:c r="J492" s="27"/>
    </x:row>
    <x:row r="493">
      <x:c r="A493" s="26"/>
      <x:c r="B493" s="19"/>
      <x:c r="C493" s="19"/>
      <x:c r="D493" s="19"/>
      <x:c r="E493" s="19"/>
      <x:c r="F493" s="24"/>
      <x:c r="G493" s="24"/>
      <x:c r="H493" s="62"/>
      <x:c r="I493" s="26"/>
      <x:c r="J493" s="27"/>
    </x:row>
    <x:row r="494">
      <x:c r="A494" s="26"/>
      <x:c r="B494" s="19"/>
      <x:c r="C494" s="19"/>
      <x:c r="D494" s="19"/>
      <x:c r="E494" s="19"/>
      <x:c r="F494" s="24"/>
      <x:c r="G494" s="24"/>
      <x:c r="H494" s="62"/>
      <x:c r="I494" s="26"/>
      <x:c r="J494" s="27"/>
    </x:row>
    <x:row r="495">
      <x:c r="A495" s="26"/>
      <x:c r="B495" s="19"/>
      <x:c r="C495" s="19"/>
      <x:c r="D495" s="19"/>
      <x:c r="E495" s="19"/>
      <x:c r="F495" s="24"/>
      <x:c r="G495" s="24"/>
      <x:c r="H495" s="62"/>
      <x:c r="I495" s="26"/>
      <x:c r="J495" s="27"/>
    </x:row>
    <x:row r="496">
      <x:c r="A496" s="26"/>
      <x:c r="B496" s="19"/>
      <x:c r="C496" s="19"/>
      <x:c r="D496" s="19"/>
      <x:c r="E496" s="19"/>
      <x:c r="F496" s="24"/>
      <x:c r="G496" s="24"/>
      <x:c r="H496" s="62"/>
      <x:c r="I496" s="26"/>
      <x:c r="J496" s="27"/>
    </x:row>
    <x:row r="497">
      <x:c r="A497" s="26"/>
      <x:c r="B497" s="19"/>
      <x:c r="C497" s="19"/>
      <x:c r="D497" s="19"/>
      <x:c r="E497" s="19"/>
      <x:c r="F497" s="24"/>
      <x:c r="G497" s="24"/>
      <x:c r="H497" s="62"/>
      <x:c r="I497" s="26"/>
      <x:c r="J497" s="27"/>
    </x:row>
    <x:row r="498">
      <x:c r="A498" s="26"/>
      <x:c r="B498" s="19"/>
      <x:c r="C498" s="19"/>
      <x:c r="D498" s="19"/>
      <x:c r="E498" s="19"/>
      <x:c r="F498" s="24"/>
      <x:c r="G498" s="24"/>
      <x:c r="H498" s="62"/>
      <x:c r="I498" s="26"/>
      <x:c r="J498" s="27"/>
    </x:row>
    <x:row r="499">
      <x:c r="A499" s="26"/>
      <x:c r="B499" s="19"/>
      <x:c r="C499" s="19"/>
      <x:c r="D499" s="19"/>
      <x:c r="E499" s="19"/>
      <x:c r="F499" s="24"/>
      <x:c r="G499" s="24"/>
      <x:c r="H499" s="62"/>
      <x:c r="I499" s="26"/>
      <x:c r="J499" s="27"/>
    </x:row>
    <x:row r="500">
      <x:c r="A500" s="26"/>
      <x:c r="B500" s="19"/>
      <x:c r="C500" s="19"/>
      <x:c r="D500" s="19"/>
      <x:c r="E500" s="19"/>
      <x:c r="F500" s="24"/>
      <x:c r="G500" s="24"/>
      <x:c r="H500" s="62"/>
      <x:c r="I500" s="26"/>
      <x:c r="J500" s="27"/>
    </x:row>
  </x:sheetData>
  <x:conditionalFormatting sqref="B2:B500">
    <x:cfRule type="expression" dxfId="142" priority="1">
      <x:formula>AND($A2&lt;&gt;"",B2="")</x:formula>
    </x:cfRule>
  </x:conditionalFormatting>
  <x:conditionalFormatting sqref="E2:E500">
    <x:cfRule type="expression" dxfId="143" priority="2">
      <x:formula>AND($A2&lt;&gt;"",E2="")</x:formula>
    </x:cfRule>
  </x:conditionalFormatting>
  <x:conditionalFormatting sqref="F2:F500">
    <x:cfRule type="expression" dxfId="144" priority="3">
      <x:formula>AND($A2&lt;&gt;"",F2="")</x:formula>
    </x:cfRule>
  </x:conditionalFormatting>
  <x:conditionalFormatting sqref="G2:G500">
    <x:cfRule type="expression" dxfId="145" priority="4">
      <x:formula>AND($A2&lt;&gt;"",G2="")</x:formula>
    </x:cfRule>
  </x:conditionalFormatting>
  <x:conditionalFormatting sqref="H2:H500">
    <x:cfRule type="expression" dxfId="146" priority="5">
      <x:formula>AND($A2&lt;&gt;"",H2="")</x:formula>
    </x:cfRule>
  </x:conditionalFormatting>
  <x:conditionalFormatting sqref="I2:I500">
    <x:cfRule type="expression" dxfId="147" priority="6">
      <x:formula>AND($A2&lt;&gt;"",I2="")</x:formula>
    </x:cfRule>
  </x:conditionalFormatting>
  <x:conditionalFormatting sqref="J2:J500">
    <x:cfRule type="expression" dxfId="148" priority="7">
      <x:formula>AND($A2&lt;&gt;"",J2="")</x:formula>
    </x:cfRule>
  </x:conditionalFormatting>
  <x:dataValidations count="1">
    <x:dataValidation type="list" sqref="E2:E500">
      <x:formula1>"day,week,month,rolling"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29e6f21b3f43e7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10" hidden="0" customWidth="1"/>
    <x:col min="5" max="5" width="14" hidden="0" customWidth="1"/>
    <x:col min="6" max="6" width="12" hidden="0" customWidth="1"/>
    <x:col min="7" max="7" width="20" hidden="0" customWidth="1"/>
    <x:col min="8" max="8" width="38" hidden="0" customWidth="1"/>
    <x:col min="9" max="9" width="10" hidden="0" customWidth="1"/>
    <x:col min="10" max="10" width="12" hidden="0" customWidth="1"/>
    <x:col min="11" max="11" width="10" hidden="0" customWidth="1"/>
  </x:cols>
  <x:sheetData>
    <x:row r="1" ht="46" customHeight="1">
      <x:c r="A1" s="12" t="str">
        <x:v>شناسه فرایند *
(pipeline_id)</x:v>
      </x:c>
      <x:c r="B1" s="13" t="str">
        <x:v>کد مرحله *
(stage_code)</x:v>
      </x:c>
      <x:c r="C1" s="13" t="str">
        <x:v>عنوان فارسی *
(label_fa)</x:v>
      </x:c>
      <x:c r="D1" s="13" t="str">
        <x:v>ترتیب *
(sequence)</x:v>
      </x:c>
      <x:c r="E1" s="13" t="str">
        <x:v>احتمال برد *
(probability)</x:v>
      </x:c>
      <x:c r="F1" s="13" t="str">
        <x:v>SLA ساعت
(sla_hours)</x:v>
      </x:c>
      <x:c r="G1" s="13" t="str">
        <x:v>پیگیری پیش‌فرض (روز)
(default_followup_days)</x:v>
      </x:c>
      <x:c r="H1" s="13" t="str">
        <x:v>فیلدهای اجباری
(required_field_keys)</x:v>
      </x:c>
      <x:c r="I1" s="13" t="str">
        <x:v>بسته *
(is_closed)</x:v>
      </x:c>
      <x:c r="J1" s="13" t="str">
        <x:v>نتیجه نهایی
(outcome)</x:v>
      </x:c>
      <x:c r="K1" s="14" t="str">
        <x:v>فعال *
(active)</x:v>
      </x:c>
    </x:row>
    <x:row r="2">
      <x:c r="A2" s="28" t="str">
        <x:v>retail_default</x:v>
      </x:c>
      <x:c r="B2" s="29" t="str">
        <x:v>new_lead</x:v>
      </x:c>
      <x:c r="C2" s="29" t="str">
        <x:v>سرنخ جدید</x:v>
      </x:c>
      <x:c r="D2" s="34" t="n">
        <x:v>1</x:v>
      </x:c>
      <x:c r="E2" s="59" t="n">
        <x:v>0.1</x:v>
      </x:c>
      <x:c r="F2" s="79" t="n">
        <x:v>0.5</x:v>
      </x:c>
      <x:c r="G2" s="34" t="n">
        <x:v>0</x:v>
      </x:c>
      <x:c r="H2" s="30" t="str">
        <x:v>customer_id,owner_user_id</x:v>
      </x:c>
      <x:c r="I2" s="66" t="b">
        <x:v>0</x:v>
      </x:c>
      <x:c r="J2" s="29" t="str">
        <x:v>open</x:v>
      </x:c>
      <x:c r="K2" s="55" t="b">
        <x:v>1</x:v>
      </x:c>
    </x:row>
    <x:row r="3">
      <x:c r="A3" s="37" t="str">
        <x:v>retail_default</x:v>
      </x:c>
      <x:c r="B3" s="38" t="str">
        <x:v>contacted</x:v>
      </x:c>
      <x:c r="C3" s="38" t="str">
        <x:v>تماس اولیه</x:v>
      </x:c>
      <x:c r="D3" s="43" t="n">
        <x:v>2</x:v>
      </x:c>
      <x:c r="E3" s="60" t="n">
        <x:v>0.2</x:v>
      </x:c>
      <x:c r="F3" s="80" t="n">
        <x:v>24</x:v>
      </x:c>
      <x:c r="G3" s="43" t="n">
        <x:v>1</x:v>
      </x:c>
      <x:c r="H3" s="39" t="str">
        <x:v>next_action</x:v>
      </x:c>
      <x:c r="I3" s="67" t="b">
        <x:v>0</x:v>
      </x:c>
      <x:c r="J3" s="38" t="str">
        <x:v>open</x:v>
      </x:c>
      <x:c r="K3" s="56" t="b">
        <x:v>1</x:v>
      </x:c>
    </x:row>
    <x:row r="4">
      <x:c r="A4" s="37" t="str">
        <x:v>retail_default</x:v>
      </x:c>
      <x:c r="B4" s="38" t="str">
        <x:v>needs_analysis</x:v>
      </x:c>
      <x:c r="C4" s="38" t="str">
        <x:v>نیازسنجی</x:v>
      </x:c>
      <x:c r="D4" s="43" t="n">
        <x:v>3</x:v>
      </x:c>
      <x:c r="E4" s="60" t="n">
        <x:v>0.35</x:v>
      </x:c>
      <x:c r="F4" s="80" t="n">
        <x:v>24</x:v>
      </x:c>
      <x:c r="G4" s="43" t="n">
        <x:v>1</x:v>
      </x:c>
      <x:c r="H4" s="39" t="str">
        <x:v>expected_value,next_action</x:v>
      </x:c>
      <x:c r="I4" s="67" t="b">
        <x:v>0</x:v>
      </x:c>
      <x:c r="J4" s="38" t="str">
        <x:v>open</x:v>
      </x:c>
      <x:c r="K4" s="56" t="b">
        <x:v>1</x:v>
      </x:c>
    </x:row>
    <x:row r="5">
      <x:c r="A5" s="37" t="str">
        <x:v>retail_default</x:v>
      </x:c>
      <x:c r="B5" s="38" t="str">
        <x:v>quote_sent</x:v>
      </x:c>
      <x:c r="C5" s="38" t="str">
        <x:v>پیش‌فاکتور ارسال شد</x:v>
      </x:c>
      <x:c r="D5" s="43" t="n">
        <x:v>4</x:v>
      </x:c>
      <x:c r="E5" s="60" t="n">
        <x:v>0.55</x:v>
      </x:c>
      <x:c r="F5" s="80" t="n">
        <x:v>24</x:v>
      </x:c>
      <x:c r="G5" s="43" t="n">
        <x:v>1</x:v>
      </x:c>
      <x:c r="H5" s="39" t="str">
        <x:v>quotation_id,next_action</x:v>
      </x:c>
      <x:c r="I5" s="67" t="b">
        <x:v>0</x:v>
      </x:c>
      <x:c r="J5" s="38" t="str">
        <x:v>open</x:v>
      </x:c>
      <x:c r="K5" s="56" t="b">
        <x:v>1</x:v>
      </x:c>
    </x:row>
    <x:row r="6">
      <x:c r="A6" s="37" t="str">
        <x:v>retail_default</x:v>
      </x:c>
      <x:c r="B6" s="38" t="str">
        <x:v>awaiting_response</x:v>
      </x:c>
      <x:c r="C6" s="38" t="str">
        <x:v>در انتظار پاسخ</x:v>
      </x:c>
      <x:c r="D6" s="43" t="n">
        <x:v>5</x:v>
      </x:c>
      <x:c r="E6" s="60" t="n">
        <x:v>0.6</x:v>
      </x:c>
      <x:c r="F6" s="80" t="n">
        <x:v>72</x:v>
      </x:c>
      <x:c r="G6" s="43" t="n">
        <x:v>3</x:v>
      </x:c>
      <x:c r="H6" s="39" t="str">
        <x:v>next_followup_at</x:v>
      </x:c>
      <x:c r="I6" s="67" t="b">
        <x:v>0</x:v>
      </x:c>
      <x:c r="J6" s="38" t="str">
        <x:v>open</x:v>
      </x:c>
      <x:c r="K6" s="56" t="b">
        <x:v>1</x:v>
      </x:c>
    </x:row>
    <x:row r="7">
      <x:c r="A7" s="37" t="str">
        <x:v>retail_default</x:v>
      </x:c>
      <x:c r="B7" s="38" t="str">
        <x:v>negotiation</x:v>
      </x:c>
      <x:c r="C7" s="38" t="str">
        <x:v>مذاکره</x:v>
      </x:c>
      <x:c r="D7" s="43" t="n">
        <x:v>6</x:v>
      </x:c>
      <x:c r="E7" s="60" t="n">
        <x:v>0.8</x:v>
      </x:c>
      <x:c r="F7" s="80" t="n">
        <x:v>48</x:v>
      </x:c>
      <x:c r="G7" s="43" t="n">
        <x:v>2</x:v>
      </x:c>
      <x:c r="H7" s="39" t="str">
        <x:v>next_action</x:v>
      </x:c>
      <x:c r="I7" s="67" t="b">
        <x:v>0</x:v>
      </x:c>
      <x:c r="J7" s="38" t="str">
        <x:v>open</x:v>
      </x:c>
      <x:c r="K7" s="56" t="b">
        <x:v>1</x:v>
      </x:c>
    </x:row>
    <x:row r="8">
      <x:c r="A8" s="37" t="str">
        <x:v>retail_default</x:v>
      </x:c>
      <x:c r="B8" s="38" t="str">
        <x:v>won</x:v>
      </x:c>
      <x:c r="C8" s="38" t="str">
        <x:v>فروش موفق</x:v>
      </x:c>
      <x:c r="D8" s="43" t="n">
        <x:v>7</x:v>
      </x:c>
      <x:c r="E8" s="60" t="n">
        <x:v>1</x:v>
      </x:c>
      <x:c r="F8" s="80" t="n">
        <x:v>0</x:v>
      </x:c>
      <x:c r="G8" s="43" t="n">
        <x:v>0</x:v>
      </x:c>
      <x:c r="H8" s="39" t="str">
        <x:v>closed_at</x:v>
      </x:c>
      <x:c r="I8" s="67" t="b">
        <x:v>1</x:v>
      </x:c>
      <x:c r="J8" s="38" t="str">
        <x:v>won</x:v>
      </x:c>
      <x:c r="K8" s="56" t="b">
        <x:v>1</x:v>
      </x:c>
    </x:row>
    <x:row r="9">
      <x:c r="A9" s="46" t="str">
        <x:v>retail_default</x:v>
      </x:c>
      <x:c r="B9" s="47" t="str">
        <x:v>lost</x:v>
      </x:c>
      <x:c r="C9" s="47" t="str">
        <x:v>فروش ناموفق</x:v>
      </x:c>
      <x:c r="D9" s="52" t="n">
        <x:v>8</x:v>
      </x:c>
      <x:c r="E9" s="61" t="n">
        <x:v>0</x:v>
      </x:c>
      <x:c r="F9" s="81" t="n">
        <x:v>0</x:v>
      </x:c>
      <x:c r="G9" s="52" t="n">
        <x:v>0</x:v>
      </x:c>
      <x:c r="H9" s="48" t="str">
        <x:v>lost_reason_code,closed_at</x:v>
      </x:c>
      <x:c r="I9" s="68" t="b">
        <x:v>1</x:v>
      </x:c>
      <x:c r="J9" s="47" t="str">
        <x:v>lost</x:v>
      </x:c>
      <x:c r="K9" s="57" t="b">
        <x:v>1</x:v>
      </x:c>
    </x:row>
    <x:row r="10">
      <x:c r="A10" s="19"/>
      <x:c r="B10" s="19"/>
      <x:c r="C10" s="19"/>
      <x:c r="D10" s="27"/>
      <x:c r="E10" s="58"/>
      <x:c r="F10" s="78"/>
      <x:c r="G10" s="27"/>
      <x:c r="H10" s="20"/>
      <x:c r="I10" s="19"/>
      <x:c r="J10" s="19"/>
      <x:c r="K10" s="19"/>
    </x:row>
    <x:row r="11">
      <x:c r="A11" s="19"/>
      <x:c r="B11" s="19"/>
      <x:c r="C11" s="19"/>
      <x:c r="D11" s="27"/>
      <x:c r="E11" s="58"/>
      <x:c r="F11" s="78"/>
      <x:c r="G11" s="27"/>
      <x:c r="H11" s="20"/>
      <x:c r="I11" s="19"/>
      <x:c r="J11" s="19"/>
      <x:c r="K11" s="19"/>
    </x:row>
    <x:row r="12">
      <x:c r="A12" s="19"/>
      <x:c r="B12" s="19"/>
      <x:c r="C12" s="19"/>
      <x:c r="D12" s="27"/>
      <x:c r="E12" s="58"/>
      <x:c r="F12" s="78"/>
      <x:c r="G12" s="27"/>
      <x:c r="H12" s="20"/>
      <x:c r="I12" s="19"/>
      <x:c r="J12" s="19"/>
      <x:c r="K12" s="19"/>
    </x:row>
    <x:row r="13">
      <x:c r="A13" s="19"/>
      <x:c r="B13" s="19"/>
      <x:c r="C13" s="19"/>
      <x:c r="D13" s="27"/>
      <x:c r="E13" s="58"/>
      <x:c r="F13" s="78"/>
      <x:c r="G13" s="27"/>
      <x:c r="H13" s="20"/>
      <x:c r="I13" s="19"/>
      <x:c r="J13" s="19"/>
      <x:c r="K13" s="19"/>
    </x:row>
    <x:row r="14">
      <x:c r="A14" s="19"/>
      <x:c r="B14" s="19"/>
      <x:c r="C14" s="19"/>
      <x:c r="D14" s="27"/>
      <x:c r="E14" s="58"/>
      <x:c r="F14" s="78"/>
      <x:c r="G14" s="27"/>
      <x:c r="H14" s="20"/>
      <x:c r="I14" s="19"/>
      <x:c r="J14" s="19"/>
      <x:c r="K14" s="19"/>
    </x:row>
    <x:row r="15">
      <x:c r="A15" s="19"/>
      <x:c r="B15" s="19"/>
      <x:c r="C15" s="19"/>
      <x:c r="D15" s="27"/>
      <x:c r="E15" s="58"/>
      <x:c r="F15" s="78"/>
      <x:c r="G15" s="27"/>
      <x:c r="H15" s="20"/>
      <x:c r="I15" s="19"/>
      <x:c r="J15" s="19"/>
      <x:c r="K15" s="19"/>
    </x:row>
    <x:row r="16">
      <x:c r="A16" s="19"/>
      <x:c r="B16" s="19"/>
      <x:c r="C16" s="19"/>
      <x:c r="D16" s="27"/>
      <x:c r="E16" s="58"/>
      <x:c r="F16" s="78"/>
      <x:c r="G16" s="27"/>
      <x:c r="H16" s="20"/>
      <x:c r="I16" s="19"/>
      <x:c r="J16" s="19"/>
      <x:c r="K16" s="19"/>
    </x:row>
    <x:row r="17">
      <x:c r="A17" s="19"/>
      <x:c r="B17" s="19"/>
      <x:c r="C17" s="19"/>
      <x:c r="D17" s="27"/>
      <x:c r="E17" s="58"/>
      <x:c r="F17" s="78"/>
      <x:c r="G17" s="27"/>
      <x:c r="H17" s="20"/>
      <x:c r="I17" s="19"/>
      <x:c r="J17" s="19"/>
      <x:c r="K17" s="19"/>
    </x:row>
    <x:row r="18">
      <x:c r="A18" s="19"/>
      <x:c r="B18" s="19"/>
      <x:c r="C18" s="19"/>
      <x:c r="D18" s="27"/>
      <x:c r="E18" s="58"/>
      <x:c r="F18" s="78"/>
      <x:c r="G18" s="27"/>
      <x:c r="H18" s="20"/>
      <x:c r="I18" s="19"/>
      <x:c r="J18" s="19"/>
      <x:c r="K18" s="19"/>
    </x:row>
    <x:row r="19">
      <x:c r="A19" s="19"/>
      <x:c r="B19" s="19"/>
      <x:c r="C19" s="19"/>
      <x:c r="D19" s="27"/>
      <x:c r="E19" s="58"/>
      <x:c r="F19" s="78"/>
      <x:c r="G19" s="27"/>
      <x:c r="H19" s="20"/>
      <x:c r="I19" s="19"/>
      <x:c r="J19" s="19"/>
      <x:c r="K19" s="19"/>
    </x:row>
    <x:row r="20">
      <x:c r="A20" s="19"/>
      <x:c r="B20" s="19"/>
      <x:c r="C20" s="19"/>
      <x:c r="D20" s="27"/>
      <x:c r="E20" s="58"/>
      <x:c r="F20" s="78"/>
      <x:c r="G20" s="27"/>
      <x:c r="H20" s="20"/>
      <x:c r="I20" s="19"/>
      <x:c r="J20" s="19"/>
      <x:c r="K20" s="19"/>
    </x:row>
    <x:row r="21">
      <x:c r="A21" s="19"/>
      <x:c r="B21" s="19"/>
      <x:c r="C21" s="19"/>
      <x:c r="D21" s="27"/>
      <x:c r="E21" s="58"/>
      <x:c r="F21" s="78"/>
      <x:c r="G21" s="27"/>
      <x:c r="H21" s="20"/>
      <x:c r="I21" s="19"/>
      <x:c r="J21" s="19"/>
      <x:c r="K21" s="19"/>
    </x:row>
    <x:row r="22">
      <x:c r="A22" s="19"/>
      <x:c r="B22" s="19"/>
      <x:c r="C22" s="19"/>
      <x:c r="D22" s="27"/>
      <x:c r="E22" s="58"/>
      <x:c r="F22" s="78"/>
      <x:c r="G22" s="27"/>
      <x:c r="H22" s="20"/>
      <x:c r="I22" s="19"/>
      <x:c r="J22" s="19"/>
      <x:c r="K22" s="19"/>
    </x:row>
    <x:row r="23">
      <x:c r="A23" s="19"/>
      <x:c r="B23" s="19"/>
      <x:c r="C23" s="19"/>
      <x:c r="D23" s="27"/>
      <x:c r="E23" s="58"/>
      <x:c r="F23" s="78"/>
      <x:c r="G23" s="27"/>
      <x:c r="H23" s="20"/>
      <x:c r="I23" s="19"/>
      <x:c r="J23" s="19"/>
      <x:c r="K23" s="19"/>
    </x:row>
    <x:row r="24">
      <x:c r="A24" s="19"/>
      <x:c r="B24" s="19"/>
      <x:c r="C24" s="19"/>
      <x:c r="D24" s="27"/>
      <x:c r="E24" s="58"/>
      <x:c r="F24" s="78"/>
      <x:c r="G24" s="27"/>
      <x:c r="H24" s="20"/>
      <x:c r="I24" s="19"/>
      <x:c r="J24" s="19"/>
      <x:c r="K24" s="19"/>
    </x:row>
    <x:row r="25">
      <x:c r="A25" s="19"/>
      <x:c r="B25" s="19"/>
      <x:c r="C25" s="19"/>
      <x:c r="D25" s="27"/>
      <x:c r="E25" s="58"/>
      <x:c r="F25" s="78"/>
      <x:c r="G25" s="27"/>
      <x:c r="H25" s="20"/>
      <x:c r="I25" s="19"/>
      <x:c r="J25" s="19"/>
      <x:c r="K25" s="19"/>
    </x:row>
    <x:row r="26">
      <x:c r="A26" s="19"/>
      <x:c r="B26" s="19"/>
      <x:c r="C26" s="19"/>
      <x:c r="D26" s="27"/>
      <x:c r="E26" s="58"/>
      <x:c r="F26" s="78"/>
      <x:c r="G26" s="27"/>
      <x:c r="H26" s="20"/>
      <x:c r="I26" s="19"/>
      <x:c r="J26" s="19"/>
      <x:c r="K26" s="19"/>
    </x:row>
    <x:row r="27">
      <x:c r="A27" s="19"/>
      <x:c r="B27" s="19"/>
      <x:c r="C27" s="19"/>
      <x:c r="D27" s="27"/>
      <x:c r="E27" s="58"/>
      <x:c r="F27" s="78"/>
      <x:c r="G27" s="27"/>
      <x:c r="H27" s="20"/>
      <x:c r="I27" s="19"/>
      <x:c r="J27" s="19"/>
      <x:c r="K27" s="19"/>
    </x:row>
    <x:row r="28">
      <x:c r="A28" s="19"/>
      <x:c r="B28" s="19"/>
      <x:c r="C28" s="19"/>
      <x:c r="D28" s="27"/>
      <x:c r="E28" s="58"/>
      <x:c r="F28" s="78"/>
      <x:c r="G28" s="27"/>
      <x:c r="H28" s="20"/>
      <x:c r="I28" s="19"/>
      <x:c r="J28" s="19"/>
      <x:c r="K28" s="19"/>
    </x:row>
    <x:row r="29">
      <x:c r="A29" s="19"/>
      <x:c r="B29" s="19"/>
      <x:c r="C29" s="19"/>
      <x:c r="D29" s="27"/>
      <x:c r="E29" s="58"/>
      <x:c r="F29" s="78"/>
      <x:c r="G29" s="27"/>
      <x:c r="H29" s="20"/>
      <x:c r="I29" s="19"/>
      <x:c r="J29" s="19"/>
      <x:c r="K29" s="19"/>
    </x:row>
    <x:row r="30">
      <x:c r="A30" s="19"/>
      <x:c r="B30" s="19"/>
      <x:c r="C30" s="19"/>
      <x:c r="D30" s="27"/>
      <x:c r="E30" s="58"/>
      <x:c r="F30" s="78"/>
      <x:c r="G30" s="27"/>
      <x:c r="H30" s="20"/>
      <x:c r="I30" s="19"/>
      <x:c r="J30" s="19"/>
      <x:c r="K30" s="19"/>
    </x:row>
    <x:row r="31">
      <x:c r="A31" s="19"/>
      <x:c r="B31" s="19"/>
      <x:c r="C31" s="19"/>
      <x:c r="D31" s="27"/>
      <x:c r="E31" s="58"/>
      <x:c r="F31" s="78"/>
      <x:c r="G31" s="27"/>
      <x:c r="H31" s="20"/>
      <x:c r="I31" s="19"/>
      <x:c r="J31" s="19"/>
      <x:c r="K31" s="19"/>
    </x:row>
    <x:row r="32">
      <x:c r="A32" s="19"/>
      <x:c r="B32" s="19"/>
      <x:c r="C32" s="19"/>
      <x:c r="D32" s="27"/>
      <x:c r="E32" s="58"/>
      <x:c r="F32" s="78"/>
      <x:c r="G32" s="27"/>
      <x:c r="H32" s="20"/>
      <x:c r="I32" s="19"/>
      <x:c r="J32" s="19"/>
      <x:c r="K32" s="19"/>
    </x:row>
    <x:row r="33">
      <x:c r="A33" s="19"/>
      <x:c r="B33" s="19"/>
      <x:c r="C33" s="19"/>
      <x:c r="D33" s="27"/>
      <x:c r="E33" s="58"/>
      <x:c r="F33" s="78"/>
      <x:c r="G33" s="27"/>
      <x:c r="H33" s="20"/>
      <x:c r="I33" s="19"/>
      <x:c r="J33" s="19"/>
      <x:c r="K33" s="19"/>
    </x:row>
    <x:row r="34">
      <x:c r="A34" s="19"/>
      <x:c r="B34" s="19"/>
      <x:c r="C34" s="19"/>
      <x:c r="D34" s="27"/>
      <x:c r="E34" s="58"/>
      <x:c r="F34" s="78"/>
      <x:c r="G34" s="27"/>
      <x:c r="H34" s="20"/>
      <x:c r="I34" s="19"/>
      <x:c r="J34" s="19"/>
      <x:c r="K34" s="19"/>
    </x:row>
    <x:row r="35">
      <x:c r="A35" s="19"/>
      <x:c r="B35" s="19"/>
      <x:c r="C35" s="19"/>
      <x:c r="D35" s="27"/>
      <x:c r="E35" s="58"/>
      <x:c r="F35" s="78"/>
      <x:c r="G35" s="27"/>
      <x:c r="H35" s="20"/>
      <x:c r="I35" s="19"/>
      <x:c r="J35" s="19"/>
      <x:c r="K35" s="19"/>
    </x:row>
    <x:row r="36">
      <x:c r="A36" s="19"/>
      <x:c r="B36" s="19"/>
      <x:c r="C36" s="19"/>
      <x:c r="D36" s="27"/>
      <x:c r="E36" s="58"/>
      <x:c r="F36" s="78"/>
      <x:c r="G36" s="27"/>
      <x:c r="H36" s="20"/>
      <x:c r="I36" s="19"/>
      <x:c r="J36" s="19"/>
      <x:c r="K36" s="19"/>
    </x:row>
    <x:row r="37">
      <x:c r="A37" s="19"/>
      <x:c r="B37" s="19"/>
      <x:c r="C37" s="19"/>
      <x:c r="D37" s="27"/>
      <x:c r="E37" s="58"/>
      <x:c r="F37" s="78"/>
      <x:c r="G37" s="27"/>
      <x:c r="H37" s="20"/>
      <x:c r="I37" s="19"/>
      <x:c r="J37" s="19"/>
      <x:c r="K37" s="19"/>
    </x:row>
    <x:row r="38">
      <x:c r="A38" s="19"/>
      <x:c r="B38" s="19"/>
      <x:c r="C38" s="19"/>
      <x:c r="D38" s="27"/>
      <x:c r="E38" s="58"/>
      <x:c r="F38" s="78"/>
      <x:c r="G38" s="27"/>
      <x:c r="H38" s="20"/>
      <x:c r="I38" s="19"/>
      <x:c r="J38" s="19"/>
      <x:c r="K38" s="19"/>
    </x:row>
    <x:row r="39">
      <x:c r="A39" s="19"/>
      <x:c r="B39" s="19"/>
      <x:c r="C39" s="19"/>
      <x:c r="D39" s="27"/>
      <x:c r="E39" s="58"/>
      <x:c r="F39" s="78"/>
      <x:c r="G39" s="27"/>
      <x:c r="H39" s="20"/>
      <x:c r="I39" s="19"/>
      <x:c r="J39" s="19"/>
      <x:c r="K39" s="19"/>
    </x:row>
    <x:row r="40">
      <x:c r="A40" s="19"/>
      <x:c r="B40" s="19"/>
      <x:c r="C40" s="19"/>
      <x:c r="D40" s="27"/>
      <x:c r="E40" s="58"/>
      <x:c r="F40" s="78"/>
      <x:c r="G40" s="27"/>
      <x:c r="H40" s="20"/>
      <x:c r="I40" s="19"/>
      <x:c r="J40" s="19"/>
      <x:c r="K40" s="19"/>
    </x:row>
    <x:row r="41">
      <x:c r="A41" s="19"/>
      <x:c r="B41" s="19"/>
      <x:c r="C41" s="19"/>
      <x:c r="D41" s="27"/>
      <x:c r="E41" s="58"/>
      <x:c r="F41" s="78"/>
      <x:c r="G41" s="27"/>
      <x:c r="H41" s="20"/>
      <x:c r="I41" s="19"/>
      <x:c r="J41" s="19"/>
      <x:c r="K41" s="19"/>
    </x:row>
    <x:row r="42">
      <x:c r="A42" s="19"/>
      <x:c r="B42" s="19"/>
      <x:c r="C42" s="19"/>
      <x:c r="D42" s="27"/>
      <x:c r="E42" s="58"/>
      <x:c r="F42" s="78"/>
      <x:c r="G42" s="27"/>
      <x:c r="H42" s="20"/>
      <x:c r="I42" s="19"/>
      <x:c r="J42" s="19"/>
      <x:c r="K42" s="19"/>
    </x:row>
    <x:row r="43">
      <x:c r="A43" s="19"/>
      <x:c r="B43" s="19"/>
      <x:c r="C43" s="19"/>
      <x:c r="D43" s="27"/>
      <x:c r="E43" s="58"/>
      <x:c r="F43" s="78"/>
      <x:c r="G43" s="27"/>
      <x:c r="H43" s="20"/>
      <x:c r="I43" s="19"/>
      <x:c r="J43" s="19"/>
      <x:c r="K43" s="19"/>
    </x:row>
    <x:row r="44">
      <x:c r="A44" s="19"/>
      <x:c r="B44" s="19"/>
      <x:c r="C44" s="19"/>
      <x:c r="D44" s="27"/>
      <x:c r="E44" s="58"/>
      <x:c r="F44" s="78"/>
      <x:c r="G44" s="27"/>
      <x:c r="H44" s="20"/>
      <x:c r="I44" s="19"/>
      <x:c r="J44" s="19"/>
      <x:c r="K44" s="19"/>
    </x:row>
    <x:row r="45">
      <x:c r="A45" s="19"/>
      <x:c r="B45" s="19"/>
      <x:c r="C45" s="19"/>
      <x:c r="D45" s="27"/>
      <x:c r="E45" s="58"/>
      <x:c r="F45" s="78"/>
      <x:c r="G45" s="27"/>
      <x:c r="H45" s="20"/>
      <x:c r="I45" s="19"/>
      <x:c r="J45" s="19"/>
      <x:c r="K45" s="19"/>
    </x:row>
    <x:row r="46">
      <x:c r="A46" s="19"/>
      <x:c r="B46" s="19"/>
      <x:c r="C46" s="19"/>
      <x:c r="D46" s="27"/>
      <x:c r="E46" s="58"/>
      <x:c r="F46" s="78"/>
      <x:c r="G46" s="27"/>
      <x:c r="H46" s="20"/>
      <x:c r="I46" s="19"/>
      <x:c r="J46" s="19"/>
      <x:c r="K46" s="19"/>
    </x:row>
    <x:row r="47">
      <x:c r="A47" s="19"/>
      <x:c r="B47" s="19"/>
      <x:c r="C47" s="19"/>
      <x:c r="D47" s="27"/>
      <x:c r="E47" s="58"/>
      <x:c r="F47" s="78"/>
      <x:c r="G47" s="27"/>
      <x:c r="H47" s="20"/>
      <x:c r="I47" s="19"/>
      <x:c r="J47" s="19"/>
      <x:c r="K47" s="19"/>
    </x:row>
    <x:row r="48">
      <x:c r="A48" s="19"/>
      <x:c r="B48" s="19"/>
      <x:c r="C48" s="19"/>
      <x:c r="D48" s="27"/>
      <x:c r="E48" s="58"/>
      <x:c r="F48" s="78"/>
      <x:c r="G48" s="27"/>
      <x:c r="H48" s="20"/>
      <x:c r="I48" s="19"/>
      <x:c r="J48" s="19"/>
      <x:c r="K48" s="19"/>
    </x:row>
    <x:row r="49">
      <x:c r="A49" s="19"/>
      <x:c r="B49" s="19"/>
      <x:c r="C49" s="19"/>
      <x:c r="D49" s="27"/>
      <x:c r="E49" s="58"/>
      <x:c r="F49" s="78"/>
      <x:c r="G49" s="27"/>
      <x:c r="H49" s="20"/>
      <x:c r="I49" s="19"/>
      <x:c r="J49" s="19"/>
      <x:c r="K49" s="19"/>
    </x:row>
    <x:row r="50">
      <x:c r="A50" s="19"/>
      <x:c r="B50" s="19"/>
      <x:c r="C50" s="19"/>
      <x:c r="D50" s="27"/>
      <x:c r="E50" s="58"/>
      <x:c r="F50" s="78"/>
      <x:c r="G50" s="27"/>
      <x:c r="H50" s="20"/>
      <x:c r="I50" s="19"/>
      <x:c r="J50" s="19"/>
      <x:c r="K50" s="19"/>
    </x:row>
    <x:row r="51">
      <x:c r="A51" s="19"/>
      <x:c r="B51" s="19"/>
      <x:c r="C51" s="19"/>
      <x:c r="D51" s="27"/>
      <x:c r="E51" s="58"/>
      <x:c r="F51" s="78"/>
      <x:c r="G51" s="27"/>
      <x:c r="H51" s="20"/>
      <x:c r="I51" s="19"/>
      <x:c r="J51" s="19"/>
      <x:c r="K51" s="19"/>
    </x:row>
    <x:row r="52">
      <x:c r="A52" s="19"/>
      <x:c r="B52" s="19"/>
      <x:c r="C52" s="19"/>
      <x:c r="D52" s="27"/>
      <x:c r="E52" s="58"/>
      <x:c r="F52" s="78"/>
      <x:c r="G52" s="27"/>
      <x:c r="H52" s="20"/>
      <x:c r="I52" s="19"/>
      <x:c r="J52" s="19"/>
      <x:c r="K52" s="19"/>
    </x:row>
    <x:row r="53">
      <x:c r="A53" s="19"/>
      <x:c r="B53" s="19"/>
      <x:c r="C53" s="19"/>
      <x:c r="D53" s="27"/>
      <x:c r="E53" s="58"/>
      <x:c r="F53" s="78"/>
      <x:c r="G53" s="27"/>
      <x:c r="H53" s="20"/>
      <x:c r="I53" s="19"/>
      <x:c r="J53" s="19"/>
      <x:c r="K53" s="19"/>
    </x:row>
    <x:row r="54">
      <x:c r="A54" s="19"/>
      <x:c r="B54" s="19"/>
      <x:c r="C54" s="19"/>
      <x:c r="D54" s="27"/>
      <x:c r="E54" s="58"/>
      <x:c r="F54" s="78"/>
      <x:c r="G54" s="27"/>
      <x:c r="H54" s="20"/>
      <x:c r="I54" s="19"/>
      <x:c r="J54" s="19"/>
      <x:c r="K54" s="19"/>
    </x:row>
    <x:row r="55">
      <x:c r="A55" s="19"/>
      <x:c r="B55" s="19"/>
      <x:c r="C55" s="19"/>
      <x:c r="D55" s="27"/>
      <x:c r="E55" s="58"/>
      <x:c r="F55" s="78"/>
      <x:c r="G55" s="27"/>
      <x:c r="H55" s="20"/>
      <x:c r="I55" s="19"/>
      <x:c r="J55" s="19"/>
      <x:c r="K55" s="19"/>
    </x:row>
    <x:row r="56">
      <x:c r="A56" s="19"/>
      <x:c r="B56" s="19"/>
      <x:c r="C56" s="19"/>
      <x:c r="D56" s="27"/>
      <x:c r="E56" s="58"/>
      <x:c r="F56" s="78"/>
      <x:c r="G56" s="27"/>
      <x:c r="H56" s="20"/>
      <x:c r="I56" s="19"/>
      <x:c r="J56" s="19"/>
      <x:c r="K56" s="19"/>
    </x:row>
    <x:row r="57">
      <x:c r="A57" s="19"/>
      <x:c r="B57" s="19"/>
      <x:c r="C57" s="19"/>
      <x:c r="D57" s="27"/>
      <x:c r="E57" s="58"/>
      <x:c r="F57" s="78"/>
      <x:c r="G57" s="27"/>
      <x:c r="H57" s="20"/>
      <x:c r="I57" s="19"/>
      <x:c r="J57" s="19"/>
      <x:c r="K57" s="19"/>
    </x:row>
    <x:row r="58">
      <x:c r="A58" s="19"/>
      <x:c r="B58" s="19"/>
      <x:c r="C58" s="19"/>
      <x:c r="D58" s="27"/>
      <x:c r="E58" s="58"/>
      <x:c r="F58" s="78"/>
      <x:c r="G58" s="27"/>
      <x:c r="H58" s="20"/>
      <x:c r="I58" s="19"/>
      <x:c r="J58" s="19"/>
      <x:c r="K58" s="19"/>
    </x:row>
    <x:row r="59">
      <x:c r="A59" s="19"/>
      <x:c r="B59" s="19"/>
      <x:c r="C59" s="19"/>
      <x:c r="D59" s="27"/>
      <x:c r="E59" s="58"/>
      <x:c r="F59" s="78"/>
      <x:c r="G59" s="27"/>
      <x:c r="H59" s="20"/>
      <x:c r="I59" s="19"/>
      <x:c r="J59" s="19"/>
      <x:c r="K59" s="19"/>
    </x:row>
    <x:row r="60">
      <x:c r="A60" s="19"/>
      <x:c r="B60" s="19"/>
      <x:c r="C60" s="19"/>
      <x:c r="D60" s="27"/>
      <x:c r="E60" s="58"/>
      <x:c r="F60" s="78"/>
      <x:c r="G60" s="27"/>
      <x:c r="H60" s="20"/>
      <x:c r="I60" s="19"/>
      <x:c r="J60" s="19"/>
      <x:c r="K60" s="19"/>
    </x:row>
    <x:row r="61">
      <x:c r="A61" s="19"/>
      <x:c r="B61" s="19"/>
      <x:c r="C61" s="19"/>
      <x:c r="D61" s="27"/>
      <x:c r="E61" s="58"/>
      <x:c r="F61" s="78"/>
      <x:c r="G61" s="27"/>
      <x:c r="H61" s="20"/>
      <x:c r="I61" s="19"/>
      <x:c r="J61" s="19"/>
      <x:c r="K61" s="19"/>
    </x:row>
    <x:row r="62">
      <x:c r="A62" s="19"/>
      <x:c r="B62" s="19"/>
      <x:c r="C62" s="19"/>
      <x:c r="D62" s="27"/>
      <x:c r="E62" s="58"/>
      <x:c r="F62" s="78"/>
      <x:c r="G62" s="27"/>
      <x:c r="H62" s="20"/>
      <x:c r="I62" s="19"/>
      <x:c r="J62" s="19"/>
      <x:c r="K62" s="19"/>
    </x:row>
    <x:row r="63">
      <x:c r="A63" s="19"/>
      <x:c r="B63" s="19"/>
      <x:c r="C63" s="19"/>
      <x:c r="D63" s="27"/>
      <x:c r="E63" s="58"/>
      <x:c r="F63" s="78"/>
      <x:c r="G63" s="27"/>
      <x:c r="H63" s="20"/>
      <x:c r="I63" s="19"/>
      <x:c r="J63" s="19"/>
      <x:c r="K63" s="19"/>
    </x:row>
    <x:row r="64">
      <x:c r="A64" s="19"/>
      <x:c r="B64" s="19"/>
      <x:c r="C64" s="19"/>
      <x:c r="D64" s="27"/>
      <x:c r="E64" s="58"/>
      <x:c r="F64" s="78"/>
      <x:c r="G64" s="27"/>
      <x:c r="H64" s="20"/>
      <x:c r="I64" s="19"/>
      <x:c r="J64" s="19"/>
      <x:c r="K64" s="19"/>
    </x:row>
    <x:row r="65">
      <x:c r="A65" s="19"/>
      <x:c r="B65" s="19"/>
      <x:c r="C65" s="19"/>
      <x:c r="D65" s="27"/>
      <x:c r="E65" s="58"/>
      <x:c r="F65" s="78"/>
      <x:c r="G65" s="27"/>
      <x:c r="H65" s="20"/>
      <x:c r="I65" s="19"/>
      <x:c r="J65" s="19"/>
      <x:c r="K65" s="19"/>
    </x:row>
    <x:row r="66">
      <x:c r="A66" s="19"/>
      <x:c r="B66" s="19"/>
      <x:c r="C66" s="19"/>
      <x:c r="D66" s="27"/>
      <x:c r="E66" s="58"/>
      <x:c r="F66" s="78"/>
      <x:c r="G66" s="27"/>
      <x:c r="H66" s="20"/>
      <x:c r="I66" s="19"/>
      <x:c r="J66" s="19"/>
      <x:c r="K66" s="19"/>
    </x:row>
    <x:row r="67">
      <x:c r="A67" s="19"/>
      <x:c r="B67" s="19"/>
      <x:c r="C67" s="19"/>
      <x:c r="D67" s="27"/>
      <x:c r="E67" s="58"/>
      <x:c r="F67" s="78"/>
      <x:c r="G67" s="27"/>
      <x:c r="H67" s="20"/>
      <x:c r="I67" s="19"/>
      <x:c r="J67" s="19"/>
      <x:c r="K67" s="19"/>
    </x:row>
    <x:row r="68">
      <x:c r="A68" s="19"/>
      <x:c r="B68" s="19"/>
      <x:c r="C68" s="19"/>
      <x:c r="D68" s="27"/>
      <x:c r="E68" s="58"/>
      <x:c r="F68" s="78"/>
      <x:c r="G68" s="27"/>
      <x:c r="H68" s="20"/>
      <x:c r="I68" s="19"/>
      <x:c r="J68" s="19"/>
      <x:c r="K68" s="19"/>
    </x:row>
    <x:row r="69">
      <x:c r="A69" s="19"/>
      <x:c r="B69" s="19"/>
      <x:c r="C69" s="19"/>
      <x:c r="D69" s="27"/>
      <x:c r="E69" s="58"/>
      <x:c r="F69" s="78"/>
      <x:c r="G69" s="27"/>
      <x:c r="H69" s="20"/>
      <x:c r="I69" s="19"/>
      <x:c r="J69" s="19"/>
      <x:c r="K69" s="19"/>
    </x:row>
    <x:row r="70">
      <x:c r="A70" s="19"/>
      <x:c r="B70" s="19"/>
      <x:c r="C70" s="19"/>
      <x:c r="D70" s="27"/>
      <x:c r="E70" s="58"/>
      <x:c r="F70" s="78"/>
      <x:c r="G70" s="27"/>
      <x:c r="H70" s="20"/>
      <x:c r="I70" s="19"/>
      <x:c r="J70" s="19"/>
      <x:c r="K70" s="19"/>
    </x:row>
    <x:row r="71">
      <x:c r="A71" s="19"/>
      <x:c r="B71" s="19"/>
      <x:c r="C71" s="19"/>
      <x:c r="D71" s="27"/>
      <x:c r="E71" s="58"/>
      <x:c r="F71" s="78"/>
      <x:c r="G71" s="27"/>
      <x:c r="H71" s="20"/>
      <x:c r="I71" s="19"/>
      <x:c r="J71" s="19"/>
      <x:c r="K71" s="19"/>
    </x:row>
    <x:row r="72">
      <x:c r="A72" s="19"/>
      <x:c r="B72" s="19"/>
      <x:c r="C72" s="19"/>
      <x:c r="D72" s="27"/>
      <x:c r="E72" s="58"/>
      <x:c r="F72" s="78"/>
      <x:c r="G72" s="27"/>
      <x:c r="H72" s="20"/>
      <x:c r="I72" s="19"/>
      <x:c r="J72" s="19"/>
      <x:c r="K72" s="19"/>
    </x:row>
    <x:row r="73">
      <x:c r="A73" s="19"/>
      <x:c r="B73" s="19"/>
      <x:c r="C73" s="19"/>
      <x:c r="D73" s="27"/>
      <x:c r="E73" s="58"/>
      <x:c r="F73" s="78"/>
      <x:c r="G73" s="27"/>
      <x:c r="H73" s="20"/>
      <x:c r="I73" s="19"/>
      <x:c r="J73" s="19"/>
      <x:c r="K73" s="19"/>
    </x:row>
    <x:row r="74">
      <x:c r="A74" s="19"/>
      <x:c r="B74" s="19"/>
      <x:c r="C74" s="19"/>
      <x:c r="D74" s="27"/>
      <x:c r="E74" s="58"/>
      <x:c r="F74" s="78"/>
      <x:c r="G74" s="27"/>
      <x:c r="H74" s="20"/>
      <x:c r="I74" s="19"/>
      <x:c r="J74" s="19"/>
      <x:c r="K74" s="19"/>
    </x:row>
    <x:row r="75">
      <x:c r="A75" s="19"/>
      <x:c r="B75" s="19"/>
      <x:c r="C75" s="19"/>
      <x:c r="D75" s="27"/>
      <x:c r="E75" s="58"/>
      <x:c r="F75" s="78"/>
      <x:c r="G75" s="27"/>
      <x:c r="H75" s="20"/>
      <x:c r="I75" s="19"/>
      <x:c r="J75" s="19"/>
      <x:c r="K75" s="19"/>
    </x:row>
    <x:row r="76">
      <x:c r="A76" s="19"/>
      <x:c r="B76" s="19"/>
      <x:c r="C76" s="19"/>
      <x:c r="D76" s="27"/>
      <x:c r="E76" s="58"/>
      <x:c r="F76" s="78"/>
      <x:c r="G76" s="27"/>
      <x:c r="H76" s="20"/>
      <x:c r="I76" s="19"/>
      <x:c r="J76" s="19"/>
      <x:c r="K76" s="19"/>
    </x:row>
    <x:row r="77">
      <x:c r="A77" s="19"/>
      <x:c r="B77" s="19"/>
      <x:c r="C77" s="19"/>
      <x:c r="D77" s="27"/>
      <x:c r="E77" s="58"/>
      <x:c r="F77" s="78"/>
      <x:c r="G77" s="27"/>
      <x:c r="H77" s="20"/>
      <x:c r="I77" s="19"/>
      <x:c r="J77" s="19"/>
      <x:c r="K77" s="19"/>
    </x:row>
    <x:row r="78">
      <x:c r="A78" s="19"/>
      <x:c r="B78" s="19"/>
      <x:c r="C78" s="19"/>
      <x:c r="D78" s="27"/>
      <x:c r="E78" s="58"/>
      <x:c r="F78" s="78"/>
      <x:c r="G78" s="27"/>
      <x:c r="H78" s="20"/>
      <x:c r="I78" s="19"/>
      <x:c r="J78" s="19"/>
      <x:c r="K78" s="19"/>
    </x:row>
    <x:row r="79">
      <x:c r="A79" s="19"/>
      <x:c r="B79" s="19"/>
      <x:c r="C79" s="19"/>
      <x:c r="D79" s="27"/>
      <x:c r="E79" s="58"/>
      <x:c r="F79" s="78"/>
      <x:c r="G79" s="27"/>
      <x:c r="H79" s="20"/>
      <x:c r="I79" s="19"/>
      <x:c r="J79" s="19"/>
      <x:c r="K79" s="19"/>
    </x:row>
    <x:row r="80">
      <x:c r="A80" s="19"/>
      <x:c r="B80" s="19"/>
      <x:c r="C80" s="19"/>
      <x:c r="D80" s="27"/>
      <x:c r="E80" s="58"/>
      <x:c r="F80" s="78"/>
      <x:c r="G80" s="27"/>
      <x:c r="H80" s="20"/>
      <x:c r="I80" s="19"/>
      <x:c r="J80" s="19"/>
      <x:c r="K80" s="19"/>
    </x:row>
    <x:row r="81">
      <x:c r="A81" s="19"/>
      <x:c r="B81" s="19"/>
      <x:c r="C81" s="19"/>
      <x:c r="D81" s="27"/>
      <x:c r="E81" s="58"/>
      <x:c r="F81" s="78"/>
      <x:c r="G81" s="27"/>
      <x:c r="H81" s="20"/>
      <x:c r="I81" s="19"/>
      <x:c r="J81" s="19"/>
      <x:c r="K81" s="19"/>
    </x:row>
    <x:row r="82">
      <x:c r="A82" s="19"/>
      <x:c r="B82" s="19"/>
      <x:c r="C82" s="19"/>
      <x:c r="D82" s="27"/>
      <x:c r="E82" s="58"/>
      <x:c r="F82" s="78"/>
      <x:c r="G82" s="27"/>
      <x:c r="H82" s="20"/>
      <x:c r="I82" s="19"/>
      <x:c r="J82" s="19"/>
      <x:c r="K82" s="19"/>
    </x:row>
    <x:row r="83">
      <x:c r="A83" s="19"/>
      <x:c r="B83" s="19"/>
      <x:c r="C83" s="19"/>
      <x:c r="D83" s="27"/>
      <x:c r="E83" s="58"/>
      <x:c r="F83" s="78"/>
      <x:c r="G83" s="27"/>
      <x:c r="H83" s="20"/>
      <x:c r="I83" s="19"/>
      <x:c r="J83" s="19"/>
      <x:c r="K83" s="19"/>
    </x:row>
    <x:row r="84">
      <x:c r="A84" s="19"/>
      <x:c r="B84" s="19"/>
      <x:c r="C84" s="19"/>
      <x:c r="D84" s="27"/>
      <x:c r="E84" s="58"/>
      <x:c r="F84" s="78"/>
      <x:c r="G84" s="27"/>
      <x:c r="H84" s="20"/>
      <x:c r="I84" s="19"/>
      <x:c r="J84" s="19"/>
      <x:c r="K84" s="19"/>
    </x:row>
    <x:row r="85">
      <x:c r="A85" s="19"/>
      <x:c r="B85" s="19"/>
      <x:c r="C85" s="19"/>
      <x:c r="D85" s="27"/>
      <x:c r="E85" s="58"/>
      <x:c r="F85" s="78"/>
      <x:c r="G85" s="27"/>
      <x:c r="H85" s="20"/>
      <x:c r="I85" s="19"/>
      <x:c r="J85" s="19"/>
      <x:c r="K85" s="19"/>
    </x:row>
    <x:row r="86">
      <x:c r="A86" s="19"/>
      <x:c r="B86" s="19"/>
      <x:c r="C86" s="19"/>
      <x:c r="D86" s="27"/>
      <x:c r="E86" s="58"/>
      <x:c r="F86" s="78"/>
      <x:c r="G86" s="27"/>
      <x:c r="H86" s="20"/>
      <x:c r="I86" s="19"/>
      <x:c r="J86" s="19"/>
      <x:c r="K86" s="19"/>
    </x:row>
    <x:row r="87">
      <x:c r="A87" s="19"/>
      <x:c r="B87" s="19"/>
      <x:c r="C87" s="19"/>
      <x:c r="D87" s="27"/>
      <x:c r="E87" s="58"/>
      <x:c r="F87" s="78"/>
      <x:c r="G87" s="27"/>
      <x:c r="H87" s="20"/>
      <x:c r="I87" s="19"/>
      <x:c r="J87" s="19"/>
      <x:c r="K87" s="19"/>
    </x:row>
    <x:row r="88">
      <x:c r="A88" s="19"/>
      <x:c r="B88" s="19"/>
      <x:c r="C88" s="19"/>
      <x:c r="D88" s="27"/>
      <x:c r="E88" s="58"/>
      <x:c r="F88" s="78"/>
      <x:c r="G88" s="27"/>
      <x:c r="H88" s="20"/>
      <x:c r="I88" s="19"/>
      <x:c r="J88" s="19"/>
      <x:c r="K88" s="19"/>
    </x:row>
    <x:row r="89">
      <x:c r="A89" s="19"/>
      <x:c r="B89" s="19"/>
      <x:c r="C89" s="19"/>
      <x:c r="D89" s="27"/>
      <x:c r="E89" s="58"/>
      <x:c r="F89" s="78"/>
      <x:c r="G89" s="27"/>
      <x:c r="H89" s="20"/>
      <x:c r="I89" s="19"/>
      <x:c r="J89" s="19"/>
      <x:c r="K89" s="19"/>
    </x:row>
    <x:row r="90">
      <x:c r="A90" s="19"/>
      <x:c r="B90" s="19"/>
      <x:c r="C90" s="19"/>
      <x:c r="D90" s="27"/>
      <x:c r="E90" s="58"/>
      <x:c r="F90" s="78"/>
      <x:c r="G90" s="27"/>
      <x:c r="H90" s="20"/>
      <x:c r="I90" s="19"/>
      <x:c r="J90" s="19"/>
      <x:c r="K90" s="19"/>
    </x:row>
    <x:row r="91">
      <x:c r="A91" s="19"/>
      <x:c r="B91" s="19"/>
      <x:c r="C91" s="19"/>
      <x:c r="D91" s="27"/>
      <x:c r="E91" s="58"/>
      <x:c r="F91" s="78"/>
      <x:c r="G91" s="27"/>
      <x:c r="H91" s="20"/>
      <x:c r="I91" s="19"/>
      <x:c r="J91" s="19"/>
      <x:c r="K91" s="19"/>
    </x:row>
    <x:row r="92">
      <x:c r="A92" s="19"/>
      <x:c r="B92" s="19"/>
      <x:c r="C92" s="19"/>
      <x:c r="D92" s="27"/>
      <x:c r="E92" s="58"/>
      <x:c r="F92" s="78"/>
      <x:c r="G92" s="27"/>
      <x:c r="H92" s="20"/>
      <x:c r="I92" s="19"/>
      <x:c r="J92" s="19"/>
      <x:c r="K92" s="19"/>
    </x:row>
    <x:row r="93">
      <x:c r="A93" s="19"/>
      <x:c r="B93" s="19"/>
      <x:c r="C93" s="19"/>
      <x:c r="D93" s="27"/>
      <x:c r="E93" s="58"/>
      <x:c r="F93" s="78"/>
      <x:c r="G93" s="27"/>
      <x:c r="H93" s="20"/>
      <x:c r="I93" s="19"/>
      <x:c r="J93" s="19"/>
      <x:c r="K93" s="19"/>
    </x:row>
    <x:row r="94">
      <x:c r="A94" s="19"/>
      <x:c r="B94" s="19"/>
      <x:c r="C94" s="19"/>
      <x:c r="D94" s="27"/>
      <x:c r="E94" s="58"/>
      <x:c r="F94" s="78"/>
      <x:c r="G94" s="27"/>
      <x:c r="H94" s="20"/>
      <x:c r="I94" s="19"/>
      <x:c r="J94" s="19"/>
      <x:c r="K94" s="19"/>
    </x:row>
    <x:row r="95">
      <x:c r="A95" s="19"/>
      <x:c r="B95" s="19"/>
      <x:c r="C95" s="19"/>
      <x:c r="D95" s="27"/>
      <x:c r="E95" s="58"/>
      <x:c r="F95" s="78"/>
      <x:c r="G95" s="27"/>
      <x:c r="H95" s="20"/>
      <x:c r="I95" s="19"/>
      <x:c r="J95" s="19"/>
      <x:c r="K95" s="19"/>
    </x:row>
    <x:row r="96">
      <x:c r="A96" s="19"/>
      <x:c r="B96" s="19"/>
      <x:c r="C96" s="19"/>
      <x:c r="D96" s="27"/>
      <x:c r="E96" s="58"/>
      <x:c r="F96" s="78"/>
      <x:c r="G96" s="27"/>
      <x:c r="H96" s="20"/>
      <x:c r="I96" s="19"/>
      <x:c r="J96" s="19"/>
      <x:c r="K96" s="19"/>
    </x:row>
    <x:row r="97">
      <x:c r="A97" s="19"/>
      <x:c r="B97" s="19"/>
      <x:c r="C97" s="19"/>
      <x:c r="D97" s="27"/>
      <x:c r="E97" s="58"/>
      <x:c r="F97" s="78"/>
      <x:c r="G97" s="27"/>
      <x:c r="H97" s="20"/>
      <x:c r="I97" s="19"/>
      <x:c r="J97" s="19"/>
      <x:c r="K97" s="19"/>
    </x:row>
    <x:row r="98">
      <x:c r="A98" s="19"/>
      <x:c r="B98" s="19"/>
      <x:c r="C98" s="19"/>
      <x:c r="D98" s="27"/>
      <x:c r="E98" s="58"/>
      <x:c r="F98" s="78"/>
      <x:c r="G98" s="27"/>
      <x:c r="H98" s="20"/>
      <x:c r="I98" s="19"/>
      <x:c r="J98" s="19"/>
      <x:c r="K98" s="19"/>
    </x:row>
    <x:row r="99">
      <x:c r="A99" s="19"/>
      <x:c r="B99" s="19"/>
      <x:c r="C99" s="19"/>
      <x:c r="D99" s="27"/>
      <x:c r="E99" s="58"/>
      <x:c r="F99" s="78"/>
      <x:c r="G99" s="27"/>
      <x:c r="H99" s="20"/>
      <x:c r="I99" s="19"/>
      <x:c r="J99" s="19"/>
      <x:c r="K99" s="19"/>
    </x:row>
    <x:row r="100">
      <x:c r="A100" s="19"/>
      <x:c r="B100" s="19"/>
      <x:c r="C100" s="19"/>
      <x:c r="D100" s="27"/>
      <x:c r="E100" s="58"/>
      <x:c r="F100" s="78"/>
      <x:c r="G100" s="27"/>
      <x:c r="H100" s="20"/>
      <x:c r="I100" s="19"/>
      <x:c r="J100" s="19"/>
      <x:c r="K100" s="19"/>
    </x:row>
    <x:row r="101">
      <x:c r="A101" s="19"/>
      <x:c r="B101" s="19"/>
      <x:c r="C101" s="19"/>
      <x:c r="D101" s="27"/>
      <x:c r="E101" s="58"/>
      <x:c r="F101" s="78"/>
      <x:c r="G101" s="27"/>
      <x:c r="H101" s="20"/>
      <x:c r="I101" s="19"/>
      <x:c r="J101" s="19"/>
      <x:c r="K101" s="19"/>
    </x:row>
    <x:row r="102">
      <x:c r="A102" s="19"/>
      <x:c r="B102" s="19"/>
      <x:c r="C102" s="19"/>
      <x:c r="D102" s="27"/>
      <x:c r="E102" s="58"/>
      <x:c r="F102" s="78"/>
      <x:c r="G102" s="27"/>
      <x:c r="H102" s="20"/>
      <x:c r="I102" s="19"/>
      <x:c r="J102" s="19"/>
      <x:c r="K102" s="19"/>
    </x:row>
    <x:row r="103">
      <x:c r="A103" s="19"/>
      <x:c r="B103" s="19"/>
      <x:c r="C103" s="19"/>
      <x:c r="D103" s="27"/>
      <x:c r="E103" s="58"/>
      <x:c r="F103" s="78"/>
      <x:c r="G103" s="27"/>
      <x:c r="H103" s="20"/>
      <x:c r="I103" s="19"/>
      <x:c r="J103" s="19"/>
      <x:c r="K103" s="19"/>
    </x:row>
    <x:row r="104">
      <x:c r="A104" s="19"/>
      <x:c r="B104" s="19"/>
      <x:c r="C104" s="19"/>
      <x:c r="D104" s="27"/>
      <x:c r="E104" s="58"/>
      <x:c r="F104" s="78"/>
      <x:c r="G104" s="27"/>
      <x:c r="H104" s="20"/>
      <x:c r="I104" s="19"/>
      <x:c r="J104" s="19"/>
      <x:c r="K104" s="19"/>
    </x:row>
    <x:row r="105">
      <x:c r="A105" s="19"/>
      <x:c r="B105" s="19"/>
      <x:c r="C105" s="19"/>
      <x:c r="D105" s="27"/>
      <x:c r="E105" s="58"/>
      <x:c r="F105" s="78"/>
      <x:c r="G105" s="27"/>
      <x:c r="H105" s="20"/>
      <x:c r="I105" s="19"/>
      <x:c r="J105" s="19"/>
      <x:c r="K105" s="19"/>
    </x:row>
    <x:row r="106">
      <x:c r="A106" s="19"/>
      <x:c r="B106" s="19"/>
      <x:c r="C106" s="19"/>
      <x:c r="D106" s="27"/>
      <x:c r="E106" s="58"/>
      <x:c r="F106" s="78"/>
      <x:c r="G106" s="27"/>
      <x:c r="H106" s="20"/>
      <x:c r="I106" s="19"/>
      <x:c r="J106" s="19"/>
      <x:c r="K106" s="19"/>
    </x:row>
    <x:row r="107">
      <x:c r="A107" s="19"/>
      <x:c r="B107" s="19"/>
      <x:c r="C107" s="19"/>
      <x:c r="D107" s="27"/>
      <x:c r="E107" s="58"/>
      <x:c r="F107" s="78"/>
      <x:c r="G107" s="27"/>
      <x:c r="H107" s="20"/>
      <x:c r="I107" s="19"/>
      <x:c r="J107" s="19"/>
      <x:c r="K107" s="19"/>
    </x:row>
    <x:row r="108">
      <x:c r="A108" s="19"/>
      <x:c r="B108" s="19"/>
      <x:c r="C108" s="19"/>
      <x:c r="D108" s="27"/>
      <x:c r="E108" s="58"/>
      <x:c r="F108" s="78"/>
      <x:c r="G108" s="27"/>
      <x:c r="H108" s="20"/>
      <x:c r="I108" s="19"/>
      <x:c r="J108" s="19"/>
      <x:c r="K108" s="19"/>
    </x:row>
    <x:row r="109">
      <x:c r="A109" s="19"/>
      <x:c r="B109" s="19"/>
      <x:c r="C109" s="19"/>
      <x:c r="D109" s="27"/>
      <x:c r="E109" s="58"/>
      <x:c r="F109" s="78"/>
      <x:c r="G109" s="27"/>
      <x:c r="H109" s="20"/>
      <x:c r="I109" s="19"/>
      <x:c r="J109" s="19"/>
      <x:c r="K109" s="19"/>
    </x:row>
    <x:row r="110">
      <x:c r="A110" s="19"/>
      <x:c r="B110" s="19"/>
      <x:c r="C110" s="19"/>
      <x:c r="D110" s="27"/>
      <x:c r="E110" s="58"/>
      <x:c r="F110" s="78"/>
      <x:c r="G110" s="27"/>
      <x:c r="H110" s="20"/>
      <x:c r="I110" s="19"/>
      <x:c r="J110" s="19"/>
      <x:c r="K110" s="19"/>
    </x:row>
    <x:row r="111">
      <x:c r="A111" s="19"/>
      <x:c r="B111" s="19"/>
      <x:c r="C111" s="19"/>
      <x:c r="D111" s="27"/>
      <x:c r="E111" s="58"/>
      <x:c r="F111" s="78"/>
      <x:c r="G111" s="27"/>
      <x:c r="H111" s="20"/>
      <x:c r="I111" s="19"/>
      <x:c r="J111" s="19"/>
      <x:c r="K111" s="19"/>
    </x:row>
    <x:row r="112">
      <x:c r="A112" s="19"/>
      <x:c r="B112" s="19"/>
      <x:c r="C112" s="19"/>
      <x:c r="D112" s="27"/>
      <x:c r="E112" s="58"/>
      <x:c r="F112" s="78"/>
      <x:c r="G112" s="27"/>
      <x:c r="H112" s="20"/>
      <x:c r="I112" s="19"/>
      <x:c r="J112" s="19"/>
      <x:c r="K112" s="19"/>
    </x:row>
    <x:row r="113">
      <x:c r="A113" s="19"/>
      <x:c r="B113" s="19"/>
      <x:c r="C113" s="19"/>
      <x:c r="D113" s="27"/>
      <x:c r="E113" s="58"/>
      <x:c r="F113" s="78"/>
      <x:c r="G113" s="27"/>
      <x:c r="H113" s="20"/>
      <x:c r="I113" s="19"/>
      <x:c r="J113" s="19"/>
      <x:c r="K113" s="19"/>
    </x:row>
    <x:row r="114">
      <x:c r="A114" s="19"/>
      <x:c r="B114" s="19"/>
      <x:c r="C114" s="19"/>
      <x:c r="D114" s="27"/>
      <x:c r="E114" s="58"/>
      <x:c r="F114" s="78"/>
      <x:c r="G114" s="27"/>
      <x:c r="H114" s="20"/>
      <x:c r="I114" s="19"/>
      <x:c r="J114" s="19"/>
      <x:c r="K114" s="19"/>
    </x:row>
    <x:row r="115">
      <x:c r="A115" s="19"/>
      <x:c r="B115" s="19"/>
      <x:c r="C115" s="19"/>
      <x:c r="D115" s="27"/>
      <x:c r="E115" s="58"/>
      <x:c r="F115" s="78"/>
      <x:c r="G115" s="27"/>
      <x:c r="H115" s="20"/>
      <x:c r="I115" s="19"/>
      <x:c r="J115" s="19"/>
      <x:c r="K115" s="19"/>
    </x:row>
    <x:row r="116">
      <x:c r="A116" s="19"/>
      <x:c r="B116" s="19"/>
      <x:c r="C116" s="19"/>
      <x:c r="D116" s="27"/>
      <x:c r="E116" s="58"/>
      <x:c r="F116" s="78"/>
      <x:c r="G116" s="27"/>
      <x:c r="H116" s="20"/>
      <x:c r="I116" s="19"/>
      <x:c r="J116" s="19"/>
      <x:c r="K116" s="19"/>
    </x:row>
    <x:row r="117">
      <x:c r="A117" s="19"/>
      <x:c r="B117" s="19"/>
      <x:c r="C117" s="19"/>
      <x:c r="D117" s="27"/>
      <x:c r="E117" s="58"/>
      <x:c r="F117" s="78"/>
      <x:c r="G117" s="27"/>
      <x:c r="H117" s="20"/>
      <x:c r="I117" s="19"/>
      <x:c r="J117" s="19"/>
      <x:c r="K117" s="19"/>
    </x:row>
    <x:row r="118">
      <x:c r="A118" s="19"/>
      <x:c r="B118" s="19"/>
      <x:c r="C118" s="19"/>
      <x:c r="D118" s="27"/>
      <x:c r="E118" s="58"/>
      <x:c r="F118" s="78"/>
      <x:c r="G118" s="27"/>
      <x:c r="H118" s="20"/>
      <x:c r="I118" s="19"/>
      <x:c r="J118" s="19"/>
      <x:c r="K118" s="19"/>
    </x:row>
    <x:row r="119">
      <x:c r="A119" s="19"/>
      <x:c r="B119" s="19"/>
      <x:c r="C119" s="19"/>
      <x:c r="D119" s="27"/>
      <x:c r="E119" s="58"/>
      <x:c r="F119" s="78"/>
      <x:c r="G119" s="27"/>
      <x:c r="H119" s="20"/>
      <x:c r="I119" s="19"/>
      <x:c r="J119" s="19"/>
      <x:c r="K119" s="19"/>
    </x:row>
    <x:row r="120">
      <x:c r="A120" s="19"/>
      <x:c r="B120" s="19"/>
      <x:c r="C120" s="19"/>
      <x:c r="D120" s="27"/>
      <x:c r="E120" s="58"/>
      <x:c r="F120" s="78"/>
      <x:c r="G120" s="27"/>
      <x:c r="H120" s="20"/>
      <x:c r="I120" s="19"/>
      <x:c r="J120" s="19"/>
      <x:c r="K120" s="19"/>
    </x:row>
    <x:row r="121">
      <x:c r="A121" s="19"/>
      <x:c r="B121" s="19"/>
      <x:c r="C121" s="19"/>
      <x:c r="D121" s="27"/>
      <x:c r="E121" s="58"/>
      <x:c r="F121" s="78"/>
      <x:c r="G121" s="27"/>
      <x:c r="H121" s="20"/>
      <x:c r="I121" s="19"/>
      <x:c r="J121" s="19"/>
      <x:c r="K121" s="19"/>
    </x:row>
    <x:row r="122">
      <x:c r="A122" s="19"/>
      <x:c r="B122" s="19"/>
      <x:c r="C122" s="19"/>
      <x:c r="D122" s="27"/>
      <x:c r="E122" s="58"/>
      <x:c r="F122" s="78"/>
      <x:c r="G122" s="27"/>
      <x:c r="H122" s="20"/>
      <x:c r="I122" s="19"/>
      <x:c r="J122" s="19"/>
      <x:c r="K122" s="19"/>
    </x:row>
    <x:row r="123">
      <x:c r="A123" s="19"/>
      <x:c r="B123" s="19"/>
      <x:c r="C123" s="19"/>
      <x:c r="D123" s="27"/>
      <x:c r="E123" s="58"/>
      <x:c r="F123" s="78"/>
      <x:c r="G123" s="27"/>
      <x:c r="H123" s="20"/>
      <x:c r="I123" s="19"/>
      <x:c r="J123" s="19"/>
      <x:c r="K123" s="19"/>
    </x:row>
    <x:row r="124">
      <x:c r="A124" s="19"/>
      <x:c r="B124" s="19"/>
      <x:c r="C124" s="19"/>
      <x:c r="D124" s="27"/>
      <x:c r="E124" s="58"/>
      <x:c r="F124" s="78"/>
      <x:c r="G124" s="27"/>
      <x:c r="H124" s="20"/>
      <x:c r="I124" s="19"/>
      <x:c r="J124" s="19"/>
      <x:c r="K124" s="19"/>
    </x:row>
    <x:row r="125">
      <x:c r="A125" s="19"/>
      <x:c r="B125" s="19"/>
      <x:c r="C125" s="19"/>
      <x:c r="D125" s="27"/>
      <x:c r="E125" s="58"/>
      <x:c r="F125" s="78"/>
      <x:c r="G125" s="27"/>
      <x:c r="H125" s="20"/>
      <x:c r="I125" s="19"/>
      <x:c r="J125" s="19"/>
      <x:c r="K125" s="19"/>
    </x:row>
    <x:row r="126">
      <x:c r="A126" s="19"/>
      <x:c r="B126" s="19"/>
      <x:c r="C126" s="19"/>
      <x:c r="D126" s="27"/>
      <x:c r="E126" s="58"/>
      <x:c r="F126" s="78"/>
      <x:c r="G126" s="27"/>
      <x:c r="H126" s="20"/>
      <x:c r="I126" s="19"/>
      <x:c r="J126" s="19"/>
      <x:c r="K126" s="19"/>
    </x:row>
    <x:row r="127">
      <x:c r="A127" s="19"/>
      <x:c r="B127" s="19"/>
      <x:c r="C127" s="19"/>
      <x:c r="D127" s="27"/>
      <x:c r="E127" s="58"/>
      <x:c r="F127" s="78"/>
      <x:c r="G127" s="27"/>
      <x:c r="H127" s="20"/>
      <x:c r="I127" s="19"/>
      <x:c r="J127" s="19"/>
      <x:c r="K127" s="19"/>
    </x:row>
    <x:row r="128">
      <x:c r="A128" s="19"/>
      <x:c r="B128" s="19"/>
      <x:c r="C128" s="19"/>
      <x:c r="D128" s="27"/>
      <x:c r="E128" s="58"/>
      <x:c r="F128" s="78"/>
      <x:c r="G128" s="27"/>
      <x:c r="H128" s="20"/>
      <x:c r="I128" s="19"/>
      <x:c r="J128" s="19"/>
      <x:c r="K128" s="19"/>
    </x:row>
    <x:row r="129">
      <x:c r="A129" s="19"/>
      <x:c r="B129" s="19"/>
      <x:c r="C129" s="19"/>
      <x:c r="D129" s="27"/>
      <x:c r="E129" s="58"/>
      <x:c r="F129" s="78"/>
      <x:c r="G129" s="27"/>
      <x:c r="H129" s="20"/>
      <x:c r="I129" s="19"/>
      <x:c r="J129" s="19"/>
      <x:c r="K129" s="19"/>
    </x:row>
    <x:row r="130">
      <x:c r="A130" s="19"/>
      <x:c r="B130" s="19"/>
      <x:c r="C130" s="19"/>
      <x:c r="D130" s="27"/>
      <x:c r="E130" s="58"/>
      <x:c r="F130" s="78"/>
      <x:c r="G130" s="27"/>
      <x:c r="H130" s="20"/>
      <x:c r="I130" s="19"/>
      <x:c r="J130" s="19"/>
      <x:c r="K130" s="19"/>
    </x:row>
    <x:row r="131">
      <x:c r="A131" s="19"/>
      <x:c r="B131" s="19"/>
      <x:c r="C131" s="19"/>
      <x:c r="D131" s="27"/>
      <x:c r="E131" s="58"/>
      <x:c r="F131" s="78"/>
      <x:c r="G131" s="27"/>
      <x:c r="H131" s="20"/>
      <x:c r="I131" s="19"/>
      <x:c r="J131" s="19"/>
      <x:c r="K131" s="19"/>
    </x:row>
    <x:row r="132">
      <x:c r="A132" s="19"/>
      <x:c r="B132" s="19"/>
      <x:c r="C132" s="19"/>
      <x:c r="D132" s="27"/>
      <x:c r="E132" s="58"/>
      <x:c r="F132" s="78"/>
      <x:c r="G132" s="27"/>
      <x:c r="H132" s="20"/>
      <x:c r="I132" s="19"/>
      <x:c r="J132" s="19"/>
      <x:c r="K132" s="19"/>
    </x:row>
    <x:row r="133">
      <x:c r="A133" s="19"/>
      <x:c r="B133" s="19"/>
      <x:c r="C133" s="19"/>
      <x:c r="D133" s="27"/>
      <x:c r="E133" s="58"/>
      <x:c r="F133" s="78"/>
      <x:c r="G133" s="27"/>
      <x:c r="H133" s="20"/>
      <x:c r="I133" s="19"/>
      <x:c r="J133" s="19"/>
      <x:c r="K133" s="19"/>
    </x:row>
    <x:row r="134">
      <x:c r="A134" s="19"/>
      <x:c r="B134" s="19"/>
      <x:c r="C134" s="19"/>
      <x:c r="D134" s="27"/>
      <x:c r="E134" s="58"/>
      <x:c r="F134" s="78"/>
      <x:c r="G134" s="27"/>
      <x:c r="H134" s="20"/>
      <x:c r="I134" s="19"/>
      <x:c r="J134" s="19"/>
      <x:c r="K134" s="19"/>
    </x:row>
    <x:row r="135">
      <x:c r="A135" s="19"/>
      <x:c r="B135" s="19"/>
      <x:c r="C135" s="19"/>
      <x:c r="D135" s="27"/>
      <x:c r="E135" s="58"/>
      <x:c r="F135" s="78"/>
      <x:c r="G135" s="27"/>
      <x:c r="H135" s="20"/>
      <x:c r="I135" s="19"/>
      <x:c r="J135" s="19"/>
      <x:c r="K135" s="19"/>
    </x:row>
    <x:row r="136">
      <x:c r="A136" s="19"/>
      <x:c r="B136" s="19"/>
      <x:c r="C136" s="19"/>
      <x:c r="D136" s="27"/>
      <x:c r="E136" s="58"/>
      <x:c r="F136" s="78"/>
      <x:c r="G136" s="27"/>
      <x:c r="H136" s="20"/>
      <x:c r="I136" s="19"/>
      <x:c r="J136" s="19"/>
      <x:c r="K136" s="19"/>
    </x:row>
    <x:row r="137">
      <x:c r="A137" s="19"/>
      <x:c r="B137" s="19"/>
      <x:c r="C137" s="19"/>
      <x:c r="D137" s="27"/>
      <x:c r="E137" s="58"/>
      <x:c r="F137" s="78"/>
      <x:c r="G137" s="27"/>
      <x:c r="H137" s="20"/>
      <x:c r="I137" s="19"/>
      <x:c r="J137" s="19"/>
      <x:c r="K137" s="19"/>
    </x:row>
    <x:row r="138">
      <x:c r="A138" s="19"/>
      <x:c r="B138" s="19"/>
      <x:c r="C138" s="19"/>
      <x:c r="D138" s="27"/>
      <x:c r="E138" s="58"/>
      <x:c r="F138" s="78"/>
      <x:c r="G138" s="27"/>
      <x:c r="H138" s="20"/>
      <x:c r="I138" s="19"/>
      <x:c r="J138" s="19"/>
      <x:c r="K138" s="19"/>
    </x:row>
    <x:row r="139">
      <x:c r="A139" s="19"/>
      <x:c r="B139" s="19"/>
      <x:c r="C139" s="19"/>
      <x:c r="D139" s="27"/>
      <x:c r="E139" s="58"/>
      <x:c r="F139" s="78"/>
      <x:c r="G139" s="27"/>
      <x:c r="H139" s="20"/>
      <x:c r="I139" s="19"/>
      <x:c r="J139" s="19"/>
      <x:c r="K139" s="19"/>
    </x:row>
    <x:row r="140">
      <x:c r="A140" s="19"/>
      <x:c r="B140" s="19"/>
      <x:c r="C140" s="19"/>
      <x:c r="D140" s="27"/>
      <x:c r="E140" s="58"/>
      <x:c r="F140" s="78"/>
      <x:c r="G140" s="27"/>
      <x:c r="H140" s="20"/>
      <x:c r="I140" s="19"/>
      <x:c r="J140" s="19"/>
      <x:c r="K140" s="19"/>
    </x:row>
    <x:row r="141">
      <x:c r="A141" s="19"/>
      <x:c r="B141" s="19"/>
      <x:c r="C141" s="19"/>
      <x:c r="D141" s="27"/>
      <x:c r="E141" s="58"/>
      <x:c r="F141" s="78"/>
      <x:c r="G141" s="27"/>
      <x:c r="H141" s="20"/>
      <x:c r="I141" s="19"/>
      <x:c r="J141" s="19"/>
      <x:c r="K141" s="19"/>
    </x:row>
    <x:row r="142">
      <x:c r="A142" s="19"/>
      <x:c r="B142" s="19"/>
      <x:c r="C142" s="19"/>
      <x:c r="D142" s="27"/>
      <x:c r="E142" s="58"/>
      <x:c r="F142" s="78"/>
      <x:c r="G142" s="27"/>
      <x:c r="H142" s="20"/>
      <x:c r="I142" s="19"/>
      <x:c r="J142" s="19"/>
      <x:c r="K142" s="19"/>
    </x:row>
    <x:row r="143">
      <x:c r="A143" s="19"/>
      <x:c r="B143" s="19"/>
      <x:c r="C143" s="19"/>
      <x:c r="D143" s="27"/>
      <x:c r="E143" s="58"/>
      <x:c r="F143" s="78"/>
      <x:c r="G143" s="27"/>
      <x:c r="H143" s="20"/>
      <x:c r="I143" s="19"/>
      <x:c r="J143" s="19"/>
      <x:c r="K143" s="19"/>
    </x:row>
    <x:row r="144">
      <x:c r="A144" s="19"/>
      <x:c r="B144" s="19"/>
      <x:c r="C144" s="19"/>
      <x:c r="D144" s="27"/>
      <x:c r="E144" s="58"/>
      <x:c r="F144" s="78"/>
      <x:c r="G144" s="27"/>
      <x:c r="H144" s="20"/>
      <x:c r="I144" s="19"/>
      <x:c r="J144" s="19"/>
      <x:c r="K144" s="19"/>
    </x:row>
    <x:row r="145">
      <x:c r="A145" s="19"/>
      <x:c r="B145" s="19"/>
      <x:c r="C145" s="19"/>
      <x:c r="D145" s="27"/>
      <x:c r="E145" s="58"/>
      <x:c r="F145" s="78"/>
      <x:c r="G145" s="27"/>
      <x:c r="H145" s="20"/>
      <x:c r="I145" s="19"/>
      <x:c r="J145" s="19"/>
      <x:c r="K145" s="19"/>
    </x:row>
    <x:row r="146">
      <x:c r="A146" s="19"/>
      <x:c r="B146" s="19"/>
      <x:c r="C146" s="19"/>
      <x:c r="D146" s="27"/>
      <x:c r="E146" s="58"/>
      <x:c r="F146" s="78"/>
      <x:c r="G146" s="27"/>
      <x:c r="H146" s="20"/>
      <x:c r="I146" s="19"/>
      <x:c r="J146" s="19"/>
      <x:c r="K146" s="19"/>
    </x:row>
    <x:row r="147">
      <x:c r="A147" s="19"/>
      <x:c r="B147" s="19"/>
      <x:c r="C147" s="19"/>
      <x:c r="D147" s="27"/>
      <x:c r="E147" s="58"/>
      <x:c r="F147" s="78"/>
      <x:c r="G147" s="27"/>
      <x:c r="H147" s="20"/>
      <x:c r="I147" s="19"/>
      <x:c r="J147" s="19"/>
      <x:c r="K147" s="19"/>
    </x:row>
    <x:row r="148">
      <x:c r="A148" s="19"/>
      <x:c r="B148" s="19"/>
      <x:c r="C148" s="19"/>
      <x:c r="D148" s="27"/>
      <x:c r="E148" s="58"/>
      <x:c r="F148" s="78"/>
      <x:c r="G148" s="27"/>
      <x:c r="H148" s="20"/>
      <x:c r="I148" s="19"/>
      <x:c r="J148" s="19"/>
      <x:c r="K148" s="19"/>
    </x:row>
    <x:row r="149">
      <x:c r="A149" s="19"/>
      <x:c r="B149" s="19"/>
      <x:c r="C149" s="19"/>
      <x:c r="D149" s="27"/>
      <x:c r="E149" s="58"/>
      <x:c r="F149" s="78"/>
      <x:c r="G149" s="27"/>
      <x:c r="H149" s="20"/>
      <x:c r="I149" s="19"/>
      <x:c r="J149" s="19"/>
      <x:c r="K149" s="19"/>
    </x:row>
    <x:row r="150">
      <x:c r="A150" s="19"/>
      <x:c r="B150" s="19"/>
      <x:c r="C150" s="19"/>
      <x:c r="D150" s="27"/>
      <x:c r="E150" s="58"/>
      <x:c r="F150" s="78"/>
      <x:c r="G150" s="27"/>
      <x:c r="H150" s="20"/>
      <x:c r="I150" s="19"/>
      <x:c r="J150" s="19"/>
      <x:c r="K150" s="19"/>
    </x:row>
    <x:row r="151">
      <x:c r="A151" s="19"/>
      <x:c r="B151" s="19"/>
      <x:c r="C151" s="19"/>
      <x:c r="D151" s="27"/>
      <x:c r="E151" s="58"/>
      <x:c r="F151" s="78"/>
      <x:c r="G151" s="27"/>
      <x:c r="H151" s="20"/>
      <x:c r="I151" s="19"/>
      <x:c r="J151" s="19"/>
      <x:c r="K151" s="19"/>
    </x:row>
    <x:row r="152">
      <x:c r="A152" s="19"/>
      <x:c r="B152" s="19"/>
      <x:c r="C152" s="19"/>
      <x:c r="D152" s="27"/>
      <x:c r="E152" s="58"/>
      <x:c r="F152" s="78"/>
      <x:c r="G152" s="27"/>
      <x:c r="H152" s="20"/>
      <x:c r="I152" s="19"/>
      <x:c r="J152" s="19"/>
      <x:c r="K152" s="19"/>
    </x:row>
    <x:row r="153">
      <x:c r="A153" s="19"/>
      <x:c r="B153" s="19"/>
      <x:c r="C153" s="19"/>
      <x:c r="D153" s="27"/>
      <x:c r="E153" s="58"/>
      <x:c r="F153" s="78"/>
      <x:c r="G153" s="27"/>
      <x:c r="H153" s="20"/>
      <x:c r="I153" s="19"/>
      <x:c r="J153" s="19"/>
      <x:c r="K153" s="19"/>
    </x:row>
    <x:row r="154">
      <x:c r="A154" s="19"/>
      <x:c r="B154" s="19"/>
      <x:c r="C154" s="19"/>
      <x:c r="D154" s="27"/>
      <x:c r="E154" s="58"/>
      <x:c r="F154" s="78"/>
      <x:c r="G154" s="27"/>
      <x:c r="H154" s="20"/>
      <x:c r="I154" s="19"/>
      <x:c r="J154" s="19"/>
      <x:c r="K154" s="19"/>
    </x:row>
    <x:row r="155">
      <x:c r="A155" s="19"/>
      <x:c r="B155" s="19"/>
      <x:c r="C155" s="19"/>
      <x:c r="D155" s="27"/>
      <x:c r="E155" s="58"/>
      <x:c r="F155" s="78"/>
      <x:c r="G155" s="27"/>
      <x:c r="H155" s="20"/>
      <x:c r="I155" s="19"/>
      <x:c r="J155" s="19"/>
      <x:c r="K155" s="19"/>
    </x:row>
    <x:row r="156">
      <x:c r="A156" s="19"/>
      <x:c r="B156" s="19"/>
      <x:c r="C156" s="19"/>
      <x:c r="D156" s="27"/>
      <x:c r="E156" s="58"/>
      <x:c r="F156" s="78"/>
      <x:c r="G156" s="27"/>
      <x:c r="H156" s="20"/>
      <x:c r="I156" s="19"/>
      <x:c r="J156" s="19"/>
      <x:c r="K156" s="19"/>
    </x:row>
    <x:row r="157">
      <x:c r="A157" s="19"/>
      <x:c r="B157" s="19"/>
      <x:c r="C157" s="19"/>
      <x:c r="D157" s="27"/>
      <x:c r="E157" s="58"/>
      <x:c r="F157" s="78"/>
      <x:c r="G157" s="27"/>
      <x:c r="H157" s="20"/>
      <x:c r="I157" s="19"/>
      <x:c r="J157" s="19"/>
      <x:c r="K157" s="19"/>
    </x:row>
    <x:row r="158">
      <x:c r="A158" s="19"/>
      <x:c r="B158" s="19"/>
      <x:c r="C158" s="19"/>
      <x:c r="D158" s="27"/>
      <x:c r="E158" s="58"/>
      <x:c r="F158" s="78"/>
      <x:c r="G158" s="27"/>
      <x:c r="H158" s="20"/>
      <x:c r="I158" s="19"/>
      <x:c r="J158" s="19"/>
      <x:c r="K158" s="19"/>
    </x:row>
    <x:row r="159">
      <x:c r="A159" s="19"/>
      <x:c r="B159" s="19"/>
      <x:c r="C159" s="19"/>
      <x:c r="D159" s="27"/>
      <x:c r="E159" s="58"/>
      <x:c r="F159" s="78"/>
      <x:c r="G159" s="27"/>
      <x:c r="H159" s="20"/>
      <x:c r="I159" s="19"/>
      <x:c r="J159" s="19"/>
      <x:c r="K159" s="19"/>
    </x:row>
    <x:row r="160">
      <x:c r="A160" s="19"/>
      <x:c r="B160" s="19"/>
      <x:c r="C160" s="19"/>
      <x:c r="D160" s="27"/>
      <x:c r="E160" s="58"/>
      <x:c r="F160" s="78"/>
      <x:c r="G160" s="27"/>
      <x:c r="H160" s="20"/>
      <x:c r="I160" s="19"/>
      <x:c r="J160" s="19"/>
      <x:c r="K160" s="19"/>
    </x:row>
    <x:row r="161">
      <x:c r="A161" s="19"/>
      <x:c r="B161" s="19"/>
      <x:c r="C161" s="19"/>
      <x:c r="D161" s="27"/>
      <x:c r="E161" s="58"/>
      <x:c r="F161" s="78"/>
      <x:c r="G161" s="27"/>
      <x:c r="H161" s="20"/>
      <x:c r="I161" s="19"/>
      <x:c r="J161" s="19"/>
      <x:c r="K161" s="19"/>
    </x:row>
    <x:row r="162">
      <x:c r="A162" s="19"/>
      <x:c r="B162" s="19"/>
      <x:c r="C162" s="19"/>
      <x:c r="D162" s="27"/>
      <x:c r="E162" s="58"/>
      <x:c r="F162" s="78"/>
      <x:c r="G162" s="27"/>
      <x:c r="H162" s="20"/>
      <x:c r="I162" s="19"/>
      <x:c r="J162" s="19"/>
      <x:c r="K162" s="19"/>
    </x:row>
    <x:row r="163">
      <x:c r="A163" s="19"/>
      <x:c r="B163" s="19"/>
      <x:c r="C163" s="19"/>
      <x:c r="D163" s="27"/>
      <x:c r="E163" s="58"/>
      <x:c r="F163" s="78"/>
      <x:c r="G163" s="27"/>
      <x:c r="H163" s="20"/>
      <x:c r="I163" s="19"/>
      <x:c r="J163" s="19"/>
      <x:c r="K163" s="19"/>
    </x:row>
    <x:row r="164">
      <x:c r="A164" s="19"/>
      <x:c r="B164" s="19"/>
      <x:c r="C164" s="19"/>
      <x:c r="D164" s="27"/>
      <x:c r="E164" s="58"/>
      <x:c r="F164" s="78"/>
      <x:c r="G164" s="27"/>
      <x:c r="H164" s="20"/>
      <x:c r="I164" s="19"/>
      <x:c r="J164" s="19"/>
      <x:c r="K164" s="19"/>
    </x:row>
    <x:row r="165">
      <x:c r="A165" s="19"/>
      <x:c r="B165" s="19"/>
      <x:c r="C165" s="19"/>
      <x:c r="D165" s="27"/>
      <x:c r="E165" s="58"/>
      <x:c r="F165" s="78"/>
      <x:c r="G165" s="27"/>
      <x:c r="H165" s="20"/>
      <x:c r="I165" s="19"/>
      <x:c r="J165" s="19"/>
      <x:c r="K165" s="19"/>
    </x:row>
    <x:row r="166">
      <x:c r="A166" s="19"/>
      <x:c r="B166" s="19"/>
      <x:c r="C166" s="19"/>
      <x:c r="D166" s="27"/>
      <x:c r="E166" s="58"/>
      <x:c r="F166" s="78"/>
      <x:c r="G166" s="27"/>
      <x:c r="H166" s="20"/>
      <x:c r="I166" s="19"/>
      <x:c r="J166" s="19"/>
      <x:c r="K166" s="19"/>
    </x:row>
    <x:row r="167">
      <x:c r="A167" s="19"/>
      <x:c r="B167" s="19"/>
      <x:c r="C167" s="19"/>
      <x:c r="D167" s="27"/>
      <x:c r="E167" s="58"/>
      <x:c r="F167" s="78"/>
      <x:c r="G167" s="27"/>
      <x:c r="H167" s="20"/>
      <x:c r="I167" s="19"/>
      <x:c r="J167" s="19"/>
      <x:c r="K167" s="19"/>
    </x:row>
    <x:row r="168">
      <x:c r="A168" s="19"/>
      <x:c r="B168" s="19"/>
      <x:c r="C168" s="19"/>
      <x:c r="D168" s="27"/>
      <x:c r="E168" s="58"/>
      <x:c r="F168" s="78"/>
      <x:c r="G168" s="27"/>
      <x:c r="H168" s="20"/>
      <x:c r="I168" s="19"/>
      <x:c r="J168" s="19"/>
      <x:c r="K168" s="19"/>
    </x:row>
    <x:row r="169">
      <x:c r="A169" s="19"/>
      <x:c r="B169" s="19"/>
      <x:c r="C169" s="19"/>
      <x:c r="D169" s="27"/>
      <x:c r="E169" s="58"/>
      <x:c r="F169" s="78"/>
      <x:c r="G169" s="27"/>
      <x:c r="H169" s="20"/>
      <x:c r="I169" s="19"/>
      <x:c r="J169" s="19"/>
      <x:c r="K169" s="19"/>
    </x:row>
    <x:row r="170">
      <x:c r="A170" s="19"/>
      <x:c r="B170" s="19"/>
      <x:c r="C170" s="19"/>
      <x:c r="D170" s="27"/>
      <x:c r="E170" s="58"/>
      <x:c r="F170" s="78"/>
      <x:c r="G170" s="27"/>
      <x:c r="H170" s="20"/>
      <x:c r="I170" s="19"/>
      <x:c r="J170" s="19"/>
      <x:c r="K170" s="19"/>
    </x:row>
    <x:row r="171">
      <x:c r="A171" s="19"/>
      <x:c r="B171" s="19"/>
      <x:c r="C171" s="19"/>
      <x:c r="D171" s="27"/>
      <x:c r="E171" s="58"/>
      <x:c r="F171" s="78"/>
      <x:c r="G171" s="27"/>
      <x:c r="H171" s="20"/>
      <x:c r="I171" s="19"/>
      <x:c r="J171" s="19"/>
      <x:c r="K171" s="19"/>
    </x:row>
    <x:row r="172">
      <x:c r="A172" s="19"/>
      <x:c r="B172" s="19"/>
      <x:c r="C172" s="19"/>
      <x:c r="D172" s="27"/>
      <x:c r="E172" s="58"/>
      <x:c r="F172" s="78"/>
      <x:c r="G172" s="27"/>
      <x:c r="H172" s="20"/>
      <x:c r="I172" s="19"/>
      <x:c r="J172" s="19"/>
      <x:c r="K172" s="19"/>
    </x:row>
    <x:row r="173">
      <x:c r="A173" s="19"/>
      <x:c r="B173" s="19"/>
      <x:c r="C173" s="19"/>
      <x:c r="D173" s="27"/>
      <x:c r="E173" s="58"/>
      <x:c r="F173" s="78"/>
      <x:c r="G173" s="27"/>
      <x:c r="H173" s="20"/>
      <x:c r="I173" s="19"/>
      <x:c r="J173" s="19"/>
      <x:c r="K173" s="19"/>
    </x:row>
    <x:row r="174">
      <x:c r="A174" s="19"/>
      <x:c r="B174" s="19"/>
      <x:c r="C174" s="19"/>
      <x:c r="D174" s="27"/>
      <x:c r="E174" s="58"/>
      <x:c r="F174" s="78"/>
      <x:c r="G174" s="27"/>
      <x:c r="H174" s="20"/>
      <x:c r="I174" s="19"/>
      <x:c r="J174" s="19"/>
      <x:c r="K174" s="19"/>
    </x:row>
    <x:row r="175">
      <x:c r="A175" s="19"/>
      <x:c r="B175" s="19"/>
      <x:c r="C175" s="19"/>
      <x:c r="D175" s="27"/>
      <x:c r="E175" s="58"/>
      <x:c r="F175" s="78"/>
      <x:c r="G175" s="27"/>
      <x:c r="H175" s="20"/>
      <x:c r="I175" s="19"/>
      <x:c r="J175" s="19"/>
      <x:c r="K175" s="19"/>
    </x:row>
    <x:row r="176">
      <x:c r="A176" s="19"/>
      <x:c r="B176" s="19"/>
      <x:c r="C176" s="19"/>
      <x:c r="D176" s="27"/>
      <x:c r="E176" s="58"/>
      <x:c r="F176" s="78"/>
      <x:c r="G176" s="27"/>
      <x:c r="H176" s="20"/>
      <x:c r="I176" s="19"/>
      <x:c r="J176" s="19"/>
      <x:c r="K176" s="19"/>
    </x:row>
    <x:row r="177">
      <x:c r="A177" s="19"/>
      <x:c r="B177" s="19"/>
      <x:c r="C177" s="19"/>
      <x:c r="D177" s="27"/>
      <x:c r="E177" s="58"/>
      <x:c r="F177" s="78"/>
      <x:c r="G177" s="27"/>
      <x:c r="H177" s="20"/>
      <x:c r="I177" s="19"/>
      <x:c r="J177" s="19"/>
      <x:c r="K177" s="19"/>
    </x:row>
    <x:row r="178">
      <x:c r="A178" s="19"/>
      <x:c r="B178" s="19"/>
      <x:c r="C178" s="19"/>
      <x:c r="D178" s="27"/>
      <x:c r="E178" s="58"/>
      <x:c r="F178" s="78"/>
      <x:c r="G178" s="27"/>
      <x:c r="H178" s="20"/>
      <x:c r="I178" s="19"/>
      <x:c r="J178" s="19"/>
      <x:c r="K178" s="19"/>
    </x:row>
    <x:row r="179">
      <x:c r="A179" s="19"/>
      <x:c r="B179" s="19"/>
      <x:c r="C179" s="19"/>
      <x:c r="D179" s="27"/>
      <x:c r="E179" s="58"/>
      <x:c r="F179" s="78"/>
      <x:c r="G179" s="27"/>
      <x:c r="H179" s="20"/>
      <x:c r="I179" s="19"/>
      <x:c r="J179" s="19"/>
      <x:c r="K179" s="19"/>
    </x:row>
    <x:row r="180">
      <x:c r="A180" s="19"/>
      <x:c r="B180" s="19"/>
      <x:c r="C180" s="19"/>
      <x:c r="D180" s="27"/>
      <x:c r="E180" s="58"/>
      <x:c r="F180" s="78"/>
      <x:c r="G180" s="27"/>
      <x:c r="H180" s="20"/>
      <x:c r="I180" s="19"/>
      <x:c r="J180" s="19"/>
      <x:c r="K180" s="19"/>
    </x:row>
    <x:row r="181">
      <x:c r="A181" s="19"/>
      <x:c r="B181" s="19"/>
      <x:c r="C181" s="19"/>
      <x:c r="D181" s="27"/>
      <x:c r="E181" s="58"/>
      <x:c r="F181" s="78"/>
      <x:c r="G181" s="27"/>
      <x:c r="H181" s="20"/>
      <x:c r="I181" s="19"/>
      <x:c r="J181" s="19"/>
      <x:c r="K181" s="19"/>
    </x:row>
    <x:row r="182">
      <x:c r="A182" s="19"/>
      <x:c r="B182" s="19"/>
      <x:c r="C182" s="19"/>
      <x:c r="D182" s="27"/>
      <x:c r="E182" s="58"/>
      <x:c r="F182" s="78"/>
      <x:c r="G182" s="27"/>
      <x:c r="H182" s="20"/>
      <x:c r="I182" s="19"/>
      <x:c r="J182" s="19"/>
      <x:c r="K182" s="19"/>
    </x:row>
    <x:row r="183">
      <x:c r="A183" s="19"/>
      <x:c r="B183" s="19"/>
      <x:c r="C183" s="19"/>
      <x:c r="D183" s="27"/>
      <x:c r="E183" s="58"/>
      <x:c r="F183" s="78"/>
      <x:c r="G183" s="27"/>
      <x:c r="H183" s="20"/>
      <x:c r="I183" s="19"/>
      <x:c r="J183" s="19"/>
      <x:c r="K183" s="19"/>
    </x:row>
    <x:row r="184">
      <x:c r="A184" s="19"/>
      <x:c r="B184" s="19"/>
      <x:c r="C184" s="19"/>
      <x:c r="D184" s="27"/>
      <x:c r="E184" s="58"/>
      <x:c r="F184" s="78"/>
      <x:c r="G184" s="27"/>
      <x:c r="H184" s="20"/>
      <x:c r="I184" s="19"/>
      <x:c r="J184" s="19"/>
      <x:c r="K184" s="19"/>
    </x:row>
    <x:row r="185">
      <x:c r="A185" s="19"/>
      <x:c r="B185" s="19"/>
      <x:c r="C185" s="19"/>
      <x:c r="D185" s="27"/>
      <x:c r="E185" s="58"/>
      <x:c r="F185" s="78"/>
      <x:c r="G185" s="27"/>
      <x:c r="H185" s="20"/>
      <x:c r="I185" s="19"/>
      <x:c r="J185" s="19"/>
      <x:c r="K185" s="19"/>
    </x:row>
    <x:row r="186">
      <x:c r="A186" s="19"/>
      <x:c r="B186" s="19"/>
      <x:c r="C186" s="19"/>
      <x:c r="D186" s="27"/>
      <x:c r="E186" s="58"/>
      <x:c r="F186" s="78"/>
      <x:c r="G186" s="27"/>
      <x:c r="H186" s="20"/>
      <x:c r="I186" s="19"/>
      <x:c r="J186" s="19"/>
      <x:c r="K186" s="19"/>
    </x:row>
    <x:row r="187">
      <x:c r="A187" s="19"/>
      <x:c r="B187" s="19"/>
      <x:c r="C187" s="19"/>
      <x:c r="D187" s="27"/>
      <x:c r="E187" s="58"/>
      <x:c r="F187" s="78"/>
      <x:c r="G187" s="27"/>
      <x:c r="H187" s="20"/>
      <x:c r="I187" s="19"/>
      <x:c r="J187" s="19"/>
      <x:c r="K187" s="19"/>
    </x:row>
    <x:row r="188">
      <x:c r="A188" s="19"/>
      <x:c r="B188" s="19"/>
      <x:c r="C188" s="19"/>
      <x:c r="D188" s="27"/>
      <x:c r="E188" s="58"/>
      <x:c r="F188" s="78"/>
      <x:c r="G188" s="27"/>
      <x:c r="H188" s="20"/>
      <x:c r="I188" s="19"/>
      <x:c r="J188" s="19"/>
      <x:c r="K188" s="19"/>
    </x:row>
    <x:row r="189">
      <x:c r="A189" s="19"/>
      <x:c r="B189" s="19"/>
      <x:c r="C189" s="19"/>
      <x:c r="D189" s="27"/>
      <x:c r="E189" s="58"/>
      <x:c r="F189" s="78"/>
      <x:c r="G189" s="27"/>
      <x:c r="H189" s="20"/>
      <x:c r="I189" s="19"/>
      <x:c r="J189" s="19"/>
      <x:c r="K189" s="19"/>
    </x:row>
    <x:row r="190">
      <x:c r="A190" s="19"/>
      <x:c r="B190" s="19"/>
      <x:c r="C190" s="19"/>
      <x:c r="D190" s="27"/>
      <x:c r="E190" s="58"/>
      <x:c r="F190" s="78"/>
      <x:c r="G190" s="27"/>
      <x:c r="H190" s="20"/>
      <x:c r="I190" s="19"/>
      <x:c r="J190" s="19"/>
      <x:c r="K190" s="19"/>
    </x:row>
    <x:row r="191">
      <x:c r="A191" s="19"/>
      <x:c r="B191" s="19"/>
      <x:c r="C191" s="19"/>
      <x:c r="D191" s="27"/>
      <x:c r="E191" s="58"/>
      <x:c r="F191" s="78"/>
      <x:c r="G191" s="27"/>
      <x:c r="H191" s="20"/>
      <x:c r="I191" s="19"/>
      <x:c r="J191" s="19"/>
      <x:c r="K191" s="19"/>
    </x:row>
    <x:row r="192">
      <x:c r="A192" s="19"/>
      <x:c r="B192" s="19"/>
      <x:c r="C192" s="19"/>
      <x:c r="D192" s="27"/>
      <x:c r="E192" s="58"/>
      <x:c r="F192" s="78"/>
      <x:c r="G192" s="27"/>
      <x:c r="H192" s="20"/>
      <x:c r="I192" s="19"/>
      <x:c r="J192" s="19"/>
      <x:c r="K192" s="19"/>
    </x:row>
    <x:row r="193">
      <x:c r="A193" s="19"/>
      <x:c r="B193" s="19"/>
      <x:c r="C193" s="19"/>
      <x:c r="D193" s="27"/>
      <x:c r="E193" s="58"/>
      <x:c r="F193" s="78"/>
      <x:c r="G193" s="27"/>
      <x:c r="H193" s="20"/>
      <x:c r="I193" s="19"/>
      <x:c r="J193" s="19"/>
      <x:c r="K193" s="19"/>
    </x:row>
    <x:row r="194">
      <x:c r="A194" s="19"/>
      <x:c r="B194" s="19"/>
      <x:c r="C194" s="19"/>
      <x:c r="D194" s="27"/>
      <x:c r="E194" s="58"/>
      <x:c r="F194" s="78"/>
      <x:c r="G194" s="27"/>
      <x:c r="H194" s="20"/>
      <x:c r="I194" s="19"/>
      <x:c r="J194" s="19"/>
      <x:c r="K194" s="19"/>
    </x:row>
    <x:row r="195">
      <x:c r="A195" s="19"/>
      <x:c r="B195" s="19"/>
      <x:c r="C195" s="19"/>
      <x:c r="D195" s="27"/>
      <x:c r="E195" s="58"/>
      <x:c r="F195" s="78"/>
      <x:c r="G195" s="27"/>
      <x:c r="H195" s="20"/>
      <x:c r="I195" s="19"/>
      <x:c r="J195" s="19"/>
      <x:c r="K195" s="19"/>
    </x:row>
    <x:row r="196">
      <x:c r="A196" s="19"/>
      <x:c r="B196" s="19"/>
      <x:c r="C196" s="19"/>
      <x:c r="D196" s="27"/>
      <x:c r="E196" s="58"/>
      <x:c r="F196" s="78"/>
      <x:c r="G196" s="27"/>
      <x:c r="H196" s="20"/>
      <x:c r="I196" s="19"/>
      <x:c r="J196" s="19"/>
      <x:c r="K196" s="19"/>
    </x:row>
    <x:row r="197">
      <x:c r="A197" s="19"/>
      <x:c r="B197" s="19"/>
      <x:c r="C197" s="19"/>
      <x:c r="D197" s="27"/>
      <x:c r="E197" s="58"/>
      <x:c r="F197" s="78"/>
      <x:c r="G197" s="27"/>
      <x:c r="H197" s="20"/>
      <x:c r="I197" s="19"/>
      <x:c r="J197" s="19"/>
      <x:c r="K197" s="19"/>
    </x:row>
    <x:row r="198">
      <x:c r="A198" s="19"/>
      <x:c r="B198" s="19"/>
      <x:c r="C198" s="19"/>
      <x:c r="D198" s="27"/>
      <x:c r="E198" s="58"/>
      <x:c r="F198" s="78"/>
      <x:c r="G198" s="27"/>
      <x:c r="H198" s="20"/>
      <x:c r="I198" s="19"/>
      <x:c r="J198" s="19"/>
      <x:c r="K198" s="19"/>
    </x:row>
    <x:row r="199">
      <x:c r="A199" s="19"/>
      <x:c r="B199" s="19"/>
      <x:c r="C199" s="19"/>
      <x:c r="D199" s="27"/>
      <x:c r="E199" s="58"/>
      <x:c r="F199" s="78"/>
      <x:c r="G199" s="27"/>
      <x:c r="H199" s="20"/>
      <x:c r="I199" s="19"/>
      <x:c r="J199" s="19"/>
      <x:c r="K199" s="19"/>
    </x:row>
    <x:row r="200">
      <x:c r="A200" s="19"/>
      <x:c r="B200" s="19"/>
      <x:c r="C200" s="19"/>
      <x:c r="D200" s="27"/>
      <x:c r="E200" s="58"/>
      <x:c r="F200" s="78"/>
      <x:c r="G200" s="27"/>
      <x:c r="H200" s="20"/>
      <x:c r="I200" s="19"/>
      <x:c r="J200" s="19"/>
      <x:c r="K200" s="19"/>
    </x:row>
    <x:row r="201">
      <x:c r="A201" s="19"/>
      <x:c r="B201" s="19"/>
      <x:c r="C201" s="19"/>
      <x:c r="D201" s="27"/>
      <x:c r="E201" s="58"/>
      <x:c r="F201" s="78"/>
      <x:c r="G201" s="27"/>
      <x:c r="H201" s="20"/>
      <x:c r="I201" s="19"/>
      <x:c r="J201" s="19"/>
      <x:c r="K201" s="19"/>
    </x:row>
    <x:row r="202">
      <x:c r="A202" s="19"/>
      <x:c r="B202" s="19"/>
      <x:c r="C202" s="19"/>
      <x:c r="D202" s="27"/>
      <x:c r="E202" s="58"/>
      <x:c r="F202" s="78"/>
      <x:c r="G202" s="27"/>
      <x:c r="H202" s="20"/>
      <x:c r="I202" s="19"/>
      <x:c r="J202" s="19"/>
      <x:c r="K202" s="19"/>
    </x:row>
    <x:row r="203">
      <x:c r="A203" s="19"/>
      <x:c r="B203" s="19"/>
      <x:c r="C203" s="19"/>
      <x:c r="D203" s="27"/>
      <x:c r="E203" s="58"/>
      <x:c r="F203" s="78"/>
      <x:c r="G203" s="27"/>
      <x:c r="H203" s="20"/>
      <x:c r="I203" s="19"/>
      <x:c r="J203" s="19"/>
      <x:c r="K203" s="19"/>
    </x:row>
    <x:row r="204">
      <x:c r="A204" s="19"/>
      <x:c r="B204" s="19"/>
      <x:c r="C204" s="19"/>
      <x:c r="D204" s="27"/>
      <x:c r="E204" s="58"/>
      <x:c r="F204" s="78"/>
      <x:c r="G204" s="27"/>
      <x:c r="H204" s="20"/>
      <x:c r="I204" s="19"/>
      <x:c r="J204" s="19"/>
      <x:c r="K204" s="19"/>
    </x:row>
    <x:row r="205">
      <x:c r="A205" s="19"/>
      <x:c r="B205" s="19"/>
      <x:c r="C205" s="19"/>
      <x:c r="D205" s="27"/>
      <x:c r="E205" s="58"/>
      <x:c r="F205" s="78"/>
      <x:c r="G205" s="27"/>
      <x:c r="H205" s="20"/>
      <x:c r="I205" s="19"/>
      <x:c r="J205" s="19"/>
      <x:c r="K205" s="19"/>
    </x:row>
    <x:row r="206">
      <x:c r="A206" s="19"/>
      <x:c r="B206" s="19"/>
      <x:c r="C206" s="19"/>
      <x:c r="D206" s="27"/>
      <x:c r="E206" s="58"/>
      <x:c r="F206" s="78"/>
      <x:c r="G206" s="27"/>
      <x:c r="H206" s="20"/>
      <x:c r="I206" s="19"/>
      <x:c r="J206" s="19"/>
      <x:c r="K206" s="19"/>
    </x:row>
    <x:row r="207">
      <x:c r="A207" s="19"/>
      <x:c r="B207" s="19"/>
      <x:c r="C207" s="19"/>
      <x:c r="D207" s="27"/>
      <x:c r="E207" s="58"/>
      <x:c r="F207" s="78"/>
      <x:c r="G207" s="27"/>
      <x:c r="H207" s="20"/>
      <x:c r="I207" s="19"/>
      <x:c r="J207" s="19"/>
      <x:c r="K207" s="19"/>
    </x:row>
    <x:row r="208">
      <x:c r="A208" s="19"/>
      <x:c r="B208" s="19"/>
      <x:c r="C208" s="19"/>
      <x:c r="D208" s="27"/>
      <x:c r="E208" s="58"/>
      <x:c r="F208" s="78"/>
      <x:c r="G208" s="27"/>
      <x:c r="H208" s="20"/>
      <x:c r="I208" s="19"/>
      <x:c r="J208" s="19"/>
      <x:c r="K208" s="19"/>
    </x:row>
    <x:row r="209">
      <x:c r="A209" s="19"/>
      <x:c r="B209" s="19"/>
      <x:c r="C209" s="19"/>
      <x:c r="D209" s="27"/>
      <x:c r="E209" s="58"/>
      <x:c r="F209" s="78"/>
      <x:c r="G209" s="27"/>
      <x:c r="H209" s="20"/>
      <x:c r="I209" s="19"/>
      <x:c r="J209" s="19"/>
      <x:c r="K209" s="19"/>
    </x:row>
    <x:row r="210">
      <x:c r="A210" s="19"/>
      <x:c r="B210" s="19"/>
      <x:c r="C210" s="19"/>
      <x:c r="D210" s="27"/>
      <x:c r="E210" s="58"/>
      <x:c r="F210" s="78"/>
      <x:c r="G210" s="27"/>
      <x:c r="H210" s="20"/>
      <x:c r="I210" s="19"/>
      <x:c r="J210" s="19"/>
      <x:c r="K210" s="19"/>
    </x:row>
    <x:row r="211">
      <x:c r="A211" s="19"/>
      <x:c r="B211" s="19"/>
      <x:c r="C211" s="19"/>
      <x:c r="D211" s="27"/>
      <x:c r="E211" s="58"/>
      <x:c r="F211" s="78"/>
      <x:c r="G211" s="27"/>
      <x:c r="H211" s="20"/>
      <x:c r="I211" s="19"/>
      <x:c r="J211" s="19"/>
      <x:c r="K211" s="19"/>
    </x:row>
    <x:row r="212">
      <x:c r="A212" s="19"/>
      <x:c r="B212" s="19"/>
      <x:c r="C212" s="19"/>
      <x:c r="D212" s="27"/>
      <x:c r="E212" s="58"/>
      <x:c r="F212" s="78"/>
      <x:c r="G212" s="27"/>
      <x:c r="H212" s="20"/>
      <x:c r="I212" s="19"/>
      <x:c r="J212" s="19"/>
      <x:c r="K212" s="19"/>
    </x:row>
    <x:row r="213">
      <x:c r="A213" s="19"/>
      <x:c r="B213" s="19"/>
      <x:c r="C213" s="19"/>
      <x:c r="D213" s="27"/>
      <x:c r="E213" s="58"/>
      <x:c r="F213" s="78"/>
      <x:c r="G213" s="27"/>
      <x:c r="H213" s="20"/>
      <x:c r="I213" s="19"/>
      <x:c r="J213" s="19"/>
      <x:c r="K213" s="19"/>
    </x:row>
    <x:row r="214">
      <x:c r="A214" s="19"/>
      <x:c r="B214" s="19"/>
      <x:c r="C214" s="19"/>
      <x:c r="D214" s="27"/>
      <x:c r="E214" s="58"/>
      <x:c r="F214" s="78"/>
      <x:c r="G214" s="27"/>
      <x:c r="H214" s="20"/>
      <x:c r="I214" s="19"/>
      <x:c r="J214" s="19"/>
      <x:c r="K214" s="19"/>
    </x:row>
    <x:row r="215">
      <x:c r="A215" s="19"/>
      <x:c r="B215" s="19"/>
      <x:c r="C215" s="19"/>
      <x:c r="D215" s="27"/>
      <x:c r="E215" s="58"/>
      <x:c r="F215" s="78"/>
      <x:c r="G215" s="27"/>
      <x:c r="H215" s="20"/>
      <x:c r="I215" s="19"/>
      <x:c r="J215" s="19"/>
      <x:c r="K215" s="19"/>
    </x:row>
    <x:row r="216">
      <x:c r="A216" s="19"/>
      <x:c r="B216" s="19"/>
      <x:c r="C216" s="19"/>
      <x:c r="D216" s="27"/>
      <x:c r="E216" s="58"/>
      <x:c r="F216" s="78"/>
      <x:c r="G216" s="27"/>
      <x:c r="H216" s="20"/>
      <x:c r="I216" s="19"/>
      <x:c r="J216" s="19"/>
      <x:c r="K216" s="19"/>
    </x:row>
    <x:row r="217">
      <x:c r="A217" s="19"/>
      <x:c r="B217" s="19"/>
      <x:c r="C217" s="19"/>
      <x:c r="D217" s="27"/>
      <x:c r="E217" s="58"/>
      <x:c r="F217" s="78"/>
      <x:c r="G217" s="27"/>
      <x:c r="H217" s="20"/>
      <x:c r="I217" s="19"/>
      <x:c r="J217" s="19"/>
      <x:c r="K217" s="19"/>
    </x:row>
    <x:row r="218">
      <x:c r="A218" s="19"/>
      <x:c r="B218" s="19"/>
      <x:c r="C218" s="19"/>
      <x:c r="D218" s="27"/>
      <x:c r="E218" s="58"/>
      <x:c r="F218" s="78"/>
      <x:c r="G218" s="27"/>
      <x:c r="H218" s="20"/>
      <x:c r="I218" s="19"/>
      <x:c r="J218" s="19"/>
      <x:c r="K218" s="19"/>
    </x:row>
    <x:row r="219">
      <x:c r="A219" s="19"/>
      <x:c r="B219" s="19"/>
      <x:c r="C219" s="19"/>
      <x:c r="D219" s="27"/>
      <x:c r="E219" s="58"/>
      <x:c r="F219" s="78"/>
      <x:c r="G219" s="27"/>
      <x:c r="H219" s="20"/>
      <x:c r="I219" s="19"/>
      <x:c r="J219" s="19"/>
      <x:c r="K219" s="19"/>
    </x:row>
    <x:row r="220">
      <x:c r="A220" s="19"/>
      <x:c r="B220" s="19"/>
      <x:c r="C220" s="19"/>
      <x:c r="D220" s="27"/>
      <x:c r="E220" s="58"/>
      <x:c r="F220" s="78"/>
      <x:c r="G220" s="27"/>
      <x:c r="H220" s="20"/>
      <x:c r="I220" s="19"/>
      <x:c r="J220" s="19"/>
      <x:c r="K220" s="19"/>
    </x:row>
    <x:row r="221">
      <x:c r="A221" s="19"/>
      <x:c r="B221" s="19"/>
      <x:c r="C221" s="19"/>
      <x:c r="D221" s="27"/>
      <x:c r="E221" s="58"/>
      <x:c r="F221" s="78"/>
      <x:c r="G221" s="27"/>
      <x:c r="H221" s="20"/>
      <x:c r="I221" s="19"/>
      <x:c r="J221" s="19"/>
      <x:c r="K221" s="19"/>
    </x:row>
    <x:row r="222">
      <x:c r="A222" s="19"/>
      <x:c r="B222" s="19"/>
      <x:c r="C222" s="19"/>
      <x:c r="D222" s="27"/>
      <x:c r="E222" s="58"/>
      <x:c r="F222" s="78"/>
      <x:c r="G222" s="27"/>
      <x:c r="H222" s="20"/>
      <x:c r="I222" s="19"/>
      <x:c r="J222" s="19"/>
      <x:c r="K222" s="19"/>
    </x:row>
    <x:row r="223">
      <x:c r="A223" s="19"/>
      <x:c r="B223" s="19"/>
      <x:c r="C223" s="19"/>
      <x:c r="D223" s="27"/>
      <x:c r="E223" s="58"/>
      <x:c r="F223" s="78"/>
      <x:c r="G223" s="27"/>
      <x:c r="H223" s="20"/>
      <x:c r="I223" s="19"/>
      <x:c r="J223" s="19"/>
      <x:c r="K223" s="19"/>
    </x:row>
    <x:row r="224">
      <x:c r="A224" s="19"/>
      <x:c r="B224" s="19"/>
      <x:c r="C224" s="19"/>
      <x:c r="D224" s="27"/>
      <x:c r="E224" s="58"/>
      <x:c r="F224" s="78"/>
      <x:c r="G224" s="27"/>
      <x:c r="H224" s="20"/>
      <x:c r="I224" s="19"/>
      <x:c r="J224" s="19"/>
      <x:c r="K224" s="19"/>
    </x:row>
    <x:row r="225">
      <x:c r="A225" s="19"/>
      <x:c r="B225" s="19"/>
      <x:c r="C225" s="19"/>
      <x:c r="D225" s="27"/>
      <x:c r="E225" s="58"/>
      <x:c r="F225" s="78"/>
      <x:c r="G225" s="27"/>
      <x:c r="H225" s="20"/>
      <x:c r="I225" s="19"/>
      <x:c r="J225" s="19"/>
      <x:c r="K225" s="19"/>
    </x:row>
    <x:row r="226">
      <x:c r="A226" s="19"/>
      <x:c r="B226" s="19"/>
      <x:c r="C226" s="19"/>
      <x:c r="D226" s="27"/>
      <x:c r="E226" s="58"/>
      <x:c r="F226" s="78"/>
      <x:c r="G226" s="27"/>
      <x:c r="H226" s="20"/>
      <x:c r="I226" s="19"/>
      <x:c r="J226" s="19"/>
      <x:c r="K226" s="19"/>
    </x:row>
    <x:row r="227">
      <x:c r="A227" s="19"/>
      <x:c r="B227" s="19"/>
      <x:c r="C227" s="19"/>
      <x:c r="D227" s="27"/>
      <x:c r="E227" s="58"/>
      <x:c r="F227" s="78"/>
      <x:c r="G227" s="27"/>
      <x:c r="H227" s="20"/>
      <x:c r="I227" s="19"/>
      <x:c r="J227" s="19"/>
      <x:c r="K227" s="19"/>
    </x:row>
    <x:row r="228">
      <x:c r="A228" s="19"/>
      <x:c r="B228" s="19"/>
      <x:c r="C228" s="19"/>
      <x:c r="D228" s="27"/>
      <x:c r="E228" s="58"/>
      <x:c r="F228" s="78"/>
      <x:c r="G228" s="27"/>
      <x:c r="H228" s="20"/>
      <x:c r="I228" s="19"/>
      <x:c r="J228" s="19"/>
      <x:c r="K228" s="19"/>
    </x:row>
    <x:row r="229">
      <x:c r="A229" s="19"/>
      <x:c r="B229" s="19"/>
      <x:c r="C229" s="19"/>
      <x:c r="D229" s="27"/>
      <x:c r="E229" s="58"/>
      <x:c r="F229" s="78"/>
      <x:c r="G229" s="27"/>
      <x:c r="H229" s="20"/>
      <x:c r="I229" s="19"/>
      <x:c r="J229" s="19"/>
      <x:c r="K229" s="19"/>
    </x:row>
    <x:row r="230">
      <x:c r="A230" s="19"/>
      <x:c r="B230" s="19"/>
      <x:c r="C230" s="19"/>
      <x:c r="D230" s="27"/>
      <x:c r="E230" s="58"/>
      <x:c r="F230" s="78"/>
      <x:c r="G230" s="27"/>
      <x:c r="H230" s="20"/>
      <x:c r="I230" s="19"/>
      <x:c r="J230" s="19"/>
      <x:c r="K230" s="19"/>
    </x:row>
    <x:row r="231">
      <x:c r="A231" s="19"/>
      <x:c r="B231" s="19"/>
      <x:c r="C231" s="19"/>
      <x:c r="D231" s="27"/>
      <x:c r="E231" s="58"/>
      <x:c r="F231" s="78"/>
      <x:c r="G231" s="27"/>
      <x:c r="H231" s="20"/>
      <x:c r="I231" s="19"/>
      <x:c r="J231" s="19"/>
      <x:c r="K231" s="19"/>
    </x:row>
    <x:row r="232">
      <x:c r="A232" s="19"/>
      <x:c r="B232" s="19"/>
      <x:c r="C232" s="19"/>
      <x:c r="D232" s="27"/>
      <x:c r="E232" s="58"/>
      <x:c r="F232" s="78"/>
      <x:c r="G232" s="27"/>
      <x:c r="H232" s="20"/>
      <x:c r="I232" s="19"/>
      <x:c r="J232" s="19"/>
      <x:c r="K232" s="19"/>
    </x:row>
    <x:row r="233">
      <x:c r="A233" s="19"/>
      <x:c r="B233" s="19"/>
      <x:c r="C233" s="19"/>
      <x:c r="D233" s="27"/>
      <x:c r="E233" s="58"/>
      <x:c r="F233" s="78"/>
      <x:c r="G233" s="27"/>
      <x:c r="H233" s="20"/>
      <x:c r="I233" s="19"/>
      <x:c r="J233" s="19"/>
      <x:c r="K233" s="19"/>
    </x:row>
    <x:row r="234">
      <x:c r="A234" s="19"/>
      <x:c r="B234" s="19"/>
      <x:c r="C234" s="19"/>
      <x:c r="D234" s="27"/>
      <x:c r="E234" s="58"/>
      <x:c r="F234" s="78"/>
      <x:c r="G234" s="27"/>
      <x:c r="H234" s="20"/>
      <x:c r="I234" s="19"/>
      <x:c r="J234" s="19"/>
      <x:c r="K234" s="19"/>
    </x:row>
    <x:row r="235">
      <x:c r="A235" s="19"/>
      <x:c r="B235" s="19"/>
      <x:c r="C235" s="19"/>
      <x:c r="D235" s="27"/>
      <x:c r="E235" s="58"/>
      <x:c r="F235" s="78"/>
      <x:c r="G235" s="27"/>
      <x:c r="H235" s="20"/>
      <x:c r="I235" s="19"/>
      <x:c r="J235" s="19"/>
      <x:c r="K235" s="19"/>
    </x:row>
    <x:row r="236">
      <x:c r="A236" s="19"/>
      <x:c r="B236" s="19"/>
      <x:c r="C236" s="19"/>
      <x:c r="D236" s="27"/>
      <x:c r="E236" s="58"/>
      <x:c r="F236" s="78"/>
      <x:c r="G236" s="27"/>
      <x:c r="H236" s="20"/>
      <x:c r="I236" s="19"/>
      <x:c r="J236" s="19"/>
      <x:c r="K236" s="19"/>
    </x:row>
    <x:row r="237">
      <x:c r="A237" s="19"/>
      <x:c r="B237" s="19"/>
      <x:c r="C237" s="19"/>
      <x:c r="D237" s="27"/>
      <x:c r="E237" s="58"/>
      <x:c r="F237" s="78"/>
      <x:c r="G237" s="27"/>
      <x:c r="H237" s="20"/>
      <x:c r="I237" s="19"/>
      <x:c r="J237" s="19"/>
      <x:c r="K237" s="19"/>
    </x:row>
    <x:row r="238">
      <x:c r="A238" s="19"/>
      <x:c r="B238" s="19"/>
      <x:c r="C238" s="19"/>
      <x:c r="D238" s="27"/>
      <x:c r="E238" s="58"/>
      <x:c r="F238" s="78"/>
      <x:c r="G238" s="27"/>
      <x:c r="H238" s="20"/>
      <x:c r="I238" s="19"/>
      <x:c r="J238" s="19"/>
      <x:c r="K238" s="19"/>
    </x:row>
    <x:row r="239">
      <x:c r="A239" s="19"/>
      <x:c r="B239" s="19"/>
      <x:c r="C239" s="19"/>
      <x:c r="D239" s="27"/>
      <x:c r="E239" s="58"/>
      <x:c r="F239" s="78"/>
      <x:c r="G239" s="27"/>
      <x:c r="H239" s="20"/>
      <x:c r="I239" s="19"/>
      <x:c r="J239" s="19"/>
      <x:c r="K239" s="19"/>
    </x:row>
    <x:row r="240">
      <x:c r="A240" s="19"/>
      <x:c r="B240" s="19"/>
      <x:c r="C240" s="19"/>
      <x:c r="D240" s="27"/>
      <x:c r="E240" s="58"/>
      <x:c r="F240" s="78"/>
      <x:c r="G240" s="27"/>
      <x:c r="H240" s="20"/>
      <x:c r="I240" s="19"/>
      <x:c r="J240" s="19"/>
      <x:c r="K240" s="19"/>
    </x:row>
    <x:row r="241">
      <x:c r="A241" s="19"/>
      <x:c r="B241" s="19"/>
      <x:c r="C241" s="19"/>
      <x:c r="D241" s="27"/>
      <x:c r="E241" s="58"/>
      <x:c r="F241" s="78"/>
      <x:c r="G241" s="27"/>
      <x:c r="H241" s="20"/>
      <x:c r="I241" s="19"/>
      <x:c r="J241" s="19"/>
      <x:c r="K241" s="19"/>
    </x:row>
    <x:row r="242">
      <x:c r="A242" s="19"/>
      <x:c r="B242" s="19"/>
      <x:c r="C242" s="19"/>
      <x:c r="D242" s="27"/>
      <x:c r="E242" s="58"/>
      <x:c r="F242" s="78"/>
      <x:c r="G242" s="27"/>
      <x:c r="H242" s="20"/>
      <x:c r="I242" s="19"/>
      <x:c r="J242" s="19"/>
      <x:c r="K242" s="19"/>
    </x:row>
    <x:row r="243">
      <x:c r="A243" s="19"/>
      <x:c r="B243" s="19"/>
      <x:c r="C243" s="19"/>
      <x:c r="D243" s="27"/>
      <x:c r="E243" s="58"/>
      <x:c r="F243" s="78"/>
      <x:c r="G243" s="27"/>
      <x:c r="H243" s="20"/>
      <x:c r="I243" s="19"/>
      <x:c r="J243" s="19"/>
      <x:c r="K243" s="19"/>
    </x:row>
    <x:row r="244">
      <x:c r="A244" s="19"/>
      <x:c r="B244" s="19"/>
      <x:c r="C244" s="19"/>
      <x:c r="D244" s="27"/>
      <x:c r="E244" s="58"/>
      <x:c r="F244" s="78"/>
      <x:c r="G244" s="27"/>
      <x:c r="H244" s="20"/>
      <x:c r="I244" s="19"/>
      <x:c r="J244" s="19"/>
      <x:c r="K244" s="19"/>
    </x:row>
    <x:row r="245">
      <x:c r="A245" s="19"/>
      <x:c r="B245" s="19"/>
      <x:c r="C245" s="19"/>
      <x:c r="D245" s="27"/>
      <x:c r="E245" s="58"/>
      <x:c r="F245" s="78"/>
      <x:c r="G245" s="27"/>
      <x:c r="H245" s="20"/>
      <x:c r="I245" s="19"/>
      <x:c r="J245" s="19"/>
      <x:c r="K245" s="19"/>
    </x:row>
    <x:row r="246">
      <x:c r="A246" s="19"/>
      <x:c r="B246" s="19"/>
      <x:c r="C246" s="19"/>
      <x:c r="D246" s="27"/>
      <x:c r="E246" s="58"/>
      <x:c r="F246" s="78"/>
      <x:c r="G246" s="27"/>
      <x:c r="H246" s="20"/>
      <x:c r="I246" s="19"/>
      <x:c r="J246" s="19"/>
      <x:c r="K246" s="19"/>
    </x:row>
    <x:row r="247">
      <x:c r="A247" s="19"/>
      <x:c r="B247" s="19"/>
      <x:c r="C247" s="19"/>
      <x:c r="D247" s="27"/>
      <x:c r="E247" s="58"/>
      <x:c r="F247" s="78"/>
      <x:c r="G247" s="27"/>
      <x:c r="H247" s="20"/>
      <x:c r="I247" s="19"/>
      <x:c r="J247" s="19"/>
      <x:c r="K247" s="19"/>
    </x:row>
    <x:row r="248">
      <x:c r="A248" s="19"/>
      <x:c r="B248" s="19"/>
      <x:c r="C248" s="19"/>
      <x:c r="D248" s="27"/>
      <x:c r="E248" s="58"/>
      <x:c r="F248" s="78"/>
      <x:c r="G248" s="27"/>
      <x:c r="H248" s="20"/>
      <x:c r="I248" s="19"/>
      <x:c r="J248" s="19"/>
      <x:c r="K248" s="19"/>
    </x:row>
    <x:row r="249">
      <x:c r="A249" s="19"/>
      <x:c r="B249" s="19"/>
      <x:c r="C249" s="19"/>
      <x:c r="D249" s="27"/>
      <x:c r="E249" s="58"/>
      <x:c r="F249" s="78"/>
      <x:c r="G249" s="27"/>
      <x:c r="H249" s="20"/>
      <x:c r="I249" s="19"/>
      <x:c r="J249" s="19"/>
      <x:c r="K249" s="19"/>
    </x:row>
    <x:row r="250">
      <x:c r="A250" s="19"/>
      <x:c r="B250" s="19"/>
      <x:c r="C250" s="19"/>
      <x:c r="D250" s="27"/>
      <x:c r="E250" s="58"/>
      <x:c r="F250" s="78"/>
      <x:c r="G250" s="27"/>
      <x:c r="H250" s="20"/>
      <x:c r="I250" s="19"/>
      <x:c r="J250" s="19"/>
      <x:c r="K250" s="19"/>
    </x:row>
    <x:row r="251">
      <x:c r="A251" s="19"/>
      <x:c r="B251" s="19"/>
      <x:c r="C251" s="19"/>
      <x:c r="D251" s="27"/>
      <x:c r="E251" s="58"/>
      <x:c r="F251" s="78"/>
      <x:c r="G251" s="27"/>
      <x:c r="H251" s="20"/>
      <x:c r="I251" s="19"/>
      <x:c r="J251" s="19"/>
      <x:c r="K251" s="19"/>
    </x:row>
    <x:row r="252">
      <x:c r="A252" s="19"/>
      <x:c r="B252" s="19"/>
      <x:c r="C252" s="19"/>
      <x:c r="D252" s="27"/>
      <x:c r="E252" s="58"/>
      <x:c r="F252" s="78"/>
      <x:c r="G252" s="27"/>
      <x:c r="H252" s="20"/>
      <x:c r="I252" s="19"/>
      <x:c r="J252" s="19"/>
      <x:c r="K252" s="19"/>
    </x:row>
    <x:row r="253">
      <x:c r="A253" s="19"/>
      <x:c r="B253" s="19"/>
      <x:c r="C253" s="19"/>
      <x:c r="D253" s="27"/>
      <x:c r="E253" s="58"/>
      <x:c r="F253" s="78"/>
      <x:c r="G253" s="27"/>
      <x:c r="H253" s="20"/>
      <x:c r="I253" s="19"/>
      <x:c r="J253" s="19"/>
      <x:c r="K253" s="19"/>
    </x:row>
    <x:row r="254">
      <x:c r="A254" s="19"/>
      <x:c r="B254" s="19"/>
      <x:c r="C254" s="19"/>
      <x:c r="D254" s="27"/>
      <x:c r="E254" s="58"/>
      <x:c r="F254" s="78"/>
      <x:c r="G254" s="27"/>
      <x:c r="H254" s="20"/>
      <x:c r="I254" s="19"/>
      <x:c r="J254" s="19"/>
      <x:c r="K254" s="19"/>
    </x:row>
    <x:row r="255">
      <x:c r="A255" s="19"/>
      <x:c r="B255" s="19"/>
      <x:c r="C255" s="19"/>
      <x:c r="D255" s="27"/>
      <x:c r="E255" s="58"/>
      <x:c r="F255" s="78"/>
      <x:c r="G255" s="27"/>
      <x:c r="H255" s="20"/>
      <x:c r="I255" s="19"/>
      <x:c r="J255" s="19"/>
      <x:c r="K255" s="19"/>
    </x:row>
    <x:row r="256">
      <x:c r="A256" s="19"/>
      <x:c r="B256" s="19"/>
      <x:c r="C256" s="19"/>
      <x:c r="D256" s="27"/>
      <x:c r="E256" s="58"/>
      <x:c r="F256" s="78"/>
      <x:c r="G256" s="27"/>
      <x:c r="H256" s="20"/>
      <x:c r="I256" s="19"/>
      <x:c r="J256" s="19"/>
      <x:c r="K256" s="19"/>
    </x:row>
    <x:row r="257">
      <x:c r="A257" s="19"/>
      <x:c r="B257" s="19"/>
      <x:c r="C257" s="19"/>
      <x:c r="D257" s="27"/>
      <x:c r="E257" s="58"/>
      <x:c r="F257" s="78"/>
      <x:c r="G257" s="27"/>
      <x:c r="H257" s="20"/>
      <x:c r="I257" s="19"/>
      <x:c r="J257" s="19"/>
      <x:c r="K257" s="19"/>
    </x:row>
    <x:row r="258">
      <x:c r="A258" s="19"/>
      <x:c r="B258" s="19"/>
      <x:c r="C258" s="19"/>
      <x:c r="D258" s="27"/>
      <x:c r="E258" s="58"/>
      <x:c r="F258" s="78"/>
      <x:c r="G258" s="27"/>
      <x:c r="H258" s="20"/>
      <x:c r="I258" s="19"/>
      <x:c r="J258" s="19"/>
      <x:c r="K258" s="19"/>
    </x:row>
    <x:row r="259">
      <x:c r="A259" s="19"/>
      <x:c r="B259" s="19"/>
      <x:c r="C259" s="19"/>
      <x:c r="D259" s="27"/>
      <x:c r="E259" s="58"/>
      <x:c r="F259" s="78"/>
      <x:c r="G259" s="27"/>
      <x:c r="H259" s="20"/>
      <x:c r="I259" s="19"/>
      <x:c r="J259" s="19"/>
      <x:c r="K259" s="19"/>
    </x:row>
    <x:row r="260">
      <x:c r="A260" s="19"/>
      <x:c r="B260" s="19"/>
      <x:c r="C260" s="19"/>
      <x:c r="D260" s="27"/>
      <x:c r="E260" s="58"/>
      <x:c r="F260" s="78"/>
      <x:c r="G260" s="27"/>
      <x:c r="H260" s="20"/>
      <x:c r="I260" s="19"/>
      <x:c r="J260" s="19"/>
      <x:c r="K260" s="19"/>
    </x:row>
    <x:row r="261">
      <x:c r="A261" s="19"/>
      <x:c r="B261" s="19"/>
      <x:c r="C261" s="19"/>
      <x:c r="D261" s="27"/>
      <x:c r="E261" s="58"/>
      <x:c r="F261" s="78"/>
      <x:c r="G261" s="27"/>
      <x:c r="H261" s="20"/>
      <x:c r="I261" s="19"/>
      <x:c r="J261" s="19"/>
      <x:c r="K261" s="19"/>
    </x:row>
    <x:row r="262">
      <x:c r="A262" s="19"/>
      <x:c r="B262" s="19"/>
      <x:c r="C262" s="19"/>
      <x:c r="D262" s="27"/>
      <x:c r="E262" s="58"/>
      <x:c r="F262" s="78"/>
      <x:c r="G262" s="27"/>
      <x:c r="H262" s="20"/>
      <x:c r="I262" s="19"/>
      <x:c r="J262" s="19"/>
      <x:c r="K262" s="19"/>
    </x:row>
    <x:row r="263">
      <x:c r="A263" s="19"/>
      <x:c r="B263" s="19"/>
      <x:c r="C263" s="19"/>
      <x:c r="D263" s="27"/>
      <x:c r="E263" s="58"/>
      <x:c r="F263" s="78"/>
      <x:c r="G263" s="27"/>
      <x:c r="H263" s="20"/>
      <x:c r="I263" s="19"/>
      <x:c r="J263" s="19"/>
      <x:c r="K263" s="19"/>
    </x:row>
    <x:row r="264">
      <x:c r="A264" s="19"/>
      <x:c r="B264" s="19"/>
      <x:c r="C264" s="19"/>
      <x:c r="D264" s="27"/>
      <x:c r="E264" s="58"/>
      <x:c r="F264" s="78"/>
      <x:c r="G264" s="27"/>
      <x:c r="H264" s="20"/>
      <x:c r="I264" s="19"/>
      <x:c r="J264" s="19"/>
      <x:c r="K264" s="19"/>
    </x:row>
    <x:row r="265">
      <x:c r="A265" s="19"/>
      <x:c r="B265" s="19"/>
      <x:c r="C265" s="19"/>
      <x:c r="D265" s="27"/>
      <x:c r="E265" s="58"/>
      <x:c r="F265" s="78"/>
      <x:c r="G265" s="27"/>
      <x:c r="H265" s="20"/>
      <x:c r="I265" s="19"/>
      <x:c r="J265" s="19"/>
      <x:c r="K265" s="19"/>
    </x:row>
    <x:row r="266">
      <x:c r="A266" s="19"/>
      <x:c r="B266" s="19"/>
      <x:c r="C266" s="19"/>
      <x:c r="D266" s="27"/>
      <x:c r="E266" s="58"/>
      <x:c r="F266" s="78"/>
      <x:c r="G266" s="27"/>
      <x:c r="H266" s="20"/>
      <x:c r="I266" s="19"/>
      <x:c r="J266" s="19"/>
      <x:c r="K266" s="19"/>
    </x:row>
    <x:row r="267">
      <x:c r="A267" s="19"/>
      <x:c r="B267" s="19"/>
      <x:c r="C267" s="19"/>
      <x:c r="D267" s="27"/>
      <x:c r="E267" s="58"/>
      <x:c r="F267" s="78"/>
      <x:c r="G267" s="27"/>
      <x:c r="H267" s="20"/>
      <x:c r="I267" s="19"/>
      <x:c r="J267" s="19"/>
      <x:c r="K267" s="19"/>
    </x:row>
    <x:row r="268">
      <x:c r="A268" s="19"/>
      <x:c r="B268" s="19"/>
      <x:c r="C268" s="19"/>
      <x:c r="D268" s="27"/>
      <x:c r="E268" s="58"/>
      <x:c r="F268" s="78"/>
      <x:c r="G268" s="27"/>
      <x:c r="H268" s="20"/>
      <x:c r="I268" s="19"/>
      <x:c r="J268" s="19"/>
      <x:c r="K268" s="19"/>
    </x:row>
    <x:row r="269">
      <x:c r="A269" s="19"/>
      <x:c r="B269" s="19"/>
      <x:c r="C269" s="19"/>
      <x:c r="D269" s="27"/>
      <x:c r="E269" s="58"/>
      <x:c r="F269" s="78"/>
      <x:c r="G269" s="27"/>
      <x:c r="H269" s="20"/>
      <x:c r="I269" s="19"/>
      <x:c r="J269" s="19"/>
      <x:c r="K269" s="19"/>
    </x:row>
    <x:row r="270">
      <x:c r="A270" s="19"/>
      <x:c r="B270" s="19"/>
      <x:c r="C270" s="19"/>
      <x:c r="D270" s="27"/>
      <x:c r="E270" s="58"/>
      <x:c r="F270" s="78"/>
      <x:c r="G270" s="27"/>
      <x:c r="H270" s="20"/>
      <x:c r="I270" s="19"/>
      <x:c r="J270" s="19"/>
      <x:c r="K270" s="19"/>
    </x:row>
    <x:row r="271">
      <x:c r="A271" s="19"/>
      <x:c r="B271" s="19"/>
      <x:c r="C271" s="19"/>
      <x:c r="D271" s="27"/>
      <x:c r="E271" s="58"/>
      <x:c r="F271" s="78"/>
      <x:c r="G271" s="27"/>
      <x:c r="H271" s="20"/>
      <x:c r="I271" s="19"/>
      <x:c r="J271" s="19"/>
      <x:c r="K271" s="19"/>
    </x:row>
    <x:row r="272">
      <x:c r="A272" s="19"/>
      <x:c r="B272" s="19"/>
      <x:c r="C272" s="19"/>
      <x:c r="D272" s="27"/>
      <x:c r="E272" s="58"/>
      <x:c r="F272" s="78"/>
      <x:c r="G272" s="27"/>
      <x:c r="H272" s="20"/>
      <x:c r="I272" s="19"/>
      <x:c r="J272" s="19"/>
      <x:c r="K272" s="19"/>
    </x:row>
    <x:row r="273">
      <x:c r="A273" s="19"/>
      <x:c r="B273" s="19"/>
      <x:c r="C273" s="19"/>
      <x:c r="D273" s="27"/>
      <x:c r="E273" s="58"/>
      <x:c r="F273" s="78"/>
      <x:c r="G273" s="27"/>
      <x:c r="H273" s="20"/>
      <x:c r="I273" s="19"/>
      <x:c r="J273" s="19"/>
      <x:c r="K273" s="19"/>
    </x:row>
    <x:row r="274">
      <x:c r="A274" s="19"/>
      <x:c r="B274" s="19"/>
      <x:c r="C274" s="19"/>
      <x:c r="D274" s="27"/>
      <x:c r="E274" s="58"/>
      <x:c r="F274" s="78"/>
      <x:c r="G274" s="27"/>
      <x:c r="H274" s="20"/>
      <x:c r="I274" s="19"/>
      <x:c r="J274" s="19"/>
      <x:c r="K274" s="19"/>
    </x:row>
    <x:row r="275">
      <x:c r="A275" s="19"/>
      <x:c r="B275" s="19"/>
      <x:c r="C275" s="19"/>
      <x:c r="D275" s="27"/>
      <x:c r="E275" s="58"/>
      <x:c r="F275" s="78"/>
      <x:c r="G275" s="27"/>
      <x:c r="H275" s="20"/>
      <x:c r="I275" s="19"/>
      <x:c r="J275" s="19"/>
      <x:c r="K275" s="19"/>
    </x:row>
    <x:row r="276">
      <x:c r="A276" s="19"/>
      <x:c r="B276" s="19"/>
      <x:c r="C276" s="19"/>
      <x:c r="D276" s="27"/>
      <x:c r="E276" s="58"/>
      <x:c r="F276" s="78"/>
      <x:c r="G276" s="27"/>
      <x:c r="H276" s="20"/>
      <x:c r="I276" s="19"/>
      <x:c r="J276" s="19"/>
      <x:c r="K276" s="19"/>
    </x:row>
    <x:row r="277">
      <x:c r="A277" s="19"/>
      <x:c r="B277" s="19"/>
      <x:c r="C277" s="19"/>
      <x:c r="D277" s="27"/>
      <x:c r="E277" s="58"/>
      <x:c r="F277" s="78"/>
      <x:c r="G277" s="27"/>
      <x:c r="H277" s="20"/>
      <x:c r="I277" s="19"/>
      <x:c r="J277" s="19"/>
      <x:c r="K277" s="19"/>
    </x:row>
    <x:row r="278">
      <x:c r="A278" s="19"/>
      <x:c r="B278" s="19"/>
      <x:c r="C278" s="19"/>
      <x:c r="D278" s="27"/>
      <x:c r="E278" s="58"/>
      <x:c r="F278" s="78"/>
      <x:c r="G278" s="27"/>
      <x:c r="H278" s="20"/>
      <x:c r="I278" s="19"/>
      <x:c r="J278" s="19"/>
      <x:c r="K278" s="19"/>
    </x:row>
    <x:row r="279">
      <x:c r="A279" s="19"/>
      <x:c r="B279" s="19"/>
      <x:c r="C279" s="19"/>
      <x:c r="D279" s="27"/>
      <x:c r="E279" s="58"/>
      <x:c r="F279" s="78"/>
      <x:c r="G279" s="27"/>
      <x:c r="H279" s="20"/>
      <x:c r="I279" s="19"/>
      <x:c r="J279" s="19"/>
      <x:c r="K279" s="19"/>
    </x:row>
    <x:row r="280">
      <x:c r="A280" s="19"/>
      <x:c r="B280" s="19"/>
      <x:c r="C280" s="19"/>
      <x:c r="D280" s="27"/>
      <x:c r="E280" s="58"/>
      <x:c r="F280" s="78"/>
      <x:c r="G280" s="27"/>
      <x:c r="H280" s="20"/>
      <x:c r="I280" s="19"/>
      <x:c r="J280" s="19"/>
      <x:c r="K280" s="19"/>
    </x:row>
    <x:row r="281">
      <x:c r="A281" s="19"/>
      <x:c r="B281" s="19"/>
      <x:c r="C281" s="19"/>
      <x:c r="D281" s="27"/>
      <x:c r="E281" s="58"/>
      <x:c r="F281" s="78"/>
      <x:c r="G281" s="27"/>
      <x:c r="H281" s="20"/>
      <x:c r="I281" s="19"/>
      <x:c r="J281" s="19"/>
      <x:c r="K281" s="19"/>
    </x:row>
    <x:row r="282">
      <x:c r="A282" s="19"/>
      <x:c r="B282" s="19"/>
      <x:c r="C282" s="19"/>
      <x:c r="D282" s="27"/>
      <x:c r="E282" s="58"/>
      <x:c r="F282" s="78"/>
      <x:c r="G282" s="27"/>
      <x:c r="H282" s="20"/>
      <x:c r="I282" s="19"/>
      <x:c r="J282" s="19"/>
      <x:c r="K282" s="19"/>
    </x:row>
    <x:row r="283">
      <x:c r="A283" s="19"/>
      <x:c r="B283" s="19"/>
      <x:c r="C283" s="19"/>
      <x:c r="D283" s="27"/>
      <x:c r="E283" s="58"/>
      <x:c r="F283" s="78"/>
      <x:c r="G283" s="27"/>
      <x:c r="H283" s="20"/>
      <x:c r="I283" s="19"/>
      <x:c r="J283" s="19"/>
      <x:c r="K283" s="19"/>
    </x:row>
    <x:row r="284">
      <x:c r="A284" s="19"/>
      <x:c r="B284" s="19"/>
      <x:c r="C284" s="19"/>
      <x:c r="D284" s="27"/>
      <x:c r="E284" s="58"/>
      <x:c r="F284" s="78"/>
      <x:c r="G284" s="27"/>
      <x:c r="H284" s="20"/>
      <x:c r="I284" s="19"/>
      <x:c r="J284" s="19"/>
      <x:c r="K284" s="19"/>
    </x:row>
    <x:row r="285">
      <x:c r="A285" s="19"/>
      <x:c r="B285" s="19"/>
      <x:c r="C285" s="19"/>
      <x:c r="D285" s="27"/>
      <x:c r="E285" s="58"/>
      <x:c r="F285" s="78"/>
      <x:c r="G285" s="27"/>
      <x:c r="H285" s="20"/>
      <x:c r="I285" s="19"/>
      <x:c r="J285" s="19"/>
      <x:c r="K285" s="19"/>
    </x:row>
    <x:row r="286">
      <x:c r="A286" s="19"/>
      <x:c r="B286" s="19"/>
      <x:c r="C286" s="19"/>
      <x:c r="D286" s="27"/>
      <x:c r="E286" s="58"/>
      <x:c r="F286" s="78"/>
      <x:c r="G286" s="27"/>
      <x:c r="H286" s="20"/>
      <x:c r="I286" s="19"/>
      <x:c r="J286" s="19"/>
      <x:c r="K286" s="19"/>
    </x:row>
    <x:row r="287">
      <x:c r="A287" s="19"/>
      <x:c r="B287" s="19"/>
      <x:c r="C287" s="19"/>
      <x:c r="D287" s="27"/>
      <x:c r="E287" s="58"/>
      <x:c r="F287" s="78"/>
      <x:c r="G287" s="27"/>
      <x:c r="H287" s="20"/>
      <x:c r="I287" s="19"/>
      <x:c r="J287" s="19"/>
      <x:c r="K287" s="19"/>
    </x:row>
    <x:row r="288">
      <x:c r="A288" s="19"/>
      <x:c r="B288" s="19"/>
      <x:c r="C288" s="19"/>
      <x:c r="D288" s="27"/>
      <x:c r="E288" s="58"/>
      <x:c r="F288" s="78"/>
      <x:c r="G288" s="27"/>
      <x:c r="H288" s="20"/>
      <x:c r="I288" s="19"/>
      <x:c r="J288" s="19"/>
      <x:c r="K288" s="19"/>
    </x:row>
    <x:row r="289">
      <x:c r="A289" s="19"/>
      <x:c r="B289" s="19"/>
      <x:c r="C289" s="19"/>
      <x:c r="D289" s="27"/>
      <x:c r="E289" s="58"/>
      <x:c r="F289" s="78"/>
      <x:c r="G289" s="27"/>
      <x:c r="H289" s="20"/>
      <x:c r="I289" s="19"/>
      <x:c r="J289" s="19"/>
      <x:c r="K289" s="19"/>
    </x:row>
    <x:row r="290">
      <x:c r="A290" s="19"/>
      <x:c r="B290" s="19"/>
      <x:c r="C290" s="19"/>
      <x:c r="D290" s="27"/>
      <x:c r="E290" s="58"/>
      <x:c r="F290" s="78"/>
      <x:c r="G290" s="27"/>
      <x:c r="H290" s="20"/>
      <x:c r="I290" s="19"/>
      <x:c r="J290" s="19"/>
      <x:c r="K290" s="19"/>
    </x:row>
    <x:row r="291">
      <x:c r="A291" s="19"/>
      <x:c r="B291" s="19"/>
      <x:c r="C291" s="19"/>
      <x:c r="D291" s="27"/>
      <x:c r="E291" s="58"/>
      <x:c r="F291" s="78"/>
      <x:c r="G291" s="27"/>
      <x:c r="H291" s="20"/>
      <x:c r="I291" s="19"/>
      <x:c r="J291" s="19"/>
      <x:c r="K291" s="19"/>
    </x:row>
    <x:row r="292">
      <x:c r="A292" s="19"/>
      <x:c r="B292" s="19"/>
      <x:c r="C292" s="19"/>
      <x:c r="D292" s="27"/>
      <x:c r="E292" s="58"/>
      <x:c r="F292" s="78"/>
      <x:c r="G292" s="27"/>
      <x:c r="H292" s="20"/>
      <x:c r="I292" s="19"/>
      <x:c r="J292" s="19"/>
      <x:c r="K292" s="19"/>
    </x:row>
    <x:row r="293">
      <x:c r="A293" s="19"/>
      <x:c r="B293" s="19"/>
      <x:c r="C293" s="19"/>
      <x:c r="D293" s="27"/>
      <x:c r="E293" s="58"/>
      <x:c r="F293" s="78"/>
      <x:c r="G293" s="27"/>
      <x:c r="H293" s="20"/>
      <x:c r="I293" s="19"/>
      <x:c r="J293" s="19"/>
      <x:c r="K293" s="19"/>
    </x:row>
    <x:row r="294">
      <x:c r="A294" s="19"/>
      <x:c r="B294" s="19"/>
      <x:c r="C294" s="19"/>
      <x:c r="D294" s="27"/>
      <x:c r="E294" s="58"/>
      <x:c r="F294" s="78"/>
      <x:c r="G294" s="27"/>
      <x:c r="H294" s="20"/>
      <x:c r="I294" s="19"/>
      <x:c r="J294" s="19"/>
      <x:c r="K294" s="19"/>
    </x:row>
    <x:row r="295">
      <x:c r="A295" s="19"/>
      <x:c r="B295" s="19"/>
      <x:c r="C295" s="19"/>
      <x:c r="D295" s="27"/>
      <x:c r="E295" s="58"/>
      <x:c r="F295" s="78"/>
      <x:c r="G295" s="27"/>
      <x:c r="H295" s="20"/>
      <x:c r="I295" s="19"/>
      <x:c r="J295" s="19"/>
      <x:c r="K295" s="19"/>
    </x:row>
    <x:row r="296">
      <x:c r="A296" s="19"/>
      <x:c r="B296" s="19"/>
      <x:c r="C296" s="19"/>
      <x:c r="D296" s="27"/>
      <x:c r="E296" s="58"/>
      <x:c r="F296" s="78"/>
      <x:c r="G296" s="27"/>
      <x:c r="H296" s="20"/>
      <x:c r="I296" s="19"/>
      <x:c r="J296" s="19"/>
      <x:c r="K296" s="19"/>
    </x:row>
    <x:row r="297">
      <x:c r="A297" s="19"/>
      <x:c r="B297" s="19"/>
      <x:c r="C297" s="19"/>
      <x:c r="D297" s="27"/>
      <x:c r="E297" s="58"/>
      <x:c r="F297" s="78"/>
      <x:c r="G297" s="27"/>
      <x:c r="H297" s="20"/>
      <x:c r="I297" s="19"/>
      <x:c r="J297" s="19"/>
      <x:c r="K297" s="19"/>
    </x:row>
    <x:row r="298">
      <x:c r="A298" s="19"/>
      <x:c r="B298" s="19"/>
      <x:c r="C298" s="19"/>
      <x:c r="D298" s="27"/>
      <x:c r="E298" s="58"/>
      <x:c r="F298" s="78"/>
      <x:c r="G298" s="27"/>
      <x:c r="H298" s="20"/>
      <x:c r="I298" s="19"/>
      <x:c r="J298" s="19"/>
      <x:c r="K298" s="19"/>
    </x:row>
    <x:row r="299">
      <x:c r="A299" s="19"/>
      <x:c r="B299" s="19"/>
      <x:c r="C299" s="19"/>
      <x:c r="D299" s="27"/>
      <x:c r="E299" s="58"/>
      <x:c r="F299" s="78"/>
      <x:c r="G299" s="27"/>
      <x:c r="H299" s="20"/>
      <x:c r="I299" s="19"/>
      <x:c r="J299" s="19"/>
      <x:c r="K299" s="19"/>
    </x:row>
    <x:row r="300">
      <x:c r="A300" s="19"/>
      <x:c r="B300" s="19"/>
      <x:c r="C300" s="19"/>
      <x:c r="D300" s="27"/>
      <x:c r="E300" s="58"/>
      <x:c r="F300" s="78"/>
      <x:c r="G300" s="27"/>
      <x:c r="H300" s="20"/>
      <x:c r="I300" s="19"/>
      <x:c r="J300" s="19"/>
      <x:c r="K300" s="19"/>
    </x:row>
    <x:row r="301">
      <x:c r="A301" s="19"/>
      <x:c r="B301" s="19"/>
      <x:c r="C301" s="19"/>
      <x:c r="D301" s="27"/>
      <x:c r="E301" s="58"/>
      <x:c r="F301" s="78"/>
      <x:c r="G301" s="27"/>
      <x:c r="H301" s="20"/>
      <x:c r="I301" s="19"/>
      <x:c r="J301" s="19"/>
      <x:c r="K301" s="19"/>
    </x:row>
    <x:row r="302">
      <x:c r="A302" s="19"/>
      <x:c r="B302" s="19"/>
      <x:c r="C302" s="19"/>
      <x:c r="D302" s="27"/>
      <x:c r="E302" s="58"/>
      <x:c r="F302" s="78"/>
      <x:c r="G302" s="27"/>
      <x:c r="H302" s="20"/>
      <x:c r="I302" s="19"/>
      <x:c r="J302" s="19"/>
      <x:c r="K302" s="19"/>
    </x:row>
    <x:row r="303">
      <x:c r="A303" s="19"/>
      <x:c r="B303" s="19"/>
      <x:c r="C303" s="19"/>
      <x:c r="D303" s="27"/>
      <x:c r="E303" s="58"/>
      <x:c r="F303" s="78"/>
      <x:c r="G303" s="27"/>
      <x:c r="H303" s="20"/>
      <x:c r="I303" s="19"/>
      <x:c r="J303" s="19"/>
      <x:c r="K303" s="19"/>
    </x:row>
    <x:row r="304">
      <x:c r="A304" s="19"/>
      <x:c r="B304" s="19"/>
      <x:c r="C304" s="19"/>
      <x:c r="D304" s="27"/>
      <x:c r="E304" s="58"/>
      <x:c r="F304" s="78"/>
      <x:c r="G304" s="27"/>
      <x:c r="H304" s="20"/>
      <x:c r="I304" s="19"/>
      <x:c r="J304" s="19"/>
      <x:c r="K304" s="19"/>
    </x:row>
    <x:row r="305">
      <x:c r="A305" s="19"/>
      <x:c r="B305" s="19"/>
      <x:c r="C305" s="19"/>
      <x:c r="D305" s="27"/>
      <x:c r="E305" s="58"/>
      <x:c r="F305" s="78"/>
      <x:c r="G305" s="27"/>
      <x:c r="H305" s="20"/>
      <x:c r="I305" s="19"/>
      <x:c r="J305" s="19"/>
      <x:c r="K305" s="19"/>
    </x:row>
    <x:row r="306">
      <x:c r="A306" s="19"/>
      <x:c r="B306" s="19"/>
      <x:c r="C306" s="19"/>
      <x:c r="D306" s="27"/>
      <x:c r="E306" s="58"/>
      <x:c r="F306" s="78"/>
      <x:c r="G306" s="27"/>
      <x:c r="H306" s="20"/>
      <x:c r="I306" s="19"/>
      <x:c r="J306" s="19"/>
      <x:c r="K306" s="19"/>
    </x:row>
    <x:row r="307">
      <x:c r="A307" s="19"/>
      <x:c r="B307" s="19"/>
      <x:c r="C307" s="19"/>
      <x:c r="D307" s="27"/>
      <x:c r="E307" s="58"/>
      <x:c r="F307" s="78"/>
      <x:c r="G307" s="27"/>
      <x:c r="H307" s="20"/>
      <x:c r="I307" s="19"/>
      <x:c r="J307" s="19"/>
      <x:c r="K307" s="19"/>
    </x:row>
    <x:row r="308">
      <x:c r="A308" s="19"/>
      <x:c r="B308" s="19"/>
      <x:c r="C308" s="19"/>
      <x:c r="D308" s="27"/>
      <x:c r="E308" s="58"/>
      <x:c r="F308" s="78"/>
      <x:c r="G308" s="27"/>
      <x:c r="H308" s="20"/>
      <x:c r="I308" s="19"/>
      <x:c r="J308" s="19"/>
      <x:c r="K308" s="19"/>
    </x:row>
    <x:row r="309">
      <x:c r="A309" s="19"/>
      <x:c r="B309" s="19"/>
      <x:c r="C309" s="19"/>
      <x:c r="D309" s="27"/>
      <x:c r="E309" s="58"/>
      <x:c r="F309" s="78"/>
      <x:c r="G309" s="27"/>
      <x:c r="H309" s="20"/>
      <x:c r="I309" s="19"/>
      <x:c r="J309" s="19"/>
      <x:c r="K309" s="19"/>
    </x:row>
    <x:row r="310">
      <x:c r="A310" s="19"/>
      <x:c r="B310" s="19"/>
      <x:c r="C310" s="19"/>
      <x:c r="D310" s="27"/>
      <x:c r="E310" s="58"/>
      <x:c r="F310" s="78"/>
      <x:c r="G310" s="27"/>
      <x:c r="H310" s="20"/>
      <x:c r="I310" s="19"/>
      <x:c r="J310" s="19"/>
      <x:c r="K310" s="19"/>
    </x:row>
    <x:row r="311">
      <x:c r="A311" s="19"/>
      <x:c r="B311" s="19"/>
      <x:c r="C311" s="19"/>
      <x:c r="D311" s="27"/>
      <x:c r="E311" s="58"/>
      <x:c r="F311" s="78"/>
      <x:c r="G311" s="27"/>
      <x:c r="H311" s="20"/>
      <x:c r="I311" s="19"/>
      <x:c r="J311" s="19"/>
      <x:c r="K311" s="19"/>
    </x:row>
    <x:row r="312">
      <x:c r="A312" s="19"/>
      <x:c r="B312" s="19"/>
      <x:c r="C312" s="19"/>
      <x:c r="D312" s="27"/>
      <x:c r="E312" s="58"/>
      <x:c r="F312" s="78"/>
      <x:c r="G312" s="27"/>
      <x:c r="H312" s="20"/>
      <x:c r="I312" s="19"/>
      <x:c r="J312" s="19"/>
      <x:c r="K312" s="19"/>
    </x:row>
    <x:row r="313">
      <x:c r="A313" s="19"/>
      <x:c r="B313" s="19"/>
      <x:c r="C313" s="19"/>
      <x:c r="D313" s="27"/>
      <x:c r="E313" s="58"/>
      <x:c r="F313" s="78"/>
      <x:c r="G313" s="27"/>
      <x:c r="H313" s="20"/>
      <x:c r="I313" s="19"/>
      <x:c r="J313" s="19"/>
      <x:c r="K313" s="19"/>
    </x:row>
    <x:row r="314">
      <x:c r="A314" s="19"/>
      <x:c r="B314" s="19"/>
      <x:c r="C314" s="19"/>
      <x:c r="D314" s="27"/>
      <x:c r="E314" s="58"/>
      <x:c r="F314" s="78"/>
      <x:c r="G314" s="27"/>
      <x:c r="H314" s="20"/>
      <x:c r="I314" s="19"/>
      <x:c r="J314" s="19"/>
      <x:c r="K314" s="19"/>
    </x:row>
    <x:row r="315">
      <x:c r="A315" s="19"/>
      <x:c r="B315" s="19"/>
      <x:c r="C315" s="19"/>
      <x:c r="D315" s="27"/>
      <x:c r="E315" s="58"/>
      <x:c r="F315" s="78"/>
      <x:c r="G315" s="27"/>
      <x:c r="H315" s="20"/>
      <x:c r="I315" s="19"/>
      <x:c r="J315" s="19"/>
      <x:c r="K315" s="19"/>
    </x:row>
    <x:row r="316">
      <x:c r="A316" s="19"/>
      <x:c r="B316" s="19"/>
      <x:c r="C316" s="19"/>
      <x:c r="D316" s="27"/>
      <x:c r="E316" s="58"/>
      <x:c r="F316" s="78"/>
      <x:c r="G316" s="27"/>
      <x:c r="H316" s="20"/>
      <x:c r="I316" s="19"/>
      <x:c r="J316" s="19"/>
      <x:c r="K316" s="19"/>
    </x:row>
    <x:row r="317">
      <x:c r="A317" s="19"/>
      <x:c r="B317" s="19"/>
      <x:c r="C317" s="19"/>
      <x:c r="D317" s="27"/>
      <x:c r="E317" s="58"/>
      <x:c r="F317" s="78"/>
      <x:c r="G317" s="27"/>
      <x:c r="H317" s="20"/>
      <x:c r="I317" s="19"/>
      <x:c r="J317" s="19"/>
      <x:c r="K317" s="19"/>
    </x:row>
    <x:row r="318">
      <x:c r="A318" s="19"/>
      <x:c r="B318" s="19"/>
      <x:c r="C318" s="19"/>
      <x:c r="D318" s="27"/>
      <x:c r="E318" s="58"/>
      <x:c r="F318" s="78"/>
      <x:c r="G318" s="27"/>
      <x:c r="H318" s="20"/>
      <x:c r="I318" s="19"/>
      <x:c r="J318" s="19"/>
      <x:c r="K318" s="19"/>
    </x:row>
    <x:row r="319">
      <x:c r="A319" s="19"/>
      <x:c r="B319" s="19"/>
      <x:c r="C319" s="19"/>
      <x:c r="D319" s="27"/>
      <x:c r="E319" s="58"/>
      <x:c r="F319" s="78"/>
      <x:c r="G319" s="27"/>
      <x:c r="H319" s="20"/>
      <x:c r="I319" s="19"/>
      <x:c r="J319" s="19"/>
      <x:c r="K319" s="19"/>
    </x:row>
    <x:row r="320">
      <x:c r="A320" s="19"/>
      <x:c r="B320" s="19"/>
      <x:c r="C320" s="19"/>
      <x:c r="D320" s="27"/>
      <x:c r="E320" s="58"/>
      <x:c r="F320" s="78"/>
      <x:c r="G320" s="27"/>
      <x:c r="H320" s="20"/>
      <x:c r="I320" s="19"/>
      <x:c r="J320" s="19"/>
      <x:c r="K320" s="19"/>
    </x:row>
    <x:row r="321">
      <x:c r="A321" s="19"/>
      <x:c r="B321" s="19"/>
      <x:c r="C321" s="19"/>
      <x:c r="D321" s="27"/>
      <x:c r="E321" s="58"/>
      <x:c r="F321" s="78"/>
      <x:c r="G321" s="27"/>
      <x:c r="H321" s="20"/>
      <x:c r="I321" s="19"/>
      <x:c r="J321" s="19"/>
      <x:c r="K321" s="19"/>
    </x:row>
    <x:row r="322">
      <x:c r="A322" s="19"/>
      <x:c r="B322" s="19"/>
      <x:c r="C322" s="19"/>
      <x:c r="D322" s="27"/>
      <x:c r="E322" s="58"/>
      <x:c r="F322" s="78"/>
      <x:c r="G322" s="27"/>
      <x:c r="H322" s="20"/>
      <x:c r="I322" s="19"/>
      <x:c r="J322" s="19"/>
      <x:c r="K322" s="19"/>
    </x:row>
    <x:row r="323">
      <x:c r="A323" s="19"/>
      <x:c r="B323" s="19"/>
      <x:c r="C323" s="19"/>
      <x:c r="D323" s="27"/>
      <x:c r="E323" s="58"/>
      <x:c r="F323" s="78"/>
      <x:c r="G323" s="27"/>
      <x:c r="H323" s="20"/>
      <x:c r="I323" s="19"/>
      <x:c r="J323" s="19"/>
      <x:c r="K323" s="19"/>
    </x:row>
    <x:row r="324">
      <x:c r="A324" s="19"/>
      <x:c r="B324" s="19"/>
      <x:c r="C324" s="19"/>
      <x:c r="D324" s="27"/>
      <x:c r="E324" s="58"/>
      <x:c r="F324" s="78"/>
      <x:c r="G324" s="27"/>
      <x:c r="H324" s="20"/>
      <x:c r="I324" s="19"/>
      <x:c r="J324" s="19"/>
      <x:c r="K324" s="19"/>
    </x:row>
    <x:row r="325">
      <x:c r="A325" s="19"/>
      <x:c r="B325" s="19"/>
      <x:c r="C325" s="19"/>
      <x:c r="D325" s="27"/>
      <x:c r="E325" s="58"/>
      <x:c r="F325" s="78"/>
      <x:c r="G325" s="27"/>
      <x:c r="H325" s="20"/>
      <x:c r="I325" s="19"/>
      <x:c r="J325" s="19"/>
      <x:c r="K325" s="19"/>
    </x:row>
    <x:row r="326">
      <x:c r="A326" s="19"/>
      <x:c r="B326" s="19"/>
      <x:c r="C326" s="19"/>
      <x:c r="D326" s="27"/>
      <x:c r="E326" s="58"/>
      <x:c r="F326" s="78"/>
      <x:c r="G326" s="27"/>
      <x:c r="H326" s="20"/>
      <x:c r="I326" s="19"/>
      <x:c r="J326" s="19"/>
      <x:c r="K326" s="19"/>
    </x:row>
    <x:row r="327">
      <x:c r="A327" s="19"/>
      <x:c r="B327" s="19"/>
      <x:c r="C327" s="19"/>
      <x:c r="D327" s="27"/>
      <x:c r="E327" s="58"/>
      <x:c r="F327" s="78"/>
      <x:c r="G327" s="27"/>
      <x:c r="H327" s="20"/>
      <x:c r="I327" s="19"/>
      <x:c r="J327" s="19"/>
      <x:c r="K327" s="19"/>
    </x:row>
    <x:row r="328">
      <x:c r="A328" s="19"/>
      <x:c r="B328" s="19"/>
      <x:c r="C328" s="19"/>
      <x:c r="D328" s="27"/>
      <x:c r="E328" s="58"/>
      <x:c r="F328" s="78"/>
      <x:c r="G328" s="27"/>
      <x:c r="H328" s="20"/>
      <x:c r="I328" s="19"/>
      <x:c r="J328" s="19"/>
      <x:c r="K328" s="19"/>
    </x:row>
    <x:row r="329">
      <x:c r="A329" s="19"/>
      <x:c r="B329" s="19"/>
      <x:c r="C329" s="19"/>
      <x:c r="D329" s="27"/>
      <x:c r="E329" s="58"/>
      <x:c r="F329" s="78"/>
      <x:c r="G329" s="27"/>
      <x:c r="H329" s="20"/>
      <x:c r="I329" s="19"/>
      <x:c r="J329" s="19"/>
      <x:c r="K329" s="19"/>
    </x:row>
    <x:row r="330">
      <x:c r="A330" s="19"/>
      <x:c r="B330" s="19"/>
      <x:c r="C330" s="19"/>
      <x:c r="D330" s="27"/>
      <x:c r="E330" s="58"/>
      <x:c r="F330" s="78"/>
      <x:c r="G330" s="27"/>
      <x:c r="H330" s="20"/>
      <x:c r="I330" s="19"/>
      <x:c r="J330" s="19"/>
      <x:c r="K330" s="19"/>
    </x:row>
    <x:row r="331">
      <x:c r="A331" s="19"/>
      <x:c r="B331" s="19"/>
      <x:c r="C331" s="19"/>
      <x:c r="D331" s="27"/>
      <x:c r="E331" s="58"/>
      <x:c r="F331" s="78"/>
      <x:c r="G331" s="27"/>
      <x:c r="H331" s="20"/>
      <x:c r="I331" s="19"/>
      <x:c r="J331" s="19"/>
      <x:c r="K331" s="19"/>
    </x:row>
    <x:row r="332">
      <x:c r="A332" s="19"/>
      <x:c r="B332" s="19"/>
      <x:c r="C332" s="19"/>
      <x:c r="D332" s="27"/>
      <x:c r="E332" s="58"/>
      <x:c r="F332" s="78"/>
      <x:c r="G332" s="27"/>
      <x:c r="H332" s="20"/>
      <x:c r="I332" s="19"/>
      <x:c r="J332" s="19"/>
      <x:c r="K332" s="19"/>
    </x:row>
    <x:row r="333">
      <x:c r="A333" s="19"/>
      <x:c r="B333" s="19"/>
      <x:c r="C333" s="19"/>
      <x:c r="D333" s="27"/>
      <x:c r="E333" s="58"/>
      <x:c r="F333" s="78"/>
      <x:c r="G333" s="27"/>
      <x:c r="H333" s="20"/>
      <x:c r="I333" s="19"/>
      <x:c r="J333" s="19"/>
      <x:c r="K333" s="19"/>
    </x:row>
    <x:row r="334">
      <x:c r="A334" s="19"/>
      <x:c r="B334" s="19"/>
      <x:c r="C334" s="19"/>
      <x:c r="D334" s="27"/>
      <x:c r="E334" s="58"/>
      <x:c r="F334" s="78"/>
      <x:c r="G334" s="27"/>
      <x:c r="H334" s="20"/>
      <x:c r="I334" s="19"/>
      <x:c r="J334" s="19"/>
      <x:c r="K334" s="19"/>
    </x:row>
    <x:row r="335">
      <x:c r="A335" s="19"/>
      <x:c r="B335" s="19"/>
      <x:c r="C335" s="19"/>
      <x:c r="D335" s="27"/>
      <x:c r="E335" s="58"/>
      <x:c r="F335" s="78"/>
      <x:c r="G335" s="27"/>
      <x:c r="H335" s="20"/>
      <x:c r="I335" s="19"/>
      <x:c r="J335" s="19"/>
      <x:c r="K335" s="19"/>
    </x:row>
    <x:row r="336">
      <x:c r="A336" s="19"/>
      <x:c r="B336" s="19"/>
      <x:c r="C336" s="19"/>
      <x:c r="D336" s="27"/>
      <x:c r="E336" s="58"/>
      <x:c r="F336" s="78"/>
      <x:c r="G336" s="27"/>
      <x:c r="H336" s="20"/>
      <x:c r="I336" s="19"/>
      <x:c r="J336" s="19"/>
      <x:c r="K336" s="19"/>
    </x:row>
    <x:row r="337">
      <x:c r="A337" s="19"/>
      <x:c r="B337" s="19"/>
      <x:c r="C337" s="19"/>
      <x:c r="D337" s="27"/>
      <x:c r="E337" s="58"/>
      <x:c r="F337" s="78"/>
      <x:c r="G337" s="27"/>
      <x:c r="H337" s="20"/>
      <x:c r="I337" s="19"/>
      <x:c r="J337" s="19"/>
      <x:c r="K337" s="19"/>
    </x:row>
    <x:row r="338">
      <x:c r="A338" s="19"/>
      <x:c r="B338" s="19"/>
      <x:c r="C338" s="19"/>
      <x:c r="D338" s="27"/>
      <x:c r="E338" s="58"/>
      <x:c r="F338" s="78"/>
      <x:c r="G338" s="27"/>
      <x:c r="H338" s="20"/>
      <x:c r="I338" s="19"/>
      <x:c r="J338" s="19"/>
      <x:c r="K338" s="19"/>
    </x:row>
    <x:row r="339">
      <x:c r="A339" s="19"/>
      <x:c r="B339" s="19"/>
      <x:c r="C339" s="19"/>
      <x:c r="D339" s="27"/>
      <x:c r="E339" s="58"/>
      <x:c r="F339" s="78"/>
      <x:c r="G339" s="27"/>
      <x:c r="H339" s="20"/>
      <x:c r="I339" s="19"/>
      <x:c r="J339" s="19"/>
      <x:c r="K339" s="19"/>
    </x:row>
    <x:row r="340">
      <x:c r="A340" s="19"/>
      <x:c r="B340" s="19"/>
      <x:c r="C340" s="19"/>
      <x:c r="D340" s="27"/>
      <x:c r="E340" s="58"/>
      <x:c r="F340" s="78"/>
      <x:c r="G340" s="27"/>
      <x:c r="H340" s="20"/>
      <x:c r="I340" s="19"/>
      <x:c r="J340" s="19"/>
      <x:c r="K340" s="19"/>
    </x:row>
    <x:row r="341">
      <x:c r="A341" s="19"/>
      <x:c r="B341" s="19"/>
      <x:c r="C341" s="19"/>
      <x:c r="D341" s="27"/>
      <x:c r="E341" s="58"/>
      <x:c r="F341" s="78"/>
      <x:c r="G341" s="27"/>
      <x:c r="H341" s="20"/>
      <x:c r="I341" s="19"/>
      <x:c r="J341" s="19"/>
      <x:c r="K341" s="19"/>
    </x:row>
    <x:row r="342">
      <x:c r="A342" s="19"/>
      <x:c r="B342" s="19"/>
      <x:c r="C342" s="19"/>
      <x:c r="D342" s="27"/>
      <x:c r="E342" s="58"/>
      <x:c r="F342" s="78"/>
      <x:c r="G342" s="27"/>
      <x:c r="H342" s="20"/>
      <x:c r="I342" s="19"/>
      <x:c r="J342" s="19"/>
      <x:c r="K342" s="19"/>
    </x:row>
    <x:row r="343">
      <x:c r="A343" s="19"/>
      <x:c r="B343" s="19"/>
      <x:c r="C343" s="19"/>
      <x:c r="D343" s="27"/>
      <x:c r="E343" s="58"/>
      <x:c r="F343" s="78"/>
      <x:c r="G343" s="27"/>
      <x:c r="H343" s="20"/>
      <x:c r="I343" s="19"/>
      <x:c r="J343" s="19"/>
      <x:c r="K343" s="19"/>
    </x:row>
    <x:row r="344">
      <x:c r="A344" s="19"/>
      <x:c r="B344" s="19"/>
      <x:c r="C344" s="19"/>
      <x:c r="D344" s="27"/>
      <x:c r="E344" s="58"/>
      <x:c r="F344" s="78"/>
      <x:c r="G344" s="27"/>
      <x:c r="H344" s="20"/>
      <x:c r="I344" s="19"/>
      <x:c r="J344" s="19"/>
      <x:c r="K344" s="19"/>
    </x:row>
    <x:row r="345">
      <x:c r="A345" s="19"/>
      <x:c r="B345" s="19"/>
      <x:c r="C345" s="19"/>
      <x:c r="D345" s="27"/>
      <x:c r="E345" s="58"/>
      <x:c r="F345" s="78"/>
      <x:c r="G345" s="27"/>
      <x:c r="H345" s="20"/>
      <x:c r="I345" s="19"/>
      <x:c r="J345" s="19"/>
      <x:c r="K345" s="19"/>
    </x:row>
    <x:row r="346">
      <x:c r="A346" s="19"/>
      <x:c r="B346" s="19"/>
      <x:c r="C346" s="19"/>
      <x:c r="D346" s="27"/>
      <x:c r="E346" s="58"/>
      <x:c r="F346" s="78"/>
      <x:c r="G346" s="27"/>
      <x:c r="H346" s="20"/>
      <x:c r="I346" s="19"/>
      <x:c r="J346" s="19"/>
      <x:c r="K346" s="19"/>
    </x:row>
    <x:row r="347">
      <x:c r="A347" s="19"/>
      <x:c r="B347" s="19"/>
      <x:c r="C347" s="19"/>
      <x:c r="D347" s="27"/>
      <x:c r="E347" s="58"/>
      <x:c r="F347" s="78"/>
      <x:c r="G347" s="27"/>
      <x:c r="H347" s="20"/>
      <x:c r="I347" s="19"/>
      <x:c r="J347" s="19"/>
      <x:c r="K347" s="19"/>
    </x:row>
    <x:row r="348">
      <x:c r="A348" s="19"/>
      <x:c r="B348" s="19"/>
      <x:c r="C348" s="19"/>
      <x:c r="D348" s="27"/>
      <x:c r="E348" s="58"/>
      <x:c r="F348" s="78"/>
      <x:c r="G348" s="27"/>
      <x:c r="H348" s="20"/>
      <x:c r="I348" s="19"/>
      <x:c r="J348" s="19"/>
      <x:c r="K348" s="19"/>
    </x:row>
    <x:row r="349">
      <x:c r="A349" s="19"/>
      <x:c r="B349" s="19"/>
      <x:c r="C349" s="19"/>
      <x:c r="D349" s="27"/>
      <x:c r="E349" s="58"/>
      <x:c r="F349" s="78"/>
      <x:c r="G349" s="27"/>
      <x:c r="H349" s="20"/>
      <x:c r="I349" s="19"/>
      <x:c r="J349" s="19"/>
      <x:c r="K349" s="19"/>
    </x:row>
    <x:row r="350">
      <x:c r="A350" s="19"/>
      <x:c r="B350" s="19"/>
      <x:c r="C350" s="19"/>
      <x:c r="D350" s="27"/>
      <x:c r="E350" s="58"/>
      <x:c r="F350" s="78"/>
      <x:c r="G350" s="27"/>
      <x:c r="H350" s="20"/>
      <x:c r="I350" s="19"/>
      <x:c r="J350" s="19"/>
      <x:c r="K350" s="19"/>
    </x:row>
    <x:row r="351">
      <x:c r="A351" s="19"/>
      <x:c r="B351" s="19"/>
      <x:c r="C351" s="19"/>
      <x:c r="D351" s="27"/>
      <x:c r="E351" s="58"/>
      <x:c r="F351" s="78"/>
      <x:c r="G351" s="27"/>
      <x:c r="H351" s="20"/>
      <x:c r="I351" s="19"/>
      <x:c r="J351" s="19"/>
      <x:c r="K351" s="19"/>
    </x:row>
    <x:row r="352">
      <x:c r="A352" s="19"/>
      <x:c r="B352" s="19"/>
      <x:c r="C352" s="19"/>
      <x:c r="D352" s="27"/>
      <x:c r="E352" s="58"/>
      <x:c r="F352" s="78"/>
      <x:c r="G352" s="27"/>
      <x:c r="H352" s="20"/>
      <x:c r="I352" s="19"/>
      <x:c r="J352" s="19"/>
      <x:c r="K352" s="19"/>
    </x:row>
    <x:row r="353">
      <x:c r="A353" s="19"/>
      <x:c r="B353" s="19"/>
      <x:c r="C353" s="19"/>
      <x:c r="D353" s="27"/>
      <x:c r="E353" s="58"/>
      <x:c r="F353" s="78"/>
      <x:c r="G353" s="27"/>
      <x:c r="H353" s="20"/>
      <x:c r="I353" s="19"/>
      <x:c r="J353" s="19"/>
      <x:c r="K353" s="19"/>
    </x:row>
    <x:row r="354">
      <x:c r="A354" s="19"/>
      <x:c r="B354" s="19"/>
      <x:c r="C354" s="19"/>
      <x:c r="D354" s="27"/>
      <x:c r="E354" s="58"/>
      <x:c r="F354" s="78"/>
      <x:c r="G354" s="27"/>
      <x:c r="H354" s="20"/>
      <x:c r="I354" s="19"/>
      <x:c r="J354" s="19"/>
      <x:c r="K354" s="19"/>
    </x:row>
    <x:row r="355">
      <x:c r="A355" s="19"/>
      <x:c r="B355" s="19"/>
      <x:c r="C355" s="19"/>
      <x:c r="D355" s="27"/>
      <x:c r="E355" s="58"/>
      <x:c r="F355" s="78"/>
      <x:c r="G355" s="27"/>
      <x:c r="H355" s="20"/>
      <x:c r="I355" s="19"/>
      <x:c r="J355" s="19"/>
      <x:c r="K355" s="19"/>
    </x:row>
    <x:row r="356">
      <x:c r="A356" s="19"/>
      <x:c r="B356" s="19"/>
      <x:c r="C356" s="19"/>
      <x:c r="D356" s="27"/>
      <x:c r="E356" s="58"/>
      <x:c r="F356" s="78"/>
      <x:c r="G356" s="27"/>
      <x:c r="H356" s="20"/>
      <x:c r="I356" s="19"/>
      <x:c r="J356" s="19"/>
      <x:c r="K356" s="19"/>
    </x:row>
    <x:row r="357">
      <x:c r="A357" s="19"/>
      <x:c r="B357" s="19"/>
      <x:c r="C357" s="19"/>
      <x:c r="D357" s="27"/>
      <x:c r="E357" s="58"/>
      <x:c r="F357" s="78"/>
      <x:c r="G357" s="27"/>
      <x:c r="H357" s="20"/>
      <x:c r="I357" s="19"/>
      <x:c r="J357" s="19"/>
      <x:c r="K357" s="19"/>
    </x:row>
    <x:row r="358">
      <x:c r="A358" s="19"/>
      <x:c r="B358" s="19"/>
      <x:c r="C358" s="19"/>
      <x:c r="D358" s="27"/>
      <x:c r="E358" s="58"/>
      <x:c r="F358" s="78"/>
      <x:c r="G358" s="27"/>
      <x:c r="H358" s="20"/>
      <x:c r="I358" s="19"/>
      <x:c r="J358" s="19"/>
      <x:c r="K358" s="19"/>
    </x:row>
    <x:row r="359">
      <x:c r="A359" s="19"/>
      <x:c r="B359" s="19"/>
      <x:c r="C359" s="19"/>
      <x:c r="D359" s="27"/>
      <x:c r="E359" s="58"/>
      <x:c r="F359" s="78"/>
      <x:c r="G359" s="27"/>
      <x:c r="H359" s="20"/>
      <x:c r="I359" s="19"/>
      <x:c r="J359" s="19"/>
      <x:c r="K359" s="19"/>
    </x:row>
    <x:row r="360">
      <x:c r="A360" s="19"/>
      <x:c r="B360" s="19"/>
      <x:c r="C360" s="19"/>
      <x:c r="D360" s="27"/>
      <x:c r="E360" s="58"/>
      <x:c r="F360" s="78"/>
      <x:c r="G360" s="27"/>
      <x:c r="H360" s="20"/>
      <x:c r="I360" s="19"/>
      <x:c r="J360" s="19"/>
      <x:c r="K360" s="19"/>
    </x:row>
    <x:row r="361">
      <x:c r="A361" s="19"/>
      <x:c r="B361" s="19"/>
      <x:c r="C361" s="19"/>
      <x:c r="D361" s="27"/>
      <x:c r="E361" s="58"/>
      <x:c r="F361" s="78"/>
      <x:c r="G361" s="27"/>
      <x:c r="H361" s="20"/>
      <x:c r="I361" s="19"/>
      <x:c r="J361" s="19"/>
      <x:c r="K361" s="19"/>
    </x:row>
    <x:row r="362">
      <x:c r="A362" s="19"/>
      <x:c r="B362" s="19"/>
      <x:c r="C362" s="19"/>
      <x:c r="D362" s="27"/>
      <x:c r="E362" s="58"/>
      <x:c r="F362" s="78"/>
      <x:c r="G362" s="27"/>
      <x:c r="H362" s="20"/>
      <x:c r="I362" s="19"/>
      <x:c r="J362" s="19"/>
      <x:c r="K362" s="19"/>
    </x:row>
    <x:row r="363">
      <x:c r="A363" s="19"/>
      <x:c r="B363" s="19"/>
      <x:c r="C363" s="19"/>
      <x:c r="D363" s="27"/>
      <x:c r="E363" s="58"/>
      <x:c r="F363" s="78"/>
      <x:c r="G363" s="27"/>
      <x:c r="H363" s="20"/>
      <x:c r="I363" s="19"/>
      <x:c r="J363" s="19"/>
      <x:c r="K363" s="19"/>
    </x:row>
    <x:row r="364">
      <x:c r="A364" s="19"/>
      <x:c r="B364" s="19"/>
      <x:c r="C364" s="19"/>
      <x:c r="D364" s="27"/>
      <x:c r="E364" s="58"/>
      <x:c r="F364" s="78"/>
      <x:c r="G364" s="27"/>
      <x:c r="H364" s="20"/>
      <x:c r="I364" s="19"/>
      <x:c r="J364" s="19"/>
      <x:c r="K364" s="19"/>
    </x:row>
    <x:row r="365">
      <x:c r="A365" s="19"/>
      <x:c r="B365" s="19"/>
      <x:c r="C365" s="19"/>
      <x:c r="D365" s="27"/>
      <x:c r="E365" s="58"/>
      <x:c r="F365" s="78"/>
      <x:c r="G365" s="27"/>
      <x:c r="H365" s="20"/>
      <x:c r="I365" s="19"/>
      <x:c r="J365" s="19"/>
      <x:c r="K365" s="19"/>
    </x:row>
    <x:row r="366">
      <x:c r="A366" s="19"/>
      <x:c r="B366" s="19"/>
      <x:c r="C366" s="19"/>
      <x:c r="D366" s="27"/>
      <x:c r="E366" s="58"/>
      <x:c r="F366" s="78"/>
      <x:c r="G366" s="27"/>
      <x:c r="H366" s="20"/>
      <x:c r="I366" s="19"/>
      <x:c r="J366" s="19"/>
      <x:c r="K366" s="19"/>
    </x:row>
    <x:row r="367">
      <x:c r="A367" s="19"/>
      <x:c r="B367" s="19"/>
      <x:c r="C367" s="19"/>
      <x:c r="D367" s="27"/>
      <x:c r="E367" s="58"/>
      <x:c r="F367" s="78"/>
      <x:c r="G367" s="27"/>
      <x:c r="H367" s="20"/>
      <x:c r="I367" s="19"/>
      <x:c r="J367" s="19"/>
      <x:c r="K367" s="19"/>
    </x:row>
    <x:row r="368">
      <x:c r="A368" s="19"/>
      <x:c r="B368" s="19"/>
      <x:c r="C368" s="19"/>
      <x:c r="D368" s="27"/>
      <x:c r="E368" s="58"/>
      <x:c r="F368" s="78"/>
      <x:c r="G368" s="27"/>
      <x:c r="H368" s="20"/>
      <x:c r="I368" s="19"/>
      <x:c r="J368" s="19"/>
      <x:c r="K368" s="19"/>
    </x:row>
    <x:row r="369">
      <x:c r="A369" s="19"/>
      <x:c r="B369" s="19"/>
      <x:c r="C369" s="19"/>
      <x:c r="D369" s="27"/>
      <x:c r="E369" s="58"/>
      <x:c r="F369" s="78"/>
      <x:c r="G369" s="27"/>
      <x:c r="H369" s="20"/>
      <x:c r="I369" s="19"/>
      <x:c r="J369" s="19"/>
      <x:c r="K369" s="19"/>
    </x:row>
    <x:row r="370">
      <x:c r="A370" s="19"/>
      <x:c r="B370" s="19"/>
      <x:c r="C370" s="19"/>
      <x:c r="D370" s="27"/>
      <x:c r="E370" s="58"/>
      <x:c r="F370" s="78"/>
      <x:c r="G370" s="27"/>
      <x:c r="H370" s="20"/>
      <x:c r="I370" s="19"/>
      <x:c r="J370" s="19"/>
      <x:c r="K370" s="19"/>
    </x:row>
    <x:row r="371">
      <x:c r="A371" s="19"/>
      <x:c r="B371" s="19"/>
      <x:c r="C371" s="19"/>
      <x:c r="D371" s="27"/>
      <x:c r="E371" s="58"/>
      <x:c r="F371" s="78"/>
      <x:c r="G371" s="27"/>
      <x:c r="H371" s="20"/>
      <x:c r="I371" s="19"/>
      <x:c r="J371" s="19"/>
      <x:c r="K371" s="19"/>
    </x:row>
    <x:row r="372">
      <x:c r="A372" s="19"/>
      <x:c r="B372" s="19"/>
      <x:c r="C372" s="19"/>
      <x:c r="D372" s="27"/>
      <x:c r="E372" s="58"/>
      <x:c r="F372" s="78"/>
      <x:c r="G372" s="27"/>
      <x:c r="H372" s="20"/>
      <x:c r="I372" s="19"/>
      <x:c r="J372" s="19"/>
      <x:c r="K372" s="19"/>
    </x:row>
    <x:row r="373">
      <x:c r="A373" s="19"/>
      <x:c r="B373" s="19"/>
      <x:c r="C373" s="19"/>
      <x:c r="D373" s="27"/>
      <x:c r="E373" s="58"/>
      <x:c r="F373" s="78"/>
      <x:c r="G373" s="27"/>
      <x:c r="H373" s="20"/>
      <x:c r="I373" s="19"/>
      <x:c r="J373" s="19"/>
      <x:c r="K373" s="19"/>
    </x:row>
    <x:row r="374">
      <x:c r="A374" s="19"/>
      <x:c r="B374" s="19"/>
      <x:c r="C374" s="19"/>
      <x:c r="D374" s="27"/>
      <x:c r="E374" s="58"/>
      <x:c r="F374" s="78"/>
      <x:c r="G374" s="27"/>
      <x:c r="H374" s="20"/>
      <x:c r="I374" s="19"/>
      <x:c r="J374" s="19"/>
      <x:c r="K374" s="19"/>
    </x:row>
    <x:row r="375">
      <x:c r="A375" s="19"/>
      <x:c r="B375" s="19"/>
      <x:c r="C375" s="19"/>
      <x:c r="D375" s="27"/>
      <x:c r="E375" s="58"/>
      <x:c r="F375" s="78"/>
      <x:c r="G375" s="27"/>
      <x:c r="H375" s="20"/>
      <x:c r="I375" s="19"/>
      <x:c r="J375" s="19"/>
      <x:c r="K375" s="19"/>
    </x:row>
    <x:row r="376">
      <x:c r="A376" s="19"/>
      <x:c r="B376" s="19"/>
      <x:c r="C376" s="19"/>
      <x:c r="D376" s="27"/>
      <x:c r="E376" s="58"/>
      <x:c r="F376" s="78"/>
      <x:c r="G376" s="27"/>
      <x:c r="H376" s="20"/>
      <x:c r="I376" s="19"/>
      <x:c r="J376" s="19"/>
      <x:c r="K376" s="19"/>
    </x:row>
    <x:row r="377">
      <x:c r="A377" s="19"/>
      <x:c r="B377" s="19"/>
      <x:c r="C377" s="19"/>
      <x:c r="D377" s="27"/>
      <x:c r="E377" s="58"/>
      <x:c r="F377" s="78"/>
      <x:c r="G377" s="27"/>
      <x:c r="H377" s="20"/>
      <x:c r="I377" s="19"/>
      <x:c r="J377" s="19"/>
      <x:c r="K377" s="19"/>
    </x:row>
    <x:row r="378">
      <x:c r="A378" s="19"/>
      <x:c r="B378" s="19"/>
      <x:c r="C378" s="19"/>
      <x:c r="D378" s="27"/>
      <x:c r="E378" s="58"/>
      <x:c r="F378" s="78"/>
      <x:c r="G378" s="27"/>
      <x:c r="H378" s="20"/>
      <x:c r="I378" s="19"/>
      <x:c r="J378" s="19"/>
      <x:c r="K378" s="19"/>
    </x:row>
    <x:row r="379">
      <x:c r="A379" s="19"/>
      <x:c r="B379" s="19"/>
      <x:c r="C379" s="19"/>
      <x:c r="D379" s="27"/>
      <x:c r="E379" s="58"/>
      <x:c r="F379" s="78"/>
      <x:c r="G379" s="27"/>
      <x:c r="H379" s="20"/>
      <x:c r="I379" s="19"/>
      <x:c r="J379" s="19"/>
      <x:c r="K379" s="19"/>
    </x:row>
    <x:row r="380">
      <x:c r="A380" s="19"/>
      <x:c r="B380" s="19"/>
      <x:c r="C380" s="19"/>
      <x:c r="D380" s="27"/>
      <x:c r="E380" s="58"/>
      <x:c r="F380" s="78"/>
      <x:c r="G380" s="27"/>
      <x:c r="H380" s="20"/>
      <x:c r="I380" s="19"/>
      <x:c r="J380" s="19"/>
      <x:c r="K380" s="19"/>
    </x:row>
    <x:row r="381">
      <x:c r="A381" s="19"/>
      <x:c r="B381" s="19"/>
      <x:c r="C381" s="19"/>
      <x:c r="D381" s="27"/>
      <x:c r="E381" s="58"/>
      <x:c r="F381" s="78"/>
      <x:c r="G381" s="27"/>
      <x:c r="H381" s="20"/>
      <x:c r="I381" s="19"/>
      <x:c r="J381" s="19"/>
      <x:c r="K381" s="19"/>
    </x:row>
    <x:row r="382">
      <x:c r="A382" s="19"/>
      <x:c r="B382" s="19"/>
      <x:c r="C382" s="19"/>
      <x:c r="D382" s="27"/>
      <x:c r="E382" s="58"/>
      <x:c r="F382" s="78"/>
      <x:c r="G382" s="27"/>
      <x:c r="H382" s="20"/>
      <x:c r="I382" s="19"/>
      <x:c r="J382" s="19"/>
      <x:c r="K382" s="19"/>
    </x:row>
    <x:row r="383">
      <x:c r="A383" s="19"/>
      <x:c r="B383" s="19"/>
      <x:c r="C383" s="19"/>
      <x:c r="D383" s="27"/>
      <x:c r="E383" s="58"/>
      <x:c r="F383" s="78"/>
      <x:c r="G383" s="27"/>
      <x:c r="H383" s="20"/>
      <x:c r="I383" s="19"/>
      <x:c r="J383" s="19"/>
      <x:c r="K383" s="19"/>
    </x:row>
    <x:row r="384">
      <x:c r="A384" s="19"/>
      <x:c r="B384" s="19"/>
      <x:c r="C384" s="19"/>
      <x:c r="D384" s="27"/>
      <x:c r="E384" s="58"/>
      <x:c r="F384" s="78"/>
      <x:c r="G384" s="27"/>
      <x:c r="H384" s="20"/>
      <x:c r="I384" s="19"/>
      <x:c r="J384" s="19"/>
      <x:c r="K384" s="19"/>
    </x:row>
    <x:row r="385">
      <x:c r="A385" s="19"/>
      <x:c r="B385" s="19"/>
      <x:c r="C385" s="19"/>
      <x:c r="D385" s="27"/>
      <x:c r="E385" s="58"/>
      <x:c r="F385" s="78"/>
      <x:c r="G385" s="27"/>
      <x:c r="H385" s="20"/>
      <x:c r="I385" s="19"/>
      <x:c r="J385" s="19"/>
      <x:c r="K385" s="19"/>
    </x:row>
    <x:row r="386">
      <x:c r="A386" s="19"/>
      <x:c r="B386" s="19"/>
      <x:c r="C386" s="19"/>
      <x:c r="D386" s="27"/>
      <x:c r="E386" s="58"/>
      <x:c r="F386" s="78"/>
      <x:c r="G386" s="27"/>
      <x:c r="H386" s="20"/>
      <x:c r="I386" s="19"/>
      <x:c r="J386" s="19"/>
      <x:c r="K386" s="19"/>
    </x:row>
    <x:row r="387">
      <x:c r="A387" s="19"/>
      <x:c r="B387" s="19"/>
      <x:c r="C387" s="19"/>
      <x:c r="D387" s="27"/>
      <x:c r="E387" s="58"/>
      <x:c r="F387" s="78"/>
      <x:c r="G387" s="27"/>
      <x:c r="H387" s="20"/>
      <x:c r="I387" s="19"/>
      <x:c r="J387" s="19"/>
      <x:c r="K387" s="19"/>
    </x:row>
    <x:row r="388">
      <x:c r="A388" s="19"/>
      <x:c r="B388" s="19"/>
      <x:c r="C388" s="19"/>
      <x:c r="D388" s="27"/>
      <x:c r="E388" s="58"/>
      <x:c r="F388" s="78"/>
      <x:c r="G388" s="27"/>
      <x:c r="H388" s="20"/>
      <x:c r="I388" s="19"/>
      <x:c r="J388" s="19"/>
      <x:c r="K388" s="19"/>
    </x:row>
    <x:row r="389">
      <x:c r="A389" s="19"/>
      <x:c r="B389" s="19"/>
      <x:c r="C389" s="19"/>
      <x:c r="D389" s="27"/>
      <x:c r="E389" s="58"/>
      <x:c r="F389" s="78"/>
      <x:c r="G389" s="27"/>
      <x:c r="H389" s="20"/>
      <x:c r="I389" s="19"/>
      <x:c r="J389" s="19"/>
      <x:c r="K389" s="19"/>
    </x:row>
    <x:row r="390">
      <x:c r="A390" s="19"/>
      <x:c r="B390" s="19"/>
      <x:c r="C390" s="19"/>
      <x:c r="D390" s="27"/>
      <x:c r="E390" s="58"/>
      <x:c r="F390" s="78"/>
      <x:c r="G390" s="27"/>
      <x:c r="H390" s="20"/>
      <x:c r="I390" s="19"/>
      <x:c r="J390" s="19"/>
      <x:c r="K390" s="19"/>
    </x:row>
    <x:row r="391">
      <x:c r="A391" s="19"/>
      <x:c r="B391" s="19"/>
      <x:c r="C391" s="19"/>
      <x:c r="D391" s="27"/>
      <x:c r="E391" s="58"/>
      <x:c r="F391" s="78"/>
      <x:c r="G391" s="27"/>
      <x:c r="H391" s="20"/>
      <x:c r="I391" s="19"/>
      <x:c r="J391" s="19"/>
      <x:c r="K391" s="19"/>
    </x:row>
    <x:row r="392">
      <x:c r="A392" s="19"/>
      <x:c r="B392" s="19"/>
      <x:c r="C392" s="19"/>
      <x:c r="D392" s="27"/>
      <x:c r="E392" s="58"/>
      <x:c r="F392" s="78"/>
      <x:c r="G392" s="27"/>
      <x:c r="H392" s="20"/>
      <x:c r="I392" s="19"/>
      <x:c r="J392" s="19"/>
      <x:c r="K392" s="19"/>
    </x:row>
    <x:row r="393">
      <x:c r="A393" s="19"/>
      <x:c r="B393" s="19"/>
      <x:c r="C393" s="19"/>
      <x:c r="D393" s="27"/>
      <x:c r="E393" s="58"/>
      <x:c r="F393" s="78"/>
      <x:c r="G393" s="27"/>
      <x:c r="H393" s="20"/>
      <x:c r="I393" s="19"/>
      <x:c r="J393" s="19"/>
      <x:c r="K393" s="19"/>
    </x:row>
    <x:row r="394">
      <x:c r="A394" s="19"/>
      <x:c r="B394" s="19"/>
      <x:c r="C394" s="19"/>
      <x:c r="D394" s="27"/>
      <x:c r="E394" s="58"/>
      <x:c r="F394" s="78"/>
      <x:c r="G394" s="27"/>
      <x:c r="H394" s="20"/>
      <x:c r="I394" s="19"/>
      <x:c r="J394" s="19"/>
      <x:c r="K394" s="19"/>
    </x:row>
    <x:row r="395">
      <x:c r="A395" s="19"/>
      <x:c r="B395" s="19"/>
      <x:c r="C395" s="19"/>
      <x:c r="D395" s="27"/>
      <x:c r="E395" s="58"/>
      <x:c r="F395" s="78"/>
      <x:c r="G395" s="27"/>
      <x:c r="H395" s="20"/>
      <x:c r="I395" s="19"/>
      <x:c r="J395" s="19"/>
      <x:c r="K395" s="19"/>
    </x:row>
    <x:row r="396">
      <x:c r="A396" s="19"/>
      <x:c r="B396" s="19"/>
      <x:c r="C396" s="19"/>
      <x:c r="D396" s="27"/>
      <x:c r="E396" s="58"/>
      <x:c r="F396" s="78"/>
      <x:c r="G396" s="27"/>
      <x:c r="H396" s="20"/>
      <x:c r="I396" s="19"/>
      <x:c r="J396" s="19"/>
      <x:c r="K396" s="19"/>
    </x:row>
    <x:row r="397">
      <x:c r="A397" s="19"/>
      <x:c r="B397" s="19"/>
      <x:c r="C397" s="19"/>
      <x:c r="D397" s="27"/>
      <x:c r="E397" s="58"/>
      <x:c r="F397" s="78"/>
      <x:c r="G397" s="27"/>
      <x:c r="H397" s="20"/>
      <x:c r="I397" s="19"/>
      <x:c r="J397" s="19"/>
      <x:c r="K397" s="19"/>
    </x:row>
    <x:row r="398">
      <x:c r="A398" s="19"/>
      <x:c r="B398" s="19"/>
      <x:c r="C398" s="19"/>
      <x:c r="D398" s="27"/>
      <x:c r="E398" s="58"/>
      <x:c r="F398" s="78"/>
      <x:c r="G398" s="27"/>
      <x:c r="H398" s="20"/>
      <x:c r="I398" s="19"/>
      <x:c r="J398" s="19"/>
      <x:c r="K398" s="19"/>
    </x:row>
    <x:row r="399">
      <x:c r="A399" s="19"/>
      <x:c r="B399" s="19"/>
      <x:c r="C399" s="19"/>
      <x:c r="D399" s="27"/>
      <x:c r="E399" s="58"/>
      <x:c r="F399" s="78"/>
      <x:c r="G399" s="27"/>
      <x:c r="H399" s="20"/>
      <x:c r="I399" s="19"/>
      <x:c r="J399" s="19"/>
      <x:c r="K399" s="19"/>
    </x:row>
    <x:row r="400">
      <x:c r="A400" s="19"/>
      <x:c r="B400" s="19"/>
      <x:c r="C400" s="19"/>
      <x:c r="D400" s="27"/>
      <x:c r="E400" s="58"/>
      <x:c r="F400" s="78"/>
      <x:c r="G400" s="27"/>
      <x:c r="H400" s="20"/>
      <x:c r="I400" s="19"/>
      <x:c r="J400" s="19"/>
      <x:c r="K400" s="19"/>
    </x:row>
    <x:row r="401">
      <x:c r="A401" s="19"/>
      <x:c r="B401" s="19"/>
      <x:c r="C401" s="19"/>
      <x:c r="D401" s="27"/>
      <x:c r="E401" s="58"/>
      <x:c r="F401" s="78"/>
      <x:c r="G401" s="27"/>
      <x:c r="H401" s="20"/>
      <x:c r="I401" s="19"/>
      <x:c r="J401" s="19"/>
      <x:c r="K401" s="19"/>
    </x:row>
    <x:row r="402">
      <x:c r="A402" s="19"/>
      <x:c r="B402" s="19"/>
      <x:c r="C402" s="19"/>
      <x:c r="D402" s="27"/>
      <x:c r="E402" s="58"/>
      <x:c r="F402" s="78"/>
      <x:c r="G402" s="27"/>
      <x:c r="H402" s="20"/>
      <x:c r="I402" s="19"/>
      <x:c r="J402" s="19"/>
      <x:c r="K402" s="19"/>
    </x:row>
    <x:row r="403">
      <x:c r="A403" s="19"/>
      <x:c r="B403" s="19"/>
      <x:c r="C403" s="19"/>
      <x:c r="D403" s="27"/>
      <x:c r="E403" s="58"/>
      <x:c r="F403" s="78"/>
      <x:c r="G403" s="27"/>
      <x:c r="H403" s="20"/>
      <x:c r="I403" s="19"/>
      <x:c r="J403" s="19"/>
      <x:c r="K403" s="19"/>
    </x:row>
    <x:row r="404">
      <x:c r="A404" s="19"/>
      <x:c r="B404" s="19"/>
      <x:c r="C404" s="19"/>
      <x:c r="D404" s="27"/>
      <x:c r="E404" s="58"/>
      <x:c r="F404" s="78"/>
      <x:c r="G404" s="27"/>
      <x:c r="H404" s="20"/>
      <x:c r="I404" s="19"/>
      <x:c r="J404" s="19"/>
      <x:c r="K404" s="19"/>
    </x:row>
    <x:row r="405">
      <x:c r="A405" s="19"/>
      <x:c r="B405" s="19"/>
      <x:c r="C405" s="19"/>
      <x:c r="D405" s="27"/>
      <x:c r="E405" s="58"/>
      <x:c r="F405" s="78"/>
      <x:c r="G405" s="27"/>
      <x:c r="H405" s="20"/>
      <x:c r="I405" s="19"/>
      <x:c r="J405" s="19"/>
      <x:c r="K405" s="19"/>
    </x:row>
    <x:row r="406">
      <x:c r="A406" s="19"/>
      <x:c r="B406" s="19"/>
      <x:c r="C406" s="19"/>
      <x:c r="D406" s="27"/>
      <x:c r="E406" s="58"/>
      <x:c r="F406" s="78"/>
      <x:c r="G406" s="27"/>
      <x:c r="H406" s="20"/>
      <x:c r="I406" s="19"/>
      <x:c r="J406" s="19"/>
      <x:c r="K406" s="19"/>
    </x:row>
    <x:row r="407">
      <x:c r="A407" s="19"/>
      <x:c r="B407" s="19"/>
      <x:c r="C407" s="19"/>
      <x:c r="D407" s="27"/>
      <x:c r="E407" s="58"/>
      <x:c r="F407" s="78"/>
      <x:c r="G407" s="27"/>
      <x:c r="H407" s="20"/>
      <x:c r="I407" s="19"/>
      <x:c r="J407" s="19"/>
      <x:c r="K407" s="19"/>
    </x:row>
    <x:row r="408">
      <x:c r="A408" s="19"/>
      <x:c r="B408" s="19"/>
      <x:c r="C408" s="19"/>
      <x:c r="D408" s="27"/>
      <x:c r="E408" s="58"/>
      <x:c r="F408" s="78"/>
      <x:c r="G408" s="27"/>
      <x:c r="H408" s="20"/>
      <x:c r="I408" s="19"/>
      <x:c r="J408" s="19"/>
      <x:c r="K408" s="19"/>
    </x:row>
    <x:row r="409">
      <x:c r="A409" s="19"/>
      <x:c r="B409" s="19"/>
      <x:c r="C409" s="19"/>
      <x:c r="D409" s="27"/>
      <x:c r="E409" s="58"/>
      <x:c r="F409" s="78"/>
      <x:c r="G409" s="27"/>
      <x:c r="H409" s="20"/>
      <x:c r="I409" s="19"/>
      <x:c r="J409" s="19"/>
      <x:c r="K409" s="19"/>
    </x:row>
    <x:row r="410">
      <x:c r="A410" s="19"/>
      <x:c r="B410" s="19"/>
      <x:c r="C410" s="19"/>
      <x:c r="D410" s="27"/>
      <x:c r="E410" s="58"/>
      <x:c r="F410" s="78"/>
      <x:c r="G410" s="27"/>
      <x:c r="H410" s="20"/>
      <x:c r="I410" s="19"/>
      <x:c r="J410" s="19"/>
      <x:c r="K410" s="19"/>
    </x:row>
    <x:row r="411">
      <x:c r="A411" s="19"/>
      <x:c r="B411" s="19"/>
      <x:c r="C411" s="19"/>
      <x:c r="D411" s="27"/>
      <x:c r="E411" s="58"/>
      <x:c r="F411" s="78"/>
      <x:c r="G411" s="27"/>
      <x:c r="H411" s="20"/>
      <x:c r="I411" s="19"/>
      <x:c r="J411" s="19"/>
      <x:c r="K411" s="19"/>
    </x:row>
    <x:row r="412">
      <x:c r="A412" s="19"/>
      <x:c r="B412" s="19"/>
      <x:c r="C412" s="19"/>
      <x:c r="D412" s="27"/>
      <x:c r="E412" s="58"/>
      <x:c r="F412" s="78"/>
      <x:c r="G412" s="27"/>
      <x:c r="H412" s="20"/>
      <x:c r="I412" s="19"/>
      <x:c r="J412" s="19"/>
      <x:c r="K412" s="19"/>
    </x:row>
    <x:row r="413">
      <x:c r="A413" s="19"/>
      <x:c r="B413" s="19"/>
      <x:c r="C413" s="19"/>
      <x:c r="D413" s="27"/>
      <x:c r="E413" s="58"/>
      <x:c r="F413" s="78"/>
      <x:c r="G413" s="27"/>
      <x:c r="H413" s="20"/>
      <x:c r="I413" s="19"/>
      <x:c r="J413" s="19"/>
      <x:c r="K413" s="19"/>
    </x:row>
    <x:row r="414">
      <x:c r="A414" s="19"/>
      <x:c r="B414" s="19"/>
      <x:c r="C414" s="19"/>
      <x:c r="D414" s="27"/>
      <x:c r="E414" s="58"/>
      <x:c r="F414" s="78"/>
      <x:c r="G414" s="27"/>
      <x:c r="H414" s="20"/>
      <x:c r="I414" s="19"/>
      <x:c r="J414" s="19"/>
      <x:c r="K414" s="19"/>
    </x:row>
    <x:row r="415">
      <x:c r="A415" s="19"/>
      <x:c r="B415" s="19"/>
      <x:c r="C415" s="19"/>
      <x:c r="D415" s="27"/>
      <x:c r="E415" s="58"/>
      <x:c r="F415" s="78"/>
      <x:c r="G415" s="27"/>
      <x:c r="H415" s="20"/>
      <x:c r="I415" s="19"/>
      <x:c r="J415" s="19"/>
      <x:c r="K415" s="19"/>
    </x:row>
    <x:row r="416">
      <x:c r="A416" s="19"/>
      <x:c r="B416" s="19"/>
      <x:c r="C416" s="19"/>
      <x:c r="D416" s="27"/>
      <x:c r="E416" s="58"/>
      <x:c r="F416" s="78"/>
      <x:c r="G416" s="27"/>
      <x:c r="H416" s="20"/>
      <x:c r="I416" s="19"/>
      <x:c r="J416" s="19"/>
      <x:c r="K416" s="19"/>
    </x:row>
    <x:row r="417">
      <x:c r="A417" s="19"/>
      <x:c r="B417" s="19"/>
      <x:c r="C417" s="19"/>
      <x:c r="D417" s="27"/>
      <x:c r="E417" s="58"/>
      <x:c r="F417" s="78"/>
      <x:c r="G417" s="27"/>
      <x:c r="H417" s="20"/>
      <x:c r="I417" s="19"/>
      <x:c r="J417" s="19"/>
      <x:c r="K417" s="19"/>
    </x:row>
    <x:row r="418">
      <x:c r="A418" s="19"/>
      <x:c r="B418" s="19"/>
      <x:c r="C418" s="19"/>
      <x:c r="D418" s="27"/>
      <x:c r="E418" s="58"/>
      <x:c r="F418" s="78"/>
      <x:c r="G418" s="27"/>
      <x:c r="H418" s="20"/>
      <x:c r="I418" s="19"/>
      <x:c r="J418" s="19"/>
      <x:c r="K418" s="19"/>
    </x:row>
    <x:row r="419">
      <x:c r="A419" s="19"/>
      <x:c r="B419" s="19"/>
      <x:c r="C419" s="19"/>
      <x:c r="D419" s="27"/>
      <x:c r="E419" s="58"/>
      <x:c r="F419" s="78"/>
      <x:c r="G419" s="27"/>
      <x:c r="H419" s="20"/>
      <x:c r="I419" s="19"/>
      <x:c r="J419" s="19"/>
      <x:c r="K419" s="19"/>
    </x:row>
    <x:row r="420">
      <x:c r="A420" s="19"/>
      <x:c r="B420" s="19"/>
      <x:c r="C420" s="19"/>
      <x:c r="D420" s="27"/>
      <x:c r="E420" s="58"/>
      <x:c r="F420" s="78"/>
      <x:c r="G420" s="27"/>
      <x:c r="H420" s="20"/>
      <x:c r="I420" s="19"/>
      <x:c r="J420" s="19"/>
      <x:c r="K420" s="19"/>
    </x:row>
    <x:row r="421">
      <x:c r="A421" s="19"/>
      <x:c r="B421" s="19"/>
      <x:c r="C421" s="19"/>
      <x:c r="D421" s="27"/>
      <x:c r="E421" s="58"/>
      <x:c r="F421" s="78"/>
      <x:c r="G421" s="27"/>
      <x:c r="H421" s="20"/>
      <x:c r="I421" s="19"/>
      <x:c r="J421" s="19"/>
      <x:c r="K421" s="19"/>
    </x:row>
    <x:row r="422">
      <x:c r="A422" s="19"/>
      <x:c r="B422" s="19"/>
      <x:c r="C422" s="19"/>
      <x:c r="D422" s="27"/>
      <x:c r="E422" s="58"/>
      <x:c r="F422" s="78"/>
      <x:c r="G422" s="27"/>
      <x:c r="H422" s="20"/>
      <x:c r="I422" s="19"/>
      <x:c r="J422" s="19"/>
      <x:c r="K422" s="19"/>
    </x:row>
    <x:row r="423">
      <x:c r="A423" s="19"/>
      <x:c r="B423" s="19"/>
      <x:c r="C423" s="19"/>
      <x:c r="D423" s="27"/>
      <x:c r="E423" s="58"/>
      <x:c r="F423" s="78"/>
      <x:c r="G423" s="27"/>
      <x:c r="H423" s="20"/>
      <x:c r="I423" s="19"/>
      <x:c r="J423" s="19"/>
      <x:c r="K423" s="19"/>
    </x:row>
    <x:row r="424">
      <x:c r="A424" s="19"/>
      <x:c r="B424" s="19"/>
      <x:c r="C424" s="19"/>
      <x:c r="D424" s="27"/>
      <x:c r="E424" s="58"/>
      <x:c r="F424" s="78"/>
      <x:c r="G424" s="27"/>
      <x:c r="H424" s="20"/>
      <x:c r="I424" s="19"/>
      <x:c r="J424" s="19"/>
      <x:c r="K424" s="19"/>
    </x:row>
    <x:row r="425">
      <x:c r="A425" s="19"/>
      <x:c r="B425" s="19"/>
      <x:c r="C425" s="19"/>
      <x:c r="D425" s="27"/>
      <x:c r="E425" s="58"/>
      <x:c r="F425" s="78"/>
      <x:c r="G425" s="27"/>
      <x:c r="H425" s="20"/>
      <x:c r="I425" s="19"/>
      <x:c r="J425" s="19"/>
      <x:c r="K425" s="19"/>
    </x:row>
    <x:row r="426">
      <x:c r="A426" s="19"/>
      <x:c r="B426" s="19"/>
      <x:c r="C426" s="19"/>
      <x:c r="D426" s="27"/>
      <x:c r="E426" s="58"/>
      <x:c r="F426" s="78"/>
      <x:c r="G426" s="27"/>
      <x:c r="H426" s="20"/>
      <x:c r="I426" s="19"/>
      <x:c r="J426" s="19"/>
      <x:c r="K426" s="19"/>
    </x:row>
    <x:row r="427">
      <x:c r="A427" s="19"/>
      <x:c r="B427" s="19"/>
      <x:c r="C427" s="19"/>
      <x:c r="D427" s="27"/>
      <x:c r="E427" s="58"/>
      <x:c r="F427" s="78"/>
      <x:c r="G427" s="27"/>
      <x:c r="H427" s="20"/>
      <x:c r="I427" s="19"/>
      <x:c r="J427" s="19"/>
      <x:c r="K427" s="19"/>
    </x:row>
    <x:row r="428">
      <x:c r="A428" s="19"/>
      <x:c r="B428" s="19"/>
      <x:c r="C428" s="19"/>
      <x:c r="D428" s="27"/>
      <x:c r="E428" s="58"/>
      <x:c r="F428" s="78"/>
      <x:c r="G428" s="27"/>
      <x:c r="H428" s="20"/>
      <x:c r="I428" s="19"/>
      <x:c r="J428" s="19"/>
      <x:c r="K428" s="19"/>
    </x:row>
    <x:row r="429">
      <x:c r="A429" s="19"/>
      <x:c r="B429" s="19"/>
      <x:c r="C429" s="19"/>
      <x:c r="D429" s="27"/>
      <x:c r="E429" s="58"/>
      <x:c r="F429" s="78"/>
      <x:c r="G429" s="27"/>
      <x:c r="H429" s="20"/>
      <x:c r="I429" s="19"/>
      <x:c r="J429" s="19"/>
      <x:c r="K429" s="19"/>
    </x:row>
    <x:row r="430">
      <x:c r="A430" s="19"/>
      <x:c r="B430" s="19"/>
      <x:c r="C430" s="19"/>
      <x:c r="D430" s="27"/>
      <x:c r="E430" s="58"/>
      <x:c r="F430" s="78"/>
      <x:c r="G430" s="27"/>
      <x:c r="H430" s="20"/>
      <x:c r="I430" s="19"/>
      <x:c r="J430" s="19"/>
      <x:c r="K430" s="19"/>
    </x:row>
    <x:row r="431">
      <x:c r="A431" s="19"/>
      <x:c r="B431" s="19"/>
      <x:c r="C431" s="19"/>
      <x:c r="D431" s="27"/>
      <x:c r="E431" s="58"/>
      <x:c r="F431" s="78"/>
      <x:c r="G431" s="27"/>
      <x:c r="H431" s="20"/>
      <x:c r="I431" s="19"/>
      <x:c r="J431" s="19"/>
      <x:c r="K431" s="19"/>
    </x:row>
    <x:row r="432">
      <x:c r="A432" s="19"/>
      <x:c r="B432" s="19"/>
      <x:c r="C432" s="19"/>
      <x:c r="D432" s="27"/>
      <x:c r="E432" s="58"/>
      <x:c r="F432" s="78"/>
      <x:c r="G432" s="27"/>
      <x:c r="H432" s="20"/>
      <x:c r="I432" s="19"/>
      <x:c r="J432" s="19"/>
      <x:c r="K432" s="19"/>
    </x:row>
    <x:row r="433">
      <x:c r="A433" s="19"/>
      <x:c r="B433" s="19"/>
      <x:c r="C433" s="19"/>
      <x:c r="D433" s="27"/>
      <x:c r="E433" s="58"/>
      <x:c r="F433" s="78"/>
      <x:c r="G433" s="27"/>
      <x:c r="H433" s="20"/>
      <x:c r="I433" s="19"/>
      <x:c r="J433" s="19"/>
      <x:c r="K433" s="19"/>
    </x:row>
    <x:row r="434">
      <x:c r="A434" s="19"/>
      <x:c r="B434" s="19"/>
      <x:c r="C434" s="19"/>
      <x:c r="D434" s="27"/>
      <x:c r="E434" s="58"/>
      <x:c r="F434" s="78"/>
      <x:c r="G434" s="27"/>
      <x:c r="H434" s="20"/>
      <x:c r="I434" s="19"/>
      <x:c r="J434" s="19"/>
      <x:c r="K434" s="19"/>
    </x:row>
    <x:row r="435">
      <x:c r="A435" s="19"/>
      <x:c r="B435" s="19"/>
      <x:c r="C435" s="19"/>
      <x:c r="D435" s="27"/>
      <x:c r="E435" s="58"/>
      <x:c r="F435" s="78"/>
      <x:c r="G435" s="27"/>
      <x:c r="H435" s="20"/>
      <x:c r="I435" s="19"/>
      <x:c r="J435" s="19"/>
      <x:c r="K435" s="19"/>
    </x:row>
    <x:row r="436">
      <x:c r="A436" s="19"/>
      <x:c r="B436" s="19"/>
      <x:c r="C436" s="19"/>
      <x:c r="D436" s="27"/>
      <x:c r="E436" s="58"/>
      <x:c r="F436" s="78"/>
      <x:c r="G436" s="27"/>
      <x:c r="H436" s="20"/>
      <x:c r="I436" s="19"/>
      <x:c r="J436" s="19"/>
      <x:c r="K436" s="19"/>
    </x:row>
    <x:row r="437">
      <x:c r="A437" s="19"/>
      <x:c r="B437" s="19"/>
      <x:c r="C437" s="19"/>
      <x:c r="D437" s="27"/>
      <x:c r="E437" s="58"/>
      <x:c r="F437" s="78"/>
      <x:c r="G437" s="27"/>
      <x:c r="H437" s="20"/>
      <x:c r="I437" s="19"/>
      <x:c r="J437" s="19"/>
      <x:c r="K437" s="19"/>
    </x:row>
    <x:row r="438">
      <x:c r="A438" s="19"/>
      <x:c r="B438" s="19"/>
      <x:c r="C438" s="19"/>
      <x:c r="D438" s="27"/>
      <x:c r="E438" s="58"/>
      <x:c r="F438" s="78"/>
      <x:c r="G438" s="27"/>
      <x:c r="H438" s="20"/>
      <x:c r="I438" s="19"/>
      <x:c r="J438" s="19"/>
      <x:c r="K438" s="19"/>
    </x:row>
    <x:row r="439">
      <x:c r="A439" s="19"/>
      <x:c r="B439" s="19"/>
      <x:c r="C439" s="19"/>
      <x:c r="D439" s="27"/>
      <x:c r="E439" s="58"/>
      <x:c r="F439" s="78"/>
      <x:c r="G439" s="27"/>
      <x:c r="H439" s="20"/>
      <x:c r="I439" s="19"/>
      <x:c r="J439" s="19"/>
      <x:c r="K439" s="19"/>
    </x:row>
    <x:row r="440">
      <x:c r="A440" s="19"/>
      <x:c r="B440" s="19"/>
      <x:c r="C440" s="19"/>
      <x:c r="D440" s="27"/>
      <x:c r="E440" s="58"/>
      <x:c r="F440" s="78"/>
      <x:c r="G440" s="27"/>
      <x:c r="H440" s="20"/>
      <x:c r="I440" s="19"/>
      <x:c r="J440" s="19"/>
      <x:c r="K440" s="19"/>
    </x:row>
    <x:row r="441">
      <x:c r="A441" s="19"/>
      <x:c r="B441" s="19"/>
      <x:c r="C441" s="19"/>
      <x:c r="D441" s="27"/>
      <x:c r="E441" s="58"/>
      <x:c r="F441" s="78"/>
      <x:c r="G441" s="27"/>
      <x:c r="H441" s="20"/>
      <x:c r="I441" s="19"/>
      <x:c r="J441" s="19"/>
      <x:c r="K441" s="19"/>
    </x:row>
    <x:row r="442">
      <x:c r="A442" s="19"/>
      <x:c r="B442" s="19"/>
      <x:c r="C442" s="19"/>
      <x:c r="D442" s="27"/>
      <x:c r="E442" s="58"/>
      <x:c r="F442" s="78"/>
      <x:c r="G442" s="27"/>
      <x:c r="H442" s="20"/>
      <x:c r="I442" s="19"/>
      <x:c r="J442" s="19"/>
      <x:c r="K442" s="19"/>
    </x:row>
    <x:row r="443">
      <x:c r="A443" s="19"/>
      <x:c r="B443" s="19"/>
      <x:c r="C443" s="19"/>
      <x:c r="D443" s="27"/>
      <x:c r="E443" s="58"/>
      <x:c r="F443" s="78"/>
      <x:c r="G443" s="27"/>
      <x:c r="H443" s="20"/>
      <x:c r="I443" s="19"/>
      <x:c r="J443" s="19"/>
      <x:c r="K443" s="19"/>
    </x:row>
    <x:row r="444">
      <x:c r="A444" s="19"/>
      <x:c r="B444" s="19"/>
      <x:c r="C444" s="19"/>
      <x:c r="D444" s="27"/>
      <x:c r="E444" s="58"/>
      <x:c r="F444" s="78"/>
      <x:c r="G444" s="27"/>
      <x:c r="H444" s="20"/>
      <x:c r="I444" s="19"/>
      <x:c r="J444" s="19"/>
      <x:c r="K444" s="19"/>
    </x:row>
    <x:row r="445">
      <x:c r="A445" s="19"/>
      <x:c r="B445" s="19"/>
      <x:c r="C445" s="19"/>
      <x:c r="D445" s="27"/>
      <x:c r="E445" s="58"/>
      <x:c r="F445" s="78"/>
      <x:c r="G445" s="27"/>
      <x:c r="H445" s="20"/>
      <x:c r="I445" s="19"/>
      <x:c r="J445" s="19"/>
      <x:c r="K445" s="19"/>
    </x:row>
    <x:row r="446">
      <x:c r="A446" s="19"/>
      <x:c r="B446" s="19"/>
      <x:c r="C446" s="19"/>
      <x:c r="D446" s="27"/>
      <x:c r="E446" s="58"/>
      <x:c r="F446" s="78"/>
      <x:c r="G446" s="27"/>
      <x:c r="H446" s="20"/>
      <x:c r="I446" s="19"/>
      <x:c r="J446" s="19"/>
      <x:c r="K446" s="19"/>
    </x:row>
    <x:row r="447">
      <x:c r="A447" s="19"/>
      <x:c r="B447" s="19"/>
      <x:c r="C447" s="19"/>
      <x:c r="D447" s="27"/>
      <x:c r="E447" s="58"/>
      <x:c r="F447" s="78"/>
      <x:c r="G447" s="27"/>
      <x:c r="H447" s="20"/>
      <x:c r="I447" s="19"/>
      <x:c r="J447" s="19"/>
      <x:c r="K447" s="19"/>
    </x:row>
    <x:row r="448">
      <x:c r="A448" s="19"/>
      <x:c r="B448" s="19"/>
      <x:c r="C448" s="19"/>
      <x:c r="D448" s="27"/>
      <x:c r="E448" s="58"/>
      <x:c r="F448" s="78"/>
      <x:c r="G448" s="27"/>
      <x:c r="H448" s="20"/>
      <x:c r="I448" s="19"/>
      <x:c r="J448" s="19"/>
      <x:c r="K448" s="19"/>
    </x:row>
    <x:row r="449">
      <x:c r="A449" s="19"/>
      <x:c r="B449" s="19"/>
      <x:c r="C449" s="19"/>
      <x:c r="D449" s="27"/>
      <x:c r="E449" s="58"/>
      <x:c r="F449" s="78"/>
      <x:c r="G449" s="27"/>
      <x:c r="H449" s="20"/>
      <x:c r="I449" s="19"/>
      <x:c r="J449" s="19"/>
      <x:c r="K449" s="19"/>
    </x:row>
    <x:row r="450">
      <x:c r="A450" s="19"/>
      <x:c r="B450" s="19"/>
      <x:c r="C450" s="19"/>
      <x:c r="D450" s="27"/>
      <x:c r="E450" s="58"/>
      <x:c r="F450" s="78"/>
      <x:c r="G450" s="27"/>
      <x:c r="H450" s="20"/>
      <x:c r="I450" s="19"/>
      <x:c r="J450" s="19"/>
      <x:c r="K450" s="19"/>
    </x:row>
    <x:row r="451">
      <x:c r="A451" s="19"/>
      <x:c r="B451" s="19"/>
      <x:c r="C451" s="19"/>
      <x:c r="D451" s="27"/>
      <x:c r="E451" s="58"/>
      <x:c r="F451" s="78"/>
      <x:c r="G451" s="27"/>
      <x:c r="H451" s="20"/>
      <x:c r="I451" s="19"/>
      <x:c r="J451" s="19"/>
      <x:c r="K451" s="19"/>
    </x:row>
    <x:row r="452">
      <x:c r="A452" s="19"/>
      <x:c r="B452" s="19"/>
      <x:c r="C452" s="19"/>
      <x:c r="D452" s="27"/>
      <x:c r="E452" s="58"/>
      <x:c r="F452" s="78"/>
      <x:c r="G452" s="27"/>
      <x:c r="H452" s="20"/>
      <x:c r="I452" s="19"/>
      <x:c r="J452" s="19"/>
      <x:c r="K452" s="19"/>
    </x:row>
    <x:row r="453">
      <x:c r="A453" s="19"/>
      <x:c r="B453" s="19"/>
      <x:c r="C453" s="19"/>
      <x:c r="D453" s="27"/>
      <x:c r="E453" s="58"/>
      <x:c r="F453" s="78"/>
      <x:c r="G453" s="27"/>
      <x:c r="H453" s="20"/>
      <x:c r="I453" s="19"/>
      <x:c r="J453" s="19"/>
      <x:c r="K453" s="19"/>
    </x:row>
    <x:row r="454">
      <x:c r="A454" s="19"/>
      <x:c r="B454" s="19"/>
      <x:c r="C454" s="19"/>
      <x:c r="D454" s="27"/>
      <x:c r="E454" s="58"/>
      <x:c r="F454" s="78"/>
      <x:c r="G454" s="27"/>
      <x:c r="H454" s="20"/>
      <x:c r="I454" s="19"/>
      <x:c r="J454" s="19"/>
      <x:c r="K454" s="19"/>
    </x:row>
    <x:row r="455">
      <x:c r="A455" s="19"/>
      <x:c r="B455" s="19"/>
      <x:c r="C455" s="19"/>
      <x:c r="D455" s="27"/>
      <x:c r="E455" s="58"/>
      <x:c r="F455" s="78"/>
      <x:c r="G455" s="27"/>
      <x:c r="H455" s="20"/>
      <x:c r="I455" s="19"/>
      <x:c r="J455" s="19"/>
      <x:c r="K455" s="19"/>
    </x:row>
    <x:row r="456">
      <x:c r="A456" s="19"/>
      <x:c r="B456" s="19"/>
      <x:c r="C456" s="19"/>
      <x:c r="D456" s="27"/>
      <x:c r="E456" s="58"/>
      <x:c r="F456" s="78"/>
      <x:c r="G456" s="27"/>
      <x:c r="H456" s="20"/>
      <x:c r="I456" s="19"/>
      <x:c r="J456" s="19"/>
      <x:c r="K456" s="19"/>
    </x:row>
    <x:row r="457">
      <x:c r="A457" s="19"/>
      <x:c r="B457" s="19"/>
      <x:c r="C457" s="19"/>
      <x:c r="D457" s="27"/>
      <x:c r="E457" s="58"/>
      <x:c r="F457" s="78"/>
      <x:c r="G457" s="27"/>
      <x:c r="H457" s="20"/>
      <x:c r="I457" s="19"/>
      <x:c r="J457" s="19"/>
      <x:c r="K457" s="19"/>
    </x:row>
    <x:row r="458">
      <x:c r="A458" s="19"/>
      <x:c r="B458" s="19"/>
      <x:c r="C458" s="19"/>
      <x:c r="D458" s="27"/>
      <x:c r="E458" s="58"/>
      <x:c r="F458" s="78"/>
      <x:c r="G458" s="27"/>
      <x:c r="H458" s="20"/>
      <x:c r="I458" s="19"/>
      <x:c r="J458" s="19"/>
      <x:c r="K458" s="19"/>
    </x:row>
    <x:row r="459">
      <x:c r="A459" s="19"/>
      <x:c r="B459" s="19"/>
      <x:c r="C459" s="19"/>
      <x:c r="D459" s="27"/>
      <x:c r="E459" s="58"/>
      <x:c r="F459" s="78"/>
      <x:c r="G459" s="27"/>
      <x:c r="H459" s="20"/>
      <x:c r="I459" s="19"/>
      <x:c r="J459" s="19"/>
      <x:c r="K459" s="19"/>
    </x:row>
    <x:row r="460">
      <x:c r="A460" s="19"/>
      <x:c r="B460" s="19"/>
      <x:c r="C460" s="19"/>
      <x:c r="D460" s="27"/>
      <x:c r="E460" s="58"/>
      <x:c r="F460" s="78"/>
      <x:c r="G460" s="27"/>
      <x:c r="H460" s="20"/>
      <x:c r="I460" s="19"/>
      <x:c r="J460" s="19"/>
      <x:c r="K460" s="19"/>
    </x:row>
    <x:row r="461">
      <x:c r="A461" s="19"/>
      <x:c r="B461" s="19"/>
      <x:c r="C461" s="19"/>
      <x:c r="D461" s="27"/>
      <x:c r="E461" s="58"/>
      <x:c r="F461" s="78"/>
      <x:c r="G461" s="27"/>
      <x:c r="H461" s="20"/>
      <x:c r="I461" s="19"/>
      <x:c r="J461" s="19"/>
      <x:c r="K461" s="19"/>
    </x:row>
    <x:row r="462">
      <x:c r="A462" s="19"/>
      <x:c r="B462" s="19"/>
      <x:c r="C462" s="19"/>
      <x:c r="D462" s="27"/>
      <x:c r="E462" s="58"/>
      <x:c r="F462" s="78"/>
      <x:c r="G462" s="27"/>
      <x:c r="H462" s="20"/>
      <x:c r="I462" s="19"/>
      <x:c r="J462" s="19"/>
      <x:c r="K462" s="19"/>
    </x:row>
    <x:row r="463">
      <x:c r="A463" s="19"/>
      <x:c r="B463" s="19"/>
      <x:c r="C463" s="19"/>
      <x:c r="D463" s="27"/>
      <x:c r="E463" s="58"/>
      <x:c r="F463" s="78"/>
      <x:c r="G463" s="27"/>
      <x:c r="H463" s="20"/>
      <x:c r="I463" s="19"/>
      <x:c r="J463" s="19"/>
      <x:c r="K463" s="19"/>
    </x:row>
    <x:row r="464">
      <x:c r="A464" s="19"/>
      <x:c r="B464" s="19"/>
      <x:c r="C464" s="19"/>
      <x:c r="D464" s="27"/>
      <x:c r="E464" s="58"/>
      <x:c r="F464" s="78"/>
      <x:c r="G464" s="27"/>
      <x:c r="H464" s="20"/>
      <x:c r="I464" s="19"/>
      <x:c r="J464" s="19"/>
      <x:c r="K464" s="19"/>
    </x:row>
    <x:row r="465">
      <x:c r="A465" s="19"/>
      <x:c r="B465" s="19"/>
      <x:c r="C465" s="19"/>
      <x:c r="D465" s="27"/>
      <x:c r="E465" s="58"/>
      <x:c r="F465" s="78"/>
      <x:c r="G465" s="27"/>
      <x:c r="H465" s="20"/>
      <x:c r="I465" s="19"/>
      <x:c r="J465" s="19"/>
      <x:c r="K465" s="19"/>
    </x:row>
    <x:row r="466">
      <x:c r="A466" s="19"/>
      <x:c r="B466" s="19"/>
      <x:c r="C466" s="19"/>
      <x:c r="D466" s="27"/>
      <x:c r="E466" s="58"/>
      <x:c r="F466" s="78"/>
      <x:c r="G466" s="27"/>
      <x:c r="H466" s="20"/>
      <x:c r="I466" s="19"/>
      <x:c r="J466" s="19"/>
      <x:c r="K466" s="19"/>
    </x:row>
    <x:row r="467">
      <x:c r="A467" s="19"/>
      <x:c r="B467" s="19"/>
      <x:c r="C467" s="19"/>
      <x:c r="D467" s="27"/>
      <x:c r="E467" s="58"/>
      <x:c r="F467" s="78"/>
      <x:c r="G467" s="27"/>
      <x:c r="H467" s="20"/>
      <x:c r="I467" s="19"/>
      <x:c r="J467" s="19"/>
      <x:c r="K467" s="19"/>
    </x:row>
    <x:row r="468">
      <x:c r="A468" s="19"/>
      <x:c r="B468" s="19"/>
      <x:c r="C468" s="19"/>
      <x:c r="D468" s="27"/>
      <x:c r="E468" s="58"/>
      <x:c r="F468" s="78"/>
      <x:c r="G468" s="27"/>
      <x:c r="H468" s="20"/>
      <x:c r="I468" s="19"/>
      <x:c r="J468" s="19"/>
      <x:c r="K468" s="19"/>
    </x:row>
    <x:row r="469">
      <x:c r="A469" s="19"/>
      <x:c r="B469" s="19"/>
      <x:c r="C469" s="19"/>
      <x:c r="D469" s="27"/>
      <x:c r="E469" s="58"/>
      <x:c r="F469" s="78"/>
      <x:c r="G469" s="27"/>
      <x:c r="H469" s="20"/>
      <x:c r="I469" s="19"/>
      <x:c r="J469" s="19"/>
      <x:c r="K469" s="19"/>
    </x:row>
    <x:row r="470">
      <x:c r="A470" s="19"/>
      <x:c r="B470" s="19"/>
      <x:c r="C470" s="19"/>
      <x:c r="D470" s="27"/>
      <x:c r="E470" s="58"/>
      <x:c r="F470" s="78"/>
      <x:c r="G470" s="27"/>
      <x:c r="H470" s="20"/>
      <x:c r="I470" s="19"/>
      <x:c r="J470" s="19"/>
      <x:c r="K470" s="19"/>
    </x:row>
    <x:row r="471">
      <x:c r="A471" s="19"/>
      <x:c r="B471" s="19"/>
      <x:c r="C471" s="19"/>
      <x:c r="D471" s="27"/>
      <x:c r="E471" s="58"/>
      <x:c r="F471" s="78"/>
      <x:c r="G471" s="27"/>
      <x:c r="H471" s="20"/>
      <x:c r="I471" s="19"/>
      <x:c r="J471" s="19"/>
      <x:c r="K471" s="19"/>
    </x:row>
    <x:row r="472">
      <x:c r="A472" s="19"/>
      <x:c r="B472" s="19"/>
      <x:c r="C472" s="19"/>
      <x:c r="D472" s="27"/>
      <x:c r="E472" s="58"/>
      <x:c r="F472" s="78"/>
      <x:c r="G472" s="27"/>
      <x:c r="H472" s="20"/>
      <x:c r="I472" s="19"/>
      <x:c r="J472" s="19"/>
      <x:c r="K472" s="19"/>
    </x:row>
    <x:row r="473">
      <x:c r="A473" s="19"/>
      <x:c r="B473" s="19"/>
      <x:c r="C473" s="19"/>
      <x:c r="D473" s="27"/>
      <x:c r="E473" s="58"/>
      <x:c r="F473" s="78"/>
      <x:c r="G473" s="27"/>
      <x:c r="H473" s="20"/>
      <x:c r="I473" s="19"/>
      <x:c r="J473" s="19"/>
      <x:c r="K473" s="19"/>
    </x:row>
    <x:row r="474">
      <x:c r="A474" s="19"/>
      <x:c r="B474" s="19"/>
      <x:c r="C474" s="19"/>
      <x:c r="D474" s="27"/>
      <x:c r="E474" s="58"/>
      <x:c r="F474" s="78"/>
      <x:c r="G474" s="27"/>
      <x:c r="H474" s="20"/>
      <x:c r="I474" s="19"/>
      <x:c r="J474" s="19"/>
      <x:c r="K474" s="19"/>
    </x:row>
    <x:row r="475">
      <x:c r="A475" s="19"/>
      <x:c r="B475" s="19"/>
      <x:c r="C475" s="19"/>
      <x:c r="D475" s="27"/>
      <x:c r="E475" s="58"/>
      <x:c r="F475" s="78"/>
      <x:c r="G475" s="27"/>
      <x:c r="H475" s="20"/>
      <x:c r="I475" s="19"/>
      <x:c r="J475" s="19"/>
      <x:c r="K475" s="19"/>
    </x:row>
    <x:row r="476">
      <x:c r="A476" s="19"/>
      <x:c r="B476" s="19"/>
      <x:c r="C476" s="19"/>
      <x:c r="D476" s="27"/>
      <x:c r="E476" s="58"/>
      <x:c r="F476" s="78"/>
      <x:c r="G476" s="27"/>
      <x:c r="H476" s="20"/>
      <x:c r="I476" s="19"/>
      <x:c r="J476" s="19"/>
      <x:c r="K476" s="19"/>
    </x:row>
    <x:row r="477">
      <x:c r="A477" s="19"/>
      <x:c r="B477" s="19"/>
      <x:c r="C477" s="19"/>
      <x:c r="D477" s="27"/>
      <x:c r="E477" s="58"/>
      <x:c r="F477" s="78"/>
      <x:c r="G477" s="27"/>
      <x:c r="H477" s="20"/>
      <x:c r="I477" s="19"/>
      <x:c r="J477" s="19"/>
      <x:c r="K477" s="19"/>
    </x:row>
    <x:row r="478">
      <x:c r="A478" s="19"/>
      <x:c r="B478" s="19"/>
      <x:c r="C478" s="19"/>
      <x:c r="D478" s="27"/>
      <x:c r="E478" s="58"/>
      <x:c r="F478" s="78"/>
      <x:c r="G478" s="27"/>
      <x:c r="H478" s="20"/>
      <x:c r="I478" s="19"/>
      <x:c r="J478" s="19"/>
      <x:c r="K478" s="19"/>
    </x:row>
    <x:row r="479">
      <x:c r="A479" s="19"/>
      <x:c r="B479" s="19"/>
      <x:c r="C479" s="19"/>
      <x:c r="D479" s="27"/>
      <x:c r="E479" s="58"/>
      <x:c r="F479" s="78"/>
      <x:c r="G479" s="27"/>
      <x:c r="H479" s="20"/>
      <x:c r="I479" s="19"/>
      <x:c r="J479" s="19"/>
      <x:c r="K479" s="19"/>
    </x:row>
    <x:row r="480">
      <x:c r="A480" s="19"/>
      <x:c r="B480" s="19"/>
      <x:c r="C480" s="19"/>
      <x:c r="D480" s="27"/>
      <x:c r="E480" s="58"/>
      <x:c r="F480" s="78"/>
      <x:c r="G480" s="27"/>
      <x:c r="H480" s="20"/>
      <x:c r="I480" s="19"/>
      <x:c r="J480" s="19"/>
      <x:c r="K480" s="19"/>
    </x:row>
    <x:row r="481">
      <x:c r="A481" s="19"/>
      <x:c r="B481" s="19"/>
      <x:c r="C481" s="19"/>
      <x:c r="D481" s="27"/>
      <x:c r="E481" s="58"/>
      <x:c r="F481" s="78"/>
      <x:c r="G481" s="27"/>
      <x:c r="H481" s="20"/>
      <x:c r="I481" s="19"/>
      <x:c r="J481" s="19"/>
      <x:c r="K481" s="19"/>
    </x:row>
    <x:row r="482">
      <x:c r="A482" s="19"/>
      <x:c r="B482" s="19"/>
      <x:c r="C482" s="19"/>
      <x:c r="D482" s="27"/>
      <x:c r="E482" s="58"/>
      <x:c r="F482" s="78"/>
      <x:c r="G482" s="27"/>
      <x:c r="H482" s="20"/>
      <x:c r="I482" s="19"/>
      <x:c r="J482" s="19"/>
      <x:c r="K482" s="19"/>
    </x:row>
    <x:row r="483">
      <x:c r="A483" s="19"/>
      <x:c r="B483" s="19"/>
      <x:c r="C483" s="19"/>
      <x:c r="D483" s="27"/>
      <x:c r="E483" s="58"/>
      <x:c r="F483" s="78"/>
      <x:c r="G483" s="27"/>
      <x:c r="H483" s="20"/>
      <x:c r="I483" s="19"/>
      <x:c r="J483" s="19"/>
      <x:c r="K483" s="19"/>
    </x:row>
    <x:row r="484">
      <x:c r="A484" s="19"/>
      <x:c r="B484" s="19"/>
      <x:c r="C484" s="19"/>
      <x:c r="D484" s="27"/>
      <x:c r="E484" s="58"/>
      <x:c r="F484" s="78"/>
      <x:c r="G484" s="27"/>
      <x:c r="H484" s="20"/>
      <x:c r="I484" s="19"/>
      <x:c r="J484" s="19"/>
      <x:c r="K484" s="19"/>
    </x:row>
    <x:row r="485">
      <x:c r="A485" s="19"/>
      <x:c r="B485" s="19"/>
      <x:c r="C485" s="19"/>
      <x:c r="D485" s="27"/>
      <x:c r="E485" s="58"/>
      <x:c r="F485" s="78"/>
      <x:c r="G485" s="27"/>
      <x:c r="H485" s="20"/>
      <x:c r="I485" s="19"/>
      <x:c r="J485" s="19"/>
      <x:c r="K485" s="19"/>
    </x:row>
    <x:row r="486">
      <x:c r="A486" s="19"/>
      <x:c r="B486" s="19"/>
      <x:c r="C486" s="19"/>
      <x:c r="D486" s="27"/>
      <x:c r="E486" s="58"/>
      <x:c r="F486" s="78"/>
      <x:c r="G486" s="27"/>
      <x:c r="H486" s="20"/>
      <x:c r="I486" s="19"/>
      <x:c r="J486" s="19"/>
      <x:c r="K486" s="19"/>
    </x:row>
    <x:row r="487">
      <x:c r="A487" s="19"/>
      <x:c r="B487" s="19"/>
      <x:c r="C487" s="19"/>
      <x:c r="D487" s="27"/>
      <x:c r="E487" s="58"/>
      <x:c r="F487" s="78"/>
      <x:c r="G487" s="27"/>
      <x:c r="H487" s="20"/>
      <x:c r="I487" s="19"/>
      <x:c r="J487" s="19"/>
      <x:c r="K487" s="19"/>
    </x:row>
    <x:row r="488">
      <x:c r="A488" s="19"/>
      <x:c r="B488" s="19"/>
      <x:c r="C488" s="19"/>
      <x:c r="D488" s="27"/>
      <x:c r="E488" s="58"/>
      <x:c r="F488" s="78"/>
      <x:c r="G488" s="27"/>
      <x:c r="H488" s="20"/>
      <x:c r="I488" s="19"/>
      <x:c r="J488" s="19"/>
      <x:c r="K488" s="19"/>
    </x:row>
    <x:row r="489">
      <x:c r="A489" s="19"/>
      <x:c r="B489" s="19"/>
      <x:c r="C489" s="19"/>
      <x:c r="D489" s="27"/>
      <x:c r="E489" s="58"/>
      <x:c r="F489" s="78"/>
      <x:c r="G489" s="27"/>
      <x:c r="H489" s="20"/>
      <x:c r="I489" s="19"/>
      <x:c r="J489" s="19"/>
      <x:c r="K489" s="19"/>
    </x:row>
    <x:row r="490">
      <x:c r="A490" s="19"/>
      <x:c r="B490" s="19"/>
      <x:c r="C490" s="19"/>
      <x:c r="D490" s="27"/>
      <x:c r="E490" s="58"/>
      <x:c r="F490" s="78"/>
      <x:c r="G490" s="27"/>
      <x:c r="H490" s="20"/>
      <x:c r="I490" s="19"/>
      <x:c r="J490" s="19"/>
      <x:c r="K490" s="19"/>
    </x:row>
    <x:row r="491">
      <x:c r="A491" s="19"/>
      <x:c r="B491" s="19"/>
      <x:c r="C491" s="19"/>
      <x:c r="D491" s="27"/>
      <x:c r="E491" s="58"/>
      <x:c r="F491" s="78"/>
      <x:c r="G491" s="27"/>
      <x:c r="H491" s="20"/>
      <x:c r="I491" s="19"/>
      <x:c r="J491" s="19"/>
      <x:c r="K491" s="19"/>
    </x:row>
    <x:row r="492">
      <x:c r="A492" s="19"/>
      <x:c r="B492" s="19"/>
      <x:c r="C492" s="19"/>
      <x:c r="D492" s="27"/>
      <x:c r="E492" s="58"/>
      <x:c r="F492" s="78"/>
      <x:c r="G492" s="27"/>
      <x:c r="H492" s="20"/>
      <x:c r="I492" s="19"/>
      <x:c r="J492" s="19"/>
      <x:c r="K492" s="19"/>
    </x:row>
    <x:row r="493">
      <x:c r="A493" s="19"/>
      <x:c r="B493" s="19"/>
      <x:c r="C493" s="19"/>
      <x:c r="D493" s="27"/>
      <x:c r="E493" s="58"/>
      <x:c r="F493" s="78"/>
      <x:c r="G493" s="27"/>
      <x:c r="H493" s="20"/>
      <x:c r="I493" s="19"/>
      <x:c r="J493" s="19"/>
      <x:c r="K493" s="19"/>
    </x:row>
    <x:row r="494">
      <x:c r="A494" s="19"/>
      <x:c r="B494" s="19"/>
      <x:c r="C494" s="19"/>
      <x:c r="D494" s="27"/>
      <x:c r="E494" s="58"/>
      <x:c r="F494" s="78"/>
      <x:c r="G494" s="27"/>
      <x:c r="H494" s="20"/>
      <x:c r="I494" s="19"/>
      <x:c r="J494" s="19"/>
      <x:c r="K494" s="19"/>
    </x:row>
    <x:row r="495">
      <x:c r="A495" s="19"/>
      <x:c r="B495" s="19"/>
      <x:c r="C495" s="19"/>
      <x:c r="D495" s="27"/>
      <x:c r="E495" s="58"/>
      <x:c r="F495" s="78"/>
      <x:c r="G495" s="27"/>
      <x:c r="H495" s="20"/>
      <x:c r="I495" s="19"/>
      <x:c r="J495" s="19"/>
      <x:c r="K495" s="19"/>
    </x:row>
    <x:row r="496">
      <x:c r="A496" s="19"/>
      <x:c r="B496" s="19"/>
      <x:c r="C496" s="19"/>
      <x:c r="D496" s="27"/>
      <x:c r="E496" s="58"/>
      <x:c r="F496" s="78"/>
      <x:c r="G496" s="27"/>
      <x:c r="H496" s="20"/>
      <x:c r="I496" s="19"/>
      <x:c r="J496" s="19"/>
      <x:c r="K496" s="19"/>
    </x:row>
    <x:row r="497">
      <x:c r="A497" s="19"/>
      <x:c r="B497" s="19"/>
      <x:c r="C497" s="19"/>
      <x:c r="D497" s="27"/>
      <x:c r="E497" s="58"/>
      <x:c r="F497" s="78"/>
      <x:c r="G497" s="27"/>
      <x:c r="H497" s="20"/>
      <x:c r="I497" s="19"/>
      <x:c r="J497" s="19"/>
      <x:c r="K497" s="19"/>
    </x:row>
    <x:row r="498">
      <x:c r="A498" s="19"/>
      <x:c r="B498" s="19"/>
      <x:c r="C498" s="19"/>
      <x:c r="D498" s="27"/>
      <x:c r="E498" s="58"/>
      <x:c r="F498" s="78"/>
      <x:c r="G498" s="27"/>
      <x:c r="H498" s="20"/>
      <x:c r="I498" s="19"/>
      <x:c r="J498" s="19"/>
      <x:c r="K498" s="19"/>
    </x:row>
    <x:row r="499">
      <x:c r="A499" s="19"/>
      <x:c r="B499" s="19"/>
      <x:c r="C499" s="19"/>
      <x:c r="D499" s="27"/>
      <x:c r="E499" s="58"/>
      <x:c r="F499" s="78"/>
      <x:c r="G499" s="27"/>
      <x:c r="H499" s="20"/>
      <x:c r="I499" s="19"/>
      <x:c r="J499" s="19"/>
      <x:c r="K499" s="19"/>
    </x:row>
    <x:row r="500">
      <x:c r="A500" s="19"/>
      <x:c r="B500" s="19"/>
      <x:c r="C500" s="19"/>
      <x:c r="D500" s="27"/>
      <x:c r="E500" s="58"/>
      <x:c r="F500" s="78"/>
      <x:c r="G500" s="27"/>
      <x:c r="H500" s="20"/>
      <x:c r="I500" s="19"/>
      <x:c r="J500" s="19"/>
      <x:c r="K500" s="19"/>
    </x:row>
  </x:sheetData>
  <x:conditionalFormatting sqref="B2:B500">
    <x:cfRule type="expression" dxfId="149" priority="1">
      <x:formula>AND($A2&lt;&gt;"",B2="")</x:formula>
    </x:cfRule>
  </x:conditionalFormatting>
  <x:conditionalFormatting sqref="C2:C500">
    <x:cfRule type="expression" dxfId="150" priority="2">
      <x:formula>AND($A2&lt;&gt;"",C2="")</x:formula>
    </x:cfRule>
  </x:conditionalFormatting>
  <x:conditionalFormatting sqref="D2:D500">
    <x:cfRule type="expression" dxfId="151" priority="3">
      <x:formula>AND($A2&lt;&gt;"",D2="")</x:formula>
    </x:cfRule>
  </x:conditionalFormatting>
  <x:conditionalFormatting sqref="E2:E500">
    <x:cfRule type="expression" dxfId="152" priority="4">
      <x:formula>AND($A2&lt;&gt;"",E2="")</x:formula>
    </x:cfRule>
  </x:conditionalFormatting>
  <x:conditionalFormatting sqref="I2:I500">
    <x:cfRule type="expression" dxfId="153" priority="5">
      <x:formula>AND($A2&lt;&gt;"",I2="")</x:formula>
    </x:cfRule>
  </x:conditionalFormatting>
  <x:conditionalFormatting sqref="K2:K500">
    <x:cfRule type="expression" dxfId="154" priority="6">
      <x:formula>AND($A2&lt;&gt;"",K2="")</x:formula>
    </x:cfRule>
  </x:conditionalFormatting>
  <x:dataValidations count="3">
    <x:dataValidation type="list" sqref="I2:I500">
      <x:formula1>"TRUE,FALSE"</x:formula1>
    </x:dataValidation>
    <x:dataValidation type="list" sqref="J2:J500">
      <x:formula1>"open,won,lost"</x:formula1>
    </x:dataValidation>
    <x:dataValidation type="list" sqref="K2:K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fc7e67210445a1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4" hidden="0" customWidth="1"/>
    <x:col min="5" max="5" width="15" hidden="0" customWidth="1"/>
    <x:col min="6" max="6" width="11" hidden="0" customWidth="1"/>
    <x:col min="7" max="7" width="38" hidden="0" customWidth="1"/>
    <x:col min="8" max="8" width="10" hidden="0" customWidth="1"/>
    <x:col min="9" max="9" width="13" hidden="0" customWidth="1"/>
  </x:cols>
  <x:sheetData>
    <x:row r="1" ht="46" customHeight="1">
      <x:c r="A1" s="12" t="str">
        <x:v>شناسه فیلد *
(field_id)</x:v>
      </x:c>
      <x:c r="B1" s="13" t="str">
        <x:v>نوع موجودیت *
(entity_type)</x:v>
      </x:c>
      <x:c r="C1" s="13" t="str">
        <x:v>کلید فیلد *
(field_key)</x:v>
      </x:c>
      <x:c r="D1" s="13" t="str">
        <x:v>عنوان فارسی *
(label_fa)</x:v>
      </x:c>
      <x:c r="E1" s="13" t="str">
        <x:v>نوع داده *
(data_type)</x:v>
      </x:c>
      <x:c r="F1" s="13" t="str">
        <x:v>اجباری *
(required)</x:v>
      </x:c>
      <x:c r="G1" s="13" t="str">
        <x:v>گزینه‌ها
(options_json)</x:v>
      </x:c>
      <x:c r="H1" s="13" t="str">
        <x:v>فعال *
(active)</x:v>
      </x:c>
      <x:c r="I1" s="14" t="str">
        <x:v>ترتیب نمایش *
(sort_order)</x:v>
      </x:c>
    </x:row>
    <x:row r="2">
      <x:c r="A2" s="28" t="str">
        <x:v>fld_lead_qty</x:v>
      </x:c>
      <x:c r="B2" s="29" t="str">
        <x:v>lead</x:v>
      </x:c>
      <x:c r="C2" s="29" t="str">
        <x:v>requested_qty</x:v>
      </x:c>
      <x:c r="D2" s="29" t="str">
        <x:v>مقدار درخواستی</x:v>
      </x:c>
      <x:c r="E2" s="29" t="str">
        <x:v>number</x:v>
      </x:c>
      <x:c r="F2" s="66" t="b">
        <x:v>1</x:v>
      </x:c>
      <x:c r="G2" s="30" t="str"/>
      <x:c r="H2" s="66" t="b">
        <x:v>1</x:v>
      </x:c>
      <x:c r="I2" s="75" t="n">
        <x:v>1</x:v>
      </x:c>
    </x:row>
    <x:row r="3">
      <x:c r="A3" s="37" t="str">
        <x:v>fld_lead_delivery</x:v>
      </x:c>
      <x:c r="B3" s="38" t="str">
        <x:v>lead</x:v>
      </x:c>
      <x:c r="C3" s="38" t="str">
        <x:v>delivery_city</x:v>
      </x:c>
      <x:c r="D3" s="38" t="str">
        <x:v>شهر تحویل</x:v>
      </x:c>
      <x:c r="E3" s="38" t="str">
        <x:v>text</x:v>
      </x:c>
      <x:c r="F3" s="67" t="b">
        <x:v>0</x:v>
      </x:c>
      <x:c r="G3" s="39" t="str"/>
      <x:c r="H3" s="67" t="b">
        <x:v>1</x:v>
      </x:c>
      <x:c r="I3" s="82" t="n">
        <x:v>2</x:v>
      </x:c>
    </x:row>
    <x:row r="4">
      <x:c r="A4" s="46" t="str">
        <x:v>fld_customer_kind</x:v>
      </x:c>
      <x:c r="B4" s="47" t="str">
        <x:v>customer</x:v>
      </x:c>
      <x:c r="C4" s="47" t="str">
        <x:v>business_kind</x:v>
      </x:c>
      <x:c r="D4" s="47" t="str">
        <x:v>نوع کسب‌وکار</x:v>
      </x:c>
      <x:c r="E4" s="47" t="str">
        <x:v>list</x:v>
      </x:c>
      <x:c r="F4" s="68" t="b">
        <x:v>0</x:v>
      </x:c>
      <x:c r="G4" s="48" t="str">
        <x:v>["خرده‌فروش","عمده‌فروش","شرکت","مصرف‌کننده"]</x:v>
      </x:c>
      <x:c r="H4" s="68" t="b">
        <x:v>1</x:v>
      </x:c>
      <x:c r="I4" s="77" t="n">
        <x:v>1</x:v>
      </x:c>
    </x:row>
    <x:row r="5">
      <x:c r="A5" s="19"/>
      <x:c r="B5" s="19"/>
      <x:c r="C5" s="19"/>
      <x:c r="D5" s="19"/>
      <x:c r="E5" s="19"/>
      <x:c r="F5" s="19"/>
      <x:c r="G5" s="20"/>
      <x:c r="H5" s="19"/>
      <x:c r="I5" s="27"/>
    </x:row>
    <x:row r="6">
      <x:c r="A6" s="19"/>
      <x:c r="B6" s="19"/>
      <x:c r="C6" s="19"/>
      <x:c r="D6" s="19"/>
      <x:c r="E6" s="19"/>
      <x:c r="F6" s="19"/>
      <x:c r="G6" s="20"/>
      <x:c r="H6" s="19"/>
      <x:c r="I6" s="27"/>
    </x:row>
    <x:row r="7">
      <x:c r="A7" s="19"/>
      <x:c r="B7" s="19"/>
      <x:c r="C7" s="19"/>
      <x:c r="D7" s="19"/>
      <x:c r="E7" s="19"/>
      <x:c r="F7" s="19"/>
      <x:c r="G7" s="20"/>
      <x:c r="H7" s="19"/>
      <x:c r="I7" s="27"/>
    </x:row>
    <x:row r="8">
      <x:c r="A8" s="19"/>
      <x:c r="B8" s="19"/>
      <x:c r="C8" s="19"/>
      <x:c r="D8" s="19"/>
      <x:c r="E8" s="19"/>
      <x:c r="F8" s="19"/>
      <x:c r="G8" s="20"/>
      <x:c r="H8" s="19"/>
      <x:c r="I8" s="27"/>
    </x:row>
    <x:row r="9">
      <x:c r="A9" s="19"/>
      <x:c r="B9" s="19"/>
      <x:c r="C9" s="19"/>
      <x:c r="D9" s="19"/>
      <x:c r="E9" s="19"/>
      <x:c r="F9" s="19"/>
      <x:c r="G9" s="20"/>
      <x:c r="H9" s="19"/>
      <x:c r="I9" s="27"/>
    </x:row>
    <x:row r="10">
      <x:c r="A10" s="19"/>
      <x:c r="B10" s="19"/>
      <x:c r="C10" s="19"/>
      <x:c r="D10" s="19"/>
      <x:c r="E10" s="19"/>
      <x:c r="F10" s="19"/>
      <x:c r="G10" s="20"/>
      <x:c r="H10" s="19"/>
      <x:c r="I10" s="27"/>
    </x:row>
    <x:row r="11">
      <x:c r="A11" s="19"/>
      <x:c r="B11" s="19"/>
      <x:c r="C11" s="19"/>
      <x:c r="D11" s="19"/>
      <x:c r="E11" s="19"/>
      <x:c r="F11" s="19"/>
      <x:c r="G11" s="20"/>
      <x:c r="H11" s="19"/>
      <x:c r="I11" s="27"/>
    </x:row>
    <x:row r="12">
      <x:c r="A12" s="19"/>
      <x:c r="B12" s="19"/>
      <x:c r="C12" s="19"/>
      <x:c r="D12" s="19"/>
      <x:c r="E12" s="19"/>
      <x:c r="F12" s="19"/>
      <x:c r="G12" s="20"/>
      <x:c r="H12" s="19"/>
      <x:c r="I12" s="27"/>
    </x:row>
    <x:row r="13">
      <x:c r="A13" s="19"/>
      <x:c r="B13" s="19"/>
      <x:c r="C13" s="19"/>
      <x:c r="D13" s="19"/>
      <x:c r="E13" s="19"/>
      <x:c r="F13" s="19"/>
      <x:c r="G13" s="20"/>
      <x:c r="H13" s="19"/>
      <x:c r="I13" s="27"/>
    </x:row>
    <x:row r="14">
      <x:c r="A14" s="19"/>
      <x:c r="B14" s="19"/>
      <x:c r="C14" s="19"/>
      <x:c r="D14" s="19"/>
      <x:c r="E14" s="19"/>
      <x:c r="F14" s="19"/>
      <x:c r="G14" s="20"/>
      <x:c r="H14" s="19"/>
      <x:c r="I14" s="27"/>
    </x:row>
    <x:row r="15">
      <x:c r="A15" s="19"/>
      <x:c r="B15" s="19"/>
      <x:c r="C15" s="19"/>
      <x:c r="D15" s="19"/>
      <x:c r="E15" s="19"/>
      <x:c r="F15" s="19"/>
      <x:c r="G15" s="20"/>
      <x:c r="H15" s="19"/>
      <x:c r="I15" s="27"/>
    </x:row>
    <x:row r="16">
      <x:c r="A16" s="19"/>
      <x:c r="B16" s="19"/>
      <x:c r="C16" s="19"/>
      <x:c r="D16" s="19"/>
      <x:c r="E16" s="19"/>
      <x:c r="F16" s="19"/>
      <x:c r="G16" s="20"/>
      <x:c r="H16" s="19"/>
      <x:c r="I16" s="27"/>
    </x:row>
    <x:row r="17">
      <x:c r="A17" s="19"/>
      <x:c r="B17" s="19"/>
      <x:c r="C17" s="19"/>
      <x:c r="D17" s="19"/>
      <x:c r="E17" s="19"/>
      <x:c r="F17" s="19"/>
      <x:c r="G17" s="20"/>
      <x:c r="H17" s="19"/>
      <x:c r="I17" s="27"/>
    </x:row>
    <x:row r="18">
      <x:c r="A18" s="19"/>
      <x:c r="B18" s="19"/>
      <x:c r="C18" s="19"/>
      <x:c r="D18" s="19"/>
      <x:c r="E18" s="19"/>
      <x:c r="F18" s="19"/>
      <x:c r="G18" s="20"/>
      <x:c r="H18" s="19"/>
      <x:c r="I18" s="27"/>
    </x:row>
    <x:row r="19">
      <x:c r="A19" s="19"/>
      <x:c r="B19" s="19"/>
      <x:c r="C19" s="19"/>
      <x:c r="D19" s="19"/>
      <x:c r="E19" s="19"/>
      <x:c r="F19" s="19"/>
      <x:c r="G19" s="20"/>
      <x:c r="H19" s="19"/>
      <x:c r="I19" s="27"/>
    </x:row>
    <x:row r="20">
      <x:c r="A20" s="19"/>
      <x:c r="B20" s="19"/>
      <x:c r="C20" s="19"/>
      <x:c r="D20" s="19"/>
      <x:c r="E20" s="19"/>
      <x:c r="F20" s="19"/>
      <x:c r="G20" s="20"/>
      <x:c r="H20" s="19"/>
      <x:c r="I20" s="27"/>
    </x:row>
    <x:row r="21">
      <x:c r="A21" s="19"/>
      <x:c r="B21" s="19"/>
      <x:c r="C21" s="19"/>
      <x:c r="D21" s="19"/>
      <x:c r="E21" s="19"/>
      <x:c r="F21" s="19"/>
      <x:c r="G21" s="20"/>
      <x:c r="H21" s="19"/>
      <x:c r="I21" s="27"/>
    </x:row>
    <x:row r="22">
      <x:c r="A22" s="19"/>
      <x:c r="B22" s="19"/>
      <x:c r="C22" s="19"/>
      <x:c r="D22" s="19"/>
      <x:c r="E22" s="19"/>
      <x:c r="F22" s="19"/>
      <x:c r="G22" s="20"/>
      <x:c r="H22" s="19"/>
      <x:c r="I22" s="27"/>
    </x:row>
    <x:row r="23">
      <x:c r="A23" s="19"/>
      <x:c r="B23" s="19"/>
      <x:c r="C23" s="19"/>
      <x:c r="D23" s="19"/>
      <x:c r="E23" s="19"/>
      <x:c r="F23" s="19"/>
      <x:c r="G23" s="20"/>
      <x:c r="H23" s="19"/>
      <x:c r="I23" s="27"/>
    </x:row>
    <x:row r="24">
      <x:c r="A24" s="19"/>
      <x:c r="B24" s="19"/>
      <x:c r="C24" s="19"/>
      <x:c r="D24" s="19"/>
      <x:c r="E24" s="19"/>
      <x:c r="F24" s="19"/>
      <x:c r="G24" s="20"/>
      <x:c r="H24" s="19"/>
      <x:c r="I24" s="27"/>
    </x:row>
    <x:row r="25">
      <x:c r="A25" s="19"/>
      <x:c r="B25" s="19"/>
      <x:c r="C25" s="19"/>
      <x:c r="D25" s="19"/>
      <x:c r="E25" s="19"/>
      <x:c r="F25" s="19"/>
      <x:c r="G25" s="20"/>
      <x:c r="H25" s="19"/>
      <x:c r="I25" s="27"/>
    </x:row>
    <x:row r="26">
      <x:c r="A26" s="19"/>
      <x:c r="B26" s="19"/>
      <x:c r="C26" s="19"/>
      <x:c r="D26" s="19"/>
      <x:c r="E26" s="19"/>
      <x:c r="F26" s="19"/>
      <x:c r="G26" s="20"/>
      <x:c r="H26" s="19"/>
      <x:c r="I26" s="27"/>
    </x:row>
    <x:row r="27">
      <x:c r="A27" s="19"/>
      <x:c r="B27" s="19"/>
      <x:c r="C27" s="19"/>
      <x:c r="D27" s="19"/>
      <x:c r="E27" s="19"/>
      <x:c r="F27" s="19"/>
      <x:c r="G27" s="20"/>
      <x:c r="H27" s="19"/>
      <x:c r="I27" s="27"/>
    </x:row>
    <x:row r="28">
      <x:c r="A28" s="19"/>
      <x:c r="B28" s="19"/>
      <x:c r="C28" s="19"/>
      <x:c r="D28" s="19"/>
      <x:c r="E28" s="19"/>
      <x:c r="F28" s="19"/>
      <x:c r="G28" s="20"/>
      <x:c r="H28" s="19"/>
      <x:c r="I28" s="27"/>
    </x:row>
    <x:row r="29">
      <x:c r="A29" s="19"/>
      <x:c r="B29" s="19"/>
      <x:c r="C29" s="19"/>
      <x:c r="D29" s="19"/>
      <x:c r="E29" s="19"/>
      <x:c r="F29" s="19"/>
      <x:c r="G29" s="20"/>
      <x:c r="H29" s="19"/>
      <x:c r="I29" s="27"/>
    </x:row>
    <x:row r="30">
      <x:c r="A30" s="19"/>
      <x:c r="B30" s="19"/>
      <x:c r="C30" s="19"/>
      <x:c r="D30" s="19"/>
      <x:c r="E30" s="19"/>
      <x:c r="F30" s="19"/>
      <x:c r="G30" s="20"/>
      <x:c r="H30" s="19"/>
      <x:c r="I30" s="27"/>
    </x:row>
    <x:row r="31">
      <x:c r="A31" s="19"/>
      <x:c r="B31" s="19"/>
      <x:c r="C31" s="19"/>
      <x:c r="D31" s="19"/>
      <x:c r="E31" s="19"/>
      <x:c r="F31" s="19"/>
      <x:c r="G31" s="20"/>
      <x:c r="H31" s="19"/>
      <x:c r="I31" s="27"/>
    </x:row>
    <x:row r="32">
      <x:c r="A32" s="19"/>
      <x:c r="B32" s="19"/>
      <x:c r="C32" s="19"/>
      <x:c r="D32" s="19"/>
      <x:c r="E32" s="19"/>
      <x:c r="F32" s="19"/>
      <x:c r="G32" s="20"/>
      <x:c r="H32" s="19"/>
      <x:c r="I32" s="27"/>
    </x:row>
    <x:row r="33">
      <x:c r="A33" s="19"/>
      <x:c r="B33" s="19"/>
      <x:c r="C33" s="19"/>
      <x:c r="D33" s="19"/>
      <x:c r="E33" s="19"/>
      <x:c r="F33" s="19"/>
      <x:c r="G33" s="20"/>
      <x:c r="H33" s="19"/>
      <x:c r="I33" s="27"/>
    </x:row>
    <x:row r="34">
      <x:c r="A34" s="19"/>
      <x:c r="B34" s="19"/>
      <x:c r="C34" s="19"/>
      <x:c r="D34" s="19"/>
      <x:c r="E34" s="19"/>
      <x:c r="F34" s="19"/>
      <x:c r="G34" s="20"/>
      <x:c r="H34" s="19"/>
      <x:c r="I34" s="27"/>
    </x:row>
    <x:row r="35">
      <x:c r="A35" s="19"/>
      <x:c r="B35" s="19"/>
      <x:c r="C35" s="19"/>
      <x:c r="D35" s="19"/>
      <x:c r="E35" s="19"/>
      <x:c r="F35" s="19"/>
      <x:c r="G35" s="20"/>
      <x:c r="H35" s="19"/>
      <x:c r="I35" s="27"/>
    </x:row>
    <x:row r="36">
      <x:c r="A36" s="19"/>
      <x:c r="B36" s="19"/>
      <x:c r="C36" s="19"/>
      <x:c r="D36" s="19"/>
      <x:c r="E36" s="19"/>
      <x:c r="F36" s="19"/>
      <x:c r="G36" s="20"/>
      <x:c r="H36" s="19"/>
      <x:c r="I36" s="27"/>
    </x:row>
    <x:row r="37">
      <x:c r="A37" s="19"/>
      <x:c r="B37" s="19"/>
      <x:c r="C37" s="19"/>
      <x:c r="D37" s="19"/>
      <x:c r="E37" s="19"/>
      <x:c r="F37" s="19"/>
      <x:c r="G37" s="20"/>
      <x:c r="H37" s="19"/>
      <x:c r="I37" s="27"/>
    </x:row>
    <x:row r="38">
      <x:c r="A38" s="19"/>
      <x:c r="B38" s="19"/>
      <x:c r="C38" s="19"/>
      <x:c r="D38" s="19"/>
      <x:c r="E38" s="19"/>
      <x:c r="F38" s="19"/>
      <x:c r="G38" s="20"/>
      <x:c r="H38" s="19"/>
      <x:c r="I38" s="27"/>
    </x:row>
    <x:row r="39">
      <x:c r="A39" s="19"/>
      <x:c r="B39" s="19"/>
      <x:c r="C39" s="19"/>
      <x:c r="D39" s="19"/>
      <x:c r="E39" s="19"/>
      <x:c r="F39" s="19"/>
      <x:c r="G39" s="20"/>
      <x:c r="H39" s="19"/>
      <x:c r="I39" s="27"/>
    </x:row>
    <x:row r="40">
      <x:c r="A40" s="19"/>
      <x:c r="B40" s="19"/>
      <x:c r="C40" s="19"/>
      <x:c r="D40" s="19"/>
      <x:c r="E40" s="19"/>
      <x:c r="F40" s="19"/>
      <x:c r="G40" s="20"/>
      <x:c r="H40" s="19"/>
      <x:c r="I40" s="27"/>
    </x:row>
    <x:row r="41">
      <x:c r="A41" s="19"/>
      <x:c r="B41" s="19"/>
      <x:c r="C41" s="19"/>
      <x:c r="D41" s="19"/>
      <x:c r="E41" s="19"/>
      <x:c r="F41" s="19"/>
      <x:c r="G41" s="20"/>
      <x:c r="H41" s="19"/>
      <x:c r="I41" s="27"/>
    </x:row>
    <x:row r="42">
      <x:c r="A42" s="19"/>
      <x:c r="B42" s="19"/>
      <x:c r="C42" s="19"/>
      <x:c r="D42" s="19"/>
      <x:c r="E42" s="19"/>
      <x:c r="F42" s="19"/>
      <x:c r="G42" s="20"/>
      <x:c r="H42" s="19"/>
      <x:c r="I42" s="27"/>
    </x:row>
    <x:row r="43">
      <x:c r="A43" s="19"/>
      <x:c r="B43" s="19"/>
      <x:c r="C43" s="19"/>
      <x:c r="D43" s="19"/>
      <x:c r="E43" s="19"/>
      <x:c r="F43" s="19"/>
      <x:c r="G43" s="20"/>
      <x:c r="H43" s="19"/>
      <x:c r="I43" s="27"/>
    </x:row>
    <x:row r="44">
      <x:c r="A44" s="19"/>
      <x:c r="B44" s="19"/>
      <x:c r="C44" s="19"/>
      <x:c r="D44" s="19"/>
      <x:c r="E44" s="19"/>
      <x:c r="F44" s="19"/>
      <x:c r="G44" s="20"/>
      <x:c r="H44" s="19"/>
      <x:c r="I44" s="27"/>
    </x:row>
    <x:row r="45">
      <x:c r="A45" s="19"/>
      <x:c r="B45" s="19"/>
      <x:c r="C45" s="19"/>
      <x:c r="D45" s="19"/>
      <x:c r="E45" s="19"/>
      <x:c r="F45" s="19"/>
      <x:c r="G45" s="20"/>
      <x:c r="H45" s="19"/>
      <x:c r="I45" s="27"/>
    </x:row>
    <x:row r="46">
      <x:c r="A46" s="19"/>
      <x:c r="B46" s="19"/>
      <x:c r="C46" s="19"/>
      <x:c r="D46" s="19"/>
      <x:c r="E46" s="19"/>
      <x:c r="F46" s="19"/>
      <x:c r="G46" s="20"/>
      <x:c r="H46" s="19"/>
      <x:c r="I46" s="27"/>
    </x:row>
    <x:row r="47">
      <x:c r="A47" s="19"/>
      <x:c r="B47" s="19"/>
      <x:c r="C47" s="19"/>
      <x:c r="D47" s="19"/>
      <x:c r="E47" s="19"/>
      <x:c r="F47" s="19"/>
      <x:c r="G47" s="20"/>
      <x:c r="H47" s="19"/>
      <x:c r="I47" s="27"/>
    </x:row>
    <x:row r="48">
      <x:c r="A48" s="19"/>
      <x:c r="B48" s="19"/>
      <x:c r="C48" s="19"/>
      <x:c r="D48" s="19"/>
      <x:c r="E48" s="19"/>
      <x:c r="F48" s="19"/>
      <x:c r="G48" s="20"/>
      <x:c r="H48" s="19"/>
      <x:c r="I48" s="27"/>
    </x:row>
    <x:row r="49">
      <x:c r="A49" s="19"/>
      <x:c r="B49" s="19"/>
      <x:c r="C49" s="19"/>
      <x:c r="D49" s="19"/>
      <x:c r="E49" s="19"/>
      <x:c r="F49" s="19"/>
      <x:c r="G49" s="20"/>
      <x:c r="H49" s="19"/>
      <x:c r="I49" s="27"/>
    </x:row>
    <x:row r="50">
      <x:c r="A50" s="19"/>
      <x:c r="B50" s="19"/>
      <x:c r="C50" s="19"/>
      <x:c r="D50" s="19"/>
      <x:c r="E50" s="19"/>
      <x:c r="F50" s="19"/>
      <x:c r="G50" s="20"/>
      <x:c r="H50" s="19"/>
      <x:c r="I50" s="27"/>
    </x:row>
    <x:row r="51">
      <x:c r="A51" s="19"/>
      <x:c r="B51" s="19"/>
      <x:c r="C51" s="19"/>
      <x:c r="D51" s="19"/>
      <x:c r="E51" s="19"/>
      <x:c r="F51" s="19"/>
      <x:c r="G51" s="20"/>
      <x:c r="H51" s="19"/>
      <x:c r="I51" s="27"/>
    </x:row>
    <x:row r="52">
      <x:c r="A52" s="19"/>
      <x:c r="B52" s="19"/>
      <x:c r="C52" s="19"/>
      <x:c r="D52" s="19"/>
      <x:c r="E52" s="19"/>
      <x:c r="F52" s="19"/>
      <x:c r="G52" s="20"/>
      <x:c r="H52" s="19"/>
      <x:c r="I52" s="27"/>
    </x:row>
    <x:row r="53">
      <x:c r="A53" s="19"/>
      <x:c r="B53" s="19"/>
      <x:c r="C53" s="19"/>
      <x:c r="D53" s="19"/>
      <x:c r="E53" s="19"/>
      <x:c r="F53" s="19"/>
      <x:c r="G53" s="20"/>
      <x:c r="H53" s="19"/>
      <x:c r="I53" s="27"/>
    </x:row>
    <x:row r="54">
      <x:c r="A54" s="19"/>
      <x:c r="B54" s="19"/>
      <x:c r="C54" s="19"/>
      <x:c r="D54" s="19"/>
      <x:c r="E54" s="19"/>
      <x:c r="F54" s="19"/>
      <x:c r="G54" s="20"/>
      <x:c r="H54" s="19"/>
      <x:c r="I54" s="27"/>
    </x:row>
    <x:row r="55">
      <x:c r="A55" s="19"/>
      <x:c r="B55" s="19"/>
      <x:c r="C55" s="19"/>
      <x:c r="D55" s="19"/>
      <x:c r="E55" s="19"/>
      <x:c r="F55" s="19"/>
      <x:c r="G55" s="20"/>
      <x:c r="H55" s="19"/>
      <x:c r="I55" s="27"/>
    </x:row>
    <x:row r="56">
      <x:c r="A56" s="19"/>
      <x:c r="B56" s="19"/>
      <x:c r="C56" s="19"/>
      <x:c r="D56" s="19"/>
      <x:c r="E56" s="19"/>
      <x:c r="F56" s="19"/>
      <x:c r="G56" s="20"/>
      <x:c r="H56" s="19"/>
      <x:c r="I56" s="27"/>
    </x:row>
    <x:row r="57">
      <x:c r="A57" s="19"/>
      <x:c r="B57" s="19"/>
      <x:c r="C57" s="19"/>
      <x:c r="D57" s="19"/>
      <x:c r="E57" s="19"/>
      <x:c r="F57" s="19"/>
      <x:c r="G57" s="20"/>
      <x:c r="H57" s="19"/>
      <x:c r="I57" s="27"/>
    </x:row>
    <x:row r="58">
      <x:c r="A58" s="19"/>
      <x:c r="B58" s="19"/>
      <x:c r="C58" s="19"/>
      <x:c r="D58" s="19"/>
      <x:c r="E58" s="19"/>
      <x:c r="F58" s="19"/>
      <x:c r="G58" s="20"/>
      <x:c r="H58" s="19"/>
      <x:c r="I58" s="27"/>
    </x:row>
    <x:row r="59">
      <x:c r="A59" s="19"/>
      <x:c r="B59" s="19"/>
      <x:c r="C59" s="19"/>
      <x:c r="D59" s="19"/>
      <x:c r="E59" s="19"/>
      <x:c r="F59" s="19"/>
      <x:c r="G59" s="20"/>
      <x:c r="H59" s="19"/>
      <x:c r="I59" s="27"/>
    </x:row>
    <x:row r="60">
      <x:c r="A60" s="19"/>
      <x:c r="B60" s="19"/>
      <x:c r="C60" s="19"/>
      <x:c r="D60" s="19"/>
      <x:c r="E60" s="19"/>
      <x:c r="F60" s="19"/>
      <x:c r="G60" s="20"/>
      <x:c r="H60" s="19"/>
      <x:c r="I60" s="27"/>
    </x:row>
    <x:row r="61">
      <x:c r="A61" s="19"/>
      <x:c r="B61" s="19"/>
      <x:c r="C61" s="19"/>
      <x:c r="D61" s="19"/>
      <x:c r="E61" s="19"/>
      <x:c r="F61" s="19"/>
      <x:c r="G61" s="20"/>
      <x:c r="H61" s="19"/>
      <x:c r="I61" s="27"/>
    </x:row>
    <x:row r="62">
      <x:c r="A62" s="19"/>
      <x:c r="B62" s="19"/>
      <x:c r="C62" s="19"/>
      <x:c r="D62" s="19"/>
      <x:c r="E62" s="19"/>
      <x:c r="F62" s="19"/>
      <x:c r="G62" s="20"/>
      <x:c r="H62" s="19"/>
      <x:c r="I62" s="27"/>
    </x:row>
    <x:row r="63">
      <x:c r="A63" s="19"/>
      <x:c r="B63" s="19"/>
      <x:c r="C63" s="19"/>
      <x:c r="D63" s="19"/>
      <x:c r="E63" s="19"/>
      <x:c r="F63" s="19"/>
      <x:c r="G63" s="20"/>
      <x:c r="H63" s="19"/>
      <x:c r="I63" s="27"/>
    </x:row>
    <x:row r="64">
      <x:c r="A64" s="19"/>
      <x:c r="B64" s="19"/>
      <x:c r="C64" s="19"/>
      <x:c r="D64" s="19"/>
      <x:c r="E64" s="19"/>
      <x:c r="F64" s="19"/>
      <x:c r="G64" s="20"/>
      <x:c r="H64" s="19"/>
      <x:c r="I64" s="27"/>
    </x:row>
    <x:row r="65">
      <x:c r="A65" s="19"/>
      <x:c r="B65" s="19"/>
      <x:c r="C65" s="19"/>
      <x:c r="D65" s="19"/>
      <x:c r="E65" s="19"/>
      <x:c r="F65" s="19"/>
      <x:c r="G65" s="20"/>
      <x:c r="H65" s="19"/>
      <x:c r="I65" s="27"/>
    </x:row>
    <x:row r="66">
      <x:c r="A66" s="19"/>
      <x:c r="B66" s="19"/>
      <x:c r="C66" s="19"/>
      <x:c r="D66" s="19"/>
      <x:c r="E66" s="19"/>
      <x:c r="F66" s="19"/>
      <x:c r="G66" s="20"/>
      <x:c r="H66" s="19"/>
      <x:c r="I66" s="27"/>
    </x:row>
    <x:row r="67">
      <x:c r="A67" s="19"/>
      <x:c r="B67" s="19"/>
      <x:c r="C67" s="19"/>
      <x:c r="D67" s="19"/>
      <x:c r="E67" s="19"/>
      <x:c r="F67" s="19"/>
      <x:c r="G67" s="20"/>
      <x:c r="H67" s="19"/>
      <x:c r="I67" s="27"/>
    </x:row>
    <x:row r="68">
      <x:c r="A68" s="19"/>
      <x:c r="B68" s="19"/>
      <x:c r="C68" s="19"/>
      <x:c r="D68" s="19"/>
      <x:c r="E68" s="19"/>
      <x:c r="F68" s="19"/>
      <x:c r="G68" s="20"/>
      <x:c r="H68" s="19"/>
      <x:c r="I68" s="27"/>
    </x:row>
    <x:row r="69">
      <x:c r="A69" s="19"/>
      <x:c r="B69" s="19"/>
      <x:c r="C69" s="19"/>
      <x:c r="D69" s="19"/>
      <x:c r="E69" s="19"/>
      <x:c r="F69" s="19"/>
      <x:c r="G69" s="20"/>
      <x:c r="H69" s="19"/>
      <x:c r="I69" s="27"/>
    </x:row>
    <x:row r="70">
      <x:c r="A70" s="19"/>
      <x:c r="B70" s="19"/>
      <x:c r="C70" s="19"/>
      <x:c r="D70" s="19"/>
      <x:c r="E70" s="19"/>
      <x:c r="F70" s="19"/>
      <x:c r="G70" s="20"/>
      <x:c r="H70" s="19"/>
      <x:c r="I70" s="27"/>
    </x:row>
    <x:row r="71">
      <x:c r="A71" s="19"/>
      <x:c r="B71" s="19"/>
      <x:c r="C71" s="19"/>
      <x:c r="D71" s="19"/>
      <x:c r="E71" s="19"/>
      <x:c r="F71" s="19"/>
      <x:c r="G71" s="20"/>
      <x:c r="H71" s="19"/>
      <x:c r="I71" s="27"/>
    </x:row>
    <x:row r="72">
      <x:c r="A72" s="19"/>
      <x:c r="B72" s="19"/>
      <x:c r="C72" s="19"/>
      <x:c r="D72" s="19"/>
      <x:c r="E72" s="19"/>
      <x:c r="F72" s="19"/>
      <x:c r="G72" s="20"/>
      <x:c r="H72" s="19"/>
      <x:c r="I72" s="27"/>
    </x:row>
    <x:row r="73">
      <x:c r="A73" s="19"/>
      <x:c r="B73" s="19"/>
      <x:c r="C73" s="19"/>
      <x:c r="D73" s="19"/>
      <x:c r="E73" s="19"/>
      <x:c r="F73" s="19"/>
      <x:c r="G73" s="20"/>
      <x:c r="H73" s="19"/>
      <x:c r="I73" s="27"/>
    </x:row>
    <x:row r="74">
      <x:c r="A74" s="19"/>
      <x:c r="B74" s="19"/>
      <x:c r="C74" s="19"/>
      <x:c r="D74" s="19"/>
      <x:c r="E74" s="19"/>
      <x:c r="F74" s="19"/>
      <x:c r="G74" s="20"/>
      <x:c r="H74" s="19"/>
      <x:c r="I74" s="27"/>
    </x:row>
    <x:row r="75">
      <x:c r="A75" s="19"/>
      <x:c r="B75" s="19"/>
      <x:c r="C75" s="19"/>
      <x:c r="D75" s="19"/>
      <x:c r="E75" s="19"/>
      <x:c r="F75" s="19"/>
      <x:c r="G75" s="20"/>
      <x:c r="H75" s="19"/>
      <x:c r="I75" s="27"/>
    </x:row>
    <x:row r="76">
      <x:c r="A76" s="19"/>
      <x:c r="B76" s="19"/>
      <x:c r="C76" s="19"/>
      <x:c r="D76" s="19"/>
      <x:c r="E76" s="19"/>
      <x:c r="F76" s="19"/>
      <x:c r="G76" s="20"/>
      <x:c r="H76" s="19"/>
      <x:c r="I76" s="27"/>
    </x:row>
    <x:row r="77">
      <x:c r="A77" s="19"/>
      <x:c r="B77" s="19"/>
      <x:c r="C77" s="19"/>
      <x:c r="D77" s="19"/>
      <x:c r="E77" s="19"/>
      <x:c r="F77" s="19"/>
      <x:c r="G77" s="20"/>
      <x:c r="H77" s="19"/>
      <x:c r="I77" s="27"/>
    </x:row>
    <x:row r="78">
      <x:c r="A78" s="19"/>
      <x:c r="B78" s="19"/>
      <x:c r="C78" s="19"/>
      <x:c r="D78" s="19"/>
      <x:c r="E78" s="19"/>
      <x:c r="F78" s="19"/>
      <x:c r="G78" s="20"/>
      <x:c r="H78" s="19"/>
      <x:c r="I78" s="27"/>
    </x:row>
    <x:row r="79">
      <x:c r="A79" s="19"/>
      <x:c r="B79" s="19"/>
      <x:c r="C79" s="19"/>
      <x:c r="D79" s="19"/>
      <x:c r="E79" s="19"/>
      <x:c r="F79" s="19"/>
      <x:c r="G79" s="20"/>
      <x:c r="H79" s="19"/>
      <x:c r="I79" s="27"/>
    </x:row>
    <x:row r="80">
      <x:c r="A80" s="19"/>
      <x:c r="B80" s="19"/>
      <x:c r="C80" s="19"/>
      <x:c r="D80" s="19"/>
      <x:c r="E80" s="19"/>
      <x:c r="F80" s="19"/>
      <x:c r="G80" s="20"/>
      <x:c r="H80" s="19"/>
      <x:c r="I80" s="27"/>
    </x:row>
    <x:row r="81">
      <x:c r="A81" s="19"/>
      <x:c r="B81" s="19"/>
      <x:c r="C81" s="19"/>
      <x:c r="D81" s="19"/>
      <x:c r="E81" s="19"/>
      <x:c r="F81" s="19"/>
      <x:c r="G81" s="20"/>
      <x:c r="H81" s="19"/>
      <x:c r="I81" s="27"/>
    </x:row>
    <x:row r="82">
      <x:c r="A82" s="19"/>
      <x:c r="B82" s="19"/>
      <x:c r="C82" s="19"/>
      <x:c r="D82" s="19"/>
      <x:c r="E82" s="19"/>
      <x:c r="F82" s="19"/>
      <x:c r="G82" s="20"/>
      <x:c r="H82" s="19"/>
      <x:c r="I82" s="27"/>
    </x:row>
    <x:row r="83">
      <x:c r="A83" s="19"/>
      <x:c r="B83" s="19"/>
      <x:c r="C83" s="19"/>
      <x:c r="D83" s="19"/>
      <x:c r="E83" s="19"/>
      <x:c r="F83" s="19"/>
      <x:c r="G83" s="20"/>
      <x:c r="H83" s="19"/>
      <x:c r="I83" s="27"/>
    </x:row>
    <x:row r="84">
      <x:c r="A84" s="19"/>
      <x:c r="B84" s="19"/>
      <x:c r="C84" s="19"/>
      <x:c r="D84" s="19"/>
      <x:c r="E84" s="19"/>
      <x:c r="F84" s="19"/>
      <x:c r="G84" s="20"/>
      <x:c r="H84" s="19"/>
      <x:c r="I84" s="27"/>
    </x:row>
    <x:row r="85">
      <x:c r="A85" s="19"/>
      <x:c r="B85" s="19"/>
      <x:c r="C85" s="19"/>
      <x:c r="D85" s="19"/>
      <x:c r="E85" s="19"/>
      <x:c r="F85" s="19"/>
      <x:c r="G85" s="20"/>
      <x:c r="H85" s="19"/>
      <x:c r="I85" s="27"/>
    </x:row>
    <x:row r="86">
      <x:c r="A86" s="19"/>
      <x:c r="B86" s="19"/>
      <x:c r="C86" s="19"/>
      <x:c r="D86" s="19"/>
      <x:c r="E86" s="19"/>
      <x:c r="F86" s="19"/>
      <x:c r="G86" s="20"/>
      <x:c r="H86" s="19"/>
      <x:c r="I86" s="27"/>
    </x:row>
    <x:row r="87">
      <x:c r="A87" s="19"/>
      <x:c r="B87" s="19"/>
      <x:c r="C87" s="19"/>
      <x:c r="D87" s="19"/>
      <x:c r="E87" s="19"/>
      <x:c r="F87" s="19"/>
      <x:c r="G87" s="20"/>
      <x:c r="H87" s="19"/>
      <x:c r="I87" s="27"/>
    </x:row>
    <x:row r="88">
      <x:c r="A88" s="19"/>
      <x:c r="B88" s="19"/>
      <x:c r="C88" s="19"/>
      <x:c r="D88" s="19"/>
      <x:c r="E88" s="19"/>
      <x:c r="F88" s="19"/>
      <x:c r="G88" s="20"/>
      <x:c r="H88" s="19"/>
      <x:c r="I88" s="27"/>
    </x:row>
    <x:row r="89">
      <x:c r="A89" s="19"/>
      <x:c r="B89" s="19"/>
      <x:c r="C89" s="19"/>
      <x:c r="D89" s="19"/>
      <x:c r="E89" s="19"/>
      <x:c r="F89" s="19"/>
      <x:c r="G89" s="20"/>
      <x:c r="H89" s="19"/>
      <x:c r="I89" s="27"/>
    </x:row>
    <x:row r="90">
      <x:c r="A90" s="19"/>
      <x:c r="B90" s="19"/>
      <x:c r="C90" s="19"/>
      <x:c r="D90" s="19"/>
      <x:c r="E90" s="19"/>
      <x:c r="F90" s="19"/>
      <x:c r="G90" s="20"/>
      <x:c r="H90" s="19"/>
      <x:c r="I90" s="27"/>
    </x:row>
    <x:row r="91">
      <x:c r="A91" s="19"/>
      <x:c r="B91" s="19"/>
      <x:c r="C91" s="19"/>
      <x:c r="D91" s="19"/>
      <x:c r="E91" s="19"/>
      <x:c r="F91" s="19"/>
      <x:c r="G91" s="20"/>
      <x:c r="H91" s="19"/>
      <x:c r="I91" s="27"/>
    </x:row>
    <x:row r="92">
      <x:c r="A92" s="19"/>
      <x:c r="B92" s="19"/>
      <x:c r="C92" s="19"/>
      <x:c r="D92" s="19"/>
      <x:c r="E92" s="19"/>
      <x:c r="F92" s="19"/>
      <x:c r="G92" s="20"/>
      <x:c r="H92" s="19"/>
      <x:c r="I92" s="27"/>
    </x:row>
    <x:row r="93">
      <x:c r="A93" s="19"/>
      <x:c r="B93" s="19"/>
      <x:c r="C93" s="19"/>
      <x:c r="D93" s="19"/>
      <x:c r="E93" s="19"/>
      <x:c r="F93" s="19"/>
      <x:c r="G93" s="20"/>
      <x:c r="H93" s="19"/>
      <x:c r="I93" s="27"/>
    </x:row>
    <x:row r="94">
      <x:c r="A94" s="19"/>
      <x:c r="B94" s="19"/>
      <x:c r="C94" s="19"/>
      <x:c r="D94" s="19"/>
      <x:c r="E94" s="19"/>
      <x:c r="F94" s="19"/>
      <x:c r="G94" s="20"/>
      <x:c r="H94" s="19"/>
      <x:c r="I94" s="27"/>
    </x:row>
    <x:row r="95">
      <x:c r="A95" s="19"/>
      <x:c r="B95" s="19"/>
      <x:c r="C95" s="19"/>
      <x:c r="D95" s="19"/>
      <x:c r="E95" s="19"/>
      <x:c r="F95" s="19"/>
      <x:c r="G95" s="20"/>
      <x:c r="H95" s="19"/>
      <x:c r="I95" s="27"/>
    </x:row>
    <x:row r="96">
      <x:c r="A96" s="19"/>
      <x:c r="B96" s="19"/>
      <x:c r="C96" s="19"/>
      <x:c r="D96" s="19"/>
      <x:c r="E96" s="19"/>
      <x:c r="F96" s="19"/>
      <x:c r="G96" s="20"/>
      <x:c r="H96" s="19"/>
      <x:c r="I96" s="27"/>
    </x:row>
    <x:row r="97">
      <x:c r="A97" s="19"/>
      <x:c r="B97" s="19"/>
      <x:c r="C97" s="19"/>
      <x:c r="D97" s="19"/>
      <x:c r="E97" s="19"/>
      <x:c r="F97" s="19"/>
      <x:c r="G97" s="20"/>
      <x:c r="H97" s="19"/>
      <x:c r="I97" s="27"/>
    </x:row>
    <x:row r="98">
      <x:c r="A98" s="19"/>
      <x:c r="B98" s="19"/>
      <x:c r="C98" s="19"/>
      <x:c r="D98" s="19"/>
      <x:c r="E98" s="19"/>
      <x:c r="F98" s="19"/>
      <x:c r="G98" s="20"/>
      <x:c r="H98" s="19"/>
      <x:c r="I98" s="27"/>
    </x:row>
    <x:row r="99">
      <x:c r="A99" s="19"/>
      <x:c r="B99" s="19"/>
      <x:c r="C99" s="19"/>
      <x:c r="D99" s="19"/>
      <x:c r="E99" s="19"/>
      <x:c r="F99" s="19"/>
      <x:c r="G99" s="20"/>
      <x:c r="H99" s="19"/>
      <x:c r="I99" s="27"/>
    </x:row>
    <x:row r="100">
      <x:c r="A100" s="19"/>
      <x:c r="B100" s="19"/>
      <x:c r="C100" s="19"/>
      <x:c r="D100" s="19"/>
      <x:c r="E100" s="19"/>
      <x:c r="F100" s="19"/>
      <x:c r="G100" s="20"/>
      <x:c r="H100" s="19"/>
      <x:c r="I100" s="27"/>
    </x:row>
    <x:row r="101">
      <x:c r="A101" s="19"/>
      <x:c r="B101" s="19"/>
      <x:c r="C101" s="19"/>
      <x:c r="D101" s="19"/>
      <x:c r="E101" s="19"/>
      <x:c r="F101" s="19"/>
      <x:c r="G101" s="20"/>
      <x:c r="H101" s="19"/>
      <x:c r="I101" s="27"/>
    </x:row>
    <x:row r="102">
      <x:c r="A102" s="19"/>
      <x:c r="B102" s="19"/>
      <x:c r="C102" s="19"/>
      <x:c r="D102" s="19"/>
      <x:c r="E102" s="19"/>
      <x:c r="F102" s="19"/>
      <x:c r="G102" s="20"/>
      <x:c r="H102" s="19"/>
      <x:c r="I102" s="27"/>
    </x:row>
    <x:row r="103">
      <x:c r="A103" s="19"/>
      <x:c r="B103" s="19"/>
      <x:c r="C103" s="19"/>
      <x:c r="D103" s="19"/>
      <x:c r="E103" s="19"/>
      <x:c r="F103" s="19"/>
      <x:c r="G103" s="20"/>
      <x:c r="H103" s="19"/>
      <x:c r="I103" s="27"/>
    </x:row>
    <x:row r="104">
      <x:c r="A104" s="19"/>
      <x:c r="B104" s="19"/>
      <x:c r="C104" s="19"/>
      <x:c r="D104" s="19"/>
      <x:c r="E104" s="19"/>
      <x:c r="F104" s="19"/>
      <x:c r="G104" s="20"/>
      <x:c r="H104" s="19"/>
      <x:c r="I104" s="27"/>
    </x:row>
    <x:row r="105">
      <x:c r="A105" s="19"/>
      <x:c r="B105" s="19"/>
      <x:c r="C105" s="19"/>
      <x:c r="D105" s="19"/>
      <x:c r="E105" s="19"/>
      <x:c r="F105" s="19"/>
      <x:c r="G105" s="20"/>
      <x:c r="H105" s="19"/>
      <x:c r="I105" s="27"/>
    </x:row>
    <x:row r="106">
      <x:c r="A106" s="19"/>
      <x:c r="B106" s="19"/>
      <x:c r="C106" s="19"/>
      <x:c r="D106" s="19"/>
      <x:c r="E106" s="19"/>
      <x:c r="F106" s="19"/>
      <x:c r="G106" s="20"/>
      <x:c r="H106" s="19"/>
      <x:c r="I106" s="27"/>
    </x:row>
    <x:row r="107">
      <x:c r="A107" s="19"/>
      <x:c r="B107" s="19"/>
      <x:c r="C107" s="19"/>
      <x:c r="D107" s="19"/>
      <x:c r="E107" s="19"/>
      <x:c r="F107" s="19"/>
      <x:c r="G107" s="20"/>
      <x:c r="H107" s="19"/>
      <x:c r="I107" s="27"/>
    </x:row>
    <x:row r="108">
      <x:c r="A108" s="19"/>
      <x:c r="B108" s="19"/>
      <x:c r="C108" s="19"/>
      <x:c r="D108" s="19"/>
      <x:c r="E108" s="19"/>
      <x:c r="F108" s="19"/>
      <x:c r="G108" s="20"/>
      <x:c r="H108" s="19"/>
      <x:c r="I108" s="27"/>
    </x:row>
    <x:row r="109">
      <x:c r="A109" s="19"/>
      <x:c r="B109" s="19"/>
      <x:c r="C109" s="19"/>
      <x:c r="D109" s="19"/>
      <x:c r="E109" s="19"/>
      <x:c r="F109" s="19"/>
      <x:c r="G109" s="20"/>
      <x:c r="H109" s="19"/>
      <x:c r="I109" s="27"/>
    </x:row>
    <x:row r="110">
      <x:c r="A110" s="19"/>
      <x:c r="B110" s="19"/>
      <x:c r="C110" s="19"/>
      <x:c r="D110" s="19"/>
      <x:c r="E110" s="19"/>
      <x:c r="F110" s="19"/>
      <x:c r="G110" s="20"/>
      <x:c r="H110" s="19"/>
      <x:c r="I110" s="27"/>
    </x:row>
    <x:row r="111">
      <x:c r="A111" s="19"/>
      <x:c r="B111" s="19"/>
      <x:c r="C111" s="19"/>
      <x:c r="D111" s="19"/>
      <x:c r="E111" s="19"/>
      <x:c r="F111" s="19"/>
      <x:c r="G111" s="20"/>
      <x:c r="H111" s="19"/>
      <x:c r="I111" s="27"/>
    </x:row>
    <x:row r="112">
      <x:c r="A112" s="19"/>
      <x:c r="B112" s="19"/>
      <x:c r="C112" s="19"/>
      <x:c r="D112" s="19"/>
      <x:c r="E112" s="19"/>
      <x:c r="F112" s="19"/>
      <x:c r="G112" s="20"/>
      <x:c r="H112" s="19"/>
      <x:c r="I112" s="27"/>
    </x:row>
    <x:row r="113">
      <x:c r="A113" s="19"/>
      <x:c r="B113" s="19"/>
      <x:c r="C113" s="19"/>
      <x:c r="D113" s="19"/>
      <x:c r="E113" s="19"/>
      <x:c r="F113" s="19"/>
      <x:c r="G113" s="20"/>
      <x:c r="H113" s="19"/>
      <x:c r="I113" s="27"/>
    </x:row>
    <x:row r="114">
      <x:c r="A114" s="19"/>
      <x:c r="B114" s="19"/>
      <x:c r="C114" s="19"/>
      <x:c r="D114" s="19"/>
      <x:c r="E114" s="19"/>
      <x:c r="F114" s="19"/>
      <x:c r="G114" s="20"/>
      <x:c r="H114" s="19"/>
      <x:c r="I114" s="27"/>
    </x:row>
    <x:row r="115">
      <x:c r="A115" s="19"/>
      <x:c r="B115" s="19"/>
      <x:c r="C115" s="19"/>
      <x:c r="D115" s="19"/>
      <x:c r="E115" s="19"/>
      <x:c r="F115" s="19"/>
      <x:c r="G115" s="20"/>
      <x:c r="H115" s="19"/>
      <x:c r="I115" s="27"/>
    </x:row>
    <x:row r="116">
      <x:c r="A116" s="19"/>
      <x:c r="B116" s="19"/>
      <x:c r="C116" s="19"/>
      <x:c r="D116" s="19"/>
      <x:c r="E116" s="19"/>
      <x:c r="F116" s="19"/>
      <x:c r="G116" s="20"/>
      <x:c r="H116" s="19"/>
      <x:c r="I116" s="27"/>
    </x:row>
    <x:row r="117">
      <x:c r="A117" s="19"/>
      <x:c r="B117" s="19"/>
      <x:c r="C117" s="19"/>
      <x:c r="D117" s="19"/>
      <x:c r="E117" s="19"/>
      <x:c r="F117" s="19"/>
      <x:c r="G117" s="20"/>
      <x:c r="H117" s="19"/>
      <x:c r="I117" s="27"/>
    </x:row>
    <x:row r="118">
      <x:c r="A118" s="19"/>
      <x:c r="B118" s="19"/>
      <x:c r="C118" s="19"/>
      <x:c r="D118" s="19"/>
      <x:c r="E118" s="19"/>
      <x:c r="F118" s="19"/>
      <x:c r="G118" s="20"/>
      <x:c r="H118" s="19"/>
      <x:c r="I118" s="27"/>
    </x:row>
    <x:row r="119">
      <x:c r="A119" s="19"/>
      <x:c r="B119" s="19"/>
      <x:c r="C119" s="19"/>
      <x:c r="D119" s="19"/>
      <x:c r="E119" s="19"/>
      <x:c r="F119" s="19"/>
      <x:c r="G119" s="20"/>
      <x:c r="H119" s="19"/>
      <x:c r="I119" s="27"/>
    </x:row>
    <x:row r="120">
      <x:c r="A120" s="19"/>
      <x:c r="B120" s="19"/>
      <x:c r="C120" s="19"/>
      <x:c r="D120" s="19"/>
      <x:c r="E120" s="19"/>
      <x:c r="F120" s="19"/>
      <x:c r="G120" s="20"/>
      <x:c r="H120" s="19"/>
      <x:c r="I120" s="27"/>
    </x:row>
    <x:row r="121">
      <x:c r="A121" s="19"/>
      <x:c r="B121" s="19"/>
      <x:c r="C121" s="19"/>
      <x:c r="D121" s="19"/>
      <x:c r="E121" s="19"/>
      <x:c r="F121" s="19"/>
      <x:c r="G121" s="20"/>
      <x:c r="H121" s="19"/>
      <x:c r="I121" s="27"/>
    </x:row>
    <x:row r="122">
      <x:c r="A122" s="19"/>
      <x:c r="B122" s="19"/>
      <x:c r="C122" s="19"/>
      <x:c r="D122" s="19"/>
      <x:c r="E122" s="19"/>
      <x:c r="F122" s="19"/>
      <x:c r="G122" s="20"/>
      <x:c r="H122" s="19"/>
      <x:c r="I122" s="27"/>
    </x:row>
    <x:row r="123">
      <x:c r="A123" s="19"/>
      <x:c r="B123" s="19"/>
      <x:c r="C123" s="19"/>
      <x:c r="D123" s="19"/>
      <x:c r="E123" s="19"/>
      <x:c r="F123" s="19"/>
      <x:c r="G123" s="20"/>
      <x:c r="H123" s="19"/>
      <x:c r="I123" s="27"/>
    </x:row>
    <x:row r="124">
      <x:c r="A124" s="19"/>
      <x:c r="B124" s="19"/>
      <x:c r="C124" s="19"/>
      <x:c r="D124" s="19"/>
      <x:c r="E124" s="19"/>
      <x:c r="F124" s="19"/>
      <x:c r="G124" s="20"/>
      <x:c r="H124" s="19"/>
      <x:c r="I124" s="27"/>
    </x:row>
    <x:row r="125">
      <x:c r="A125" s="19"/>
      <x:c r="B125" s="19"/>
      <x:c r="C125" s="19"/>
      <x:c r="D125" s="19"/>
      <x:c r="E125" s="19"/>
      <x:c r="F125" s="19"/>
      <x:c r="G125" s="20"/>
      <x:c r="H125" s="19"/>
      <x:c r="I125" s="27"/>
    </x:row>
    <x:row r="126">
      <x:c r="A126" s="19"/>
      <x:c r="B126" s="19"/>
      <x:c r="C126" s="19"/>
      <x:c r="D126" s="19"/>
      <x:c r="E126" s="19"/>
      <x:c r="F126" s="19"/>
      <x:c r="G126" s="20"/>
      <x:c r="H126" s="19"/>
      <x:c r="I126" s="27"/>
    </x:row>
    <x:row r="127">
      <x:c r="A127" s="19"/>
      <x:c r="B127" s="19"/>
      <x:c r="C127" s="19"/>
      <x:c r="D127" s="19"/>
      <x:c r="E127" s="19"/>
      <x:c r="F127" s="19"/>
      <x:c r="G127" s="20"/>
      <x:c r="H127" s="19"/>
      <x:c r="I127" s="27"/>
    </x:row>
    <x:row r="128">
      <x:c r="A128" s="19"/>
      <x:c r="B128" s="19"/>
      <x:c r="C128" s="19"/>
      <x:c r="D128" s="19"/>
      <x:c r="E128" s="19"/>
      <x:c r="F128" s="19"/>
      <x:c r="G128" s="20"/>
      <x:c r="H128" s="19"/>
      <x:c r="I128" s="27"/>
    </x:row>
    <x:row r="129">
      <x:c r="A129" s="19"/>
      <x:c r="B129" s="19"/>
      <x:c r="C129" s="19"/>
      <x:c r="D129" s="19"/>
      <x:c r="E129" s="19"/>
      <x:c r="F129" s="19"/>
      <x:c r="G129" s="20"/>
      <x:c r="H129" s="19"/>
      <x:c r="I129" s="27"/>
    </x:row>
    <x:row r="130">
      <x:c r="A130" s="19"/>
      <x:c r="B130" s="19"/>
      <x:c r="C130" s="19"/>
      <x:c r="D130" s="19"/>
      <x:c r="E130" s="19"/>
      <x:c r="F130" s="19"/>
      <x:c r="G130" s="20"/>
      <x:c r="H130" s="19"/>
      <x:c r="I130" s="27"/>
    </x:row>
    <x:row r="131">
      <x:c r="A131" s="19"/>
      <x:c r="B131" s="19"/>
      <x:c r="C131" s="19"/>
      <x:c r="D131" s="19"/>
      <x:c r="E131" s="19"/>
      <x:c r="F131" s="19"/>
      <x:c r="G131" s="20"/>
      <x:c r="H131" s="19"/>
      <x:c r="I131" s="27"/>
    </x:row>
    <x:row r="132">
      <x:c r="A132" s="19"/>
      <x:c r="B132" s="19"/>
      <x:c r="C132" s="19"/>
      <x:c r="D132" s="19"/>
      <x:c r="E132" s="19"/>
      <x:c r="F132" s="19"/>
      <x:c r="G132" s="20"/>
      <x:c r="H132" s="19"/>
      <x:c r="I132" s="27"/>
    </x:row>
    <x:row r="133">
      <x:c r="A133" s="19"/>
      <x:c r="B133" s="19"/>
      <x:c r="C133" s="19"/>
      <x:c r="D133" s="19"/>
      <x:c r="E133" s="19"/>
      <x:c r="F133" s="19"/>
      <x:c r="G133" s="20"/>
      <x:c r="H133" s="19"/>
      <x:c r="I133" s="27"/>
    </x:row>
    <x:row r="134">
      <x:c r="A134" s="19"/>
      <x:c r="B134" s="19"/>
      <x:c r="C134" s="19"/>
      <x:c r="D134" s="19"/>
      <x:c r="E134" s="19"/>
      <x:c r="F134" s="19"/>
      <x:c r="G134" s="20"/>
      <x:c r="H134" s="19"/>
      <x:c r="I134" s="27"/>
    </x:row>
    <x:row r="135">
      <x:c r="A135" s="19"/>
      <x:c r="B135" s="19"/>
      <x:c r="C135" s="19"/>
      <x:c r="D135" s="19"/>
      <x:c r="E135" s="19"/>
      <x:c r="F135" s="19"/>
      <x:c r="G135" s="20"/>
      <x:c r="H135" s="19"/>
      <x:c r="I135" s="27"/>
    </x:row>
    <x:row r="136">
      <x:c r="A136" s="19"/>
      <x:c r="B136" s="19"/>
      <x:c r="C136" s="19"/>
      <x:c r="D136" s="19"/>
      <x:c r="E136" s="19"/>
      <x:c r="F136" s="19"/>
      <x:c r="G136" s="20"/>
      <x:c r="H136" s="19"/>
      <x:c r="I136" s="27"/>
    </x:row>
    <x:row r="137">
      <x:c r="A137" s="19"/>
      <x:c r="B137" s="19"/>
      <x:c r="C137" s="19"/>
      <x:c r="D137" s="19"/>
      <x:c r="E137" s="19"/>
      <x:c r="F137" s="19"/>
      <x:c r="G137" s="20"/>
      <x:c r="H137" s="19"/>
      <x:c r="I137" s="27"/>
    </x:row>
    <x:row r="138">
      <x:c r="A138" s="19"/>
      <x:c r="B138" s="19"/>
      <x:c r="C138" s="19"/>
      <x:c r="D138" s="19"/>
      <x:c r="E138" s="19"/>
      <x:c r="F138" s="19"/>
      <x:c r="G138" s="20"/>
      <x:c r="H138" s="19"/>
      <x:c r="I138" s="27"/>
    </x:row>
    <x:row r="139">
      <x:c r="A139" s="19"/>
      <x:c r="B139" s="19"/>
      <x:c r="C139" s="19"/>
      <x:c r="D139" s="19"/>
      <x:c r="E139" s="19"/>
      <x:c r="F139" s="19"/>
      <x:c r="G139" s="20"/>
      <x:c r="H139" s="19"/>
      <x:c r="I139" s="27"/>
    </x:row>
    <x:row r="140">
      <x:c r="A140" s="19"/>
      <x:c r="B140" s="19"/>
      <x:c r="C140" s="19"/>
      <x:c r="D140" s="19"/>
      <x:c r="E140" s="19"/>
      <x:c r="F140" s="19"/>
      <x:c r="G140" s="20"/>
      <x:c r="H140" s="19"/>
      <x:c r="I140" s="27"/>
    </x:row>
    <x:row r="141">
      <x:c r="A141" s="19"/>
      <x:c r="B141" s="19"/>
      <x:c r="C141" s="19"/>
      <x:c r="D141" s="19"/>
      <x:c r="E141" s="19"/>
      <x:c r="F141" s="19"/>
      <x:c r="G141" s="20"/>
      <x:c r="H141" s="19"/>
      <x:c r="I141" s="27"/>
    </x:row>
    <x:row r="142">
      <x:c r="A142" s="19"/>
      <x:c r="B142" s="19"/>
      <x:c r="C142" s="19"/>
      <x:c r="D142" s="19"/>
      <x:c r="E142" s="19"/>
      <x:c r="F142" s="19"/>
      <x:c r="G142" s="20"/>
      <x:c r="H142" s="19"/>
      <x:c r="I142" s="27"/>
    </x:row>
    <x:row r="143">
      <x:c r="A143" s="19"/>
      <x:c r="B143" s="19"/>
      <x:c r="C143" s="19"/>
      <x:c r="D143" s="19"/>
      <x:c r="E143" s="19"/>
      <x:c r="F143" s="19"/>
      <x:c r="G143" s="20"/>
      <x:c r="H143" s="19"/>
      <x:c r="I143" s="27"/>
    </x:row>
    <x:row r="144">
      <x:c r="A144" s="19"/>
      <x:c r="B144" s="19"/>
      <x:c r="C144" s="19"/>
      <x:c r="D144" s="19"/>
      <x:c r="E144" s="19"/>
      <x:c r="F144" s="19"/>
      <x:c r="G144" s="20"/>
      <x:c r="H144" s="19"/>
      <x:c r="I144" s="27"/>
    </x:row>
    <x:row r="145">
      <x:c r="A145" s="19"/>
      <x:c r="B145" s="19"/>
      <x:c r="C145" s="19"/>
      <x:c r="D145" s="19"/>
      <x:c r="E145" s="19"/>
      <x:c r="F145" s="19"/>
      <x:c r="G145" s="20"/>
      <x:c r="H145" s="19"/>
      <x:c r="I145" s="27"/>
    </x:row>
    <x:row r="146">
      <x:c r="A146" s="19"/>
      <x:c r="B146" s="19"/>
      <x:c r="C146" s="19"/>
      <x:c r="D146" s="19"/>
      <x:c r="E146" s="19"/>
      <x:c r="F146" s="19"/>
      <x:c r="G146" s="20"/>
      <x:c r="H146" s="19"/>
      <x:c r="I146" s="27"/>
    </x:row>
    <x:row r="147">
      <x:c r="A147" s="19"/>
      <x:c r="B147" s="19"/>
      <x:c r="C147" s="19"/>
      <x:c r="D147" s="19"/>
      <x:c r="E147" s="19"/>
      <x:c r="F147" s="19"/>
      <x:c r="G147" s="20"/>
      <x:c r="H147" s="19"/>
      <x:c r="I147" s="27"/>
    </x:row>
    <x:row r="148">
      <x:c r="A148" s="19"/>
      <x:c r="B148" s="19"/>
      <x:c r="C148" s="19"/>
      <x:c r="D148" s="19"/>
      <x:c r="E148" s="19"/>
      <x:c r="F148" s="19"/>
      <x:c r="G148" s="20"/>
      <x:c r="H148" s="19"/>
      <x:c r="I148" s="27"/>
    </x:row>
    <x:row r="149">
      <x:c r="A149" s="19"/>
      <x:c r="B149" s="19"/>
      <x:c r="C149" s="19"/>
      <x:c r="D149" s="19"/>
      <x:c r="E149" s="19"/>
      <x:c r="F149" s="19"/>
      <x:c r="G149" s="20"/>
      <x:c r="H149" s="19"/>
      <x:c r="I149" s="27"/>
    </x:row>
    <x:row r="150">
      <x:c r="A150" s="19"/>
      <x:c r="B150" s="19"/>
      <x:c r="C150" s="19"/>
      <x:c r="D150" s="19"/>
      <x:c r="E150" s="19"/>
      <x:c r="F150" s="19"/>
      <x:c r="G150" s="20"/>
      <x:c r="H150" s="19"/>
      <x:c r="I150" s="27"/>
    </x:row>
    <x:row r="151">
      <x:c r="A151" s="19"/>
      <x:c r="B151" s="19"/>
      <x:c r="C151" s="19"/>
      <x:c r="D151" s="19"/>
      <x:c r="E151" s="19"/>
      <x:c r="F151" s="19"/>
      <x:c r="G151" s="20"/>
      <x:c r="H151" s="19"/>
      <x:c r="I151" s="27"/>
    </x:row>
    <x:row r="152">
      <x:c r="A152" s="19"/>
      <x:c r="B152" s="19"/>
      <x:c r="C152" s="19"/>
      <x:c r="D152" s="19"/>
      <x:c r="E152" s="19"/>
      <x:c r="F152" s="19"/>
      <x:c r="G152" s="20"/>
      <x:c r="H152" s="19"/>
      <x:c r="I152" s="27"/>
    </x:row>
    <x:row r="153">
      <x:c r="A153" s="19"/>
      <x:c r="B153" s="19"/>
      <x:c r="C153" s="19"/>
      <x:c r="D153" s="19"/>
      <x:c r="E153" s="19"/>
      <x:c r="F153" s="19"/>
      <x:c r="G153" s="20"/>
      <x:c r="H153" s="19"/>
      <x:c r="I153" s="27"/>
    </x:row>
    <x:row r="154">
      <x:c r="A154" s="19"/>
      <x:c r="B154" s="19"/>
      <x:c r="C154" s="19"/>
      <x:c r="D154" s="19"/>
      <x:c r="E154" s="19"/>
      <x:c r="F154" s="19"/>
      <x:c r="G154" s="20"/>
      <x:c r="H154" s="19"/>
      <x:c r="I154" s="27"/>
    </x:row>
    <x:row r="155">
      <x:c r="A155" s="19"/>
      <x:c r="B155" s="19"/>
      <x:c r="C155" s="19"/>
      <x:c r="D155" s="19"/>
      <x:c r="E155" s="19"/>
      <x:c r="F155" s="19"/>
      <x:c r="G155" s="20"/>
      <x:c r="H155" s="19"/>
      <x:c r="I155" s="27"/>
    </x:row>
    <x:row r="156">
      <x:c r="A156" s="19"/>
      <x:c r="B156" s="19"/>
      <x:c r="C156" s="19"/>
      <x:c r="D156" s="19"/>
      <x:c r="E156" s="19"/>
      <x:c r="F156" s="19"/>
      <x:c r="G156" s="20"/>
      <x:c r="H156" s="19"/>
      <x:c r="I156" s="27"/>
    </x:row>
    <x:row r="157">
      <x:c r="A157" s="19"/>
      <x:c r="B157" s="19"/>
      <x:c r="C157" s="19"/>
      <x:c r="D157" s="19"/>
      <x:c r="E157" s="19"/>
      <x:c r="F157" s="19"/>
      <x:c r="G157" s="20"/>
      <x:c r="H157" s="19"/>
      <x:c r="I157" s="27"/>
    </x:row>
    <x:row r="158">
      <x:c r="A158" s="19"/>
      <x:c r="B158" s="19"/>
      <x:c r="C158" s="19"/>
      <x:c r="D158" s="19"/>
      <x:c r="E158" s="19"/>
      <x:c r="F158" s="19"/>
      <x:c r="G158" s="20"/>
      <x:c r="H158" s="19"/>
      <x:c r="I158" s="27"/>
    </x:row>
    <x:row r="159">
      <x:c r="A159" s="19"/>
      <x:c r="B159" s="19"/>
      <x:c r="C159" s="19"/>
      <x:c r="D159" s="19"/>
      <x:c r="E159" s="19"/>
      <x:c r="F159" s="19"/>
      <x:c r="G159" s="20"/>
      <x:c r="H159" s="19"/>
      <x:c r="I159" s="27"/>
    </x:row>
    <x:row r="160">
      <x:c r="A160" s="19"/>
      <x:c r="B160" s="19"/>
      <x:c r="C160" s="19"/>
      <x:c r="D160" s="19"/>
      <x:c r="E160" s="19"/>
      <x:c r="F160" s="19"/>
      <x:c r="G160" s="20"/>
      <x:c r="H160" s="19"/>
      <x:c r="I160" s="27"/>
    </x:row>
    <x:row r="161">
      <x:c r="A161" s="19"/>
      <x:c r="B161" s="19"/>
      <x:c r="C161" s="19"/>
      <x:c r="D161" s="19"/>
      <x:c r="E161" s="19"/>
      <x:c r="F161" s="19"/>
      <x:c r="G161" s="20"/>
      <x:c r="H161" s="19"/>
      <x:c r="I161" s="27"/>
    </x:row>
    <x:row r="162">
      <x:c r="A162" s="19"/>
      <x:c r="B162" s="19"/>
      <x:c r="C162" s="19"/>
      <x:c r="D162" s="19"/>
      <x:c r="E162" s="19"/>
      <x:c r="F162" s="19"/>
      <x:c r="G162" s="20"/>
      <x:c r="H162" s="19"/>
      <x:c r="I162" s="27"/>
    </x:row>
    <x:row r="163">
      <x:c r="A163" s="19"/>
      <x:c r="B163" s="19"/>
      <x:c r="C163" s="19"/>
      <x:c r="D163" s="19"/>
      <x:c r="E163" s="19"/>
      <x:c r="F163" s="19"/>
      <x:c r="G163" s="20"/>
      <x:c r="H163" s="19"/>
      <x:c r="I163" s="27"/>
    </x:row>
    <x:row r="164">
      <x:c r="A164" s="19"/>
      <x:c r="B164" s="19"/>
      <x:c r="C164" s="19"/>
      <x:c r="D164" s="19"/>
      <x:c r="E164" s="19"/>
      <x:c r="F164" s="19"/>
      <x:c r="G164" s="20"/>
      <x:c r="H164" s="19"/>
      <x:c r="I164" s="27"/>
    </x:row>
    <x:row r="165">
      <x:c r="A165" s="19"/>
      <x:c r="B165" s="19"/>
      <x:c r="C165" s="19"/>
      <x:c r="D165" s="19"/>
      <x:c r="E165" s="19"/>
      <x:c r="F165" s="19"/>
      <x:c r="G165" s="20"/>
      <x:c r="H165" s="19"/>
      <x:c r="I165" s="27"/>
    </x:row>
    <x:row r="166">
      <x:c r="A166" s="19"/>
      <x:c r="B166" s="19"/>
      <x:c r="C166" s="19"/>
      <x:c r="D166" s="19"/>
      <x:c r="E166" s="19"/>
      <x:c r="F166" s="19"/>
      <x:c r="G166" s="20"/>
      <x:c r="H166" s="19"/>
      <x:c r="I166" s="27"/>
    </x:row>
    <x:row r="167">
      <x:c r="A167" s="19"/>
      <x:c r="B167" s="19"/>
      <x:c r="C167" s="19"/>
      <x:c r="D167" s="19"/>
      <x:c r="E167" s="19"/>
      <x:c r="F167" s="19"/>
      <x:c r="G167" s="20"/>
      <x:c r="H167" s="19"/>
      <x:c r="I167" s="27"/>
    </x:row>
    <x:row r="168">
      <x:c r="A168" s="19"/>
      <x:c r="B168" s="19"/>
      <x:c r="C168" s="19"/>
      <x:c r="D168" s="19"/>
      <x:c r="E168" s="19"/>
      <x:c r="F168" s="19"/>
      <x:c r="G168" s="20"/>
      <x:c r="H168" s="19"/>
      <x:c r="I168" s="27"/>
    </x:row>
    <x:row r="169">
      <x:c r="A169" s="19"/>
      <x:c r="B169" s="19"/>
      <x:c r="C169" s="19"/>
      <x:c r="D169" s="19"/>
      <x:c r="E169" s="19"/>
      <x:c r="F169" s="19"/>
      <x:c r="G169" s="20"/>
      <x:c r="H169" s="19"/>
      <x:c r="I169" s="27"/>
    </x:row>
    <x:row r="170">
      <x:c r="A170" s="19"/>
      <x:c r="B170" s="19"/>
      <x:c r="C170" s="19"/>
      <x:c r="D170" s="19"/>
      <x:c r="E170" s="19"/>
      <x:c r="F170" s="19"/>
      <x:c r="G170" s="20"/>
      <x:c r="H170" s="19"/>
      <x:c r="I170" s="27"/>
    </x:row>
    <x:row r="171">
      <x:c r="A171" s="19"/>
      <x:c r="B171" s="19"/>
      <x:c r="C171" s="19"/>
      <x:c r="D171" s="19"/>
      <x:c r="E171" s="19"/>
      <x:c r="F171" s="19"/>
      <x:c r="G171" s="20"/>
      <x:c r="H171" s="19"/>
      <x:c r="I171" s="27"/>
    </x:row>
    <x:row r="172">
      <x:c r="A172" s="19"/>
      <x:c r="B172" s="19"/>
      <x:c r="C172" s="19"/>
      <x:c r="D172" s="19"/>
      <x:c r="E172" s="19"/>
      <x:c r="F172" s="19"/>
      <x:c r="G172" s="20"/>
      <x:c r="H172" s="19"/>
      <x:c r="I172" s="27"/>
    </x:row>
    <x:row r="173">
      <x:c r="A173" s="19"/>
      <x:c r="B173" s="19"/>
      <x:c r="C173" s="19"/>
      <x:c r="D173" s="19"/>
      <x:c r="E173" s="19"/>
      <x:c r="F173" s="19"/>
      <x:c r="G173" s="20"/>
      <x:c r="H173" s="19"/>
      <x:c r="I173" s="27"/>
    </x:row>
    <x:row r="174">
      <x:c r="A174" s="19"/>
      <x:c r="B174" s="19"/>
      <x:c r="C174" s="19"/>
      <x:c r="D174" s="19"/>
      <x:c r="E174" s="19"/>
      <x:c r="F174" s="19"/>
      <x:c r="G174" s="20"/>
      <x:c r="H174" s="19"/>
      <x:c r="I174" s="27"/>
    </x:row>
    <x:row r="175">
      <x:c r="A175" s="19"/>
      <x:c r="B175" s="19"/>
      <x:c r="C175" s="19"/>
      <x:c r="D175" s="19"/>
      <x:c r="E175" s="19"/>
      <x:c r="F175" s="19"/>
      <x:c r="G175" s="20"/>
      <x:c r="H175" s="19"/>
      <x:c r="I175" s="27"/>
    </x:row>
    <x:row r="176">
      <x:c r="A176" s="19"/>
      <x:c r="B176" s="19"/>
      <x:c r="C176" s="19"/>
      <x:c r="D176" s="19"/>
      <x:c r="E176" s="19"/>
      <x:c r="F176" s="19"/>
      <x:c r="G176" s="20"/>
      <x:c r="H176" s="19"/>
      <x:c r="I176" s="27"/>
    </x:row>
    <x:row r="177">
      <x:c r="A177" s="19"/>
      <x:c r="B177" s="19"/>
      <x:c r="C177" s="19"/>
      <x:c r="D177" s="19"/>
      <x:c r="E177" s="19"/>
      <x:c r="F177" s="19"/>
      <x:c r="G177" s="20"/>
      <x:c r="H177" s="19"/>
      <x:c r="I177" s="27"/>
    </x:row>
    <x:row r="178">
      <x:c r="A178" s="19"/>
      <x:c r="B178" s="19"/>
      <x:c r="C178" s="19"/>
      <x:c r="D178" s="19"/>
      <x:c r="E178" s="19"/>
      <x:c r="F178" s="19"/>
      <x:c r="G178" s="20"/>
      <x:c r="H178" s="19"/>
      <x:c r="I178" s="27"/>
    </x:row>
    <x:row r="179">
      <x:c r="A179" s="19"/>
      <x:c r="B179" s="19"/>
      <x:c r="C179" s="19"/>
      <x:c r="D179" s="19"/>
      <x:c r="E179" s="19"/>
      <x:c r="F179" s="19"/>
      <x:c r="G179" s="20"/>
      <x:c r="H179" s="19"/>
      <x:c r="I179" s="27"/>
    </x:row>
    <x:row r="180">
      <x:c r="A180" s="19"/>
      <x:c r="B180" s="19"/>
      <x:c r="C180" s="19"/>
      <x:c r="D180" s="19"/>
      <x:c r="E180" s="19"/>
      <x:c r="F180" s="19"/>
      <x:c r="G180" s="20"/>
      <x:c r="H180" s="19"/>
      <x:c r="I180" s="27"/>
    </x:row>
    <x:row r="181">
      <x:c r="A181" s="19"/>
      <x:c r="B181" s="19"/>
      <x:c r="C181" s="19"/>
      <x:c r="D181" s="19"/>
      <x:c r="E181" s="19"/>
      <x:c r="F181" s="19"/>
      <x:c r="G181" s="20"/>
      <x:c r="H181" s="19"/>
      <x:c r="I181" s="27"/>
    </x:row>
    <x:row r="182">
      <x:c r="A182" s="19"/>
      <x:c r="B182" s="19"/>
      <x:c r="C182" s="19"/>
      <x:c r="D182" s="19"/>
      <x:c r="E182" s="19"/>
      <x:c r="F182" s="19"/>
      <x:c r="G182" s="20"/>
      <x:c r="H182" s="19"/>
      <x:c r="I182" s="27"/>
    </x:row>
    <x:row r="183">
      <x:c r="A183" s="19"/>
      <x:c r="B183" s="19"/>
      <x:c r="C183" s="19"/>
      <x:c r="D183" s="19"/>
      <x:c r="E183" s="19"/>
      <x:c r="F183" s="19"/>
      <x:c r="G183" s="20"/>
      <x:c r="H183" s="19"/>
      <x:c r="I183" s="27"/>
    </x:row>
    <x:row r="184">
      <x:c r="A184" s="19"/>
      <x:c r="B184" s="19"/>
      <x:c r="C184" s="19"/>
      <x:c r="D184" s="19"/>
      <x:c r="E184" s="19"/>
      <x:c r="F184" s="19"/>
      <x:c r="G184" s="20"/>
      <x:c r="H184" s="19"/>
      <x:c r="I184" s="27"/>
    </x:row>
    <x:row r="185">
      <x:c r="A185" s="19"/>
      <x:c r="B185" s="19"/>
      <x:c r="C185" s="19"/>
      <x:c r="D185" s="19"/>
      <x:c r="E185" s="19"/>
      <x:c r="F185" s="19"/>
      <x:c r="G185" s="20"/>
      <x:c r="H185" s="19"/>
      <x:c r="I185" s="27"/>
    </x:row>
    <x:row r="186">
      <x:c r="A186" s="19"/>
      <x:c r="B186" s="19"/>
      <x:c r="C186" s="19"/>
      <x:c r="D186" s="19"/>
      <x:c r="E186" s="19"/>
      <x:c r="F186" s="19"/>
      <x:c r="G186" s="20"/>
      <x:c r="H186" s="19"/>
      <x:c r="I186" s="27"/>
    </x:row>
    <x:row r="187">
      <x:c r="A187" s="19"/>
      <x:c r="B187" s="19"/>
      <x:c r="C187" s="19"/>
      <x:c r="D187" s="19"/>
      <x:c r="E187" s="19"/>
      <x:c r="F187" s="19"/>
      <x:c r="G187" s="20"/>
      <x:c r="H187" s="19"/>
      <x:c r="I187" s="27"/>
    </x:row>
    <x:row r="188">
      <x:c r="A188" s="19"/>
      <x:c r="B188" s="19"/>
      <x:c r="C188" s="19"/>
      <x:c r="D188" s="19"/>
      <x:c r="E188" s="19"/>
      <x:c r="F188" s="19"/>
      <x:c r="G188" s="20"/>
      <x:c r="H188" s="19"/>
      <x:c r="I188" s="27"/>
    </x:row>
    <x:row r="189">
      <x:c r="A189" s="19"/>
      <x:c r="B189" s="19"/>
      <x:c r="C189" s="19"/>
      <x:c r="D189" s="19"/>
      <x:c r="E189" s="19"/>
      <x:c r="F189" s="19"/>
      <x:c r="G189" s="20"/>
      <x:c r="H189" s="19"/>
      <x:c r="I189" s="27"/>
    </x:row>
    <x:row r="190">
      <x:c r="A190" s="19"/>
      <x:c r="B190" s="19"/>
      <x:c r="C190" s="19"/>
      <x:c r="D190" s="19"/>
      <x:c r="E190" s="19"/>
      <x:c r="F190" s="19"/>
      <x:c r="G190" s="20"/>
      <x:c r="H190" s="19"/>
      <x:c r="I190" s="27"/>
    </x:row>
    <x:row r="191">
      <x:c r="A191" s="19"/>
      <x:c r="B191" s="19"/>
      <x:c r="C191" s="19"/>
      <x:c r="D191" s="19"/>
      <x:c r="E191" s="19"/>
      <x:c r="F191" s="19"/>
      <x:c r="G191" s="20"/>
      <x:c r="H191" s="19"/>
      <x:c r="I191" s="27"/>
    </x:row>
    <x:row r="192">
      <x:c r="A192" s="19"/>
      <x:c r="B192" s="19"/>
      <x:c r="C192" s="19"/>
      <x:c r="D192" s="19"/>
      <x:c r="E192" s="19"/>
      <x:c r="F192" s="19"/>
      <x:c r="G192" s="20"/>
      <x:c r="H192" s="19"/>
      <x:c r="I192" s="27"/>
    </x:row>
    <x:row r="193">
      <x:c r="A193" s="19"/>
      <x:c r="B193" s="19"/>
      <x:c r="C193" s="19"/>
      <x:c r="D193" s="19"/>
      <x:c r="E193" s="19"/>
      <x:c r="F193" s="19"/>
      <x:c r="G193" s="20"/>
      <x:c r="H193" s="19"/>
      <x:c r="I193" s="27"/>
    </x:row>
    <x:row r="194">
      <x:c r="A194" s="19"/>
      <x:c r="B194" s="19"/>
      <x:c r="C194" s="19"/>
      <x:c r="D194" s="19"/>
      <x:c r="E194" s="19"/>
      <x:c r="F194" s="19"/>
      <x:c r="G194" s="20"/>
      <x:c r="H194" s="19"/>
      <x:c r="I194" s="27"/>
    </x:row>
    <x:row r="195">
      <x:c r="A195" s="19"/>
      <x:c r="B195" s="19"/>
      <x:c r="C195" s="19"/>
      <x:c r="D195" s="19"/>
      <x:c r="E195" s="19"/>
      <x:c r="F195" s="19"/>
      <x:c r="G195" s="20"/>
      <x:c r="H195" s="19"/>
      <x:c r="I195" s="27"/>
    </x:row>
    <x:row r="196">
      <x:c r="A196" s="19"/>
      <x:c r="B196" s="19"/>
      <x:c r="C196" s="19"/>
      <x:c r="D196" s="19"/>
      <x:c r="E196" s="19"/>
      <x:c r="F196" s="19"/>
      <x:c r="G196" s="20"/>
      <x:c r="H196" s="19"/>
      <x:c r="I196" s="27"/>
    </x:row>
    <x:row r="197">
      <x:c r="A197" s="19"/>
      <x:c r="B197" s="19"/>
      <x:c r="C197" s="19"/>
      <x:c r="D197" s="19"/>
      <x:c r="E197" s="19"/>
      <x:c r="F197" s="19"/>
      <x:c r="G197" s="20"/>
      <x:c r="H197" s="19"/>
      <x:c r="I197" s="27"/>
    </x:row>
    <x:row r="198">
      <x:c r="A198" s="19"/>
      <x:c r="B198" s="19"/>
      <x:c r="C198" s="19"/>
      <x:c r="D198" s="19"/>
      <x:c r="E198" s="19"/>
      <x:c r="F198" s="19"/>
      <x:c r="G198" s="20"/>
      <x:c r="H198" s="19"/>
      <x:c r="I198" s="27"/>
    </x:row>
    <x:row r="199">
      <x:c r="A199" s="19"/>
      <x:c r="B199" s="19"/>
      <x:c r="C199" s="19"/>
      <x:c r="D199" s="19"/>
      <x:c r="E199" s="19"/>
      <x:c r="F199" s="19"/>
      <x:c r="G199" s="20"/>
      <x:c r="H199" s="19"/>
      <x:c r="I199" s="27"/>
    </x:row>
    <x:row r="200">
      <x:c r="A200" s="19"/>
      <x:c r="B200" s="19"/>
      <x:c r="C200" s="19"/>
      <x:c r="D200" s="19"/>
      <x:c r="E200" s="19"/>
      <x:c r="F200" s="19"/>
      <x:c r="G200" s="20"/>
      <x:c r="H200" s="19"/>
      <x:c r="I200" s="27"/>
    </x:row>
    <x:row r="201">
      <x:c r="A201" s="19"/>
      <x:c r="B201" s="19"/>
      <x:c r="C201" s="19"/>
      <x:c r="D201" s="19"/>
      <x:c r="E201" s="19"/>
      <x:c r="F201" s="19"/>
      <x:c r="G201" s="20"/>
      <x:c r="H201" s="19"/>
      <x:c r="I201" s="27"/>
    </x:row>
    <x:row r="202">
      <x:c r="A202" s="19"/>
      <x:c r="B202" s="19"/>
      <x:c r="C202" s="19"/>
      <x:c r="D202" s="19"/>
      <x:c r="E202" s="19"/>
      <x:c r="F202" s="19"/>
      <x:c r="G202" s="20"/>
      <x:c r="H202" s="19"/>
      <x:c r="I202" s="27"/>
    </x:row>
    <x:row r="203">
      <x:c r="A203" s="19"/>
      <x:c r="B203" s="19"/>
      <x:c r="C203" s="19"/>
      <x:c r="D203" s="19"/>
      <x:c r="E203" s="19"/>
      <x:c r="F203" s="19"/>
      <x:c r="G203" s="20"/>
      <x:c r="H203" s="19"/>
      <x:c r="I203" s="27"/>
    </x:row>
    <x:row r="204">
      <x:c r="A204" s="19"/>
      <x:c r="B204" s="19"/>
      <x:c r="C204" s="19"/>
      <x:c r="D204" s="19"/>
      <x:c r="E204" s="19"/>
      <x:c r="F204" s="19"/>
      <x:c r="G204" s="20"/>
      <x:c r="H204" s="19"/>
      <x:c r="I204" s="27"/>
    </x:row>
    <x:row r="205">
      <x:c r="A205" s="19"/>
      <x:c r="B205" s="19"/>
      <x:c r="C205" s="19"/>
      <x:c r="D205" s="19"/>
      <x:c r="E205" s="19"/>
      <x:c r="F205" s="19"/>
      <x:c r="G205" s="20"/>
      <x:c r="H205" s="19"/>
      <x:c r="I205" s="27"/>
    </x:row>
    <x:row r="206">
      <x:c r="A206" s="19"/>
      <x:c r="B206" s="19"/>
      <x:c r="C206" s="19"/>
      <x:c r="D206" s="19"/>
      <x:c r="E206" s="19"/>
      <x:c r="F206" s="19"/>
      <x:c r="G206" s="20"/>
      <x:c r="H206" s="19"/>
      <x:c r="I206" s="27"/>
    </x:row>
    <x:row r="207">
      <x:c r="A207" s="19"/>
      <x:c r="B207" s="19"/>
      <x:c r="C207" s="19"/>
      <x:c r="D207" s="19"/>
      <x:c r="E207" s="19"/>
      <x:c r="F207" s="19"/>
      <x:c r="G207" s="20"/>
      <x:c r="H207" s="19"/>
      <x:c r="I207" s="27"/>
    </x:row>
    <x:row r="208">
      <x:c r="A208" s="19"/>
      <x:c r="B208" s="19"/>
      <x:c r="C208" s="19"/>
      <x:c r="D208" s="19"/>
      <x:c r="E208" s="19"/>
      <x:c r="F208" s="19"/>
      <x:c r="G208" s="20"/>
      <x:c r="H208" s="19"/>
      <x:c r="I208" s="27"/>
    </x:row>
    <x:row r="209">
      <x:c r="A209" s="19"/>
      <x:c r="B209" s="19"/>
      <x:c r="C209" s="19"/>
      <x:c r="D209" s="19"/>
      <x:c r="E209" s="19"/>
      <x:c r="F209" s="19"/>
      <x:c r="G209" s="20"/>
      <x:c r="H209" s="19"/>
      <x:c r="I209" s="27"/>
    </x:row>
    <x:row r="210">
      <x:c r="A210" s="19"/>
      <x:c r="B210" s="19"/>
      <x:c r="C210" s="19"/>
      <x:c r="D210" s="19"/>
      <x:c r="E210" s="19"/>
      <x:c r="F210" s="19"/>
      <x:c r="G210" s="20"/>
      <x:c r="H210" s="19"/>
      <x:c r="I210" s="27"/>
    </x:row>
    <x:row r="211">
      <x:c r="A211" s="19"/>
      <x:c r="B211" s="19"/>
      <x:c r="C211" s="19"/>
      <x:c r="D211" s="19"/>
      <x:c r="E211" s="19"/>
      <x:c r="F211" s="19"/>
      <x:c r="G211" s="20"/>
      <x:c r="H211" s="19"/>
      <x:c r="I211" s="27"/>
    </x:row>
    <x:row r="212">
      <x:c r="A212" s="19"/>
      <x:c r="B212" s="19"/>
      <x:c r="C212" s="19"/>
      <x:c r="D212" s="19"/>
      <x:c r="E212" s="19"/>
      <x:c r="F212" s="19"/>
      <x:c r="G212" s="20"/>
      <x:c r="H212" s="19"/>
      <x:c r="I212" s="27"/>
    </x:row>
    <x:row r="213">
      <x:c r="A213" s="19"/>
      <x:c r="B213" s="19"/>
      <x:c r="C213" s="19"/>
      <x:c r="D213" s="19"/>
      <x:c r="E213" s="19"/>
      <x:c r="F213" s="19"/>
      <x:c r="G213" s="20"/>
      <x:c r="H213" s="19"/>
      <x:c r="I213" s="27"/>
    </x:row>
    <x:row r="214">
      <x:c r="A214" s="19"/>
      <x:c r="B214" s="19"/>
      <x:c r="C214" s="19"/>
      <x:c r="D214" s="19"/>
      <x:c r="E214" s="19"/>
      <x:c r="F214" s="19"/>
      <x:c r="G214" s="20"/>
      <x:c r="H214" s="19"/>
      <x:c r="I214" s="27"/>
    </x:row>
    <x:row r="215">
      <x:c r="A215" s="19"/>
      <x:c r="B215" s="19"/>
      <x:c r="C215" s="19"/>
      <x:c r="D215" s="19"/>
      <x:c r="E215" s="19"/>
      <x:c r="F215" s="19"/>
      <x:c r="G215" s="20"/>
      <x:c r="H215" s="19"/>
      <x:c r="I215" s="27"/>
    </x:row>
    <x:row r="216">
      <x:c r="A216" s="19"/>
      <x:c r="B216" s="19"/>
      <x:c r="C216" s="19"/>
      <x:c r="D216" s="19"/>
      <x:c r="E216" s="19"/>
      <x:c r="F216" s="19"/>
      <x:c r="G216" s="20"/>
      <x:c r="H216" s="19"/>
      <x:c r="I216" s="27"/>
    </x:row>
    <x:row r="217">
      <x:c r="A217" s="19"/>
      <x:c r="B217" s="19"/>
      <x:c r="C217" s="19"/>
      <x:c r="D217" s="19"/>
      <x:c r="E217" s="19"/>
      <x:c r="F217" s="19"/>
      <x:c r="G217" s="20"/>
      <x:c r="H217" s="19"/>
      <x:c r="I217" s="27"/>
    </x:row>
    <x:row r="218">
      <x:c r="A218" s="19"/>
      <x:c r="B218" s="19"/>
      <x:c r="C218" s="19"/>
      <x:c r="D218" s="19"/>
      <x:c r="E218" s="19"/>
      <x:c r="F218" s="19"/>
      <x:c r="G218" s="20"/>
      <x:c r="H218" s="19"/>
      <x:c r="I218" s="27"/>
    </x:row>
    <x:row r="219">
      <x:c r="A219" s="19"/>
      <x:c r="B219" s="19"/>
      <x:c r="C219" s="19"/>
      <x:c r="D219" s="19"/>
      <x:c r="E219" s="19"/>
      <x:c r="F219" s="19"/>
      <x:c r="G219" s="20"/>
      <x:c r="H219" s="19"/>
      <x:c r="I219" s="27"/>
    </x:row>
    <x:row r="220">
      <x:c r="A220" s="19"/>
      <x:c r="B220" s="19"/>
      <x:c r="C220" s="19"/>
      <x:c r="D220" s="19"/>
      <x:c r="E220" s="19"/>
      <x:c r="F220" s="19"/>
      <x:c r="G220" s="20"/>
      <x:c r="H220" s="19"/>
      <x:c r="I220" s="27"/>
    </x:row>
    <x:row r="221">
      <x:c r="A221" s="19"/>
      <x:c r="B221" s="19"/>
      <x:c r="C221" s="19"/>
      <x:c r="D221" s="19"/>
      <x:c r="E221" s="19"/>
      <x:c r="F221" s="19"/>
      <x:c r="G221" s="20"/>
      <x:c r="H221" s="19"/>
      <x:c r="I221" s="27"/>
    </x:row>
    <x:row r="222">
      <x:c r="A222" s="19"/>
      <x:c r="B222" s="19"/>
      <x:c r="C222" s="19"/>
      <x:c r="D222" s="19"/>
      <x:c r="E222" s="19"/>
      <x:c r="F222" s="19"/>
      <x:c r="G222" s="20"/>
      <x:c r="H222" s="19"/>
      <x:c r="I222" s="27"/>
    </x:row>
    <x:row r="223">
      <x:c r="A223" s="19"/>
      <x:c r="B223" s="19"/>
      <x:c r="C223" s="19"/>
      <x:c r="D223" s="19"/>
      <x:c r="E223" s="19"/>
      <x:c r="F223" s="19"/>
      <x:c r="G223" s="20"/>
      <x:c r="H223" s="19"/>
      <x:c r="I223" s="27"/>
    </x:row>
    <x:row r="224">
      <x:c r="A224" s="19"/>
      <x:c r="B224" s="19"/>
      <x:c r="C224" s="19"/>
      <x:c r="D224" s="19"/>
      <x:c r="E224" s="19"/>
      <x:c r="F224" s="19"/>
      <x:c r="G224" s="20"/>
      <x:c r="H224" s="19"/>
      <x:c r="I224" s="27"/>
    </x:row>
    <x:row r="225">
      <x:c r="A225" s="19"/>
      <x:c r="B225" s="19"/>
      <x:c r="C225" s="19"/>
      <x:c r="D225" s="19"/>
      <x:c r="E225" s="19"/>
      <x:c r="F225" s="19"/>
      <x:c r="G225" s="20"/>
      <x:c r="H225" s="19"/>
      <x:c r="I225" s="27"/>
    </x:row>
    <x:row r="226">
      <x:c r="A226" s="19"/>
      <x:c r="B226" s="19"/>
      <x:c r="C226" s="19"/>
      <x:c r="D226" s="19"/>
      <x:c r="E226" s="19"/>
      <x:c r="F226" s="19"/>
      <x:c r="G226" s="20"/>
      <x:c r="H226" s="19"/>
      <x:c r="I226" s="27"/>
    </x:row>
    <x:row r="227">
      <x:c r="A227" s="19"/>
      <x:c r="B227" s="19"/>
      <x:c r="C227" s="19"/>
      <x:c r="D227" s="19"/>
      <x:c r="E227" s="19"/>
      <x:c r="F227" s="19"/>
      <x:c r="G227" s="20"/>
      <x:c r="H227" s="19"/>
      <x:c r="I227" s="27"/>
    </x:row>
    <x:row r="228">
      <x:c r="A228" s="19"/>
      <x:c r="B228" s="19"/>
      <x:c r="C228" s="19"/>
      <x:c r="D228" s="19"/>
      <x:c r="E228" s="19"/>
      <x:c r="F228" s="19"/>
      <x:c r="G228" s="20"/>
      <x:c r="H228" s="19"/>
      <x:c r="I228" s="27"/>
    </x:row>
    <x:row r="229">
      <x:c r="A229" s="19"/>
      <x:c r="B229" s="19"/>
      <x:c r="C229" s="19"/>
      <x:c r="D229" s="19"/>
      <x:c r="E229" s="19"/>
      <x:c r="F229" s="19"/>
      <x:c r="G229" s="20"/>
      <x:c r="H229" s="19"/>
      <x:c r="I229" s="27"/>
    </x:row>
    <x:row r="230">
      <x:c r="A230" s="19"/>
      <x:c r="B230" s="19"/>
      <x:c r="C230" s="19"/>
      <x:c r="D230" s="19"/>
      <x:c r="E230" s="19"/>
      <x:c r="F230" s="19"/>
      <x:c r="G230" s="20"/>
      <x:c r="H230" s="19"/>
      <x:c r="I230" s="27"/>
    </x:row>
    <x:row r="231">
      <x:c r="A231" s="19"/>
      <x:c r="B231" s="19"/>
      <x:c r="C231" s="19"/>
      <x:c r="D231" s="19"/>
      <x:c r="E231" s="19"/>
      <x:c r="F231" s="19"/>
      <x:c r="G231" s="20"/>
      <x:c r="H231" s="19"/>
      <x:c r="I231" s="27"/>
    </x:row>
    <x:row r="232">
      <x:c r="A232" s="19"/>
      <x:c r="B232" s="19"/>
      <x:c r="C232" s="19"/>
      <x:c r="D232" s="19"/>
      <x:c r="E232" s="19"/>
      <x:c r="F232" s="19"/>
      <x:c r="G232" s="20"/>
      <x:c r="H232" s="19"/>
      <x:c r="I232" s="27"/>
    </x:row>
    <x:row r="233">
      <x:c r="A233" s="19"/>
      <x:c r="B233" s="19"/>
      <x:c r="C233" s="19"/>
      <x:c r="D233" s="19"/>
      <x:c r="E233" s="19"/>
      <x:c r="F233" s="19"/>
      <x:c r="G233" s="20"/>
      <x:c r="H233" s="19"/>
      <x:c r="I233" s="27"/>
    </x:row>
    <x:row r="234">
      <x:c r="A234" s="19"/>
      <x:c r="B234" s="19"/>
      <x:c r="C234" s="19"/>
      <x:c r="D234" s="19"/>
      <x:c r="E234" s="19"/>
      <x:c r="F234" s="19"/>
      <x:c r="G234" s="20"/>
      <x:c r="H234" s="19"/>
      <x:c r="I234" s="27"/>
    </x:row>
    <x:row r="235">
      <x:c r="A235" s="19"/>
      <x:c r="B235" s="19"/>
      <x:c r="C235" s="19"/>
      <x:c r="D235" s="19"/>
      <x:c r="E235" s="19"/>
      <x:c r="F235" s="19"/>
      <x:c r="G235" s="20"/>
      <x:c r="H235" s="19"/>
      <x:c r="I235" s="27"/>
    </x:row>
    <x:row r="236">
      <x:c r="A236" s="19"/>
      <x:c r="B236" s="19"/>
      <x:c r="C236" s="19"/>
      <x:c r="D236" s="19"/>
      <x:c r="E236" s="19"/>
      <x:c r="F236" s="19"/>
      <x:c r="G236" s="20"/>
      <x:c r="H236" s="19"/>
      <x:c r="I236" s="27"/>
    </x:row>
    <x:row r="237">
      <x:c r="A237" s="19"/>
      <x:c r="B237" s="19"/>
      <x:c r="C237" s="19"/>
      <x:c r="D237" s="19"/>
      <x:c r="E237" s="19"/>
      <x:c r="F237" s="19"/>
      <x:c r="G237" s="20"/>
      <x:c r="H237" s="19"/>
      <x:c r="I237" s="27"/>
    </x:row>
    <x:row r="238">
      <x:c r="A238" s="19"/>
      <x:c r="B238" s="19"/>
      <x:c r="C238" s="19"/>
      <x:c r="D238" s="19"/>
      <x:c r="E238" s="19"/>
      <x:c r="F238" s="19"/>
      <x:c r="G238" s="20"/>
      <x:c r="H238" s="19"/>
      <x:c r="I238" s="27"/>
    </x:row>
    <x:row r="239">
      <x:c r="A239" s="19"/>
      <x:c r="B239" s="19"/>
      <x:c r="C239" s="19"/>
      <x:c r="D239" s="19"/>
      <x:c r="E239" s="19"/>
      <x:c r="F239" s="19"/>
      <x:c r="G239" s="20"/>
      <x:c r="H239" s="19"/>
      <x:c r="I239" s="27"/>
    </x:row>
    <x:row r="240">
      <x:c r="A240" s="19"/>
      <x:c r="B240" s="19"/>
      <x:c r="C240" s="19"/>
      <x:c r="D240" s="19"/>
      <x:c r="E240" s="19"/>
      <x:c r="F240" s="19"/>
      <x:c r="G240" s="20"/>
      <x:c r="H240" s="19"/>
      <x:c r="I240" s="27"/>
    </x:row>
    <x:row r="241">
      <x:c r="A241" s="19"/>
      <x:c r="B241" s="19"/>
      <x:c r="C241" s="19"/>
      <x:c r="D241" s="19"/>
      <x:c r="E241" s="19"/>
      <x:c r="F241" s="19"/>
      <x:c r="G241" s="20"/>
      <x:c r="H241" s="19"/>
      <x:c r="I241" s="27"/>
    </x:row>
    <x:row r="242">
      <x:c r="A242" s="19"/>
      <x:c r="B242" s="19"/>
      <x:c r="C242" s="19"/>
      <x:c r="D242" s="19"/>
      <x:c r="E242" s="19"/>
      <x:c r="F242" s="19"/>
      <x:c r="G242" s="20"/>
      <x:c r="H242" s="19"/>
      <x:c r="I242" s="27"/>
    </x:row>
    <x:row r="243">
      <x:c r="A243" s="19"/>
      <x:c r="B243" s="19"/>
      <x:c r="C243" s="19"/>
      <x:c r="D243" s="19"/>
      <x:c r="E243" s="19"/>
      <x:c r="F243" s="19"/>
      <x:c r="G243" s="20"/>
      <x:c r="H243" s="19"/>
      <x:c r="I243" s="27"/>
    </x:row>
    <x:row r="244">
      <x:c r="A244" s="19"/>
      <x:c r="B244" s="19"/>
      <x:c r="C244" s="19"/>
      <x:c r="D244" s="19"/>
      <x:c r="E244" s="19"/>
      <x:c r="F244" s="19"/>
      <x:c r="G244" s="20"/>
      <x:c r="H244" s="19"/>
      <x:c r="I244" s="27"/>
    </x:row>
    <x:row r="245">
      <x:c r="A245" s="19"/>
      <x:c r="B245" s="19"/>
      <x:c r="C245" s="19"/>
      <x:c r="D245" s="19"/>
      <x:c r="E245" s="19"/>
      <x:c r="F245" s="19"/>
      <x:c r="G245" s="20"/>
      <x:c r="H245" s="19"/>
      <x:c r="I245" s="27"/>
    </x:row>
    <x:row r="246">
      <x:c r="A246" s="19"/>
      <x:c r="B246" s="19"/>
      <x:c r="C246" s="19"/>
      <x:c r="D246" s="19"/>
      <x:c r="E246" s="19"/>
      <x:c r="F246" s="19"/>
      <x:c r="G246" s="20"/>
      <x:c r="H246" s="19"/>
      <x:c r="I246" s="27"/>
    </x:row>
    <x:row r="247">
      <x:c r="A247" s="19"/>
      <x:c r="B247" s="19"/>
      <x:c r="C247" s="19"/>
      <x:c r="D247" s="19"/>
      <x:c r="E247" s="19"/>
      <x:c r="F247" s="19"/>
      <x:c r="G247" s="20"/>
      <x:c r="H247" s="19"/>
      <x:c r="I247" s="27"/>
    </x:row>
    <x:row r="248">
      <x:c r="A248" s="19"/>
      <x:c r="B248" s="19"/>
      <x:c r="C248" s="19"/>
      <x:c r="D248" s="19"/>
      <x:c r="E248" s="19"/>
      <x:c r="F248" s="19"/>
      <x:c r="G248" s="20"/>
      <x:c r="H248" s="19"/>
      <x:c r="I248" s="27"/>
    </x:row>
    <x:row r="249">
      <x:c r="A249" s="19"/>
      <x:c r="B249" s="19"/>
      <x:c r="C249" s="19"/>
      <x:c r="D249" s="19"/>
      <x:c r="E249" s="19"/>
      <x:c r="F249" s="19"/>
      <x:c r="G249" s="20"/>
      <x:c r="H249" s="19"/>
      <x:c r="I249" s="27"/>
    </x:row>
    <x:row r="250">
      <x:c r="A250" s="19"/>
      <x:c r="B250" s="19"/>
      <x:c r="C250" s="19"/>
      <x:c r="D250" s="19"/>
      <x:c r="E250" s="19"/>
      <x:c r="F250" s="19"/>
      <x:c r="G250" s="20"/>
      <x:c r="H250" s="19"/>
      <x:c r="I250" s="27"/>
    </x:row>
    <x:row r="251">
      <x:c r="A251" s="19"/>
      <x:c r="B251" s="19"/>
      <x:c r="C251" s="19"/>
      <x:c r="D251" s="19"/>
      <x:c r="E251" s="19"/>
      <x:c r="F251" s="19"/>
      <x:c r="G251" s="20"/>
      <x:c r="H251" s="19"/>
      <x:c r="I251" s="27"/>
    </x:row>
    <x:row r="252">
      <x:c r="A252" s="19"/>
      <x:c r="B252" s="19"/>
      <x:c r="C252" s="19"/>
      <x:c r="D252" s="19"/>
      <x:c r="E252" s="19"/>
      <x:c r="F252" s="19"/>
      <x:c r="G252" s="20"/>
      <x:c r="H252" s="19"/>
      <x:c r="I252" s="27"/>
    </x:row>
    <x:row r="253">
      <x:c r="A253" s="19"/>
      <x:c r="B253" s="19"/>
      <x:c r="C253" s="19"/>
      <x:c r="D253" s="19"/>
      <x:c r="E253" s="19"/>
      <x:c r="F253" s="19"/>
      <x:c r="G253" s="20"/>
      <x:c r="H253" s="19"/>
      <x:c r="I253" s="27"/>
    </x:row>
    <x:row r="254">
      <x:c r="A254" s="19"/>
      <x:c r="B254" s="19"/>
      <x:c r="C254" s="19"/>
      <x:c r="D254" s="19"/>
      <x:c r="E254" s="19"/>
      <x:c r="F254" s="19"/>
      <x:c r="G254" s="20"/>
      <x:c r="H254" s="19"/>
      <x:c r="I254" s="27"/>
    </x:row>
    <x:row r="255">
      <x:c r="A255" s="19"/>
      <x:c r="B255" s="19"/>
      <x:c r="C255" s="19"/>
      <x:c r="D255" s="19"/>
      <x:c r="E255" s="19"/>
      <x:c r="F255" s="19"/>
      <x:c r="G255" s="20"/>
      <x:c r="H255" s="19"/>
      <x:c r="I255" s="27"/>
    </x:row>
    <x:row r="256">
      <x:c r="A256" s="19"/>
      <x:c r="B256" s="19"/>
      <x:c r="C256" s="19"/>
      <x:c r="D256" s="19"/>
      <x:c r="E256" s="19"/>
      <x:c r="F256" s="19"/>
      <x:c r="G256" s="20"/>
      <x:c r="H256" s="19"/>
      <x:c r="I256" s="27"/>
    </x:row>
    <x:row r="257">
      <x:c r="A257" s="19"/>
      <x:c r="B257" s="19"/>
      <x:c r="C257" s="19"/>
      <x:c r="D257" s="19"/>
      <x:c r="E257" s="19"/>
      <x:c r="F257" s="19"/>
      <x:c r="G257" s="20"/>
      <x:c r="H257" s="19"/>
      <x:c r="I257" s="27"/>
    </x:row>
    <x:row r="258">
      <x:c r="A258" s="19"/>
      <x:c r="B258" s="19"/>
      <x:c r="C258" s="19"/>
      <x:c r="D258" s="19"/>
      <x:c r="E258" s="19"/>
      <x:c r="F258" s="19"/>
      <x:c r="G258" s="20"/>
      <x:c r="H258" s="19"/>
      <x:c r="I258" s="27"/>
    </x:row>
    <x:row r="259">
      <x:c r="A259" s="19"/>
      <x:c r="B259" s="19"/>
      <x:c r="C259" s="19"/>
      <x:c r="D259" s="19"/>
      <x:c r="E259" s="19"/>
      <x:c r="F259" s="19"/>
      <x:c r="G259" s="20"/>
      <x:c r="H259" s="19"/>
      <x:c r="I259" s="27"/>
    </x:row>
    <x:row r="260">
      <x:c r="A260" s="19"/>
      <x:c r="B260" s="19"/>
      <x:c r="C260" s="19"/>
      <x:c r="D260" s="19"/>
      <x:c r="E260" s="19"/>
      <x:c r="F260" s="19"/>
      <x:c r="G260" s="20"/>
      <x:c r="H260" s="19"/>
      <x:c r="I260" s="27"/>
    </x:row>
    <x:row r="261">
      <x:c r="A261" s="19"/>
      <x:c r="B261" s="19"/>
      <x:c r="C261" s="19"/>
      <x:c r="D261" s="19"/>
      <x:c r="E261" s="19"/>
      <x:c r="F261" s="19"/>
      <x:c r="G261" s="20"/>
      <x:c r="H261" s="19"/>
      <x:c r="I261" s="27"/>
    </x:row>
    <x:row r="262">
      <x:c r="A262" s="19"/>
      <x:c r="B262" s="19"/>
      <x:c r="C262" s="19"/>
      <x:c r="D262" s="19"/>
      <x:c r="E262" s="19"/>
      <x:c r="F262" s="19"/>
      <x:c r="G262" s="20"/>
      <x:c r="H262" s="19"/>
      <x:c r="I262" s="27"/>
    </x:row>
    <x:row r="263">
      <x:c r="A263" s="19"/>
      <x:c r="B263" s="19"/>
      <x:c r="C263" s="19"/>
      <x:c r="D263" s="19"/>
      <x:c r="E263" s="19"/>
      <x:c r="F263" s="19"/>
      <x:c r="G263" s="20"/>
      <x:c r="H263" s="19"/>
      <x:c r="I263" s="27"/>
    </x:row>
    <x:row r="264">
      <x:c r="A264" s="19"/>
      <x:c r="B264" s="19"/>
      <x:c r="C264" s="19"/>
      <x:c r="D264" s="19"/>
      <x:c r="E264" s="19"/>
      <x:c r="F264" s="19"/>
      <x:c r="G264" s="20"/>
      <x:c r="H264" s="19"/>
      <x:c r="I264" s="27"/>
    </x:row>
    <x:row r="265">
      <x:c r="A265" s="19"/>
      <x:c r="B265" s="19"/>
      <x:c r="C265" s="19"/>
      <x:c r="D265" s="19"/>
      <x:c r="E265" s="19"/>
      <x:c r="F265" s="19"/>
      <x:c r="G265" s="20"/>
      <x:c r="H265" s="19"/>
      <x:c r="I265" s="27"/>
    </x:row>
    <x:row r="266">
      <x:c r="A266" s="19"/>
      <x:c r="B266" s="19"/>
      <x:c r="C266" s="19"/>
      <x:c r="D266" s="19"/>
      <x:c r="E266" s="19"/>
      <x:c r="F266" s="19"/>
      <x:c r="G266" s="20"/>
      <x:c r="H266" s="19"/>
      <x:c r="I266" s="27"/>
    </x:row>
    <x:row r="267">
      <x:c r="A267" s="19"/>
      <x:c r="B267" s="19"/>
      <x:c r="C267" s="19"/>
      <x:c r="D267" s="19"/>
      <x:c r="E267" s="19"/>
      <x:c r="F267" s="19"/>
      <x:c r="G267" s="20"/>
      <x:c r="H267" s="19"/>
      <x:c r="I267" s="27"/>
    </x:row>
    <x:row r="268">
      <x:c r="A268" s="19"/>
      <x:c r="B268" s="19"/>
      <x:c r="C268" s="19"/>
      <x:c r="D268" s="19"/>
      <x:c r="E268" s="19"/>
      <x:c r="F268" s="19"/>
      <x:c r="G268" s="20"/>
      <x:c r="H268" s="19"/>
      <x:c r="I268" s="27"/>
    </x:row>
    <x:row r="269">
      <x:c r="A269" s="19"/>
      <x:c r="B269" s="19"/>
      <x:c r="C269" s="19"/>
      <x:c r="D269" s="19"/>
      <x:c r="E269" s="19"/>
      <x:c r="F269" s="19"/>
      <x:c r="G269" s="20"/>
      <x:c r="H269" s="19"/>
      <x:c r="I269" s="27"/>
    </x:row>
    <x:row r="270">
      <x:c r="A270" s="19"/>
      <x:c r="B270" s="19"/>
      <x:c r="C270" s="19"/>
      <x:c r="D270" s="19"/>
      <x:c r="E270" s="19"/>
      <x:c r="F270" s="19"/>
      <x:c r="G270" s="20"/>
      <x:c r="H270" s="19"/>
      <x:c r="I270" s="27"/>
    </x:row>
    <x:row r="271">
      <x:c r="A271" s="19"/>
      <x:c r="B271" s="19"/>
      <x:c r="C271" s="19"/>
      <x:c r="D271" s="19"/>
      <x:c r="E271" s="19"/>
      <x:c r="F271" s="19"/>
      <x:c r="G271" s="20"/>
      <x:c r="H271" s="19"/>
      <x:c r="I271" s="27"/>
    </x:row>
    <x:row r="272">
      <x:c r="A272" s="19"/>
      <x:c r="B272" s="19"/>
      <x:c r="C272" s="19"/>
      <x:c r="D272" s="19"/>
      <x:c r="E272" s="19"/>
      <x:c r="F272" s="19"/>
      <x:c r="G272" s="20"/>
      <x:c r="H272" s="19"/>
      <x:c r="I272" s="27"/>
    </x:row>
    <x:row r="273">
      <x:c r="A273" s="19"/>
      <x:c r="B273" s="19"/>
      <x:c r="C273" s="19"/>
      <x:c r="D273" s="19"/>
      <x:c r="E273" s="19"/>
      <x:c r="F273" s="19"/>
      <x:c r="G273" s="20"/>
      <x:c r="H273" s="19"/>
      <x:c r="I273" s="27"/>
    </x:row>
    <x:row r="274">
      <x:c r="A274" s="19"/>
      <x:c r="B274" s="19"/>
      <x:c r="C274" s="19"/>
      <x:c r="D274" s="19"/>
      <x:c r="E274" s="19"/>
      <x:c r="F274" s="19"/>
      <x:c r="G274" s="20"/>
      <x:c r="H274" s="19"/>
      <x:c r="I274" s="27"/>
    </x:row>
    <x:row r="275">
      <x:c r="A275" s="19"/>
      <x:c r="B275" s="19"/>
      <x:c r="C275" s="19"/>
      <x:c r="D275" s="19"/>
      <x:c r="E275" s="19"/>
      <x:c r="F275" s="19"/>
      <x:c r="G275" s="20"/>
      <x:c r="H275" s="19"/>
      <x:c r="I275" s="27"/>
    </x:row>
    <x:row r="276">
      <x:c r="A276" s="19"/>
      <x:c r="B276" s="19"/>
      <x:c r="C276" s="19"/>
      <x:c r="D276" s="19"/>
      <x:c r="E276" s="19"/>
      <x:c r="F276" s="19"/>
      <x:c r="G276" s="20"/>
      <x:c r="H276" s="19"/>
      <x:c r="I276" s="27"/>
    </x:row>
    <x:row r="277">
      <x:c r="A277" s="19"/>
      <x:c r="B277" s="19"/>
      <x:c r="C277" s="19"/>
      <x:c r="D277" s="19"/>
      <x:c r="E277" s="19"/>
      <x:c r="F277" s="19"/>
      <x:c r="G277" s="20"/>
      <x:c r="H277" s="19"/>
      <x:c r="I277" s="27"/>
    </x:row>
    <x:row r="278">
      <x:c r="A278" s="19"/>
      <x:c r="B278" s="19"/>
      <x:c r="C278" s="19"/>
      <x:c r="D278" s="19"/>
      <x:c r="E278" s="19"/>
      <x:c r="F278" s="19"/>
      <x:c r="G278" s="20"/>
      <x:c r="H278" s="19"/>
      <x:c r="I278" s="27"/>
    </x:row>
    <x:row r="279">
      <x:c r="A279" s="19"/>
      <x:c r="B279" s="19"/>
      <x:c r="C279" s="19"/>
      <x:c r="D279" s="19"/>
      <x:c r="E279" s="19"/>
      <x:c r="F279" s="19"/>
      <x:c r="G279" s="20"/>
      <x:c r="H279" s="19"/>
      <x:c r="I279" s="27"/>
    </x:row>
    <x:row r="280">
      <x:c r="A280" s="19"/>
      <x:c r="B280" s="19"/>
      <x:c r="C280" s="19"/>
      <x:c r="D280" s="19"/>
      <x:c r="E280" s="19"/>
      <x:c r="F280" s="19"/>
      <x:c r="G280" s="20"/>
      <x:c r="H280" s="19"/>
      <x:c r="I280" s="27"/>
    </x:row>
    <x:row r="281">
      <x:c r="A281" s="19"/>
      <x:c r="B281" s="19"/>
      <x:c r="C281" s="19"/>
      <x:c r="D281" s="19"/>
      <x:c r="E281" s="19"/>
      <x:c r="F281" s="19"/>
      <x:c r="G281" s="20"/>
      <x:c r="H281" s="19"/>
      <x:c r="I281" s="27"/>
    </x:row>
    <x:row r="282">
      <x:c r="A282" s="19"/>
      <x:c r="B282" s="19"/>
      <x:c r="C282" s="19"/>
      <x:c r="D282" s="19"/>
      <x:c r="E282" s="19"/>
      <x:c r="F282" s="19"/>
      <x:c r="G282" s="20"/>
      <x:c r="H282" s="19"/>
      <x:c r="I282" s="27"/>
    </x:row>
    <x:row r="283">
      <x:c r="A283" s="19"/>
      <x:c r="B283" s="19"/>
      <x:c r="C283" s="19"/>
      <x:c r="D283" s="19"/>
      <x:c r="E283" s="19"/>
      <x:c r="F283" s="19"/>
      <x:c r="G283" s="20"/>
      <x:c r="H283" s="19"/>
      <x:c r="I283" s="27"/>
    </x:row>
    <x:row r="284">
      <x:c r="A284" s="19"/>
      <x:c r="B284" s="19"/>
      <x:c r="C284" s="19"/>
      <x:c r="D284" s="19"/>
      <x:c r="E284" s="19"/>
      <x:c r="F284" s="19"/>
      <x:c r="G284" s="20"/>
      <x:c r="H284" s="19"/>
      <x:c r="I284" s="27"/>
    </x:row>
    <x:row r="285">
      <x:c r="A285" s="19"/>
      <x:c r="B285" s="19"/>
      <x:c r="C285" s="19"/>
      <x:c r="D285" s="19"/>
      <x:c r="E285" s="19"/>
      <x:c r="F285" s="19"/>
      <x:c r="G285" s="20"/>
      <x:c r="H285" s="19"/>
      <x:c r="I285" s="27"/>
    </x:row>
    <x:row r="286">
      <x:c r="A286" s="19"/>
      <x:c r="B286" s="19"/>
      <x:c r="C286" s="19"/>
      <x:c r="D286" s="19"/>
      <x:c r="E286" s="19"/>
      <x:c r="F286" s="19"/>
      <x:c r="G286" s="20"/>
      <x:c r="H286" s="19"/>
      <x:c r="I286" s="27"/>
    </x:row>
    <x:row r="287">
      <x:c r="A287" s="19"/>
      <x:c r="B287" s="19"/>
      <x:c r="C287" s="19"/>
      <x:c r="D287" s="19"/>
      <x:c r="E287" s="19"/>
      <x:c r="F287" s="19"/>
      <x:c r="G287" s="20"/>
      <x:c r="H287" s="19"/>
      <x:c r="I287" s="27"/>
    </x:row>
    <x:row r="288">
      <x:c r="A288" s="19"/>
      <x:c r="B288" s="19"/>
      <x:c r="C288" s="19"/>
      <x:c r="D288" s="19"/>
      <x:c r="E288" s="19"/>
      <x:c r="F288" s="19"/>
      <x:c r="G288" s="20"/>
      <x:c r="H288" s="19"/>
      <x:c r="I288" s="27"/>
    </x:row>
    <x:row r="289">
      <x:c r="A289" s="19"/>
      <x:c r="B289" s="19"/>
      <x:c r="C289" s="19"/>
      <x:c r="D289" s="19"/>
      <x:c r="E289" s="19"/>
      <x:c r="F289" s="19"/>
      <x:c r="G289" s="20"/>
      <x:c r="H289" s="19"/>
      <x:c r="I289" s="27"/>
    </x:row>
    <x:row r="290">
      <x:c r="A290" s="19"/>
      <x:c r="B290" s="19"/>
      <x:c r="C290" s="19"/>
      <x:c r="D290" s="19"/>
      <x:c r="E290" s="19"/>
      <x:c r="F290" s="19"/>
      <x:c r="G290" s="20"/>
      <x:c r="H290" s="19"/>
      <x:c r="I290" s="27"/>
    </x:row>
    <x:row r="291">
      <x:c r="A291" s="19"/>
      <x:c r="B291" s="19"/>
      <x:c r="C291" s="19"/>
      <x:c r="D291" s="19"/>
      <x:c r="E291" s="19"/>
      <x:c r="F291" s="19"/>
      <x:c r="G291" s="20"/>
      <x:c r="H291" s="19"/>
      <x:c r="I291" s="27"/>
    </x:row>
    <x:row r="292">
      <x:c r="A292" s="19"/>
      <x:c r="B292" s="19"/>
      <x:c r="C292" s="19"/>
      <x:c r="D292" s="19"/>
      <x:c r="E292" s="19"/>
      <x:c r="F292" s="19"/>
      <x:c r="G292" s="20"/>
      <x:c r="H292" s="19"/>
      <x:c r="I292" s="27"/>
    </x:row>
    <x:row r="293">
      <x:c r="A293" s="19"/>
      <x:c r="B293" s="19"/>
      <x:c r="C293" s="19"/>
      <x:c r="D293" s="19"/>
      <x:c r="E293" s="19"/>
      <x:c r="F293" s="19"/>
      <x:c r="G293" s="20"/>
      <x:c r="H293" s="19"/>
      <x:c r="I293" s="27"/>
    </x:row>
    <x:row r="294">
      <x:c r="A294" s="19"/>
      <x:c r="B294" s="19"/>
      <x:c r="C294" s="19"/>
      <x:c r="D294" s="19"/>
      <x:c r="E294" s="19"/>
      <x:c r="F294" s="19"/>
      <x:c r="G294" s="20"/>
      <x:c r="H294" s="19"/>
      <x:c r="I294" s="27"/>
    </x:row>
    <x:row r="295">
      <x:c r="A295" s="19"/>
      <x:c r="B295" s="19"/>
      <x:c r="C295" s="19"/>
      <x:c r="D295" s="19"/>
      <x:c r="E295" s="19"/>
      <x:c r="F295" s="19"/>
      <x:c r="G295" s="20"/>
      <x:c r="H295" s="19"/>
      <x:c r="I295" s="27"/>
    </x:row>
    <x:row r="296">
      <x:c r="A296" s="19"/>
      <x:c r="B296" s="19"/>
      <x:c r="C296" s="19"/>
      <x:c r="D296" s="19"/>
      <x:c r="E296" s="19"/>
      <x:c r="F296" s="19"/>
      <x:c r="G296" s="20"/>
      <x:c r="H296" s="19"/>
      <x:c r="I296" s="27"/>
    </x:row>
    <x:row r="297">
      <x:c r="A297" s="19"/>
      <x:c r="B297" s="19"/>
      <x:c r="C297" s="19"/>
      <x:c r="D297" s="19"/>
      <x:c r="E297" s="19"/>
      <x:c r="F297" s="19"/>
      <x:c r="G297" s="20"/>
      <x:c r="H297" s="19"/>
      <x:c r="I297" s="27"/>
    </x:row>
    <x:row r="298">
      <x:c r="A298" s="19"/>
      <x:c r="B298" s="19"/>
      <x:c r="C298" s="19"/>
      <x:c r="D298" s="19"/>
      <x:c r="E298" s="19"/>
      <x:c r="F298" s="19"/>
      <x:c r="G298" s="20"/>
      <x:c r="H298" s="19"/>
      <x:c r="I298" s="27"/>
    </x:row>
    <x:row r="299">
      <x:c r="A299" s="19"/>
      <x:c r="B299" s="19"/>
      <x:c r="C299" s="19"/>
      <x:c r="D299" s="19"/>
      <x:c r="E299" s="19"/>
      <x:c r="F299" s="19"/>
      <x:c r="G299" s="20"/>
      <x:c r="H299" s="19"/>
      <x:c r="I299" s="27"/>
    </x:row>
    <x:row r="300">
      <x:c r="A300" s="19"/>
      <x:c r="B300" s="19"/>
      <x:c r="C300" s="19"/>
      <x:c r="D300" s="19"/>
      <x:c r="E300" s="19"/>
      <x:c r="F300" s="19"/>
      <x:c r="G300" s="20"/>
      <x:c r="H300" s="19"/>
      <x:c r="I300" s="27"/>
    </x:row>
    <x:row r="301">
      <x:c r="A301" s="19"/>
      <x:c r="B301" s="19"/>
      <x:c r="C301" s="19"/>
      <x:c r="D301" s="19"/>
      <x:c r="E301" s="19"/>
      <x:c r="F301" s="19"/>
      <x:c r="G301" s="20"/>
      <x:c r="H301" s="19"/>
      <x:c r="I301" s="27"/>
    </x:row>
    <x:row r="302">
      <x:c r="A302" s="19"/>
      <x:c r="B302" s="19"/>
      <x:c r="C302" s="19"/>
      <x:c r="D302" s="19"/>
      <x:c r="E302" s="19"/>
      <x:c r="F302" s="19"/>
      <x:c r="G302" s="20"/>
      <x:c r="H302" s="19"/>
      <x:c r="I302" s="27"/>
    </x:row>
    <x:row r="303">
      <x:c r="A303" s="19"/>
      <x:c r="B303" s="19"/>
      <x:c r="C303" s="19"/>
      <x:c r="D303" s="19"/>
      <x:c r="E303" s="19"/>
      <x:c r="F303" s="19"/>
      <x:c r="G303" s="20"/>
      <x:c r="H303" s="19"/>
      <x:c r="I303" s="27"/>
    </x:row>
    <x:row r="304">
      <x:c r="A304" s="19"/>
      <x:c r="B304" s="19"/>
      <x:c r="C304" s="19"/>
      <x:c r="D304" s="19"/>
      <x:c r="E304" s="19"/>
      <x:c r="F304" s="19"/>
      <x:c r="G304" s="20"/>
      <x:c r="H304" s="19"/>
      <x:c r="I304" s="27"/>
    </x:row>
    <x:row r="305">
      <x:c r="A305" s="19"/>
      <x:c r="B305" s="19"/>
      <x:c r="C305" s="19"/>
      <x:c r="D305" s="19"/>
      <x:c r="E305" s="19"/>
      <x:c r="F305" s="19"/>
      <x:c r="G305" s="20"/>
      <x:c r="H305" s="19"/>
      <x:c r="I305" s="27"/>
    </x:row>
    <x:row r="306">
      <x:c r="A306" s="19"/>
      <x:c r="B306" s="19"/>
      <x:c r="C306" s="19"/>
      <x:c r="D306" s="19"/>
      <x:c r="E306" s="19"/>
      <x:c r="F306" s="19"/>
      <x:c r="G306" s="20"/>
      <x:c r="H306" s="19"/>
      <x:c r="I306" s="27"/>
    </x:row>
    <x:row r="307">
      <x:c r="A307" s="19"/>
      <x:c r="B307" s="19"/>
      <x:c r="C307" s="19"/>
      <x:c r="D307" s="19"/>
      <x:c r="E307" s="19"/>
      <x:c r="F307" s="19"/>
      <x:c r="G307" s="20"/>
      <x:c r="H307" s="19"/>
      <x:c r="I307" s="27"/>
    </x:row>
    <x:row r="308">
      <x:c r="A308" s="19"/>
      <x:c r="B308" s="19"/>
      <x:c r="C308" s="19"/>
      <x:c r="D308" s="19"/>
      <x:c r="E308" s="19"/>
      <x:c r="F308" s="19"/>
      <x:c r="G308" s="20"/>
      <x:c r="H308" s="19"/>
      <x:c r="I308" s="27"/>
    </x:row>
    <x:row r="309">
      <x:c r="A309" s="19"/>
      <x:c r="B309" s="19"/>
      <x:c r="C309" s="19"/>
      <x:c r="D309" s="19"/>
      <x:c r="E309" s="19"/>
      <x:c r="F309" s="19"/>
      <x:c r="G309" s="20"/>
      <x:c r="H309" s="19"/>
      <x:c r="I309" s="27"/>
    </x:row>
    <x:row r="310">
      <x:c r="A310" s="19"/>
      <x:c r="B310" s="19"/>
      <x:c r="C310" s="19"/>
      <x:c r="D310" s="19"/>
      <x:c r="E310" s="19"/>
      <x:c r="F310" s="19"/>
      <x:c r="G310" s="20"/>
      <x:c r="H310" s="19"/>
      <x:c r="I310" s="27"/>
    </x:row>
    <x:row r="311">
      <x:c r="A311" s="19"/>
      <x:c r="B311" s="19"/>
      <x:c r="C311" s="19"/>
      <x:c r="D311" s="19"/>
      <x:c r="E311" s="19"/>
      <x:c r="F311" s="19"/>
      <x:c r="G311" s="20"/>
      <x:c r="H311" s="19"/>
      <x:c r="I311" s="27"/>
    </x:row>
    <x:row r="312">
      <x:c r="A312" s="19"/>
      <x:c r="B312" s="19"/>
      <x:c r="C312" s="19"/>
      <x:c r="D312" s="19"/>
      <x:c r="E312" s="19"/>
      <x:c r="F312" s="19"/>
      <x:c r="G312" s="20"/>
      <x:c r="H312" s="19"/>
      <x:c r="I312" s="27"/>
    </x:row>
    <x:row r="313">
      <x:c r="A313" s="19"/>
      <x:c r="B313" s="19"/>
      <x:c r="C313" s="19"/>
      <x:c r="D313" s="19"/>
      <x:c r="E313" s="19"/>
      <x:c r="F313" s="19"/>
      <x:c r="G313" s="20"/>
      <x:c r="H313" s="19"/>
      <x:c r="I313" s="27"/>
    </x:row>
    <x:row r="314">
      <x:c r="A314" s="19"/>
      <x:c r="B314" s="19"/>
      <x:c r="C314" s="19"/>
      <x:c r="D314" s="19"/>
      <x:c r="E314" s="19"/>
      <x:c r="F314" s="19"/>
      <x:c r="G314" s="20"/>
      <x:c r="H314" s="19"/>
      <x:c r="I314" s="27"/>
    </x:row>
    <x:row r="315">
      <x:c r="A315" s="19"/>
      <x:c r="B315" s="19"/>
      <x:c r="C315" s="19"/>
      <x:c r="D315" s="19"/>
      <x:c r="E315" s="19"/>
      <x:c r="F315" s="19"/>
      <x:c r="G315" s="20"/>
      <x:c r="H315" s="19"/>
      <x:c r="I315" s="27"/>
    </x:row>
    <x:row r="316">
      <x:c r="A316" s="19"/>
      <x:c r="B316" s="19"/>
      <x:c r="C316" s="19"/>
      <x:c r="D316" s="19"/>
      <x:c r="E316" s="19"/>
      <x:c r="F316" s="19"/>
      <x:c r="G316" s="20"/>
      <x:c r="H316" s="19"/>
      <x:c r="I316" s="27"/>
    </x:row>
    <x:row r="317">
      <x:c r="A317" s="19"/>
      <x:c r="B317" s="19"/>
      <x:c r="C317" s="19"/>
      <x:c r="D317" s="19"/>
      <x:c r="E317" s="19"/>
      <x:c r="F317" s="19"/>
      <x:c r="G317" s="20"/>
      <x:c r="H317" s="19"/>
      <x:c r="I317" s="27"/>
    </x:row>
    <x:row r="318">
      <x:c r="A318" s="19"/>
      <x:c r="B318" s="19"/>
      <x:c r="C318" s="19"/>
      <x:c r="D318" s="19"/>
      <x:c r="E318" s="19"/>
      <x:c r="F318" s="19"/>
      <x:c r="G318" s="20"/>
      <x:c r="H318" s="19"/>
      <x:c r="I318" s="27"/>
    </x:row>
    <x:row r="319">
      <x:c r="A319" s="19"/>
      <x:c r="B319" s="19"/>
      <x:c r="C319" s="19"/>
      <x:c r="D319" s="19"/>
      <x:c r="E319" s="19"/>
      <x:c r="F319" s="19"/>
      <x:c r="G319" s="20"/>
      <x:c r="H319" s="19"/>
      <x:c r="I319" s="27"/>
    </x:row>
    <x:row r="320">
      <x:c r="A320" s="19"/>
      <x:c r="B320" s="19"/>
      <x:c r="C320" s="19"/>
      <x:c r="D320" s="19"/>
      <x:c r="E320" s="19"/>
      <x:c r="F320" s="19"/>
      <x:c r="G320" s="20"/>
      <x:c r="H320" s="19"/>
      <x:c r="I320" s="27"/>
    </x:row>
    <x:row r="321">
      <x:c r="A321" s="19"/>
      <x:c r="B321" s="19"/>
      <x:c r="C321" s="19"/>
      <x:c r="D321" s="19"/>
      <x:c r="E321" s="19"/>
      <x:c r="F321" s="19"/>
      <x:c r="G321" s="20"/>
      <x:c r="H321" s="19"/>
      <x:c r="I321" s="27"/>
    </x:row>
    <x:row r="322">
      <x:c r="A322" s="19"/>
      <x:c r="B322" s="19"/>
      <x:c r="C322" s="19"/>
      <x:c r="D322" s="19"/>
      <x:c r="E322" s="19"/>
      <x:c r="F322" s="19"/>
      <x:c r="G322" s="20"/>
      <x:c r="H322" s="19"/>
      <x:c r="I322" s="27"/>
    </x:row>
    <x:row r="323">
      <x:c r="A323" s="19"/>
      <x:c r="B323" s="19"/>
      <x:c r="C323" s="19"/>
      <x:c r="D323" s="19"/>
      <x:c r="E323" s="19"/>
      <x:c r="F323" s="19"/>
      <x:c r="G323" s="20"/>
      <x:c r="H323" s="19"/>
      <x:c r="I323" s="27"/>
    </x:row>
    <x:row r="324">
      <x:c r="A324" s="19"/>
      <x:c r="B324" s="19"/>
      <x:c r="C324" s="19"/>
      <x:c r="D324" s="19"/>
      <x:c r="E324" s="19"/>
      <x:c r="F324" s="19"/>
      <x:c r="G324" s="20"/>
      <x:c r="H324" s="19"/>
      <x:c r="I324" s="27"/>
    </x:row>
    <x:row r="325">
      <x:c r="A325" s="19"/>
      <x:c r="B325" s="19"/>
      <x:c r="C325" s="19"/>
      <x:c r="D325" s="19"/>
      <x:c r="E325" s="19"/>
      <x:c r="F325" s="19"/>
      <x:c r="G325" s="20"/>
      <x:c r="H325" s="19"/>
      <x:c r="I325" s="27"/>
    </x:row>
    <x:row r="326">
      <x:c r="A326" s="19"/>
      <x:c r="B326" s="19"/>
      <x:c r="C326" s="19"/>
      <x:c r="D326" s="19"/>
      <x:c r="E326" s="19"/>
      <x:c r="F326" s="19"/>
      <x:c r="G326" s="20"/>
      <x:c r="H326" s="19"/>
      <x:c r="I326" s="27"/>
    </x:row>
    <x:row r="327">
      <x:c r="A327" s="19"/>
      <x:c r="B327" s="19"/>
      <x:c r="C327" s="19"/>
      <x:c r="D327" s="19"/>
      <x:c r="E327" s="19"/>
      <x:c r="F327" s="19"/>
      <x:c r="G327" s="20"/>
      <x:c r="H327" s="19"/>
      <x:c r="I327" s="27"/>
    </x:row>
    <x:row r="328">
      <x:c r="A328" s="19"/>
      <x:c r="B328" s="19"/>
      <x:c r="C328" s="19"/>
      <x:c r="D328" s="19"/>
      <x:c r="E328" s="19"/>
      <x:c r="F328" s="19"/>
      <x:c r="G328" s="20"/>
      <x:c r="H328" s="19"/>
      <x:c r="I328" s="27"/>
    </x:row>
    <x:row r="329">
      <x:c r="A329" s="19"/>
      <x:c r="B329" s="19"/>
      <x:c r="C329" s="19"/>
      <x:c r="D329" s="19"/>
      <x:c r="E329" s="19"/>
      <x:c r="F329" s="19"/>
      <x:c r="G329" s="20"/>
      <x:c r="H329" s="19"/>
      <x:c r="I329" s="27"/>
    </x:row>
    <x:row r="330">
      <x:c r="A330" s="19"/>
      <x:c r="B330" s="19"/>
      <x:c r="C330" s="19"/>
      <x:c r="D330" s="19"/>
      <x:c r="E330" s="19"/>
      <x:c r="F330" s="19"/>
      <x:c r="G330" s="20"/>
      <x:c r="H330" s="19"/>
      <x:c r="I330" s="27"/>
    </x:row>
    <x:row r="331">
      <x:c r="A331" s="19"/>
      <x:c r="B331" s="19"/>
      <x:c r="C331" s="19"/>
      <x:c r="D331" s="19"/>
      <x:c r="E331" s="19"/>
      <x:c r="F331" s="19"/>
      <x:c r="G331" s="20"/>
      <x:c r="H331" s="19"/>
      <x:c r="I331" s="27"/>
    </x:row>
    <x:row r="332">
      <x:c r="A332" s="19"/>
      <x:c r="B332" s="19"/>
      <x:c r="C332" s="19"/>
      <x:c r="D332" s="19"/>
      <x:c r="E332" s="19"/>
      <x:c r="F332" s="19"/>
      <x:c r="G332" s="20"/>
      <x:c r="H332" s="19"/>
      <x:c r="I332" s="27"/>
    </x:row>
    <x:row r="333">
      <x:c r="A333" s="19"/>
      <x:c r="B333" s="19"/>
      <x:c r="C333" s="19"/>
      <x:c r="D333" s="19"/>
      <x:c r="E333" s="19"/>
      <x:c r="F333" s="19"/>
      <x:c r="G333" s="20"/>
      <x:c r="H333" s="19"/>
      <x:c r="I333" s="27"/>
    </x:row>
    <x:row r="334">
      <x:c r="A334" s="19"/>
      <x:c r="B334" s="19"/>
      <x:c r="C334" s="19"/>
      <x:c r="D334" s="19"/>
      <x:c r="E334" s="19"/>
      <x:c r="F334" s="19"/>
      <x:c r="G334" s="20"/>
      <x:c r="H334" s="19"/>
      <x:c r="I334" s="27"/>
    </x:row>
    <x:row r="335">
      <x:c r="A335" s="19"/>
      <x:c r="B335" s="19"/>
      <x:c r="C335" s="19"/>
      <x:c r="D335" s="19"/>
      <x:c r="E335" s="19"/>
      <x:c r="F335" s="19"/>
      <x:c r="G335" s="20"/>
      <x:c r="H335" s="19"/>
      <x:c r="I335" s="27"/>
    </x:row>
    <x:row r="336">
      <x:c r="A336" s="19"/>
      <x:c r="B336" s="19"/>
      <x:c r="C336" s="19"/>
      <x:c r="D336" s="19"/>
      <x:c r="E336" s="19"/>
      <x:c r="F336" s="19"/>
      <x:c r="G336" s="20"/>
      <x:c r="H336" s="19"/>
      <x:c r="I336" s="27"/>
    </x:row>
    <x:row r="337">
      <x:c r="A337" s="19"/>
      <x:c r="B337" s="19"/>
      <x:c r="C337" s="19"/>
      <x:c r="D337" s="19"/>
      <x:c r="E337" s="19"/>
      <x:c r="F337" s="19"/>
      <x:c r="G337" s="20"/>
      <x:c r="H337" s="19"/>
      <x:c r="I337" s="27"/>
    </x:row>
    <x:row r="338">
      <x:c r="A338" s="19"/>
      <x:c r="B338" s="19"/>
      <x:c r="C338" s="19"/>
      <x:c r="D338" s="19"/>
      <x:c r="E338" s="19"/>
      <x:c r="F338" s="19"/>
      <x:c r="G338" s="20"/>
      <x:c r="H338" s="19"/>
      <x:c r="I338" s="27"/>
    </x:row>
    <x:row r="339">
      <x:c r="A339" s="19"/>
      <x:c r="B339" s="19"/>
      <x:c r="C339" s="19"/>
      <x:c r="D339" s="19"/>
      <x:c r="E339" s="19"/>
      <x:c r="F339" s="19"/>
      <x:c r="G339" s="20"/>
      <x:c r="H339" s="19"/>
      <x:c r="I339" s="27"/>
    </x:row>
    <x:row r="340">
      <x:c r="A340" s="19"/>
      <x:c r="B340" s="19"/>
      <x:c r="C340" s="19"/>
      <x:c r="D340" s="19"/>
      <x:c r="E340" s="19"/>
      <x:c r="F340" s="19"/>
      <x:c r="G340" s="20"/>
      <x:c r="H340" s="19"/>
      <x:c r="I340" s="27"/>
    </x:row>
    <x:row r="341">
      <x:c r="A341" s="19"/>
      <x:c r="B341" s="19"/>
      <x:c r="C341" s="19"/>
      <x:c r="D341" s="19"/>
      <x:c r="E341" s="19"/>
      <x:c r="F341" s="19"/>
      <x:c r="G341" s="20"/>
      <x:c r="H341" s="19"/>
      <x:c r="I341" s="27"/>
    </x:row>
    <x:row r="342">
      <x:c r="A342" s="19"/>
      <x:c r="B342" s="19"/>
      <x:c r="C342" s="19"/>
      <x:c r="D342" s="19"/>
      <x:c r="E342" s="19"/>
      <x:c r="F342" s="19"/>
      <x:c r="G342" s="20"/>
      <x:c r="H342" s="19"/>
      <x:c r="I342" s="27"/>
    </x:row>
    <x:row r="343">
      <x:c r="A343" s="19"/>
      <x:c r="B343" s="19"/>
      <x:c r="C343" s="19"/>
      <x:c r="D343" s="19"/>
      <x:c r="E343" s="19"/>
      <x:c r="F343" s="19"/>
      <x:c r="G343" s="20"/>
      <x:c r="H343" s="19"/>
      <x:c r="I343" s="27"/>
    </x:row>
    <x:row r="344">
      <x:c r="A344" s="19"/>
      <x:c r="B344" s="19"/>
      <x:c r="C344" s="19"/>
      <x:c r="D344" s="19"/>
      <x:c r="E344" s="19"/>
      <x:c r="F344" s="19"/>
      <x:c r="G344" s="20"/>
      <x:c r="H344" s="19"/>
      <x:c r="I344" s="27"/>
    </x:row>
    <x:row r="345">
      <x:c r="A345" s="19"/>
      <x:c r="B345" s="19"/>
      <x:c r="C345" s="19"/>
      <x:c r="D345" s="19"/>
      <x:c r="E345" s="19"/>
      <x:c r="F345" s="19"/>
      <x:c r="G345" s="20"/>
      <x:c r="H345" s="19"/>
      <x:c r="I345" s="27"/>
    </x:row>
    <x:row r="346">
      <x:c r="A346" s="19"/>
      <x:c r="B346" s="19"/>
      <x:c r="C346" s="19"/>
      <x:c r="D346" s="19"/>
      <x:c r="E346" s="19"/>
      <x:c r="F346" s="19"/>
      <x:c r="G346" s="20"/>
      <x:c r="H346" s="19"/>
      <x:c r="I346" s="27"/>
    </x:row>
    <x:row r="347">
      <x:c r="A347" s="19"/>
      <x:c r="B347" s="19"/>
      <x:c r="C347" s="19"/>
      <x:c r="D347" s="19"/>
      <x:c r="E347" s="19"/>
      <x:c r="F347" s="19"/>
      <x:c r="G347" s="20"/>
      <x:c r="H347" s="19"/>
      <x:c r="I347" s="27"/>
    </x:row>
    <x:row r="348">
      <x:c r="A348" s="19"/>
      <x:c r="B348" s="19"/>
      <x:c r="C348" s="19"/>
      <x:c r="D348" s="19"/>
      <x:c r="E348" s="19"/>
      <x:c r="F348" s="19"/>
      <x:c r="G348" s="20"/>
      <x:c r="H348" s="19"/>
      <x:c r="I348" s="27"/>
    </x:row>
    <x:row r="349">
      <x:c r="A349" s="19"/>
      <x:c r="B349" s="19"/>
      <x:c r="C349" s="19"/>
      <x:c r="D349" s="19"/>
      <x:c r="E349" s="19"/>
      <x:c r="F349" s="19"/>
      <x:c r="G349" s="20"/>
      <x:c r="H349" s="19"/>
      <x:c r="I349" s="27"/>
    </x:row>
    <x:row r="350">
      <x:c r="A350" s="19"/>
      <x:c r="B350" s="19"/>
      <x:c r="C350" s="19"/>
      <x:c r="D350" s="19"/>
      <x:c r="E350" s="19"/>
      <x:c r="F350" s="19"/>
      <x:c r="G350" s="20"/>
      <x:c r="H350" s="19"/>
      <x:c r="I350" s="27"/>
    </x:row>
    <x:row r="351">
      <x:c r="A351" s="19"/>
      <x:c r="B351" s="19"/>
      <x:c r="C351" s="19"/>
      <x:c r="D351" s="19"/>
      <x:c r="E351" s="19"/>
      <x:c r="F351" s="19"/>
      <x:c r="G351" s="20"/>
      <x:c r="H351" s="19"/>
      <x:c r="I351" s="27"/>
    </x:row>
    <x:row r="352">
      <x:c r="A352" s="19"/>
      <x:c r="B352" s="19"/>
      <x:c r="C352" s="19"/>
      <x:c r="D352" s="19"/>
      <x:c r="E352" s="19"/>
      <x:c r="F352" s="19"/>
      <x:c r="G352" s="20"/>
      <x:c r="H352" s="19"/>
      <x:c r="I352" s="27"/>
    </x:row>
    <x:row r="353">
      <x:c r="A353" s="19"/>
      <x:c r="B353" s="19"/>
      <x:c r="C353" s="19"/>
      <x:c r="D353" s="19"/>
      <x:c r="E353" s="19"/>
      <x:c r="F353" s="19"/>
      <x:c r="G353" s="20"/>
      <x:c r="H353" s="19"/>
      <x:c r="I353" s="27"/>
    </x:row>
    <x:row r="354">
      <x:c r="A354" s="19"/>
      <x:c r="B354" s="19"/>
      <x:c r="C354" s="19"/>
      <x:c r="D354" s="19"/>
      <x:c r="E354" s="19"/>
      <x:c r="F354" s="19"/>
      <x:c r="G354" s="20"/>
      <x:c r="H354" s="19"/>
      <x:c r="I354" s="27"/>
    </x:row>
    <x:row r="355">
      <x:c r="A355" s="19"/>
      <x:c r="B355" s="19"/>
      <x:c r="C355" s="19"/>
      <x:c r="D355" s="19"/>
      <x:c r="E355" s="19"/>
      <x:c r="F355" s="19"/>
      <x:c r="G355" s="20"/>
      <x:c r="H355" s="19"/>
      <x:c r="I355" s="27"/>
    </x:row>
    <x:row r="356">
      <x:c r="A356" s="19"/>
      <x:c r="B356" s="19"/>
      <x:c r="C356" s="19"/>
      <x:c r="D356" s="19"/>
      <x:c r="E356" s="19"/>
      <x:c r="F356" s="19"/>
      <x:c r="G356" s="20"/>
      <x:c r="H356" s="19"/>
      <x:c r="I356" s="27"/>
    </x:row>
    <x:row r="357">
      <x:c r="A357" s="19"/>
      <x:c r="B357" s="19"/>
      <x:c r="C357" s="19"/>
      <x:c r="D357" s="19"/>
      <x:c r="E357" s="19"/>
      <x:c r="F357" s="19"/>
      <x:c r="G357" s="20"/>
      <x:c r="H357" s="19"/>
      <x:c r="I357" s="27"/>
    </x:row>
    <x:row r="358">
      <x:c r="A358" s="19"/>
      <x:c r="B358" s="19"/>
      <x:c r="C358" s="19"/>
      <x:c r="D358" s="19"/>
      <x:c r="E358" s="19"/>
      <x:c r="F358" s="19"/>
      <x:c r="G358" s="20"/>
      <x:c r="H358" s="19"/>
      <x:c r="I358" s="27"/>
    </x:row>
    <x:row r="359">
      <x:c r="A359" s="19"/>
      <x:c r="B359" s="19"/>
      <x:c r="C359" s="19"/>
      <x:c r="D359" s="19"/>
      <x:c r="E359" s="19"/>
      <x:c r="F359" s="19"/>
      <x:c r="G359" s="20"/>
      <x:c r="H359" s="19"/>
      <x:c r="I359" s="27"/>
    </x:row>
    <x:row r="360">
      <x:c r="A360" s="19"/>
      <x:c r="B360" s="19"/>
      <x:c r="C360" s="19"/>
      <x:c r="D360" s="19"/>
      <x:c r="E360" s="19"/>
      <x:c r="F360" s="19"/>
      <x:c r="G360" s="20"/>
      <x:c r="H360" s="19"/>
      <x:c r="I360" s="27"/>
    </x:row>
    <x:row r="361">
      <x:c r="A361" s="19"/>
      <x:c r="B361" s="19"/>
      <x:c r="C361" s="19"/>
      <x:c r="D361" s="19"/>
      <x:c r="E361" s="19"/>
      <x:c r="F361" s="19"/>
      <x:c r="G361" s="20"/>
      <x:c r="H361" s="19"/>
      <x:c r="I361" s="27"/>
    </x:row>
    <x:row r="362">
      <x:c r="A362" s="19"/>
      <x:c r="B362" s="19"/>
      <x:c r="C362" s="19"/>
      <x:c r="D362" s="19"/>
      <x:c r="E362" s="19"/>
      <x:c r="F362" s="19"/>
      <x:c r="G362" s="20"/>
      <x:c r="H362" s="19"/>
      <x:c r="I362" s="27"/>
    </x:row>
    <x:row r="363">
      <x:c r="A363" s="19"/>
      <x:c r="B363" s="19"/>
      <x:c r="C363" s="19"/>
      <x:c r="D363" s="19"/>
      <x:c r="E363" s="19"/>
      <x:c r="F363" s="19"/>
      <x:c r="G363" s="20"/>
      <x:c r="H363" s="19"/>
      <x:c r="I363" s="27"/>
    </x:row>
    <x:row r="364">
      <x:c r="A364" s="19"/>
      <x:c r="B364" s="19"/>
      <x:c r="C364" s="19"/>
      <x:c r="D364" s="19"/>
      <x:c r="E364" s="19"/>
      <x:c r="F364" s="19"/>
      <x:c r="G364" s="20"/>
      <x:c r="H364" s="19"/>
      <x:c r="I364" s="27"/>
    </x:row>
    <x:row r="365">
      <x:c r="A365" s="19"/>
      <x:c r="B365" s="19"/>
      <x:c r="C365" s="19"/>
      <x:c r="D365" s="19"/>
      <x:c r="E365" s="19"/>
      <x:c r="F365" s="19"/>
      <x:c r="G365" s="20"/>
      <x:c r="H365" s="19"/>
      <x:c r="I365" s="27"/>
    </x:row>
    <x:row r="366">
      <x:c r="A366" s="19"/>
      <x:c r="B366" s="19"/>
      <x:c r="C366" s="19"/>
      <x:c r="D366" s="19"/>
      <x:c r="E366" s="19"/>
      <x:c r="F366" s="19"/>
      <x:c r="G366" s="20"/>
      <x:c r="H366" s="19"/>
      <x:c r="I366" s="27"/>
    </x:row>
    <x:row r="367">
      <x:c r="A367" s="19"/>
      <x:c r="B367" s="19"/>
      <x:c r="C367" s="19"/>
      <x:c r="D367" s="19"/>
      <x:c r="E367" s="19"/>
      <x:c r="F367" s="19"/>
      <x:c r="G367" s="20"/>
      <x:c r="H367" s="19"/>
      <x:c r="I367" s="27"/>
    </x:row>
    <x:row r="368">
      <x:c r="A368" s="19"/>
      <x:c r="B368" s="19"/>
      <x:c r="C368" s="19"/>
      <x:c r="D368" s="19"/>
      <x:c r="E368" s="19"/>
      <x:c r="F368" s="19"/>
      <x:c r="G368" s="20"/>
      <x:c r="H368" s="19"/>
      <x:c r="I368" s="27"/>
    </x:row>
    <x:row r="369">
      <x:c r="A369" s="19"/>
      <x:c r="B369" s="19"/>
      <x:c r="C369" s="19"/>
      <x:c r="D369" s="19"/>
      <x:c r="E369" s="19"/>
      <x:c r="F369" s="19"/>
      <x:c r="G369" s="20"/>
      <x:c r="H369" s="19"/>
      <x:c r="I369" s="27"/>
    </x:row>
    <x:row r="370">
      <x:c r="A370" s="19"/>
      <x:c r="B370" s="19"/>
      <x:c r="C370" s="19"/>
      <x:c r="D370" s="19"/>
      <x:c r="E370" s="19"/>
      <x:c r="F370" s="19"/>
      <x:c r="G370" s="20"/>
      <x:c r="H370" s="19"/>
      <x:c r="I370" s="27"/>
    </x:row>
    <x:row r="371">
      <x:c r="A371" s="19"/>
      <x:c r="B371" s="19"/>
      <x:c r="C371" s="19"/>
      <x:c r="D371" s="19"/>
      <x:c r="E371" s="19"/>
      <x:c r="F371" s="19"/>
      <x:c r="G371" s="20"/>
      <x:c r="H371" s="19"/>
      <x:c r="I371" s="27"/>
    </x:row>
    <x:row r="372">
      <x:c r="A372" s="19"/>
      <x:c r="B372" s="19"/>
      <x:c r="C372" s="19"/>
      <x:c r="D372" s="19"/>
      <x:c r="E372" s="19"/>
      <x:c r="F372" s="19"/>
      <x:c r="G372" s="20"/>
      <x:c r="H372" s="19"/>
      <x:c r="I372" s="27"/>
    </x:row>
    <x:row r="373">
      <x:c r="A373" s="19"/>
      <x:c r="B373" s="19"/>
      <x:c r="C373" s="19"/>
      <x:c r="D373" s="19"/>
      <x:c r="E373" s="19"/>
      <x:c r="F373" s="19"/>
      <x:c r="G373" s="20"/>
      <x:c r="H373" s="19"/>
      <x:c r="I373" s="27"/>
    </x:row>
    <x:row r="374">
      <x:c r="A374" s="19"/>
      <x:c r="B374" s="19"/>
      <x:c r="C374" s="19"/>
      <x:c r="D374" s="19"/>
      <x:c r="E374" s="19"/>
      <x:c r="F374" s="19"/>
      <x:c r="G374" s="20"/>
      <x:c r="H374" s="19"/>
      <x:c r="I374" s="27"/>
    </x:row>
    <x:row r="375">
      <x:c r="A375" s="19"/>
      <x:c r="B375" s="19"/>
      <x:c r="C375" s="19"/>
      <x:c r="D375" s="19"/>
      <x:c r="E375" s="19"/>
      <x:c r="F375" s="19"/>
      <x:c r="G375" s="20"/>
      <x:c r="H375" s="19"/>
      <x:c r="I375" s="27"/>
    </x:row>
    <x:row r="376">
      <x:c r="A376" s="19"/>
      <x:c r="B376" s="19"/>
      <x:c r="C376" s="19"/>
      <x:c r="D376" s="19"/>
      <x:c r="E376" s="19"/>
      <x:c r="F376" s="19"/>
      <x:c r="G376" s="20"/>
      <x:c r="H376" s="19"/>
      <x:c r="I376" s="27"/>
    </x:row>
    <x:row r="377">
      <x:c r="A377" s="19"/>
      <x:c r="B377" s="19"/>
      <x:c r="C377" s="19"/>
      <x:c r="D377" s="19"/>
      <x:c r="E377" s="19"/>
      <x:c r="F377" s="19"/>
      <x:c r="G377" s="20"/>
      <x:c r="H377" s="19"/>
      <x:c r="I377" s="27"/>
    </x:row>
    <x:row r="378">
      <x:c r="A378" s="19"/>
      <x:c r="B378" s="19"/>
      <x:c r="C378" s="19"/>
      <x:c r="D378" s="19"/>
      <x:c r="E378" s="19"/>
      <x:c r="F378" s="19"/>
      <x:c r="G378" s="20"/>
      <x:c r="H378" s="19"/>
      <x:c r="I378" s="27"/>
    </x:row>
    <x:row r="379">
      <x:c r="A379" s="19"/>
      <x:c r="B379" s="19"/>
      <x:c r="C379" s="19"/>
      <x:c r="D379" s="19"/>
      <x:c r="E379" s="19"/>
      <x:c r="F379" s="19"/>
      <x:c r="G379" s="20"/>
      <x:c r="H379" s="19"/>
      <x:c r="I379" s="27"/>
    </x:row>
    <x:row r="380">
      <x:c r="A380" s="19"/>
      <x:c r="B380" s="19"/>
      <x:c r="C380" s="19"/>
      <x:c r="D380" s="19"/>
      <x:c r="E380" s="19"/>
      <x:c r="F380" s="19"/>
      <x:c r="G380" s="20"/>
      <x:c r="H380" s="19"/>
      <x:c r="I380" s="27"/>
    </x:row>
    <x:row r="381">
      <x:c r="A381" s="19"/>
      <x:c r="B381" s="19"/>
      <x:c r="C381" s="19"/>
      <x:c r="D381" s="19"/>
      <x:c r="E381" s="19"/>
      <x:c r="F381" s="19"/>
      <x:c r="G381" s="20"/>
      <x:c r="H381" s="19"/>
      <x:c r="I381" s="27"/>
    </x:row>
    <x:row r="382">
      <x:c r="A382" s="19"/>
      <x:c r="B382" s="19"/>
      <x:c r="C382" s="19"/>
      <x:c r="D382" s="19"/>
      <x:c r="E382" s="19"/>
      <x:c r="F382" s="19"/>
      <x:c r="G382" s="20"/>
      <x:c r="H382" s="19"/>
      <x:c r="I382" s="27"/>
    </x:row>
    <x:row r="383">
      <x:c r="A383" s="19"/>
      <x:c r="B383" s="19"/>
      <x:c r="C383" s="19"/>
      <x:c r="D383" s="19"/>
      <x:c r="E383" s="19"/>
      <x:c r="F383" s="19"/>
      <x:c r="G383" s="20"/>
      <x:c r="H383" s="19"/>
      <x:c r="I383" s="27"/>
    </x:row>
    <x:row r="384">
      <x:c r="A384" s="19"/>
      <x:c r="B384" s="19"/>
      <x:c r="C384" s="19"/>
      <x:c r="D384" s="19"/>
      <x:c r="E384" s="19"/>
      <x:c r="F384" s="19"/>
      <x:c r="G384" s="20"/>
      <x:c r="H384" s="19"/>
      <x:c r="I384" s="27"/>
    </x:row>
    <x:row r="385">
      <x:c r="A385" s="19"/>
      <x:c r="B385" s="19"/>
      <x:c r="C385" s="19"/>
      <x:c r="D385" s="19"/>
      <x:c r="E385" s="19"/>
      <x:c r="F385" s="19"/>
      <x:c r="G385" s="20"/>
      <x:c r="H385" s="19"/>
      <x:c r="I385" s="27"/>
    </x:row>
    <x:row r="386">
      <x:c r="A386" s="19"/>
      <x:c r="B386" s="19"/>
      <x:c r="C386" s="19"/>
      <x:c r="D386" s="19"/>
      <x:c r="E386" s="19"/>
      <x:c r="F386" s="19"/>
      <x:c r="G386" s="20"/>
      <x:c r="H386" s="19"/>
      <x:c r="I386" s="27"/>
    </x:row>
    <x:row r="387">
      <x:c r="A387" s="19"/>
      <x:c r="B387" s="19"/>
      <x:c r="C387" s="19"/>
      <x:c r="D387" s="19"/>
      <x:c r="E387" s="19"/>
      <x:c r="F387" s="19"/>
      <x:c r="G387" s="20"/>
      <x:c r="H387" s="19"/>
      <x:c r="I387" s="27"/>
    </x:row>
    <x:row r="388">
      <x:c r="A388" s="19"/>
      <x:c r="B388" s="19"/>
      <x:c r="C388" s="19"/>
      <x:c r="D388" s="19"/>
      <x:c r="E388" s="19"/>
      <x:c r="F388" s="19"/>
      <x:c r="G388" s="20"/>
      <x:c r="H388" s="19"/>
      <x:c r="I388" s="27"/>
    </x:row>
    <x:row r="389">
      <x:c r="A389" s="19"/>
      <x:c r="B389" s="19"/>
      <x:c r="C389" s="19"/>
      <x:c r="D389" s="19"/>
      <x:c r="E389" s="19"/>
      <x:c r="F389" s="19"/>
      <x:c r="G389" s="20"/>
      <x:c r="H389" s="19"/>
      <x:c r="I389" s="27"/>
    </x:row>
    <x:row r="390">
      <x:c r="A390" s="19"/>
      <x:c r="B390" s="19"/>
      <x:c r="C390" s="19"/>
      <x:c r="D390" s="19"/>
      <x:c r="E390" s="19"/>
      <x:c r="F390" s="19"/>
      <x:c r="G390" s="20"/>
      <x:c r="H390" s="19"/>
      <x:c r="I390" s="27"/>
    </x:row>
    <x:row r="391">
      <x:c r="A391" s="19"/>
      <x:c r="B391" s="19"/>
      <x:c r="C391" s="19"/>
      <x:c r="D391" s="19"/>
      <x:c r="E391" s="19"/>
      <x:c r="F391" s="19"/>
      <x:c r="G391" s="20"/>
      <x:c r="H391" s="19"/>
      <x:c r="I391" s="27"/>
    </x:row>
    <x:row r="392">
      <x:c r="A392" s="19"/>
      <x:c r="B392" s="19"/>
      <x:c r="C392" s="19"/>
      <x:c r="D392" s="19"/>
      <x:c r="E392" s="19"/>
      <x:c r="F392" s="19"/>
      <x:c r="G392" s="20"/>
      <x:c r="H392" s="19"/>
      <x:c r="I392" s="27"/>
    </x:row>
    <x:row r="393">
      <x:c r="A393" s="19"/>
      <x:c r="B393" s="19"/>
      <x:c r="C393" s="19"/>
      <x:c r="D393" s="19"/>
      <x:c r="E393" s="19"/>
      <x:c r="F393" s="19"/>
      <x:c r="G393" s="20"/>
      <x:c r="H393" s="19"/>
      <x:c r="I393" s="27"/>
    </x:row>
    <x:row r="394">
      <x:c r="A394" s="19"/>
      <x:c r="B394" s="19"/>
      <x:c r="C394" s="19"/>
      <x:c r="D394" s="19"/>
      <x:c r="E394" s="19"/>
      <x:c r="F394" s="19"/>
      <x:c r="G394" s="20"/>
      <x:c r="H394" s="19"/>
      <x:c r="I394" s="27"/>
    </x:row>
    <x:row r="395">
      <x:c r="A395" s="19"/>
      <x:c r="B395" s="19"/>
      <x:c r="C395" s="19"/>
      <x:c r="D395" s="19"/>
      <x:c r="E395" s="19"/>
      <x:c r="F395" s="19"/>
      <x:c r="G395" s="20"/>
      <x:c r="H395" s="19"/>
      <x:c r="I395" s="27"/>
    </x:row>
    <x:row r="396">
      <x:c r="A396" s="19"/>
      <x:c r="B396" s="19"/>
      <x:c r="C396" s="19"/>
      <x:c r="D396" s="19"/>
      <x:c r="E396" s="19"/>
      <x:c r="F396" s="19"/>
      <x:c r="G396" s="20"/>
      <x:c r="H396" s="19"/>
      <x:c r="I396" s="27"/>
    </x:row>
    <x:row r="397">
      <x:c r="A397" s="19"/>
      <x:c r="B397" s="19"/>
      <x:c r="C397" s="19"/>
      <x:c r="D397" s="19"/>
      <x:c r="E397" s="19"/>
      <x:c r="F397" s="19"/>
      <x:c r="G397" s="20"/>
      <x:c r="H397" s="19"/>
      <x:c r="I397" s="27"/>
    </x:row>
    <x:row r="398">
      <x:c r="A398" s="19"/>
      <x:c r="B398" s="19"/>
      <x:c r="C398" s="19"/>
      <x:c r="D398" s="19"/>
      <x:c r="E398" s="19"/>
      <x:c r="F398" s="19"/>
      <x:c r="G398" s="20"/>
      <x:c r="H398" s="19"/>
      <x:c r="I398" s="27"/>
    </x:row>
    <x:row r="399">
      <x:c r="A399" s="19"/>
      <x:c r="B399" s="19"/>
      <x:c r="C399" s="19"/>
      <x:c r="D399" s="19"/>
      <x:c r="E399" s="19"/>
      <x:c r="F399" s="19"/>
      <x:c r="G399" s="20"/>
      <x:c r="H399" s="19"/>
      <x:c r="I399" s="27"/>
    </x:row>
    <x:row r="400">
      <x:c r="A400" s="19"/>
      <x:c r="B400" s="19"/>
      <x:c r="C400" s="19"/>
      <x:c r="D400" s="19"/>
      <x:c r="E400" s="19"/>
      <x:c r="F400" s="19"/>
      <x:c r="G400" s="20"/>
      <x:c r="H400" s="19"/>
      <x:c r="I400" s="27"/>
    </x:row>
    <x:row r="401">
      <x:c r="A401" s="19"/>
      <x:c r="B401" s="19"/>
      <x:c r="C401" s="19"/>
      <x:c r="D401" s="19"/>
      <x:c r="E401" s="19"/>
      <x:c r="F401" s="19"/>
      <x:c r="G401" s="20"/>
      <x:c r="H401" s="19"/>
      <x:c r="I401" s="27"/>
    </x:row>
    <x:row r="402">
      <x:c r="A402" s="19"/>
      <x:c r="B402" s="19"/>
      <x:c r="C402" s="19"/>
      <x:c r="D402" s="19"/>
      <x:c r="E402" s="19"/>
      <x:c r="F402" s="19"/>
      <x:c r="G402" s="20"/>
      <x:c r="H402" s="19"/>
      <x:c r="I402" s="27"/>
    </x:row>
    <x:row r="403">
      <x:c r="A403" s="19"/>
      <x:c r="B403" s="19"/>
      <x:c r="C403" s="19"/>
      <x:c r="D403" s="19"/>
      <x:c r="E403" s="19"/>
      <x:c r="F403" s="19"/>
      <x:c r="G403" s="20"/>
      <x:c r="H403" s="19"/>
      <x:c r="I403" s="27"/>
    </x:row>
    <x:row r="404">
      <x:c r="A404" s="19"/>
      <x:c r="B404" s="19"/>
      <x:c r="C404" s="19"/>
      <x:c r="D404" s="19"/>
      <x:c r="E404" s="19"/>
      <x:c r="F404" s="19"/>
      <x:c r="G404" s="20"/>
      <x:c r="H404" s="19"/>
      <x:c r="I404" s="27"/>
    </x:row>
    <x:row r="405">
      <x:c r="A405" s="19"/>
      <x:c r="B405" s="19"/>
      <x:c r="C405" s="19"/>
      <x:c r="D405" s="19"/>
      <x:c r="E405" s="19"/>
      <x:c r="F405" s="19"/>
      <x:c r="G405" s="20"/>
      <x:c r="H405" s="19"/>
      <x:c r="I405" s="27"/>
    </x:row>
    <x:row r="406">
      <x:c r="A406" s="19"/>
      <x:c r="B406" s="19"/>
      <x:c r="C406" s="19"/>
      <x:c r="D406" s="19"/>
      <x:c r="E406" s="19"/>
      <x:c r="F406" s="19"/>
      <x:c r="G406" s="20"/>
      <x:c r="H406" s="19"/>
      <x:c r="I406" s="27"/>
    </x:row>
    <x:row r="407">
      <x:c r="A407" s="19"/>
      <x:c r="B407" s="19"/>
      <x:c r="C407" s="19"/>
      <x:c r="D407" s="19"/>
      <x:c r="E407" s="19"/>
      <x:c r="F407" s="19"/>
      <x:c r="G407" s="20"/>
      <x:c r="H407" s="19"/>
      <x:c r="I407" s="27"/>
    </x:row>
    <x:row r="408">
      <x:c r="A408" s="19"/>
      <x:c r="B408" s="19"/>
      <x:c r="C408" s="19"/>
      <x:c r="D408" s="19"/>
      <x:c r="E408" s="19"/>
      <x:c r="F408" s="19"/>
      <x:c r="G408" s="20"/>
      <x:c r="H408" s="19"/>
      <x:c r="I408" s="27"/>
    </x:row>
    <x:row r="409">
      <x:c r="A409" s="19"/>
      <x:c r="B409" s="19"/>
      <x:c r="C409" s="19"/>
      <x:c r="D409" s="19"/>
      <x:c r="E409" s="19"/>
      <x:c r="F409" s="19"/>
      <x:c r="G409" s="20"/>
      <x:c r="H409" s="19"/>
      <x:c r="I409" s="27"/>
    </x:row>
    <x:row r="410">
      <x:c r="A410" s="19"/>
      <x:c r="B410" s="19"/>
      <x:c r="C410" s="19"/>
      <x:c r="D410" s="19"/>
      <x:c r="E410" s="19"/>
      <x:c r="F410" s="19"/>
      <x:c r="G410" s="20"/>
      <x:c r="H410" s="19"/>
      <x:c r="I410" s="27"/>
    </x:row>
    <x:row r="411">
      <x:c r="A411" s="19"/>
      <x:c r="B411" s="19"/>
      <x:c r="C411" s="19"/>
      <x:c r="D411" s="19"/>
      <x:c r="E411" s="19"/>
      <x:c r="F411" s="19"/>
      <x:c r="G411" s="20"/>
      <x:c r="H411" s="19"/>
      <x:c r="I411" s="27"/>
    </x:row>
    <x:row r="412">
      <x:c r="A412" s="19"/>
      <x:c r="B412" s="19"/>
      <x:c r="C412" s="19"/>
      <x:c r="D412" s="19"/>
      <x:c r="E412" s="19"/>
      <x:c r="F412" s="19"/>
      <x:c r="G412" s="20"/>
      <x:c r="H412" s="19"/>
      <x:c r="I412" s="27"/>
    </x:row>
    <x:row r="413">
      <x:c r="A413" s="19"/>
      <x:c r="B413" s="19"/>
      <x:c r="C413" s="19"/>
      <x:c r="D413" s="19"/>
      <x:c r="E413" s="19"/>
      <x:c r="F413" s="19"/>
      <x:c r="G413" s="20"/>
      <x:c r="H413" s="19"/>
      <x:c r="I413" s="27"/>
    </x:row>
    <x:row r="414">
      <x:c r="A414" s="19"/>
      <x:c r="B414" s="19"/>
      <x:c r="C414" s="19"/>
      <x:c r="D414" s="19"/>
      <x:c r="E414" s="19"/>
      <x:c r="F414" s="19"/>
      <x:c r="G414" s="20"/>
      <x:c r="H414" s="19"/>
      <x:c r="I414" s="27"/>
    </x:row>
    <x:row r="415">
      <x:c r="A415" s="19"/>
      <x:c r="B415" s="19"/>
      <x:c r="C415" s="19"/>
      <x:c r="D415" s="19"/>
      <x:c r="E415" s="19"/>
      <x:c r="F415" s="19"/>
      <x:c r="G415" s="20"/>
      <x:c r="H415" s="19"/>
      <x:c r="I415" s="27"/>
    </x:row>
    <x:row r="416">
      <x:c r="A416" s="19"/>
      <x:c r="B416" s="19"/>
      <x:c r="C416" s="19"/>
      <x:c r="D416" s="19"/>
      <x:c r="E416" s="19"/>
      <x:c r="F416" s="19"/>
      <x:c r="G416" s="20"/>
      <x:c r="H416" s="19"/>
      <x:c r="I416" s="27"/>
    </x:row>
    <x:row r="417">
      <x:c r="A417" s="19"/>
      <x:c r="B417" s="19"/>
      <x:c r="C417" s="19"/>
      <x:c r="D417" s="19"/>
      <x:c r="E417" s="19"/>
      <x:c r="F417" s="19"/>
      <x:c r="G417" s="20"/>
      <x:c r="H417" s="19"/>
      <x:c r="I417" s="27"/>
    </x:row>
    <x:row r="418">
      <x:c r="A418" s="19"/>
      <x:c r="B418" s="19"/>
      <x:c r="C418" s="19"/>
      <x:c r="D418" s="19"/>
      <x:c r="E418" s="19"/>
      <x:c r="F418" s="19"/>
      <x:c r="G418" s="20"/>
      <x:c r="H418" s="19"/>
      <x:c r="I418" s="27"/>
    </x:row>
    <x:row r="419">
      <x:c r="A419" s="19"/>
      <x:c r="B419" s="19"/>
      <x:c r="C419" s="19"/>
      <x:c r="D419" s="19"/>
      <x:c r="E419" s="19"/>
      <x:c r="F419" s="19"/>
      <x:c r="G419" s="20"/>
      <x:c r="H419" s="19"/>
      <x:c r="I419" s="27"/>
    </x:row>
    <x:row r="420">
      <x:c r="A420" s="19"/>
      <x:c r="B420" s="19"/>
      <x:c r="C420" s="19"/>
      <x:c r="D420" s="19"/>
      <x:c r="E420" s="19"/>
      <x:c r="F420" s="19"/>
      <x:c r="G420" s="20"/>
      <x:c r="H420" s="19"/>
      <x:c r="I420" s="27"/>
    </x:row>
    <x:row r="421">
      <x:c r="A421" s="19"/>
      <x:c r="B421" s="19"/>
      <x:c r="C421" s="19"/>
      <x:c r="D421" s="19"/>
      <x:c r="E421" s="19"/>
      <x:c r="F421" s="19"/>
      <x:c r="G421" s="20"/>
      <x:c r="H421" s="19"/>
      <x:c r="I421" s="27"/>
    </x:row>
    <x:row r="422">
      <x:c r="A422" s="19"/>
      <x:c r="B422" s="19"/>
      <x:c r="C422" s="19"/>
      <x:c r="D422" s="19"/>
      <x:c r="E422" s="19"/>
      <x:c r="F422" s="19"/>
      <x:c r="G422" s="20"/>
      <x:c r="H422" s="19"/>
      <x:c r="I422" s="27"/>
    </x:row>
    <x:row r="423">
      <x:c r="A423" s="19"/>
      <x:c r="B423" s="19"/>
      <x:c r="C423" s="19"/>
      <x:c r="D423" s="19"/>
      <x:c r="E423" s="19"/>
      <x:c r="F423" s="19"/>
      <x:c r="G423" s="20"/>
      <x:c r="H423" s="19"/>
      <x:c r="I423" s="27"/>
    </x:row>
    <x:row r="424">
      <x:c r="A424" s="19"/>
      <x:c r="B424" s="19"/>
      <x:c r="C424" s="19"/>
      <x:c r="D424" s="19"/>
      <x:c r="E424" s="19"/>
      <x:c r="F424" s="19"/>
      <x:c r="G424" s="20"/>
      <x:c r="H424" s="19"/>
      <x:c r="I424" s="27"/>
    </x:row>
    <x:row r="425">
      <x:c r="A425" s="19"/>
      <x:c r="B425" s="19"/>
      <x:c r="C425" s="19"/>
      <x:c r="D425" s="19"/>
      <x:c r="E425" s="19"/>
      <x:c r="F425" s="19"/>
      <x:c r="G425" s="20"/>
      <x:c r="H425" s="19"/>
      <x:c r="I425" s="27"/>
    </x:row>
    <x:row r="426">
      <x:c r="A426" s="19"/>
      <x:c r="B426" s="19"/>
      <x:c r="C426" s="19"/>
      <x:c r="D426" s="19"/>
      <x:c r="E426" s="19"/>
      <x:c r="F426" s="19"/>
      <x:c r="G426" s="20"/>
      <x:c r="H426" s="19"/>
      <x:c r="I426" s="27"/>
    </x:row>
    <x:row r="427">
      <x:c r="A427" s="19"/>
      <x:c r="B427" s="19"/>
      <x:c r="C427" s="19"/>
      <x:c r="D427" s="19"/>
      <x:c r="E427" s="19"/>
      <x:c r="F427" s="19"/>
      <x:c r="G427" s="20"/>
      <x:c r="H427" s="19"/>
      <x:c r="I427" s="27"/>
    </x:row>
    <x:row r="428">
      <x:c r="A428" s="19"/>
      <x:c r="B428" s="19"/>
      <x:c r="C428" s="19"/>
      <x:c r="D428" s="19"/>
      <x:c r="E428" s="19"/>
      <x:c r="F428" s="19"/>
      <x:c r="G428" s="20"/>
      <x:c r="H428" s="19"/>
      <x:c r="I428" s="27"/>
    </x:row>
    <x:row r="429">
      <x:c r="A429" s="19"/>
      <x:c r="B429" s="19"/>
      <x:c r="C429" s="19"/>
      <x:c r="D429" s="19"/>
      <x:c r="E429" s="19"/>
      <x:c r="F429" s="19"/>
      <x:c r="G429" s="20"/>
      <x:c r="H429" s="19"/>
      <x:c r="I429" s="27"/>
    </x:row>
    <x:row r="430">
      <x:c r="A430" s="19"/>
      <x:c r="B430" s="19"/>
      <x:c r="C430" s="19"/>
      <x:c r="D430" s="19"/>
      <x:c r="E430" s="19"/>
      <x:c r="F430" s="19"/>
      <x:c r="G430" s="20"/>
      <x:c r="H430" s="19"/>
      <x:c r="I430" s="27"/>
    </x:row>
    <x:row r="431">
      <x:c r="A431" s="19"/>
      <x:c r="B431" s="19"/>
      <x:c r="C431" s="19"/>
      <x:c r="D431" s="19"/>
      <x:c r="E431" s="19"/>
      <x:c r="F431" s="19"/>
      <x:c r="G431" s="20"/>
      <x:c r="H431" s="19"/>
      <x:c r="I431" s="27"/>
    </x:row>
    <x:row r="432">
      <x:c r="A432" s="19"/>
      <x:c r="B432" s="19"/>
      <x:c r="C432" s="19"/>
      <x:c r="D432" s="19"/>
      <x:c r="E432" s="19"/>
      <x:c r="F432" s="19"/>
      <x:c r="G432" s="20"/>
      <x:c r="H432" s="19"/>
      <x:c r="I432" s="27"/>
    </x:row>
    <x:row r="433">
      <x:c r="A433" s="19"/>
      <x:c r="B433" s="19"/>
      <x:c r="C433" s="19"/>
      <x:c r="D433" s="19"/>
      <x:c r="E433" s="19"/>
      <x:c r="F433" s="19"/>
      <x:c r="G433" s="20"/>
      <x:c r="H433" s="19"/>
      <x:c r="I433" s="27"/>
    </x:row>
    <x:row r="434">
      <x:c r="A434" s="19"/>
      <x:c r="B434" s="19"/>
      <x:c r="C434" s="19"/>
      <x:c r="D434" s="19"/>
      <x:c r="E434" s="19"/>
      <x:c r="F434" s="19"/>
      <x:c r="G434" s="20"/>
      <x:c r="H434" s="19"/>
      <x:c r="I434" s="27"/>
    </x:row>
    <x:row r="435">
      <x:c r="A435" s="19"/>
      <x:c r="B435" s="19"/>
      <x:c r="C435" s="19"/>
      <x:c r="D435" s="19"/>
      <x:c r="E435" s="19"/>
      <x:c r="F435" s="19"/>
      <x:c r="G435" s="20"/>
      <x:c r="H435" s="19"/>
      <x:c r="I435" s="27"/>
    </x:row>
    <x:row r="436">
      <x:c r="A436" s="19"/>
      <x:c r="B436" s="19"/>
      <x:c r="C436" s="19"/>
      <x:c r="D436" s="19"/>
      <x:c r="E436" s="19"/>
      <x:c r="F436" s="19"/>
      <x:c r="G436" s="20"/>
      <x:c r="H436" s="19"/>
      <x:c r="I436" s="27"/>
    </x:row>
    <x:row r="437">
      <x:c r="A437" s="19"/>
      <x:c r="B437" s="19"/>
      <x:c r="C437" s="19"/>
      <x:c r="D437" s="19"/>
      <x:c r="E437" s="19"/>
      <x:c r="F437" s="19"/>
      <x:c r="G437" s="20"/>
      <x:c r="H437" s="19"/>
      <x:c r="I437" s="27"/>
    </x:row>
    <x:row r="438">
      <x:c r="A438" s="19"/>
      <x:c r="B438" s="19"/>
      <x:c r="C438" s="19"/>
      <x:c r="D438" s="19"/>
      <x:c r="E438" s="19"/>
      <x:c r="F438" s="19"/>
      <x:c r="G438" s="20"/>
      <x:c r="H438" s="19"/>
      <x:c r="I438" s="27"/>
    </x:row>
    <x:row r="439">
      <x:c r="A439" s="19"/>
      <x:c r="B439" s="19"/>
      <x:c r="C439" s="19"/>
      <x:c r="D439" s="19"/>
      <x:c r="E439" s="19"/>
      <x:c r="F439" s="19"/>
      <x:c r="G439" s="20"/>
      <x:c r="H439" s="19"/>
      <x:c r="I439" s="27"/>
    </x:row>
    <x:row r="440">
      <x:c r="A440" s="19"/>
      <x:c r="B440" s="19"/>
      <x:c r="C440" s="19"/>
      <x:c r="D440" s="19"/>
      <x:c r="E440" s="19"/>
      <x:c r="F440" s="19"/>
      <x:c r="G440" s="20"/>
      <x:c r="H440" s="19"/>
      <x:c r="I440" s="27"/>
    </x:row>
    <x:row r="441">
      <x:c r="A441" s="19"/>
      <x:c r="B441" s="19"/>
      <x:c r="C441" s="19"/>
      <x:c r="D441" s="19"/>
      <x:c r="E441" s="19"/>
      <x:c r="F441" s="19"/>
      <x:c r="G441" s="20"/>
      <x:c r="H441" s="19"/>
      <x:c r="I441" s="27"/>
    </x:row>
    <x:row r="442">
      <x:c r="A442" s="19"/>
      <x:c r="B442" s="19"/>
      <x:c r="C442" s="19"/>
      <x:c r="D442" s="19"/>
      <x:c r="E442" s="19"/>
      <x:c r="F442" s="19"/>
      <x:c r="G442" s="20"/>
      <x:c r="H442" s="19"/>
      <x:c r="I442" s="27"/>
    </x:row>
    <x:row r="443">
      <x:c r="A443" s="19"/>
      <x:c r="B443" s="19"/>
      <x:c r="C443" s="19"/>
      <x:c r="D443" s="19"/>
      <x:c r="E443" s="19"/>
      <x:c r="F443" s="19"/>
      <x:c r="G443" s="20"/>
      <x:c r="H443" s="19"/>
      <x:c r="I443" s="27"/>
    </x:row>
    <x:row r="444">
      <x:c r="A444" s="19"/>
      <x:c r="B444" s="19"/>
      <x:c r="C444" s="19"/>
      <x:c r="D444" s="19"/>
      <x:c r="E444" s="19"/>
      <x:c r="F444" s="19"/>
      <x:c r="G444" s="20"/>
      <x:c r="H444" s="19"/>
      <x:c r="I444" s="27"/>
    </x:row>
    <x:row r="445">
      <x:c r="A445" s="19"/>
      <x:c r="B445" s="19"/>
      <x:c r="C445" s="19"/>
      <x:c r="D445" s="19"/>
      <x:c r="E445" s="19"/>
      <x:c r="F445" s="19"/>
      <x:c r="G445" s="20"/>
      <x:c r="H445" s="19"/>
      <x:c r="I445" s="27"/>
    </x:row>
    <x:row r="446">
      <x:c r="A446" s="19"/>
      <x:c r="B446" s="19"/>
      <x:c r="C446" s="19"/>
      <x:c r="D446" s="19"/>
      <x:c r="E446" s="19"/>
      <x:c r="F446" s="19"/>
      <x:c r="G446" s="20"/>
      <x:c r="H446" s="19"/>
      <x:c r="I446" s="27"/>
    </x:row>
    <x:row r="447">
      <x:c r="A447" s="19"/>
      <x:c r="B447" s="19"/>
      <x:c r="C447" s="19"/>
      <x:c r="D447" s="19"/>
      <x:c r="E447" s="19"/>
      <x:c r="F447" s="19"/>
      <x:c r="G447" s="20"/>
      <x:c r="H447" s="19"/>
      <x:c r="I447" s="27"/>
    </x:row>
    <x:row r="448">
      <x:c r="A448" s="19"/>
      <x:c r="B448" s="19"/>
      <x:c r="C448" s="19"/>
      <x:c r="D448" s="19"/>
      <x:c r="E448" s="19"/>
      <x:c r="F448" s="19"/>
      <x:c r="G448" s="20"/>
      <x:c r="H448" s="19"/>
      <x:c r="I448" s="27"/>
    </x:row>
    <x:row r="449">
      <x:c r="A449" s="19"/>
      <x:c r="B449" s="19"/>
      <x:c r="C449" s="19"/>
      <x:c r="D449" s="19"/>
      <x:c r="E449" s="19"/>
      <x:c r="F449" s="19"/>
      <x:c r="G449" s="20"/>
      <x:c r="H449" s="19"/>
      <x:c r="I449" s="27"/>
    </x:row>
    <x:row r="450">
      <x:c r="A450" s="19"/>
      <x:c r="B450" s="19"/>
      <x:c r="C450" s="19"/>
      <x:c r="D450" s="19"/>
      <x:c r="E450" s="19"/>
      <x:c r="F450" s="19"/>
      <x:c r="G450" s="20"/>
      <x:c r="H450" s="19"/>
      <x:c r="I450" s="27"/>
    </x:row>
    <x:row r="451">
      <x:c r="A451" s="19"/>
      <x:c r="B451" s="19"/>
      <x:c r="C451" s="19"/>
      <x:c r="D451" s="19"/>
      <x:c r="E451" s="19"/>
      <x:c r="F451" s="19"/>
      <x:c r="G451" s="20"/>
      <x:c r="H451" s="19"/>
      <x:c r="I451" s="27"/>
    </x:row>
    <x:row r="452">
      <x:c r="A452" s="19"/>
      <x:c r="B452" s="19"/>
      <x:c r="C452" s="19"/>
      <x:c r="D452" s="19"/>
      <x:c r="E452" s="19"/>
      <x:c r="F452" s="19"/>
      <x:c r="G452" s="20"/>
      <x:c r="H452" s="19"/>
      <x:c r="I452" s="27"/>
    </x:row>
    <x:row r="453">
      <x:c r="A453" s="19"/>
      <x:c r="B453" s="19"/>
      <x:c r="C453" s="19"/>
      <x:c r="D453" s="19"/>
      <x:c r="E453" s="19"/>
      <x:c r="F453" s="19"/>
      <x:c r="G453" s="20"/>
      <x:c r="H453" s="19"/>
      <x:c r="I453" s="27"/>
    </x:row>
    <x:row r="454">
      <x:c r="A454" s="19"/>
      <x:c r="B454" s="19"/>
      <x:c r="C454" s="19"/>
      <x:c r="D454" s="19"/>
      <x:c r="E454" s="19"/>
      <x:c r="F454" s="19"/>
      <x:c r="G454" s="20"/>
      <x:c r="H454" s="19"/>
      <x:c r="I454" s="27"/>
    </x:row>
    <x:row r="455">
      <x:c r="A455" s="19"/>
      <x:c r="B455" s="19"/>
      <x:c r="C455" s="19"/>
      <x:c r="D455" s="19"/>
      <x:c r="E455" s="19"/>
      <x:c r="F455" s="19"/>
      <x:c r="G455" s="20"/>
      <x:c r="H455" s="19"/>
      <x:c r="I455" s="27"/>
    </x:row>
    <x:row r="456">
      <x:c r="A456" s="19"/>
      <x:c r="B456" s="19"/>
      <x:c r="C456" s="19"/>
      <x:c r="D456" s="19"/>
      <x:c r="E456" s="19"/>
      <x:c r="F456" s="19"/>
      <x:c r="G456" s="20"/>
      <x:c r="H456" s="19"/>
      <x:c r="I456" s="27"/>
    </x:row>
    <x:row r="457">
      <x:c r="A457" s="19"/>
      <x:c r="B457" s="19"/>
      <x:c r="C457" s="19"/>
      <x:c r="D457" s="19"/>
      <x:c r="E457" s="19"/>
      <x:c r="F457" s="19"/>
      <x:c r="G457" s="20"/>
      <x:c r="H457" s="19"/>
      <x:c r="I457" s="27"/>
    </x:row>
    <x:row r="458">
      <x:c r="A458" s="19"/>
      <x:c r="B458" s="19"/>
      <x:c r="C458" s="19"/>
      <x:c r="D458" s="19"/>
      <x:c r="E458" s="19"/>
      <x:c r="F458" s="19"/>
      <x:c r="G458" s="20"/>
      <x:c r="H458" s="19"/>
      <x:c r="I458" s="27"/>
    </x:row>
    <x:row r="459">
      <x:c r="A459" s="19"/>
      <x:c r="B459" s="19"/>
      <x:c r="C459" s="19"/>
      <x:c r="D459" s="19"/>
      <x:c r="E459" s="19"/>
      <x:c r="F459" s="19"/>
      <x:c r="G459" s="20"/>
      <x:c r="H459" s="19"/>
      <x:c r="I459" s="27"/>
    </x:row>
    <x:row r="460">
      <x:c r="A460" s="19"/>
      <x:c r="B460" s="19"/>
      <x:c r="C460" s="19"/>
      <x:c r="D460" s="19"/>
      <x:c r="E460" s="19"/>
      <x:c r="F460" s="19"/>
      <x:c r="G460" s="20"/>
      <x:c r="H460" s="19"/>
      <x:c r="I460" s="27"/>
    </x:row>
    <x:row r="461">
      <x:c r="A461" s="19"/>
      <x:c r="B461" s="19"/>
      <x:c r="C461" s="19"/>
      <x:c r="D461" s="19"/>
      <x:c r="E461" s="19"/>
      <x:c r="F461" s="19"/>
      <x:c r="G461" s="20"/>
      <x:c r="H461" s="19"/>
      <x:c r="I461" s="27"/>
    </x:row>
    <x:row r="462">
      <x:c r="A462" s="19"/>
      <x:c r="B462" s="19"/>
      <x:c r="C462" s="19"/>
      <x:c r="D462" s="19"/>
      <x:c r="E462" s="19"/>
      <x:c r="F462" s="19"/>
      <x:c r="G462" s="20"/>
      <x:c r="H462" s="19"/>
      <x:c r="I462" s="27"/>
    </x:row>
    <x:row r="463">
      <x:c r="A463" s="19"/>
      <x:c r="B463" s="19"/>
      <x:c r="C463" s="19"/>
      <x:c r="D463" s="19"/>
      <x:c r="E463" s="19"/>
      <x:c r="F463" s="19"/>
      <x:c r="G463" s="20"/>
      <x:c r="H463" s="19"/>
      <x:c r="I463" s="27"/>
    </x:row>
    <x:row r="464">
      <x:c r="A464" s="19"/>
      <x:c r="B464" s="19"/>
      <x:c r="C464" s="19"/>
      <x:c r="D464" s="19"/>
      <x:c r="E464" s="19"/>
      <x:c r="F464" s="19"/>
      <x:c r="G464" s="20"/>
      <x:c r="H464" s="19"/>
      <x:c r="I464" s="27"/>
    </x:row>
    <x:row r="465">
      <x:c r="A465" s="19"/>
      <x:c r="B465" s="19"/>
      <x:c r="C465" s="19"/>
      <x:c r="D465" s="19"/>
      <x:c r="E465" s="19"/>
      <x:c r="F465" s="19"/>
      <x:c r="G465" s="20"/>
      <x:c r="H465" s="19"/>
      <x:c r="I465" s="27"/>
    </x:row>
    <x:row r="466">
      <x:c r="A466" s="19"/>
      <x:c r="B466" s="19"/>
      <x:c r="C466" s="19"/>
      <x:c r="D466" s="19"/>
      <x:c r="E466" s="19"/>
      <x:c r="F466" s="19"/>
      <x:c r="G466" s="20"/>
      <x:c r="H466" s="19"/>
      <x:c r="I466" s="27"/>
    </x:row>
    <x:row r="467">
      <x:c r="A467" s="19"/>
      <x:c r="B467" s="19"/>
      <x:c r="C467" s="19"/>
      <x:c r="D467" s="19"/>
      <x:c r="E467" s="19"/>
      <x:c r="F467" s="19"/>
      <x:c r="G467" s="20"/>
      <x:c r="H467" s="19"/>
      <x:c r="I467" s="27"/>
    </x:row>
    <x:row r="468">
      <x:c r="A468" s="19"/>
      <x:c r="B468" s="19"/>
      <x:c r="C468" s="19"/>
      <x:c r="D468" s="19"/>
      <x:c r="E468" s="19"/>
      <x:c r="F468" s="19"/>
      <x:c r="G468" s="20"/>
      <x:c r="H468" s="19"/>
      <x:c r="I468" s="27"/>
    </x:row>
    <x:row r="469">
      <x:c r="A469" s="19"/>
      <x:c r="B469" s="19"/>
      <x:c r="C469" s="19"/>
      <x:c r="D469" s="19"/>
      <x:c r="E469" s="19"/>
      <x:c r="F469" s="19"/>
      <x:c r="G469" s="20"/>
      <x:c r="H469" s="19"/>
      <x:c r="I469" s="27"/>
    </x:row>
    <x:row r="470">
      <x:c r="A470" s="19"/>
      <x:c r="B470" s="19"/>
      <x:c r="C470" s="19"/>
      <x:c r="D470" s="19"/>
      <x:c r="E470" s="19"/>
      <x:c r="F470" s="19"/>
      <x:c r="G470" s="20"/>
      <x:c r="H470" s="19"/>
      <x:c r="I470" s="27"/>
    </x:row>
    <x:row r="471">
      <x:c r="A471" s="19"/>
      <x:c r="B471" s="19"/>
      <x:c r="C471" s="19"/>
      <x:c r="D471" s="19"/>
      <x:c r="E471" s="19"/>
      <x:c r="F471" s="19"/>
      <x:c r="G471" s="20"/>
      <x:c r="H471" s="19"/>
      <x:c r="I471" s="27"/>
    </x:row>
    <x:row r="472">
      <x:c r="A472" s="19"/>
      <x:c r="B472" s="19"/>
      <x:c r="C472" s="19"/>
      <x:c r="D472" s="19"/>
      <x:c r="E472" s="19"/>
      <x:c r="F472" s="19"/>
      <x:c r="G472" s="20"/>
      <x:c r="H472" s="19"/>
      <x:c r="I472" s="27"/>
    </x:row>
    <x:row r="473">
      <x:c r="A473" s="19"/>
      <x:c r="B473" s="19"/>
      <x:c r="C473" s="19"/>
      <x:c r="D473" s="19"/>
      <x:c r="E473" s="19"/>
      <x:c r="F473" s="19"/>
      <x:c r="G473" s="20"/>
      <x:c r="H473" s="19"/>
      <x:c r="I473" s="27"/>
    </x:row>
    <x:row r="474">
      <x:c r="A474" s="19"/>
      <x:c r="B474" s="19"/>
      <x:c r="C474" s="19"/>
      <x:c r="D474" s="19"/>
      <x:c r="E474" s="19"/>
      <x:c r="F474" s="19"/>
      <x:c r="G474" s="20"/>
      <x:c r="H474" s="19"/>
      <x:c r="I474" s="27"/>
    </x:row>
    <x:row r="475">
      <x:c r="A475" s="19"/>
      <x:c r="B475" s="19"/>
      <x:c r="C475" s="19"/>
      <x:c r="D475" s="19"/>
      <x:c r="E475" s="19"/>
      <x:c r="F475" s="19"/>
      <x:c r="G475" s="20"/>
      <x:c r="H475" s="19"/>
      <x:c r="I475" s="27"/>
    </x:row>
    <x:row r="476">
      <x:c r="A476" s="19"/>
      <x:c r="B476" s="19"/>
      <x:c r="C476" s="19"/>
      <x:c r="D476" s="19"/>
      <x:c r="E476" s="19"/>
      <x:c r="F476" s="19"/>
      <x:c r="G476" s="20"/>
      <x:c r="H476" s="19"/>
      <x:c r="I476" s="27"/>
    </x:row>
    <x:row r="477">
      <x:c r="A477" s="19"/>
      <x:c r="B477" s="19"/>
      <x:c r="C477" s="19"/>
      <x:c r="D477" s="19"/>
      <x:c r="E477" s="19"/>
      <x:c r="F477" s="19"/>
      <x:c r="G477" s="20"/>
      <x:c r="H477" s="19"/>
      <x:c r="I477" s="27"/>
    </x:row>
    <x:row r="478">
      <x:c r="A478" s="19"/>
      <x:c r="B478" s="19"/>
      <x:c r="C478" s="19"/>
      <x:c r="D478" s="19"/>
      <x:c r="E478" s="19"/>
      <x:c r="F478" s="19"/>
      <x:c r="G478" s="20"/>
      <x:c r="H478" s="19"/>
      <x:c r="I478" s="27"/>
    </x:row>
    <x:row r="479">
      <x:c r="A479" s="19"/>
      <x:c r="B479" s="19"/>
      <x:c r="C479" s="19"/>
      <x:c r="D479" s="19"/>
      <x:c r="E479" s="19"/>
      <x:c r="F479" s="19"/>
      <x:c r="G479" s="20"/>
      <x:c r="H479" s="19"/>
      <x:c r="I479" s="27"/>
    </x:row>
    <x:row r="480">
      <x:c r="A480" s="19"/>
      <x:c r="B480" s="19"/>
      <x:c r="C480" s="19"/>
      <x:c r="D480" s="19"/>
      <x:c r="E480" s="19"/>
      <x:c r="F480" s="19"/>
      <x:c r="G480" s="20"/>
      <x:c r="H480" s="19"/>
      <x:c r="I480" s="27"/>
    </x:row>
    <x:row r="481">
      <x:c r="A481" s="19"/>
      <x:c r="B481" s="19"/>
      <x:c r="C481" s="19"/>
      <x:c r="D481" s="19"/>
      <x:c r="E481" s="19"/>
      <x:c r="F481" s="19"/>
      <x:c r="G481" s="20"/>
      <x:c r="H481" s="19"/>
      <x:c r="I481" s="27"/>
    </x:row>
    <x:row r="482">
      <x:c r="A482" s="19"/>
      <x:c r="B482" s="19"/>
      <x:c r="C482" s="19"/>
      <x:c r="D482" s="19"/>
      <x:c r="E482" s="19"/>
      <x:c r="F482" s="19"/>
      <x:c r="G482" s="20"/>
      <x:c r="H482" s="19"/>
      <x:c r="I482" s="27"/>
    </x:row>
    <x:row r="483">
      <x:c r="A483" s="19"/>
      <x:c r="B483" s="19"/>
      <x:c r="C483" s="19"/>
      <x:c r="D483" s="19"/>
      <x:c r="E483" s="19"/>
      <x:c r="F483" s="19"/>
      <x:c r="G483" s="20"/>
      <x:c r="H483" s="19"/>
      <x:c r="I483" s="27"/>
    </x:row>
    <x:row r="484">
      <x:c r="A484" s="19"/>
      <x:c r="B484" s="19"/>
      <x:c r="C484" s="19"/>
      <x:c r="D484" s="19"/>
      <x:c r="E484" s="19"/>
      <x:c r="F484" s="19"/>
      <x:c r="G484" s="20"/>
      <x:c r="H484" s="19"/>
      <x:c r="I484" s="27"/>
    </x:row>
    <x:row r="485">
      <x:c r="A485" s="19"/>
      <x:c r="B485" s="19"/>
      <x:c r="C485" s="19"/>
      <x:c r="D485" s="19"/>
      <x:c r="E485" s="19"/>
      <x:c r="F485" s="19"/>
      <x:c r="G485" s="20"/>
      <x:c r="H485" s="19"/>
      <x:c r="I485" s="27"/>
    </x:row>
    <x:row r="486">
      <x:c r="A486" s="19"/>
      <x:c r="B486" s="19"/>
      <x:c r="C486" s="19"/>
      <x:c r="D486" s="19"/>
      <x:c r="E486" s="19"/>
      <x:c r="F486" s="19"/>
      <x:c r="G486" s="20"/>
      <x:c r="H486" s="19"/>
      <x:c r="I486" s="27"/>
    </x:row>
    <x:row r="487">
      <x:c r="A487" s="19"/>
      <x:c r="B487" s="19"/>
      <x:c r="C487" s="19"/>
      <x:c r="D487" s="19"/>
      <x:c r="E487" s="19"/>
      <x:c r="F487" s="19"/>
      <x:c r="G487" s="20"/>
      <x:c r="H487" s="19"/>
      <x:c r="I487" s="27"/>
    </x:row>
    <x:row r="488">
      <x:c r="A488" s="19"/>
      <x:c r="B488" s="19"/>
      <x:c r="C488" s="19"/>
      <x:c r="D488" s="19"/>
      <x:c r="E488" s="19"/>
      <x:c r="F488" s="19"/>
      <x:c r="G488" s="20"/>
      <x:c r="H488" s="19"/>
      <x:c r="I488" s="27"/>
    </x:row>
    <x:row r="489">
      <x:c r="A489" s="19"/>
      <x:c r="B489" s="19"/>
      <x:c r="C489" s="19"/>
      <x:c r="D489" s="19"/>
      <x:c r="E489" s="19"/>
      <x:c r="F489" s="19"/>
      <x:c r="G489" s="20"/>
      <x:c r="H489" s="19"/>
      <x:c r="I489" s="27"/>
    </x:row>
    <x:row r="490">
      <x:c r="A490" s="19"/>
      <x:c r="B490" s="19"/>
      <x:c r="C490" s="19"/>
      <x:c r="D490" s="19"/>
      <x:c r="E490" s="19"/>
      <x:c r="F490" s="19"/>
      <x:c r="G490" s="20"/>
      <x:c r="H490" s="19"/>
      <x:c r="I490" s="27"/>
    </x:row>
    <x:row r="491">
      <x:c r="A491" s="19"/>
      <x:c r="B491" s="19"/>
      <x:c r="C491" s="19"/>
      <x:c r="D491" s="19"/>
      <x:c r="E491" s="19"/>
      <x:c r="F491" s="19"/>
      <x:c r="G491" s="20"/>
      <x:c r="H491" s="19"/>
      <x:c r="I491" s="27"/>
    </x:row>
    <x:row r="492">
      <x:c r="A492" s="19"/>
      <x:c r="B492" s="19"/>
      <x:c r="C492" s="19"/>
      <x:c r="D492" s="19"/>
      <x:c r="E492" s="19"/>
      <x:c r="F492" s="19"/>
      <x:c r="G492" s="20"/>
      <x:c r="H492" s="19"/>
      <x:c r="I492" s="27"/>
    </x:row>
    <x:row r="493">
      <x:c r="A493" s="19"/>
      <x:c r="B493" s="19"/>
      <x:c r="C493" s="19"/>
      <x:c r="D493" s="19"/>
      <x:c r="E493" s="19"/>
      <x:c r="F493" s="19"/>
      <x:c r="G493" s="20"/>
      <x:c r="H493" s="19"/>
      <x:c r="I493" s="27"/>
    </x:row>
    <x:row r="494">
      <x:c r="A494" s="19"/>
      <x:c r="B494" s="19"/>
      <x:c r="C494" s="19"/>
      <x:c r="D494" s="19"/>
      <x:c r="E494" s="19"/>
      <x:c r="F494" s="19"/>
      <x:c r="G494" s="20"/>
      <x:c r="H494" s="19"/>
      <x:c r="I494" s="27"/>
    </x:row>
    <x:row r="495">
      <x:c r="A495" s="19"/>
      <x:c r="B495" s="19"/>
      <x:c r="C495" s="19"/>
      <x:c r="D495" s="19"/>
      <x:c r="E495" s="19"/>
      <x:c r="F495" s="19"/>
      <x:c r="G495" s="20"/>
      <x:c r="H495" s="19"/>
      <x:c r="I495" s="27"/>
    </x:row>
    <x:row r="496">
      <x:c r="A496" s="19"/>
      <x:c r="B496" s="19"/>
      <x:c r="C496" s="19"/>
      <x:c r="D496" s="19"/>
      <x:c r="E496" s="19"/>
      <x:c r="F496" s="19"/>
      <x:c r="G496" s="20"/>
      <x:c r="H496" s="19"/>
      <x:c r="I496" s="27"/>
    </x:row>
    <x:row r="497">
      <x:c r="A497" s="19"/>
      <x:c r="B497" s="19"/>
      <x:c r="C497" s="19"/>
      <x:c r="D497" s="19"/>
      <x:c r="E497" s="19"/>
      <x:c r="F497" s="19"/>
      <x:c r="G497" s="20"/>
      <x:c r="H497" s="19"/>
      <x:c r="I497" s="27"/>
    </x:row>
    <x:row r="498">
      <x:c r="A498" s="19"/>
      <x:c r="B498" s="19"/>
      <x:c r="C498" s="19"/>
      <x:c r="D498" s="19"/>
      <x:c r="E498" s="19"/>
      <x:c r="F498" s="19"/>
      <x:c r="G498" s="20"/>
      <x:c r="H498" s="19"/>
      <x:c r="I498" s="27"/>
    </x:row>
    <x:row r="499">
      <x:c r="A499" s="19"/>
      <x:c r="B499" s="19"/>
      <x:c r="C499" s="19"/>
      <x:c r="D499" s="19"/>
      <x:c r="E499" s="19"/>
      <x:c r="F499" s="19"/>
      <x:c r="G499" s="20"/>
      <x:c r="H499" s="19"/>
      <x:c r="I499" s="27"/>
    </x:row>
    <x:row r="500">
      <x:c r="A500" s="19"/>
      <x:c r="B500" s="19"/>
      <x:c r="C500" s="19"/>
      <x:c r="D500" s="19"/>
      <x:c r="E500" s="19"/>
      <x:c r="F500" s="19"/>
      <x:c r="G500" s="20"/>
      <x:c r="H500" s="19"/>
      <x:c r="I500" s="27"/>
    </x:row>
  </x:sheetData>
  <x:conditionalFormatting sqref="B2:B500">
    <x:cfRule type="expression" dxfId="155" priority="1">
      <x:formula>AND($A2&lt;&gt;"",B2="")</x:formula>
    </x:cfRule>
  </x:conditionalFormatting>
  <x:conditionalFormatting sqref="C2:C500">
    <x:cfRule type="expression" dxfId="156" priority="2">
      <x:formula>AND($A2&lt;&gt;"",C2="")</x:formula>
    </x:cfRule>
  </x:conditionalFormatting>
  <x:conditionalFormatting sqref="D2:D500">
    <x:cfRule type="expression" dxfId="157" priority="3">
      <x:formula>AND($A2&lt;&gt;"",D2="")</x:formula>
    </x:cfRule>
  </x:conditionalFormatting>
  <x:conditionalFormatting sqref="E2:E500">
    <x:cfRule type="expression" dxfId="158" priority="4">
      <x:formula>AND($A2&lt;&gt;"",E2="")</x:formula>
    </x:cfRule>
  </x:conditionalFormatting>
  <x:conditionalFormatting sqref="F2:F500">
    <x:cfRule type="expression" dxfId="159" priority="5">
      <x:formula>AND($A2&lt;&gt;"",F2="")</x:formula>
    </x:cfRule>
  </x:conditionalFormatting>
  <x:conditionalFormatting sqref="H2:H500">
    <x:cfRule type="expression" dxfId="160" priority="6">
      <x:formula>AND($A2&lt;&gt;"",H2="")</x:formula>
    </x:cfRule>
  </x:conditionalFormatting>
  <x:conditionalFormatting sqref="I2:I500">
    <x:cfRule type="expression" dxfId="161" priority="7">
      <x:formula>AND($A2&lt;&gt;"",I2="")</x:formula>
    </x:cfRule>
  </x:conditionalFormatting>
  <x:dataValidations count="4">
    <x:dataValidation type="list" sqref="B2:B500">
      <x:formula1>"customer,lead,opportunity,product,order,supplier"</x:formula1>
    </x:dataValidation>
    <x:dataValidation type="list" sqref="E2:E500">
      <x:formula1>"text,number,date,boolean,list"</x:formula1>
    </x:dataValidation>
    <x:dataValidation type="list" sqref="F2:F500">
      <x:formula1>"TRUE,FALSE"</x:formula1>
    </x:dataValidation>
    <x:dataValidation type="list" sqref="H2:H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4767fe2b504e49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30" hidden="0" customWidth="1"/>
    <x:col min="6" max="6" width="17" hidden="0" customWidth="1"/>
    <x:col min="7" max="7" width="16" hidden="0" customWidth="1"/>
    <x:col min="8" max="8" width="15" hidden="0" customWidth="1"/>
    <x:col min="9" max="9" width="19" hidden="0" customWidth="1"/>
    <x:col min="10" max="10" width="18" hidden="0" customWidth="1"/>
  </x:cols>
  <x:sheetData>
    <x:row r="1" ht="46" customHeight="1">
      <x:c r="A1" s="12" t="str">
        <x:v>شناسه مقدار *
(value_id)</x:v>
      </x:c>
      <x:c r="B1" s="13" t="str">
        <x:v>نوع موجودیت *
(entity_type)</x:v>
      </x:c>
      <x:c r="C1" s="13" t="str">
        <x:v>شناسه موجودیت *
(entity_id)</x:v>
      </x:c>
      <x:c r="D1" s="13" t="str">
        <x:v>فیلد *
(field_id)</x:v>
      </x:c>
      <x:c r="E1" s="13" t="str">
        <x:v>مقدار متنی
(value_text)</x:v>
      </x:c>
      <x:c r="F1" s="13" t="str">
        <x:v>مقدار عددی
(value_number)</x:v>
      </x:c>
      <x:c r="G1" s="13" t="str">
        <x:v>مقدار تاریخی
(value_date)</x:v>
      </x:c>
      <x:c r="H1" s="13" t="str">
        <x:v>مقدار منطقی
(value_boolean)</x:v>
      </x:c>
      <x:c r="I1" s="13" t="str">
        <x:v>آخرین تغییر *
(updated_at)</x:v>
      </x:c>
      <x:c r="J1" s="14" t="str">
        <x:v>تغییردهنده *
(updated_by)</x:v>
      </x:c>
    </x:row>
    <x:row r="2">
      <x:c r="A2" s="28" t="str">
        <x:v>val_001</x:v>
      </x:c>
      <x:c r="B2" s="29" t="str">
        <x:v>lead</x:v>
      </x:c>
      <x:c r="C2" s="29" t="str">
        <x:v>lead_001</x:v>
      </x:c>
      <x:c r="D2" s="29" t="str">
        <x:v>fld_lead_qty</x:v>
      </x:c>
      <x:c r="E2" s="29"/>
      <x:c r="F2" s="63" t="n">
        <x:v>20</x:v>
      </x:c>
      <x:c r="G2" s="31"/>
      <x:c r="H2" s="29"/>
      <x:c r="I2" s="33" t="n">
        <x:v>46215.229166666664</x:v>
      </x:c>
      <x:c r="J2" s="36" t="str">
        <x:v>usr_sara</x:v>
      </x:c>
    </x:row>
    <x:row r="3">
      <x:c r="A3" s="37" t="str">
        <x:v>val_002</x:v>
      </x:c>
      <x:c r="B3" s="38" t="str">
        <x:v>lead</x:v>
      </x:c>
      <x:c r="C3" s="38" t="str">
        <x:v>lead_001</x:v>
      </x:c>
      <x:c r="D3" s="38" t="str">
        <x:v>fld_lead_delivery</x:v>
      </x:c>
      <x:c r="E3" s="38" t="str">
        <x:v>اصفهان</x:v>
      </x:c>
      <x:c r="F3" s="64"/>
      <x:c r="G3" s="40"/>
      <x:c r="H3" s="38"/>
      <x:c r="I3" s="42" t="n">
        <x:v>46215.229166666664</x:v>
      </x:c>
      <x:c r="J3" s="45" t="str">
        <x:v>usr_sara</x:v>
      </x:c>
    </x:row>
    <x:row r="4">
      <x:c r="A4" s="46" t="str">
        <x:v>val_003</x:v>
      </x:c>
      <x:c r="B4" s="47" t="str">
        <x:v>customer</x:v>
      </x:c>
      <x:c r="C4" s="47" t="str">
        <x:v>cus_001</x:v>
      </x:c>
      <x:c r="D4" s="47" t="str">
        <x:v>fld_customer_kind</x:v>
      </x:c>
      <x:c r="E4" s="47" t="str">
        <x:v>عمده‌فروش</x:v>
      </x:c>
      <x:c r="F4" s="65"/>
      <x:c r="G4" s="49"/>
      <x:c r="H4" s="47"/>
      <x:c r="I4" s="51" t="n">
        <x:v>46215.229166666664</x:v>
      </x:c>
      <x:c r="J4" s="54" t="str">
        <x:v>usr_sara</x:v>
      </x:c>
    </x:row>
    <x:row r="5">
      <x:c r="A5" s="19"/>
      <x:c r="B5" s="19"/>
      <x:c r="C5" s="19"/>
      <x:c r="D5" s="19"/>
      <x:c r="E5" s="19"/>
      <x:c r="F5" s="62"/>
      <x:c r="G5" s="24"/>
      <x:c r="H5" s="19"/>
      <x:c r="I5" s="26"/>
      <x:c r="J5" s="19"/>
    </x:row>
    <x:row r="6">
      <x:c r="A6" s="19"/>
      <x:c r="B6" s="19"/>
      <x:c r="C6" s="19"/>
      <x:c r="D6" s="19"/>
      <x:c r="E6" s="19"/>
      <x:c r="F6" s="62"/>
      <x:c r="G6" s="24"/>
      <x:c r="H6" s="19"/>
      <x:c r="I6" s="26"/>
      <x:c r="J6" s="19"/>
    </x:row>
    <x:row r="7">
      <x:c r="A7" s="19"/>
      <x:c r="B7" s="19"/>
      <x:c r="C7" s="19"/>
      <x:c r="D7" s="19"/>
      <x:c r="E7" s="19"/>
      <x:c r="F7" s="62"/>
      <x:c r="G7" s="24"/>
      <x:c r="H7" s="19"/>
      <x:c r="I7" s="26"/>
      <x:c r="J7" s="19"/>
    </x:row>
    <x:row r="8">
      <x:c r="A8" s="19"/>
      <x:c r="B8" s="19"/>
      <x:c r="C8" s="19"/>
      <x:c r="D8" s="19"/>
      <x:c r="E8" s="19"/>
      <x:c r="F8" s="62"/>
      <x:c r="G8" s="24"/>
      <x:c r="H8" s="19"/>
      <x:c r="I8" s="26"/>
      <x:c r="J8" s="19"/>
    </x:row>
    <x:row r="9">
      <x:c r="A9" s="19"/>
      <x:c r="B9" s="19"/>
      <x:c r="C9" s="19"/>
      <x:c r="D9" s="19"/>
      <x:c r="E9" s="19"/>
      <x:c r="F9" s="62"/>
      <x:c r="G9" s="24"/>
      <x:c r="H9" s="19"/>
      <x:c r="I9" s="26"/>
      <x:c r="J9" s="19"/>
    </x:row>
    <x:row r="10">
      <x:c r="A10" s="19"/>
      <x:c r="B10" s="19"/>
      <x:c r="C10" s="19"/>
      <x:c r="D10" s="19"/>
      <x:c r="E10" s="19"/>
      <x:c r="F10" s="62"/>
      <x:c r="G10" s="24"/>
      <x:c r="H10" s="19"/>
      <x:c r="I10" s="26"/>
      <x:c r="J10" s="19"/>
    </x:row>
    <x:row r="11">
      <x:c r="A11" s="19"/>
      <x:c r="B11" s="19"/>
      <x:c r="C11" s="19"/>
      <x:c r="D11" s="19"/>
      <x:c r="E11" s="19"/>
      <x:c r="F11" s="62"/>
      <x:c r="G11" s="24"/>
      <x:c r="H11" s="19"/>
      <x:c r="I11" s="26"/>
      <x:c r="J11" s="19"/>
    </x:row>
    <x:row r="12">
      <x:c r="A12" s="19"/>
      <x:c r="B12" s="19"/>
      <x:c r="C12" s="19"/>
      <x:c r="D12" s="19"/>
      <x:c r="E12" s="19"/>
      <x:c r="F12" s="62"/>
      <x:c r="G12" s="24"/>
      <x:c r="H12" s="19"/>
      <x:c r="I12" s="26"/>
      <x:c r="J12" s="19"/>
    </x:row>
    <x:row r="13">
      <x:c r="A13" s="19"/>
      <x:c r="B13" s="19"/>
      <x:c r="C13" s="19"/>
      <x:c r="D13" s="19"/>
      <x:c r="E13" s="19"/>
      <x:c r="F13" s="62"/>
      <x:c r="G13" s="24"/>
      <x:c r="H13" s="19"/>
      <x:c r="I13" s="26"/>
      <x:c r="J13" s="19"/>
    </x:row>
    <x:row r="14">
      <x:c r="A14" s="19"/>
      <x:c r="B14" s="19"/>
      <x:c r="C14" s="19"/>
      <x:c r="D14" s="19"/>
      <x:c r="E14" s="19"/>
      <x:c r="F14" s="62"/>
      <x:c r="G14" s="24"/>
      <x:c r="H14" s="19"/>
      <x:c r="I14" s="26"/>
      <x:c r="J14" s="19"/>
    </x:row>
    <x:row r="15">
      <x:c r="A15" s="19"/>
      <x:c r="B15" s="19"/>
      <x:c r="C15" s="19"/>
      <x:c r="D15" s="19"/>
      <x:c r="E15" s="19"/>
      <x:c r="F15" s="62"/>
      <x:c r="G15" s="24"/>
      <x:c r="H15" s="19"/>
      <x:c r="I15" s="26"/>
      <x:c r="J15" s="19"/>
    </x:row>
    <x:row r="16">
      <x:c r="A16" s="19"/>
      <x:c r="B16" s="19"/>
      <x:c r="C16" s="19"/>
      <x:c r="D16" s="19"/>
      <x:c r="E16" s="19"/>
      <x:c r="F16" s="62"/>
      <x:c r="G16" s="24"/>
      <x:c r="H16" s="19"/>
      <x:c r="I16" s="26"/>
      <x:c r="J16" s="19"/>
    </x:row>
    <x:row r="17">
      <x:c r="A17" s="19"/>
      <x:c r="B17" s="19"/>
      <x:c r="C17" s="19"/>
      <x:c r="D17" s="19"/>
      <x:c r="E17" s="19"/>
      <x:c r="F17" s="62"/>
      <x:c r="G17" s="24"/>
      <x:c r="H17" s="19"/>
      <x:c r="I17" s="26"/>
      <x:c r="J17" s="19"/>
    </x:row>
    <x:row r="18">
      <x:c r="A18" s="19"/>
      <x:c r="B18" s="19"/>
      <x:c r="C18" s="19"/>
      <x:c r="D18" s="19"/>
      <x:c r="E18" s="19"/>
      <x:c r="F18" s="62"/>
      <x:c r="G18" s="24"/>
      <x:c r="H18" s="19"/>
      <x:c r="I18" s="26"/>
      <x:c r="J18" s="19"/>
    </x:row>
    <x:row r="19">
      <x:c r="A19" s="19"/>
      <x:c r="B19" s="19"/>
      <x:c r="C19" s="19"/>
      <x:c r="D19" s="19"/>
      <x:c r="E19" s="19"/>
      <x:c r="F19" s="62"/>
      <x:c r="G19" s="24"/>
      <x:c r="H19" s="19"/>
      <x:c r="I19" s="26"/>
      <x:c r="J19" s="19"/>
    </x:row>
    <x:row r="20">
      <x:c r="A20" s="19"/>
      <x:c r="B20" s="19"/>
      <x:c r="C20" s="19"/>
      <x:c r="D20" s="19"/>
      <x:c r="E20" s="19"/>
      <x:c r="F20" s="62"/>
      <x:c r="G20" s="24"/>
      <x:c r="H20" s="19"/>
      <x:c r="I20" s="26"/>
      <x:c r="J20" s="19"/>
    </x:row>
    <x:row r="21">
      <x:c r="A21" s="19"/>
      <x:c r="B21" s="19"/>
      <x:c r="C21" s="19"/>
      <x:c r="D21" s="19"/>
      <x:c r="E21" s="19"/>
      <x:c r="F21" s="62"/>
      <x:c r="G21" s="24"/>
      <x:c r="H21" s="19"/>
      <x:c r="I21" s="26"/>
      <x:c r="J21" s="19"/>
    </x:row>
    <x:row r="22">
      <x:c r="A22" s="19"/>
      <x:c r="B22" s="19"/>
      <x:c r="C22" s="19"/>
      <x:c r="D22" s="19"/>
      <x:c r="E22" s="19"/>
      <x:c r="F22" s="62"/>
      <x:c r="G22" s="24"/>
      <x:c r="H22" s="19"/>
      <x:c r="I22" s="26"/>
      <x:c r="J22" s="19"/>
    </x:row>
    <x:row r="23">
      <x:c r="A23" s="19"/>
      <x:c r="B23" s="19"/>
      <x:c r="C23" s="19"/>
      <x:c r="D23" s="19"/>
      <x:c r="E23" s="19"/>
      <x:c r="F23" s="62"/>
      <x:c r="G23" s="24"/>
      <x:c r="H23" s="19"/>
      <x:c r="I23" s="26"/>
      <x:c r="J23" s="19"/>
    </x:row>
    <x:row r="24">
      <x:c r="A24" s="19"/>
      <x:c r="B24" s="19"/>
      <x:c r="C24" s="19"/>
      <x:c r="D24" s="19"/>
      <x:c r="E24" s="19"/>
      <x:c r="F24" s="62"/>
      <x:c r="G24" s="24"/>
      <x:c r="H24" s="19"/>
      <x:c r="I24" s="26"/>
      <x:c r="J24" s="19"/>
    </x:row>
    <x:row r="25">
      <x:c r="A25" s="19"/>
      <x:c r="B25" s="19"/>
      <x:c r="C25" s="19"/>
      <x:c r="D25" s="19"/>
      <x:c r="E25" s="19"/>
      <x:c r="F25" s="62"/>
      <x:c r="G25" s="24"/>
      <x:c r="H25" s="19"/>
      <x:c r="I25" s="26"/>
      <x:c r="J25" s="19"/>
    </x:row>
    <x:row r="26">
      <x:c r="A26" s="19"/>
      <x:c r="B26" s="19"/>
      <x:c r="C26" s="19"/>
      <x:c r="D26" s="19"/>
      <x:c r="E26" s="19"/>
      <x:c r="F26" s="62"/>
      <x:c r="G26" s="24"/>
      <x:c r="H26" s="19"/>
      <x:c r="I26" s="26"/>
      <x:c r="J26" s="19"/>
    </x:row>
    <x:row r="27">
      <x:c r="A27" s="19"/>
      <x:c r="B27" s="19"/>
      <x:c r="C27" s="19"/>
      <x:c r="D27" s="19"/>
      <x:c r="E27" s="19"/>
      <x:c r="F27" s="62"/>
      <x:c r="G27" s="24"/>
      <x:c r="H27" s="19"/>
      <x:c r="I27" s="26"/>
      <x:c r="J27" s="19"/>
    </x:row>
    <x:row r="28">
      <x:c r="A28" s="19"/>
      <x:c r="B28" s="19"/>
      <x:c r="C28" s="19"/>
      <x:c r="D28" s="19"/>
      <x:c r="E28" s="19"/>
      <x:c r="F28" s="62"/>
      <x:c r="G28" s="24"/>
      <x:c r="H28" s="19"/>
      <x:c r="I28" s="26"/>
      <x:c r="J28" s="19"/>
    </x:row>
    <x:row r="29">
      <x:c r="A29" s="19"/>
      <x:c r="B29" s="19"/>
      <x:c r="C29" s="19"/>
      <x:c r="D29" s="19"/>
      <x:c r="E29" s="19"/>
      <x:c r="F29" s="62"/>
      <x:c r="G29" s="24"/>
      <x:c r="H29" s="19"/>
      <x:c r="I29" s="26"/>
      <x:c r="J29" s="19"/>
    </x:row>
    <x:row r="30">
      <x:c r="A30" s="19"/>
      <x:c r="B30" s="19"/>
      <x:c r="C30" s="19"/>
      <x:c r="D30" s="19"/>
      <x:c r="E30" s="19"/>
      <x:c r="F30" s="62"/>
      <x:c r="G30" s="24"/>
      <x:c r="H30" s="19"/>
      <x:c r="I30" s="26"/>
      <x:c r="J30" s="19"/>
    </x:row>
    <x:row r="31">
      <x:c r="A31" s="19"/>
      <x:c r="B31" s="19"/>
      <x:c r="C31" s="19"/>
      <x:c r="D31" s="19"/>
      <x:c r="E31" s="19"/>
      <x:c r="F31" s="62"/>
      <x:c r="G31" s="24"/>
      <x:c r="H31" s="19"/>
      <x:c r="I31" s="26"/>
      <x:c r="J31" s="19"/>
    </x:row>
    <x:row r="32">
      <x:c r="A32" s="19"/>
      <x:c r="B32" s="19"/>
      <x:c r="C32" s="19"/>
      <x:c r="D32" s="19"/>
      <x:c r="E32" s="19"/>
      <x:c r="F32" s="62"/>
      <x:c r="G32" s="24"/>
      <x:c r="H32" s="19"/>
      <x:c r="I32" s="26"/>
      <x:c r="J32" s="19"/>
    </x:row>
    <x:row r="33">
      <x:c r="A33" s="19"/>
      <x:c r="B33" s="19"/>
      <x:c r="C33" s="19"/>
      <x:c r="D33" s="19"/>
      <x:c r="E33" s="19"/>
      <x:c r="F33" s="62"/>
      <x:c r="G33" s="24"/>
      <x:c r="H33" s="19"/>
      <x:c r="I33" s="26"/>
      <x:c r="J33" s="19"/>
    </x:row>
    <x:row r="34">
      <x:c r="A34" s="19"/>
      <x:c r="B34" s="19"/>
      <x:c r="C34" s="19"/>
      <x:c r="D34" s="19"/>
      <x:c r="E34" s="19"/>
      <x:c r="F34" s="62"/>
      <x:c r="G34" s="24"/>
      <x:c r="H34" s="19"/>
      <x:c r="I34" s="26"/>
      <x:c r="J34" s="19"/>
    </x:row>
    <x:row r="35">
      <x:c r="A35" s="19"/>
      <x:c r="B35" s="19"/>
      <x:c r="C35" s="19"/>
      <x:c r="D35" s="19"/>
      <x:c r="E35" s="19"/>
      <x:c r="F35" s="62"/>
      <x:c r="G35" s="24"/>
      <x:c r="H35" s="19"/>
      <x:c r="I35" s="26"/>
      <x:c r="J35" s="19"/>
    </x:row>
    <x:row r="36">
      <x:c r="A36" s="19"/>
      <x:c r="B36" s="19"/>
      <x:c r="C36" s="19"/>
      <x:c r="D36" s="19"/>
      <x:c r="E36" s="19"/>
      <x:c r="F36" s="62"/>
      <x:c r="G36" s="24"/>
      <x:c r="H36" s="19"/>
      <x:c r="I36" s="26"/>
      <x:c r="J36" s="19"/>
    </x:row>
    <x:row r="37">
      <x:c r="A37" s="19"/>
      <x:c r="B37" s="19"/>
      <x:c r="C37" s="19"/>
      <x:c r="D37" s="19"/>
      <x:c r="E37" s="19"/>
      <x:c r="F37" s="62"/>
      <x:c r="G37" s="24"/>
      <x:c r="H37" s="19"/>
      <x:c r="I37" s="26"/>
      <x:c r="J37" s="19"/>
    </x:row>
    <x:row r="38">
      <x:c r="A38" s="19"/>
      <x:c r="B38" s="19"/>
      <x:c r="C38" s="19"/>
      <x:c r="D38" s="19"/>
      <x:c r="E38" s="19"/>
      <x:c r="F38" s="62"/>
      <x:c r="G38" s="24"/>
      <x:c r="H38" s="19"/>
      <x:c r="I38" s="26"/>
      <x:c r="J38" s="19"/>
    </x:row>
    <x:row r="39">
      <x:c r="A39" s="19"/>
      <x:c r="B39" s="19"/>
      <x:c r="C39" s="19"/>
      <x:c r="D39" s="19"/>
      <x:c r="E39" s="19"/>
      <x:c r="F39" s="62"/>
      <x:c r="G39" s="24"/>
      <x:c r="H39" s="19"/>
      <x:c r="I39" s="26"/>
      <x:c r="J39" s="19"/>
    </x:row>
    <x:row r="40">
      <x:c r="A40" s="19"/>
      <x:c r="B40" s="19"/>
      <x:c r="C40" s="19"/>
      <x:c r="D40" s="19"/>
      <x:c r="E40" s="19"/>
      <x:c r="F40" s="62"/>
      <x:c r="G40" s="24"/>
      <x:c r="H40" s="19"/>
      <x:c r="I40" s="26"/>
      <x:c r="J40" s="19"/>
    </x:row>
    <x:row r="41">
      <x:c r="A41" s="19"/>
      <x:c r="B41" s="19"/>
      <x:c r="C41" s="19"/>
      <x:c r="D41" s="19"/>
      <x:c r="E41" s="19"/>
      <x:c r="F41" s="62"/>
      <x:c r="G41" s="24"/>
      <x:c r="H41" s="19"/>
      <x:c r="I41" s="26"/>
      <x:c r="J41" s="19"/>
    </x:row>
    <x:row r="42">
      <x:c r="A42" s="19"/>
      <x:c r="B42" s="19"/>
      <x:c r="C42" s="19"/>
      <x:c r="D42" s="19"/>
      <x:c r="E42" s="19"/>
      <x:c r="F42" s="62"/>
      <x:c r="G42" s="24"/>
      <x:c r="H42" s="19"/>
      <x:c r="I42" s="26"/>
      <x:c r="J42" s="19"/>
    </x:row>
    <x:row r="43">
      <x:c r="A43" s="19"/>
      <x:c r="B43" s="19"/>
      <x:c r="C43" s="19"/>
      <x:c r="D43" s="19"/>
      <x:c r="E43" s="19"/>
      <x:c r="F43" s="62"/>
      <x:c r="G43" s="24"/>
      <x:c r="H43" s="19"/>
      <x:c r="I43" s="26"/>
      <x:c r="J43" s="19"/>
    </x:row>
    <x:row r="44">
      <x:c r="A44" s="19"/>
      <x:c r="B44" s="19"/>
      <x:c r="C44" s="19"/>
      <x:c r="D44" s="19"/>
      <x:c r="E44" s="19"/>
      <x:c r="F44" s="62"/>
      <x:c r="G44" s="24"/>
      <x:c r="H44" s="19"/>
      <x:c r="I44" s="26"/>
      <x:c r="J44" s="19"/>
    </x:row>
    <x:row r="45">
      <x:c r="A45" s="19"/>
      <x:c r="B45" s="19"/>
      <x:c r="C45" s="19"/>
      <x:c r="D45" s="19"/>
      <x:c r="E45" s="19"/>
      <x:c r="F45" s="62"/>
      <x:c r="G45" s="24"/>
      <x:c r="H45" s="19"/>
      <x:c r="I45" s="26"/>
      <x:c r="J45" s="19"/>
    </x:row>
    <x:row r="46">
      <x:c r="A46" s="19"/>
      <x:c r="B46" s="19"/>
      <x:c r="C46" s="19"/>
      <x:c r="D46" s="19"/>
      <x:c r="E46" s="19"/>
      <x:c r="F46" s="62"/>
      <x:c r="G46" s="24"/>
      <x:c r="H46" s="19"/>
      <x:c r="I46" s="26"/>
      <x:c r="J46" s="19"/>
    </x:row>
    <x:row r="47">
      <x:c r="A47" s="19"/>
      <x:c r="B47" s="19"/>
      <x:c r="C47" s="19"/>
      <x:c r="D47" s="19"/>
      <x:c r="E47" s="19"/>
      <x:c r="F47" s="62"/>
      <x:c r="G47" s="24"/>
      <x:c r="H47" s="19"/>
      <x:c r="I47" s="26"/>
      <x:c r="J47" s="19"/>
    </x:row>
    <x:row r="48">
      <x:c r="A48" s="19"/>
      <x:c r="B48" s="19"/>
      <x:c r="C48" s="19"/>
      <x:c r="D48" s="19"/>
      <x:c r="E48" s="19"/>
      <x:c r="F48" s="62"/>
      <x:c r="G48" s="24"/>
      <x:c r="H48" s="19"/>
      <x:c r="I48" s="26"/>
      <x:c r="J48" s="19"/>
    </x:row>
    <x:row r="49">
      <x:c r="A49" s="19"/>
      <x:c r="B49" s="19"/>
      <x:c r="C49" s="19"/>
      <x:c r="D49" s="19"/>
      <x:c r="E49" s="19"/>
      <x:c r="F49" s="62"/>
      <x:c r="G49" s="24"/>
      <x:c r="H49" s="19"/>
      <x:c r="I49" s="26"/>
      <x:c r="J49" s="19"/>
    </x:row>
    <x:row r="50">
      <x:c r="A50" s="19"/>
      <x:c r="B50" s="19"/>
      <x:c r="C50" s="19"/>
      <x:c r="D50" s="19"/>
      <x:c r="E50" s="19"/>
      <x:c r="F50" s="62"/>
      <x:c r="G50" s="24"/>
      <x:c r="H50" s="19"/>
      <x:c r="I50" s="26"/>
      <x:c r="J50" s="19"/>
    </x:row>
    <x:row r="51">
      <x:c r="A51" s="19"/>
      <x:c r="B51" s="19"/>
      <x:c r="C51" s="19"/>
      <x:c r="D51" s="19"/>
      <x:c r="E51" s="19"/>
      <x:c r="F51" s="62"/>
      <x:c r="G51" s="24"/>
      <x:c r="H51" s="19"/>
      <x:c r="I51" s="26"/>
      <x:c r="J51" s="19"/>
    </x:row>
    <x:row r="52">
      <x:c r="A52" s="19"/>
      <x:c r="B52" s="19"/>
      <x:c r="C52" s="19"/>
      <x:c r="D52" s="19"/>
      <x:c r="E52" s="19"/>
      <x:c r="F52" s="62"/>
      <x:c r="G52" s="24"/>
      <x:c r="H52" s="19"/>
      <x:c r="I52" s="26"/>
      <x:c r="J52" s="19"/>
    </x:row>
    <x:row r="53">
      <x:c r="A53" s="19"/>
      <x:c r="B53" s="19"/>
      <x:c r="C53" s="19"/>
      <x:c r="D53" s="19"/>
      <x:c r="E53" s="19"/>
      <x:c r="F53" s="62"/>
      <x:c r="G53" s="24"/>
      <x:c r="H53" s="19"/>
      <x:c r="I53" s="26"/>
      <x:c r="J53" s="19"/>
    </x:row>
    <x:row r="54">
      <x:c r="A54" s="19"/>
      <x:c r="B54" s="19"/>
      <x:c r="C54" s="19"/>
      <x:c r="D54" s="19"/>
      <x:c r="E54" s="19"/>
      <x:c r="F54" s="62"/>
      <x:c r="G54" s="24"/>
      <x:c r="H54" s="19"/>
      <x:c r="I54" s="26"/>
      <x:c r="J54" s="19"/>
    </x:row>
    <x:row r="55">
      <x:c r="A55" s="19"/>
      <x:c r="B55" s="19"/>
      <x:c r="C55" s="19"/>
      <x:c r="D55" s="19"/>
      <x:c r="E55" s="19"/>
      <x:c r="F55" s="62"/>
      <x:c r="G55" s="24"/>
      <x:c r="H55" s="19"/>
      <x:c r="I55" s="26"/>
      <x:c r="J55" s="19"/>
    </x:row>
    <x:row r="56">
      <x:c r="A56" s="19"/>
      <x:c r="B56" s="19"/>
      <x:c r="C56" s="19"/>
      <x:c r="D56" s="19"/>
      <x:c r="E56" s="19"/>
      <x:c r="F56" s="62"/>
      <x:c r="G56" s="24"/>
      <x:c r="H56" s="19"/>
      <x:c r="I56" s="26"/>
      <x:c r="J56" s="19"/>
    </x:row>
    <x:row r="57">
      <x:c r="A57" s="19"/>
      <x:c r="B57" s="19"/>
      <x:c r="C57" s="19"/>
      <x:c r="D57" s="19"/>
      <x:c r="E57" s="19"/>
      <x:c r="F57" s="62"/>
      <x:c r="G57" s="24"/>
      <x:c r="H57" s="19"/>
      <x:c r="I57" s="26"/>
      <x:c r="J57" s="19"/>
    </x:row>
    <x:row r="58">
      <x:c r="A58" s="19"/>
      <x:c r="B58" s="19"/>
      <x:c r="C58" s="19"/>
      <x:c r="D58" s="19"/>
      <x:c r="E58" s="19"/>
      <x:c r="F58" s="62"/>
      <x:c r="G58" s="24"/>
      <x:c r="H58" s="19"/>
      <x:c r="I58" s="26"/>
      <x:c r="J58" s="19"/>
    </x:row>
    <x:row r="59">
      <x:c r="A59" s="19"/>
      <x:c r="B59" s="19"/>
      <x:c r="C59" s="19"/>
      <x:c r="D59" s="19"/>
      <x:c r="E59" s="19"/>
      <x:c r="F59" s="62"/>
      <x:c r="G59" s="24"/>
      <x:c r="H59" s="19"/>
      <x:c r="I59" s="26"/>
      <x:c r="J59" s="19"/>
    </x:row>
    <x:row r="60">
      <x:c r="A60" s="19"/>
      <x:c r="B60" s="19"/>
      <x:c r="C60" s="19"/>
      <x:c r="D60" s="19"/>
      <x:c r="E60" s="19"/>
      <x:c r="F60" s="62"/>
      <x:c r="G60" s="24"/>
      <x:c r="H60" s="19"/>
      <x:c r="I60" s="26"/>
      <x:c r="J60" s="19"/>
    </x:row>
    <x:row r="61">
      <x:c r="A61" s="19"/>
      <x:c r="B61" s="19"/>
      <x:c r="C61" s="19"/>
      <x:c r="D61" s="19"/>
      <x:c r="E61" s="19"/>
      <x:c r="F61" s="62"/>
      <x:c r="G61" s="24"/>
      <x:c r="H61" s="19"/>
      <x:c r="I61" s="26"/>
      <x:c r="J61" s="19"/>
    </x:row>
    <x:row r="62">
      <x:c r="A62" s="19"/>
      <x:c r="B62" s="19"/>
      <x:c r="C62" s="19"/>
      <x:c r="D62" s="19"/>
      <x:c r="E62" s="19"/>
      <x:c r="F62" s="62"/>
      <x:c r="G62" s="24"/>
      <x:c r="H62" s="19"/>
      <x:c r="I62" s="26"/>
      <x:c r="J62" s="19"/>
    </x:row>
    <x:row r="63">
      <x:c r="A63" s="19"/>
      <x:c r="B63" s="19"/>
      <x:c r="C63" s="19"/>
      <x:c r="D63" s="19"/>
      <x:c r="E63" s="19"/>
      <x:c r="F63" s="62"/>
      <x:c r="G63" s="24"/>
      <x:c r="H63" s="19"/>
      <x:c r="I63" s="26"/>
      <x:c r="J63" s="19"/>
    </x:row>
    <x:row r="64">
      <x:c r="A64" s="19"/>
      <x:c r="B64" s="19"/>
      <x:c r="C64" s="19"/>
      <x:c r="D64" s="19"/>
      <x:c r="E64" s="19"/>
      <x:c r="F64" s="62"/>
      <x:c r="G64" s="24"/>
      <x:c r="H64" s="19"/>
      <x:c r="I64" s="26"/>
      <x:c r="J64" s="19"/>
    </x:row>
    <x:row r="65">
      <x:c r="A65" s="19"/>
      <x:c r="B65" s="19"/>
      <x:c r="C65" s="19"/>
      <x:c r="D65" s="19"/>
      <x:c r="E65" s="19"/>
      <x:c r="F65" s="62"/>
      <x:c r="G65" s="24"/>
      <x:c r="H65" s="19"/>
      <x:c r="I65" s="26"/>
      <x:c r="J65" s="19"/>
    </x:row>
    <x:row r="66">
      <x:c r="A66" s="19"/>
      <x:c r="B66" s="19"/>
      <x:c r="C66" s="19"/>
      <x:c r="D66" s="19"/>
      <x:c r="E66" s="19"/>
      <x:c r="F66" s="62"/>
      <x:c r="G66" s="24"/>
      <x:c r="H66" s="19"/>
      <x:c r="I66" s="26"/>
      <x:c r="J66" s="19"/>
    </x:row>
    <x:row r="67">
      <x:c r="A67" s="19"/>
      <x:c r="B67" s="19"/>
      <x:c r="C67" s="19"/>
      <x:c r="D67" s="19"/>
      <x:c r="E67" s="19"/>
      <x:c r="F67" s="62"/>
      <x:c r="G67" s="24"/>
      <x:c r="H67" s="19"/>
      <x:c r="I67" s="26"/>
      <x:c r="J67" s="19"/>
    </x:row>
    <x:row r="68">
      <x:c r="A68" s="19"/>
      <x:c r="B68" s="19"/>
      <x:c r="C68" s="19"/>
      <x:c r="D68" s="19"/>
      <x:c r="E68" s="19"/>
      <x:c r="F68" s="62"/>
      <x:c r="G68" s="24"/>
      <x:c r="H68" s="19"/>
      <x:c r="I68" s="26"/>
      <x:c r="J68" s="19"/>
    </x:row>
    <x:row r="69">
      <x:c r="A69" s="19"/>
      <x:c r="B69" s="19"/>
      <x:c r="C69" s="19"/>
      <x:c r="D69" s="19"/>
      <x:c r="E69" s="19"/>
      <x:c r="F69" s="62"/>
      <x:c r="G69" s="24"/>
      <x:c r="H69" s="19"/>
      <x:c r="I69" s="26"/>
      <x:c r="J69" s="19"/>
    </x:row>
    <x:row r="70">
      <x:c r="A70" s="19"/>
      <x:c r="B70" s="19"/>
      <x:c r="C70" s="19"/>
      <x:c r="D70" s="19"/>
      <x:c r="E70" s="19"/>
      <x:c r="F70" s="62"/>
      <x:c r="G70" s="24"/>
      <x:c r="H70" s="19"/>
      <x:c r="I70" s="26"/>
      <x:c r="J70" s="19"/>
    </x:row>
    <x:row r="71">
      <x:c r="A71" s="19"/>
      <x:c r="B71" s="19"/>
      <x:c r="C71" s="19"/>
      <x:c r="D71" s="19"/>
      <x:c r="E71" s="19"/>
      <x:c r="F71" s="62"/>
      <x:c r="G71" s="24"/>
      <x:c r="H71" s="19"/>
      <x:c r="I71" s="26"/>
      <x:c r="J71" s="19"/>
    </x:row>
    <x:row r="72">
      <x:c r="A72" s="19"/>
      <x:c r="B72" s="19"/>
      <x:c r="C72" s="19"/>
      <x:c r="D72" s="19"/>
      <x:c r="E72" s="19"/>
      <x:c r="F72" s="62"/>
      <x:c r="G72" s="24"/>
      <x:c r="H72" s="19"/>
      <x:c r="I72" s="26"/>
      <x:c r="J72" s="19"/>
    </x:row>
    <x:row r="73">
      <x:c r="A73" s="19"/>
      <x:c r="B73" s="19"/>
      <x:c r="C73" s="19"/>
      <x:c r="D73" s="19"/>
      <x:c r="E73" s="19"/>
      <x:c r="F73" s="62"/>
      <x:c r="G73" s="24"/>
      <x:c r="H73" s="19"/>
      <x:c r="I73" s="26"/>
      <x:c r="J73" s="19"/>
    </x:row>
    <x:row r="74">
      <x:c r="A74" s="19"/>
      <x:c r="B74" s="19"/>
      <x:c r="C74" s="19"/>
      <x:c r="D74" s="19"/>
      <x:c r="E74" s="19"/>
      <x:c r="F74" s="62"/>
      <x:c r="G74" s="24"/>
      <x:c r="H74" s="19"/>
      <x:c r="I74" s="26"/>
      <x:c r="J74" s="19"/>
    </x:row>
    <x:row r="75">
      <x:c r="A75" s="19"/>
      <x:c r="B75" s="19"/>
      <x:c r="C75" s="19"/>
      <x:c r="D75" s="19"/>
      <x:c r="E75" s="19"/>
      <x:c r="F75" s="62"/>
      <x:c r="G75" s="24"/>
      <x:c r="H75" s="19"/>
      <x:c r="I75" s="26"/>
      <x:c r="J75" s="19"/>
    </x:row>
    <x:row r="76">
      <x:c r="A76" s="19"/>
      <x:c r="B76" s="19"/>
      <x:c r="C76" s="19"/>
      <x:c r="D76" s="19"/>
      <x:c r="E76" s="19"/>
      <x:c r="F76" s="62"/>
      <x:c r="G76" s="24"/>
      <x:c r="H76" s="19"/>
      <x:c r="I76" s="26"/>
      <x:c r="J76" s="19"/>
    </x:row>
    <x:row r="77">
      <x:c r="A77" s="19"/>
      <x:c r="B77" s="19"/>
      <x:c r="C77" s="19"/>
      <x:c r="D77" s="19"/>
      <x:c r="E77" s="19"/>
      <x:c r="F77" s="62"/>
      <x:c r="G77" s="24"/>
      <x:c r="H77" s="19"/>
      <x:c r="I77" s="26"/>
      <x:c r="J77" s="19"/>
    </x:row>
    <x:row r="78">
      <x:c r="A78" s="19"/>
      <x:c r="B78" s="19"/>
      <x:c r="C78" s="19"/>
      <x:c r="D78" s="19"/>
      <x:c r="E78" s="19"/>
      <x:c r="F78" s="62"/>
      <x:c r="G78" s="24"/>
      <x:c r="H78" s="19"/>
      <x:c r="I78" s="26"/>
      <x:c r="J78" s="19"/>
    </x:row>
    <x:row r="79">
      <x:c r="A79" s="19"/>
      <x:c r="B79" s="19"/>
      <x:c r="C79" s="19"/>
      <x:c r="D79" s="19"/>
      <x:c r="E79" s="19"/>
      <x:c r="F79" s="62"/>
      <x:c r="G79" s="24"/>
      <x:c r="H79" s="19"/>
      <x:c r="I79" s="26"/>
      <x:c r="J79" s="19"/>
    </x:row>
    <x:row r="80">
      <x:c r="A80" s="19"/>
      <x:c r="B80" s="19"/>
      <x:c r="C80" s="19"/>
      <x:c r="D80" s="19"/>
      <x:c r="E80" s="19"/>
      <x:c r="F80" s="62"/>
      <x:c r="G80" s="24"/>
      <x:c r="H80" s="19"/>
      <x:c r="I80" s="26"/>
      <x:c r="J80" s="19"/>
    </x:row>
    <x:row r="81">
      <x:c r="A81" s="19"/>
      <x:c r="B81" s="19"/>
      <x:c r="C81" s="19"/>
      <x:c r="D81" s="19"/>
      <x:c r="E81" s="19"/>
      <x:c r="F81" s="62"/>
      <x:c r="G81" s="24"/>
      <x:c r="H81" s="19"/>
      <x:c r="I81" s="26"/>
      <x:c r="J81" s="19"/>
    </x:row>
    <x:row r="82">
      <x:c r="A82" s="19"/>
      <x:c r="B82" s="19"/>
      <x:c r="C82" s="19"/>
      <x:c r="D82" s="19"/>
      <x:c r="E82" s="19"/>
      <x:c r="F82" s="62"/>
      <x:c r="G82" s="24"/>
      <x:c r="H82" s="19"/>
      <x:c r="I82" s="26"/>
      <x:c r="J82" s="19"/>
    </x:row>
    <x:row r="83">
      <x:c r="A83" s="19"/>
      <x:c r="B83" s="19"/>
      <x:c r="C83" s="19"/>
      <x:c r="D83" s="19"/>
      <x:c r="E83" s="19"/>
      <x:c r="F83" s="62"/>
      <x:c r="G83" s="24"/>
      <x:c r="H83" s="19"/>
      <x:c r="I83" s="26"/>
      <x:c r="J83" s="19"/>
    </x:row>
    <x:row r="84">
      <x:c r="A84" s="19"/>
      <x:c r="B84" s="19"/>
      <x:c r="C84" s="19"/>
      <x:c r="D84" s="19"/>
      <x:c r="E84" s="19"/>
      <x:c r="F84" s="62"/>
      <x:c r="G84" s="24"/>
      <x:c r="H84" s="19"/>
      <x:c r="I84" s="26"/>
      <x:c r="J84" s="19"/>
    </x:row>
    <x:row r="85">
      <x:c r="A85" s="19"/>
      <x:c r="B85" s="19"/>
      <x:c r="C85" s="19"/>
      <x:c r="D85" s="19"/>
      <x:c r="E85" s="19"/>
      <x:c r="F85" s="62"/>
      <x:c r="G85" s="24"/>
      <x:c r="H85" s="19"/>
      <x:c r="I85" s="26"/>
      <x:c r="J85" s="19"/>
    </x:row>
    <x:row r="86">
      <x:c r="A86" s="19"/>
      <x:c r="B86" s="19"/>
      <x:c r="C86" s="19"/>
      <x:c r="D86" s="19"/>
      <x:c r="E86" s="19"/>
      <x:c r="F86" s="62"/>
      <x:c r="G86" s="24"/>
      <x:c r="H86" s="19"/>
      <x:c r="I86" s="26"/>
      <x:c r="J86" s="19"/>
    </x:row>
    <x:row r="87">
      <x:c r="A87" s="19"/>
      <x:c r="B87" s="19"/>
      <x:c r="C87" s="19"/>
      <x:c r="D87" s="19"/>
      <x:c r="E87" s="19"/>
      <x:c r="F87" s="62"/>
      <x:c r="G87" s="24"/>
      <x:c r="H87" s="19"/>
      <x:c r="I87" s="26"/>
      <x:c r="J87" s="19"/>
    </x:row>
    <x:row r="88">
      <x:c r="A88" s="19"/>
      <x:c r="B88" s="19"/>
      <x:c r="C88" s="19"/>
      <x:c r="D88" s="19"/>
      <x:c r="E88" s="19"/>
      <x:c r="F88" s="62"/>
      <x:c r="G88" s="24"/>
      <x:c r="H88" s="19"/>
      <x:c r="I88" s="26"/>
      <x:c r="J88" s="19"/>
    </x:row>
    <x:row r="89">
      <x:c r="A89" s="19"/>
      <x:c r="B89" s="19"/>
      <x:c r="C89" s="19"/>
      <x:c r="D89" s="19"/>
      <x:c r="E89" s="19"/>
      <x:c r="F89" s="62"/>
      <x:c r="G89" s="24"/>
      <x:c r="H89" s="19"/>
      <x:c r="I89" s="26"/>
      <x:c r="J89" s="19"/>
    </x:row>
    <x:row r="90">
      <x:c r="A90" s="19"/>
      <x:c r="B90" s="19"/>
      <x:c r="C90" s="19"/>
      <x:c r="D90" s="19"/>
      <x:c r="E90" s="19"/>
      <x:c r="F90" s="62"/>
      <x:c r="G90" s="24"/>
      <x:c r="H90" s="19"/>
      <x:c r="I90" s="26"/>
      <x:c r="J90" s="19"/>
    </x:row>
    <x:row r="91">
      <x:c r="A91" s="19"/>
      <x:c r="B91" s="19"/>
      <x:c r="C91" s="19"/>
      <x:c r="D91" s="19"/>
      <x:c r="E91" s="19"/>
      <x:c r="F91" s="62"/>
      <x:c r="G91" s="24"/>
      <x:c r="H91" s="19"/>
      <x:c r="I91" s="26"/>
      <x:c r="J91" s="19"/>
    </x:row>
    <x:row r="92">
      <x:c r="A92" s="19"/>
      <x:c r="B92" s="19"/>
      <x:c r="C92" s="19"/>
      <x:c r="D92" s="19"/>
      <x:c r="E92" s="19"/>
      <x:c r="F92" s="62"/>
      <x:c r="G92" s="24"/>
      <x:c r="H92" s="19"/>
      <x:c r="I92" s="26"/>
      <x:c r="J92" s="19"/>
    </x:row>
    <x:row r="93">
      <x:c r="A93" s="19"/>
      <x:c r="B93" s="19"/>
      <x:c r="C93" s="19"/>
      <x:c r="D93" s="19"/>
      <x:c r="E93" s="19"/>
      <x:c r="F93" s="62"/>
      <x:c r="G93" s="24"/>
      <x:c r="H93" s="19"/>
      <x:c r="I93" s="26"/>
      <x:c r="J93" s="19"/>
    </x:row>
    <x:row r="94">
      <x:c r="A94" s="19"/>
      <x:c r="B94" s="19"/>
      <x:c r="C94" s="19"/>
      <x:c r="D94" s="19"/>
      <x:c r="E94" s="19"/>
      <x:c r="F94" s="62"/>
      <x:c r="G94" s="24"/>
      <x:c r="H94" s="19"/>
      <x:c r="I94" s="26"/>
      <x:c r="J94" s="19"/>
    </x:row>
    <x:row r="95">
      <x:c r="A95" s="19"/>
      <x:c r="B95" s="19"/>
      <x:c r="C95" s="19"/>
      <x:c r="D95" s="19"/>
      <x:c r="E95" s="19"/>
      <x:c r="F95" s="62"/>
      <x:c r="G95" s="24"/>
      <x:c r="H95" s="19"/>
      <x:c r="I95" s="26"/>
      <x:c r="J95" s="19"/>
    </x:row>
    <x:row r="96">
      <x:c r="A96" s="19"/>
      <x:c r="B96" s="19"/>
      <x:c r="C96" s="19"/>
      <x:c r="D96" s="19"/>
      <x:c r="E96" s="19"/>
      <x:c r="F96" s="62"/>
      <x:c r="G96" s="24"/>
      <x:c r="H96" s="19"/>
      <x:c r="I96" s="26"/>
      <x:c r="J96" s="19"/>
    </x:row>
    <x:row r="97">
      <x:c r="A97" s="19"/>
      <x:c r="B97" s="19"/>
      <x:c r="C97" s="19"/>
      <x:c r="D97" s="19"/>
      <x:c r="E97" s="19"/>
      <x:c r="F97" s="62"/>
      <x:c r="G97" s="24"/>
      <x:c r="H97" s="19"/>
      <x:c r="I97" s="26"/>
      <x:c r="J97" s="19"/>
    </x:row>
    <x:row r="98">
      <x:c r="A98" s="19"/>
      <x:c r="B98" s="19"/>
      <x:c r="C98" s="19"/>
      <x:c r="D98" s="19"/>
      <x:c r="E98" s="19"/>
      <x:c r="F98" s="62"/>
      <x:c r="G98" s="24"/>
      <x:c r="H98" s="19"/>
      <x:c r="I98" s="26"/>
      <x:c r="J98" s="19"/>
    </x:row>
    <x:row r="99">
      <x:c r="A99" s="19"/>
      <x:c r="B99" s="19"/>
      <x:c r="C99" s="19"/>
      <x:c r="D99" s="19"/>
      <x:c r="E99" s="19"/>
      <x:c r="F99" s="62"/>
      <x:c r="G99" s="24"/>
      <x:c r="H99" s="19"/>
      <x:c r="I99" s="26"/>
      <x:c r="J99" s="19"/>
    </x:row>
    <x:row r="100">
      <x:c r="A100" s="19"/>
      <x:c r="B100" s="19"/>
      <x:c r="C100" s="19"/>
      <x:c r="D100" s="19"/>
      <x:c r="E100" s="19"/>
      <x:c r="F100" s="62"/>
      <x:c r="G100" s="24"/>
      <x:c r="H100" s="19"/>
      <x:c r="I100" s="26"/>
      <x:c r="J100" s="19"/>
    </x:row>
    <x:row r="101">
      <x:c r="A101" s="19"/>
      <x:c r="B101" s="19"/>
      <x:c r="C101" s="19"/>
      <x:c r="D101" s="19"/>
      <x:c r="E101" s="19"/>
      <x:c r="F101" s="62"/>
      <x:c r="G101" s="24"/>
      <x:c r="H101" s="19"/>
      <x:c r="I101" s="26"/>
      <x:c r="J101" s="19"/>
    </x:row>
    <x:row r="102">
      <x:c r="A102" s="19"/>
      <x:c r="B102" s="19"/>
      <x:c r="C102" s="19"/>
      <x:c r="D102" s="19"/>
      <x:c r="E102" s="19"/>
      <x:c r="F102" s="62"/>
      <x:c r="G102" s="24"/>
      <x:c r="H102" s="19"/>
      <x:c r="I102" s="26"/>
      <x:c r="J102" s="19"/>
    </x:row>
    <x:row r="103">
      <x:c r="A103" s="19"/>
      <x:c r="B103" s="19"/>
      <x:c r="C103" s="19"/>
      <x:c r="D103" s="19"/>
      <x:c r="E103" s="19"/>
      <x:c r="F103" s="62"/>
      <x:c r="G103" s="24"/>
      <x:c r="H103" s="19"/>
      <x:c r="I103" s="26"/>
      <x:c r="J103" s="19"/>
    </x:row>
    <x:row r="104">
      <x:c r="A104" s="19"/>
      <x:c r="B104" s="19"/>
      <x:c r="C104" s="19"/>
      <x:c r="D104" s="19"/>
      <x:c r="E104" s="19"/>
      <x:c r="F104" s="62"/>
      <x:c r="G104" s="24"/>
      <x:c r="H104" s="19"/>
      <x:c r="I104" s="26"/>
      <x:c r="J104" s="19"/>
    </x:row>
    <x:row r="105">
      <x:c r="A105" s="19"/>
      <x:c r="B105" s="19"/>
      <x:c r="C105" s="19"/>
      <x:c r="D105" s="19"/>
      <x:c r="E105" s="19"/>
      <x:c r="F105" s="62"/>
      <x:c r="G105" s="24"/>
      <x:c r="H105" s="19"/>
      <x:c r="I105" s="26"/>
      <x:c r="J105" s="19"/>
    </x:row>
    <x:row r="106">
      <x:c r="A106" s="19"/>
      <x:c r="B106" s="19"/>
      <x:c r="C106" s="19"/>
      <x:c r="D106" s="19"/>
      <x:c r="E106" s="19"/>
      <x:c r="F106" s="62"/>
      <x:c r="G106" s="24"/>
      <x:c r="H106" s="19"/>
      <x:c r="I106" s="26"/>
      <x:c r="J106" s="19"/>
    </x:row>
    <x:row r="107">
      <x:c r="A107" s="19"/>
      <x:c r="B107" s="19"/>
      <x:c r="C107" s="19"/>
      <x:c r="D107" s="19"/>
      <x:c r="E107" s="19"/>
      <x:c r="F107" s="62"/>
      <x:c r="G107" s="24"/>
      <x:c r="H107" s="19"/>
      <x:c r="I107" s="26"/>
      <x:c r="J107" s="19"/>
    </x:row>
    <x:row r="108">
      <x:c r="A108" s="19"/>
      <x:c r="B108" s="19"/>
      <x:c r="C108" s="19"/>
      <x:c r="D108" s="19"/>
      <x:c r="E108" s="19"/>
      <x:c r="F108" s="62"/>
      <x:c r="G108" s="24"/>
      <x:c r="H108" s="19"/>
      <x:c r="I108" s="26"/>
      <x:c r="J108" s="19"/>
    </x:row>
    <x:row r="109">
      <x:c r="A109" s="19"/>
      <x:c r="B109" s="19"/>
      <x:c r="C109" s="19"/>
      <x:c r="D109" s="19"/>
      <x:c r="E109" s="19"/>
      <x:c r="F109" s="62"/>
      <x:c r="G109" s="24"/>
      <x:c r="H109" s="19"/>
      <x:c r="I109" s="26"/>
      <x:c r="J109" s="19"/>
    </x:row>
    <x:row r="110">
      <x:c r="A110" s="19"/>
      <x:c r="B110" s="19"/>
      <x:c r="C110" s="19"/>
      <x:c r="D110" s="19"/>
      <x:c r="E110" s="19"/>
      <x:c r="F110" s="62"/>
      <x:c r="G110" s="24"/>
      <x:c r="H110" s="19"/>
      <x:c r="I110" s="26"/>
      <x:c r="J110" s="19"/>
    </x:row>
    <x:row r="111">
      <x:c r="A111" s="19"/>
      <x:c r="B111" s="19"/>
      <x:c r="C111" s="19"/>
      <x:c r="D111" s="19"/>
      <x:c r="E111" s="19"/>
      <x:c r="F111" s="62"/>
      <x:c r="G111" s="24"/>
      <x:c r="H111" s="19"/>
      <x:c r="I111" s="26"/>
      <x:c r="J111" s="19"/>
    </x:row>
    <x:row r="112">
      <x:c r="A112" s="19"/>
      <x:c r="B112" s="19"/>
      <x:c r="C112" s="19"/>
      <x:c r="D112" s="19"/>
      <x:c r="E112" s="19"/>
      <x:c r="F112" s="62"/>
      <x:c r="G112" s="24"/>
      <x:c r="H112" s="19"/>
      <x:c r="I112" s="26"/>
      <x:c r="J112" s="19"/>
    </x:row>
    <x:row r="113">
      <x:c r="A113" s="19"/>
      <x:c r="B113" s="19"/>
      <x:c r="C113" s="19"/>
      <x:c r="D113" s="19"/>
      <x:c r="E113" s="19"/>
      <x:c r="F113" s="62"/>
      <x:c r="G113" s="24"/>
      <x:c r="H113" s="19"/>
      <x:c r="I113" s="26"/>
      <x:c r="J113" s="19"/>
    </x:row>
    <x:row r="114">
      <x:c r="A114" s="19"/>
      <x:c r="B114" s="19"/>
      <x:c r="C114" s="19"/>
      <x:c r="D114" s="19"/>
      <x:c r="E114" s="19"/>
      <x:c r="F114" s="62"/>
      <x:c r="G114" s="24"/>
      <x:c r="H114" s="19"/>
      <x:c r="I114" s="26"/>
      <x:c r="J114" s="19"/>
    </x:row>
    <x:row r="115">
      <x:c r="A115" s="19"/>
      <x:c r="B115" s="19"/>
      <x:c r="C115" s="19"/>
      <x:c r="D115" s="19"/>
      <x:c r="E115" s="19"/>
      <x:c r="F115" s="62"/>
      <x:c r="G115" s="24"/>
      <x:c r="H115" s="19"/>
      <x:c r="I115" s="26"/>
      <x:c r="J115" s="19"/>
    </x:row>
    <x:row r="116">
      <x:c r="A116" s="19"/>
      <x:c r="B116" s="19"/>
      <x:c r="C116" s="19"/>
      <x:c r="D116" s="19"/>
      <x:c r="E116" s="19"/>
      <x:c r="F116" s="62"/>
      <x:c r="G116" s="24"/>
      <x:c r="H116" s="19"/>
      <x:c r="I116" s="26"/>
      <x:c r="J116" s="19"/>
    </x:row>
    <x:row r="117">
      <x:c r="A117" s="19"/>
      <x:c r="B117" s="19"/>
      <x:c r="C117" s="19"/>
      <x:c r="D117" s="19"/>
      <x:c r="E117" s="19"/>
      <x:c r="F117" s="62"/>
      <x:c r="G117" s="24"/>
      <x:c r="H117" s="19"/>
      <x:c r="I117" s="26"/>
      <x:c r="J117" s="19"/>
    </x:row>
    <x:row r="118">
      <x:c r="A118" s="19"/>
      <x:c r="B118" s="19"/>
      <x:c r="C118" s="19"/>
      <x:c r="D118" s="19"/>
      <x:c r="E118" s="19"/>
      <x:c r="F118" s="62"/>
      <x:c r="G118" s="24"/>
      <x:c r="H118" s="19"/>
      <x:c r="I118" s="26"/>
      <x:c r="J118" s="19"/>
    </x:row>
    <x:row r="119">
      <x:c r="A119" s="19"/>
      <x:c r="B119" s="19"/>
      <x:c r="C119" s="19"/>
      <x:c r="D119" s="19"/>
      <x:c r="E119" s="19"/>
      <x:c r="F119" s="62"/>
      <x:c r="G119" s="24"/>
      <x:c r="H119" s="19"/>
      <x:c r="I119" s="26"/>
      <x:c r="J119" s="19"/>
    </x:row>
    <x:row r="120">
      <x:c r="A120" s="19"/>
      <x:c r="B120" s="19"/>
      <x:c r="C120" s="19"/>
      <x:c r="D120" s="19"/>
      <x:c r="E120" s="19"/>
      <x:c r="F120" s="62"/>
      <x:c r="G120" s="24"/>
      <x:c r="H120" s="19"/>
      <x:c r="I120" s="26"/>
      <x:c r="J120" s="19"/>
    </x:row>
    <x:row r="121">
      <x:c r="A121" s="19"/>
      <x:c r="B121" s="19"/>
      <x:c r="C121" s="19"/>
      <x:c r="D121" s="19"/>
      <x:c r="E121" s="19"/>
      <x:c r="F121" s="62"/>
      <x:c r="G121" s="24"/>
      <x:c r="H121" s="19"/>
      <x:c r="I121" s="26"/>
      <x:c r="J121" s="19"/>
    </x:row>
    <x:row r="122">
      <x:c r="A122" s="19"/>
      <x:c r="B122" s="19"/>
      <x:c r="C122" s="19"/>
      <x:c r="D122" s="19"/>
      <x:c r="E122" s="19"/>
      <x:c r="F122" s="62"/>
      <x:c r="G122" s="24"/>
      <x:c r="H122" s="19"/>
      <x:c r="I122" s="26"/>
      <x:c r="J122" s="19"/>
    </x:row>
    <x:row r="123">
      <x:c r="A123" s="19"/>
      <x:c r="B123" s="19"/>
      <x:c r="C123" s="19"/>
      <x:c r="D123" s="19"/>
      <x:c r="E123" s="19"/>
      <x:c r="F123" s="62"/>
      <x:c r="G123" s="24"/>
      <x:c r="H123" s="19"/>
      <x:c r="I123" s="26"/>
      <x:c r="J123" s="19"/>
    </x:row>
    <x:row r="124">
      <x:c r="A124" s="19"/>
      <x:c r="B124" s="19"/>
      <x:c r="C124" s="19"/>
      <x:c r="D124" s="19"/>
      <x:c r="E124" s="19"/>
      <x:c r="F124" s="62"/>
      <x:c r="G124" s="24"/>
      <x:c r="H124" s="19"/>
      <x:c r="I124" s="26"/>
      <x:c r="J124" s="19"/>
    </x:row>
    <x:row r="125">
      <x:c r="A125" s="19"/>
      <x:c r="B125" s="19"/>
      <x:c r="C125" s="19"/>
      <x:c r="D125" s="19"/>
      <x:c r="E125" s="19"/>
      <x:c r="F125" s="62"/>
      <x:c r="G125" s="24"/>
      <x:c r="H125" s="19"/>
      <x:c r="I125" s="26"/>
      <x:c r="J125" s="19"/>
    </x:row>
    <x:row r="126">
      <x:c r="A126" s="19"/>
      <x:c r="B126" s="19"/>
      <x:c r="C126" s="19"/>
      <x:c r="D126" s="19"/>
      <x:c r="E126" s="19"/>
      <x:c r="F126" s="62"/>
      <x:c r="G126" s="24"/>
      <x:c r="H126" s="19"/>
      <x:c r="I126" s="26"/>
      <x:c r="J126" s="19"/>
    </x:row>
    <x:row r="127">
      <x:c r="A127" s="19"/>
      <x:c r="B127" s="19"/>
      <x:c r="C127" s="19"/>
      <x:c r="D127" s="19"/>
      <x:c r="E127" s="19"/>
      <x:c r="F127" s="62"/>
      <x:c r="G127" s="24"/>
      <x:c r="H127" s="19"/>
      <x:c r="I127" s="26"/>
      <x:c r="J127" s="19"/>
    </x:row>
    <x:row r="128">
      <x:c r="A128" s="19"/>
      <x:c r="B128" s="19"/>
      <x:c r="C128" s="19"/>
      <x:c r="D128" s="19"/>
      <x:c r="E128" s="19"/>
      <x:c r="F128" s="62"/>
      <x:c r="G128" s="24"/>
      <x:c r="H128" s="19"/>
      <x:c r="I128" s="26"/>
      <x:c r="J128" s="19"/>
    </x:row>
    <x:row r="129">
      <x:c r="A129" s="19"/>
      <x:c r="B129" s="19"/>
      <x:c r="C129" s="19"/>
      <x:c r="D129" s="19"/>
      <x:c r="E129" s="19"/>
      <x:c r="F129" s="62"/>
      <x:c r="G129" s="24"/>
      <x:c r="H129" s="19"/>
      <x:c r="I129" s="26"/>
      <x:c r="J129" s="19"/>
    </x:row>
    <x:row r="130">
      <x:c r="A130" s="19"/>
      <x:c r="B130" s="19"/>
      <x:c r="C130" s="19"/>
      <x:c r="D130" s="19"/>
      <x:c r="E130" s="19"/>
      <x:c r="F130" s="62"/>
      <x:c r="G130" s="24"/>
      <x:c r="H130" s="19"/>
      <x:c r="I130" s="26"/>
      <x:c r="J130" s="19"/>
    </x:row>
    <x:row r="131">
      <x:c r="A131" s="19"/>
      <x:c r="B131" s="19"/>
      <x:c r="C131" s="19"/>
      <x:c r="D131" s="19"/>
      <x:c r="E131" s="19"/>
      <x:c r="F131" s="62"/>
      <x:c r="G131" s="24"/>
      <x:c r="H131" s="19"/>
      <x:c r="I131" s="26"/>
      <x:c r="J131" s="19"/>
    </x:row>
    <x:row r="132">
      <x:c r="A132" s="19"/>
      <x:c r="B132" s="19"/>
      <x:c r="C132" s="19"/>
      <x:c r="D132" s="19"/>
      <x:c r="E132" s="19"/>
      <x:c r="F132" s="62"/>
      <x:c r="G132" s="24"/>
      <x:c r="H132" s="19"/>
      <x:c r="I132" s="26"/>
      <x:c r="J132" s="19"/>
    </x:row>
    <x:row r="133">
      <x:c r="A133" s="19"/>
      <x:c r="B133" s="19"/>
      <x:c r="C133" s="19"/>
      <x:c r="D133" s="19"/>
      <x:c r="E133" s="19"/>
      <x:c r="F133" s="62"/>
      <x:c r="G133" s="24"/>
      <x:c r="H133" s="19"/>
      <x:c r="I133" s="26"/>
      <x:c r="J133" s="19"/>
    </x:row>
    <x:row r="134">
      <x:c r="A134" s="19"/>
      <x:c r="B134" s="19"/>
      <x:c r="C134" s="19"/>
      <x:c r="D134" s="19"/>
      <x:c r="E134" s="19"/>
      <x:c r="F134" s="62"/>
      <x:c r="G134" s="24"/>
      <x:c r="H134" s="19"/>
      <x:c r="I134" s="26"/>
      <x:c r="J134" s="19"/>
    </x:row>
    <x:row r="135">
      <x:c r="A135" s="19"/>
      <x:c r="B135" s="19"/>
      <x:c r="C135" s="19"/>
      <x:c r="D135" s="19"/>
      <x:c r="E135" s="19"/>
      <x:c r="F135" s="62"/>
      <x:c r="G135" s="24"/>
      <x:c r="H135" s="19"/>
      <x:c r="I135" s="26"/>
      <x:c r="J135" s="19"/>
    </x:row>
    <x:row r="136">
      <x:c r="A136" s="19"/>
      <x:c r="B136" s="19"/>
      <x:c r="C136" s="19"/>
      <x:c r="D136" s="19"/>
      <x:c r="E136" s="19"/>
      <x:c r="F136" s="62"/>
      <x:c r="G136" s="24"/>
      <x:c r="H136" s="19"/>
      <x:c r="I136" s="26"/>
      <x:c r="J136" s="19"/>
    </x:row>
    <x:row r="137">
      <x:c r="A137" s="19"/>
      <x:c r="B137" s="19"/>
      <x:c r="C137" s="19"/>
      <x:c r="D137" s="19"/>
      <x:c r="E137" s="19"/>
      <x:c r="F137" s="62"/>
      <x:c r="G137" s="24"/>
      <x:c r="H137" s="19"/>
      <x:c r="I137" s="26"/>
      <x:c r="J137" s="19"/>
    </x:row>
    <x:row r="138">
      <x:c r="A138" s="19"/>
      <x:c r="B138" s="19"/>
      <x:c r="C138" s="19"/>
      <x:c r="D138" s="19"/>
      <x:c r="E138" s="19"/>
      <x:c r="F138" s="62"/>
      <x:c r="G138" s="24"/>
      <x:c r="H138" s="19"/>
      <x:c r="I138" s="26"/>
      <x:c r="J138" s="19"/>
    </x:row>
    <x:row r="139">
      <x:c r="A139" s="19"/>
      <x:c r="B139" s="19"/>
      <x:c r="C139" s="19"/>
      <x:c r="D139" s="19"/>
      <x:c r="E139" s="19"/>
      <x:c r="F139" s="62"/>
      <x:c r="G139" s="24"/>
      <x:c r="H139" s="19"/>
      <x:c r="I139" s="26"/>
      <x:c r="J139" s="19"/>
    </x:row>
    <x:row r="140">
      <x:c r="A140" s="19"/>
      <x:c r="B140" s="19"/>
      <x:c r="C140" s="19"/>
      <x:c r="D140" s="19"/>
      <x:c r="E140" s="19"/>
      <x:c r="F140" s="62"/>
      <x:c r="G140" s="24"/>
      <x:c r="H140" s="19"/>
      <x:c r="I140" s="26"/>
      <x:c r="J140" s="19"/>
    </x:row>
    <x:row r="141">
      <x:c r="A141" s="19"/>
      <x:c r="B141" s="19"/>
      <x:c r="C141" s="19"/>
      <x:c r="D141" s="19"/>
      <x:c r="E141" s="19"/>
      <x:c r="F141" s="62"/>
      <x:c r="G141" s="24"/>
      <x:c r="H141" s="19"/>
      <x:c r="I141" s="26"/>
      <x:c r="J141" s="19"/>
    </x:row>
    <x:row r="142">
      <x:c r="A142" s="19"/>
      <x:c r="B142" s="19"/>
      <x:c r="C142" s="19"/>
      <x:c r="D142" s="19"/>
      <x:c r="E142" s="19"/>
      <x:c r="F142" s="62"/>
      <x:c r="G142" s="24"/>
      <x:c r="H142" s="19"/>
      <x:c r="I142" s="26"/>
      <x:c r="J142" s="19"/>
    </x:row>
    <x:row r="143">
      <x:c r="A143" s="19"/>
      <x:c r="B143" s="19"/>
      <x:c r="C143" s="19"/>
      <x:c r="D143" s="19"/>
      <x:c r="E143" s="19"/>
      <x:c r="F143" s="62"/>
      <x:c r="G143" s="24"/>
      <x:c r="H143" s="19"/>
      <x:c r="I143" s="26"/>
      <x:c r="J143" s="19"/>
    </x:row>
    <x:row r="144">
      <x:c r="A144" s="19"/>
      <x:c r="B144" s="19"/>
      <x:c r="C144" s="19"/>
      <x:c r="D144" s="19"/>
      <x:c r="E144" s="19"/>
      <x:c r="F144" s="62"/>
      <x:c r="G144" s="24"/>
      <x:c r="H144" s="19"/>
      <x:c r="I144" s="26"/>
      <x:c r="J144" s="19"/>
    </x:row>
    <x:row r="145">
      <x:c r="A145" s="19"/>
      <x:c r="B145" s="19"/>
      <x:c r="C145" s="19"/>
      <x:c r="D145" s="19"/>
      <x:c r="E145" s="19"/>
      <x:c r="F145" s="62"/>
      <x:c r="G145" s="24"/>
      <x:c r="H145" s="19"/>
      <x:c r="I145" s="26"/>
      <x:c r="J145" s="19"/>
    </x:row>
    <x:row r="146">
      <x:c r="A146" s="19"/>
      <x:c r="B146" s="19"/>
      <x:c r="C146" s="19"/>
      <x:c r="D146" s="19"/>
      <x:c r="E146" s="19"/>
      <x:c r="F146" s="62"/>
      <x:c r="G146" s="24"/>
      <x:c r="H146" s="19"/>
      <x:c r="I146" s="26"/>
      <x:c r="J146" s="19"/>
    </x:row>
    <x:row r="147">
      <x:c r="A147" s="19"/>
      <x:c r="B147" s="19"/>
      <x:c r="C147" s="19"/>
      <x:c r="D147" s="19"/>
      <x:c r="E147" s="19"/>
      <x:c r="F147" s="62"/>
      <x:c r="G147" s="24"/>
      <x:c r="H147" s="19"/>
      <x:c r="I147" s="26"/>
      <x:c r="J147" s="19"/>
    </x:row>
    <x:row r="148">
      <x:c r="A148" s="19"/>
      <x:c r="B148" s="19"/>
      <x:c r="C148" s="19"/>
      <x:c r="D148" s="19"/>
      <x:c r="E148" s="19"/>
      <x:c r="F148" s="62"/>
      <x:c r="G148" s="24"/>
      <x:c r="H148" s="19"/>
      <x:c r="I148" s="26"/>
      <x:c r="J148" s="19"/>
    </x:row>
    <x:row r="149">
      <x:c r="A149" s="19"/>
      <x:c r="B149" s="19"/>
      <x:c r="C149" s="19"/>
      <x:c r="D149" s="19"/>
      <x:c r="E149" s="19"/>
      <x:c r="F149" s="62"/>
      <x:c r="G149" s="24"/>
      <x:c r="H149" s="19"/>
      <x:c r="I149" s="26"/>
      <x:c r="J149" s="19"/>
    </x:row>
    <x:row r="150">
      <x:c r="A150" s="19"/>
      <x:c r="B150" s="19"/>
      <x:c r="C150" s="19"/>
      <x:c r="D150" s="19"/>
      <x:c r="E150" s="19"/>
      <x:c r="F150" s="62"/>
      <x:c r="G150" s="24"/>
      <x:c r="H150" s="19"/>
      <x:c r="I150" s="26"/>
      <x:c r="J150" s="19"/>
    </x:row>
    <x:row r="151">
      <x:c r="A151" s="19"/>
      <x:c r="B151" s="19"/>
      <x:c r="C151" s="19"/>
      <x:c r="D151" s="19"/>
      <x:c r="E151" s="19"/>
      <x:c r="F151" s="62"/>
      <x:c r="G151" s="24"/>
      <x:c r="H151" s="19"/>
      <x:c r="I151" s="26"/>
      <x:c r="J151" s="19"/>
    </x:row>
    <x:row r="152">
      <x:c r="A152" s="19"/>
      <x:c r="B152" s="19"/>
      <x:c r="C152" s="19"/>
      <x:c r="D152" s="19"/>
      <x:c r="E152" s="19"/>
      <x:c r="F152" s="62"/>
      <x:c r="G152" s="24"/>
      <x:c r="H152" s="19"/>
      <x:c r="I152" s="26"/>
      <x:c r="J152" s="19"/>
    </x:row>
    <x:row r="153">
      <x:c r="A153" s="19"/>
      <x:c r="B153" s="19"/>
      <x:c r="C153" s="19"/>
      <x:c r="D153" s="19"/>
      <x:c r="E153" s="19"/>
      <x:c r="F153" s="62"/>
      <x:c r="G153" s="24"/>
      <x:c r="H153" s="19"/>
      <x:c r="I153" s="26"/>
      <x:c r="J153" s="19"/>
    </x:row>
    <x:row r="154">
      <x:c r="A154" s="19"/>
      <x:c r="B154" s="19"/>
      <x:c r="C154" s="19"/>
      <x:c r="D154" s="19"/>
      <x:c r="E154" s="19"/>
      <x:c r="F154" s="62"/>
      <x:c r="G154" s="24"/>
      <x:c r="H154" s="19"/>
      <x:c r="I154" s="26"/>
      <x:c r="J154" s="19"/>
    </x:row>
    <x:row r="155">
      <x:c r="A155" s="19"/>
      <x:c r="B155" s="19"/>
      <x:c r="C155" s="19"/>
      <x:c r="D155" s="19"/>
      <x:c r="E155" s="19"/>
      <x:c r="F155" s="62"/>
      <x:c r="G155" s="24"/>
      <x:c r="H155" s="19"/>
      <x:c r="I155" s="26"/>
      <x:c r="J155" s="19"/>
    </x:row>
    <x:row r="156">
      <x:c r="A156" s="19"/>
      <x:c r="B156" s="19"/>
      <x:c r="C156" s="19"/>
      <x:c r="D156" s="19"/>
      <x:c r="E156" s="19"/>
      <x:c r="F156" s="62"/>
      <x:c r="G156" s="24"/>
      <x:c r="H156" s="19"/>
      <x:c r="I156" s="26"/>
      <x:c r="J156" s="19"/>
    </x:row>
    <x:row r="157">
      <x:c r="A157" s="19"/>
      <x:c r="B157" s="19"/>
      <x:c r="C157" s="19"/>
      <x:c r="D157" s="19"/>
      <x:c r="E157" s="19"/>
      <x:c r="F157" s="62"/>
      <x:c r="G157" s="24"/>
      <x:c r="H157" s="19"/>
      <x:c r="I157" s="26"/>
      <x:c r="J157" s="19"/>
    </x:row>
    <x:row r="158">
      <x:c r="A158" s="19"/>
      <x:c r="B158" s="19"/>
      <x:c r="C158" s="19"/>
      <x:c r="D158" s="19"/>
      <x:c r="E158" s="19"/>
      <x:c r="F158" s="62"/>
      <x:c r="G158" s="24"/>
      <x:c r="H158" s="19"/>
      <x:c r="I158" s="26"/>
      <x:c r="J158" s="19"/>
    </x:row>
    <x:row r="159">
      <x:c r="A159" s="19"/>
      <x:c r="B159" s="19"/>
      <x:c r="C159" s="19"/>
      <x:c r="D159" s="19"/>
      <x:c r="E159" s="19"/>
      <x:c r="F159" s="62"/>
      <x:c r="G159" s="24"/>
      <x:c r="H159" s="19"/>
      <x:c r="I159" s="26"/>
      <x:c r="J159" s="19"/>
    </x:row>
    <x:row r="160">
      <x:c r="A160" s="19"/>
      <x:c r="B160" s="19"/>
      <x:c r="C160" s="19"/>
      <x:c r="D160" s="19"/>
      <x:c r="E160" s="19"/>
      <x:c r="F160" s="62"/>
      <x:c r="G160" s="24"/>
      <x:c r="H160" s="19"/>
      <x:c r="I160" s="26"/>
      <x:c r="J160" s="19"/>
    </x:row>
    <x:row r="161">
      <x:c r="A161" s="19"/>
      <x:c r="B161" s="19"/>
      <x:c r="C161" s="19"/>
      <x:c r="D161" s="19"/>
      <x:c r="E161" s="19"/>
      <x:c r="F161" s="62"/>
      <x:c r="G161" s="24"/>
      <x:c r="H161" s="19"/>
      <x:c r="I161" s="26"/>
      <x:c r="J161" s="19"/>
    </x:row>
    <x:row r="162">
      <x:c r="A162" s="19"/>
      <x:c r="B162" s="19"/>
      <x:c r="C162" s="19"/>
      <x:c r="D162" s="19"/>
      <x:c r="E162" s="19"/>
      <x:c r="F162" s="62"/>
      <x:c r="G162" s="24"/>
      <x:c r="H162" s="19"/>
      <x:c r="I162" s="26"/>
      <x:c r="J162" s="19"/>
    </x:row>
    <x:row r="163">
      <x:c r="A163" s="19"/>
      <x:c r="B163" s="19"/>
      <x:c r="C163" s="19"/>
      <x:c r="D163" s="19"/>
      <x:c r="E163" s="19"/>
      <x:c r="F163" s="62"/>
      <x:c r="G163" s="24"/>
      <x:c r="H163" s="19"/>
      <x:c r="I163" s="26"/>
      <x:c r="J163" s="19"/>
    </x:row>
    <x:row r="164">
      <x:c r="A164" s="19"/>
      <x:c r="B164" s="19"/>
      <x:c r="C164" s="19"/>
      <x:c r="D164" s="19"/>
      <x:c r="E164" s="19"/>
      <x:c r="F164" s="62"/>
      <x:c r="G164" s="24"/>
      <x:c r="H164" s="19"/>
      <x:c r="I164" s="26"/>
      <x:c r="J164" s="19"/>
    </x:row>
    <x:row r="165">
      <x:c r="A165" s="19"/>
      <x:c r="B165" s="19"/>
      <x:c r="C165" s="19"/>
      <x:c r="D165" s="19"/>
      <x:c r="E165" s="19"/>
      <x:c r="F165" s="62"/>
      <x:c r="G165" s="24"/>
      <x:c r="H165" s="19"/>
      <x:c r="I165" s="26"/>
      <x:c r="J165" s="19"/>
    </x:row>
    <x:row r="166">
      <x:c r="A166" s="19"/>
      <x:c r="B166" s="19"/>
      <x:c r="C166" s="19"/>
      <x:c r="D166" s="19"/>
      <x:c r="E166" s="19"/>
      <x:c r="F166" s="62"/>
      <x:c r="G166" s="24"/>
      <x:c r="H166" s="19"/>
      <x:c r="I166" s="26"/>
      <x:c r="J166" s="19"/>
    </x:row>
    <x:row r="167">
      <x:c r="A167" s="19"/>
      <x:c r="B167" s="19"/>
      <x:c r="C167" s="19"/>
      <x:c r="D167" s="19"/>
      <x:c r="E167" s="19"/>
      <x:c r="F167" s="62"/>
      <x:c r="G167" s="24"/>
      <x:c r="H167" s="19"/>
      <x:c r="I167" s="26"/>
      <x:c r="J167" s="19"/>
    </x:row>
    <x:row r="168">
      <x:c r="A168" s="19"/>
      <x:c r="B168" s="19"/>
      <x:c r="C168" s="19"/>
      <x:c r="D168" s="19"/>
      <x:c r="E168" s="19"/>
      <x:c r="F168" s="62"/>
      <x:c r="G168" s="24"/>
      <x:c r="H168" s="19"/>
      <x:c r="I168" s="26"/>
      <x:c r="J168" s="19"/>
    </x:row>
    <x:row r="169">
      <x:c r="A169" s="19"/>
      <x:c r="B169" s="19"/>
      <x:c r="C169" s="19"/>
      <x:c r="D169" s="19"/>
      <x:c r="E169" s="19"/>
      <x:c r="F169" s="62"/>
      <x:c r="G169" s="24"/>
      <x:c r="H169" s="19"/>
      <x:c r="I169" s="26"/>
      <x:c r="J169" s="19"/>
    </x:row>
    <x:row r="170">
      <x:c r="A170" s="19"/>
      <x:c r="B170" s="19"/>
      <x:c r="C170" s="19"/>
      <x:c r="D170" s="19"/>
      <x:c r="E170" s="19"/>
      <x:c r="F170" s="62"/>
      <x:c r="G170" s="24"/>
      <x:c r="H170" s="19"/>
      <x:c r="I170" s="26"/>
      <x:c r="J170" s="19"/>
    </x:row>
    <x:row r="171">
      <x:c r="A171" s="19"/>
      <x:c r="B171" s="19"/>
      <x:c r="C171" s="19"/>
      <x:c r="D171" s="19"/>
      <x:c r="E171" s="19"/>
      <x:c r="F171" s="62"/>
      <x:c r="G171" s="24"/>
      <x:c r="H171" s="19"/>
      <x:c r="I171" s="26"/>
      <x:c r="J171" s="19"/>
    </x:row>
    <x:row r="172">
      <x:c r="A172" s="19"/>
      <x:c r="B172" s="19"/>
      <x:c r="C172" s="19"/>
      <x:c r="D172" s="19"/>
      <x:c r="E172" s="19"/>
      <x:c r="F172" s="62"/>
      <x:c r="G172" s="24"/>
      <x:c r="H172" s="19"/>
      <x:c r="I172" s="26"/>
      <x:c r="J172" s="19"/>
    </x:row>
    <x:row r="173">
      <x:c r="A173" s="19"/>
      <x:c r="B173" s="19"/>
      <x:c r="C173" s="19"/>
      <x:c r="D173" s="19"/>
      <x:c r="E173" s="19"/>
      <x:c r="F173" s="62"/>
      <x:c r="G173" s="24"/>
      <x:c r="H173" s="19"/>
      <x:c r="I173" s="26"/>
      <x:c r="J173" s="19"/>
    </x:row>
    <x:row r="174">
      <x:c r="A174" s="19"/>
      <x:c r="B174" s="19"/>
      <x:c r="C174" s="19"/>
      <x:c r="D174" s="19"/>
      <x:c r="E174" s="19"/>
      <x:c r="F174" s="62"/>
      <x:c r="G174" s="24"/>
      <x:c r="H174" s="19"/>
      <x:c r="I174" s="26"/>
      <x:c r="J174" s="19"/>
    </x:row>
    <x:row r="175">
      <x:c r="A175" s="19"/>
      <x:c r="B175" s="19"/>
      <x:c r="C175" s="19"/>
      <x:c r="D175" s="19"/>
      <x:c r="E175" s="19"/>
      <x:c r="F175" s="62"/>
      <x:c r="G175" s="24"/>
      <x:c r="H175" s="19"/>
      <x:c r="I175" s="26"/>
      <x:c r="J175" s="19"/>
    </x:row>
    <x:row r="176">
      <x:c r="A176" s="19"/>
      <x:c r="B176" s="19"/>
      <x:c r="C176" s="19"/>
      <x:c r="D176" s="19"/>
      <x:c r="E176" s="19"/>
      <x:c r="F176" s="62"/>
      <x:c r="G176" s="24"/>
      <x:c r="H176" s="19"/>
      <x:c r="I176" s="26"/>
      <x:c r="J176" s="19"/>
    </x:row>
    <x:row r="177">
      <x:c r="A177" s="19"/>
      <x:c r="B177" s="19"/>
      <x:c r="C177" s="19"/>
      <x:c r="D177" s="19"/>
      <x:c r="E177" s="19"/>
      <x:c r="F177" s="62"/>
      <x:c r="G177" s="24"/>
      <x:c r="H177" s="19"/>
      <x:c r="I177" s="26"/>
      <x:c r="J177" s="19"/>
    </x:row>
    <x:row r="178">
      <x:c r="A178" s="19"/>
      <x:c r="B178" s="19"/>
      <x:c r="C178" s="19"/>
      <x:c r="D178" s="19"/>
      <x:c r="E178" s="19"/>
      <x:c r="F178" s="62"/>
      <x:c r="G178" s="24"/>
      <x:c r="H178" s="19"/>
      <x:c r="I178" s="26"/>
      <x:c r="J178" s="19"/>
    </x:row>
    <x:row r="179">
      <x:c r="A179" s="19"/>
      <x:c r="B179" s="19"/>
      <x:c r="C179" s="19"/>
      <x:c r="D179" s="19"/>
      <x:c r="E179" s="19"/>
      <x:c r="F179" s="62"/>
      <x:c r="G179" s="24"/>
      <x:c r="H179" s="19"/>
      <x:c r="I179" s="26"/>
      <x:c r="J179" s="19"/>
    </x:row>
    <x:row r="180">
      <x:c r="A180" s="19"/>
      <x:c r="B180" s="19"/>
      <x:c r="C180" s="19"/>
      <x:c r="D180" s="19"/>
      <x:c r="E180" s="19"/>
      <x:c r="F180" s="62"/>
      <x:c r="G180" s="24"/>
      <x:c r="H180" s="19"/>
      <x:c r="I180" s="26"/>
      <x:c r="J180" s="19"/>
    </x:row>
    <x:row r="181">
      <x:c r="A181" s="19"/>
      <x:c r="B181" s="19"/>
      <x:c r="C181" s="19"/>
      <x:c r="D181" s="19"/>
      <x:c r="E181" s="19"/>
      <x:c r="F181" s="62"/>
      <x:c r="G181" s="24"/>
      <x:c r="H181" s="19"/>
      <x:c r="I181" s="26"/>
      <x:c r="J181" s="19"/>
    </x:row>
    <x:row r="182">
      <x:c r="A182" s="19"/>
      <x:c r="B182" s="19"/>
      <x:c r="C182" s="19"/>
      <x:c r="D182" s="19"/>
      <x:c r="E182" s="19"/>
      <x:c r="F182" s="62"/>
      <x:c r="G182" s="24"/>
      <x:c r="H182" s="19"/>
      <x:c r="I182" s="26"/>
      <x:c r="J182" s="19"/>
    </x:row>
    <x:row r="183">
      <x:c r="A183" s="19"/>
      <x:c r="B183" s="19"/>
      <x:c r="C183" s="19"/>
      <x:c r="D183" s="19"/>
      <x:c r="E183" s="19"/>
      <x:c r="F183" s="62"/>
      <x:c r="G183" s="24"/>
      <x:c r="H183" s="19"/>
      <x:c r="I183" s="26"/>
      <x:c r="J183" s="19"/>
    </x:row>
    <x:row r="184">
      <x:c r="A184" s="19"/>
      <x:c r="B184" s="19"/>
      <x:c r="C184" s="19"/>
      <x:c r="D184" s="19"/>
      <x:c r="E184" s="19"/>
      <x:c r="F184" s="62"/>
      <x:c r="G184" s="24"/>
      <x:c r="H184" s="19"/>
      <x:c r="I184" s="26"/>
      <x:c r="J184" s="19"/>
    </x:row>
    <x:row r="185">
      <x:c r="A185" s="19"/>
      <x:c r="B185" s="19"/>
      <x:c r="C185" s="19"/>
      <x:c r="D185" s="19"/>
      <x:c r="E185" s="19"/>
      <x:c r="F185" s="62"/>
      <x:c r="G185" s="24"/>
      <x:c r="H185" s="19"/>
      <x:c r="I185" s="26"/>
      <x:c r="J185" s="19"/>
    </x:row>
    <x:row r="186">
      <x:c r="A186" s="19"/>
      <x:c r="B186" s="19"/>
      <x:c r="C186" s="19"/>
      <x:c r="D186" s="19"/>
      <x:c r="E186" s="19"/>
      <x:c r="F186" s="62"/>
      <x:c r="G186" s="24"/>
      <x:c r="H186" s="19"/>
      <x:c r="I186" s="26"/>
      <x:c r="J186" s="19"/>
    </x:row>
    <x:row r="187">
      <x:c r="A187" s="19"/>
      <x:c r="B187" s="19"/>
      <x:c r="C187" s="19"/>
      <x:c r="D187" s="19"/>
      <x:c r="E187" s="19"/>
      <x:c r="F187" s="62"/>
      <x:c r="G187" s="24"/>
      <x:c r="H187" s="19"/>
      <x:c r="I187" s="26"/>
      <x:c r="J187" s="19"/>
    </x:row>
    <x:row r="188">
      <x:c r="A188" s="19"/>
      <x:c r="B188" s="19"/>
      <x:c r="C188" s="19"/>
      <x:c r="D188" s="19"/>
      <x:c r="E188" s="19"/>
      <x:c r="F188" s="62"/>
      <x:c r="G188" s="24"/>
      <x:c r="H188" s="19"/>
      <x:c r="I188" s="26"/>
      <x:c r="J188" s="19"/>
    </x:row>
    <x:row r="189">
      <x:c r="A189" s="19"/>
      <x:c r="B189" s="19"/>
      <x:c r="C189" s="19"/>
      <x:c r="D189" s="19"/>
      <x:c r="E189" s="19"/>
      <x:c r="F189" s="62"/>
      <x:c r="G189" s="24"/>
      <x:c r="H189" s="19"/>
      <x:c r="I189" s="26"/>
      <x:c r="J189" s="19"/>
    </x:row>
    <x:row r="190">
      <x:c r="A190" s="19"/>
      <x:c r="B190" s="19"/>
      <x:c r="C190" s="19"/>
      <x:c r="D190" s="19"/>
      <x:c r="E190" s="19"/>
      <x:c r="F190" s="62"/>
      <x:c r="G190" s="24"/>
      <x:c r="H190" s="19"/>
      <x:c r="I190" s="26"/>
      <x:c r="J190" s="19"/>
    </x:row>
    <x:row r="191">
      <x:c r="A191" s="19"/>
      <x:c r="B191" s="19"/>
      <x:c r="C191" s="19"/>
      <x:c r="D191" s="19"/>
      <x:c r="E191" s="19"/>
      <x:c r="F191" s="62"/>
      <x:c r="G191" s="24"/>
      <x:c r="H191" s="19"/>
      <x:c r="I191" s="26"/>
      <x:c r="J191" s="19"/>
    </x:row>
    <x:row r="192">
      <x:c r="A192" s="19"/>
      <x:c r="B192" s="19"/>
      <x:c r="C192" s="19"/>
      <x:c r="D192" s="19"/>
      <x:c r="E192" s="19"/>
      <x:c r="F192" s="62"/>
      <x:c r="G192" s="24"/>
      <x:c r="H192" s="19"/>
      <x:c r="I192" s="26"/>
      <x:c r="J192" s="19"/>
    </x:row>
    <x:row r="193">
      <x:c r="A193" s="19"/>
      <x:c r="B193" s="19"/>
      <x:c r="C193" s="19"/>
      <x:c r="D193" s="19"/>
      <x:c r="E193" s="19"/>
      <x:c r="F193" s="62"/>
      <x:c r="G193" s="24"/>
      <x:c r="H193" s="19"/>
      <x:c r="I193" s="26"/>
      <x:c r="J193" s="19"/>
    </x:row>
    <x:row r="194">
      <x:c r="A194" s="19"/>
      <x:c r="B194" s="19"/>
      <x:c r="C194" s="19"/>
      <x:c r="D194" s="19"/>
      <x:c r="E194" s="19"/>
      <x:c r="F194" s="62"/>
      <x:c r="G194" s="24"/>
      <x:c r="H194" s="19"/>
      <x:c r="I194" s="26"/>
      <x:c r="J194" s="19"/>
    </x:row>
    <x:row r="195">
      <x:c r="A195" s="19"/>
      <x:c r="B195" s="19"/>
      <x:c r="C195" s="19"/>
      <x:c r="D195" s="19"/>
      <x:c r="E195" s="19"/>
      <x:c r="F195" s="62"/>
      <x:c r="G195" s="24"/>
      <x:c r="H195" s="19"/>
      <x:c r="I195" s="26"/>
      <x:c r="J195" s="19"/>
    </x:row>
    <x:row r="196">
      <x:c r="A196" s="19"/>
      <x:c r="B196" s="19"/>
      <x:c r="C196" s="19"/>
      <x:c r="D196" s="19"/>
      <x:c r="E196" s="19"/>
      <x:c r="F196" s="62"/>
      <x:c r="G196" s="24"/>
      <x:c r="H196" s="19"/>
      <x:c r="I196" s="26"/>
      <x:c r="J196" s="19"/>
    </x:row>
    <x:row r="197">
      <x:c r="A197" s="19"/>
      <x:c r="B197" s="19"/>
      <x:c r="C197" s="19"/>
      <x:c r="D197" s="19"/>
      <x:c r="E197" s="19"/>
      <x:c r="F197" s="62"/>
      <x:c r="G197" s="24"/>
      <x:c r="H197" s="19"/>
      <x:c r="I197" s="26"/>
      <x:c r="J197" s="19"/>
    </x:row>
    <x:row r="198">
      <x:c r="A198" s="19"/>
      <x:c r="B198" s="19"/>
      <x:c r="C198" s="19"/>
      <x:c r="D198" s="19"/>
      <x:c r="E198" s="19"/>
      <x:c r="F198" s="62"/>
      <x:c r="G198" s="24"/>
      <x:c r="H198" s="19"/>
      <x:c r="I198" s="26"/>
      <x:c r="J198" s="19"/>
    </x:row>
    <x:row r="199">
      <x:c r="A199" s="19"/>
      <x:c r="B199" s="19"/>
      <x:c r="C199" s="19"/>
      <x:c r="D199" s="19"/>
      <x:c r="E199" s="19"/>
      <x:c r="F199" s="62"/>
      <x:c r="G199" s="24"/>
      <x:c r="H199" s="19"/>
      <x:c r="I199" s="26"/>
      <x:c r="J199" s="19"/>
    </x:row>
    <x:row r="200">
      <x:c r="A200" s="19"/>
      <x:c r="B200" s="19"/>
      <x:c r="C200" s="19"/>
      <x:c r="D200" s="19"/>
      <x:c r="E200" s="19"/>
      <x:c r="F200" s="62"/>
      <x:c r="G200" s="24"/>
      <x:c r="H200" s="19"/>
      <x:c r="I200" s="26"/>
      <x:c r="J200" s="19"/>
    </x:row>
    <x:row r="201">
      <x:c r="A201" s="19"/>
      <x:c r="B201" s="19"/>
      <x:c r="C201" s="19"/>
      <x:c r="D201" s="19"/>
      <x:c r="E201" s="19"/>
      <x:c r="F201" s="62"/>
      <x:c r="G201" s="24"/>
      <x:c r="H201" s="19"/>
      <x:c r="I201" s="26"/>
      <x:c r="J201" s="19"/>
    </x:row>
    <x:row r="202">
      <x:c r="A202" s="19"/>
      <x:c r="B202" s="19"/>
      <x:c r="C202" s="19"/>
      <x:c r="D202" s="19"/>
      <x:c r="E202" s="19"/>
      <x:c r="F202" s="62"/>
      <x:c r="G202" s="24"/>
      <x:c r="H202" s="19"/>
      <x:c r="I202" s="26"/>
      <x:c r="J202" s="19"/>
    </x:row>
    <x:row r="203">
      <x:c r="A203" s="19"/>
      <x:c r="B203" s="19"/>
      <x:c r="C203" s="19"/>
      <x:c r="D203" s="19"/>
      <x:c r="E203" s="19"/>
      <x:c r="F203" s="62"/>
      <x:c r="G203" s="24"/>
      <x:c r="H203" s="19"/>
      <x:c r="I203" s="26"/>
      <x:c r="J203" s="19"/>
    </x:row>
    <x:row r="204">
      <x:c r="A204" s="19"/>
      <x:c r="B204" s="19"/>
      <x:c r="C204" s="19"/>
      <x:c r="D204" s="19"/>
      <x:c r="E204" s="19"/>
      <x:c r="F204" s="62"/>
      <x:c r="G204" s="24"/>
      <x:c r="H204" s="19"/>
      <x:c r="I204" s="26"/>
      <x:c r="J204" s="19"/>
    </x:row>
    <x:row r="205">
      <x:c r="A205" s="19"/>
      <x:c r="B205" s="19"/>
      <x:c r="C205" s="19"/>
      <x:c r="D205" s="19"/>
      <x:c r="E205" s="19"/>
      <x:c r="F205" s="62"/>
      <x:c r="G205" s="24"/>
      <x:c r="H205" s="19"/>
      <x:c r="I205" s="26"/>
      <x:c r="J205" s="19"/>
    </x:row>
    <x:row r="206">
      <x:c r="A206" s="19"/>
      <x:c r="B206" s="19"/>
      <x:c r="C206" s="19"/>
      <x:c r="D206" s="19"/>
      <x:c r="E206" s="19"/>
      <x:c r="F206" s="62"/>
      <x:c r="G206" s="24"/>
      <x:c r="H206" s="19"/>
      <x:c r="I206" s="26"/>
      <x:c r="J206" s="19"/>
    </x:row>
    <x:row r="207">
      <x:c r="A207" s="19"/>
      <x:c r="B207" s="19"/>
      <x:c r="C207" s="19"/>
      <x:c r="D207" s="19"/>
      <x:c r="E207" s="19"/>
      <x:c r="F207" s="62"/>
      <x:c r="G207" s="24"/>
      <x:c r="H207" s="19"/>
      <x:c r="I207" s="26"/>
      <x:c r="J207" s="19"/>
    </x:row>
    <x:row r="208">
      <x:c r="A208" s="19"/>
      <x:c r="B208" s="19"/>
      <x:c r="C208" s="19"/>
      <x:c r="D208" s="19"/>
      <x:c r="E208" s="19"/>
      <x:c r="F208" s="62"/>
      <x:c r="G208" s="24"/>
      <x:c r="H208" s="19"/>
      <x:c r="I208" s="26"/>
      <x:c r="J208" s="19"/>
    </x:row>
    <x:row r="209">
      <x:c r="A209" s="19"/>
      <x:c r="B209" s="19"/>
      <x:c r="C209" s="19"/>
      <x:c r="D209" s="19"/>
      <x:c r="E209" s="19"/>
      <x:c r="F209" s="62"/>
      <x:c r="G209" s="24"/>
      <x:c r="H209" s="19"/>
      <x:c r="I209" s="26"/>
      <x:c r="J209" s="19"/>
    </x:row>
    <x:row r="210">
      <x:c r="A210" s="19"/>
      <x:c r="B210" s="19"/>
      <x:c r="C210" s="19"/>
      <x:c r="D210" s="19"/>
      <x:c r="E210" s="19"/>
      <x:c r="F210" s="62"/>
      <x:c r="G210" s="24"/>
      <x:c r="H210" s="19"/>
      <x:c r="I210" s="26"/>
      <x:c r="J210" s="19"/>
    </x:row>
    <x:row r="211">
      <x:c r="A211" s="19"/>
      <x:c r="B211" s="19"/>
      <x:c r="C211" s="19"/>
      <x:c r="D211" s="19"/>
      <x:c r="E211" s="19"/>
      <x:c r="F211" s="62"/>
      <x:c r="G211" s="24"/>
      <x:c r="H211" s="19"/>
      <x:c r="I211" s="26"/>
      <x:c r="J211" s="19"/>
    </x:row>
    <x:row r="212">
      <x:c r="A212" s="19"/>
      <x:c r="B212" s="19"/>
      <x:c r="C212" s="19"/>
      <x:c r="D212" s="19"/>
      <x:c r="E212" s="19"/>
      <x:c r="F212" s="62"/>
      <x:c r="G212" s="24"/>
      <x:c r="H212" s="19"/>
      <x:c r="I212" s="26"/>
      <x:c r="J212" s="19"/>
    </x:row>
    <x:row r="213">
      <x:c r="A213" s="19"/>
      <x:c r="B213" s="19"/>
      <x:c r="C213" s="19"/>
      <x:c r="D213" s="19"/>
      <x:c r="E213" s="19"/>
      <x:c r="F213" s="62"/>
      <x:c r="G213" s="24"/>
      <x:c r="H213" s="19"/>
      <x:c r="I213" s="26"/>
      <x:c r="J213" s="19"/>
    </x:row>
    <x:row r="214">
      <x:c r="A214" s="19"/>
      <x:c r="B214" s="19"/>
      <x:c r="C214" s="19"/>
      <x:c r="D214" s="19"/>
      <x:c r="E214" s="19"/>
      <x:c r="F214" s="62"/>
      <x:c r="G214" s="24"/>
      <x:c r="H214" s="19"/>
      <x:c r="I214" s="26"/>
      <x:c r="J214" s="19"/>
    </x:row>
    <x:row r="215">
      <x:c r="A215" s="19"/>
      <x:c r="B215" s="19"/>
      <x:c r="C215" s="19"/>
      <x:c r="D215" s="19"/>
      <x:c r="E215" s="19"/>
      <x:c r="F215" s="62"/>
      <x:c r="G215" s="24"/>
      <x:c r="H215" s="19"/>
      <x:c r="I215" s="26"/>
      <x:c r="J215" s="19"/>
    </x:row>
    <x:row r="216">
      <x:c r="A216" s="19"/>
      <x:c r="B216" s="19"/>
      <x:c r="C216" s="19"/>
      <x:c r="D216" s="19"/>
      <x:c r="E216" s="19"/>
      <x:c r="F216" s="62"/>
      <x:c r="G216" s="24"/>
      <x:c r="H216" s="19"/>
      <x:c r="I216" s="26"/>
      <x:c r="J216" s="19"/>
    </x:row>
    <x:row r="217">
      <x:c r="A217" s="19"/>
      <x:c r="B217" s="19"/>
      <x:c r="C217" s="19"/>
      <x:c r="D217" s="19"/>
      <x:c r="E217" s="19"/>
      <x:c r="F217" s="62"/>
      <x:c r="G217" s="24"/>
      <x:c r="H217" s="19"/>
      <x:c r="I217" s="26"/>
      <x:c r="J217" s="19"/>
    </x:row>
    <x:row r="218">
      <x:c r="A218" s="19"/>
      <x:c r="B218" s="19"/>
      <x:c r="C218" s="19"/>
      <x:c r="D218" s="19"/>
      <x:c r="E218" s="19"/>
      <x:c r="F218" s="62"/>
      <x:c r="G218" s="24"/>
      <x:c r="H218" s="19"/>
      <x:c r="I218" s="26"/>
      <x:c r="J218" s="19"/>
    </x:row>
    <x:row r="219">
      <x:c r="A219" s="19"/>
      <x:c r="B219" s="19"/>
      <x:c r="C219" s="19"/>
      <x:c r="D219" s="19"/>
      <x:c r="E219" s="19"/>
      <x:c r="F219" s="62"/>
      <x:c r="G219" s="24"/>
      <x:c r="H219" s="19"/>
      <x:c r="I219" s="26"/>
      <x:c r="J219" s="19"/>
    </x:row>
    <x:row r="220">
      <x:c r="A220" s="19"/>
      <x:c r="B220" s="19"/>
      <x:c r="C220" s="19"/>
      <x:c r="D220" s="19"/>
      <x:c r="E220" s="19"/>
      <x:c r="F220" s="62"/>
      <x:c r="G220" s="24"/>
      <x:c r="H220" s="19"/>
      <x:c r="I220" s="26"/>
      <x:c r="J220" s="19"/>
    </x:row>
    <x:row r="221">
      <x:c r="A221" s="19"/>
      <x:c r="B221" s="19"/>
      <x:c r="C221" s="19"/>
      <x:c r="D221" s="19"/>
      <x:c r="E221" s="19"/>
      <x:c r="F221" s="62"/>
      <x:c r="G221" s="24"/>
      <x:c r="H221" s="19"/>
      <x:c r="I221" s="26"/>
      <x:c r="J221" s="19"/>
    </x:row>
    <x:row r="222">
      <x:c r="A222" s="19"/>
      <x:c r="B222" s="19"/>
      <x:c r="C222" s="19"/>
      <x:c r="D222" s="19"/>
      <x:c r="E222" s="19"/>
      <x:c r="F222" s="62"/>
      <x:c r="G222" s="24"/>
      <x:c r="H222" s="19"/>
      <x:c r="I222" s="26"/>
      <x:c r="J222" s="19"/>
    </x:row>
    <x:row r="223">
      <x:c r="A223" s="19"/>
      <x:c r="B223" s="19"/>
      <x:c r="C223" s="19"/>
      <x:c r="D223" s="19"/>
      <x:c r="E223" s="19"/>
      <x:c r="F223" s="62"/>
      <x:c r="G223" s="24"/>
      <x:c r="H223" s="19"/>
      <x:c r="I223" s="26"/>
      <x:c r="J223" s="19"/>
    </x:row>
    <x:row r="224">
      <x:c r="A224" s="19"/>
      <x:c r="B224" s="19"/>
      <x:c r="C224" s="19"/>
      <x:c r="D224" s="19"/>
      <x:c r="E224" s="19"/>
      <x:c r="F224" s="62"/>
      <x:c r="G224" s="24"/>
      <x:c r="H224" s="19"/>
      <x:c r="I224" s="26"/>
      <x:c r="J224" s="19"/>
    </x:row>
    <x:row r="225">
      <x:c r="A225" s="19"/>
      <x:c r="B225" s="19"/>
      <x:c r="C225" s="19"/>
      <x:c r="D225" s="19"/>
      <x:c r="E225" s="19"/>
      <x:c r="F225" s="62"/>
      <x:c r="G225" s="24"/>
      <x:c r="H225" s="19"/>
      <x:c r="I225" s="26"/>
      <x:c r="J225" s="19"/>
    </x:row>
    <x:row r="226">
      <x:c r="A226" s="19"/>
      <x:c r="B226" s="19"/>
      <x:c r="C226" s="19"/>
      <x:c r="D226" s="19"/>
      <x:c r="E226" s="19"/>
      <x:c r="F226" s="62"/>
      <x:c r="G226" s="24"/>
      <x:c r="H226" s="19"/>
      <x:c r="I226" s="26"/>
      <x:c r="J226" s="19"/>
    </x:row>
    <x:row r="227">
      <x:c r="A227" s="19"/>
      <x:c r="B227" s="19"/>
      <x:c r="C227" s="19"/>
      <x:c r="D227" s="19"/>
      <x:c r="E227" s="19"/>
      <x:c r="F227" s="62"/>
      <x:c r="G227" s="24"/>
      <x:c r="H227" s="19"/>
      <x:c r="I227" s="26"/>
      <x:c r="J227" s="19"/>
    </x:row>
    <x:row r="228">
      <x:c r="A228" s="19"/>
      <x:c r="B228" s="19"/>
      <x:c r="C228" s="19"/>
      <x:c r="D228" s="19"/>
      <x:c r="E228" s="19"/>
      <x:c r="F228" s="62"/>
      <x:c r="G228" s="24"/>
      <x:c r="H228" s="19"/>
      <x:c r="I228" s="26"/>
      <x:c r="J228" s="19"/>
    </x:row>
    <x:row r="229">
      <x:c r="A229" s="19"/>
      <x:c r="B229" s="19"/>
      <x:c r="C229" s="19"/>
      <x:c r="D229" s="19"/>
      <x:c r="E229" s="19"/>
      <x:c r="F229" s="62"/>
      <x:c r="G229" s="24"/>
      <x:c r="H229" s="19"/>
      <x:c r="I229" s="26"/>
      <x:c r="J229" s="19"/>
    </x:row>
    <x:row r="230">
      <x:c r="A230" s="19"/>
      <x:c r="B230" s="19"/>
      <x:c r="C230" s="19"/>
      <x:c r="D230" s="19"/>
      <x:c r="E230" s="19"/>
      <x:c r="F230" s="62"/>
      <x:c r="G230" s="24"/>
      <x:c r="H230" s="19"/>
      <x:c r="I230" s="26"/>
      <x:c r="J230" s="19"/>
    </x:row>
    <x:row r="231">
      <x:c r="A231" s="19"/>
      <x:c r="B231" s="19"/>
      <x:c r="C231" s="19"/>
      <x:c r="D231" s="19"/>
      <x:c r="E231" s="19"/>
      <x:c r="F231" s="62"/>
      <x:c r="G231" s="24"/>
      <x:c r="H231" s="19"/>
      <x:c r="I231" s="26"/>
      <x:c r="J231" s="19"/>
    </x:row>
    <x:row r="232">
      <x:c r="A232" s="19"/>
      <x:c r="B232" s="19"/>
      <x:c r="C232" s="19"/>
      <x:c r="D232" s="19"/>
      <x:c r="E232" s="19"/>
      <x:c r="F232" s="62"/>
      <x:c r="G232" s="24"/>
      <x:c r="H232" s="19"/>
      <x:c r="I232" s="26"/>
      <x:c r="J232" s="19"/>
    </x:row>
    <x:row r="233">
      <x:c r="A233" s="19"/>
      <x:c r="B233" s="19"/>
      <x:c r="C233" s="19"/>
      <x:c r="D233" s="19"/>
      <x:c r="E233" s="19"/>
      <x:c r="F233" s="62"/>
      <x:c r="G233" s="24"/>
      <x:c r="H233" s="19"/>
      <x:c r="I233" s="26"/>
      <x:c r="J233" s="19"/>
    </x:row>
    <x:row r="234">
      <x:c r="A234" s="19"/>
      <x:c r="B234" s="19"/>
      <x:c r="C234" s="19"/>
      <x:c r="D234" s="19"/>
      <x:c r="E234" s="19"/>
      <x:c r="F234" s="62"/>
      <x:c r="G234" s="24"/>
      <x:c r="H234" s="19"/>
      <x:c r="I234" s="26"/>
      <x:c r="J234" s="19"/>
    </x:row>
    <x:row r="235">
      <x:c r="A235" s="19"/>
      <x:c r="B235" s="19"/>
      <x:c r="C235" s="19"/>
      <x:c r="D235" s="19"/>
      <x:c r="E235" s="19"/>
      <x:c r="F235" s="62"/>
      <x:c r="G235" s="24"/>
      <x:c r="H235" s="19"/>
      <x:c r="I235" s="26"/>
      <x:c r="J235" s="19"/>
    </x:row>
    <x:row r="236">
      <x:c r="A236" s="19"/>
      <x:c r="B236" s="19"/>
      <x:c r="C236" s="19"/>
      <x:c r="D236" s="19"/>
      <x:c r="E236" s="19"/>
      <x:c r="F236" s="62"/>
      <x:c r="G236" s="24"/>
      <x:c r="H236" s="19"/>
      <x:c r="I236" s="26"/>
      <x:c r="J236" s="19"/>
    </x:row>
    <x:row r="237">
      <x:c r="A237" s="19"/>
      <x:c r="B237" s="19"/>
      <x:c r="C237" s="19"/>
      <x:c r="D237" s="19"/>
      <x:c r="E237" s="19"/>
      <x:c r="F237" s="62"/>
      <x:c r="G237" s="24"/>
      <x:c r="H237" s="19"/>
      <x:c r="I237" s="26"/>
      <x:c r="J237" s="19"/>
    </x:row>
    <x:row r="238">
      <x:c r="A238" s="19"/>
      <x:c r="B238" s="19"/>
      <x:c r="C238" s="19"/>
      <x:c r="D238" s="19"/>
      <x:c r="E238" s="19"/>
      <x:c r="F238" s="62"/>
      <x:c r="G238" s="24"/>
      <x:c r="H238" s="19"/>
      <x:c r="I238" s="26"/>
      <x:c r="J238" s="19"/>
    </x:row>
    <x:row r="239">
      <x:c r="A239" s="19"/>
      <x:c r="B239" s="19"/>
      <x:c r="C239" s="19"/>
      <x:c r="D239" s="19"/>
      <x:c r="E239" s="19"/>
      <x:c r="F239" s="62"/>
      <x:c r="G239" s="24"/>
      <x:c r="H239" s="19"/>
      <x:c r="I239" s="26"/>
      <x:c r="J239" s="19"/>
    </x:row>
    <x:row r="240">
      <x:c r="A240" s="19"/>
      <x:c r="B240" s="19"/>
      <x:c r="C240" s="19"/>
      <x:c r="D240" s="19"/>
      <x:c r="E240" s="19"/>
      <x:c r="F240" s="62"/>
      <x:c r="G240" s="24"/>
      <x:c r="H240" s="19"/>
      <x:c r="I240" s="26"/>
      <x:c r="J240" s="19"/>
    </x:row>
    <x:row r="241">
      <x:c r="A241" s="19"/>
      <x:c r="B241" s="19"/>
      <x:c r="C241" s="19"/>
      <x:c r="D241" s="19"/>
      <x:c r="E241" s="19"/>
      <x:c r="F241" s="62"/>
      <x:c r="G241" s="24"/>
      <x:c r="H241" s="19"/>
      <x:c r="I241" s="26"/>
      <x:c r="J241" s="19"/>
    </x:row>
    <x:row r="242">
      <x:c r="A242" s="19"/>
      <x:c r="B242" s="19"/>
      <x:c r="C242" s="19"/>
      <x:c r="D242" s="19"/>
      <x:c r="E242" s="19"/>
      <x:c r="F242" s="62"/>
      <x:c r="G242" s="24"/>
      <x:c r="H242" s="19"/>
      <x:c r="I242" s="26"/>
      <x:c r="J242" s="19"/>
    </x:row>
    <x:row r="243">
      <x:c r="A243" s="19"/>
      <x:c r="B243" s="19"/>
      <x:c r="C243" s="19"/>
      <x:c r="D243" s="19"/>
      <x:c r="E243" s="19"/>
      <x:c r="F243" s="62"/>
      <x:c r="G243" s="24"/>
      <x:c r="H243" s="19"/>
      <x:c r="I243" s="26"/>
      <x:c r="J243" s="19"/>
    </x:row>
    <x:row r="244">
      <x:c r="A244" s="19"/>
      <x:c r="B244" s="19"/>
      <x:c r="C244" s="19"/>
      <x:c r="D244" s="19"/>
      <x:c r="E244" s="19"/>
      <x:c r="F244" s="62"/>
      <x:c r="G244" s="24"/>
      <x:c r="H244" s="19"/>
      <x:c r="I244" s="26"/>
      <x:c r="J244" s="19"/>
    </x:row>
    <x:row r="245">
      <x:c r="A245" s="19"/>
      <x:c r="B245" s="19"/>
      <x:c r="C245" s="19"/>
      <x:c r="D245" s="19"/>
      <x:c r="E245" s="19"/>
      <x:c r="F245" s="62"/>
      <x:c r="G245" s="24"/>
      <x:c r="H245" s="19"/>
      <x:c r="I245" s="26"/>
      <x:c r="J245" s="19"/>
    </x:row>
    <x:row r="246">
      <x:c r="A246" s="19"/>
      <x:c r="B246" s="19"/>
      <x:c r="C246" s="19"/>
      <x:c r="D246" s="19"/>
      <x:c r="E246" s="19"/>
      <x:c r="F246" s="62"/>
      <x:c r="G246" s="24"/>
      <x:c r="H246" s="19"/>
      <x:c r="I246" s="26"/>
      <x:c r="J246" s="19"/>
    </x:row>
    <x:row r="247">
      <x:c r="A247" s="19"/>
      <x:c r="B247" s="19"/>
      <x:c r="C247" s="19"/>
      <x:c r="D247" s="19"/>
      <x:c r="E247" s="19"/>
      <x:c r="F247" s="62"/>
      <x:c r="G247" s="24"/>
      <x:c r="H247" s="19"/>
      <x:c r="I247" s="26"/>
      <x:c r="J247" s="19"/>
    </x:row>
    <x:row r="248">
      <x:c r="A248" s="19"/>
      <x:c r="B248" s="19"/>
      <x:c r="C248" s="19"/>
      <x:c r="D248" s="19"/>
      <x:c r="E248" s="19"/>
      <x:c r="F248" s="62"/>
      <x:c r="G248" s="24"/>
      <x:c r="H248" s="19"/>
      <x:c r="I248" s="26"/>
      <x:c r="J248" s="19"/>
    </x:row>
    <x:row r="249">
      <x:c r="A249" s="19"/>
      <x:c r="B249" s="19"/>
      <x:c r="C249" s="19"/>
      <x:c r="D249" s="19"/>
      <x:c r="E249" s="19"/>
      <x:c r="F249" s="62"/>
      <x:c r="G249" s="24"/>
      <x:c r="H249" s="19"/>
      <x:c r="I249" s="26"/>
      <x:c r="J249" s="19"/>
    </x:row>
    <x:row r="250">
      <x:c r="A250" s="19"/>
      <x:c r="B250" s="19"/>
      <x:c r="C250" s="19"/>
      <x:c r="D250" s="19"/>
      <x:c r="E250" s="19"/>
      <x:c r="F250" s="62"/>
      <x:c r="G250" s="24"/>
      <x:c r="H250" s="19"/>
      <x:c r="I250" s="26"/>
      <x:c r="J250" s="19"/>
    </x:row>
    <x:row r="251">
      <x:c r="A251" s="19"/>
      <x:c r="B251" s="19"/>
      <x:c r="C251" s="19"/>
      <x:c r="D251" s="19"/>
      <x:c r="E251" s="19"/>
      <x:c r="F251" s="62"/>
      <x:c r="G251" s="24"/>
      <x:c r="H251" s="19"/>
      <x:c r="I251" s="26"/>
      <x:c r="J251" s="19"/>
    </x:row>
    <x:row r="252">
      <x:c r="A252" s="19"/>
      <x:c r="B252" s="19"/>
      <x:c r="C252" s="19"/>
      <x:c r="D252" s="19"/>
      <x:c r="E252" s="19"/>
      <x:c r="F252" s="62"/>
      <x:c r="G252" s="24"/>
      <x:c r="H252" s="19"/>
      <x:c r="I252" s="26"/>
      <x:c r="J252" s="19"/>
    </x:row>
    <x:row r="253">
      <x:c r="A253" s="19"/>
      <x:c r="B253" s="19"/>
      <x:c r="C253" s="19"/>
      <x:c r="D253" s="19"/>
      <x:c r="E253" s="19"/>
      <x:c r="F253" s="62"/>
      <x:c r="G253" s="24"/>
      <x:c r="H253" s="19"/>
      <x:c r="I253" s="26"/>
      <x:c r="J253" s="19"/>
    </x:row>
    <x:row r="254">
      <x:c r="A254" s="19"/>
      <x:c r="B254" s="19"/>
      <x:c r="C254" s="19"/>
      <x:c r="D254" s="19"/>
      <x:c r="E254" s="19"/>
      <x:c r="F254" s="62"/>
      <x:c r="G254" s="24"/>
      <x:c r="H254" s="19"/>
      <x:c r="I254" s="26"/>
      <x:c r="J254" s="19"/>
    </x:row>
    <x:row r="255">
      <x:c r="A255" s="19"/>
      <x:c r="B255" s="19"/>
      <x:c r="C255" s="19"/>
      <x:c r="D255" s="19"/>
      <x:c r="E255" s="19"/>
      <x:c r="F255" s="62"/>
      <x:c r="G255" s="24"/>
      <x:c r="H255" s="19"/>
      <x:c r="I255" s="26"/>
      <x:c r="J255" s="19"/>
    </x:row>
    <x:row r="256">
      <x:c r="A256" s="19"/>
      <x:c r="B256" s="19"/>
      <x:c r="C256" s="19"/>
      <x:c r="D256" s="19"/>
      <x:c r="E256" s="19"/>
      <x:c r="F256" s="62"/>
      <x:c r="G256" s="24"/>
      <x:c r="H256" s="19"/>
      <x:c r="I256" s="26"/>
      <x:c r="J256" s="19"/>
    </x:row>
    <x:row r="257">
      <x:c r="A257" s="19"/>
      <x:c r="B257" s="19"/>
      <x:c r="C257" s="19"/>
      <x:c r="D257" s="19"/>
      <x:c r="E257" s="19"/>
      <x:c r="F257" s="62"/>
      <x:c r="G257" s="24"/>
      <x:c r="H257" s="19"/>
      <x:c r="I257" s="26"/>
      <x:c r="J257" s="19"/>
    </x:row>
    <x:row r="258">
      <x:c r="A258" s="19"/>
      <x:c r="B258" s="19"/>
      <x:c r="C258" s="19"/>
      <x:c r="D258" s="19"/>
      <x:c r="E258" s="19"/>
      <x:c r="F258" s="62"/>
      <x:c r="G258" s="24"/>
      <x:c r="H258" s="19"/>
      <x:c r="I258" s="26"/>
      <x:c r="J258" s="19"/>
    </x:row>
    <x:row r="259">
      <x:c r="A259" s="19"/>
      <x:c r="B259" s="19"/>
      <x:c r="C259" s="19"/>
      <x:c r="D259" s="19"/>
      <x:c r="E259" s="19"/>
      <x:c r="F259" s="62"/>
      <x:c r="G259" s="24"/>
      <x:c r="H259" s="19"/>
      <x:c r="I259" s="26"/>
      <x:c r="J259" s="19"/>
    </x:row>
    <x:row r="260">
      <x:c r="A260" s="19"/>
      <x:c r="B260" s="19"/>
      <x:c r="C260" s="19"/>
      <x:c r="D260" s="19"/>
      <x:c r="E260" s="19"/>
      <x:c r="F260" s="62"/>
      <x:c r="G260" s="24"/>
      <x:c r="H260" s="19"/>
      <x:c r="I260" s="26"/>
      <x:c r="J260" s="19"/>
    </x:row>
    <x:row r="261">
      <x:c r="A261" s="19"/>
      <x:c r="B261" s="19"/>
      <x:c r="C261" s="19"/>
      <x:c r="D261" s="19"/>
      <x:c r="E261" s="19"/>
      <x:c r="F261" s="62"/>
      <x:c r="G261" s="24"/>
      <x:c r="H261" s="19"/>
      <x:c r="I261" s="26"/>
      <x:c r="J261" s="19"/>
    </x:row>
    <x:row r="262">
      <x:c r="A262" s="19"/>
      <x:c r="B262" s="19"/>
      <x:c r="C262" s="19"/>
      <x:c r="D262" s="19"/>
      <x:c r="E262" s="19"/>
      <x:c r="F262" s="62"/>
      <x:c r="G262" s="24"/>
      <x:c r="H262" s="19"/>
      <x:c r="I262" s="26"/>
      <x:c r="J262" s="19"/>
    </x:row>
    <x:row r="263">
      <x:c r="A263" s="19"/>
      <x:c r="B263" s="19"/>
      <x:c r="C263" s="19"/>
      <x:c r="D263" s="19"/>
      <x:c r="E263" s="19"/>
      <x:c r="F263" s="62"/>
      <x:c r="G263" s="24"/>
      <x:c r="H263" s="19"/>
      <x:c r="I263" s="26"/>
      <x:c r="J263" s="19"/>
    </x:row>
    <x:row r="264">
      <x:c r="A264" s="19"/>
      <x:c r="B264" s="19"/>
      <x:c r="C264" s="19"/>
      <x:c r="D264" s="19"/>
      <x:c r="E264" s="19"/>
      <x:c r="F264" s="62"/>
      <x:c r="G264" s="24"/>
      <x:c r="H264" s="19"/>
      <x:c r="I264" s="26"/>
      <x:c r="J264" s="19"/>
    </x:row>
    <x:row r="265">
      <x:c r="A265" s="19"/>
      <x:c r="B265" s="19"/>
      <x:c r="C265" s="19"/>
      <x:c r="D265" s="19"/>
      <x:c r="E265" s="19"/>
      <x:c r="F265" s="62"/>
      <x:c r="G265" s="24"/>
      <x:c r="H265" s="19"/>
      <x:c r="I265" s="26"/>
      <x:c r="J265" s="19"/>
    </x:row>
    <x:row r="266">
      <x:c r="A266" s="19"/>
      <x:c r="B266" s="19"/>
      <x:c r="C266" s="19"/>
      <x:c r="D266" s="19"/>
      <x:c r="E266" s="19"/>
      <x:c r="F266" s="62"/>
      <x:c r="G266" s="24"/>
      <x:c r="H266" s="19"/>
      <x:c r="I266" s="26"/>
      <x:c r="J266" s="19"/>
    </x:row>
    <x:row r="267">
      <x:c r="A267" s="19"/>
      <x:c r="B267" s="19"/>
      <x:c r="C267" s="19"/>
      <x:c r="D267" s="19"/>
      <x:c r="E267" s="19"/>
      <x:c r="F267" s="62"/>
      <x:c r="G267" s="24"/>
      <x:c r="H267" s="19"/>
      <x:c r="I267" s="26"/>
      <x:c r="J267" s="19"/>
    </x:row>
    <x:row r="268">
      <x:c r="A268" s="19"/>
      <x:c r="B268" s="19"/>
      <x:c r="C268" s="19"/>
      <x:c r="D268" s="19"/>
      <x:c r="E268" s="19"/>
      <x:c r="F268" s="62"/>
      <x:c r="G268" s="24"/>
      <x:c r="H268" s="19"/>
      <x:c r="I268" s="26"/>
      <x:c r="J268" s="19"/>
    </x:row>
    <x:row r="269">
      <x:c r="A269" s="19"/>
      <x:c r="B269" s="19"/>
      <x:c r="C269" s="19"/>
      <x:c r="D269" s="19"/>
      <x:c r="E269" s="19"/>
      <x:c r="F269" s="62"/>
      <x:c r="G269" s="24"/>
      <x:c r="H269" s="19"/>
      <x:c r="I269" s="26"/>
      <x:c r="J269" s="19"/>
    </x:row>
    <x:row r="270">
      <x:c r="A270" s="19"/>
      <x:c r="B270" s="19"/>
      <x:c r="C270" s="19"/>
      <x:c r="D270" s="19"/>
      <x:c r="E270" s="19"/>
      <x:c r="F270" s="62"/>
      <x:c r="G270" s="24"/>
      <x:c r="H270" s="19"/>
      <x:c r="I270" s="26"/>
      <x:c r="J270" s="19"/>
    </x:row>
    <x:row r="271">
      <x:c r="A271" s="19"/>
      <x:c r="B271" s="19"/>
      <x:c r="C271" s="19"/>
      <x:c r="D271" s="19"/>
      <x:c r="E271" s="19"/>
      <x:c r="F271" s="62"/>
      <x:c r="G271" s="24"/>
      <x:c r="H271" s="19"/>
      <x:c r="I271" s="26"/>
      <x:c r="J271" s="19"/>
    </x:row>
    <x:row r="272">
      <x:c r="A272" s="19"/>
      <x:c r="B272" s="19"/>
      <x:c r="C272" s="19"/>
      <x:c r="D272" s="19"/>
      <x:c r="E272" s="19"/>
      <x:c r="F272" s="62"/>
      <x:c r="G272" s="24"/>
      <x:c r="H272" s="19"/>
      <x:c r="I272" s="26"/>
      <x:c r="J272" s="19"/>
    </x:row>
    <x:row r="273">
      <x:c r="A273" s="19"/>
      <x:c r="B273" s="19"/>
      <x:c r="C273" s="19"/>
      <x:c r="D273" s="19"/>
      <x:c r="E273" s="19"/>
      <x:c r="F273" s="62"/>
      <x:c r="G273" s="24"/>
      <x:c r="H273" s="19"/>
      <x:c r="I273" s="26"/>
      <x:c r="J273" s="19"/>
    </x:row>
    <x:row r="274">
      <x:c r="A274" s="19"/>
      <x:c r="B274" s="19"/>
      <x:c r="C274" s="19"/>
      <x:c r="D274" s="19"/>
      <x:c r="E274" s="19"/>
      <x:c r="F274" s="62"/>
      <x:c r="G274" s="24"/>
      <x:c r="H274" s="19"/>
      <x:c r="I274" s="26"/>
      <x:c r="J274" s="19"/>
    </x:row>
    <x:row r="275">
      <x:c r="A275" s="19"/>
      <x:c r="B275" s="19"/>
      <x:c r="C275" s="19"/>
      <x:c r="D275" s="19"/>
      <x:c r="E275" s="19"/>
      <x:c r="F275" s="62"/>
      <x:c r="G275" s="24"/>
      <x:c r="H275" s="19"/>
      <x:c r="I275" s="26"/>
      <x:c r="J275" s="19"/>
    </x:row>
    <x:row r="276">
      <x:c r="A276" s="19"/>
      <x:c r="B276" s="19"/>
      <x:c r="C276" s="19"/>
      <x:c r="D276" s="19"/>
      <x:c r="E276" s="19"/>
      <x:c r="F276" s="62"/>
      <x:c r="G276" s="24"/>
      <x:c r="H276" s="19"/>
      <x:c r="I276" s="26"/>
      <x:c r="J276" s="19"/>
    </x:row>
    <x:row r="277">
      <x:c r="A277" s="19"/>
      <x:c r="B277" s="19"/>
      <x:c r="C277" s="19"/>
      <x:c r="D277" s="19"/>
      <x:c r="E277" s="19"/>
      <x:c r="F277" s="62"/>
      <x:c r="G277" s="24"/>
      <x:c r="H277" s="19"/>
      <x:c r="I277" s="26"/>
      <x:c r="J277" s="19"/>
    </x:row>
    <x:row r="278">
      <x:c r="A278" s="19"/>
      <x:c r="B278" s="19"/>
      <x:c r="C278" s="19"/>
      <x:c r="D278" s="19"/>
      <x:c r="E278" s="19"/>
      <x:c r="F278" s="62"/>
      <x:c r="G278" s="24"/>
      <x:c r="H278" s="19"/>
      <x:c r="I278" s="26"/>
      <x:c r="J278" s="19"/>
    </x:row>
    <x:row r="279">
      <x:c r="A279" s="19"/>
      <x:c r="B279" s="19"/>
      <x:c r="C279" s="19"/>
      <x:c r="D279" s="19"/>
      <x:c r="E279" s="19"/>
      <x:c r="F279" s="62"/>
      <x:c r="G279" s="24"/>
      <x:c r="H279" s="19"/>
      <x:c r="I279" s="26"/>
      <x:c r="J279" s="19"/>
    </x:row>
    <x:row r="280">
      <x:c r="A280" s="19"/>
      <x:c r="B280" s="19"/>
      <x:c r="C280" s="19"/>
      <x:c r="D280" s="19"/>
      <x:c r="E280" s="19"/>
      <x:c r="F280" s="62"/>
      <x:c r="G280" s="24"/>
      <x:c r="H280" s="19"/>
      <x:c r="I280" s="26"/>
      <x:c r="J280" s="19"/>
    </x:row>
    <x:row r="281">
      <x:c r="A281" s="19"/>
      <x:c r="B281" s="19"/>
      <x:c r="C281" s="19"/>
      <x:c r="D281" s="19"/>
      <x:c r="E281" s="19"/>
      <x:c r="F281" s="62"/>
      <x:c r="G281" s="24"/>
      <x:c r="H281" s="19"/>
      <x:c r="I281" s="26"/>
      <x:c r="J281" s="19"/>
    </x:row>
    <x:row r="282">
      <x:c r="A282" s="19"/>
      <x:c r="B282" s="19"/>
      <x:c r="C282" s="19"/>
      <x:c r="D282" s="19"/>
      <x:c r="E282" s="19"/>
      <x:c r="F282" s="62"/>
      <x:c r="G282" s="24"/>
      <x:c r="H282" s="19"/>
      <x:c r="I282" s="26"/>
      <x:c r="J282" s="19"/>
    </x:row>
    <x:row r="283">
      <x:c r="A283" s="19"/>
      <x:c r="B283" s="19"/>
      <x:c r="C283" s="19"/>
      <x:c r="D283" s="19"/>
      <x:c r="E283" s="19"/>
      <x:c r="F283" s="62"/>
      <x:c r="G283" s="24"/>
      <x:c r="H283" s="19"/>
      <x:c r="I283" s="26"/>
      <x:c r="J283" s="19"/>
    </x:row>
    <x:row r="284">
      <x:c r="A284" s="19"/>
      <x:c r="B284" s="19"/>
      <x:c r="C284" s="19"/>
      <x:c r="D284" s="19"/>
      <x:c r="E284" s="19"/>
      <x:c r="F284" s="62"/>
      <x:c r="G284" s="24"/>
      <x:c r="H284" s="19"/>
      <x:c r="I284" s="26"/>
      <x:c r="J284" s="19"/>
    </x:row>
    <x:row r="285">
      <x:c r="A285" s="19"/>
      <x:c r="B285" s="19"/>
      <x:c r="C285" s="19"/>
      <x:c r="D285" s="19"/>
      <x:c r="E285" s="19"/>
      <x:c r="F285" s="62"/>
      <x:c r="G285" s="24"/>
      <x:c r="H285" s="19"/>
      <x:c r="I285" s="26"/>
      <x:c r="J285" s="19"/>
    </x:row>
    <x:row r="286">
      <x:c r="A286" s="19"/>
      <x:c r="B286" s="19"/>
      <x:c r="C286" s="19"/>
      <x:c r="D286" s="19"/>
      <x:c r="E286" s="19"/>
      <x:c r="F286" s="62"/>
      <x:c r="G286" s="24"/>
      <x:c r="H286" s="19"/>
      <x:c r="I286" s="26"/>
      <x:c r="J286" s="19"/>
    </x:row>
    <x:row r="287">
      <x:c r="A287" s="19"/>
      <x:c r="B287" s="19"/>
      <x:c r="C287" s="19"/>
      <x:c r="D287" s="19"/>
      <x:c r="E287" s="19"/>
      <x:c r="F287" s="62"/>
      <x:c r="G287" s="24"/>
      <x:c r="H287" s="19"/>
      <x:c r="I287" s="26"/>
      <x:c r="J287" s="19"/>
    </x:row>
    <x:row r="288">
      <x:c r="A288" s="19"/>
      <x:c r="B288" s="19"/>
      <x:c r="C288" s="19"/>
      <x:c r="D288" s="19"/>
      <x:c r="E288" s="19"/>
      <x:c r="F288" s="62"/>
      <x:c r="G288" s="24"/>
      <x:c r="H288" s="19"/>
      <x:c r="I288" s="26"/>
      <x:c r="J288" s="19"/>
    </x:row>
    <x:row r="289">
      <x:c r="A289" s="19"/>
      <x:c r="B289" s="19"/>
      <x:c r="C289" s="19"/>
      <x:c r="D289" s="19"/>
      <x:c r="E289" s="19"/>
      <x:c r="F289" s="62"/>
      <x:c r="G289" s="24"/>
      <x:c r="H289" s="19"/>
      <x:c r="I289" s="26"/>
      <x:c r="J289" s="19"/>
    </x:row>
    <x:row r="290">
      <x:c r="A290" s="19"/>
      <x:c r="B290" s="19"/>
      <x:c r="C290" s="19"/>
      <x:c r="D290" s="19"/>
      <x:c r="E290" s="19"/>
      <x:c r="F290" s="62"/>
      <x:c r="G290" s="24"/>
      <x:c r="H290" s="19"/>
      <x:c r="I290" s="26"/>
      <x:c r="J290" s="19"/>
    </x:row>
    <x:row r="291">
      <x:c r="A291" s="19"/>
      <x:c r="B291" s="19"/>
      <x:c r="C291" s="19"/>
      <x:c r="D291" s="19"/>
      <x:c r="E291" s="19"/>
      <x:c r="F291" s="62"/>
      <x:c r="G291" s="24"/>
      <x:c r="H291" s="19"/>
      <x:c r="I291" s="26"/>
      <x:c r="J291" s="19"/>
    </x:row>
    <x:row r="292">
      <x:c r="A292" s="19"/>
      <x:c r="B292" s="19"/>
      <x:c r="C292" s="19"/>
      <x:c r="D292" s="19"/>
      <x:c r="E292" s="19"/>
      <x:c r="F292" s="62"/>
      <x:c r="G292" s="24"/>
      <x:c r="H292" s="19"/>
      <x:c r="I292" s="26"/>
      <x:c r="J292" s="19"/>
    </x:row>
    <x:row r="293">
      <x:c r="A293" s="19"/>
      <x:c r="B293" s="19"/>
      <x:c r="C293" s="19"/>
      <x:c r="D293" s="19"/>
      <x:c r="E293" s="19"/>
      <x:c r="F293" s="62"/>
      <x:c r="G293" s="24"/>
      <x:c r="H293" s="19"/>
      <x:c r="I293" s="26"/>
      <x:c r="J293" s="19"/>
    </x:row>
    <x:row r="294">
      <x:c r="A294" s="19"/>
      <x:c r="B294" s="19"/>
      <x:c r="C294" s="19"/>
      <x:c r="D294" s="19"/>
      <x:c r="E294" s="19"/>
      <x:c r="F294" s="62"/>
      <x:c r="G294" s="24"/>
      <x:c r="H294" s="19"/>
      <x:c r="I294" s="26"/>
      <x:c r="J294" s="19"/>
    </x:row>
    <x:row r="295">
      <x:c r="A295" s="19"/>
      <x:c r="B295" s="19"/>
      <x:c r="C295" s="19"/>
      <x:c r="D295" s="19"/>
      <x:c r="E295" s="19"/>
      <x:c r="F295" s="62"/>
      <x:c r="G295" s="24"/>
      <x:c r="H295" s="19"/>
      <x:c r="I295" s="26"/>
      <x:c r="J295" s="19"/>
    </x:row>
    <x:row r="296">
      <x:c r="A296" s="19"/>
      <x:c r="B296" s="19"/>
      <x:c r="C296" s="19"/>
      <x:c r="D296" s="19"/>
      <x:c r="E296" s="19"/>
      <x:c r="F296" s="62"/>
      <x:c r="G296" s="24"/>
      <x:c r="H296" s="19"/>
      <x:c r="I296" s="26"/>
      <x:c r="J296" s="19"/>
    </x:row>
    <x:row r="297">
      <x:c r="A297" s="19"/>
      <x:c r="B297" s="19"/>
      <x:c r="C297" s="19"/>
      <x:c r="D297" s="19"/>
      <x:c r="E297" s="19"/>
      <x:c r="F297" s="62"/>
      <x:c r="G297" s="24"/>
      <x:c r="H297" s="19"/>
      <x:c r="I297" s="26"/>
      <x:c r="J297" s="19"/>
    </x:row>
    <x:row r="298">
      <x:c r="A298" s="19"/>
      <x:c r="B298" s="19"/>
      <x:c r="C298" s="19"/>
      <x:c r="D298" s="19"/>
      <x:c r="E298" s="19"/>
      <x:c r="F298" s="62"/>
      <x:c r="G298" s="24"/>
      <x:c r="H298" s="19"/>
      <x:c r="I298" s="26"/>
      <x:c r="J298" s="19"/>
    </x:row>
    <x:row r="299">
      <x:c r="A299" s="19"/>
      <x:c r="B299" s="19"/>
      <x:c r="C299" s="19"/>
      <x:c r="D299" s="19"/>
      <x:c r="E299" s="19"/>
      <x:c r="F299" s="62"/>
      <x:c r="G299" s="24"/>
      <x:c r="H299" s="19"/>
      <x:c r="I299" s="26"/>
      <x:c r="J299" s="19"/>
    </x:row>
    <x:row r="300">
      <x:c r="A300" s="19"/>
      <x:c r="B300" s="19"/>
      <x:c r="C300" s="19"/>
      <x:c r="D300" s="19"/>
      <x:c r="E300" s="19"/>
      <x:c r="F300" s="62"/>
      <x:c r="G300" s="24"/>
      <x:c r="H300" s="19"/>
      <x:c r="I300" s="26"/>
      <x:c r="J300" s="19"/>
    </x:row>
    <x:row r="301">
      <x:c r="A301" s="19"/>
      <x:c r="B301" s="19"/>
      <x:c r="C301" s="19"/>
      <x:c r="D301" s="19"/>
      <x:c r="E301" s="19"/>
      <x:c r="F301" s="62"/>
      <x:c r="G301" s="24"/>
      <x:c r="H301" s="19"/>
      <x:c r="I301" s="26"/>
      <x:c r="J301" s="19"/>
    </x:row>
    <x:row r="302">
      <x:c r="A302" s="19"/>
      <x:c r="B302" s="19"/>
      <x:c r="C302" s="19"/>
      <x:c r="D302" s="19"/>
      <x:c r="E302" s="19"/>
      <x:c r="F302" s="62"/>
      <x:c r="G302" s="24"/>
      <x:c r="H302" s="19"/>
      <x:c r="I302" s="26"/>
      <x:c r="J302" s="19"/>
    </x:row>
    <x:row r="303">
      <x:c r="A303" s="19"/>
      <x:c r="B303" s="19"/>
      <x:c r="C303" s="19"/>
      <x:c r="D303" s="19"/>
      <x:c r="E303" s="19"/>
      <x:c r="F303" s="62"/>
      <x:c r="G303" s="24"/>
      <x:c r="H303" s="19"/>
      <x:c r="I303" s="26"/>
      <x:c r="J303" s="19"/>
    </x:row>
    <x:row r="304">
      <x:c r="A304" s="19"/>
      <x:c r="B304" s="19"/>
      <x:c r="C304" s="19"/>
      <x:c r="D304" s="19"/>
      <x:c r="E304" s="19"/>
      <x:c r="F304" s="62"/>
      <x:c r="G304" s="24"/>
      <x:c r="H304" s="19"/>
      <x:c r="I304" s="26"/>
      <x:c r="J304" s="19"/>
    </x:row>
    <x:row r="305">
      <x:c r="A305" s="19"/>
      <x:c r="B305" s="19"/>
      <x:c r="C305" s="19"/>
      <x:c r="D305" s="19"/>
      <x:c r="E305" s="19"/>
      <x:c r="F305" s="62"/>
      <x:c r="G305" s="24"/>
      <x:c r="H305" s="19"/>
      <x:c r="I305" s="26"/>
      <x:c r="J305" s="19"/>
    </x:row>
    <x:row r="306">
      <x:c r="A306" s="19"/>
      <x:c r="B306" s="19"/>
      <x:c r="C306" s="19"/>
      <x:c r="D306" s="19"/>
      <x:c r="E306" s="19"/>
      <x:c r="F306" s="62"/>
      <x:c r="G306" s="24"/>
      <x:c r="H306" s="19"/>
      <x:c r="I306" s="26"/>
      <x:c r="J306" s="19"/>
    </x:row>
    <x:row r="307">
      <x:c r="A307" s="19"/>
      <x:c r="B307" s="19"/>
      <x:c r="C307" s="19"/>
      <x:c r="D307" s="19"/>
      <x:c r="E307" s="19"/>
      <x:c r="F307" s="62"/>
      <x:c r="G307" s="24"/>
      <x:c r="H307" s="19"/>
      <x:c r="I307" s="26"/>
      <x:c r="J307" s="19"/>
    </x:row>
    <x:row r="308">
      <x:c r="A308" s="19"/>
      <x:c r="B308" s="19"/>
      <x:c r="C308" s="19"/>
      <x:c r="D308" s="19"/>
      <x:c r="E308" s="19"/>
      <x:c r="F308" s="62"/>
      <x:c r="G308" s="24"/>
      <x:c r="H308" s="19"/>
      <x:c r="I308" s="26"/>
      <x:c r="J308" s="19"/>
    </x:row>
    <x:row r="309">
      <x:c r="A309" s="19"/>
      <x:c r="B309" s="19"/>
      <x:c r="C309" s="19"/>
      <x:c r="D309" s="19"/>
      <x:c r="E309" s="19"/>
      <x:c r="F309" s="62"/>
      <x:c r="G309" s="24"/>
      <x:c r="H309" s="19"/>
      <x:c r="I309" s="26"/>
      <x:c r="J309" s="19"/>
    </x:row>
    <x:row r="310">
      <x:c r="A310" s="19"/>
      <x:c r="B310" s="19"/>
      <x:c r="C310" s="19"/>
      <x:c r="D310" s="19"/>
      <x:c r="E310" s="19"/>
      <x:c r="F310" s="62"/>
      <x:c r="G310" s="24"/>
      <x:c r="H310" s="19"/>
      <x:c r="I310" s="26"/>
      <x:c r="J310" s="19"/>
    </x:row>
    <x:row r="311">
      <x:c r="A311" s="19"/>
      <x:c r="B311" s="19"/>
      <x:c r="C311" s="19"/>
      <x:c r="D311" s="19"/>
      <x:c r="E311" s="19"/>
      <x:c r="F311" s="62"/>
      <x:c r="G311" s="24"/>
      <x:c r="H311" s="19"/>
      <x:c r="I311" s="26"/>
      <x:c r="J311" s="19"/>
    </x:row>
    <x:row r="312">
      <x:c r="A312" s="19"/>
      <x:c r="B312" s="19"/>
      <x:c r="C312" s="19"/>
      <x:c r="D312" s="19"/>
      <x:c r="E312" s="19"/>
      <x:c r="F312" s="62"/>
      <x:c r="G312" s="24"/>
      <x:c r="H312" s="19"/>
      <x:c r="I312" s="26"/>
      <x:c r="J312" s="19"/>
    </x:row>
    <x:row r="313">
      <x:c r="A313" s="19"/>
      <x:c r="B313" s="19"/>
      <x:c r="C313" s="19"/>
      <x:c r="D313" s="19"/>
      <x:c r="E313" s="19"/>
      <x:c r="F313" s="62"/>
      <x:c r="G313" s="24"/>
      <x:c r="H313" s="19"/>
      <x:c r="I313" s="26"/>
      <x:c r="J313" s="19"/>
    </x:row>
    <x:row r="314">
      <x:c r="A314" s="19"/>
      <x:c r="B314" s="19"/>
      <x:c r="C314" s="19"/>
      <x:c r="D314" s="19"/>
      <x:c r="E314" s="19"/>
      <x:c r="F314" s="62"/>
      <x:c r="G314" s="24"/>
      <x:c r="H314" s="19"/>
      <x:c r="I314" s="26"/>
      <x:c r="J314" s="19"/>
    </x:row>
    <x:row r="315">
      <x:c r="A315" s="19"/>
      <x:c r="B315" s="19"/>
      <x:c r="C315" s="19"/>
      <x:c r="D315" s="19"/>
      <x:c r="E315" s="19"/>
      <x:c r="F315" s="62"/>
      <x:c r="G315" s="24"/>
      <x:c r="H315" s="19"/>
      <x:c r="I315" s="26"/>
      <x:c r="J315" s="19"/>
    </x:row>
    <x:row r="316">
      <x:c r="A316" s="19"/>
      <x:c r="B316" s="19"/>
      <x:c r="C316" s="19"/>
      <x:c r="D316" s="19"/>
      <x:c r="E316" s="19"/>
      <x:c r="F316" s="62"/>
      <x:c r="G316" s="24"/>
      <x:c r="H316" s="19"/>
      <x:c r="I316" s="26"/>
      <x:c r="J316" s="19"/>
    </x:row>
    <x:row r="317">
      <x:c r="A317" s="19"/>
      <x:c r="B317" s="19"/>
      <x:c r="C317" s="19"/>
      <x:c r="D317" s="19"/>
      <x:c r="E317" s="19"/>
      <x:c r="F317" s="62"/>
      <x:c r="G317" s="24"/>
      <x:c r="H317" s="19"/>
      <x:c r="I317" s="26"/>
      <x:c r="J317" s="19"/>
    </x:row>
    <x:row r="318">
      <x:c r="A318" s="19"/>
      <x:c r="B318" s="19"/>
      <x:c r="C318" s="19"/>
      <x:c r="D318" s="19"/>
      <x:c r="E318" s="19"/>
      <x:c r="F318" s="62"/>
      <x:c r="G318" s="24"/>
      <x:c r="H318" s="19"/>
      <x:c r="I318" s="26"/>
      <x:c r="J318" s="19"/>
    </x:row>
    <x:row r="319">
      <x:c r="A319" s="19"/>
      <x:c r="B319" s="19"/>
      <x:c r="C319" s="19"/>
      <x:c r="D319" s="19"/>
      <x:c r="E319" s="19"/>
      <x:c r="F319" s="62"/>
      <x:c r="G319" s="24"/>
      <x:c r="H319" s="19"/>
      <x:c r="I319" s="26"/>
      <x:c r="J319" s="19"/>
    </x:row>
    <x:row r="320">
      <x:c r="A320" s="19"/>
      <x:c r="B320" s="19"/>
      <x:c r="C320" s="19"/>
      <x:c r="D320" s="19"/>
      <x:c r="E320" s="19"/>
      <x:c r="F320" s="62"/>
      <x:c r="G320" s="24"/>
      <x:c r="H320" s="19"/>
      <x:c r="I320" s="26"/>
      <x:c r="J320" s="19"/>
    </x:row>
    <x:row r="321">
      <x:c r="A321" s="19"/>
      <x:c r="B321" s="19"/>
      <x:c r="C321" s="19"/>
      <x:c r="D321" s="19"/>
      <x:c r="E321" s="19"/>
      <x:c r="F321" s="62"/>
      <x:c r="G321" s="24"/>
      <x:c r="H321" s="19"/>
      <x:c r="I321" s="26"/>
      <x:c r="J321" s="19"/>
    </x:row>
    <x:row r="322">
      <x:c r="A322" s="19"/>
      <x:c r="B322" s="19"/>
      <x:c r="C322" s="19"/>
      <x:c r="D322" s="19"/>
      <x:c r="E322" s="19"/>
      <x:c r="F322" s="62"/>
      <x:c r="G322" s="24"/>
      <x:c r="H322" s="19"/>
      <x:c r="I322" s="26"/>
      <x:c r="J322" s="19"/>
    </x:row>
    <x:row r="323">
      <x:c r="A323" s="19"/>
      <x:c r="B323" s="19"/>
      <x:c r="C323" s="19"/>
      <x:c r="D323" s="19"/>
      <x:c r="E323" s="19"/>
      <x:c r="F323" s="62"/>
      <x:c r="G323" s="24"/>
      <x:c r="H323" s="19"/>
      <x:c r="I323" s="26"/>
      <x:c r="J323" s="19"/>
    </x:row>
    <x:row r="324">
      <x:c r="A324" s="19"/>
      <x:c r="B324" s="19"/>
      <x:c r="C324" s="19"/>
      <x:c r="D324" s="19"/>
      <x:c r="E324" s="19"/>
      <x:c r="F324" s="62"/>
      <x:c r="G324" s="24"/>
      <x:c r="H324" s="19"/>
      <x:c r="I324" s="26"/>
      <x:c r="J324" s="19"/>
    </x:row>
    <x:row r="325">
      <x:c r="A325" s="19"/>
      <x:c r="B325" s="19"/>
      <x:c r="C325" s="19"/>
      <x:c r="D325" s="19"/>
      <x:c r="E325" s="19"/>
      <x:c r="F325" s="62"/>
      <x:c r="G325" s="24"/>
      <x:c r="H325" s="19"/>
      <x:c r="I325" s="26"/>
      <x:c r="J325" s="19"/>
    </x:row>
    <x:row r="326">
      <x:c r="A326" s="19"/>
      <x:c r="B326" s="19"/>
      <x:c r="C326" s="19"/>
      <x:c r="D326" s="19"/>
      <x:c r="E326" s="19"/>
      <x:c r="F326" s="62"/>
      <x:c r="G326" s="24"/>
      <x:c r="H326" s="19"/>
      <x:c r="I326" s="26"/>
      <x:c r="J326" s="19"/>
    </x:row>
    <x:row r="327">
      <x:c r="A327" s="19"/>
      <x:c r="B327" s="19"/>
      <x:c r="C327" s="19"/>
      <x:c r="D327" s="19"/>
      <x:c r="E327" s="19"/>
      <x:c r="F327" s="62"/>
      <x:c r="G327" s="24"/>
      <x:c r="H327" s="19"/>
      <x:c r="I327" s="26"/>
      <x:c r="J327" s="19"/>
    </x:row>
    <x:row r="328">
      <x:c r="A328" s="19"/>
      <x:c r="B328" s="19"/>
      <x:c r="C328" s="19"/>
      <x:c r="D328" s="19"/>
      <x:c r="E328" s="19"/>
      <x:c r="F328" s="62"/>
      <x:c r="G328" s="24"/>
      <x:c r="H328" s="19"/>
      <x:c r="I328" s="26"/>
      <x:c r="J328" s="19"/>
    </x:row>
    <x:row r="329">
      <x:c r="A329" s="19"/>
      <x:c r="B329" s="19"/>
      <x:c r="C329" s="19"/>
      <x:c r="D329" s="19"/>
      <x:c r="E329" s="19"/>
      <x:c r="F329" s="62"/>
      <x:c r="G329" s="24"/>
      <x:c r="H329" s="19"/>
      <x:c r="I329" s="26"/>
      <x:c r="J329" s="19"/>
    </x:row>
    <x:row r="330">
      <x:c r="A330" s="19"/>
      <x:c r="B330" s="19"/>
      <x:c r="C330" s="19"/>
      <x:c r="D330" s="19"/>
      <x:c r="E330" s="19"/>
      <x:c r="F330" s="62"/>
      <x:c r="G330" s="24"/>
      <x:c r="H330" s="19"/>
      <x:c r="I330" s="26"/>
      <x:c r="J330" s="19"/>
    </x:row>
    <x:row r="331">
      <x:c r="A331" s="19"/>
      <x:c r="B331" s="19"/>
      <x:c r="C331" s="19"/>
      <x:c r="D331" s="19"/>
      <x:c r="E331" s="19"/>
      <x:c r="F331" s="62"/>
      <x:c r="G331" s="24"/>
      <x:c r="H331" s="19"/>
      <x:c r="I331" s="26"/>
      <x:c r="J331" s="19"/>
    </x:row>
    <x:row r="332">
      <x:c r="A332" s="19"/>
      <x:c r="B332" s="19"/>
      <x:c r="C332" s="19"/>
      <x:c r="D332" s="19"/>
      <x:c r="E332" s="19"/>
      <x:c r="F332" s="62"/>
      <x:c r="G332" s="24"/>
      <x:c r="H332" s="19"/>
      <x:c r="I332" s="26"/>
      <x:c r="J332" s="19"/>
    </x:row>
    <x:row r="333">
      <x:c r="A333" s="19"/>
      <x:c r="B333" s="19"/>
      <x:c r="C333" s="19"/>
      <x:c r="D333" s="19"/>
      <x:c r="E333" s="19"/>
      <x:c r="F333" s="62"/>
      <x:c r="G333" s="24"/>
      <x:c r="H333" s="19"/>
      <x:c r="I333" s="26"/>
      <x:c r="J333" s="19"/>
    </x:row>
    <x:row r="334">
      <x:c r="A334" s="19"/>
      <x:c r="B334" s="19"/>
      <x:c r="C334" s="19"/>
      <x:c r="D334" s="19"/>
      <x:c r="E334" s="19"/>
      <x:c r="F334" s="62"/>
      <x:c r="G334" s="24"/>
      <x:c r="H334" s="19"/>
      <x:c r="I334" s="26"/>
      <x:c r="J334" s="19"/>
    </x:row>
    <x:row r="335">
      <x:c r="A335" s="19"/>
      <x:c r="B335" s="19"/>
      <x:c r="C335" s="19"/>
      <x:c r="D335" s="19"/>
      <x:c r="E335" s="19"/>
      <x:c r="F335" s="62"/>
      <x:c r="G335" s="24"/>
      <x:c r="H335" s="19"/>
      <x:c r="I335" s="26"/>
      <x:c r="J335" s="19"/>
    </x:row>
    <x:row r="336">
      <x:c r="A336" s="19"/>
      <x:c r="B336" s="19"/>
      <x:c r="C336" s="19"/>
      <x:c r="D336" s="19"/>
      <x:c r="E336" s="19"/>
      <x:c r="F336" s="62"/>
      <x:c r="G336" s="24"/>
      <x:c r="H336" s="19"/>
      <x:c r="I336" s="26"/>
      <x:c r="J336" s="19"/>
    </x:row>
    <x:row r="337">
      <x:c r="A337" s="19"/>
      <x:c r="B337" s="19"/>
      <x:c r="C337" s="19"/>
      <x:c r="D337" s="19"/>
      <x:c r="E337" s="19"/>
      <x:c r="F337" s="62"/>
      <x:c r="G337" s="24"/>
      <x:c r="H337" s="19"/>
      <x:c r="I337" s="26"/>
      <x:c r="J337" s="19"/>
    </x:row>
    <x:row r="338">
      <x:c r="A338" s="19"/>
      <x:c r="B338" s="19"/>
      <x:c r="C338" s="19"/>
      <x:c r="D338" s="19"/>
      <x:c r="E338" s="19"/>
      <x:c r="F338" s="62"/>
      <x:c r="G338" s="24"/>
      <x:c r="H338" s="19"/>
      <x:c r="I338" s="26"/>
      <x:c r="J338" s="19"/>
    </x:row>
    <x:row r="339">
      <x:c r="A339" s="19"/>
      <x:c r="B339" s="19"/>
      <x:c r="C339" s="19"/>
      <x:c r="D339" s="19"/>
      <x:c r="E339" s="19"/>
      <x:c r="F339" s="62"/>
      <x:c r="G339" s="24"/>
      <x:c r="H339" s="19"/>
      <x:c r="I339" s="26"/>
      <x:c r="J339" s="19"/>
    </x:row>
    <x:row r="340">
      <x:c r="A340" s="19"/>
      <x:c r="B340" s="19"/>
      <x:c r="C340" s="19"/>
      <x:c r="D340" s="19"/>
      <x:c r="E340" s="19"/>
      <x:c r="F340" s="62"/>
      <x:c r="G340" s="24"/>
      <x:c r="H340" s="19"/>
      <x:c r="I340" s="26"/>
      <x:c r="J340" s="19"/>
    </x:row>
    <x:row r="341">
      <x:c r="A341" s="19"/>
      <x:c r="B341" s="19"/>
      <x:c r="C341" s="19"/>
      <x:c r="D341" s="19"/>
      <x:c r="E341" s="19"/>
      <x:c r="F341" s="62"/>
      <x:c r="G341" s="24"/>
      <x:c r="H341" s="19"/>
      <x:c r="I341" s="26"/>
      <x:c r="J341" s="19"/>
    </x:row>
    <x:row r="342">
      <x:c r="A342" s="19"/>
      <x:c r="B342" s="19"/>
      <x:c r="C342" s="19"/>
      <x:c r="D342" s="19"/>
      <x:c r="E342" s="19"/>
      <x:c r="F342" s="62"/>
      <x:c r="G342" s="24"/>
      <x:c r="H342" s="19"/>
      <x:c r="I342" s="26"/>
      <x:c r="J342" s="19"/>
    </x:row>
    <x:row r="343">
      <x:c r="A343" s="19"/>
      <x:c r="B343" s="19"/>
      <x:c r="C343" s="19"/>
      <x:c r="D343" s="19"/>
      <x:c r="E343" s="19"/>
      <x:c r="F343" s="62"/>
      <x:c r="G343" s="24"/>
      <x:c r="H343" s="19"/>
      <x:c r="I343" s="26"/>
      <x:c r="J343" s="19"/>
    </x:row>
    <x:row r="344">
      <x:c r="A344" s="19"/>
      <x:c r="B344" s="19"/>
      <x:c r="C344" s="19"/>
      <x:c r="D344" s="19"/>
      <x:c r="E344" s="19"/>
      <x:c r="F344" s="62"/>
      <x:c r="G344" s="24"/>
      <x:c r="H344" s="19"/>
      <x:c r="I344" s="26"/>
      <x:c r="J344" s="19"/>
    </x:row>
    <x:row r="345">
      <x:c r="A345" s="19"/>
      <x:c r="B345" s="19"/>
      <x:c r="C345" s="19"/>
      <x:c r="D345" s="19"/>
      <x:c r="E345" s="19"/>
      <x:c r="F345" s="62"/>
      <x:c r="G345" s="24"/>
      <x:c r="H345" s="19"/>
      <x:c r="I345" s="26"/>
      <x:c r="J345" s="19"/>
    </x:row>
    <x:row r="346">
      <x:c r="A346" s="19"/>
      <x:c r="B346" s="19"/>
      <x:c r="C346" s="19"/>
      <x:c r="D346" s="19"/>
      <x:c r="E346" s="19"/>
      <x:c r="F346" s="62"/>
      <x:c r="G346" s="24"/>
      <x:c r="H346" s="19"/>
      <x:c r="I346" s="26"/>
      <x:c r="J346" s="19"/>
    </x:row>
    <x:row r="347">
      <x:c r="A347" s="19"/>
      <x:c r="B347" s="19"/>
      <x:c r="C347" s="19"/>
      <x:c r="D347" s="19"/>
      <x:c r="E347" s="19"/>
      <x:c r="F347" s="62"/>
      <x:c r="G347" s="24"/>
      <x:c r="H347" s="19"/>
      <x:c r="I347" s="26"/>
      <x:c r="J347" s="19"/>
    </x:row>
    <x:row r="348">
      <x:c r="A348" s="19"/>
      <x:c r="B348" s="19"/>
      <x:c r="C348" s="19"/>
      <x:c r="D348" s="19"/>
      <x:c r="E348" s="19"/>
      <x:c r="F348" s="62"/>
      <x:c r="G348" s="24"/>
      <x:c r="H348" s="19"/>
      <x:c r="I348" s="26"/>
      <x:c r="J348" s="19"/>
    </x:row>
    <x:row r="349">
      <x:c r="A349" s="19"/>
      <x:c r="B349" s="19"/>
      <x:c r="C349" s="19"/>
      <x:c r="D349" s="19"/>
      <x:c r="E349" s="19"/>
      <x:c r="F349" s="62"/>
      <x:c r="G349" s="24"/>
      <x:c r="H349" s="19"/>
      <x:c r="I349" s="26"/>
      <x:c r="J349" s="19"/>
    </x:row>
    <x:row r="350">
      <x:c r="A350" s="19"/>
      <x:c r="B350" s="19"/>
      <x:c r="C350" s="19"/>
      <x:c r="D350" s="19"/>
      <x:c r="E350" s="19"/>
      <x:c r="F350" s="62"/>
      <x:c r="G350" s="24"/>
      <x:c r="H350" s="19"/>
      <x:c r="I350" s="26"/>
      <x:c r="J350" s="19"/>
    </x:row>
    <x:row r="351">
      <x:c r="A351" s="19"/>
      <x:c r="B351" s="19"/>
      <x:c r="C351" s="19"/>
      <x:c r="D351" s="19"/>
      <x:c r="E351" s="19"/>
      <x:c r="F351" s="62"/>
      <x:c r="G351" s="24"/>
      <x:c r="H351" s="19"/>
      <x:c r="I351" s="26"/>
      <x:c r="J351" s="19"/>
    </x:row>
    <x:row r="352">
      <x:c r="A352" s="19"/>
      <x:c r="B352" s="19"/>
      <x:c r="C352" s="19"/>
      <x:c r="D352" s="19"/>
      <x:c r="E352" s="19"/>
      <x:c r="F352" s="62"/>
      <x:c r="G352" s="24"/>
      <x:c r="H352" s="19"/>
      <x:c r="I352" s="26"/>
      <x:c r="J352" s="19"/>
    </x:row>
    <x:row r="353">
      <x:c r="A353" s="19"/>
      <x:c r="B353" s="19"/>
      <x:c r="C353" s="19"/>
      <x:c r="D353" s="19"/>
      <x:c r="E353" s="19"/>
      <x:c r="F353" s="62"/>
      <x:c r="G353" s="24"/>
      <x:c r="H353" s="19"/>
      <x:c r="I353" s="26"/>
      <x:c r="J353" s="19"/>
    </x:row>
    <x:row r="354">
      <x:c r="A354" s="19"/>
      <x:c r="B354" s="19"/>
      <x:c r="C354" s="19"/>
      <x:c r="D354" s="19"/>
      <x:c r="E354" s="19"/>
      <x:c r="F354" s="62"/>
      <x:c r="G354" s="24"/>
      <x:c r="H354" s="19"/>
      <x:c r="I354" s="26"/>
      <x:c r="J354" s="19"/>
    </x:row>
    <x:row r="355">
      <x:c r="A355" s="19"/>
      <x:c r="B355" s="19"/>
      <x:c r="C355" s="19"/>
      <x:c r="D355" s="19"/>
      <x:c r="E355" s="19"/>
      <x:c r="F355" s="62"/>
      <x:c r="G355" s="24"/>
      <x:c r="H355" s="19"/>
      <x:c r="I355" s="26"/>
      <x:c r="J355" s="19"/>
    </x:row>
    <x:row r="356">
      <x:c r="A356" s="19"/>
      <x:c r="B356" s="19"/>
      <x:c r="C356" s="19"/>
      <x:c r="D356" s="19"/>
      <x:c r="E356" s="19"/>
      <x:c r="F356" s="62"/>
      <x:c r="G356" s="24"/>
      <x:c r="H356" s="19"/>
      <x:c r="I356" s="26"/>
      <x:c r="J356" s="19"/>
    </x:row>
    <x:row r="357">
      <x:c r="A357" s="19"/>
      <x:c r="B357" s="19"/>
      <x:c r="C357" s="19"/>
      <x:c r="D357" s="19"/>
      <x:c r="E357" s="19"/>
      <x:c r="F357" s="62"/>
      <x:c r="G357" s="24"/>
      <x:c r="H357" s="19"/>
      <x:c r="I357" s="26"/>
      <x:c r="J357" s="19"/>
    </x:row>
    <x:row r="358">
      <x:c r="A358" s="19"/>
      <x:c r="B358" s="19"/>
      <x:c r="C358" s="19"/>
      <x:c r="D358" s="19"/>
      <x:c r="E358" s="19"/>
      <x:c r="F358" s="62"/>
      <x:c r="G358" s="24"/>
      <x:c r="H358" s="19"/>
      <x:c r="I358" s="26"/>
      <x:c r="J358" s="19"/>
    </x:row>
    <x:row r="359">
      <x:c r="A359" s="19"/>
      <x:c r="B359" s="19"/>
      <x:c r="C359" s="19"/>
      <x:c r="D359" s="19"/>
      <x:c r="E359" s="19"/>
      <x:c r="F359" s="62"/>
      <x:c r="G359" s="24"/>
      <x:c r="H359" s="19"/>
      <x:c r="I359" s="26"/>
      <x:c r="J359" s="19"/>
    </x:row>
    <x:row r="360">
      <x:c r="A360" s="19"/>
      <x:c r="B360" s="19"/>
      <x:c r="C360" s="19"/>
      <x:c r="D360" s="19"/>
      <x:c r="E360" s="19"/>
      <x:c r="F360" s="62"/>
      <x:c r="G360" s="24"/>
      <x:c r="H360" s="19"/>
      <x:c r="I360" s="26"/>
      <x:c r="J360" s="19"/>
    </x:row>
    <x:row r="361">
      <x:c r="A361" s="19"/>
      <x:c r="B361" s="19"/>
      <x:c r="C361" s="19"/>
      <x:c r="D361" s="19"/>
      <x:c r="E361" s="19"/>
      <x:c r="F361" s="62"/>
      <x:c r="G361" s="24"/>
      <x:c r="H361" s="19"/>
      <x:c r="I361" s="26"/>
      <x:c r="J361" s="19"/>
    </x:row>
    <x:row r="362">
      <x:c r="A362" s="19"/>
      <x:c r="B362" s="19"/>
      <x:c r="C362" s="19"/>
      <x:c r="D362" s="19"/>
      <x:c r="E362" s="19"/>
      <x:c r="F362" s="62"/>
      <x:c r="G362" s="24"/>
      <x:c r="H362" s="19"/>
      <x:c r="I362" s="26"/>
      <x:c r="J362" s="19"/>
    </x:row>
    <x:row r="363">
      <x:c r="A363" s="19"/>
      <x:c r="B363" s="19"/>
      <x:c r="C363" s="19"/>
      <x:c r="D363" s="19"/>
      <x:c r="E363" s="19"/>
      <x:c r="F363" s="62"/>
      <x:c r="G363" s="24"/>
      <x:c r="H363" s="19"/>
      <x:c r="I363" s="26"/>
      <x:c r="J363" s="19"/>
    </x:row>
    <x:row r="364">
      <x:c r="A364" s="19"/>
      <x:c r="B364" s="19"/>
      <x:c r="C364" s="19"/>
      <x:c r="D364" s="19"/>
      <x:c r="E364" s="19"/>
      <x:c r="F364" s="62"/>
      <x:c r="G364" s="24"/>
      <x:c r="H364" s="19"/>
      <x:c r="I364" s="26"/>
      <x:c r="J364" s="19"/>
    </x:row>
    <x:row r="365">
      <x:c r="A365" s="19"/>
      <x:c r="B365" s="19"/>
      <x:c r="C365" s="19"/>
      <x:c r="D365" s="19"/>
      <x:c r="E365" s="19"/>
      <x:c r="F365" s="62"/>
      <x:c r="G365" s="24"/>
      <x:c r="H365" s="19"/>
      <x:c r="I365" s="26"/>
      <x:c r="J365" s="19"/>
    </x:row>
    <x:row r="366">
      <x:c r="A366" s="19"/>
      <x:c r="B366" s="19"/>
      <x:c r="C366" s="19"/>
      <x:c r="D366" s="19"/>
      <x:c r="E366" s="19"/>
      <x:c r="F366" s="62"/>
      <x:c r="G366" s="24"/>
      <x:c r="H366" s="19"/>
      <x:c r="I366" s="26"/>
      <x:c r="J366" s="19"/>
    </x:row>
    <x:row r="367">
      <x:c r="A367" s="19"/>
      <x:c r="B367" s="19"/>
      <x:c r="C367" s="19"/>
      <x:c r="D367" s="19"/>
      <x:c r="E367" s="19"/>
      <x:c r="F367" s="62"/>
      <x:c r="G367" s="24"/>
      <x:c r="H367" s="19"/>
      <x:c r="I367" s="26"/>
      <x:c r="J367" s="19"/>
    </x:row>
    <x:row r="368">
      <x:c r="A368" s="19"/>
      <x:c r="B368" s="19"/>
      <x:c r="C368" s="19"/>
      <x:c r="D368" s="19"/>
      <x:c r="E368" s="19"/>
      <x:c r="F368" s="62"/>
      <x:c r="G368" s="24"/>
      <x:c r="H368" s="19"/>
      <x:c r="I368" s="26"/>
      <x:c r="J368" s="19"/>
    </x:row>
    <x:row r="369">
      <x:c r="A369" s="19"/>
      <x:c r="B369" s="19"/>
      <x:c r="C369" s="19"/>
      <x:c r="D369" s="19"/>
      <x:c r="E369" s="19"/>
      <x:c r="F369" s="62"/>
      <x:c r="G369" s="24"/>
      <x:c r="H369" s="19"/>
      <x:c r="I369" s="26"/>
      <x:c r="J369" s="19"/>
    </x:row>
    <x:row r="370">
      <x:c r="A370" s="19"/>
      <x:c r="B370" s="19"/>
      <x:c r="C370" s="19"/>
      <x:c r="D370" s="19"/>
      <x:c r="E370" s="19"/>
      <x:c r="F370" s="62"/>
      <x:c r="G370" s="24"/>
      <x:c r="H370" s="19"/>
      <x:c r="I370" s="26"/>
      <x:c r="J370" s="19"/>
    </x:row>
    <x:row r="371">
      <x:c r="A371" s="19"/>
      <x:c r="B371" s="19"/>
      <x:c r="C371" s="19"/>
      <x:c r="D371" s="19"/>
      <x:c r="E371" s="19"/>
      <x:c r="F371" s="62"/>
      <x:c r="G371" s="24"/>
      <x:c r="H371" s="19"/>
      <x:c r="I371" s="26"/>
      <x:c r="J371" s="19"/>
    </x:row>
    <x:row r="372">
      <x:c r="A372" s="19"/>
      <x:c r="B372" s="19"/>
      <x:c r="C372" s="19"/>
      <x:c r="D372" s="19"/>
      <x:c r="E372" s="19"/>
      <x:c r="F372" s="62"/>
      <x:c r="G372" s="24"/>
      <x:c r="H372" s="19"/>
      <x:c r="I372" s="26"/>
      <x:c r="J372" s="19"/>
    </x:row>
    <x:row r="373">
      <x:c r="A373" s="19"/>
      <x:c r="B373" s="19"/>
      <x:c r="C373" s="19"/>
      <x:c r="D373" s="19"/>
      <x:c r="E373" s="19"/>
      <x:c r="F373" s="62"/>
      <x:c r="G373" s="24"/>
      <x:c r="H373" s="19"/>
      <x:c r="I373" s="26"/>
      <x:c r="J373" s="19"/>
    </x:row>
    <x:row r="374">
      <x:c r="A374" s="19"/>
      <x:c r="B374" s="19"/>
      <x:c r="C374" s="19"/>
      <x:c r="D374" s="19"/>
      <x:c r="E374" s="19"/>
      <x:c r="F374" s="62"/>
      <x:c r="G374" s="24"/>
      <x:c r="H374" s="19"/>
      <x:c r="I374" s="26"/>
      <x:c r="J374" s="19"/>
    </x:row>
    <x:row r="375">
      <x:c r="A375" s="19"/>
      <x:c r="B375" s="19"/>
      <x:c r="C375" s="19"/>
      <x:c r="D375" s="19"/>
      <x:c r="E375" s="19"/>
      <x:c r="F375" s="62"/>
      <x:c r="G375" s="24"/>
      <x:c r="H375" s="19"/>
      <x:c r="I375" s="26"/>
      <x:c r="J375" s="19"/>
    </x:row>
    <x:row r="376">
      <x:c r="A376" s="19"/>
      <x:c r="B376" s="19"/>
      <x:c r="C376" s="19"/>
      <x:c r="D376" s="19"/>
      <x:c r="E376" s="19"/>
      <x:c r="F376" s="62"/>
      <x:c r="G376" s="24"/>
      <x:c r="H376" s="19"/>
      <x:c r="I376" s="26"/>
      <x:c r="J376" s="19"/>
    </x:row>
    <x:row r="377">
      <x:c r="A377" s="19"/>
      <x:c r="B377" s="19"/>
      <x:c r="C377" s="19"/>
      <x:c r="D377" s="19"/>
      <x:c r="E377" s="19"/>
      <x:c r="F377" s="62"/>
      <x:c r="G377" s="24"/>
      <x:c r="H377" s="19"/>
      <x:c r="I377" s="26"/>
      <x:c r="J377" s="19"/>
    </x:row>
    <x:row r="378">
      <x:c r="A378" s="19"/>
      <x:c r="B378" s="19"/>
      <x:c r="C378" s="19"/>
      <x:c r="D378" s="19"/>
      <x:c r="E378" s="19"/>
      <x:c r="F378" s="62"/>
      <x:c r="G378" s="24"/>
      <x:c r="H378" s="19"/>
      <x:c r="I378" s="26"/>
      <x:c r="J378" s="19"/>
    </x:row>
    <x:row r="379">
      <x:c r="A379" s="19"/>
      <x:c r="B379" s="19"/>
      <x:c r="C379" s="19"/>
      <x:c r="D379" s="19"/>
      <x:c r="E379" s="19"/>
      <x:c r="F379" s="62"/>
      <x:c r="G379" s="24"/>
      <x:c r="H379" s="19"/>
      <x:c r="I379" s="26"/>
      <x:c r="J379" s="19"/>
    </x:row>
    <x:row r="380">
      <x:c r="A380" s="19"/>
      <x:c r="B380" s="19"/>
      <x:c r="C380" s="19"/>
      <x:c r="D380" s="19"/>
      <x:c r="E380" s="19"/>
      <x:c r="F380" s="62"/>
      <x:c r="G380" s="24"/>
      <x:c r="H380" s="19"/>
      <x:c r="I380" s="26"/>
      <x:c r="J380" s="19"/>
    </x:row>
    <x:row r="381">
      <x:c r="A381" s="19"/>
      <x:c r="B381" s="19"/>
      <x:c r="C381" s="19"/>
      <x:c r="D381" s="19"/>
      <x:c r="E381" s="19"/>
      <x:c r="F381" s="62"/>
      <x:c r="G381" s="24"/>
      <x:c r="H381" s="19"/>
      <x:c r="I381" s="26"/>
      <x:c r="J381" s="19"/>
    </x:row>
    <x:row r="382">
      <x:c r="A382" s="19"/>
      <x:c r="B382" s="19"/>
      <x:c r="C382" s="19"/>
      <x:c r="D382" s="19"/>
      <x:c r="E382" s="19"/>
      <x:c r="F382" s="62"/>
      <x:c r="G382" s="24"/>
      <x:c r="H382" s="19"/>
      <x:c r="I382" s="26"/>
      <x:c r="J382" s="19"/>
    </x:row>
    <x:row r="383">
      <x:c r="A383" s="19"/>
      <x:c r="B383" s="19"/>
      <x:c r="C383" s="19"/>
      <x:c r="D383" s="19"/>
      <x:c r="E383" s="19"/>
      <x:c r="F383" s="62"/>
      <x:c r="G383" s="24"/>
      <x:c r="H383" s="19"/>
      <x:c r="I383" s="26"/>
      <x:c r="J383" s="19"/>
    </x:row>
    <x:row r="384">
      <x:c r="A384" s="19"/>
      <x:c r="B384" s="19"/>
      <x:c r="C384" s="19"/>
      <x:c r="D384" s="19"/>
      <x:c r="E384" s="19"/>
      <x:c r="F384" s="62"/>
      <x:c r="G384" s="24"/>
      <x:c r="H384" s="19"/>
      <x:c r="I384" s="26"/>
      <x:c r="J384" s="19"/>
    </x:row>
    <x:row r="385">
      <x:c r="A385" s="19"/>
      <x:c r="B385" s="19"/>
      <x:c r="C385" s="19"/>
      <x:c r="D385" s="19"/>
      <x:c r="E385" s="19"/>
      <x:c r="F385" s="62"/>
      <x:c r="G385" s="24"/>
      <x:c r="H385" s="19"/>
      <x:c r="I385" s="26"/>
      <x:c r="J385" s="19"/>
    </x:row>
    <x:row r="386">
      <x:c r="A386" s="19"/>
      <x:c r="B386" s="19"/>
      <x:c r="C386" s="19"/>
      <x:c r="D386" s="19"/>
      <x:c r="E386" s="19"/>
      <x:c r="F386" s="62"/>
      <x:c r="G386" s="24"/>
      <x:c r="H386" s="19"/>
      <x:c r="I386" s="26"/>
      <x:c r="J386" s="19"/>
    </x:row>
    <x:row r="387">
      <x:c r="A387" s="19"/>
      <x:c r="B387" s="19"/>
      <x:c r="C387" s="19"/>
      <x:c r="D387" s="19"/>
      <x:c r="E387" s="19"/>
      <x:c r="F387" s="62"/>
      <x:c r="G387" s="24"/>
      <x:c r="H387" s="19"/>
      <x:c r="I387" s="26"/>
      <x:c r="J387" s="19"/>
    </x:row>
    <x:row r="388">
      <x:c r="A388" s="19"/>
      <x:c r="B388" s="19"/>
      <x:c r="C388" s="19"/>
      <x:c r="D388" s="19"/>
      <x:c r="E388" s="19"/>
      <x:c r="F388" s="62"/>
      <x:c r="G388" s="24"/>
      <x:c r="H388" s="19"/>
      <x:c r="I388" s="26"/>
      <x:c r="J388" s="19"/>
    </x:row>
    <x:row r="389">
      <x:c r="A389" s="19"/>
      <x:c r="B389" s="19"/>
      <x:c r="C389" s="19"/>
      <x:c r="D389" s="19"/>
      <x:c r="E389" s="19"/>
      <x:c r="F389" s="62"/>
      <x:c r="G389" s="24"/>
      <x:c r="H389" s="19"/>
      <x:c r="I389" s="26"/>
      <x:c r="J389" s="19"/>
    </x:row>
    <x:row r="390">
      <x:c r="A390" s="19"/>
      <x:c r="B390" s="19"/>
      <x:c r="C390" s="19"/>
      <x:c r="D390" s="19"/>
      <x:c r="E390" s="19"/>
      <x:c r="F390" s="62"/>
      <x:c r="G390" s="24"/>
      <x:c r="H390" s="19"/>
      <x:c r="I390" s="26"/>
      <x:c r="J390" s="19"/>
    </x:row>
    <x:row r="391">
      <x:c r="A391" s="19"/>
      <x:c r="B391" s="19"/>
      <x:c r="C391" s="19"/>
      <x:c r="D391" s="19"/>
      <x:c r="E391" s="19"/>
      <x:c r="F391" s="62"/>
      <x:c r="G391" s="24"/>
      <x:c r="H391" s="19"/>
      <x:c r="I391" s="26"/>
      <x:c r="J391" s="19"/>
    </x:row>
    <x:row r="392">
      <x:c r="A392" s="19"/>
      <x:c r="B392" s="19"/>
      <x:c r="C392" s="19"/>
      <x:c r="D392" s="19"/>
      <x:c r="E392" s="19"/>
      <x:c r="F392" s="62"/>
      <x:c r="G392" s="24"/>
      <x:c r="H392" s="19"/>
      <x:c r="I392" s="26"/>
      <x:c r="J392" s="19"/>
    </x:row>
    <x:row r="393">
      <x:c r="A393" s="19"/>
      <x:c r="B393" s="19"/>
      <x:c r="C393" s="19"/>
      <x:c r="D393" s="19"/>
      <x:c r="E393" s="19"/>
      <x:c r="F393" s="62"/>
      <x:c r="G393" s="24"/>
      <x:c r="H393" s="19"/>
      <x:c r="I393" s="26"/>
      <x:c r="J393" s="19"/>
    </x:row>
    <x:row r="394">
      <x:c r="A394" s="19"/>
      <x:c r="B394" s="19"/>
      <x:c r="C394" s="19"/>
      <x:c r="D394" s="19"/>
      <x:c r="E394" s="19"/>
      <x:c r="F394" s="62"/>
      <x:c r="G394" s="24"/>
      <x:c r="H394" s="19"/>
      <x:c r="I394" s="26"/>
      <x:c r="J394" s="19"/>
    </x:row>
    <x:row r="395">
      <x:c r="A395" s="19"/>
      <x:c r="B395" s="19"/>
      <x:c r="C395" s="19"/>
      <x:c r="D395" s="19"/>
      <x:c r="E395" s="19"/>
      <x:c r="F395" s="62"/>
      <x:c r="G395" s="24"/>
      <x:c r="H395" s="19"/>
      <x:c r="I395" s="26"/>
      <x:c r="J395" s="19"/>
    </x:row>
    <x:row r="396">
      <x:c r="A396" s="19"/>
      <x:c r="B396" s="19"/>
      <x:c r="C396" s="19"/>
      <x:c r="D396" s="19"/>
      <x:c r="E396" s="19"/>
      <x:c r="F396" s="62"/>
      <x:c r="G396" s="24"/>
      <x:c r="H396" s="19"/>
      <x:c r="I396" s="26"/>
      <x:c r="J396" s="19"/>
    </x:row>
    <x:row r="397">
      <x:c r="A397" s="19"/>
      <x:c r="B397" s="19"/>
      <x:c r="C397" s="19"/>
      <x:c r="D397" s="19"/>
      <x:c r="E397" s="19"/>
      <x:c r="F397" s="62"/>
      <x:c r="G397" s="24"/>
      <x:c r="H397" s="19"/>
      <x:c r="I397" s="26"/>
      <x:c r="J397" s="19"/>
    </x:row>
    <x:row r="398">
      <x:c r="A398" s="19"/>
      <x:c r="B398" s="19"/>
      <x:c r="C398" s="19"/>
      <x:c r="D398" s="19"/>
      <x:c r="E398" s="19"/>
      <x:c r="F398" s="62"/>
      <x:c r="G398" s="24"/>
      <x:c r="H398" s="19"/>
      <x:c r="I398" s="26"/>
      <x:c r="J398" s="19"/>
    </x:row>
    <x:row r="399">
      <x:c r="A399" s="19"/>
      <x:c r="B399" s="19"/>
      <x:c r="C399" s="19"/>
      <x:c r="D399" s="19"/>
      <x:c r="E399" s="19"/>
      <x:c r="F399" s="62"/>
      <x:c r="G399" s="24"/>
      <x:c r="H399" s="19"/>
      <x:c r="I399" s="26"/>
      <x:c r="J399" s="19"/>
    </x:row>
    <x:row r="400">
      <x:c r="A400" s="19"/>
      <x:c r="B400" s="19"/>
      <x:c r="C400" s="19"/>
      <x:c r="D400" s="19"/>
      <x:c r="E400" s="19"/>
      <x:c r="F400" s="62"/>
      <x:c r="G400" s="24"/>
      <x:c r="H400" s="19"/>
      <x:c r="I400" s="26"/>
      <x:c r="J400" s="19"/>
    </x:row>
    <x:row r="401">
      <x:c r="A401" s="19"/>
      <x:c r="B401" s="19"/>
      <x:c r="C401" s="19"/>
      <x:c r="D401" s="19"/>
      <x:c r="E401" s="19"/>
      <x:c r="F401" s="62"/>
      <x:c r="G401" s="24"/>
      <x:c r="H401" s="19"/>
      <x:c r="I401" s="26"/>
      <x:c r="J401" s="19"/>
    </x:row>
    <x:row r="402">
      <x:c r="A402" s="19"/>
      <x:c r="B402" s="19"/>
      <x:c r="C402" s="19"/>
      <x:c r="D402" s="19"/>
      <x:c r="E402" s="19"/>
      <x:c r="F402" s="62"/>
      <x:c r="G402" s="24"/>
      <x:c r="H402" s="19"/>
      <x:c r="I402" s="26"/>
      <x:c r="J402" s="19"/>
    </x:row>
    <x:row r="403">
      <x:c r="A403" s="19"/>
      <x:c r="B403" s="19"/>
      <x:c r="C403" s="19"/>
      <x:c r="D403" s="19"/>
      <x:c r="E403" s="19"/>
      <x:c r="F403" s="62"/>
      <x:c r="G403" s="24"/>
      <x:c r="H403" s="19"/>
      <x:c r="I403" s="26"/>
      <x:c r="J403" s="19"/>
    </x:row>
    <x:row r="404">
      <x:c r="A404" s="19"/>
      <x:c r="B404" s="19"/>
      <x:c r="C404" s="19"/>
      <x:c r="D404" s="19"/>
      <x:c r="E404" s="19"/>
      <x:c r="F404" s="62"/>
      <x:c r="G404" s="24"/>
      <x:c r="H404" s="19"/>
      <x:c r="I404" s="26"/>
      <x:c r="J404" s="19"/>
    </x:row>
    <x:row r="405">
      <x:c r="A405" s="19"/>
      <x:c r="B405" s="19"/>
      <x:c r="C405" s="19"/>
      <x:c r="D405" s="19"/>
      <x:c r="E405" s="19"/>
      <x:c r="F405" s="62"/>
      <x:c r="G405" s="24"/>
      <x:c r="H405" s="19"/>
      <x:c r="I405" s="26"/>
      <x:c r="J405" s="19"/>
    </x:row>
    <x:row r="406">
      <x:c r="A406" s="19"/>
      <x:c r="B406" s="19"/>
      <x:c r="C406" s="19"/>
      <x:c r="D406" s="19"/>
      <x:c r="E406" s="19"/>
      <x:c r="F406" s="62"/>
      <x:c r="G406" s="24"/>
      <x:c r="H406" s="19"/>
      <x:c r="I406" s="26"/>
      <x:c r="J406" s="19"/>
    </x:row>
    <x:row r="407">
      <x:c r="A407" s="19"/>
      <x:c r="B407" s="19"/>
      <x:c r="C407" s="19"/>
      <x:c r="D407" s="19"/>
      <x:c r="E407" s="19"/>
      <x:c r="F407" s="62"/>
      <x:c r="G407" s="24"/>
      <x:c r="H407" s="19"/>
      <x:c r="I407" s="26"/>
      <x:c r="J407" s="19"/>
    </x:row>
    <x:row r="408">
      <x:c r="A408" s="19"/>
      <x:c r="B408" s="19"/>
      <x:c r="C408" s="19"/>
      <x:c r="D408" s="19"/>
      <x:c r="E408" s="19"/>
      <x:c r="F408" s="62"/>
      <x:c r="G408" s="24"/>
      <x:c r="H408" s="19"/>
      <x:c r="I408" s="26"/>
      <x:c r="J408" s="19"/>
    </x:row>
    <x:row r="409">
      <x:c r="A409" s="19"/>
      <x:c r="B409" s="19"/>
      <x:c r="C409" s="19"/>
      <x:c r="D409" s="19"/>
      <x:c r="E409" s="19"/>
      <x:c r="F409" s="62"/>
      <x:c r="G409" s="24"/>
      <x:c r="H409" s="19"/>
      <x:c r="I409" s="26"/>
      <x:c r="J409" s="19"/>
    </x:row>
    <x:row r="410">
      <x:c r="A410" s="19"/>
      <x:c r="B410" s="19"/>
      <x:c r="C410" s="19"/>
      <x:c r="D410" s="19"/>
      <x:c r="E410" s="19"/>
      <x:c r="F410" s="62"/>
      <x:c r="G410" s="24"/>
      <x:c r="H410" s="19"/>
      <x:c r="I410" s="26"/>
      <x:c r="J410" s="19"/>
    </x:row>
    <x:row r="411">
      <x:c r="A411" s="19"/>
      <x:c r="B411" s="19"/>
      <x:c r="C411" s="19"/>
      <x:c r="D411" s="19"/>
      <x:c r="E411" s="19"/>
      <x:c r="F411" s="62"/>
      <x:c r="G411" s="24"/>
      <x:c r="H411" s="19"/>
      <x:c r="I411" s="26"/>
      <x:c r="J411" s="19"/>
    </x:row>
    <x:row r="412">
      <x:c r="A412" s="19"/>
      <x:c r="B412" s="19"/>
      <x:c r="C412" s="19"/>
      <x:c r="D412" s="19"/>
      <x:c r="E412" s="19"/>
      <x:c r="F412" s="62"/>
      <x:c r="G412" s="24"/>
      <x:c r="H412" s="19"/>
      <x:c r="I412" s="26"/>
      <x:c r="J412" s="19"/>
    </x:row>
    <x:row r="413">
      <x:c r="A413" s="19"/>
      <x:c r="B413" s="19"/>
      <x:c r="C413" s="19"/>
      <x:c r="D413" s="19"/>
      <x:c r="E413" s="19"/>
      <x:c r="F413" s="62"/>
      <x:c r="G413" s="24"/>
      <x:c r="H413" s="19"/>
      <x:c r="I413" s="26"/>
      <x:c r="J413" s="19"/>
    </x:row>
    <x:row r="414">
      <x:c r="A414" s="19"/>
      <x:c r="B414" s="19"/>
      <x:c r="C414" s="19"/>
      <x:c r="D414" s="19"/>
      <x:c r="E414" s="19"/>
      <x:c r="F414" s="62"/>
      <x:c r="G414" s="24"/>
      <x:c r="H414" s="19"/>
      <x:c r="I414" s="26"/>
      <x:c r="J414" s="19"/>
    </x:row>
    <x:row r="415">
      <x:c r="A415" s="19"/>
      <x:c r="B415" s="19"/>
      <x:c r="C415" s="19"/>
      <x:c r="D415" s="19"/>
      <x:c r="E415" s="19"/>
      <x:c r="F415" s="62"/>
      <x:c r="G415" s="24"/>
      <x:c r="H415" s="19"/>
      <x:c r="I415" s="26"/>
      <x:c r="J415" s="19"/>
    </x:row>
    <x:row r="416">
      <x:c r="A416" s="19"/>
      <x:c r="B416" s="19"/>
      <x:c r="C416" s="19"/>
      <x:c r="D416" s="19"/>
      <x:c r="E416" s="19"/>
      <x:c r="F416" s="62"/>
      <x:c r="G416" s="24"/>
      <x:c r="H416" s="19"/>
      <x:c r="I416" s="26"/>
      <x:c r="J416" s="19"/>
    </x:row>
    <x:row r="417">
      <x:c r="A417" s="19"/>
      <x:c r="B417" s="19"/>
      <x:c r="C417" s="19"/>
      <x:c r="D417" s="19"/>
      <x:c r="E417" s="19"/>
      <x:c r="F417" s="62"/>
      <x:c r="G417" s="24"/>
      <x:c r="H417" s="19"/>
      <x:c r="I417" s="26"/>
      <x:c r="J417" s="19"/>
    </x:row>
    <x:row r="418">
      <x:c r="A418" s="19"/>
      <x:c r="B418" s="19"/>
      <x:c r="C418" s="19"/>
      <x:c r="D418" s="19"/>
      <x:c r="E418" s="19"/>
      <x:c r="F418" s="62"/>
      <x:c r="G418" s="24"/>
      <x:c r="H418" s="19"/>
      <x:c r="I418" s="26"/>
      <x:c r="J418" s="19"/>
    </x:row>
    <x:row r="419">
      <x:c r="A419" s="19"/>
      <x:c r="B419" s="19"/>
      <x:c r="C419" s="19"/>
      <x:c r="D419" s="19"/>
      <x:c r="E419" s="19"/>
      <x:c r="F419" s="62"/>
      <x:c r="G419" s="24"/>
      <x:c r="H419" s="19"/>
      <x:c r="I419" s="26"/>
      <x:c r="J419" s="19"/>
    </x:row>
    <x:row r="420">
      <x:c r="A420" s="19"/>
      <x:c r="B420" s="19"/>
      <x:c r="C420" s="19"/>
      <x:c r="D420" s="19"/>
      <x:c r="E420" s="19"/>
      <x:c r="F420" s="62"/>
      <x:c r="G420" s="24"/>
      <x:c r="H420" s="19"/>
      <x:c r="I420" s="26"/>
      <x:c r="J420" s="19"/>
    </x:row>
    <x:row r="421">
      <x:c r="A421" s="19"/>
      <x:c r="B421" s="19"/>
      <x:c r="C421" s="19"/>
      <x:c r="D421" s="19"/>
      <x:c r="E421" s="19"/>
      <x:c r="F421" s="62"/>
      <x:c r="G421" s="24"/>
      <x:c r="H421" s="19"/>
      <x:c r="I421" s="26"/>
      <x:c r="J421" s="19"/>
    </x:row>
    <x:row r="422">
      <x:c r="A422" s="19"/>
      <x:c r="B422" s="19"/>
      <x:c r="C422" s="19"/>
      <x:c r="D422" s="19"/>
      <x:c r="E422" s="19"/>
      <x:c r="F422" s="62"/>
      <x:c r="G422" s="24"/>
      <x:c r="H422" s="19"/>
      <x:c r="I422" s="26"/>
      <x:c r="J422" s="19"/>
    </x:row>
    <x:row r="423">
      <x:c r="A423" s="19"/>
      <x:c r="B423" s="19"/>
      <x:c r="C423" s="19"/>
      <x:c r="D423" s="19"/>
      <x:c r="E423" s="19"/>
      <x:c r="F423" s="62"/>
      <x:c r="G423" s="24"/>
      <x:c r="H423" s="19"/>
      <x:c r="I423" s="26"/>
      <x:c r="J423" s="19"/>
    </x:row>
    <x:row r="424">
      <x:c r="A424" s="19"/>
      <x:c r="B424" s="19"/>
      <x:c r="C424" s="19"/>
      <x:c r="D424" s="19"/>
      <x:c r="E424" s="19"/>
      <x:c r="F424" s="62"/>
      <x:c r="G424" s="24"/>
      <x:c r="H424" s="19"/>
      <x:c r="I424" s="26"/>
      <x:c r="J424" s="19"/>
    </x:row>
    <x:row r="425">
      <x:c r="A425" s="19"/>
      <x:c r="B425" s="19"/>
      <x:c r="C425" s="19"/>
      <x:c r="D425" s="19"/>
      <x:c r="E425" s="19"/>
      <x:c r="F425" s="62"/>
      <x:c r="G425" s="24"/>
      <x:c r="H425" s="19"/>
      <x:c r="I425" s="26"/>
      <x:c r="J425" s="19"/>
    </x:row>
    <x:row r="426">
      <x:c r="A426" s="19"/>
      <x:c r="B426" s="19"/>
      <x:c r="C426" s="19"/>
      <x:c r="D426" s="19"/>
      <x:c r="E426" s="19"/>
      <x:c r="F426" s="62"/>
      <x:c r="G426" s="24"/>
      <x:c r="H426" s="19"/>
      <x:c r="I426" s="26"/>
      <x:c r="J426" s="19"/>
    </x:row>
    <x:row r="427">
      <x:c r="A427" s="19"/>
      <x:c r="B427" s="19"/>
      <x:c r="C427" s="19"/>
      <x:c r="D427" s="19"/>
      <x:c r="E427" s="19"/>
      <x:c r="F427" s="62"/>
      <x:c r="G427" s="24"/>
      <x:c r="H427" s="19"/>
      <x:c r="I427" s="26"/>
      <x:c r="J427" s="19"/>
    </x:row>
    <x:row r="428">
      <x:c r="A428" s="19"/>
      <x:c r="B428" s="19"/>
      <x:c r="C428" s="19"/>
      <x:c r="D428" s="19"/>
      <x:c r="E428" s="19"/>
      <x:c r="F428" s="62"/>
      <x:c r="G428" s="24"/>
      <x:c r="H428" s="19"/>
      <x:c r="I428" s="26"/>
      <x:c r="J428" s="19"/>
    </x:row>
    <x:row r="429">
      <x:c r="A429" s="19"/>
      <x:c r="B429" s="19"/>
      <x:c r="C429" s="19"/>
      <x:c r="D429" s="19"/>
      <x:c r="E429" s="19"/>
      <x:c r="F429" s="62"/>
      <x:c r="G429" s="24"/>
      <x:c r="H429" s="19"/>
      <x:c r="I429" s="26"/>
      <x:c r="J429" s="19"/>
    </x:row>
    <x:row r="430">
      <x:c r="A430" s="19"/>
      <x:c r="B430" s="19"/>
      <x:c r="C430" s="19"/>
      <x:c r="D430" s="19"/>
      <x:c r="E430" s="19"/>
      <x:c r="F430" s="62"/>
      <x:c r="G430" s="24"/>
      <x:c r="H430" s="19"/>
      <x:c r="I430" s="26"/>
      <x:c r="J430" s="19"/>
    </x:row>
    <x:row r="431">
      <x:c r="A431" s="19"/>
      <x:c r="B431" s="19"/>
      <x:c r="C431" s="19"/>
      <x:c r="D431" s="19"/>
      <x:c r="E431" s="19"/>
      <x:c r="F431" s="62"/>
      <x:c r="G431" s="24"/>
      <x:c r="H431" s="19"/>
      <x:c r="I431" s="26"/>
      <x:c r="J431" s="19"/>
    </x:row>
    <x:row r="432">
      <x:c r="A432" s="19"/>
      <x:c r="B432" s="19"/>
      <x:c r="C432" s="19"/>
      <x:c r="D432" s="19"/>
      <x:c r="E432" s="19"/>
      <x:c r="F432" s="62"/>
      <x:c r="G432" s="24"/>
      <x:c r="H432" s="19"/>
      <x:c r="I432" s="26"/>
      <x:c r="J432" s="19"/>
    </x:row>
    <x:row r="433">
      <x:c r="A433" s="19"/>
      <x:c r="B433" s="19"/>
      <x:c r="C433" s="19"/>
      <x:c r="D433" s="19"/>
      <x:c r="E433" s="19"/>
      <x:c r="F433" s="62"/>
      <x:c r="G433" s="24"/>
      <x:c r="H433" s="19"/>
      <x:c r="I433" s="26"/>
      <x:c r="J433" s="19"/>
    </x:row>
    <x:row r="434">
      <x:c r="A434" s="19"/>
      <x:c r="B434" s="19"/>
      <x:c r="C434" s="19"/>
      <x:c r="D434" s="19"/>
      <x:c r="E434" s="19"/>
      <x:c r="F434" s="62"/>
      <x:c r="G434" s="24"/>
      <x:c r="H434" s="19"/>
      <x:c r="I434" s="26"/>
      <x:c r="J434" s="19"/>
    </x:row>
    <x:row r="435">
      <x:c r="A435" s="19"/>
      <x:c r="B435" s="19"/>
      <x:c r="C435" s="19"/>
      <x:c r="D435" s="19"/>
      <x:c r="E435" s="19"/>
      <x:c r="F435" s="62"/>
      <x:c r="G435" s="24"/>
      <x:c r="H435" s="19"/>
      <x:c r="I435" s="26"/>
      <x:c r="J435" s="19"/>
    </x:row>
    <x:row r="436">
      <x:c r="A436" s="19"/>
      <x:c r="B436" s="19"/>
      <x:c r="C436" s="19"/>
      <x:c r="D436" s="19"/>
      <x:c r="E436" s="19"/>
      <x:c r="F436" s="62"/>
      <x:c r="G436" s="24"/>
      <x:c r="H436" s="19"/>
      <x:c r="I436" s="26"/>
      <x:c r="J436" s="19"/>
    </x:row>
    <x:row r="437">
      <x:c r="A437" s="19"/>
      <x:c r="B437" s="19"/>
      <x:c r="C437" s="19"/>
      <x:c r="D437" s="19"/>
      <x:c r="E437" s="19"/>
      <x:c r="F437" s="62"/>
      <x:c r="G437" s="24"/>
      <x:c r="H437" s="19"/>
      <x:c r="I437" s="26"/>
      <x:c r="J437" s="19"/>
    </x:row>
    <x:row r="438">
      <x:c r="A438" s="19"/>
      <x:c r="B438" s="19"/>
      <x:c r="C438" s="19"/>
      <x:c r="D438" s="19"/>
      <x:c r="E438" s="19"/>
      <x:c r="F438" s="62"/>
      <x:c r="G438" s="24"/>
      <x:c r="H438" s="19"/>
      <x:c r="I438" s="26"/>
      <x:c r="J438" s="19"/>
    </x:row>
    <x:row r="439">
      <x:c r="A439" s="19"/>
      <x:c r="B439" s="19"/>
      <x:c r="C439" s="19"/>
      <x:c r="D439" s="19"/>
      <x:c r="E439" s="19"/>
      <x:c r="F439" s="62"/>
      <x:c r="G439" s="24"/>
      <x:c r="H439" s="19"/>
      <x:c r="I439" s="26"/>
      <x:c r="J439" s="19"/>
    </x:row>
    <x:row r="440">
      <x:c r="A440" s="19"/>
      <x:c r="B440" s="19"/>
      <x:c r="C440" s="19"/>
      <x:c r="D440" s="19"/>
      <x:c r="E440" s="19"/>
      <x:c r="F440" s="62"/>
      <x:c r="G440" s="24"/>
      <x:c r="H440" s="19"/>
      <x:c r="I440" s="26"/>
      <x:c r="J440" s="19"/>
    </x:row>
    <x:row r="441">
      <x:c r="A441" s="19"/>
      <x:c r="B441" s="19"/>
      <x:c r="C441" s="19"/>
      <x:c r="D441" s="19"/>
      <x:c r="E441" s="19"/>
      <x:c r="F441" s="62"/>
      <x:c r="G441" s="24"/>
      <x:c r="H441" s="19"/>
      <x:c r="I441" s="26"/>
      <x:c r="J441" s="19"/>
    </x:row>
    <x:row r="442">
      <x:c r="A442" s="19"/>
      <x:c r="B442" s="19"/>
      <x:c r="C442" s="19"/>
      <x:c r="D442" s="19"/>
      <x:c r="E442" s="19"/>
      <x:c r="F442" s="62"/>
      <x:c r="G442" s="24"/>
      <x:c r="H442" s="19"/>
      <x:c r="I442" s="26"/>
      <x:c r="J442" s="19"/>
    </x:row>
    <x:row r="443">
      <x:c r="A443" s="19"/>
      <x:c r="B443" s="19"/>
      <x:c r="C443" s="19"/>
      <x:c r="D443" s="19"/>
      <x:c r="E443" s="19"/>
      <x:c r="F443" s="62"/>
      <x:c r="G443" s="24"/>
      <x:c r="H443" s="19"/>
      <x:c r="I443" s="26"/>
      <x:c r="J443" s="19"/>
    </x:row>
    <x:row r="444">
      <x:c r="A444" s="19"/>
      <x:c r="B444" s="19"/>
      <x:c r="C444" s="19"/>
      <x:c r="D444" s="19"/>
      <x:c r="E444" s="19"/>
      <x:c r="F444" s="62"/>
      <x:c r="G444" s="24"/>
      <x:c r="H444" s="19"/>
      <x:c r="I444" s="26"/>
      <x:c r="J444" s="19"/>
    </x:row>
    <x:row r="445">
      <x:c r="A445" s="19"/>
      <x:c r="B445" s="19"/>
      <x:c r="C445" s="19"/>
      <x:c r="D445" s="19"/>
      <x:c r="E445" s="19"/>
      <x:c r="F445" s="62"/>
      <x:c r="G445" s="24"/>
      <x:c r="H445" s="19"/>
      <x:c r="I445" s="26"/>
      <x:c r="J445" s="19"/>
    </x:row>
    <x:row r="446">
      <x:c r="A446" s="19"/>
      <x:c r="B446" s="19"/>
      <x:c r="C446" s="19"/>
      <x:c r="D446" s="19"/>
      <x:c r="E446" s="19"/>
      <x:c r="F446" s="62"/>
      <x:c r="G446" s="24"/>
      <x:c r="H446" s="19"/>
      <x:c r="I446" s="26"/>
      <x:c r="J446" s="19"/>
    </x:row>
    <x:row r="447">
      <x:c r="A447" s="19"/>
      <x:c r="B447" s="19"/>
      <x:c r="C447" s="19"/>
      <x:c r="D447" s="19"/>
      <x:c r="E447" s="19"/>
      <x:c r="F447" s="62"/>
      <x:c r="G447" s="24"/>
      <x:c r="H447" s="19"/>
      <x:c r="I447" s="26"/>
      <x:c r="J447" s="19"/>
    </x:row>
    <x:row r="448">
      <x:c r="A448" s="19"/>
      <x:c r="B448" s="19"/>
      <x:c r="C448" s="19"/>
      <x:c r="D448" s="19"/>
      <x:c r="E448" s="19"/>
      <x:c r="F448" s="62"/>
      <x:c r="G448" s="24"/>
      <x:c r="H448" s="19"/>
      <x:c r="I448" s="26"/>
      <x:c r="J448" s="19"/>
    </x:row>
    <x:row r="449">
      <x:c r="A449" s="19"/>
      <x:c r="B449" s="19"/>
      <x:c r="C449" s="19"/>
      <x:c r="D449" s="19"/>
      <x:c r="E449" s="19"/>
      <x:c r="F449" s="62"/>
      <x:c r="G449" s="24"/>
      <x:c r="H449" s="19"/>
      <x:c r="I449" s="26"/>
      <x:c r="J449" s="19"/>
    </x:row>
    <x:row r="450">
      <x:c r="A450" s="19"/>
      <x:c r="B450" s="19"/>
      <x:c r="C450" s="19"/>
      <x:c r="D450" s="19"/>
      <x:c r="E450" s="19"/>
      <x:c r="F450" s="62"/>
      <x:c r="G450" s="24"/>
      <x:c r="H450" s="19"/>
      <x:c r="I450" s="26"/>
      <x:c r="J450" s="19"/>
    </x:row>
    <x:row r="451">
      <x:c r="A451" s="19"/>
      <x:c r="B451" s="19"/>
      <x:c r="C451" s="19"/>
      <x:c r="D451" s="19"/>
      <x:c r="E451" s="19"/>
      <x:c r="F451" s="62"/>
      <x:c r="G451" s="24"/>
      <x:c r="H451" s="19"/>
      <x:c r="I451" s="26"/>
      <x:c r="J451" s="19"/>
    </x:row>
    <x:row r="452">
      <x:c r="A452" s="19"/>
      <x:c r="B452" s="19"/>
      <x:c r="C452" s="19"/>
      <x:c r="D452" s="19"/>
      <x:c r="E452" s="19"/>
      <x:c r="F452" s="62"/>
      <x:c r="G452" s="24"/>
      <x:c r="H452" s="19"/>
      <x:c r="I452" s="26"/>
      <x:c r="J452" s="19"/>
    </x:row>
    <x:row r="453">
      <x:c r="A453" s="19"/>
      <x:c r="B453" s="19"/>
      <x:c r="C453" s="19"/>
      <x:c r="D453" s="19"/>
      <x:c r="E453" s="19"/>
      <x:c r="F453" s="62"/>
      <x:c r="G453" s="24"/>
      <x:c r="H453" s="19"/>
      <x:c r="I453" s="26"/>
      <x:c r="J453" s="19"/>
    </x:row>
    <x:row r="454">
      <x:c r="A454" s="19"/>
      <x:c r="B454" s="19"/>
      <x:c r="C454" s="19"/>
      <x:c r="D454" s="19"/>
      <x:c r="E454" s="19"/>
      <x:c r="F454" s="62"/>
      <x:c r="G454" s="24"/>
      <x:c r="H454" s="19"/>
      <x:c r="I454" s="26"/>
      <x:c r="J454" s="19"/>
    </x:row>
    <x:row r="455">
      <x:c r="A455" s="19"/>
      <x:c r="B455" s="19"/>
      <x:c r="C455" s="19"/>
      <x:c r="D455" s="19"/>
      <x:c r="E455" s="19"/>
      <x:c r="F455" s="62"/>
      <x:c r="G455" s="24"/>
      <x:c r="H455" s="19"/>
      <x:c r="I455" s="26"/>
      <x:c r="J455" s="19"/>
    </x:row>
    <x:row r="456">
      <x:c r="A456" s="19"/>
      <x:c r="B456" s="19"/>
      <x:c r="C456" s="19"/>
      <x:c r="D456" s="19"/>
      <x:c r="E456" s="19"/>
      <x:c r="F456" s="62"/>
      <x:c r="G456" s="24"/>
      <x:c r="H456" s="19"/>
      <x:c r="I456" s="26"/>
      <x:c r="J456" s="19"/>
    </x:row>
    <x:row r="457">
      <x:c r="A457" s="19"/>
      <x:c r="B457" s="19"/>
      <x:c r="C457" s="19"/>
      <x:c r="D457" s="19"/>
      <x:c r="E457" s="19"/>
      <x:c r="F457" s="62"/>
      <x:c r="G457" s="24"/>
      <x:c r="H457" s="19"/>
      <x:c r="I457" s="26"/>
      <x:c r="J457" s="19"/>
    </x:row>
    <x:row r="458">
      <x:c r="A458" s="19"/>
      <x:c r="B458" s="19"/>
      <x:c r="C458" s="19"/>
      <x:c r="D458" s="19"/>
      <x:c r="E458" s="19"/>
      <x:c r="F458" s="62"/>
      <x:c r="G458" s="24"/>
      <x:c r="H458" s="19"/>
      <x:c r="I458" s="26"/>
      <x:c r="J458" s="19"/>
    </x:row>
    <x:row r="459">
      <x:c r="A459" s="19"/>
      <x:c r="B459" s="19"/>
      <x:c r="C459" s="19"/>
      <x:c r="D459" s="19"/>
      <x:c r="E459" s="19"/>
      <x:c r="F459" s="62"/>
      <x:c r="G459" s="24"/>
      <x:c r="H459" s="19"/>
      <x:c r="I459" s="26"/>
      <x:c r="J459" s="19"/>
    </x:row>
    <x:row r="460">
      <x:c r="A460" s="19"/>
      <x:c r="B460" s="19"/>
      <x:c r="C460" s="19"/>
      <x:c r="D460" s="19"/>
      <x:c r="E460" s="19"/>
      <x:c r="F460" s="62"/>
      <x:c r="G460" s="24"/>
      <x:c r="H460" s="19"/>
      <x:c r="I460" s="26"/>
      <x:c r="J460" s="19"/>
    </x:row>
    <x:row r="461">
      <x:c r="A461" s="19"/>
      <x:c r="B461" s="19"/>
      <x:c r="C461" s="19"/>
      <x:c r="D461" s="19"/>
      <x:c r="E461" s="19"/>
      <x:c r="F461" s="62"/>
      <x:c r="G461" s="24"/>
      <x:c r="H461" s="19"/>
      <x:c r="I461" s="26"/>
      <x:c r="J461" s="19"/>
    </x:row>
    <x:row r="462">
      <x:c r="A462" s="19"/>
      <x:c r="B462" s="19"/>
      <x:c r="C462" s="19"/>
      <x:c r="D462" s="19"/>
      <x:c r="E462" s="19"/>
      <x:c r="F462" s="62"/>
      <x:c r="G462" s="24"/>
      <x:c r="H462" s="19"/>
      <x:c r="I462" s="26"/>
      <x:c r="J462" s="19"/>
    </x:row>
    <x:row r="463">
      <x:c r="A463" s="19"/>
      <x:c r="B463" s="19"/>
      <x:c r="C463" s="19"/>
      <x:c r="D463" s="19"/>
      <x:c r="E463" s="19"/>
      <x:c r="F463" s="62"/>
      <x:c r="G463" s="24"/>
      <x:c r="H463" s="19"/>
      <x:c r="I463" s="26"/>
      <x:c r="J463" s="19"/>
    </x:row>
    <x:row r="464">
      <x:c r="A464" s="19"/>
      <x:c r="B464" s="19"/>
      <x:c r="C464" s="19"/>
      <x:c r="D464" s="19"/>
      <x:c r="E464" s="19"/>
      <x:c r="F464" s="62"/>
      <x:c r="G464" s="24"/>
      <x:c r="H464" s="19"/>
      <x:c r="I464" s="26"/>
      <x:c r="J464" s="19"/>
    </x:row>
    <x:row r="465">
      <x:c r="A465" s="19"/>
      <x:c r="B465" s="19"/>
      <x:c r="C465" s="19"/>
      <x:c r="D465" s="19"/>
      <x:c r="E465" s="19"/>
      <x:c r="F465" s="62"/>
      <x:c r="G465" s="24"/>
      <x:c r="H465" s="19"/>
      <x:c r="I465" s="26"/>
      <x:c r="J465" s="19"/>
    </x:row>
    <x:row r="466">
      <x:c r="A466" s="19"/>
      <x:c r="B466" s="19"/>
      <x:c r="C466" s="19"/>
      <x:c r="D466" s="19"/>
      <x:c r="E466" s="19"/>
      <x:c r="F466" s="62"/>
      <x:c r="G466" s="24"/>
      <x:c r="H466" s="19"/>
      <x:c r="I466" s="26"/>
      <x:c r="J466" s="19"/>
    </x:row>
    <x:row r="467">
      <x:c r="A467" s="19"/>
      <x:c r="B467" s="19"/>
      <x:c r="C467" s="19"/>
      <x:c r="D467" s="19"/>
      <x:c r="E467" s="19"/>
      <x:c r="F467" s="62"/>
      <x:c r="G467" s="24"/>
      <x:c r="H467" s="19"/>
      <x:c r="I467" s="26"/>
      <x:c r="J467" s="19"/>
    </x:row>
    <x:row r="468">
      <x:c r="A468" s="19"/>
      <x:c r="B468" s="19"/>
      <x:c r="C468" s="19"/>
      <x:c r="D468" s="19"/>
      <x:c r="E468" s="19"/>
      <x:c r="F468" s="62"/>
      <x:c r="G468" s="24"/>
      <x:c r="H468" s="19"/>
      <x:c r="I468" s="26"/>
      <x:c r="J468" s="19"/>
    </x:row>
    <x:row r="469">
      <x:c r="A469" s="19"/>
      <x:c r="B469" s="19"/>
      <x:c r="C469" s="19"/>
      <x:c r="D469" s="19"/>
      <x:c r="E469" s="19"/>
      <x:c r="F469" s="62"/>
      <x:c r="G469" s="24"/>
      <x:c r="H469" s="19"/>
      <x:c r="I469" s="26"/>
      <x:c r="J469" s="19"/>
    </x:row>
    <x:row r="470">
      <x:c r="A470" s="19"/>
      <x:c r="B470" s="19"/>
      <x:c r="C470" s="19"/>
      <x:c r="D470" s="19"/>
      <x:c r="E470" s="19"/>
      <x:c r="F470" s="62"/>
      <x:c r="G470" s="24"/>
      <x:c r="H470" s="19"/>
      <x:c r="I470" s="26"/>
      <x:c r="J470" s="19"/>
    </x:row>
    <x:row r="471">
      <x:c r="A471" s="19"/>
      <x:c r="B471" s="19"/>
      <x:c r="C471" s="19"/>
      <x:c r="D471" s="19"/>
      <x:c r="E471" s="19"/>
      <x:c r="F471" s="62"/>
      <x:c r="G471" s="24"/>
      <x:c r="H471" s="19"/>
      <x:c r="I471" s="26"/>
      <x:c r="J471" s="19"/>
    </x:row>
    <x:row r="472">
      <x:c r="A472" s="19"/>
      <x:c r="B472" s="19"/>
      <x:c r="C472" s="19"/>
      <x:c r="D472" s="19"/>
      <x:c r="E472" s="19"/>
      <x:c r="F472" s="62"/>
      <x:c r="G472" s="24"/>
      <x:c r="H472" s="19"/>
      <x:c r="I472" s="26"/>
      <x:c r="J472" s="19"/>
    </x:row>
    <x:row r="473">
      <x:c r="A473" s="19"/>
      <x:c r="B473" s="19"/>
      <x:c r="C473" s="19"/>
      <x:c r="D473" s="19"/>
      <x:c r="E473" s="19"/>
      <x:c r="F473" s="62"/>
      <x:c r="G473" s="24"/>
      <x:c r="H473" s="19"/>
      <x:c r="I473" s="26"/>
      <x:c r="J473" s="19"/>
    </x:row>
    <x:row r="474">
      <x:c r="A474" s="19"/>
      <x:c r="B474" s="19"/>
      <x:c r="C474" s="19"/>
      <x:c r="D474" s="19"/>
      <x:c r="E474" s="19"/>
      <x:c r="F474" s="62"/>
      <x:c r="G474" s="24"/>
      <x:c r="H474" s="19"/>
      <x:c r="I474" s="26"/>
      <x:c r="J474" s="19"/>
    </x:row>
    <x:row r="475">
      <x:c r="A475" s="19"/>
      <x:c r="B475" s="19"/>
      <x:c r="C475" s="19"/>
      <x:c r="D475" s="19"/>
      <x:c r="E475" s="19"/>
      <x:c r="F475" s="62"/>
      <x:c r="G475" s="24"/>
      <x:c r="H475" s="19"/>
      <x:c r="I475" s="26"/>
      <x:c r="J475" s="19"/>
    </x:row>
    <x:row r="476">
      <x:c r="A476" s="19"/>
      <x:c r="B476" s="19"/>
      <x:c r="C476" s="19"/>
      <x:c r="D476" s="19"/>
      <x:c r="E476" s="19"/>
      <x:c r="F476" s="62"/>
      <x:c r="G476" s="24"/>
      <x:c r="H476" s="19"/>
      <x:c r="I476" s="26"/>
      <x:c r="J476" s="19"/>
    </x:row>
    <x:row r="477">
      <x:c r="A477" s="19"/>
      <x:c r="B477" s="19"/>
      <x:c r="C477" s="19"/>
      <x:c r="D477" s="19"/>
      <x:c r="E477" s="19"/>
      <x:c r="F477" s="62"/>
      <x:c r="G477" s="24"/>
      <x:c r="H477" s="19"/>
      <x:c r="I477" s="26"/>
      <x:c r="J477" s="19"/>
    </x:row>
    <x:row r="478">
      <x:c r="A478" s="19"/>
      <x:c r="B478" s="19"/>
      <x:c r="C478" s="19"/>
      <x:c r="D478" s="19"/>
      <x:c r="E478" s="19"/>
      <x:c r="F478" s="62"/>
      <x:c r="G478" s="24"/>
      <x:c r="H478" s="19"/>
      <x:c r="I478" s="26"/>
      <x:c r="J478" s="19"/>
    </x:row>
    <x:row r="479">
      <x:c r="A479" s="19"/>
      <x:c r="B479" s="19"/>
      <x:c r="C479" s="19"/>
      <x:c r="D479" s="19"/>
      <x:c r="E479" s="19"/>
      <x:c r="F479" s="62"/>
      <x:c r="G479" s="24"/>
      <x:c r="H479" s="19"/>
      <x:c r="I479" s="26"/>
      <x:c r="J479" s="19"/>
    </x:row>
    <x:row r="480">
      <x:c r="A480" s="19"/>
      <x:c r="B480" s="19"/>
      <x:c r="C480" s="19"/>
      <x:c r="D480" s="19"/>
      <x:c r="E480" s="19"/>
      <x:c r="F480" s="62"/>
      <x:c r="G480" s="24"/>
      <x:c r="H480" s="19"/>
      <x:c r="I480" s="26"/>
      <x:c r="J480" s="19"/>
    </x:row>
    <x:row r="481">
      <x:c r="A481" s="19"/>
      <x:c r="B481" s="19"/>
      <x:c r="C481" s="19"/>
      <x:c r="D481" s="19"/>
      <x:c r="E481" s="19"/>
      <x:c r="F481" s="62"/>
      <x:c r="G481" s="24"/>
      <x:c r="H481" s="19"/>
      <x:c r="I481" s="26"/>
      <x:c r="J481" s="19"/>
    </x:row>
    <x:row r="482">
      <x:c r="A482" s="19"/>
      <x:c r="B482" s="19"/>
      <x:c r="C482" s="19"/>
      <x:c r="D482" s="19"/>
      <x:c r="E482" s="19"/>
      <x:c r="F482" s="62"/>
      <x:c r="G482" s="24"/>
      <x:c r="H482" s="19"/>
      <x:c r="I482" s="26"/>
      <x:c r="J482" s="19"/>
    </x:row>
    <x:row r="483">
      <x:c r="A483" s="19"/>
      <x:c r="B483" s="19"/>
      <x:c r="C483" s="19"/>
      <x:c r="D483" s="19"/>
      <x:c r="E483" s="19"/>
      <x:c r="F483" s="62"/>
      <x:c r="G483" s="24"/>
      <x:c r="H483" s="19"/>
      <x:c r="I483" s="26"/>
      <x:c r="J483" s="19"/>
    </x:row>
    <x:row r="484">
      <x:c r="A484" s="19"/>
      <x:c r="B484" s="19"/>
      <x:c r="C484" s="19"/>
      <x:c r="D484" s="19"/>
      <x:c r="E484" s="19"/>
      <x:c r="F484" s="62"/>
      <x:c r="G484" s="24"/>
      <x:c r="H484" s="19"/>
      <x:c r="I484" s="26"/>
      <x:c r="J484" s="19"/>
    </x:row>
    <x:row r="485">
      <x:c r="A485" s="19"/>
      <x:c r="B485" s="19"/>
      <x:c r="C485" s="19"/>
      <x:c r="D485" s="19"/>
      <x:c r="E485" s="19"/>
      <x:c r="F485" s="62"/>
      <x:c r="G485" s="24"/>
      <x:c r="H485" s="19"/>
      <x:c r="I485" s="26"/>
      <x:c r="J485" s="19"/>
    </x:row>
    <x:row r="486">
      <x:c r="A486" s="19"/>
      <x:c r="B486" s="19"/>
      <x:c r="C486" s="19"/>
      <x:c r="D486" s="19"/>
      <x:c r="E486" s="19"/>
      <x:c r="F486" s="62"/>
      <x:c r="G486" s="24"/>
      <x:c r="H486" s="19"/>
      <x:c r="I486" s="26"/>
      <x:c r="J486" s="19"/>
    </x:row>
    <x:row r="487">
      <x:c r="A487" s="19"/>
      <x:c r="B487" s="19"/>
      <x:c r="C487" s="19"/>
      <x:c r="D487" s="19"/>
      <x:c r="E487" s="19"/>
      <x:c r="F487" s="62"/>
      <x:c r="G487" s="24"/>
      <x:c r="H487" s="19"/>
      <x:c r="I487" s="26"/>
      <x:c r="J487" s="19"/>
    </x:row>
    <x:row r="488">
      <x:c r="A488" s="19"/>
      <x:c r="B488" s="19"/>
      <x:c r="C488" s="19"/>
      <x:c r="D488" s="19"/>
      <x:c r="E488" s="19"/>
      <x:c r="F488" s="62"/>
      <x:c r="G488" s="24"/>
      <x:c r="H488" s="19"/>
      <x:c r="I488" s="26"/>
      <x:c r="J488" s="19"/>
    </x:row>
    <x:row r="489">
      <x:c r="A489" s="19"/>
      <x:c r="B489" s="19"/>
      <x:c r="C489" s="19"/>
      <x:c r="D489" s="19"/>
      <x:c r="E489" s="19"/>
      <x:c r="F489" s="62"/>
      <x:c r="G489" s="24"/>
      <x:c r="H489" s="19"/>
      <x:c r="I489" s="26"/>
      <x:c r="J489" s="19"/>
    </x:row>
    <x:row r="490">
      <x:c r="A490" s="19"/>
      <x:c r="B490" s="19"/>
      <x:c r="C490" s="19"/>
      <x:c r="D490" s="19"/>
      <x:c r="E490" s="19"/>
      <x:c r="F490" s="62"/>
      <x:c r="G490" s="24"/>
      <x:c r="H490" s="19"/>
      <x:c r="I490" s="26"/>
      <x:c r="J490" s="19"/>
    </x:row>
    <x:row r="491">
      <x:c r="A491" s="19"/>
      <x:c r="B491" s="19"/>
      <x:c r="C491" s="19"/>
      <x:c r="D491" s="19"/>
      <x:c r="E491" s="19"/>
      <x:c r="F491" s="62"/>
      <x:c r="G491" s="24"/>
      <x:c r="H491" s="19"/>
      <x:c r="I491" s="26"/>
      <x:c r="J491" s="19"/>
    </x:row>
    <x:row r="492">
      <x:c r="A492" s="19"/>
      <x:c r="B492" s="19"/>
      <x:c r="C492" s="19"/>
      <x:c r="D492" s="19"/>
      <x:c r="E492" s="19"/>
      <x:c r="F492" s="62"/>
      <x:c r="G492" s="24"/>
      <x:c r="H492" s="19"/>
      <x:c r="I492" s="26"/>
      <x:c r="J492" s="19"/>
    </x:row>
    <x:row r="493">
      <x:c r="A493" s="19"/>
      <x:c r="B493" s="19"/>
      <x:c r="C493" s="19"/>
      <x:c r="D493" s="19"/>
      <x:c r="E493" s="19"/>
      <x:c r="F493" s="62"/>
      <x:c r="G493" s="24"/>
      <x:c r="H493" s="19"/>
      <x:c r="I493" s="26"/>
      <x:c r="J493" s="19"/>
    </x:row>
    <x:row r="494">
      <x:c r="A494" s="19"/>
      <x:c r="B494" s="19"/>
      <x:c r="C494" s="19"/>
      <x:c r="D494" s="19"/>
      <x:c r="E494" s="19"/>
      <x:c r="F494" s="62"/>
      <x:c r="G494" s="24"/>
      <x:c r="H494" s="19"/>
      <x:c r="I494" s="26"/>
      <x:c r="J494" s="19"/>
    </x:row>
    <x:row r="495">
      <x:c r="A495" s="19"/>
      <x:c r="B495" s="19"/>
      <x:c r="C495" s="19"/>
      <x:c r="D495" s="19"/>
      <x:c r="E495" s="19"/>
      <x:c r="F495" s="62"/>
      <x:c r="G495" s="24"/>
      <x:c r="H495" s="19"/>
      <x:c r="I495" s="26"/>
      <x:c r="J495" s="19"/>
    </x:row>
    <x:row r="496">
      <x:c r="A496" s="19"/>
      <x:c r="B496" s="19"/>
      <x:c r="C496" s="19"/>
      <x:c r="D496" s="19"/>
      <x:c r="E496" s="19"/>
      <x:c r="F496" s="62"/>
      <x:c r="G496" s="24"/>
      <x:c r="H496" s="19"/>
      <x:c r="I496" s="26"/>
      <x:c r="J496" s="19"/>
    </x:row>
    <x:row r="497">
      <x:c r="A497" s="19"/>
      <x:c r="B497" s="19"/>
      <x:c r="C497" s="19"/>
      <x:c r="D497" s="19"/>
      <x:c r="E497" s="19"/>
      <x:c r="F497" s="62"/>
      <x:c r="G497" s="24"/>
      <x:c r="H497" s="19"/>
      <x:c r="I497" s="26"/>
      <x:c r="J497" s="19"/>
    </x:row>
    <x:row r="498">
      <x:c r="A498" s="19"/>
      <x:c r="B498" s="19"/>
      <x:c r="C498" s="19"/>
      <x:c r="D498" s="19"/>
      <x:c r="E498" s="19"/>
      <x:c r="F498" s="62"/>
      <x:c r="G498" s="24"/>
      <x:c r="H498" s="19"/>
      <x:c r="I498" s="26"/>
      <x:c r="J498" s="19"/>
    </x:row>
    <x:row r="499">
      <x:c r="A499" s="19"/>
      <x:c r="B499" s="19"/>
      <x:c r="C499" s="19"/>
      <x:c r="D499" s="19"/>
      <x:c r="E499" s="19"/>
      <x:c r="F499" s="62"/>
      <x:c r="G499" s="24"/>
      <x:c r="H499" s="19"/>
      <x:c r="I499" s="26"/>
      <x:c r="J499" s="19"/>
    </x:row>
    <x:row r="500">
      <x:c r="A500" s="19"/>
      <x:c r="B500" s="19"/>
      <x:c r="C500" s="19"/>
      <x:c r="D500" s="19"/>
      <x:c r="E500" s="19"/>
      <x:c r="F500" s="62"/>
      <x:c r="G500" s="24"/>
      <x:c r="H500" s="19"/>
      <x:c r="I500" s="26"/>
      <x:c r="J500" s="19"/>
    </x:row>
  </x:sheetData>
  <x:conditionalFormatting sqref="B2:B500">
    <x:cfRule type="expression" dxfId="162" priority="1">
      <x:formula>AND($A2&lt;&gt;"",B2="")</x:formula>
    </x:cfRule>
  </x:conditionalFormatting>
  <x:conditionalFormatting sqref="C2:C500">
    <x:cfRule type="expression" dxfId="163" priority="2">
      <x:formula>AND($A2&lt;&gt;"",C2="")</x:formula>
    </x:cfRule>
  </x:conditionalFormatting>
  <x:conditionalFormatting sqref="D2:D500">
    <x:cfRule type="expression" dxfId="164" priority="3">
      <x:formula>AND($A2&lt;&gt;"",D2="")</x:formula>
    </x:cfRule>
  </x:conditionalFormatting>
  <x:conditionalFormatting sqref="I2:I500">
    <x:cfRule type="expression" dxfId="165" priority="4">
      <x:formula>AND($A2&lt;&gt;"",I2="")</x:formula>
    </x:cfRule>
  </x:conditionalFormatting>
  <x:conditionalFormatting sqref="J2:J500">
    <x:cfRule type="expression" dxfId="166" priority="5">
      <x:formula>AND($A2&lt;&gt;"",J2="")</x:formula>
    </x:cfRule>
  </x:conditionalFormatting>
  <x:dataValidations count="1">
    <x:dataValidation type="list" sqref="H2:H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3306b2bed1471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42" hidden="0" customWidth="1"/>
    <x:col min="5" max="5" width="26" hidden="0" customWidth="1"/>
    <x:col min="6" max="6" width="42" hidden="0" customWidth="1"/>
    <x:col min="7" max="7" width="14" hidden="0" customWidth="1"/>
    <x:col min="8" max="8" width="10" hidden="0" customWidth="1"/>
    <x:col min="9" max="9" width="10" hidden="0" customWidth="1"/>
  </x:cols>
  <x:sheetData>
    <x:row r="1" ht="46" customHeight="1">
      <x:c r="A1" s="12" t="str">
        <x:v>شناسه قانون *
(rule_id)</x:v>
      </x:c>
      <x:c r="B1" s="13" t="str">
        <x:v>نام قانون *
(name_fa)</x:v>
      </x:c>
      <x:c r="C1" s="13" t="str">
        <x:v>رویداد *
(event_code)</x:v>
      </x:c>
      <x:c r="D1" s="13" t="str">
        <x:v>شرط
(condition_json)</x:v>
      </x:c>
      <x:c r="E1" s="13" t="str">
        <x:v>عمل *
(action_code)</x:v>
      </x:c>
      <x:c r="F1" s="13" t="str">
        <x:v>پارامترها
(action_params_json)</x:v>
      </x:c>
      <x:c r="G1" s="13" t="str">
        <x:v>تأخیر دقیقه
(delay_minutes)</x:v>
      </x:c>
      <x:c r="H1" s="13" t="str">
        <x:v>اولویت *
(priority)</x:v>
      </x:c>
      <x:c r="I1" s="14" t="str">
        <x:v>فعال *
(active)</x:v>
      </x:c>
    </x:row>
    <x:row r="2">
      <x:c r="A2" s="28" t="str">
        <x:v>rule_001</x:v>
      </x:c>
      <x:c r="B2" s="29" t="str">
        <x:v>ایجاد اولین پیگیری</x:v>
      </x:c>
      <x:c r="C2" s="29" t="str">
        <x:v>OPPORTUNITY_CREATED</x:v>
      </x:c>
      <x:c r="D2" s="30" t="str">
        <x:v>{"stage_not_closed":true}</x:v>
      </x:c>
      <x:c r="E2" s="29" t="str">
        <x:v>CREATE_FIRST_FOLLOWUP</x:v>
      </x:c>
      <x:c r="F2" s="30" t="str">
        <x:v>{"source":"stage_default"}</x:v>
      </x:c>
      <x:c r="G2" s="34" t="n">
        <x:v>0</x:v>
      </x:c>
      <x:c r="H2" s="34" t="n">
        <x:v>10</x:v>
      </x:c>
      <x:c r="I2" s="55" t="b">
        <x:v>1</x:v>
      </x:c>
    </x:row>
    <x:row r="3">
      <x:c r="A3" s="37" t="str">
        <x:v>rule_002</x:v>
      </x:c>
      <x:c r="B3" s="38" t="str">
        <x:v>هشدار پیگیری عقب‌افتاده</x:v>
      </x:c>
      <x:c r="C3" s="38" t="str">
        <x:v>SCHEDULE_EVERY_15_MIN</x:v>
      </x:c>
      <x:c r="D3" s="39" t="str">
        <x:v>{"followup_status":"open","due_before":"now"}</x:v>
      </x:c>
      <x:c r="E3" s="38" t="str">
        <x:v>SEND_TELEGRAM_ALERT</x:v>
      </x:c>
      <x:c r="F3" s="39" t="str">
        <x:v>{"cooldown_minutes":120}</x:v>
      </x:c>
      <x:c r="G3" s="43" t="n">
        <x:v>0</x:v>
      </x:c>
      <x:c r="H3" s="43" t="n">
        <x:v>20</x:v>
      </x:c>
      <x:c r="I3" s="56" t="b">
        <x:v>1</x:v>
      </x:c>
    </x:row>
    <x:row r="4">
      <x:c r="A4" s="46" t="str">
        <x:v>rule_003</x:v>
      </x:c>
      <x:c r="B4" s="47" t="str">
        <x:v>بستن پیگیری‌های فرصت بسته</x:v>
      </x:c>
      <x:c r="C4" s="47" t="str">
        <x:v>OPPORTUNITY_CLOSED</x:v>
      </x:c>
      <x:c r="D4" s="48" t="str">
        <x:v>{}</x:v>
      </x:c>
      <x:c r="E4" s="47" t="str">
        <x:v>CANCEL_OPEN_FOLLOWUPS</x:v>
      </x:c>
      <x:c r="F4" s="48" t="str">
        <x:v>{}</x:v>
      </x:c>
      <x:c r="G4" s="52" t="n">
        <x:v>0</x:v>
      </x:c>
      <x:c r="H4" s="52" t="n">
        <x:v>5</x:v>
      </x:c>
      <x:c r="I4" s="57" t="b">
        <x:v>1</x:v>
      </x:c>
    </x:row>
    <x:row r="5">
      <x:c r="A5" s="19"/>
      <x:c r="B5" s="19"/>
      <x:c r="C5" s="19"/>
      <x:c r="D5" s="20"/>
      <x:c r="E5" s="19"/>
      <x:c r="F5" s="20"/>
      <x:c r="G5" s="27"/>
      <x:c r="H5" s="27"/>
      <x:c r="I5" s="19"/>
    </x:row>
    <x:row r="6">
      <x:c r="A6" s="19"/>
      <x:c r="B6" s="19"/>
      <x:c r="C6" s="19"/>
      <x:c r="D6" s="20"/>
      <x:c r="E6" s="19"/>
      <x:c r="F6" s="20"/>
      <x:c r="G6" s="27"/>
      <x:c r="H6" s="27"/>
      <x:c r="I6" s="19"/>
    </x:row>
    <x:row r="7">
      <x:c r="A7" s="19"/>
      <x:c r="B7" s="19"/>
      <x:c r="C7" s="19"/>
      <x:c r="D7" s="20"/>
      <x:c r="E7" s="19"/>
      <x:c r="F7" s="20"/>
      <x:c r="G7" s="27"/>
      <x:c r="H7" s="27"/>
      <x:c r="I7" s="19"/>
    </x:row>
    <x:row r="8">
      <x:c r="A8" s="19"/>
      <x:c r="B8" s="19"/>
      <x:c r="C8" s="19"/>
      <x:c r="D8" s="20"/>
      <x:c r="E8" s="19"/>
      <x:c r="F8" s="20"/>
      <x:c r="G8" s="27"/>
      <x:c r="H8" s="27"/>
      <x:c r="I8" s="19"/>
    </x:row>
    <x:row r="9">
      <x:c r="A9" s="19"/>
      <x:c r="B9" s="19"/>
      <x:c r="C9" s="19"/>
      <x:c r="D9" s="20"/>
      <x:c r="E9" s="19"/>
      <x:c r="F9" s="20"/>
      <x:c r="G9" s="27"/>
      <x:c r="H9" s="27"/>
      <x:c r="I9" s="19"/>
    </x:row>
    <x:row r="10">
      <x:c r="A10" s="19"/>
      <x:c r="B10" s="19"/>
      <x:c r="C10" s="19"/>
      <x:c r="D10" s="20"/>
      <x:c r="E10" s="19"/>
      <x:c r="F10" s="20"/>
      <x:c r="G10" s="27"/>
      <x:c r="H10" s="27"/>
      <x:c r="I10" s="19"/>
    </x:row>
    <x:row r="11">
      <x:c r="A11" s="19"/>
      <x:c r="B11" s="19"/>
      <x:c r="C11" s="19"/>
      <x:c r="D11" s="20"/>
      <x:c r="E11" s="19"/>
      <x:c r="F11" s="20"/>
      <x:c r="G11" s="27"/>
      <x:c r="H11" s="27"/>
      <x:c r="I11" s="19"/>
    </x:row>
    <x:row r="12">
      <x:c r="A12" s="19"/>
      <x:c r="B12" s="19"/>
      <x:c r="C12" s="19"/>
      <x:c r="D12" s="20"/>
      <x:c r="E12" s="19"/>
      <x:c r="F12" s="20"/>
      <x:c r="G12" s="27"/>
      <x:c r="H12" s="27"/>
      <x:c r="I12" s="19"/>
    </x:row>
    <x:row r="13">
      <x:c r="A13" s="19"/>
      <x:c r="B13" s="19"/>
      <x:c r="C13" s="19"/>
      <x:c r="D13" s="20"/>
      <x:c r="E13" s="19"/>
      <x:c r="F13" s="20"/>
      <x:c r="G13" s="27"/>
      <x:c r="H13" s="27"/>
      <x:c r="I13" s="19"/>
    </x:row>
    <x:row r="14">
      <x:c r="A14" s="19"/>
      <x:c r="B14" s="19"/>
      <x:c r="C14" s="19"/>
      <x:c r="D14" s="20"/>
      <x:c r="E14" s="19"/>
      <x:c r="F14" s="20"/>
      <x:c r="G14" s="27"/>
      <x:c r="H14" s="27"/>
      <x:c r="I14" s="19"/>
    </x:row>
    <x:row r="15">
      <x:c r="A15" s="19"/>
      <x:c r="B15" s="19"/>
      <x:c r="C15" s="19"/>
      <x:c r="D15" s="20"/>
      <x:c r="E15" s="19"/>
      <x:c r="F15" s="20"/>
      <x:c r="G15" s="27"/>
      <x:c r="H15" s="27"/>
      <x:c r="I15" s="19"/>
    </x:row>
    <x:row r="16">
      <x:c r="A16" s="19"/>
      <x:c r="B16" s="19"/>
      <x:c r="C16" s="19"/>
      <x:c r="D16" s="20"/>
      <x:c r="E16" s="19"/>
      <x:c r="F16" s="20"/>
      <x:c r="G16" s="27"/>
      <x:c r="H16" s="27"/>
      <x:c r="I16" s="19"/>
    </x:row>
    <x:row r="17">
      <x:c r="A17" s="19"/>
      <x:c r="B17" s="19"/>
      <x:c r="C17" s="19"/>
      <x:c r="D17" s="20"/>
      <x:c r="E17" s="19"/>
      <x:c r="F17" s="20"/>
      <x:c r="G17" s="27"/>
      <x:c r="H17" s="27"/>
      <x:c r="I17" s="19"/>
    </x:row>
    <x:row r="18">
      <x:c r="A18" s="19"/>
      <x:c r="B18" s="19"/>
      <x:c r="C18" s="19"/>
      <x:c r="D18" s="20"/>
      <x:c r="E18" s="19"/>
      <x:c r="F18" s="20"/>
      <x:c r="G18" s="27"/>
      <x:c r="H18" s="27"/>
      <x:c r="I18" s="19"/>
    </x:row>
    <x:row r="19">
      <x:c r="A19" s="19"/>
      <x:c r="B19" s="19"/>
      <x:c r="C19" s="19"/>
      <x:c r="D19" s="20"/>
      <x:c r="E19" s="19"/>
      <x:c r="F19" s="20"/>
      <x:c r="G19" s="27"/>
      <x:c r="H19" s="27"/>
      <x:c r="I19" s="19"/>
    </x:row>
    <x:row r="20">
      <x:c r="A20" s="19"/>
      <x:c r="B20" s="19"/>
      <x:c r="C20" s="19"/>
      <x:c r="D20" s="20"/>
      <x:c r="E20" s="19"/>
      <x:c r="F20" s="20"/>
      <x:c r="G20" s="27"/>
      <x:c r="H20" s="27"/>
      <x:c r="I20" s="19"/>
    </x:row>
    <x:row r="21">
      <x:c r="A21" s="19"/>
      <x:c r="B21" s="19"/>
      <x:c r="C21" s="19"/>
      <x:c r="D21" s="20"/>
      <x:c r="E21" s="19"/>
      <x:c r="F21" s="20"/>
      <x:c r="G21" s="27"/>
      <x:c r="H21" s="27"/>
      <x:c r="I21" s="19"/>
    </x:row>
    <x:row r="22">
      <x:c r="A22" s="19"/>
      <x:c r="B22" s="19"/>
      <x:c r="C22" s="19"/>
      <x:c r="D22" s="20"/>
      <x:c r="E22" s="19"/>
      <x:c r="F22" s="20"/>
      <x:c r="G22" s="27"/>
      <x:c r="H22" s="27"/>
      <x:c r="I22" s="19"/>
    </x:row>
    <x:row r="23">
      <x:c r="A23" s="19"/>
      <x:c r="B23" s="19"/>
      <x:c r="C23" s="19"/>
      <x:c r="D23" s="20"/>
      <x:c r="E23" s="19"/>
      <x:c r="F23" s="20"/>
      <x:c r="G23" s="27"/>
      <x:c r="H23" s="27"/>
      <x:c r="I23" s="19"/>
    </x:row>
    <x:row r="24">
      <x:c r="A24" s="19"/>
      <x:c r="B24" s="19"/>
      <x:c r="C24" s="19"/>
      <x:c r="D24" s="20"/>
      <x:c r="E24" s="19"/>
      <x:c r="F24" s="20"/>
      <x:c r="G24" s="27"/>
      <x:c r="H24" s="27"/>
      <x:c r="I24" s="19"/>
    </x:row>
    <x:row r="25">
      <x:c r="A25" s="19"/>
      <x:c r="B25" s="19"/>
      <x:c r="C25" s="19"/>
      <x:c r="D25" s="20"/>
      <x:c r="E25" s="19"/>
      <x:c r="F25" s="20"/>
      <x:c r="G25" s="27"/>
      <x:c r="H25" s="27"/>
      <x:c r="I25" s="19"/>
    </x:row>
    <x:row r="26">
      <x:c r="A26" s="19"/>
      <x:c r="B26" s="19"/>
      <x:c r="C26" s="19"/>
      <x:c r="D26" s="20"/>
      <x:c r="E26" s="19"/>
      <x:c r="F26" s="20"/>
      <x:c r="G26" s="27"/>
      <x:c r="H26" s="27"/>
      <x:c r="I26" s="19"/>
    </x:row>
    <x:row r="27">
      <x:c r="A27" s="19"/>
      <x:c r="B27" s="19"/>
      <x:c r="C27" s="19"/>
      <x:c r="D27" s="20"/>
      <x:c r="E27" s="19"/>
      <x:c r="F27" s="20"/>
      <x:c r="G27" s="27"/>
      <x:c r="H27" s="27"/>
      <x:c r="I27" s="19"/>
    </x:row>
    <x:row r="28">
      <x:c r="A28" s="19"/>
      <x:c r="B28" s="19"/>
      <x:c r="C28" s="19"/>
      <x:c r="D28" s="20"/>
      <x:c r="E28" s="19"/>
      <x:c r="F28" s="20"/>
      <x:c r="G28" s="27"/>
      <x:c r="H28" s="27"/>
      <x:c r="I28" s="19"/>
    </x:row>
    <x:row r="29">
      <x:c r="A29" s="19"/>
      <x:c r="B29" s="19"/>
      <x:c r="C29" s="19"/>
      <x:c r="D29" s="20"/>
      <x:c r="E29" s="19"/>
      <x:c r="F29" s="20"/>
      <x:c r="G29" s="27"/>
      <x:c r="H29" s="27"/>
      <x:c r="I29" s="19"/>
    </x:row>
    <x:row r="30">
      <x:c r="A30" s="19"/>
      <x:c r="B30" s="19"/>
      <x:c r="C30" s="19"/>
      <x:c r="D30" s="20"/>
      <x:c r="E30" s="19"/>
      <x:c r="F30" s="20"/>
      <x:c r="G30" s="27"/>
      <x:c r="H30" s="27"/>
      <x:c r="I30" s="19"/>
    </x:row>
    <x:row r="31">
      <x:c r="A31" s="19"/>
      <x:c r="B31" s="19"/>
      <x:c r="C31" s="19"/>
      <x:c r="D31" s="20"/>
      <x:c r="E31" s="19"/>
      <x:c r="F31" s="20"/>
      <x:c r="G31" s="27"/>
      <x:c r="H31" s="27"/>
      <x:c r="I31" s="19"/>
    </x:row>
    <x:row r="32">
      <x:c r="A32" s="19"/>
      <x:c r="B32" s="19"/>
      <x:c r="C32" s="19"/>
      <x:c r="D32" s="20"/>
      <x:c r="E32" s="19"/>
      <x:c r="F32" s="20"/>
      <x:c r="G32" s="27"/>
      <x:c r="H32" s="27"/>
      <x:c r="I32" s="19"/>
    </x:row>
    <x:row r="33">
      <x:c r="A33" s="19"/>
      <x:c r="B33" s="19"/>
      <x:c r="C33" s="19"/>
      <x:c r="D33" s="20"/>
      <x:c r="E33" s="19"/>
      <x:c r="F33" s="20"/>
      <x:c r="G33" s="27"/>
      <x:c r="H33" s="27"/>
      <x:c r="I33" s="19"/>
    </x:row>
    <x:row r="34">
      <x:c r="A34" s="19"/>
      <x:c r="B34" s="19"/>
      <x:c r="C34" s="19"/>
      <x:c r="D34" s="20"/>
      <x:c r="E34" s="19"/>
      <x:c r="F34" s="20"/>
      <x:c r="G34" s="27"/>
      <x:c r="H34" s="27"/>
      <x:c r="I34" s="19"/>
    </x:row>
    <x:row r="35">
      <x:c r="A35" s="19"/>
      <x:c r="B35" s="19"/>
      <x:c r="C35" s="19"/>
      <x:c r="D35" s="20"/>
      <x:c r="E35" s="19"/>
      <x:c r="F35" s="20"/>
      <x:c r="G35" s="27"/>
      <x:c r="H35" s="27"/>
      <x:c r="I35" s="19"/>
    </x:row>
    <x:row r="36">
      <x:c r="A36" s="19"/>
      <x:c r="B36" s="19"/>
      <x:c r="C36" s="19"/>
      <x:c r="D36" s="20"/>
      <x:c r="E36" s="19"/>
      <x:c r="F36" s="20"/>
      <x:c r="G36" s="27"/>
      <x:c r="H36" s="27"/>
      <x:c r="I36" s="19"/>
    </x:row>
    <x:row r="37">
      <x:c r="A37" s="19"/>
      <x:c r="B37" s="19"/>
      <x:c r="C37" s="19"/>
      <x:c r="D37" s="20"/>
      <x:c r="E37" s="19"/>
      <x:c r="F37" s="20"/>
      <x:c r="G37" s="27"/>
      <x:c r="H37" s="27"/>
      <x:c r="I37" s="19"/>
    </x:row>
    <x:row r="38">
      <x:c r="A38" s="19"/>
      <x:c r="B38" s="19"/>
      <x:c r="C38" s="19"/>
      <x:c r="D38" s="20"/>
      <x:c r="E38" s="19"/>
      <x:c r="F38" s="20"/>
      <x:c r="G38" s="27"/>
      <x:c r="H38" s="27"/>
      <x:c r="I38" s="19"/>
    </x:row>
    <x:row r="39">
      <x:c r="A39" s="19"/>
      <x:c r="B39" s="19"/>
      <x:c r="C39" s="19"/>
      <x:c r="D39" s="20"/>
      <x:c r="E39" s="19"/>
      <x:c r="F39" s="20"/>
      <x:c r="G39" s="27"/>
      <x:c r="H39" s="27"/>
      <x:c r="I39" s="19"/>
    </x:row>
    <x:row r="40">
      <x:c r="A40" s="19"/>
      <x:c r="B40" s="19"/>
      <x:c r="C40" s="19"/>
      <x:c r="D40" s="20"/>
      <x:c r="E40" s="19"/>
      <x:c r="F40" s="20"/>
      <x:c r="G40" s="27"/>
      <x:c r="H40" s="27"/>
      <x:c r="I40" s="19"/>
    </x:row>
    <x:row r="41">
      <x:c r="A41" s="19"/>
      <x:c r="B41" s="19"/>
      <x:c r="C41" s="19"/>
      <x:c r="D41" s="20"/>
      <x:c r="E41" s="19"/>
      <x:c r="F41" s="20"/>
      <x:c r="G41" s="27"/>
      <x:c r="H41" s="27"/>
      <x:c r="I41" s="19"/>
    </x:row>
    <x:row r="42">
      <x:c r="A42" s="19"/>
      <x:c r="B42" s="19"/>
      <x:c r="C42" s="19"/>
      <x:c r="D42" s="20"/>
      <x:c r="E42" s="19"/>
      <x:c r="F42" s="20"/>
      <x:c r="G42" s="27"/>
      <x:c r="H42" s="27"/>
      <x:c r="I42" s="19"/>
    </x:row>
    <x:row r="43">
      <x:c r="A43" s="19"/>
      <x:c r="B43" s="19"/>
      <x:c r="C43" s="19"/>
      <x:c r="D43" s="20"/>
      <x:c r="E43" s="19"/>
      <x:c r="F43" s="20"/>
      <x:c r="G43" s="27"/>
      <x:c r="H43" s="27"/>
      <x:c r="I43" s="19"/>
    </x:row>
    <x:row r="44">
      <x:c r="A44" s="19"/>
      <x:c r="B44" s="19"/>
      <x:c r="C44" s="19"/>
      <x:c r="D44" s="20"/>
      <x:c r="E44" s="19"/>
      <x:c r="F44" s="20"/>
      <x:c r="G44" s="27"/>
      <x:c r="H44" s="27"/>
      <x:c r="I44" s="19"/>
    </x:row>
    <x:row r="45">
      <x:c r="A45" s="19"/>
      <x:c r="B45" s="19"/>
      <x:c r="C45" s="19"/>
      <x:c r="D45" s="20"/>
      <x:c r="E45" s="19"/>
      <x:c r="F45" s="20"/>
      <x:c r="G45" s="27"/>
      <x:c r="H45" s="27"/>
      <x:c r="I45" s="19"/>
    </x:row>
    <x:row r="46">
      <x:c r="A46" s="19"/>
      <x:c r="B46" s="19"/>
      <x:c r="C46" s="19"/>
      <x:c r="D46" s="20"/>
      <x:c r="E46" s="19"/>
      <x:c r="F46" s="20"/>
      <x:c r="G46" s="27"/>
      <x:c r="H46" s="27"/>
      <x:c r="I46" s="19"/>
    </x:row>
    <x:row r="47">
      <x:c r="A47" s="19"/>
      <x:c r="B47" s="19"/>
      <x:c r="C47" s="19"/>
      <x:c r="D47" s="20"/>
      <x:c r="E47" s="19"/>
      <x:c r="F47" s="20"/>
      <x:c r="G47" s="27"/>
      <x:c r="H47" s="27"/>
      <x:c r="I47" s="19"/>
    </x:row>
    <x:row r="48">
      <x:c r="A48" s="19"/>
      <x:c r="B48" s="19"/>
      <x:c r="C48" s="19"/>
      <x:c r="D48" s="20"/>
      <x:c r="E48" s="19"/>
      <x:c r="F48" s="20"/>
      <x:c r="G48" s="27"/>
      <x:c r="H48" s="27"/>
      <x:c r="I48" s="19"/>
    </x:row>
    <x:row r="49">
      <x:c r="A49" s="19"/>
      <x:c r="B49" s="19"/>
      <x:c r="C49" s="19"/>
      <x:c r="D49" s="20"/>
      <x:c r="E49" s="19"/>
      <x:c r="F49" s="20"/>
      <x:c r="G49" s="27"/>
      <x:c r="H49" s="27"/>
      <x:c r="I49" s="19"/>
    </x:row>
    <x:row r="50">
      <x:c r="A50" s="19"/>
      <x:c r="B50" s="19"/>
      <x:c r="C50" s="19"/>
      <x:c r="D50" s="20"/>
      <x:c r="E50" s="19"/>
      <x:c r="F50" s="20"/>
      <x:c r="G50" s="27"/>
      <x:c r="H50" s="27"/>
      <x:c r="I50" s="19"/>
    </x:row>
    <x:row r="51">
      <x:c r="A51" s="19"/>
      <x:c r="B51" s="19"/>
      <x:c r="C51" s="19"/>
      <x:c r="D51" s="20"/>
      <x:c r="E51" s="19"/>
      <x:c r="F51" s="20"/>
      <x:c r="G51" s="27"/>
      <x:c r="H51" s="27"/>
      <x:c r="I51" s="19"/>
    </x:row>
    <x:row r="52">
      <x:c r="A52" s="19"/>
      <x:c r="B52" s="19"/>
      <x:c r="C52" s="19"/>
      <x:c r="D52" s="20"/>
      <x:c r="E52" s="19"/>
      <x:c r="F52" s="20"/>
      <x:c r="G52" s="27"/>
      <x:c r="H52" s="27"/>
      <x:c r="I52" s="19"/>
    </x:row>
    <x:row r="53">
      <x:c r="A53" s="19"/>
      <x:c r="B53" s="19"/>
      <x:c r="C53" s="19"/>
      <x:c r="D53" s="20"/>
      <x:c r="E53" s="19"/>
      <x:c r="F53" s="20"/>
      <x:c r="G53" s="27"/>
      <x:c r="H53" s="27"/>
      <x:c r="I53" s="19"/>
    </x:row>
    <x:row r="54">
      <x:c r="A54" s="19"/>
      <x:c r="B54" s="19"/>
      <x:c r="C54" s="19"/>
      <x:c r="D54" s="20"/>
      <x:c r="E54" s="19"/>
      <x:c r="F54" s="20"/>
      <x:c r="G54" s="27"/>
      <x:c r="H54" s="27"/>
      <x:c r="I54" s="19"/>
    </x:row>
    <x:row r="55">
      <x:c r="A55" s="19"/>
      <x:c r="B55" s="19"/>
      <x:c r="C55" s="19"/>
      <x:c r="D55" s="20"/>
      <x:c r="E55" s="19"/>
      <x:c r="F55" s="20"/>
      <x:c r="G55" s="27"/>
      <x:c r="H55" s="27"/>
      <x:c r="I55" s="19"/>
    </x:row>
    <x:row r="56">
      <x:c r="A56" s="19"/>
      <x:c r="B56" s="19"/>
      <x:c r="C56" s="19"/>
      <x:c r="D56" s="20"/>
      <x:c r="E56" s="19"/>
      <x:c r="F56" s="20"/>
      <x:c r="G56" s="27"/>
      <x:c r="H56" s="27"/>
      <x:c r="I56" s="19"/>
    </x:row>
    <x:row r="57">
      <x:c r="A57" s="19"/>
      <x:c r="B57" s="19"/>
      <x:c r="C57" s="19"/>
      <x:c r="D57" s="20"/>
      <x:c r="E57" s="19"/>
      <x:c r="F57" s="20"/>
      <x:c r="G57" s="27"/>
      <x:c r="H57" s="27"/>
      <x:c r="I57" s="19"/>
    </x:row>
    <x:row r="58">
      <x:c r="A58" s="19"/>
      <x:c r="B58" s="19"/>
      <x:c r="C58" s="19"/>
      <x:c r="D58" s="20"/>
      <x:c r="E58" s="19"/>
      <x:c r="F58" s="20"/>
      <x:c r="G58" s="27"/>
      <x:c r="H58" s="27"/>
      <x:c r="I58" s="19"/>
    </x:row>
    <x:row r="59">
      <x:c r="A59" s="19"/>
      <x:c r="B59" s="19"/>
      <x:c r="C59" s="19"/>
      <x:c r="D59" s="20"/>
      <x:c r="E59" s="19"/>
      <x:c r="F59" s="20"/>
      <x:c r="G59" s="27"/>
      <x:c r="H59" s="27"/>
      <x:c r="I59" s="19"/>
    </x:row>
    <x:row r="60">
      <x:c r="A60" s="19"/>
      <x:c r="B60" s="19"/>
      <x:c r="C60" s="19"/>
      <x:c r="D60" s="20"/>
      <x:c r="E60" s="19"/>
      <x:c r="F60" s="20"/>
      <x:c r="G60" s="27"/>
      <x:c r="H60" s="27"/>
      <x:c r="I60" s="19"/>
    </x:row>
    <x:row r="61">
      <x:c r="A61" s="19"/>
      <x:c r="B61" s="19"/>
      <x:c r="C61" s="19"/>
      <x:c r="D61" s="20"/>
      <x:c r="E61" s="19"/>
      <x:c r="F61" s="20"/>
      <x:c r="G61" s="27"/>
      <x:c r="H61" s="27"/>
      <x:c r="I61" s="19"/>
    </x:row>
    <x:row r="62">
      <x:c r="A62" s="19"/>
      <x:c r="B62" s="19"/>
      <x:c r="C62" s="19"/>
      <x:c r="D62" s="20"/>
      <x:c r="E62" s="19"/>
      <x:c r="F62" s="20"/>
      <x:c r="G62" s="27"/>
      <x:c r="H62" s="27"/>
      <x:c r="I62" s="19"/>
    </x:row>
    <x:row r="63">
      <x:c r="A63" s="19"/>
      <x:c r="B63" s="19"/>
      <x:c r="C63" s="19"/>
      <x:c r="D63" s="20"/>
      <x:c r="E63" s="19"/>
      <x:c r="F63" s="20"/>
      <x:c r="G63" s="27"/>
      <x:c r="H63" s="27"/>
      <x:c r="I63" s="19"/>
    </x:row>
    <x:row r="64">
      <x:c r="A64" s="19"/>
      <x:c r="B64" s="19"/>
      <x:c r="C64" s="19"/>
      <x:c r="D64" s="20"/>
      <x:c r="E64" s="19"/>
      <x:c r="F64" s="20"/>
      <x:c r="G64" s="27"/>
      <x:c r="H64" s="27"/>
      <x:c r="I64" s="19"/>
    </x:row>
    <x:row r="65">
      <x:c r="A65" s="19"/>
      <x:c r="B65" s="19"/>
      <x:c r="C65" s="19"/>
      <x:c r="D65" s="20"/>
      <x:c r="E65" s="19"/>
      <x:c r="F65" s="20"/>
      <x:c r="G65" s="27"/>
      <x:c r="H65" s="27"/>
      <x:c r="I65" s="19"/>
    </x:row>
    <x:row r="66">
      <x:c r="A66" s="19"/>
      <x:c r="B66" s="19"/>
      <x:c r="C66" s="19"/>
      <x:c r="D66" s="20"/>
      <x:c r="E66" s="19"/>
      <x:c r="F66" s="20"/>
      <x:c r="G66" s="27"/>
      <x:c r="H66" s="27"/>
      <x:c r="I66" s="19"/>
    </x:row>
    <x:row r="67">
      <x:c r="A67" s="19"/>
      <x:c r="B67" s="19"/>
      <x:c r="C67" s="19"/>
      <x:c r="D67" s="20"/>
      <x:c r="E67" s="19"/>
      <x:c r="F67" s="20"/>
      <x:c r="G67" s="27"/>
      <x:c r="H67" s="27"/>
      <x:c r="I67" s="19"/>
    </x:row>
    <x:row r="68">
      <x:c r="A68" s="19"/>
      <x:c r="B68" s="19"/>
      <x:c r="C68" s="19"/>
      <x:c r="D68" s="20"/>
      <x:c r="E68" s="19"/>
      <x:c r="F68" s="20"/>
      <x:c r="G68" s="27"/>
      <x:c r="H68" s="27"/>
      <x:c r="I68" s="19"/>
    </x:row>
    <x:row r="69">
      <x:c r="A69" s="19"/>
      <x:c r="B69" s="19"/>
      <x:c r="C69" s="19"/>
      <x:c r="D69" s="20"/>
      <x:c r="E69" s="19"/>
      <x:c r="F69" s="20"/>
      <x:c r="G69" s="27"/>
      <x:c r="H69" s="27"/>
      <x:c r="I69" s="19"/>
    </x:row>
    <x:row r="70">
      <x:c r="A70" s="19"/>
      <x:c r="B70" s="19"/>
      <x:c r="C70" s="19"/>
      <x:c r="D70" s="20"/>
      <x:c r="E70" s="19"/>
      <x:c r="F70" s="20"/>
      <x:c r="G70" s="27"/>
      <x:c r="H70" s="27"/>
      <x:c r="I70" s="19"/>
    </x:row>
    <x:row r="71">
      <x:c r="A71" s="19"/>
      <x:c r="B71" s="19"/>
      <x:c r="C71" s="19"/>
      <x:c r="D71" s="20"/>
      <x:c r="E71" s="19"/>
      <x:c r="F71" s="20"/>
      <x:c r="G71" s="27"/>
      <x:c r="H71" s="27"/>
      <x:c r="I71" s="19"/>
    </x:row>
    <x:row r="72">
      <x:c r="A72" s="19"/>
      <x:c r="B72" s="19"/>
      <x:c r="C72" s="19"/>
      <x:c r="D72" s="20"/>
      <x:c r="E72" s="19"/>
      <x:c r="F72" s="20"/>
      <x:c r="G72" s="27"/>
      <x:c r="H72" s="27"/>
      <x:c r="I72" s="19"/>
    </x:row>
    <x:row r="73">
      <x:c r="A73" s="19"/>
      <x:c r="B73" s="19"/>
      <x:c r="C73" s="19"/>
      <x:c r="D73" s="20"/>
      <x:c r="E73" s="19"/>
      <x:c r="F73" s="20"/>
      <x:c r="G73" s="27"/>
      <x:c r="H73" s="27"/>
      <x:c r="I73" s="19"/>
    </x:row>
    <x:row r="74">
      <x:c r="A74" s="19"/>
      <x:c r="B74" s="19"/>
      <x:c r="C74" s="19"/>
      <x:c r="D74" s="20"/>
      <x:c r="E74" s="19"/>
      <x:c r="F74" s="20"/>
      <x:c r="G74" s="27"/>
      <x:c r="H74" s="27"/>
      <x:c r="I74" s="19"/>
    </x:row>
    <x:row r="75">
      <x:c r="A75" s="19"/>
      <x:c r="B75" s="19"/>
      <x:c r="C75" s="19"/>
      <x:c r="D75" s="20"/>
      <x:c r="E75" s="19"/>
      <x:c r="F75" s="20"/>
      <x:c r="G75" s="27"/>
      <x:c r="H75" s="27"/>
      <x:c r="I75" s="19"/>
    </x:row>
    <x:row r="76">
      <x:c r="A76" s="19"/>
      <x:c r="B76" s="19"/>
      <x:c r="C76" s="19"/>
      <x:c r="D76" s="20"/>
      <x:c r="E76" s="19"/>
      <x:c r="F76" s="20"/>
      <x:c r="G76" s="27"/>
      <x:c r="H76" s="27"/>
      <x:c r="I76" s="19"/>
    </x:row>
    <x:row r="77">
      <x:c r="A77" s="19"/>
      <x:c r="B77" s="19"/>
      <x:c r="C77" s="19"/>
      <x:c r="D77" s="20"/>
      <x:c r="E77" s="19"/>
      <x:c r="F77" s="20"/>
      <x:c r="G77" s="27"/>
      <x:c r="H77" s="27"/>
      <x:c r="I77" s="19"/>
    </x:row>
    <x:row r="78">
      <x:c r="A78" s="19"/>
      <x:c r="B78" s="19"/>
      <x:c r="C78" s="19"/>
      <x:c r="D78" s="20"/>
      <x:c r="E78" s="19"/>
      <x:c r="F78" s="20"/>
      <x:c r="G78" s="27"/>
      <x:c r="H78" s="27"/>
      <x:c r="I78" s="19"/>
    </x:row>
    <x:row r="79">
      <x:c r="A79" s="19"/>
      <x:c r="B79" s="19"/>
      <x:c r="C79" s="19"/>
      <x:c r="D79" s="20"/>
      <x:c r="E79" s="19"/>
      <x:c r="F79" s="20"/>
      <x:c r="G79" s="27"/>
      <x:c r="H79" s="27"/>
      <x:c r="I79" s="19"/>
    </x:row>
    <x:row r="80">
      <x:c r="A80" s="19"/>
      <x:c r="B80" s="19"/>
      <x:c r="C80" s="19"/>
      <x:c r="D80" s="20"/>
      <x:c r="E80" s="19"/>
      <x:c r="F80" s="20"/>
      <x:c r="G80" s="27"/>
      <x:c r="H80" s="27"/>
      <x:c r="I80" s="19"/>
    </x:row>
    <x:row r="81">
      <x:c r="A81" s="19"/>
      <x:c r="B81" s="19"/>
      <x:c r="C81" s="19"/>
      <x:c r="D81" s="20"/>
      <x:c r="E81" s="19"/>
      <x:c r="F81" s="20"/>
      <x:c r="G81" s="27"/>
      <x:c r="H81" s="27"/>
      <x:c r="I81" s="19"/>
    </x:row>
    <x:row r="82">
      <x:c r="A82" s="19"/>
      <x:c r="B82" s="19"/>
      <x:c r="C82" s="19"/>
      <x:c r="D82" s="20"/>
      <x:c r="E82" s="19"/>
      <x:c r="F82" s="20"/>
      <x:c r="G82" s="27"/>
      <x:c r="H82" s="27"/>
      <x:c r="I82" s="19"/>
    </x:row>
    <x:row r="83">
      <x:c r="A83" s="19"/>
      <x:c r="B83" s="19"/>
      <x:c r="C83" s="19"/>
      <x:c r="D83" s="20"/>
      <x:c r="E83" s="19"/>
      <x:c r="F83" s="20"/>
      <x:c r="G83" s="27"/>
      <x:c r="H83" s="27"/>
      <x:c r="I83" s="19"/>
    </x:row>
    <x:row r="84">
      <x:c r="A84" s="19"/>
      <x:c r="B84" s="19"/>
      <x:c r="C84" s="19"/>
      <x:c r="D84" s="20"/>
      <x:c r="E84" s="19"/>
      <x:c r="F84" s="20"/>
      <x:c r="G84" s="27"/>
      <x:c r="H84" s="27"/>
      <x:c r="I84" s="19"/>
    </x:row>
    <x:row r="85">
      <x:c r="A85" s="19"/>
      <x:c r="B85" s="19"/>
      <x:c r="C85" s="19"/>
      <x:c r="D85" s="20"/>
      <x:c r="E85" s="19"/>
      <x:c r="F85" s="20"/>
      <x:c r="G85" s="27"/>
      <x:c r="H85" s="27"/>
      <x:c r="I85" s="19"/>
    </x:row>
    <x:row r="86">
      <x:c r="A86" s="19"/>
      <x:c r="B86" s="19"/>
      <x:c r="C86" s="19"/>
      <x:c r="D86" s="20"/>
      <x:c r="E86" s="19"/>
      <x:c r="F86" s="20"/>
      <x:c r="G86" s="27"/>
      <x:c r="H86" s="27"/>
      <x:c r="I86" s="19"/>
    </x:row>
    <x:row r="87">
      <x:c r="A87" s="19"/>
      <x:c r="B87" s="19"/>
      <x:c r="C87" s="19"/>
      <x:c r="D87" s="20"/>
      <x:c r="E87" s="19"/>
      <x:c r="F87" s="20"/>
      <x:c r="G87" s="27"/>
      <x:c r="H87" s="27"/>
      <x:c r="I87" s="19"/>
    </x:row>
    <x:row r="88">
      <x:c r="A88" s="19"/>
      <x:c r="B88" s="19"/>
      <x:c r="C88" s="19"/>
      <x:c r="D88" s="20"/>
      <x:c r="E88" s="19"/>
      <x:c r="F88" s="20"/>
      <x:c r="G88" s="27"/>
      <x:c r="H88" s="27"/>
      <x:c r="I88" s="19"/>
    </x:row>
    <x:row r="89">
      <x:c r="A89" s="19"/>
      <x:c r="B89" s="19"/>
      <x:c r="C89" s="19"/>
      <x:c r="D89" s="20"/>
      <x:c r="E89" s="19"/>
      <x:c r="F89" s="20"/>
      <x:c r="G89" s="27"/>
      <x:c r="H89" s="27"/>
      <x:c r="I89" s="19"/>
    </x:row>
    <x:row r="90">
      <x:c r="A90" s="19"/>
      <x:c r="B90" s="19"/>
      <x:c r="C90" s="19"/>
      <x:c r="D90" s="20"/>
      <x:c r="E90" s="19"/>
      <x:c r="F90" s="20"/>
      <x:c r="G90" s="27"/>
      <x:c r="H90" s="27"/>
      <x:c r="I90" s="19"/>
    </x:row>
    <x:row r="91">
      <x:c r="A91" s="19"/>
      <x:c r="B91" s="19"/>
      <x:c r="C91" s="19"/>
      <x:c r="D91" s="20"/>
      <x:c r="E91" s="19"/>
      <x:c r="F91" s="20"/>
      <x:c r="G91" s="27"/>
      <x:c r="H91" s="27"/>
      <x:c r="I91" s="19"/>
    </x:row>
    <x:row r="92">
      <x:c r="A92" s="19"/>
      <x:c r="B92" s="19"/>
      <x:c r="C92" s="19"/>
      <x:c r="D92" s="20"/>
      <x:c r="E92" s="19"/>
      <x:c r="F92" s="20"/>
      <x:c r="G92" s="27"/>
      <x:c r="H92" s="27"/>
      <x:c r="I92" s="19"/>
    </x:row>
    <x:row r="93">
      <x:c r="A93" s="19"/>
      <x:c r="B93" s="19"/>
      <x:c r="C93" s="19"/>
      <x:c r="D93" s="20"/>
      <x:c r="E93" s="19"/>
      <x:c r="F93" s="20"/>
      <x:c r="G93" s="27"/>
      <x:c r="H93" s="27"/>
      <x:c r="I93" s="19"/>
    </x:row>
    <x:row r="94">
      <x:c r="A94" s="19"/>
      <x:c r="B94" s="19"/>
      <x:c r="C94" s="19"/>
      <x:c r="D94" s="20"/>
      <x:c r="E94" s="19"/>
      <x:c r="F94" s="20"/>
      <x:c r="G94" s="27"/>
      <x:c r="H94" s="27"/>
      <x:c r="I94" s="19"/>
    </x:row>
    <x:row r="95">
      <x:c r="A95" s="19"/>
      <x:c r="B95" s="19"/>
      <x:c r="C95" s="19"/>
      <x:c r="D95" s="20"/>
      <x:c r="E95" s="19"/>
      <x:c r="F95" s="20"/>
      <x:c r="G95" s="27"/>
      <x:c r="H95" s="27"/>
      <x:c r="I95" s="19"/>
    </x:row>
    <x:row r="96">
      <x:c r="A96" s="19"/>
      <x:c r="B96" s="19"/>
      <x:c r="C96" s="19"/>
      <x:c r="D96" s="20"/>
      <x:c r="E96" s="19"/>
      <x:c r="F96" s="20"/>
      <x:c r="G96" s="27"/>
      <x:c r="H96" s="27"/>
      <x:c r="I96" s="19"/>
    </x:row>
    <x:row r="97">
      <x:c r="A97" s="19"/>
      <x:c r="B97" s="19"/>
      <x:c r="C97" s="19"/>
      <x:c r="D97" s="20"/>
      <x:c r="E97" s="19"/>
      <x:c r="F97" s="20"/>
      <x:c r="G97" s="27"/>
      <x:c r="H97" s="27"/>
      <x:c r="I97" s="19"/>
    </x:row>
    <x:row r="98">
      <x:c r="A98" s="19"/>
      <x:c r="B98" s="19"/>
      <x:c r="C98" s="19"/>
      <x:c r="D98" s="20"/>
      <x:c r="E98" s="19"/>
      <x:c r="F98" s="20"/>
      <x:c r="G98" s="27"/>
      <x:c r="H98" s="27"/>
      <x:c r="I98" s="19"/>
    </x:row>
    <x:row r="99">
      <x:c r="A99" s="19"/>
      <x:c r="B99" s="19"/>
      <x:c r="C99" s="19"/>
      <x:c r="D99" s="20"/>
      <x:c r="E99" s="19"/>
      <x:c r="F99" s="20"/>
      <x:c r="G99" s="27"/>
      <x:c r="H99" s="27"/>
      <x:c r="I99" s="19"/>
    </x:row>
    <x:row r="100">
      <x:c r="A100" s="19"/>
      <x:c r="B100" s="19"/>
      <x:c r="C100" s="19"/>
      <x:c r="D100" s="20"/>
      <x:c r="E100" s="19"/>
      <x:c r="F100" s="20"/>
      <x:c r="G100" s="27"/>
      <x:c r="H100" s="27"/>
      <x:c r="I100" s="19"/>
    </x:row>
    <x:row r="101">
      <x:c r="A101" s="19"/>
      <x:c r="B101" s="19"/>
      <x:c r="C101" s="19"/>
      <x:c r="D101" s="20"/>
      <x:c r="E101" s="19"/>
      <x:c r="F101" s="20"/>
      <x:c r="G101" s="27"/>
      <x:c r="H101" s="27"/>
      <x:c r="I101" s="19"/>
    </x:row>
    <x:row r="102">
      <x:c r="A102" s="19"/>
      <x:c r="B102" s="19"/>
      <x:c r="C102" s="19"/>
      <x:c r="D102" s="20"/>
      <x:c r="E102" s="19"/>
      <x:c r="F102" s="20"/>
      <x:c r="G102" s="27"/>
      <x:c r="H102" s="27"/>
      <x:c r="I102" s="19"/>
    </x:row>
    <x:row r="103">
      <x:c r="A103" s="19"/>
      <x:c r="B103" s="19"/>
      <x:c r="C103" s="19"/>
      <x:c r="D103" s="20"/>
      <x:c r="E103" s="19"/>
      <x:c r="F103" s="20"/>
      <x:c r="G103" s="27"/>
      <x:c r="H103" s="27"/>
      <x:c r="I103" s="19"/>
    </x:row>
    <x:row r="104">
      <x:c r="A104" s="19"/>
      <x:c r="B104" s="19"/>
      <x:c r="C104" s="19"/>
      <x:c r="D104" s="20"/>
      <x:c r="E104" s="19"/>
      <x:c r="F104" s="20"/>
      <x:c r="G104" s="27"/>
      <x:c r="H104" s="27"/>
      <x:c r="I104" s="19"/>
    </x:row>
    <x:row r="105">
      <x:c r="A105" s="19"/>
      <x:c r="B105" s="19"/>
      <x:c r="C105" s="19"/>
      <x:c r="D105" s="20"/>
      <x:c r="E105" s="19"/>
      <x:c r="F105" s="20"/>
      <x:c r="G105" s="27"/>
      <x:c r="H105" s="27"/>
      <x:c r="I105" s="19"/>
    </x:row>
    <x:row r="106">
      <x:c r="A106" s="19"/>
      <x:c r="B106" s="19"/>
      <x:c r="C106" s="19"/>
      <x:c r="D106" s="20"/>
      <x:c r="E106" s="19"/>
      <x:c r="F106" s="20"/>
      <x:c r="G106" s="27"/>
      <x:c r="H106" s="27"/>
      <x:c r="I106" s="19"/>
    </x:row>
    <x:row r="107">
      <x:c r="A107" s="19"/>
      <x:c r="B107" s="19"/>
      <x:c r="C107" s="19"/>
      <x:c r="D107" s="20"/>
      <x:c r="E107" s="19"/>
      <x:c r="F107" s="20"/>
      <x:c r="G107" s="27"/>
      <x:c r="H107" s="27"/>
      <x:c r="I107" s="19"/>
    </x:row>
    <x:row r="108">
      <x:c r="A108" s="19"/>
      <x:c r="B108" s="19"/>
      <x:c r="C108" s="19"/>
      <x:c r="D108" s="20"/>
      <x:c r="E108" s="19"/>
      <x:c r="F108" s="20"/>
      <x:c r="G108" s="27"/>
      <x:c r="H108" s="27"/>
      <x:c r="I108" s="19"/>
    </x:row>
    <x:row r="109">
      <x:c r="A109" s="19"/>
      <x:c r="B109" s="19"/>
      <x:c r="C109" s="19"/>
      <x:c r="D109" s="20"/>
      <x:c r="E109" s="19"/>
      <x:c r="F109" s="20"/>
      <x:c r="G109" s="27"/>
      <x:c r="H109" s="27"/>
      <x:c r="I109" s="19"/>
    </x:row>
    <x:row r="110">
      <x:c r="A110" s="19"/>
      <x:c r="B110" s="19"/>
      <x:c r="C110" s="19"/>
      <x:c r="D110" s="20"/>
      <x:c r="E110" s="19"/>
      <x:c r="F110" s="20"/>
      <x:c r="G110" s="27"/>
      <x:c r="H110" s="27"/>
      <x:c r="I110" s="19"/>
    </x:row>
    <x:row r="111">
      <x:c r="A111" s="19"/>
      <x:c r="B111" s="19"/>
      <x:c r="C111" s="19"/>
      <x:c r="D111" s="20"/>
      <x:c r="E111" s="19"/>
      <x:c r="F111" s="20"/>
      <x:c r="G111" s="27"/>
      <x:c r="H111" s="27"/>
      <x:c r="I111" s="19"/>
    </x:row>
    <x:row r="112">
      <x:c r="A112" s="19"/>
      <x:c r="B112" s="19"/>
      <x:c r="C112" s="19"/>
      <x:c r="D112" s="20"/>
      <x:c r="E112" s="19"/>
      <x:c r="F112" s="20"/>
      <x:c r="G112" s="27"/>
      <x:c r="H112" s="27"/>
      <x:c r="I112" s="19"/>
    </x:row>
    <x:row r="113">
      <x:c r="A113" s="19"/>
      <x:c r="B113" s="19"/>
      <x:c r="C113" s="19"/>
      <x:c r="D113" s="20"/>
      <x:c r="E113" s="19"/>
      <x:c r="F113" s="20"/>
      <x:c r="G113" s="27"/>
      <x:c r="H113" s="27"/>
      <x:c r="I113" s="19"/>
    </x:row>
    <x:row r="114">
      <x:c r="A114" s="19"/>
      <x:c r="B114" s="19"/>
      <x:c r="C114" s="19"/>
      <x:c r="D114" s="20"/>
      <x:c r="E114" s="19"/>
      <x:c r="F114" s="20"/>
      <x:c r="G114" s="27"/>
      <x:c r="H114" s="27"/>
      <x:c r="I114" s="19"/>
    </x:row>
    <x:row r="115">
      <x:c r="A115" s="19"/>
      <x:c r="B115" s="19"/>
      <x:c r="C115" s="19"/>
      <x:c r="D115" s="20"/>
      <x:c r="E115" s="19"/>
      <x:c r="F115" s="20"/>
      <x:c r="G115" s="27"/>
      <x:c r="H115" s="27"/>
      <x:c r="I115" s="19"/>
    </x:row>
    <x:row r="116">
      <x:c r="A116" s="19"/>
      <x:c r="B116" s="19"/>
      <x:c r="C116" s="19"/>
      <x:c r="D116" s="20"/>
      <x:c r="E116" s="19"/>
      <x:c r="F116" s="20"/>
      <x:c r="G116" s="27"/>
      <x:c r="H116" s="27"/>
      <x:c r="I116" s="19"/>
    </x:row>
    <x:row r="117">
      <x:c r="A117" s="19"/>
      <x:c r="B117" s="19"/>
      <x:c r="C117" s="19"/>
      <x:c r="D117" s="20"/>
      <x:c r="E117" s="19"/>
      <x:c r="F117" s="20"/>
      <x:c r="G117" s="27"/>
      <x:c r="H117" s="27"/>
      <x:c r="I117" s="19"/>
    </x:row>
    <x:row r="118">
      <x:c r="A118" s="19"/>
      <x:c r="B118" s="19"/>
      <x:c r="C118" s="19"/>
      <x:c r="D118" s="20"/>
      <x:c r="E118" s="19"/>
      <x:c r="F118" s="20"/>
      <x:c r="G118" s="27"/>
      <x:c r="H118" s="27"/>
      <x:c r="I118" s="19"/>
    </x:row>
    <x:row r="119">
      <x:c r="A119" s="19"/>
      <x:c r="B119" s="19"/>
      <x:c r="C119" s="19"/>
      <x:c r="D119" s="20"/>
      <x:c r="E119" s="19"/>
      <x:c r="F119" s="20"/>
      <x:c r="G119" s="27"/>
      <x:c r="H119" s="27"/>
      <x:c r="I119" s="19"/>
    </x:row>
    <x:row r="120">
      <x:c r="A120" s="19"/>
      <x:c r="B120" s="19"/>
      <x:c r="C120" s="19"/>
      <x:c r="D120" s="20"/>
      <x:c r="E120" s="19"/>
      <x:c r="F120" s="20"/>
      <x:c r="G120" s="27"/>
      <x:c r="H120" s="27"/>
      <x:c r="I120" s="19"/>
    </x:row>
    <x:row r="121">
      <x:c r="A121" s="19"/>
      <x:c r="B121" s="19"/>
      <x:c r="C121" s="19"/>
      <x:c r="D121" s="20"/>
      <x:c r="E121" s="19"/>
      <x:c r="F121" s="20"/>
      <x:c r="G121" s="27"/>
      <x:c r="H121" s="27"/>
      <x:c r="I121" s="19"/>
    </x:row>
    <x:row r="122">
      <x:c r="A122" s="19"/>
      <x:c r="B122" s="19"/>
      <x:c r="C122" s="19"/>
      <x:c r="D122" s="20"/>
      <x:c r="E122" s="19"/>
      <x:c r="F122" s="20"/>
      <x:c r="G122" s="27"/>
      <x:c r="H122" s="27"/>
      <x:c r="I122" s="19"/>
    </x:row>
    <x:row r="123">
      <x:c r="A123" s="19"/>
      <x:c r="B123" s="19"/>
      <x:c r="C123" s="19"/>
      <x:c r="D123" s="20"/>
      <x:c r="E123" s="19"/>
      <x:c r="F123" s="20"/>
      <x:c r="G123" s="27"/>
      <x:c r="H123" s="27"/>
      <x:c r="I123" s="19"/>
    </x:row>
    <x:row r="124">
      <x:c r="A124" s="19"/>
      <x:c r="B124" s="19"/>
      <x:c r="C124" s="19"/>
      <x:c r="D124" s="20"/>
      <x:c r="E124" s="19"/>
      <x:c r="F124" s="20"/>
      <x:c r="G124" s="27"/>
      <x:c r="H124" s="27"/>
      <x:c r="I124" s="19"/>
    </x:row>
    <x:row r="125">
      <x:c r="A125" s="19"/>
      <x:c r="B125" s="19"/>
      <x:c r="C125" s="19"/>
      <x:c r="D125" s="20"/>
      <x:c r="E125" s="19"/>
      <x:c r="F125" s="20"/>
      <x:c r="G125" s="27"/>
      <x:c r="H125" s="27"/>
      <x:c r="I125" s="19"/>
    </x:row>
    <x:row r="126">
      <x:c r="A126" s="19"/>
      <x:c r="B126" s="19"/>
      <x:c r="C126" s="19"/>
      <x:c r="D126" s="20"/>
      <x:c r="E126" s="19"/>
      <x:c r="F126" s="20"/>
      <x:c r="G126" s="27"/>
      <x:c r="H126" s="27"/>
      <x:c r="I126" s="19"/>
    </x:row>
    <x:row r="127">
      <x:c r="A127" s="19"/>
      <x:c r="B127" s="19"/>
      <x:c r="C127" s="19"/>
      <x:c r="D127" s="20"/>
      <x:c r="E127" s="19"/>
      <x:c r="F127" s="20"/>
      <x:c r="G127" s="27"/>
      <x:c r="H127" s="27"/>
      <x:c r="I127" s="19"/>
    </x:row>
    <x:row r="128">
      <x:c r="A128" s="19"/>
      <x:c r="B128" s="19"/>
      <x:c r="C128" s="19"/>
      <x:c r="D128" s="20"/>
      <x:c r="E128" s="19"/>
      <x:c r="F128" s="20"/>
      <x:c r="G128" s="27"/>
      <x:c r="H128" s="27"/>
      <x:c r="I128" s="19"/>
    </x:row>
    <x:row r="129">
      <x:c r="A129" s="19"/>
      <x:c r="B129" s="19"/>
      <x:c r="C129" s="19"/>
      <x:c r="D129" s="20"/>
      <x:c r="E129" s="19"/>
      <x:c r="F129" s="20"/>
      <x:c r="G129" s="27"/>
      <x:c r="H129" s="27"/>
      <x:c r="I129" s="19"/>
    </x:row>
    <x:row r="130">
      <x:c r="A130" s="19"/>
      <x:c r="B130" s="19"/>
      <x:c r="C130" s="19"/>
      <x:c r="D130" s="20"/>
      <x:c r="E130" s="19"/>
      <x:c r="F130" s="20"/>
      <x:c r="G130" s="27"/>
      <x:c r="H130" s="27"/>
      <x:c r="I130" s="19"/>
    </x:row>
    <x:row r="131">
      <x:c r="A131" s="19"/>
      <x:c r="B131" s="19"/>
      <x:c r="C131" s="19"/>
      <x:c r="D131" s="20"/>
      <x:c r="E131" s="19"/>
      <x:c r="F131" s="20"/>
      <x:c r="G131" s="27"/>
      <x:c r="H131" s="27"/>
      <x:c r="I131" s="19"/>
    </x:row>
    <x:row r="132">
      <x:c r="A132" s="19"/>
      <x:c r="B132" s="19"/>
      <x:c r="C132" s="19"/>
      <x:c r="D132" s="20"/>
      <x:c r="E132" s="19"/>
      <x:c r="F132" s="20"/>
      <x:c r="G132" s="27"/>
      <x:c r="H132" s="27"/>
      <x:c r="I132" s="19"/>
    </x:row>
    <x:row r="133">
      <x:c r="A133" s="19"/>
      <x:c r="B133" s="19"/>
      <x:c r="C133" s="19"/>
      <x:c r="D133" s="20"/>
      <x:c r="E133" s="19"/>
      <x:c r="F133" s="20"/>
      <x:c r="G133" s="27"/>
      <x:c r="H133" s="27"/>
      <x:c r="I133" s="19"/>
    </x:row>
    <x:row r="134">
      <x:c r="A134" s="19"/>
      <x:c r="B134" s="19"/>
      <x:c r="C134" s="19"/>
      <x:c r="D134" s="20"/>
      <x:c r="E134" s="19"/>
      <x:c r="F134" s="20"/>
      <x:c r="G134" s="27"/>
      <x:c r="H134" s="27"/>
      <x:c r="I134" s="19"/>
    </x:row>
    <x:row r="135">
      <x:c r="A135" s="19"/>
      <x:c r="B135" s="19"/>
      <x:c r="C135" s="19"/>
      <x:c r="D135" s="20"/>
      <x:c r="E135" s="19"/>
      <x:c r="F135" s="20"/>
      <x:c r="G135" s="27"/>
      <x:c r="H135" s="27"/>
      <x:c r="I135" s="19"/>
    </x:row>
    <x:row r="136">
      <x:c r="A136" s="19"/>
      <x:c r="B136" s="19"/>
      <x:c r="C136" s="19"/>
      <x:c r="D136" s="20"/>
      <x:c r="E136" s="19"/>
      <x:c r="F136" s="20"/>
      <x:c r="G136" s="27"/>
      <x:c r="H136" s="27"/>
      <x:c r="I136" s="19"/>
    </x:row>
    <x:row r="137">
      <x:c r="A137" s="19"/>
      <x:c r="B137" s="19"/>
      <x:c r="C137" s="19"/>
      <x:c r="D137" s="20"/>
      <x:c r="E137" s="19"/>
      <x:c r="F137" s="20"/>
      <x:c r="G137" s="27"/>
      <x:c r="H137" s="27"/>
      <x:c r="I137" s="19"/>
    </x:row>
    <x:row r="138">
      <x:c r="A138" s="19"/>
      <x:c r="B138" s="19"/>
      <x:c r="C138" s="19"/>
      <x:c r="D138" s="20"/>
      <x:c r="E138" s="19"/>
      <x:c r="F138" s="20"/>
      <x:c r="G138" s="27"/>
      <x:c r="H138" s="27"/>
      <x:c r="I138" s="19"/>
    </x:row>
    <x:row r="139">
      <x:c r="A139" s="19"/>
      <x:c r="B139" s="19"/>
      <x:c r="C139" s="19"/>
      <x:c r="D139" s="20"/>
      <x:c r="E139" s="19"/>
      <x:c r="F139" s="20"/>
      <x:c r="G139" s="27"/>
      <x:c r="H139" s="27"/>
      <x:c r="I139" s="19"/>
    </x:row>
    <x:row r="140">
      <x:c r="A140" s="19"/>
      <x:c r="B140" s="19"/>
      <x:c r="C140" s="19"/>
      <x:c r="D140" s="20"/>
      <x:c r="E140" s="19"/>
      <x:c r="F140" s="20"/>
      <x:c r="G140" s="27"/>
      <x:c r="H140" s="27"/>
      <x:c r="I140" s="19"/>
    </x:row>
    <x:row r="141">
      <x:c r="A141" s="19"/>
      <x:c r="B141" s="19"/>
      <x:c r="C141" s="19"/>
      <x:c r="D141" s="20"/>
      <x:c r="E141" s="19"/>
      <x:c r="F141" s="20"/>
      <x:c r="G141" s="27"/>
      <x:c r="H141" s="27"/>
      <x:c r="I141" s="19"/>
    </x:row>
    <x:row r="142">
      <x:c r="A142" s="19"/>
      <x:c r="B142" s="19"/>
      <x:c r="C142" s="19"/>
      <x:c r="D142" s="20"/>
      <x:c r="E142" s="19"/>
      <x:c r="F142" s="20"/>
      <x:c r="G142" s="27"/>
      <x:c r="H142" s="27"/>
      <x:c r="I142" s="19"/>
    </x:row>
    <x:row r="143">
      <x:c r="A143" s="19"/>
      <x:c r="B143" s="19"/>
      <x:c r="C143" s="19"/>
      <x:c r="D143" s="20"/>
      <x:c r="E143" s="19"/>
      <x:c r="F143" s="20"/>
      <x:c r="G143" s="27"/>
      <x:c r="H143" s="27"/>
      <x:c r="I143" s="19"/>
    </x:row>
    <x:row r="144">
      <x:c r="A144" s="19"/>
      <x:c r="B144" s="19"/>
      <x:c r="C144" s="19"/>
      <x:c r="D144" s="20"/>
      <x:c r="E144" s="19"/>
      <x:c r="F144" s="20"/>
      <x:c r="G144" s="27"/>
      <x:c r="H144" s="27"/>
      <x:c r="I144" s="19"/>
    </x:row>
    <x:row r="145">
      <x:c r="A145" s="19"/>
      <x:c r="B145" s="19"/>
      <x:c r="C145" s="19"/>
      <x:c r="D145" s="20"/>
      <x:c r="E145" s="19"/>
      <x:c r="F145" s="20"/>
      <x:c r="G145" s="27"/>
      <x:c r="H145" s="27"/>
      <x:c r="I145" s="19"/>
    </x:row>
    <x:row r="146">
      <x:c r="A146" s="19"/>
      <x:c r="B146" s="19"/>
      <x:c r="C146" s="19"/>
      <x:c r="D146" s="20"/>
      <x:c r="E146" s="19"/>
      <x:c r="F146" s="20"/>
      <x:c r="G146" s="27"/>
      <x:c r="H146" s="27"/>
      <x:c r="I146" s="19"/>
    </x:row>
    <x:row r="147">
      <x:c r="A147" s="19"/>
      <x:c r="B147" s="19"/>
      <x:c r="C147" s="19"/>
      <x:c r="D147" s="20"/>
      <x:c r="E147" s="19"/>
      <x:c r="F147" s="20"/>
      <x:c r="G147" s="27"/>
      <x:c r="H147" s="27"/>
      <x:c r="I147" s="19"/>
    </x:row>
    <x:row r="148">
      <x:c r="A148" s="19"/>
      <x:c r="B148" s="19"/>
      <x:c r="C148" s="19"/>
      <x:c r="D148" s="20"/>
      <x:c r="E148" s="19"/>
      <x:c r="F148" s="20"/>
      <x:c r="G148" s="27"/>
      <x:c r="H148" s="27"/>
      <x:c r="I148" s="19"/>
    </x:row>
    <x:row r="149">
      <x:c r="A149" s="19"/>
      <x:c r="B149" s="19"/>
      <x:c r="C149" s="19"/>
      <x:c r="D149" s="20"/>
      <x:c r="E149" s="19"/>
      <x:c r="F149" s="20"/>
      <x:c r="G149" s="27"/>
      <x:c r="H149" s="27"/>
      <x:c r="I149" s="19"/>
    </x:row>
    <x:row r="150">
      <x:c r="A150" s="19"/>
      <x:c r="B150" s="19"/>
      <x:c r="C150" s="19"/>
      <x:c r="D150" s="20"/>
      <x:c r="E150" s="19"/>
      <x:c r="F150" s="20"/>
      <x:c r="G150" s="27"/>
      <x:c r="H150" s="27"/>
      <x:c r="I150" s="19"/>
    </x:row>
    <x:row r="151">
      <x:c r="A151" s="19"/>
      <x:c r="B151" s="19"/>
      <x:c r="C151" s="19"/>
      <x:c r="D151" s="20"/>
      <x:c r="E151" s="19"/>
      <x:c r="F151" s="20"/>
      <x:c r="G151" s="27"/>
      <x:c r="H151" s="27"/>
      <x:c r="I151" s="19"/>
    </x:row>
    <x:row r="152">
      <x:c r="A152" s="19"/>
      <x:c r="B152" s="19"/>
      <x:c r="C152" s="19"/>
      <x:c r="D152" s="20"/>
      <x:c r="E152" s="19"/>
      <x:c r="F152" s="20"/>
      <x:c r="G152" s="27"/>
      <x:c r="H152" s="27"/>
      <x:c r="I152" s="19"/>
    </x:row>
    <x:row r="153">
      <x:c r="A153" s="19"/>
      <x:c r="B153" s="19"/>
      <x:c r="C153" s="19"/>
      <x:c r="D153" s="20"/>
      <x:c r="E153" s="19"/>
      <x:c r="F153" s="20"/>
      <x:c r="G153" s="27"/>
      <x:c r="H153" s="27"/>
      <x:c r="I153" s="19"/>
    </x:row>
    <x:row r="154">
      <x:c r="A154" s="19"/>
      <x:c r="B154" s="19"/>
      <x:c r="C154" s="19"/>
      <x:c r="D154" s="20"/>
      <x:c r="E154" s="19"/>
      <x:c r="F154" s="20"/>
      <x:c r="G154" s="27"/>
      <x:c r="H154" s="27"/>
      <x:c r="I154" s="19"/>
    </x:row>
    <x:row r="155">
      <x:c r="A155" s="19"/>
      <x:c r="B155" s="19"/>
      <x:c r="C155" s="19"/>
      <x:c r="D155" s="20"/>
      <x:c r="E155" s="19"/>
      <x:c r="F155" s="20"/>
      <x:c r="G155" s="27"/>
      <x:c r="H155" s="27"/>
      <x:c r="I155" s="19"/>
    </x:row>
    <x:row r="156">
      <x:c r="A156" s="19"/>
      <x:c r="B156" s="19"/>
      <x:c r="C156" s="19"/>
      <x:c r="D156" s="20"/>
      <x:c r="E156" s="19"/>
      <x:c r="F156" s="20"/>
      <x:c r="G156" s="27"/>
      <x:c r="H156" s="27"/>
      <x:c r="I156" s="19"/>
    </x:row>
    <x:row r="157">
      <x:c r="A157" s="19"/>
      <x:c r="B157" s="19"/>
      <x:c r="C157" s="19"/>
      <x:c r="D157" s="20"/>
      <x:c r="E157" s="19"/>
      <x:c r="F157" s="20"/>
      <x:c r="G157" s="27"/>
      <x:c r="H157" s="27"/>
      <x:c r="I157" s="19"/>
    </x:row>
    <x:row r="158">
      <x:c r="A158" s="19"/>
      <x:c r="B158" s="19"/>
      <x:c r="C158" s="19"/>
      <x:c r="D158" s="20"/>
      <x:c r="E158" s="19"/>
      <x:c r="F158" s="20"/>
      <x:c r="G158" s="27"/>
      <x:c r="H158" s="27"/>
      <x:c r="I158" s="19"/>
    </x:row>
    <x:row r="159">
      <x:c r="A159" s="19"/>
      <x:c r="B159" s="19"/>
      <x:c r="C159" s="19"/>
      <x:c r="D159" s="20"/>
      <x:c r="E159" s="19"/>
      <x:c r="F159" s="20"/>
      <x:c r="G159" s="27"/>
      <x:c r="H159" s="27"/>
      <x:c r="I159" s="19"/>
    </x:row>
    <x:row r="160">
      <x:c r="A160" s="19"/>
      <x:c r="B160" s="19"/>
      <x:c r="C160" s="19"/>
      <x:c r="D160" s="20"/>
      <x:c r="E160" s="19"/>
      <x:c r="F160" s="20"/>
      <x:c r="G160" s="27"/>
      <x:c r="H160" s="27"/>
      <x:c r="I160" s="19"/>
    </x:row>
    <x:row r="161">
      <x:c r="A161" s="19"/>
      <x:c r="B161" s="19"/>
      <x:c r="C161" s="19"/>
      <x:c r="D161" s="20"/>
      <x:c r="E161" s="19"/>
      <x:c r="F161" s="20"/>
      <x:c r="G161" s="27"/>
      <x:c r="H161" s="27"/>
      <x:c r="I161" s="19"/>
    </x:row>
    <x:row r="162">
      <x:c r="A162" s="19"/>
      <x:c r="B162" s="19"/>
      <x:c r="C162" s="19"/>
      <x:c r="D162" s="20"/>
      <x:c r="E162" s="19"/>
      <x:c r="F162" s="20"/>
      <x:c r="G162" s="27"/>
      <x:c r="H162" s="27"/>
      <x:c r="I162" s="19"/>
    </x:row>
    <x:row r="163">
      <x:c r="A163" s="19"/>
      <x:c r="B163" s="19"/>
      <x:c r="C163" s="19"/>
      <x:c r="D163" s="20"/>
      <x:c r="E163" s="19"/>
      <x:c r="F163" s="20"/>
      <x:c r="G163" s="27"/>
      <x:c r="H163" s="27"/>
      <x:c r="I163" s="19"/>
    </x:row>
    <x:row r="164">
      <x:c r="A164" s="19"/>
      <x:c r="B164" s="19"/>
      <x:c r="C164" s="19"/>
      <x:c r="D164" s="20"/>
      <x:c r="E164" s="19"/>
      <x:c r="F164" s="20"/>
      <x:c r="G164" s="27"/>
      <x:c r="H164" s="27"/>
      <x:c r="I164" s="19"/>
    </x:row>
    <x:row r="165">
      <x:c r="A165" s="19"/>
      <x:c r="B165" s="19"/>
      <x:c r="C165" s="19"/>
      <x:c r="D165" s="20"/>
      <x:c r="E165" s="19"/>
      <x:c r="F165" s="20"/>
      <x:c r="G165" s="27"/>
      <x:c r="H165" s="27"/>
      <x:c r="I165" s="19"/>
    </x:row>
    <x:row r="166">
      <x:c r="A166" s="19"/>
      <x:c r="B166" s="19"/>
      <x:c r="C166" s="19"/>
      <x:c r="D166" s="20"/>
      <x:c r="E166" s="19"/>
      <x:c r="F166" s="20"/>
      <x:c r="G166" s="27"/>
      <x:c r="H166" s="27"/>
      <x:c r="I166" s="19"/>
    </x:row>
    <x:row r="167">
      <x:c r="A167" s="19"/>
      <x:c r="B167" s="19"/>
      <x:c r="C167" s="19"/>
      <x:c r="D167" s="20"/>
      <x:c r="E167" s="19"/>
      <x:c r="F167" s="20"/>
      <x:c r="G167" s="27"/>
      <x:c r="H167" s="27"/>
      <x:c r="I167" s="19"/>
    </x:row>
    <x:row r="168">
      <x:c r="A168" s="19"/>
      <x:c r="B168" s="19"/>
      <x:c r="C168" s="19"/>
      <x:c r="D168" s="20"/>
      <x:c r="E168" s="19"/>
      <x:c r="F168" s="20"/>
      <x:c r="G168" s="27"/>
      <x:c r="H168" s="27"/>
      <x:c r="I168" s="19"/>
    </x:row>
    <x:row r="169">
      <x:c r="A169" s="19"/>
      <x:c r="B169" s="19"/>
      <x:c r="C169" s="19"/>
      <x:c r="D169" s="20"/>
      <x:c r="E169" s="19"/>
      <x:c r="F169" s="20"/>
      <x:c r="G169" s="27"/>
      <x:c r="H169" s="27"/>
      <x:c r="I169" s="19"/>
    </x:row>
    <x:row r="170">
      <x:c r="A170" s="19"/>
      <x:c r="B170" s="19"/>
      <x:c r="C170" s="19"/>
      <x:c r="D170" s="20"/>
      <x:c r="E170" s="19"/>
      <x:c r="F170" s="20"/>
      <x:c r="G170" s="27"/>
      <x:c r="H170" s="27"/>
      <x:c r="I170" s="19"/>
    </x:row>
    <x:row r="171">
      <x:c r="A171" s="19"/>
      <x:c r="B171" s="19"/>
      <x:c r="C171" s="19"/>
      <x:c r="D171" s="20"/>
      <x:c r="E171" s="19"/>
      <x:c r="F171" s="20"/>
      <x:c r="G171" s="27"/>
      <x:c r="H171" s="27"/>
      <x:c r="I171" s="19"/>
    </x:row>
    <x:row r="172">
      <x:c r="A172" s="19"/>
      <x:c r="B172" s="19"/>
      <x:c r="C172" s="19"/>
      <x:c r="D172" s="20"/>
      <x:c r="E172" s="19"/>
      <x:c r="F172" s="20"/>
      <x:c r="G172" s="27"/>
      <x:c r="H172" s="27"/>
      <x:c r="I172" s="19"/>
    </x:row>
    <x:row r="173">
      <x:c r="A173" s="19"/>
      <x:c r="B173" s="19"/>
      <x:c r="C173" s="19"/>
      <x:c r="D173" s="20"/>
      <x:c r="E173" s="19"/>
      <x:c r="F173" s="20"/>
      <x:c r="G173" s="27"/>
      <x:c r="H173" s="27"/>
      <x:c r="I173" s="19"/>
    </x:row>
    <x:row r="174">
      <x:c r="A174" s="19"/>
      <x:c r="B174" s="19"/>
      <x:c r="C174" s="19"/>
      <x:c r="D174" s="20"/>
      <x:c r="E174" s="19"/>
      <x:c r="F174" s="20"/>
      <x:c r="G174" s="27"/>
      <x:c r="H174" s="27"/>
      <x:c r="I174" s="19"/>
    </x:row>
    <x:row r="175">
      <x:c r="A175" s="19"/>
      <x:c r="B175" s="19"/>
      <x:c r="C175" s="19"/>
      <x:c r="D175" s="20"/>
      <x:c r="E175" s="19"/>
      <x:c r="F175" s="20"/>
      <x:c r="G175" s="27"/>
      <x:c r="H175" s="27"/>
      <x:c r="I175" s="19"/>
    </x:row>
    <x:row r="176">
      <x:c r="A176" s="19"/>
      <x:c r="B176" s="19"/>
      <x:c r="C176" s="19"/>
      <x:c r="D176" s="20"/>
      <x:c r="E176" s="19"/>
      <x:c r="F176" s="20"/>
      <x:c r="G176" s="27"/>
      <x:c r="H176" s="27"/>
      <x:c r="I176" s="19"/>
    </x:row>
    <x:row r="177">
      <x:c r="A177" s="19"/>
      <x:c r="B177" s="19"/>
      <x:c r="C177" s="19"/>
      <x:c r="D177" s="20"/>
      <x:c r="E177" s="19"/>
      <x:c r="F177" s="20"/>
      <x:c r="G177" s="27"/>
      <x:c r="H177" s="27"/>
      <x:c r="I177" s="19"/>
    </x:row>
    <x:row r="178">
      <x:c r="A178" s="19"/>
      <x:c r="B178" s="19"/>
      <x:c r="C178" s="19"/>
      <x:c r="D178" s="20"/>
      <x:c r="E178" s="19"/>
      <x:c r="F178" s="20"/>
      <x:c r="G178" s="27"/>
      <x:c r="H178" s="27"/>
      <x:c r="I178" s="19"/>
    </x:row>
    <x:row r="179">
      <x:c r="A179" s="19"/>
      <x:c r="B179" s="19"/>
      <x:c r="C179" s="19"/>
      <x:c r="D179" s="20"/>
      <x:c r="E179" s="19"/>
      <x:c r="F179" s="20"/>
      <x:c r="G179" s="27"/>
      <x:c r="H179" s="27"/>
      <x:c r="I179" s="19"/>
    </x:row>
    <x:row r="180">
      <x:c r="A180" s="19"/>
      <x:c r="B180" s="19"/>
      <x:c r="C180" s="19"/>
      <x:c r="D180" s="20"/>
      <x:c r="E180" s="19"/>
      <x:c r="F180" s="20"/>
      <x:c r="G180" s="27"/>
      <x:c r="H180" s="27"/>
      <x:c r="I180" s="19"/>
    </x:row>
    <x:row r="181">
      <x:c r="A181" s="19"/>
      <x:c r="B181" s="19"/>
      <x:c r="C181" s="19"/>
      <x:c r="D181" s="20"/>
      <x:c r="E181" s="19"/>
      <x:c r="F181" s="20"/>
      <x:c r="G181" s="27"/>
      <x:c r="H181" s="27"/>
      <x:c r="I181" s="19"/>
    </x:row>
    <x:row r="182">
      <x:c r="A182" s="19"/>
      <x:c r="B182" s="19"/>
      <x:c r="C182" s="19"/>
      <x:c r="D182" s="20"/>
      <x:c r="E182" s="19"/>
      <x:c r="F182" s="20"/>
      <x:c r="G182" s="27"/>
      <x:c r="H182" s="27"/>
      <x:c r="I182" s="19"/>
    </x:row>
    <x:row r="183">
      <x:c r="A183" s="19"/>
      <x:c r="B183" s="19"/>
      <x:c r="C183" s="19"/>
      <x:c r="D183" s="20"/>
      <x:c r="E183" s="19"/>
      <x:c r="F183" s="20"/>
      <x:c r="G183" s="27"/>
      <x:c r="H183" s="27"/>
      <x:c r="I183" s="19"/>
    </x:row>
    <x:row r="184">
      <x:c r="A184" s="19"/>
      <x:c r="B184" s="19"/>
      <x:c r="C184" s="19"/>
      <x:c r="D184" s="20"/>
      <x:c r="E184" s="19"/>
      <x:c r="F184" s="20"/>
      <x:c r="G184" s="27"/>
      <x:c r="H184" s="27"/>
      <x:c r="I184" s="19"/>
    </x:row>
    <x:row r="185">
      <x:c r="A185" s="19"/>
      <x:c r="B185" s="19"/>
      <x:c r="C185" s="19"/>
      <x:c r="D185" s="20"/>
      <x:c r="E185" s="19"/>
      <x:c r="F185" s="20"/>
      <x:c r="G185" s="27"/>
      <x:c r="H185" s="27"/>
      <x:c r="I185" s="19"/>
    </x:row>
    <x:row r="186">
      <x:c r="A186" s="19"/>
      <x:c r="B186" s="19"/>
      <x:c r="C186" s="19"/>
      <x:c r="D186" s="20"/>
      <x:c r="E186" s="19"/>
      <x:c r="F186" s="20"/>
      <x:c r="G186" s="27"/>
      <x:c r="H186" s="27"/>
      <x:c r="I186" s="19"/>
    </x:row>
    <x:row r="187">
      <x:c r="A187" s="19"/>
      <x:c r="B187" s="19"/>
      <x:c r="C187" s="19"/>
      <x:c r="D187" s="20"/>
      <x:c r="E187" s="19"/>
      <x:c r="F187" s="20"/>
      <x:c r="G187" s="27"/>
      <x:c r="H187" s="27"/>
      <x:c r="I187" s="19"/>
    </x:row>
    <x:row r="188">
      <x:c r="A188" s="19"/>
      <x:c r="B188" s="19"/>
      <x:c r="C188" s="19"/>
      <x:c r="D188" s="20"/>
      <x:c r="E188" s="19"/>
      <x:c r="F188" s="20"/>
      <x:c r="G188" s="27"/>
      <x:c r="H188" s="27"/>
      <x:c r="I188" s="19"/>
    </x:row>
    <x:row r="189">
      <x:c r="A189" s="19"/>
      <x:c r="B189" s="19"/>
      <x:c r="C189" s="19"/>
      <x:c r="D189" s="20"/>
      <x:c r="E189" s="19"/>
      <x:c r="F189" s="20"/>
      <x:c r="G189" s="27"/>
      <x:c r="H189" s="27"/>
      <x:c r="I189" s="19"/>
    </x:row>
    <x:row r="190">
      <x:c r="A190" s="19"/>
      <x:c r="B190" s="19"/>
      <x:c r="C190" s="19"/>
      <x:c r="D190" s="20"/>
      <x:c r="E190" s="19"/>
      <x:c r="F190" s="20"/>
      <x:c r="G190" s="27"/>
      <x:c r="H190" s="27"/>
      <x:c r="I190" s="19"/>
    </x:row>
    <x:row r="191">
      <x:c r="A191" s="19"/>
      <x:c r="B191" s="19"/>
      <x:c r="C191" s="19"/>
      <x:c r="D191" s="20"/>
      <x:c r="E191" s="19"/>
      <x:c r="F191" s="20"/>
      <x:c r="G191" s="27"/>
      <x:c r="H191" s="27"/>
      <x:c r="I191" s="19"/>
    </x:row>
    <x:row r="192">
      <x:c r="A192" s="19"/>
      <x:c r="B192" s="19"/>
      <x:c r="C192" s="19"/>
      <x:c r="D192" s="20"/>
      <x:c r="E192" s="19"/>
      <x:c r="F192" s="20"/>
      <x:c r="G192" s="27"/>
      <x:c r="H192" s="27"/>
      <x:c r="I192" s="19"/>
    </x:row>
    <x:row r="193">
      <x:c r="A193" s="19"/>
      <x:c r="B193" s="19"/>
      <x:c r="C193" s="19"/>
      <x:c r="D193" s="20"/>
      <x:c r="E193" s="19"/>
      <x:c r="F193" s="20"/>
      <x:c r="G193" s="27"/>
      <x:c r="H193" s="27"/>
      <x:c r="I193" s="19"/>
    </x:row>
    <x:row r="194">
      <x:c r="A194" s="19"/>
      <x:c r="B194" s="19"/>
      <x:c r="C194" s="19"/>
      <x:c r="D194" s="20"/>
      <x:c r="E194" s="19"/>
      <x:c r="F194" s="20"/>
      <x:c r="G194" s="27"/>
      <x:c r="H194" s="27"/>
      <x:c r="I194" s="19"/>
    </x:row>
    <x:row r="195">
      <x:c r="A195" s="19"/>
      <x:c r="B195" s="19"/>
      <x:c r="C195" s="19"/>
      <x:c r="D195" s="20"/>
      <x:c r="E195" s="19"/>
      <x:c r="F195" s="20"/>
      <x:c r="G195" s="27"/>
      <x:c r="H195" s="27"/>
      <x:c r="I195" s="19"/>
    </x:row>
    <x:row r="196">
      <x:c r="A196" s="19"/>
      <x:c r="B196" s="19"/>
      <x:c r="C196" s="19"/>
      <x:c r="D196" s="20"/>
      <x:c r="E196" s="19"/>
      <x:c r="F196" s="20"/>
      <x:c r="G196" s="27"/>
      <x:c r="H196" s="27"/>
      <x:c r="I196" s="19"/>
    </x:row>
    <x:row r="197">
      <x:c r="A197" s="19"/>
      <x:c r="B197" s="19"/>
      <x:c r="C197" s="19"/>
      <x:c r="D197" s="20"/>
      <x:c r="E197" s="19"/>
      <x:c r="F197" s="20"/>
      <x:c r="G197" s="27"/>
      <x:c r="H197" s="27"/>
      <x:c r="I197" s="19"/>
    </x:row>
    <x:row r="198">
      <x:c r="A198" s="19"/>
      <x:c r="B198" s="19"/>
      <x:c r="C198" s="19"/>
      <x:c r="D198" s="20"/>
      <x:c r="E198" s="19"/>
      <x:c r="F198" s="20"/>
      <x:c r="G198" s="27"/>
      <x:c r="H198" s="27"/>
      <x:c r="I198" s="19"/>
    </x:row>
    <x:row r="199">
      <x:c r="A199" s="19"/>
      <x:c r="B199" s="19"/>
      <x:c r="C199" s="19"/>
      <x:c r="D199" s="20"/>
      <x:c r="E199" s="19"/>
      <x:c r="F199" s="20"/>
      <x:c r="G199" s="27"/>
      <x:c r="H199" s="27"/>
      <x:c r="I199" s="19"/>
    </x:row>
    <x:row r="200">
      <x:c r="A200" s="19"/>
      <x:c r="B200" s="19"/>
      <x:c r="C200" s="19"/>
      <x:c r="D200" s="20"/>
      <x:c r="E200" s="19"/>
      <x:c r="F200" s="20"/>
      <x:c r="G200" s="27"/>
      <x:c r="H200" s="27"/>
      <x:c r="I200" s="19"/>
    </x:row>
    <x:row r="201">
      <x:c r="A201" s="19"/>
      <x:c r="B201" s="19"/>
      <x:c r="C201" s="19"/>
      <x:c r="D201" s="20"/>
      <x:c r="E201" s="19"/>
      <x:c r="F201" s="20"/>
      <x:c r="G201" s="27"/>
      <x:c r="H201" s="27"/>
      <x:c r="I201" s="19"/>
    </x:row>
    <x:row r="202">
      <x:c r="A202" s="19"/>
      <x:c r="B202" s="19"/>
      <x:c r="C202" s="19"/>
      <x:c r="D202" s="20"/>
      <x:c r="E202" s="19"/>
      <x:c r="F202" s="20"/>
      <x:c r="G202" s="27"/>
      <x:c r="H202" s="27"/>
      <x:c r="I202" s="19"/>
    </x:row>
    <x:row r="203">
      <x:c r="A203" s="19"/>
      <x:c r="B203" s="19"/>
      <x:c r="C203" s="19"/>
      <x:c r="D203" s="20"/>
      <x:c r="E203" s="19"/>
      <x:c r="F203" s="20"/>
      <x:c r="G203" s="27"/>
      <x:c r="H203" s="27"/>
      <x:c r="I203" s="19"/>
    </x:row>
    <x:row r="204">
      <x:c r="A204" s="19"/>
      <x:c r="B204" s="19"/>
      <x:c r="C204" s="19"/>
      <x:c r="D204" s="20"/>
      <x:c r="E204" s="19"/>
      <x:c r="F204" s="20"/>
      <x:c r="G204" s="27"/>
      <x:c r="H204" s="27"/>
      <x:c r="I204" s="19"/>
    </x:row>
    <x:row r="205">
      <x:c r="A205" s="19"/>
      <x:c r="B205" s="19"/>
      <x:c r="C205" s="19"/>
      <x:c r="D205" s="20"/>
      <x:c r="E205" s="19"/>
      <x:c r="F205" s="20"/>
      <x:c r="G205" s="27"/>
      <x:c r="H205" s="27"/>
      <x:c r="I205" s="19"/>
    </x:row>
    <x:row r="206">
      <x:c r="A206" s="19"/>
      <x:c r="B206" s="19"/>
      <x:c r="C206" s="19"/>
      <x:c r="D206" s="20"/>
      <x:c r="E206" s="19"/>
      <x:c r="F206" s="20"/>
      <x:c r="G206" s="27"/>
      <x:c r="H206" s="27"/>
      <x:c r="I206" s="19"/>
    </x:row>
    <x:row r="207">
      <x:c r="A207" s="19"/>
      <x:c r="B207" s="19"/>
      <x:c r="C207" s="19"/>
      <x:c r="D207" s="20"/>
      <x:c r="E207" s="19"/>
      <x:c r="F207" s="20"/>
      <x:c r="G207" s="27"/>
      <x:c r="H207" s="27"/>
      <x:c r="I207" s="19"/>
    </x:row>
    <x:row r="208">
      <x:c r="A208" s="19"/>
      <x:c r="B208" s="19"/>
      <x:c r="C208" s="19"/>
      <x:c r="D208" s="20"/>
      <x:c r="E208" s="19"/>
      <x:c r="F208" s="20"/>
      <x:c r="G208" s="27"/>
      <x:c r="H208" s="27"/>
      <x:c r="I208" s="19"/>
    </x:row>
    <x:row r="209">
      <x:c r="A209" s="19"/>
      <x:c r="B209" s="19"/>
      <x:c r="C209" s="19"/>
      <x:c r="D209" s="20"/>
      <x:c r="E209" s="19"/>
      <x:c r="F209" s="20"/>
      <x:c r="G209" s="27"/>
      <x:c r="H209" s="27"/>
      <x:c r="I209" s="19"/>
    </x:row>
    <x:row r="210">
      <x:c r="A210" s="19"/>
      <x:c r="B210" s="19"/>
      <x:c r="C210" s="19"/>
      <x:c r="D210" s="20"/>
      <x:c r="E210" s="19"/>
      <x:c r="F210" s="20"/>
      <x:c r="G210" s="27"/>
      <x:c r="H210" s="27"/>
      <x:c r="I210" s="19"/>
    </x:row>
    <x:row r="211">
      <x:c r="A211" s="19"/>
      <x:c r="B211" s="19"/>
      <x:c r="C211" s="19"/>
      <x:c r="D211" s="20"/>
      <x:c r="E211" s="19"/>
      <x:c r="F211" s="20"/>
      <x:c r="G211" s="27"/>
      <x:c r="H211" s="27"/>
      <x:c r="I211" s="19"/>
    </x:row>
    <x:row r="212">
      <x:c r="A212" s="19"/>
      <x:c r="B212" s="19"/>
      <x:c r="C212" s="19"/>
      <x:c r="D212" s="20"/>
      <x:c r="E212" s="19"/>
      <x:c r="F212" s="20"/>
      <x:c r="G212" s="27"/>
      <x:c r="H212" s="27"/>
      <x:c r="I212" s="19"/>
    </x:row>
    <x:row r="213">
      <x:c r="A213" s="19"/>
      <x:c r="B213" s="19"/>
      <x:c r="C213" s="19"/>
      <x:c r="D213" s="20"/>
      <x:c r="E213" s="19"/>
      <x:c r="F213" s="20"/>
      <x:c r="G213" s="27"/>
      <x:c r="H213" s="27"/>
      <x:c r="I213" s="19"/>
    </x:row>
    <x:row r="214">
      <x:c r="A214" s="19"/>
      <x:c r="B214" s="19"/>
      <x:c r="C214" s="19"/>
      <x:c r="D214" s="20"/>
      <x:c r="E214" s="19"/>
      <x:c r="F214" s="20"/>
      <x:c r="G214" s="27"/>
      <x:c r="H214" s="27"/>
      <x:c r="I214" s="19"/>
    </x:row>
    <x:row r="215">
      <x:c r="A215" s="19"/>
      <x:c r="B215" s="19"/>
      <x:c r="C215" s="19"/>
      <x:c r="D215" s="20"/>
      <x:c r="E215" s="19"/>
      <x:c r="F215" s="20"/>
      <x:c r="G215" s="27"/>
      <x:c r="H215" s="27"/>
      <x:c r="I215" s="19"/>
    </x:row>
    <x:row r="216">
      <x:c r="A216" s="19"/>
      <x:c r="B216" s="19"/>
      <x:c r="C216" s="19"/>
      <x:c r="D216" s="20"/>
      <x:c r="E216" s="19"/>
      <x:c r="F216" s="20"/>
      <x:c r="G216" s="27"/>
      <x:c r="H216" s="27"/>
      <x:c r="I216" s="19"/>
    </x:row>
    <x:row r="217">
      <x:c r="A217" s="19"/>
      <x:c r="B217" s="19"/>
      <x:c r="C217" s="19"/>
      <x:c r="D217" s="20"/>
      <x:c r="E217" s="19"/>
      <x:c r="F217" s="20"/>
      <x:c r="G217" s="27"/>
      <x:c r="H217" s="27"/>
      <x:c r="I217" s="19"/>
    </x:row>
    <x:row r="218">
      <x:c r="A218" s="19"/>
      <x:c r="B218" s="19"/>
      <x:c r="C218" s="19"/>
      <x:c r="D218" s="20"/>
      <x:c r="E218" s="19"/>
      <x:c r="F218" s="20"/>
      <x:c r="G218" s="27"/>
      <x:c r="H218" s="27"/>
      <x:c r="I218" s="19"/>
    </x:row>
    <x:row r="219">
      <x:c r="A219" s="19"/>
      <x:c r="B219" s="19"/>
      <x:c r="C219" s="19"/>
      <x:c r="D219" s="20"/>
      <x:c r="E219" s="19"/>
      <x:c r="F219" s="20"/>
      <x:c r="G219" s="27"/>
      <x:c r="H219" s="27"/>
      <x:c r="I219" s="19"/>
    </x:row>
    <x:row r="220">
      <x:c r="A220" s="19"/>
      <x:c r="B220" s="19"/>
      <x:c r="C220" s="19"/>
      <x:c r="D220" s="20"/>
      <x:c r="E220" s="19"/>
      <x:c r="F220" s="20"/>
      <x:c r="G220" s="27"/>
      <x:c r="H220" s="27"/>
      <x:c r="I220" s="19"/>
    </x:row>
    <x:row r="221">
      <x:c r="A221" s="19"/>
      <x:c r="B221" s="19"/>
      <x:c r="C221" s="19"/>
      <x:c r="D221" s="20"/>
      <x:c r="E221" s="19"/>
      <x:c r="F221" s="20"/>
      <x:c r="G221" s="27"/>
      <x:c r="H221" s="27"/>
      <x:c r="I221" s="19"/>
    </x:row>
    <x:row r="222">
      <x:c r="A222" s="19"/>
      <x:c r="B222" s="19"/>
      <x:c r="C222" s="19"/>
      <x:c r="D222" s="20"/>
      <x:c r="E222" s="19"/>
      <x:c r="F222" s="20"/>
      <x:c r="G222" s="27"/>
      <x:c r="H222" s="27"/>
      <x:c r="I222" s="19"/>
    </x:row>
    <x:row r="223">
      <x:c r="A223" s="19"/>
      <x:c r="B223" s="19"/>
      <x:c r="C223" s="19"/>
      <x:c r="D223" s="20"/>
      <x:c r="E223" s="19"/>
      <x:c r="F223" s="20"/>
      <x:c r="G223" s="27"/>
      <x:c r="H223" s="27"/>
      <x:c r="I223" s="19"/>
    </x:row>
    <x:row r="224">
      <x:c r="A224" s="19"/>
      <x:c r="B224" s="19"/>
      <x:c r="C224" s="19"/>
      <x:c r="D224" s="20"/>
      <x:c r="E224" s="19"/>
      <x:c r="F224" s="20"/>
      <x:c r="G224" s="27"/>
      <x:c r="H224" s="27"/>
      <x:c r="I224" s="19"/>
    </x:row>
    <x:row r="225">
      <x:c r="A225" s="19"/>
      <x:c r="B225" s="19"/>
      <x:c r="C225" s="19"/>
      <x:c r="D225" s="20"/>
      <x:c r="E225" s="19"/>
      <x:c r="F225" s="20"/>
      <x:c r="G225" s="27"/>
      <x:c r="H225" s="27"/>
      <x:c r="I225" s="19"/>
    </x:row>
    <x:row r="226">
      <x:c r="A226" s="19"/>
      <x:c r="B226" s="19"/>
      <x:c r="C226" s="19"/>
      <x:c r="D226" s="20"/>
      <x:c r="E226" s="19"/>
      <x:c r="F226" s="20"/>
      <x:c r="G226" s="27"/>
      <x:c r="H226" s="27"/>
      <x:c r="I226" s="19"/>
    </x:row>
    <x:row r="227">
      <x:c r="A227" s="19"/>
      <x:c r="B227" s="19"/>
      <x:c r="C227" s="19"/>
      <x:c r="D227" s="20"/>
      <x:c r="E227" s="19"/>
      <x:c r="F227" s="20"/>
      <x:c r="G227" s="27"/>
      <x:c r="H227" s="27"/>
      <x:c r="I227" s="19"/>
    </x:row>
    <x:row r="228">
      <x:c r="A228" s="19"/>
      <x:c r="B228" s="19"/>
      <x:c r="C228" s="19"/>
      <x:c r="D228" s="20"/>
      <x:c r="E228" s="19"/>
      <x:c r="F228" s="20"/>
      <x:c r="G228" s="27"/>
      <x:c r="H228" s="27"/>
      <x:c r="I228" s="19"/>
    </x:row>
    <x:row r="229">
      <x:c r="A229" s="19"/>
      <x:c r="B229" s="19"/>
      <x:c r="C229" s="19"/>
      <x:c r="D229" s="20"/>
      <x:c r="E229" s="19"/>
      <x:c r="F229" s="20"/>
      <x:c r="G229" s="27"/>
      <x:c r="H229" s="27"/>
      <x:c r="I229" s="19"/>
    </x:row>
    <x:row r="230">
      <x:c r="A230" s="19"/>
      <x:c r="B230" s="19"/>
      <x:c r="C230" s="19"/>
      <x:c r="D230" s="20"/>
      <x:c r="E230" s="19"/>
      <x:c r="F230" s="20"/>
      <x:c r="G230" s="27"/>
      <x:c r="H230" s="27"/>
      <x:c r="I230" s="19"/>
    </x:row>
    <x:row r="231">
      <x:c r="A231" s="19"/>
      <x:c r="B231" s="19"/>
      <x:c r="C231" s="19"/>
      <x:c r="D231" s="20"/>
      <x:c r="E231" s="19"/>
      <x:c r="F231" s="20"/>
      <x:c r="G231" s="27"/>
      <x:c r="H231" s="27"/>
      <x:c r="I231" s="19"/>
    </x:row>
    <x:row r="232">
      <x:c r="A232" s="19"/>
      <x:c r="B232" s="19"/>
      <x:c r="C232" s="19"/>
      <x:c r="D232" s="20"/>
      <x:c r="E232" s="19"/>
      <x:c r="F232" s="20"/>
      <x:c r="G232" s="27"/>
      <x:c r="H232" s="27"/>
      <x:c r="I232" s="19"/>
    </x:row>
    <x:row r="233">
      <x:c r="A233" s="19"/>
      <x:c r="B233" s="19"/>
      <x:c r="C233" s="19"/>
      <x:c r="D233" s="20"/>
      <x:c r="E233" s="19"/>
      <x:c r="F233" s="20"/>
      <x:c r="G233" s="27"/>
      <x:c r="H233" s="27"/>
      <x:c r="I233" s="19"/>
    </x:row>
    <x:row r="234">
      <x:c r="A234" s="19"/>
      <x:c r="B234" s="19"/>
      <x:c r="C234" s="19"/>
      <x:c r="D234" s="20"/>
      <x:c r="E234" s="19"/>
      <x:c r="F234" s="20"/>
      <x:c r="G234" s="27"/>
      <x:c r="H234" s="27"/>
      <x:c r="I234" s="19"/>
    </x:row>
    <x:row r="235">
      <x:c r="A235" s="19"/>
      <x:c r="B235" s="19"/>
      <x:c r="C235" s="19"/>
      <x:c r="D235" s="20"/>
      <x:c r="E235" s="19"/>
      <x:c r="F235" s="20"/>
      <x:c r="G235" s="27"/>
      <x:c r="H235" s="27"/>
      <x:c r="I235" s="19"/>
    </x:row>
    <x:row r="236">
      <x:c r="A236" s="19"/>
      <x:c r="B236" s="19"/>
      <x:c r="C236" s="19"/>
      <x:c r="D236" s="20"/>
      <x:c r="E236" s="19"/>
      <x:c r="F236" s="20"/>
      <x:c r="G236" s="27"/>
      <x:c r="H236" s="27"/>
      <x:c r="I236" s="19"/>
    </x:row>
    <x:row r="237">
      <x:c r="A237" s="19"/>
      <x:c r="B237" s="19"/>
      <x:c r="C237" s="19"/>
      <x:c r="D237" s="20"/>
      <x:c r="E237" s="19"/>
      <x:c r="F237" s="20"/>
      <x:c r="G237" s="27"/>
      <x:c r="H237" s="27"/>
      <x:c r="I237" s="19"/>
    </x:row>
    <x:row r="238">
      <x:c r="A238" s="19"/>
      <x:c r="B238" s="19"/>
      <x:c r="C238" s="19"/>
      <x:c r="D238" s="20"/>
      <x:c r="E238" s="19"/>
      <x:c r="F238" s="20"/>
      <x:c r="G238" s="27"/>
      <x:c r="H238" s="27"/>
      <x:c r="I238" s="19"/>
    </x:row>
    <x:row r="239">
      <x:c r="A239" s="19"/>
      <x:c r="B239" s="19"/>
      <x:c r="C239" s="19"/>
      <x:c r="D239" s="20"/>
      <x:c r="E239" s="19"/>
      <x:c r="F239" s="20"/>
      <x:c r="G239" s="27"/>
      <x:c r="H239" s="27"/>
      <x:c r="I239" s="19"/>
    </x:row>
    <x:row r="240">
      <x:c r="A240" s="19"/>
      <x:c r="B240" s="19"/>
      <x:c r="C240" s="19"/>
      <x:c r="D240" s="20"/>
      <x:c r="E240" s="19"/>
      <x:c r="F240" s="20"/>
      <x:c r="G240" s="27"/>
      <x:c r="H240" s="27"/>
      <x:c r="I240" s="19"/>
    </x:row>
    <x:row r="241">
      <x:c r="A241" s="19"/>
      <x:c r="B241" s="19"/>
      <x:c r="C241" s="19"/>
      <x:c r="D241" s="20"/>
      <x:c r="E241" s="19"/>
      <x:c r="F241" s="20"/>
      <x:c r="G241" s="27"/>
      <x:c r="H241" s="27"/>
      <x:c r="I241" s="19"/>
    </x:row>
    <x:row r="242">
      <x:c r="A242" s="19"/>
      <x:c r="B242" s="19"/>
      <x:c r="C242" s="19"/>
      <x:c r="D242" s="20"/>
      <x:c r="E242" s="19"/>
      <x:c r="F242" s="20"/>
      <x:c r="G242" s="27"/>
      <x:c r="H242" s="27"/>
      <x:c r="I242" s="19"/>
    </x:row>
    <x:row r="243">
      <x:c r="A243" s="19"/>
      <x:c r="B243" s="19"/>
      <x:c r="C243" s="19"/>
      <x:c r="D243" s="20"/>
      <x:c r="E243" s="19"/>
      <x:c r="F243" s="20"/>
      <x:c r="G243" s="27"/>
      <x:c r="H243" s="27"/>
      <x:c r="I243" s="19"/>
    </x:row>
    <x:row r="244">
      <x:c r="A244" s="19"/>
      <x:c r="B244" s="19"/>
      <x:c r="C244" s="19"/>
      <x:c r="D244" s="20"/>
      <x:c r="E244" s="19"/>
      <x:c r="F244" s="20"/>
      <x:c r="G244" s="27"/>
      <x:c r="H244" s="27"/>
      <x:c r="I244" s="19"/>
    </x:row>
    <x:row r="245">
      <x:c r="A245" s="19"/>
      <x:c r="B245" s="19"/>
      <x:c r="C245" s="19"/>
      <x:c r="D245" s="20"/>
      <x:c r="E245" s="19"/>
      <x:c r="F245" s="20"/>
      <x:c r="G245" s="27"/>
      <x:c r="H245" s="27"/>
      <x:c r="I245" s="19"/>
    </x:row>
    <x:row r="246">
      <x:c r="A246" s="19"/>
      <x:c r="B246" s="19"/>
      <x:c r="C246" s="19"/>
      <x:c r="D246" s="20"/>
      <x:c r="E246" s="19"/>
      <x:c r="F246" s="20"/>
      <x:c r="G246" s="27"/>
      <x:c r="H246" s="27"/>
      <x:c r="I246" s="19"/>
    </x:row>
    <x:row r="247">
      <x:c r="A247" s="19"/>
      <x:c r="B247" s="19"/>
      <x:c r="C247" s="19"/>
      <x:c r="D247" s="20"/>
      <x:c r="E247" s="19"/>
      <x:c r="F247" s="20"/>
      <x:c r="G247" s="27"/>
      <x:c r="H247" s="27"/>
      <x:c r="I247" s="19"/>
    </x:row>
    <x:row r="248">
      <x:c r="A248" s="19"/>
      <x:c r="B248" s="19"/>
      <x:c r="C248" s="19"/>
      <x:c r="D248" s="20"/>
      <x:c r="E248" s="19"/>
      <x:c r="F248" s="20"/>
      <x:c r="G248" s="27"/>
      <x:c r="H248" s="27"/>
      <x:c r="I248" s="19"/>
    </x:row>
    <x:row r="249">
      <x:c r="A249" s="19"/>
      <x:c r="B249" s="19"/>
      <x:c r="C249" s="19"/>
      <x:c r="D249" s="20"/>
      <x:c r="E249" s="19"/>
      <x:c r="F249" s="20"/>
      <x:c r="G249" s="27"/>
      <x:c r="H249" s="27"/>
      <x:c r="I249" s="19"/>
    </x:row>
    <x:row r="250">
      <x:c r="A250" s="19"/>
      <x:c r="B250" s="19"/>
      <x:c r="C250" s="19"/>
      <x:c r="D250" s="20"/>
      <x:c r="E250" s="19"/>
      <x:c r="F250" s="20"/>
      <x:c r="G250" s="27"/>
      <x:c r="H250" s="27"/>
      <x:c r="I250" s="19"/>
    </x:row>
    <x:row r="251">
      <x:c r="A251" s="19"/>
      <x:c r="B251" s="19"/>
      <x:c r="C251" s="19"/>
      <x:c r="D251" s="20"/>
      <x:c r="E251" s="19"/>
      <x:c r="F251" s="20"/>
      <x:c r="G251" s="27"/>
      <x:c r="H251" s="27"/>
      <x:c r="I251" s="19"/>
    </x:row>
    <x:row r="252">
      <x:c r="A252" s="19"/>
      <x:c r="B252" s="19"/>
      <x:c r="C252" s="19"/>
      <x:c r="D252" s="20"/>
      <x:c r="E252" s="19"/>
      <x:c r="F252" s="20"/>
      <x:c r="G252" s="27"/>
      <x:c r="H252" s="27"/>
      <x:c r="I252" s="19"/>
    </x:row>
    <x:row r="253">
      <x:c r="A253" s="19"/>
      <x:c r="B253" s="19"/>
      <x:c r="C253" s="19"/>
      <x:c r="D253" s="20"/>
      <x:c r="E253" s="19"/>
      <x:c r="F253" s="20"/>
      <x:c r="G253" s="27"/>
      <x:c r="H253" s="27"/>
      <x:c r="I253" s="19"/>
    </x:row>
    <x:row r="254">
      <x:c r="A254" s="19"/>
      <x:c r="B254" s="19"/>
      <x:c r="C254" s="19"/>
      <x:c r="D254" s="20"/>
      <x:c r="E254" s="19"/>
      <x:c r="F254" s="20"/>
      <x:c r="G254" s="27"/>
      <x:c r="H254" s="27"/>
      <x:c r="I254" s="19"/>
    </x:row>
    <x:row r="255">
      <x:c r="A255" s="19"/>
      <x:c r="B255" s="19"/>
      <x:c r="C255" s="19"/>
      <x:c r="D255" s="20"/>
      <x:c r="E255" s="19"/>
      <x:c r="F255" s="20"/>
      <x:c r="G255" s="27"/>
      <x:c r="H255" s="27"/>
      <x:c r="I255" s="19"/>
    </x:row>
    <x:row r="256">
      <x:c r="A256" s="19"/>
      <x:c r="B256" s="19"/>
      <x:c r="C256" s="19"/>
      <x:c r="D256" s="20"/>
      <x:c r="E256" s="19"/>
      <x:c r="F256" s="20"/>
      <x:c r="G256" s="27"/>
      <x:c r="H256" s="27"/>
      <x:c r="I256" s="19"/>
    </x:row>
    <x:row r="257">
      <x:c r="A257" s="19"/>
      <x:c r="B257" s="19"/>
      <x:c r="C257" s="19"/>
      <x:c r="D257" s="20"/>
      <x:c r="E257" s="19"/>
      <x:c r="F257" s="20"/>
      <x:c r="G257" s="27"/>
      <x:c r="H257" s="27"/>
      <x:c r="I257" s="19"/>
    </x:row>
    <x:row r="258">
      <x:c r="A258" s="19"/>
      <x:c r="B258" s="19"/>
      <x:c r="C258" s="19"/>
      <x:c r="D258" s="20"/>
      <x:c r="E258" s="19"/>
      <x:c r="F258" s="20"/>
      <x:c r="G258" s="27"/>
      <x:c r="H258" s="27"/>
      <x:c r="I258" s="19"/>
    </x:row>
    <x:row r="259">
      <x:c r="A259" s="19"/>
      <x:c r="B259" s="19"/>
      <x:c r="C259" s="19"/>
      <x:c r="D259" s="20"/>
      <x:c r="E259" s="19"/>
      <x:c r="F259" s="20"/>
      <x:c r="G259" s="27"/>
      <x:c r="H259" s="27"/>
      <x:c r="I259" s="19"/>
    </x:row>
    <x:row r="260">
      <x:c r="A260" s="19"/>
      <x:c r="B260" s="19"/>
      <x:c r="C260" s="19"/>
      <x:c r="D260" s="20"/>
      <x:c r="E260" s="19"/>
      <x:c r="F260" s="20"/>
      <x:c r="G260" s="27"/>
      <x:c r="H260" s="27"/>
      <x:c r="I260" s="19"/>
    </x:row>
    <x:row r="261">
      <x:c r="A261" s="19"/>
      <x:c r="B261" s="19"/>
      <x:c r="C261" s="19"/>
      <x:c r="D261" s="20"/>
      <x:c r="E261" s="19"/>
      <x:c r="F261" s="20"/>
      <x:c r="G261" s="27"/>
      <x:c r="H261" s="27"/>
      <x:c r="I261" s="19"/>
    </x:row>
    <x:row r="262">
      <x:c r="A262" s="19"/>
      <x:c r="B262" s="19"/>
      <x:c r="C262" s="19"/>
      <x:c r="D262" s="20"/>
      <x:c r="E262" s="19"/>
      <x:c r="F262" s="20"/>
      <x:c r="G262" s="27"/>
      <x:c r="H262" s="27"/>
      <x:c r="I262" s="19"/>
    </x:row>
    <x:row r="263">
      <x:c r="A263" s="19"/>
      <x:c r="B263" s="19"/>
      <x:c r="C263" s="19"/>
      <x:c r="D263" s="20"/>
      <x:c r="E263" s="19"/>
      <x:c r="F263" s="20"/>
      <x:c r="G263" s="27"/>
      <x:c r="H263" s="27"/>
      <x:c r="I263" s="19"/>
    </x:row>
    <x:row r="264">
      <x:c r="A264" s="19"/>
      <x:c r="B264" s="19"/>
      <x:c r="C264" s="19"/>
      <x:c r="D264" s="20"/>
      <x:c r="E264" s="19"/>
      <x:c r="F264" s="20"/>
      <x:c r="G264" s="27"/>
      <x:c r="H264" s="27"/>
      <x:c r="I264" s="19"/>
    </x:row>
    <x:row r="265">
      <x:c r="A265" s="19"/>
      <x:c r="B265" s="19"/>
      <x:c r="C265" s="19"/>
      <x:c r="D265" s="20"/>
      <x:c r="E265" s="19"/>
      <x:c r="F265" s="20"/>
      <x:c r="G265" s="27"/>
      <x:c r="H265" s="27"/>
      <x:c r="I265" s="19"/>
    </x:row>
    <x:row r="266">
      <x:c r="A266" s="19"/>
      <x:c r="B266" s="19"/>
      <x:c r="C266" s="19"/>
      <x:c r="D266" s="20"/>
      <x:c r="E266" s="19"/>
      <x:c r="F266" s="20"/>
      <x:c r="G266" s="27"/>
      <x:c r="H266" s="27"/>
      <x:c r="I266" s="19"/>
    </x:row>
    <x:row r="267">
      <x:c r="A267" s="19"/>
      <x:c r="B267" s="19"/>
      <x:c r="C267" s="19"/>
      <x:c r="D267" s="20"/>
      <x:c r="E267" s="19"/>
      <x:c r="F267" s="20"/>
      <x:c r="G267" s="27"/>
      <x:c r="H267" s="27"/>
      <x:c r="I267" s="19"/>
    </x:row>
    <x:row r="268">
      <x:c r="A268" s="19"/>
      <x:c r="B268" s="19"/>
      <x:c r="C268" s="19"/>
      <x:c r="D268" s="20"/>
      <x:c r="E268" s="19"/>
      <x:c r="F268" s="20"/>
      <x:c r="G268" s="27"/>
      <x:c r="H268" s="27"/>
      <x:c r="I268" s="19"/>
    </x:row>
    <x:row r="269">
      <x:c r="A269" s="19"/>
      <x:c r="B269" s="19"/>
      <x:c r="C269" s="19"/>
      <x:c r="D269" s="20"/>
      <x:c r="E269" s="19"/>
      <x:c r="F269" s="20"/>
      <x:c r="G269" s="27"/>
      <x:c r="H269" s="27"/>
      <x:c r="I269" s="19"/>
    </x:row>
    <x:row r="270">
      <x:c r="A270" s="19"/>
      <x:c r="B270" s="19"/>
      <x:c r="C270" s="19"/>
      <x:c r="D270" s="20"/>
      <x:c r="E270" s="19"/>
      <x:c r="F270" s="20"/>
      <x:c r="G270" s="27"/>
      <x:c r="H270" s="27"/>
      <x:c r="I270" s="19"/>
    </x:row>
    <x:row r="271">
      <x:c r="A271" s="19"/>
      <x:c r="B271" s="19"/>
      <x:c r="C271" s="19"/>
      <x:c r="D271" s="20"/>
      <x:c r="E271" s="19"/>
      <x:c r="F271" s="20"/>
      <x:c r="G271" s="27"/>
      <x:c r="H271" s="27"/>
      <x:c r="I271" s="19"/>
    </x:row>
    <x:row r="272">
      <x:c r="A272" s="19"/>
      <x:c r="B272" s="19"/>
      <x:c r="C272" s="19"/>
      <x:c r="D272" s="20"/>
      <x:c r="E272" s="19"/>
      <x:c r="F272" s="20"/>
      <x:c r="G272" s="27"/>
      <x:c r="H272" s="27"/>
      <x:c r="I272" s="19"/>
    </x:row>
    <x:row r="273">
      <x:c r="A273" s="19"/>
      <x:c r="B273" s="19"/>
      <x:c r="C273" s="19"/>
      <x:c r="D273" s="20"/>
      <x:c r="E273" s="19"/>
      <x:c r="F273" s="20"/>
      <x:c r="G273" s="27"/>
      <x:c r="H273" s="27"/>
      <x:c r="I273" s="19"/>
    </x:row>
    <x:row r="274">
      <x:c r="A274" s="19"/>
      <x:c r="B274" s="19"/>
      <x:c r="C274" s="19"/>
      <x:c r="D274" s="20"/>
      <x:c r="E274" s="19"/>
      <x:c r="F274" s="20"/>
      <x:c r="G274" s="27"/>
      <x:c r="H274" s="27"/>
      <x:c r="I274" s="19"/>
    </x:row>
    <x:row r="275">
      <x:c r="A275" s="19"/>
      <x:c r="B275" s="19"/>
      <x:c r="C275" s="19"/>
      <x:c r="D275" s="20"/>
      <x:c r="E275" s="19"/>
      <x:c r="F275" s="20"/>
      <x:c r="G275" s="27"/>
      <x:c r="H275" s="27"/>
      <x:c r="I275" s="19"/>
    </x:row>
    <x:row r="276">
      <x:c r="A276" s="19"/>
      <x:c r="B276" s="19"/>
      <x:c r="C276" s="19"/>
      <x:c r="D276" s="20"/>
      <x:c r="E276" s="19"/>
      <x:c r="F276" s="20"/>
      <x:c r="G276" s="27"/>
      <x:c r="H276" s="27"/>
      <x:c r="I276" s="19"/>
    </x:row>
    <x:row r="277">
      <x:c r="A277" s="19"/>
      <x:c r="B277" s="19"/>
      <x:c r="C277" s="19"/>
      <x:c r="D277" s="20"/>
      <x:c r="E277" s="19"/>
      <x:c r="F277" s="20"/>
      <x:c r="G277" s="27"/>
      <x:c r="H277" s="27"/>
      <x:c r="I277" s="19"/>
    </x:row>
    <x:row r="278">
      <x:c r="A278" s="19"/>
      <x:c r="B278" s="19"/>
      <x:c r="C278" s="19"/>
      <x:c r="D278" s="20"/>
      <x:c r="E278" s="19"/>
      <x:c r="F278" s="20"/>
      <x:c r="G278" s="27"/>
      <x:c r="H278" s="27"/>
      <x:c r="I278" s="19"/>
    </x:row>
    <x:row r="279">
      <x:c r="A279" s="19"/>
      <x:c r="B279" s="19"/>
      <x:c r="C279" s="19"/>
      <x:c r="D279" s="20"/>
      <x:c r="E279" s="19"/>
      <x:c r="F279" s="20"/>
      <x:c r="G279" s="27"/>
      <x:c r="H279" s="27"/>
      <x:c r="I279" s="19"/>
    </x:row>
    <x:row r="280">
      <x:c r="A280" s="19"/>
      <x:c r="B280" s="19"/>
      <x:c r="C280" s="19"/>
      <x:c r="D280" s="20"/>
      <x:c r="E280" s="19"/>
      <x:c r="F280" s="20"/>
      <x:c r="G280" s="27"/>
      <x:c r="H280" s="27"/>
      <x:c r="I280" s="19"/>
    </x:row>
    <x:row r="281">
      <x:c r="A281" s="19"/>
      <x:c r="B281" s="19"/>
      <x:c r="C281" s="19"/>
      <x:c r="D281" s="20"/>
      <x:c r="E281" s="19"/>
      <x:c r="F281" s="20"/>
      <x:c r="G281" s="27"/>
      <x:c r="H281" s="27"/>
      <x:c r="I281" s="19"/>
    </x:row>
    <x:row r="282">
      <x:c r="A282" s="19"/>
      <x:c r="B282" s="19"/>
      <x:c r="C282" s="19"/>
      <x:c r="D282" s="20"/>
      <x:c r="E282" s="19"/>
      <x:c r="F282" s="20"/>
      <x:c r="G282" s="27"/>
      <x:c r="H282" s="27"/>
      <x:c r="I282" s="19"/>
    </x:row>
    <x:row r="283">
      <x:c r="A283" s="19"/>
      <x:c r="B283" s="19"/>
      <x:c r="C283" s="19"/>
      <x:c r="D283" s="20"/>
      <x:c r="E283" s="19"/>
      <x:c r="F283" s="20"/>
      <x:c r="G283" s="27"/>
      <x:c r="H283" s="27"/>
      <x:c r="I283" s="19"/>
    </x:row>
    <x:row r="284">
      <x:c r="A284" s="19"/>
      <x:c r="B284" s="19"/>
      <x:c r="C284" s="19"/>
      <x:c r="D284" s="20"/>
      <x:c r="E284" s="19"/>
      <x:c r="F284" s="20"/>
      <x:c r="G284" s="27"/>
      <x:c r="H284" s="27"/>
      <x:c r="I284" s="19"/>
    </x:row>
    <x:row r="285">
      <x:c r="A285" s="19"/>
      <x:c r="B285" s="19"/>
      <x:c r="C285" s="19"/>
      <x:c r="D285" s="20"/>
      <x:c r="E285" s="19"/>
      <x:c r="F285" s="20"/>
      <x:c r="G285" s="27"/>
      <x:c r="H285" s="27"/>
      <x:c r="I285" s="19"/>
    </x:row>
    <x:row r="286">
      <x:c r="A286" s="19"/>
      <x:c r="B286" s="19"/>
      <x:c r="C286" s="19"/>
      <x:c r="D286" s="20"/>
      <x:c r="E286" s="19"/>
      <x:c r="F286" s="20"/>
      <x:c r="G286" s="27"/>
      <x:c r="H286" s="27"/>
      <x:c r="I286" s="19"/>
    </x:row>
    <x:row r="287">
      <x:c r="A287" s="19"/>
      <x:c r="B287" s="19"/>
      <x:c r="C287" s="19"/>
      <x:c r="D287" s="20"/>
      <x:c r="E287" s="19"/>
      <x:c r="F287" s="20"/>
      <x:c r="G287" s="27"/>
      <x:c r="H287" s="27"/>
      <x:c r="I287" s="19"/>
    </x:row>
    <x:row r="288">
      <x:c r="A288" s="19"/>
      <x:c r="B288" s="19"/>
      <x:c r="C288" s="19"/>
      <x:c r="D288" s="20"/>
      <x:c r="E288" s="19"/>
      <x:c r="F288" s="20"/>
      <x:c r="G288" s="27"/>
      <x:c r="H288" s="27"/>
      <x:c r="I288" s="19"/>
    </x:row>
    <x:row r="289">
      <x:c r="A289" s="19"/>
      <x:c r="B289" s="19"/>
      <x:c r="C289" s="19"/>
      <x:c r="D289" s="20"/>
      <x:c r="E289" s="19"/>
      <x:c r="F289" s="20"/>
      <x:c r="G289" s="27"/>
      <x:c r="H289" s="27"/>
      <x:c r="I289" s="19"/>
    </x:row>
    <x:row r="290">
      <x:c r="A290" s="19"/>
      <x:c r="B290" s="19"/>
      <x:c r="C290" s="19"/>
      <x:c r="D290" s="20"/>
      <x:c r="E290" s="19"/>
      <x:c r="F290" s="20"/>
      <x:c r="G290" s="27"/>
      <x:c r="H290" s="27"/>
      <x:c r="I290" s="19"/>
    </x:row>
    <x:row r="291">
      <x:c r="A291" s="19"/>
      <x:c r="B291" s="19"/>
      <x:c r="C291" s="19"/>
      <x:c r="D291" s="20"/>
      <x:c r="E291" s="19"/>
      <x:c r="F291" s="20"/>
      <x:c r="G291" s="27"/>
      <x:c r="H291" s="27"/>
      <x:c r="I291" s="19"/>
    </x:row>
    <x:row r="292">
      <x:c r="A292" s="19"/>
      <x:c r="B292" s="19"/>
      <x:c r="C292" s="19"/>
      <x:c r="D292" s="20"/>
      <x:c r="E292" s="19"/>
      <x:c r="F292" s="20"/>
      <x:c r="G292" s="27"/>
      <x:c r="H292" s="27"/>
      <x:c r="I292" s="19"/>
    </x:row>
    <x:row r="293">
      <x:c r="A293" s="19"/>
      <x:c r="B293" s="19"/>
      <x:c r="C293" s="19"/>
      <x:c r="D293" s="20"/>
      <x:c r="E293" s="19"/>
      <x:c r="F293" s="20"/>
      <x:c r="G293" s="27"/>
      <x:c r="H293" s="27"/>
      <x:c r="I293" s="19"/>
    </x:row>
    <x:row r="294">
      <x:c r="A294" s="19"/>
      <x:c r="B294" s="19"/>
      <x:c r="C294" s="19"/>
      <x:c r="D294" s="20"/>
      <x:c r="E294" s="19"/>
      <x:c r="F294" s="20"/>
      <x:c r="G294" s="27"/>
      <x:c r="H294" s="27"/>
      <x:c r="I294" s="19"/>
    </x:row>
    <x:row r="295">
      <x:c r="A295" s="19"/>
      <x:c r="B295" s="19"/>
      <x:c r="C295" s="19"/>
      <x:c r="D295" s="20"/>
      <x:c r="E295" s="19"/>
      <x:c r="F295" s="20"/>
      <x:c r="G295" s="27"/>
      <x:c r="H295" s="27"/>
      <x:c r="I295" s="19"/>
    </x:row>
    <x:row r="296">
      <x:c r="A296" s="19"/>
      <x:c r="B296" s="19"/>
      <x:c r="C296" s="19"/>
      <x:c r="D296" s="20"/>
      <x:c r="E296" s="19"/>
      <x:c r="F296" s="20"/>
      <x:c r="G296" s="27"/>
      <x:c r="H296" s="27"/>
      <x:c r="I296" s="19"/>
    </x:row>
    <x:row r="297">
      <x:c r="A297" s="19"/>
      <x:c r="B297" s="19"/>
      <x:c r="C297" s="19"/>
      <x:c r="D297" s="20"/>
      <x:c r="E297" s="19"/>
      <x:c r="F297" s="20"/>
      <x:c r="G297" s="27"/>
      <x:c r="H297" s="27"/>
      <x:c r="I297" s="19"/>
    </x:row>
    <x:row r="298">
      <x:c r="A298" s="19"/>
      <x:c r="B298" s="19"/>
      <x:c r="C298" s="19"/>
      <x:c r="D298" s="20"/>
      <x:c r="E298" s="19"/>
      <x:c r="F298" s="20"/>
      <x:c r="G298" s="27"/>
      <x:c r="H298" s="27"/>
      <x:c r="I298" s="19"/>
    </x:row>
    <x:row r="299">
      <x:c r="A299" s="19"/>
      <x:c r="B299" s="19"/>
      <x:c r="C299" s="19"/>
      <x:c r="D299" s="20"/>
      <x:c r="E299" s="19"/>
      <x:c r="F299" s="20"/>
      <x:c r="G299" s="27"/>
      <x:c r="H299" s="27"/>
      <x:c r="I299" s="19"/>
    </x:row>
    <x:row r="300">
      <x:c r="A300" s="19"/>
      <x:c r="B300" s="19"/>
      <x:c r="C300" s="19"/>
      <x:c r="D300" s="20"/>
      <x:c r="E300" s="19"/>
      <x:c r="F300" s="20"/>
      <x:c r="G300" s="27"/>
      <x:c r="H300" s="27"/>
      <x:c r="I300" s="19"/>
    </x:row>
    <x:row r="301">
      <x:c r="A301" s="19"/>
      <x:c r="B301" s="19"/>
      <x:c r="C301" s="19"/>
      <x:c r="D301" s="20"/>
      <x:c r="E301" s="19"/>
      <x:c r="F301" s="20"/>
      <x:c r="G301" s="27"/>
      <x:c r="H301" s="27"/>
      <x:c r="I301" s="19"/>
    </x:row>
    <x:row r="302">
      <x:c r="A302" s="19"/>
      <x:c r="B302" s="19"/>
      <x:c r="C302" s="19"/>
      <x:c r="D302" s="20"/>
      <x:c r="E302" s="19"/>
      <x:c r="F302" s="20"/>
      <x:c r="G302" s="27"/>
      <x:c r="H302" s="27"/>
      <x:c r="I302" s="19"/>
    </x:row>
    <x:row r="303">
      <x:c r="A303" s="19"/>
      <x:c r="B303" s="19"/>
      <x:c r="C303" s="19"/>
      <x:c r="D303" s="20"/>
      <x:c r="E303" s="19"/>
      <x:c r="F303" s="20"/>
      <x:c r="G303" s="27"/>
      <x:c r="H303" s="27"/>
      <x:c r="I303" s="19"/>
    </x:row>
    <x:row r="304">
      <x:c r="A304" s="19"/>
      <x:c r="B304" s="19"/>
      <x:c r="C304" s="19"/>
      <x:c r="D304" s="20"/>
      <x:c r="E304" s="19"/>
      <x:c r="F304" s="20"/>
      <x:c r="G304" s="27"/>
      <x:c r="H304" s="27"/>
      <x:c r="I304" s="19"/>
    </x:row>
    <x:row r="305">
      <x:c r="A305" s="19"/>
      <x:c r="B305" s="19"/>
      <x:c r="C305" s="19"/>
      <x:c r="D305" s="20"/>
      <x:c r="E305" s="19"/>
      <x:c r="F305" s="20"/>
      <x:c r="G305" s="27"/>
      <x:c r="H305" s="27"/>
      <x:c r="I305" s="19"/>
    </x:row>
    <x:row r="306">
      <x:c r="A306" s="19"/>
      <x:c r="B306" s="19"/>
      <x:c r="C306" s="19"/>
      <x:c r="D306" s="20"/>
      <x:c r="E306" s="19"/>
      <x:c r="F306" s="20"/>
      <x:c r="G306" s="27"/>
      <x:c r="H306" s="27"/>
      <x:c r="I306" s="19"/>
    </x:row>
    <x:row r="307">
      <x:c r="A307" s="19"/>
      <x:c r="B307" s="19"/>
      <x:c r="C307" s="19"/>
      <x:c r="D307" s="20"/>
      <x:c r="E307" s="19"/>
      <x:c r="F307" s="20"/>
      <x:c r="G307" s="27"/>
      <x:c r="H307" s="27"/>
      <x:c r="I307" s="19"/>
    </x:row>
    <x:row r="308">
      <x:c r="A308" s="19"/>
      <x:c r="B308" s="19"/>
      <x:c r="C308" s="19"/>
      <x:c r="D308" s="20"/>
      <x:c r="E308" s="19"/>
      <x:c r="F308" s="20"/>
      <x:c r="G308" s="27"/>
      <x:c r="H308" s="27"/>
      <x:c r="I308" s="19"/>
    </x:row>
    <x:row r="309">
      <x:c r="A309" s="19"/>
      <x:c r="B309" s="19"/>
      <x:c r="C309" s="19"/>
      <x:c r="D309" s="20"/>
      <x:c r="E309" s="19"/>
      <x:c r="F309" s="20"/>
      <x:c r="G309" s="27"/>
      <x:c r="H309" s="27"/>
      <x:c r="I309" s="19"/>
    </x:row>
    <x:row r="310">
      <x:c r="A310" s="19"/>
      <x:c r="B310" s="19"/>
      <x:c r="C310" s="19"/>
      <x:c r="D310" s="20"/>
      <x:c r="E310" s="19"/>
      <x:c r="F310" s="20"/>
      <x:c r="G310" s="27"/>
      <x:c r="H310" s="27"/>
      <x:c r="I310" s="19"/>
    </x:row>
    <x:row r="311">
      <x:c r="A311" s="19"/>
      <x:c r="B311" s="19"/>
      <x:c r="C311" s="19"/>
      <x:c r="D311" s="20"/>
      <x:c r="E311" s="19"/>
      <x:c r="F311" s="20"/>
      <x:c r="G311" s="27"/>
      <x:c r="H311" s="27"/>
      <x:c r="I311" s="19"/>
    </x:row>
    <x:row r="312">
      <x:c r="A312" s="19"/>
      <x:c r="B312" s="19"/>
      <x:c r="C312" s="19"/>
      <x:c r="D312" s="20"/>
      <x:c r="E312" s="19"/>
      <x:c r="F312" s="20"/>
      <x:c r="G312" s="27"/>
      <x:c r="H312" s="27"/>
      <x:c r="I312" s="19"/>
    </x:row>
    <x:row r="313">
      <x:c r="A313" s="19"/>
      <x:c r="B313" s="19"/>
      <x:c r="C313" s="19"/>
      <x:c r="D313" s="20"/>
      <x:c r="E313" s="19"/>
      <x:c r="F313" s="20"/>
      <x:c r="G313" s="27"/>
      <x:c r="H313" s="27"/>
      <x:c r="I313" s="19"/>
    </x:row>
    <x:row r="314">
      <x:c r="A314" s="19"/>
      <x:c r="B314" s="19"/>
      <x:c r="C314" s="19"/>
      <x:c r="D314" s="20"/>
      <x:c r="E314" s="19"/>
      <x:c r="F314" s="20"/>
      <x:c r="G314" s="27"/>
      <x:c r="H314" s="27"/>
      <x:c r="I314" s="19"/>
    </x:row>
    <x:row r="315">
      <x:c r="A315" s="19"/>
      <x:c r="B315" s="19"/>
      <x:c r="C315" s="19"/>
      <x:c r="D315" s="20"/>
      <x:c r="E315" s="19"/>
      <x:c r="F315" s="20"/>
      <x:c r="G315" s="27"/>
      <x:c r="H315" s="27"/>
      <x:c r="I315" s="19"/>
    </x:row>
    <x:row r="316">
      <x:c r="A316" s="19"/>
      <x:c r="B316" s="19"/>
      <x:c r="C316" s="19"/>
      <x:c r="D316" s="20"/>
      <x:c r="E316" s="19"/>
      <x:c r="F316" s="20"/>
      <x:c r="G316" s="27"/>
      <x:c r="H316" s="27"/>
      <x:c r="I316" s="19"/>
    </x:row>
    <x:row r="317">
      <x:c r="A317" s="19"/>
      <x:c r="B317" s="19"/>
      <x:c r="C317" s="19"/>
      <x:c r="D317" s="20"/>
      <x:c r="E317" s="19"/>
      <x:c r="F317" s="20"/>
      <x:c r="G317" s="27"/>
      <x:c r="H317" s="27"/>
      <x:c r="I317" s="19"/>
    </x:row>
    <x:row r="318">
      <x:c r="A318" s="19"/>
      <x:c r="B318" s="19"/>
      <x:c r="C318" s="19"/>
      <x:c r="D318" s="20"/>
      <x:c r="E318" s="19"/>
      <x:c r="F318" s="20"/>
      <x:c r="G318" s="27"/>
      <x:c r="H318" s="27"/>
      <x:c r="I318" s="19"/>
    </x:row>
    <x:row r="319">
      <x:c r="A319" s="19"/>
      <x:c r="B319" s="19"/>
      <x:c r="C319" s="19"/>
      <x:c r="D319" s="20"/>
      <x:c r="E319" s="19"/>
      <x:c r="F319" s="20"/>
      <x:c r="G319" s="27"/>
      <x:c r="H319" s="27"/>
      <x:c r="I319" s="19"/>
    </x:row>
    <x:row r="320">
      <x:c r="A320" s="19"/>
      <x:c r="B320" s="19"/>
      <x:c r="C320" s="19"/>
      <x:c r="D320" s="20"/>
      <x:c r="E320" s="19"/>
      <x:c r="F320" s="20"/>
      <x:c r="G320" s="27"/>
      <x:c r="H320" s="27"/>
      <x:c r="I320" s="19"/>
    </x:row>
    <x:row r="321">
      <x:c r="A321" s="19"/>
      <x:c r="B321" s="19"/>
      <x:c r="C321" s="19"/>
      <x:c r="D321" s="20"/>
      <x:c r="E321" s="19"/>
      <x:c r="F321" s="20"/>
      <x:c r="G321" s="27"/>
      <x:c r="H321" s="27"/>
      <x:c r="I321" s="19"/>
    </x:row>
    <x:row r="322">
      <x:c r="A322" s="19"/>
      <x:c r="B322" s="19"/>
      <x:c r="C322" s="19"/>
      <x:c r="D322" s="20"/>
      <x:c r="E322" s="19"/>
      <x:c r="F322" s="20"/>
      <x:c r="G322" s="27"/>
      <x:c r="H322" s="27"/>
      <x:c r="I322" s="19"/>
    </x:row>
    <x:row r="323">
      <x:c r="A323" s="19"/>
      <x:c r="B323" s="19"/>
      <x:c r="C323" s="19"/>
      <x:c r="D323" s="20"/>
      <x:c r="E323" s="19"/>
      <x:c r="F323" s="20"/>
      <x:c r="G323" s="27"/>
      <x:c r="H323" s="27"/>
      <x:c r="I323" s="19"/>
    </x:row>
    <x:row r="324">
      <x:c r="A324" s="19"/>
      <x:c r="B324" s="19"/>
      <x:c r="C324" s="19"/>
      <x:c r="D324" s="20"/>
      <x:c r="E324" s="19"/>
      <x:c r="F324" s="20"/>
      <x:c r="G324" s="27"/>
      <x:c r="H324" s="27"/>
      <x:c r="I324" s="19"/>
    </x:row>
    <x:row r="325">
      <x:c r="A325" s="19"/>
      <x:c r="B325" s="19"/>
      <x:c r="C325" s="19"/>
      <x:c r="D325" s="20"/>
      <x:c r="E325" s="19"/>
      <x:c r="F325" s="20"/>
      <x:c r="G325" s="27"/>
      <x:c r="H325" s="27"/>
      <x:c r="I325" s="19"/>
    </x:row>
    <x:row r="326">
      <x:c r="A326" s="19"/>
      <x:c r="B326" s="19"/>
      <x:c r="C326" s="19"/>
      <x:c r="D326" s="20"/>
      <x:c r="E326" s="19"/>
      <x:c r="F326" s="20"/>
      <x:c r="G326" s="27"/>
      <x:c r="H326" s="27"/>
      <x:c r="I326" s="19"/>
    </x:row>
    <x:row r="327">
      <x:c r="A327" s="19"/>
      <x:c r="B327" s="19"/>
      <x:c r="C327" s="19"/>
      <x:c r="D327" s="20"/>
      <x:c r="E327" s="19"/>
      <x:c r="F327" s="20"/>
      <x:c r="G327" s="27"/>
      <x:c r="H327" s="27"/>
      <x:c r="I327" s="19"/>
    </x:row>
    <x:row r="328">
      <x:c r="A328" s="19"/>
      <x:c r="B328" s="19"/>
      <x:c r="C328" s="19"/>
      <x:c r="D328" s="20"/>
      <x:c r="E328" s="19"/>
      <x:c r="F328" s="20"/>
      <x:c r="G328" s="27"/>
      <x:c r="H328" s="27"/>
      <x:c r="I328" s="19"/>
    </x:row>
    <x:row r="329">
      <x:c r="A329" s="19"/>
      <x:c r="B329" s="19"/>
      <x:c r="C329" s="19"/>
      <x:c r="D329" s="20"/>
      <x:c r="E329" s="19"/>
      <x:c r="F329" s="20"/>
      <x:c r="G329" s="27"/>
      <x:c r="H329" s="27"/>
      <x:c r="I329" s="19"/>
    </x:row>
    <x:row r="330">
      <x:c r="A330" s="19"/>
      <x:c r="B330" s="19"/>
      <x:c r="C330" s="19"/>
      <x:c r="D330" s="20"/>
      <x:c r="E330" s="19"/>
      <x:c r="F330" s="20"/>
      <x:c r="G330" s="27"/>
      <x:c r="H330" s="27"/>
      <x:c r="I330" s="19"/>
    </x:row>
    <x:row r="331">
      <x:c r="A331" s="19"/>
      <x:c r="B331" s="19"/>
      <x:c r="C331" s="19"/>
      <x:c r="D331" s="20"/>
      <x:c r="E331" s="19"/>
      <x:c r="F331" s="20"/>
      <x:c r="G331" s="27"/>
      <x:c r="H331" s="27"/>
      <x:c r="I331" s="19"/>
    </x:row>
    <x:row r="332">
      <x:c r="A332" s="19"/>
      <x:c r="B332" s="19"/>
      <x:c r="C332" s="19"/>
      <x:c r="D332" s="20"/>
      <x:c r="E332" s="19"/>
      <x:c r="F332" s="20"/>
      <x:c r="G332" s="27"/>
      <x:c r="H332" s="27"/>
      <x:c r="I332" s="19"/>
    </x:row>
    <x:row r="333">
      <x:c r="A333" s="19"/>
      <x:c r="B333" s="19"/>
      <x:c r="C333" s="19"/>
      <x:c r="D333" s="20"/>
      <x:c r="E333" s="19"/>
      <x:c r="F333" s="20"/>
      <x:c r="G333" s="27"/>
      <x:c r="H333" s="27"/>
      <x:c r="I333" s="19"/>
    </x:row>
    <x:row r="334">
      <x:c r="A334" s="19"/>
      <x:c r="B334" s="19"/>
      <x:c r="C334" s="19"/>
      <x:c r="D334" s="20"/>
      <x:c r="E334" s="19"/>
      <x:c r="F334" s="20"/>
      <x:c r="G334" s="27"/>
      <x:c r="H334" s="27"/>
      <x:c r="I334" s="19"/>
    </x:row>
    <x:row r="335">
      <x:c r="A335" s="19"/>
      <x:c r="B335" s="19"/>
      <x:c r="C335" s="19"/>
      <x:c r="D335" s="20"/>
      <x:c r="E335" s="19"/>
      <x:c r="F335" s="20"/>
      <x:c r="G335" s="27"/>
      <x:c r="H335" s="27"/>
      <x:c r="I335" s="19"/>
    </x:row>
    <x:row r="336">
      <x:c r="A336" s="19"/>
      <x:c r="B336" s="19"/>
      <x:c r="C336" s="19"/>
      <x:c r="D336" s="20"/>
      <x:c r="E336" s="19"/>
      <x:c r="F336" s="20"/>
      <x:c r="G336" s="27"/>
      <x:c r="H336" s="27"/>
      <x:c r="I336" s="19"/>
    </x:row>
    <x:row r="337">
      <x:c r="A337" s="19"/>
      <x:c r="B337" s="19"/>
      <x:c r="C337" s="19"/>
      <x:c r="D337" s="20"/>
      <x:c r="E337" s="19"/>
      <x:c r="F337" s="20"/>
      <x:c r="G337" s="27"/>
      <x:c r="H337" s="27"/>
      <x:c r="I337" s="19"/>
    </x:row>
    <x:row r="338">
      <x:c r="A338" s="19"/>
      <x:c r="B338" s="19"/>
      <x:c r="C338" s="19"/>
      <x:c r="D338" s="20"/>
      <x:c r="E338" s="19"/>
      <x:c r="F338" s="20"/>
      <x:c r="G338" s="27"/>
      <x:c r="H338" s="27"/>
      <x:c r="I338" s="19"/>
    </x:row>
    <x:row r="339">
      <x:c r="A339" s="19"/>
      <x:c r="B339" s="19"/>
      <x:c r="C339" s="19"/>
      <x:c r="D339" s="20"/>
      <x:c r="E339" s="19"/>
      <x:c r="F339" s="20"/>
      <x:c r="G339" s="27"/>
      <x:c r="H339" s="27"/>
      <x:c r="I339" s="19"/>
    </x:row>
    <x:row r="340">
      <x:c r="A340" s="19"/>
      <x:c r="B340" s="19"/>
      <x:c r="C340" s="19"/>
      <x:c r="D340" s="20"/>
      <x:c r="E340" s="19"/>
      <x:c r="F340" s="20"/>
      <x:c r="G340" s="27"/>
      <x:c r="H340" s="27"/>
      <x:c r="I340" s="19"/>
    </x:row>
    <x:row r="341">
      <x:c r="A341" s="19"/>
      <x:c r="B341" s="19"/>
      <x:c r="C341" s="19"/>
      <x:c r="D341" s="20"/>
      <x:c r="E341" s="19"/>
      <x:c r="F341" s="20"/>
      <x:c r="G341" s="27"/>
      <x:c r="H341" s="27"/>
      <x:c r="I341" s="19"/>
    </x:row>
    <x:row r="342">
      <x:c r="A342" s="19"/>
      <x:c r="B342" s="19"/>
      <x:c r="C342" s="19"/>
      <x:c r="D342" s="20"/>
      <x:c r="E342" s="19"/>
      <x:c r="F342" s="20"/>
      <x:c r="G342" s="27"/>
      <x:c r="H342" s="27"/>
      <x:c r="I342" s="19"/>
    </x:row>
    <x:row r="343">
      <x:c r="A343" s="19"/>
      <x:c r="B343" s="19"/>
      <x:c r="C343" s="19"/>
      <x:c r="D343" s="20"/>
      <x:c r="E343" s="19"/>
      <x:c r="F343" s="20"/>
      <x:c r="G343" s="27"/>
      <x:c r="H343" s="27"/>
      <x:c r="I343" s="19"/>
    </x:row>
    <x:row r="344">
      <x:c r="A344" s="19"/>
      <x:c r="B344" s="19"/>
      <x:c r="C344" s="19"/>
      <x:c r="D344" s="20"/>
      <x:c r="E344" s="19"/>
      <x:c r="F344" s="20"/>
      <x:c r="G344" s="27"/>
      <x:c r="H344" s="27"/>
      <x:c r="I344" s="19"/>
    </x:row>
    <x:row r="345">
      <x:c r="A345" s="19"/>
      <x:c r="B345" s="19"/>
      <x:c r="C345" s="19"/>
      <x:c r="D345" s="20"/>
      <x:c r="E345" s="19"/>
      <x:c r="F345" s="20"/>
      <x:c r="G345" s="27"/>
      <x:c r="H345" s="27"/>
      <x:c r="I345" s="19"/>
    </x:row>
    <x:row r="346">
      <x:c r="A346" s="19"/>
      <x:c r="B346" s="19"/>
      <x:c r="C346" s="19"/>
      <x:c r="D346" s="20"/>
      <x:c r="E346" s="19"/>
      <x:c r="F346" s="20"/>
      <x:c r="G346" s="27"/>
      <x:c r="H346" s="27"/>
      <x:c r="I346" s="19"/>
    </x:row>
    <x:row r="347">
      <x:c r="A347" s="19"/>
      <x:c r="B347" s="19"/>
      <x:c r="C347" s="19"/>
      <x:c r="D347" s="20"/>
      <x:c r="E347" s="19"/>
      <x:c r="F347" s="20"/>
      <x:c r="G347" s="27"/>
      <x:c r="H347" s="27"/>
      <x:c r="I347" s="19"/>
    </x:row>
    <x:row r="348">
      <x:c r="A348" s="19"/>
      <x:c r="B348" s="19"/>
      <x:c r="C348" s="19"/>
      <x:c r="D348" s="20"/>
      <x:c r="E348" s="19"/>
      <x:c r="F348" s="20"/>
      <x:c r="G348" s="27"/>
      <x:c r="H348" s="27"/>
      <x:c r="I348" s="19"/>
    </x:row>
    <x:row r="349">
      <x:c r="A349" s="19"/>
      <x:c r="B349" s="19"/>
      <x:c r="C349" s="19"/>
      <x:c r="D349" s="20"/>
      <x:c r="E349" s="19"/>
      <x:c r="F349" s="20"/>
      <x:c r="G349" s="27"/>
      <x:c r="H349" s="27"/>
      <x:c r="I349" s="19"/>
    </x:row>
    <x:row r="350">
      <x:c r="A350" s="19"/>
      <x:c r="B350" s="19"/>
      <x:c r="C350" s="19"/>
      <x:c r="D350" s="20"/>
      <x:c r="E350" s="19"/>
      <x:c r="F350" s="20"/>
      <x:c r="G350" s="27"/>
      <x:c r="H350" s="27"/>
      <x:c r="I350" s="19"/>
    </x:row>
    <x:row r="351">
      <x:c r="A351" s="19"/>
      <x:c r="B351" s="19"/>
      <x:c r="C351" s="19"/>
      <x:c r="D351" s="20"/>
      <x:c r="E351" s="19"/>
      <x:c r="F351" s="20"/>
      <x:c r="G351" s="27"/>
      <x:c r="H351" s="27"/>
      <x:c r="I351" s="19"/>
    </x:row>
    <x:row r="352">
      <x:c r="A352" s="19"/>
      <x:c r="B352" s="19"/>
      <x:c r="C352" s="19"/>
      <x:c r="D352" s="20"/>
      <x:c r="E352" s="19"/>
      <x:c r="F352" s="20"/>
      <x:c r="G352" s="27"/>
      <x:c r="H352" s="27"/>
      <x:c r="I352" s="19"/>
    </x:row>
    <x:row r="353">
      <x:c r="A353" s="19"/>
      <x:c r="B353" s="19"/>
      <x:c r="C353" s="19"/>
      <x:c r="D353" s="20"/>
      <x:c r="E353" s="19"/>
      <x:c r="F353" s="20"/>
      <x:c r="G353" s="27"/>
      <x:c r="H353" s="27"/>
      <x:c r="I353" s="19"/>
    </x:row>
    <x:row r="354">
      <x:c r="A354" s="19"/>
      <x:c r="B354" s="19"/>
      <x:c r="C354" s="19"/>
      <x:c r="D354" s="20"/>
      <x:c r="E354" s="19"/>
      <x:c r="F354" s="20"/>
      <x:c r="G354" s="27"/>
      <x:c r="H354" s="27"/>
      <x:c r="I354" s="19"/>
    </x:row>
    <x:row r="355">
      <x:c r="A355" s="19"/>
      <x:c r="B355" s="19"/>
      <x:c r="C355" s="19"/>
      <x:c r="D355" s="20"/>
      <x:c r="E355" s="19"/>
      <x:c r="F355" s="20"/>
      <x:c r="G355" s="27"/>
      <x:c r="H355" s="27"/>
      <x:c r="I355" s="19"/>
    </x:row>
    <x:row r="356">
      <x:c r="A356" s="19"/>
      <x:c r="B356" s="19"/>
      <x:c r="C356" s="19"/>
      <x:c r="D356" s="20"/>
      <x:c r="E356" s="19"/>
      <x:c r="F356" s="20"/>
      <x:c r="G356" s="27"/>
      <x:c r="H356" s="27"/>
      <x:c r="I356" s="19"/>
    </x:row>
    <x:row r="357">
      <x:c r="A357" s="19"/>
      <x:c r="B357" s="19"/>
      <x:c r="C357" s="19"/>
      <x:c r="D357" s="20"/>
      <x:c r="E357" s="19"/>
      <x:c r="F357" s="20"/>
      <x:c r="G357" s="27"/>
      <x:c r="H357" s="27"/>
      <x:c r="I357" s="19"/>
    </x:row>
    <x:row r="358">
      <x:c r="A358" s="19"/>
      <x:c r="B358" s="19"/>
      <x:c r="C358" s="19"/>
      <x:c r="D358" s="20"/>
      <x:c r="E358" s="19"/>
      <x:c r="F358" s="20"/>
      <x:c r="G358" s="27"/>
      <x:c r="H358" s="27"/>
      <x:c r="I358" s="19"/>
    </x:row>
    <x:row r="359">
      <x:c r="A359" s="19"/>
      <x:c r="B359" s="19"/>
      <x:c r="C359" s="19"/>
      <x:c r="D359" s="20"/>
      <x:c r="E359" s="19"/>
      <x:c r="F359" s="20"/>
      <x:c r="G359" s="27"/>
      <x:c r="H359" s="27"/>
      <x:c r="I359" s="19"/>
    </x:row>
    <x:row r="360">
      <x:c r="A360" s="19"/>
      <x:c r="B360" s="19"/>
      <x:c r="C360" s="19"/>
      <x:c r="D360" s="20"/>
      <x:c r="E360" s="19"/>
      <x:c r="F360" s="20"/>
      <x:c r="G360" s="27"/>
      <x:c r="H360" s="27"/>
      <x:c r="I360" s="19"/>
    </x:row>
    <x:row r="361">
      <x:c r="A361" s="19"/>
      <x:c r="B361" s="19"/>
      <x:c r="C361" s="19"/>
      <x:c r="D361" s="20"/>
      <x:c r="E361" s="19"/>
      <x:c r="F361" s="20"/>
      <x:c r="G361" s="27"/>
      <x:c r="H361" s="27"/>
      <x:c r="I361" s="19"/>
    </x:row>
    <x:row r="362">
      <x:c r="A362" s="19"/>
      <x:c r="B362" s="19"/>
      <x:c r="C362" s="19"/>
      <x:c r="D362" s="20"/>
      <x:c r="E362" s="19"/>
      <x:c r="F362" s="20"/>
      <x:c r="G362" s="27"/>
      <x:c r="H362" s="27"/>
      <x:c r="I362" s="19"/>
    </x:row>
    <x:row r="363">
      <x:c r="A363" s="19"/>
      <x:c r="B363" s="19"/>
      <x:c r="C363" s="19"/>
      <x:c r="D363" s="20"/>
      <x:c r="E363" s="19"/>
      <x:c r="F363" s="20"/>
      <x:c r="G363" s="27"/>
      <x:c r="H363" s="27"/>
      <x:c r="I363" s="19"/>
    </x:row>
    <x:row r="364">
      <x:c r="A364" s="19"/>
      <x:c r="B364" s="19"/>
      <x:c r="C364" s="19"/>
      <x:c r="D364" s="20"/>
      <x:c r="E364" s="19"/>
      <x:c r="F364" s="20"/>
      <x:c r="G364" s="27"/>
      <x:c r="H364" s="27"/>
      <x:c r="I364" s="19"/>
    </x:row>
    <x:row r="365">
      <x:c r="A365" s="19"/>
      <x:c r="B365" s="19"/>
      <x:c r="C365" s="19"/>
      <x:c r="D365" s="20"/>
      <x:c r="E365" s="19"/>
      <x:c r="F365" s="20"/>
      <x:c r="G365" s="27"/>
      <x:c r="H365" s="27"/>
      <x:c r="I365" s="19"/>
    </x:row>
    <x:row r="366">
      <x:c r="A366" s="19"/>
      <x:c r="B366" s="19"/>
      <x:c r="C366" s="19"/>
      <x:c r="D366" s="20"/>
      <x:c r="E366" s="19"/>
      <x:c r="F366" s="20"/>
      <x:c r="G366" s="27"/>
      <x:c r="H366" s="27"/>
      <x:c r="I366" s="19"/>
    </x:row>
    <x:row r="367">
      <x:c r="A367" s="19"/>
      <x:c r="B367" s="19"/>
      <x:c r="C367" s="19"/>
      <x:c r="D367" s="20"/>
      <x:c r="E367" s="19"/>
      <x:c r="F367" s="20"/>
      <x:c r="G367" s="27"/>
      <x:c r="H367" s="27"/>
      <x:c r="I367" s="19"/>
    </x:row>
    <x:row r="368">
      <x:c r="A368" s="19"/>
      <x:c r="B368" s="19"/>
      <x:c r="C368" s="19"/>
      <x:c r="D368" s="20"/>
      <x:c r="E368" s="19"/>
      <x:c r="F368" s="20"/>
      <x:c r="G368" s="27"/>
      <x:c r="H368" s="27"/>
      <x:c r="I368" s="19"/>
    </x:row>
    <x:row r="369">
      <x:c r="A369" s="19"/>
      <x:c r="B369" s="19"/>
      <x:c r="C369" s="19"/>
      <x:c r="D369" s="20"/>
      <x:c r="E369" s="19"/>
      <x:c r="F369" s="20"/>
      <x:c r="G369" s="27"/>
      <x:c r="H369" s="27"/>
      <x:c r="I369" s="19"/>
    </x:row>
    <x:row r="370">
      <x:c r="A370" s="19"/>
      <x:c r="B370" s="19"/>
      <x:c r="C370" s="19"/>
      <x:c r="D370" s="20"/>
      <x:c r="E370" s="19"/>
      <x:c r="F370" s="20"/>
      <x:c r="G370" s="27"/>
      <x:c r="H370" s="27"/>
      <x:c r="I370" s="19"/>
    </x:row>
    <x:row r="371">
      <x:c r="A371" s="19"/>
      <x:c r="B371" s="19"/>
      <x:c r="C371" s="19"/>
      <x:c r="D371" s="20"/>
      <x:c r="E371" s="19"/>
      <x:c r="F371" s="20"/>
      <x:c r="G371" s="27"/>
      <x:c r="H371" s="27"/>
      <x:c r="I371" s="19"/>
    </x:row>
    <x:row r="372">
      <x:c r="A372" s="19"/>
      <x:c r="B372" s="19"/>
      <x:c r="C372" s="19"/>
      <x:c r="D372" s="20"/>
      <x:c r="E372" s="19"/>
      <x:c r="F372" s="20"/>
      <x:c r="G372" s="27"/>
      <x:c r="H372" s="27"/>
      <x:c r="I372" s="19"/>
    </x:row>
    <x:row r="373">
      <x:c r="A373" s="19"/>
      <x:c r="B373" s="19"/>
      <x:c r="C373" s="19"/>
      <x:c r="D373" s="20"/>
      <x:c r="E373" s="19"/>
      <x:c r="F373" s="20"/>
      <x:c r="G373" s="27"/>
      <x:c r="H373" s="27"/>
      <x:c r="I373" s="19"/>
    </x:row>
    <x:row r="374">
      <x:c r="A374" s="19"/>
      <x:c r="B374" s="19"/>
      <x:c r="C374" s="19"/>
      <x:c r="D374" s="20"/>
      <x:c r="E374" s="19"/>
      <x:c r="F374" s="20"/>
      <x:c r="G374" s="27"/>
      <x:c r="H374" s="27"/>
      <x:c r="I374" s="19"/>
    </x:row>
    <x:row r="375">
      <x:c r="A375" s="19"/>
      <x:c r="B375" s="19"/>
      <x:c r="C375" s="19"/>
      <x:c r="D375" s="20"/>
      <x:c r="E375" s="19"/>
      <x:c r="F375" s="20"/>
      <x:c r="G375" s="27"/>
      <x:c r="H375" s="27"/>
      <x:c r="I375" s="19"/>
    </x:row>
    <x:row r="376">
      <x:c r="A376" s="19"/>
      <x:c r="B376" s="19"/>
      <x:c r="C376" s="19"/>
      <x:c r="D376" s="20"/>
      <x:c r="E376" s="19"/>
      <x:c r="F376" s="20"/>
      <x:c r="G376" s="27"/>
      <x:c r="H376" s="27"/>
      <x:c r="I376" s="19"/>
    </x:row>
    <x:row r="377">
      <x:c r="A377" s="19"/>
      <x:c r="B377" s="19"/>
      <x:c r="C377" s="19"/>
      <x:c r="D377" s="20"/>
      <x:c r="E377" s="19"/>
      <x:c r="F377" s="20"/>
      <x:c r="G377" s="27"/>
      <x:c r="H377" s="27"/>
      <x:c r="I377" s="19"/>
    </x:row>
    <x:row r="378">
      <x:c r="A378" s="19"/>
      <x:c r="B378" s="19"/>
      <x:c r="C378" s="19"/>
      <x:c r="D378" s="20"/>
      <x:c r="E378" s="19"/>
      <x:c r="F378" s="20"/>
      <x:c r="G378" s="27"/>
      <x:c r="H378" s="27"/>
      <x:c r="I378" s="19"/>
    </x:row>
    <x:row r="379">
      <x:c r="A379" s="19"/>
      <x:c r="B379" s="19"/>
      <x:c r="C379" s="19"/>
      <x:c r="D379" s="20"/>
      <x:c r="E379" s="19"/>
      <x:c r="F379" s="20"/>
      <x:c r="G379" s="27"/>
      <x:c r="H379" s="27"/>
      <x:c r="I379" s="19"/>
    </x:row>
    <x:row r="380">
      <x:c r="A380" s="19"/>
      <x:c r="B380" s="19"/>
      <x:c r="C380" s="19"/>
      <x:c r="D380" s="20"/>
      <x:c r="E380" s="19"/>
      <x:c r="F380" s="20"/>
      <x:c r="G380" s="27"/>
      <x:c r="H380" s="27"/>
      <x:c r="I380" s="19"/>
    </x:row>
    <x:row r="381">
      <x:c r="A381" s="19"/>
      <x:c r="B381" s="19"/>
      <x:c r="C381" s="19"/>
      <x:c r="D381" s="20"/>
      <x:c r="E381" s="19"/>
      <x:c r="F381" s="20"/>
      <x:c r="G381" s="27"/>
      <x:c r="H381" s="27"/>
      <x:c r="I381" s="19"/>
    </x:row>
    <x:row r="382">
      <x:c r="A382" s="19"/>
      <x:c r="B382" s="19"/>
      <x:c r="C382" s="19"/>
      <x:c r="D382" s="20"/>
      <x:c r="E382" s="19"/>
      <x:c r="F382" s="20"/>
      <x:c r="G382" s="27"/>
      <x:c r="H382" s="27"/>
      <x:c r="I382" s="19"/>
    </x:row>
    <x:row r="383">
      <x:c r="A383" s="19"/>
      <x:c r="B383" s="19"/>
      <x:c r="C383" s="19"/>
      <x:c r="D383" s="20"/>
      <x:c r="E383" s="19"/>
      <x:c r="F383" s="20"/>
      <x:c r="G383" s="27"/>
      <x:c r="H383" s="27"/>
      <x:c r="I383" s="19"/>
    </x:row>
    <x:row r="384">
      <x:c r="A384" s="19"/>
      <x:c r="B384" s="19"/>
      <x:c r="C384" s="19"/>
      <x:c r="D384" s="20"/>
      <x:c r="E384" s="19"/>
      <x:c r="F384" s="20"/>
      <x:c r="G384" s="27"/>
      <x:c r="H384" s="27"/>
      <x:c r="I384" s="19"/>
    </x:row>
    <x:row r="385">
      <x:c r="A385" s="19"/>
      <x:c r="B385" s="19"/>
      <x:c r="C385" s="19"/>
      <x:c r="D385" s="20"/>
      <x:c r="E385" s="19"/>
      <x:c r="F385" s="20"/>
      <x:c r="G385" s="27"/>
      <x:c r="H385" s="27"/>
      <x:c r="I385" s="19"/>
    </x:row>
    <x:row r="386">
      <x:c r="A386" s="19"/>
      <x:c r="B386" s="19"/>
      <x:c r="C386" s="19"/>
      <x:c r="D386" s="20"/>
      <x:c r="E386" s="19"/>
      <x:c r="F386" s="20"/>
      <x:c r="G386" s="27"/>
      <x:c r="H386" s="27"/>
      <x:c r="I386" s="19"/>
    </x:row>
    <x:row r="387">
      <x:c r="A387" s="19"/>
      <x:c r="B387" s="19"/>
      <x:c r="C387" s="19"/>
      <x:c r="D387" s="20"/>
      <x:c r="E387" s="19"/>
      <x:c r="F387" s="20"/>
      <x:c r="G387" s="27"/>
      <x:c r="H387" s="27"/>
      <x:c r="I387" s="19"/>
    </x:row>
    <x:row r="388">
      <x:c r="A388" s="19"/>
      <x:c r="B388" s="19"/>
      <x:c r="C388" s="19"/>
      <x:c r="D388" s="20"/>
      <x:c r="E388" s="19"/>
      <x:c r="F388" s="20"/>
      <x:c r="G388" s="27"/>
      <x:c r="H388" s="27"/>
      <x:c r="I388" s="19"/>
    </x:row>
    <x:row r="389">
      <x:c r="A389" s="19"/>
      <x:c r="B389" s="19"/>
      <x:c r="C389" s="19"/>
      <x:c r="D389" s="20"/>
      <x:c r="E389" s="19"/>
      <x:c r="F389" s="20"/>
      <x:c r="G389" s="27"/>
      <x:c r="H389" s="27"/>
      <x:c r="I389" s="19"/>
    </x:row>
    <x:row r="390">
      <x:c r="A390" s="19"/>
      <x:c r="B390" s="19"/>
      <x:c r="C390" s="19"/>
      <x:c r="D390" s="20"/>
      <x:c r="E390" s="19"/>
      <x:c r="F390" s="20"/>
      <x:c r="G390" s="27"/>
      <x:c r="H390" s="27"/>
      <x:c r="I390" s="19"/>
    </x:row>
    <x:row r="391">
      <x:c r="A391" s="19"/>
      <x:c r="B391" s="19"/>
      <x:c r="C391" s="19"/>
      <x:c r="D391" s="20"/>
      <x:c r="E391" s="19"/>
      <x:c r="F391" s="20"/>
      <x:c r="G391" s="27"/>
      <x:c r="H391" s="27"/>
      <x:c r="I391" s="19"/>
    </x:row>
    <x:row r="392">
      <x:c r="A392" s="19"/>
      <x:c r="B392" s="19"/>
      <x:c r="C392" s="19"/>
      <x:c r="D392" s="20"/>
      <x:c r="E392" s="19"/>
      <x:c r="F392" s="20"/>
      <x:c r="G392" s="27"/>
      <x:c r="H392" s="27"/>
      <x:c r="I392" s="19"/>
    </x:row>
    <x:row r="393">
      <x:c r="A393" s="19"/>
      <x:c r="B393" s="19"/>
      <x:c r="C393" s="19"/>
      <x:c r="D393" s="20"/>
      <x:c r="E393" s="19"/>
      <x:c r="F393" s="20"/>
      <x:c r="G393" s="27"/>
      <x:c r="H393" s="27"/>
      <x:c r="I393" s="19"/>
    </x:row>
    <x:row r="394">
      <x:c r="A394" s="19"/>
      <x:c r="B394" s="19"/>
      <x:c r="C394" s="19"/>
      <x:c r="D394" s="20"/>
      <x:c r="E394" s="19"/>
      <x:c r="F394" s="20"/>
      <x:c r="G394" s="27"/>
      <x:c r="H394" s="27"/>
      <x:c r="I394" s="19"/>
    </x:row>
    <x:row r="395">
      <x:c r="A395" s="19"/>
      <x:c r="B395" s="19"/>
      <x:c r="C395" s="19"/>
      <x:c r="D395" s="20"/>
      <x:c r="E395" s="19"/>
      <x:c r="F395" s="20"/>
      <x:c r="G395" s="27"/>
      <x:c r="H395" s="27"/>
      <x:c r="I395" s="19"/>
    </x:row>
    <x:row r="396">
      <x:c r="A396" s="19"/>
      <x:c r="B396" s="19"/>
      <x:c r="C396" s="19"/>
      <x:c r="D396" s="20"/>
      <x:c r="E396" s="19"/>
      <x:c r="F396" s="20"/>
      <x:c r="G396" s="27"/>
      <x:c r="H396" s="27"/>
      <x:c r="I396" s="19"/>
    </x:row>
    <x:row r="397">
      <x:c r="A397" s="19"/>
      <x:c r="B397" s="19"/>
      <x:c r="C397" s="19"/>
      <x:c r="D397" s="20"/>
      <x:c r="E397" s="19"/>
      <x:c r="F397" s="20"/>
      <x:c r="G397" s="27"/>
      <x:c r="H397" s="27"/>
      <x:c r="I397" s="19"/>
    </x:row>
    <x:row r="398">
      <x:c r="A398" s="19"/>
      <x:c r="B398" s="19"/>
      <x:c r="C398" s="19"/>
      <x:c r="D398" s="20"/>
      <x:c r="E398" s="19"/>
      <x:c r="F398" s="20"/>
      <x:c r="G398" s="27"/>
      <x:c r="H398" s="27"/>
      <x:c r="I398" s="19"/>
    </x:row>
    <x:row r="399">
      <x:c r="A399" s="19"/>
      <x:c r="B399" s="19"/>
      <x:c r="C399" s="19"/>
      <x:c r="D399" s="20"/>
      <x:c r="E399" s="19"/>
      <x:c r="F399" s="20"/>
      <x:c r="G399" s="27"/>
      <x:c r="H399" s="27"/>
      <x:c r="I399" s="19"/>
    </x:row>
    <x:row r="400">
      <x:c r="A400" s="19"/>
      <x:c r="B400" s="19"/>
      <x:c r="C400" s="19"/>
      <x:c r="D400" s="20"/>
      <x:c r="E400" s="19"/>
      <x:c r="F400" s="20"/>
      <x:c r="G400" s="27"/>
      <x:c r="H400" s="27"/>
      <x:c r="I400" s="19"/>
    </x:row>
    <x:row r="401">
      <x:c r="A401" s="19"/>
      <x:c r="B401" s="19"/>
      <x:c r="C401" s="19"/>
      <x:c r="D401" s="20"/>
      <x:c r="E401" s="19"/>
      <x:c r="F401" s="20"/>
      <x:c r="G401" s="27"/>
      <x:c r="H401" s="27"/>
      <x:c r="I401" s="19"/>
    </x:row>
    <x:row r="402">
      <x:c r="A402" s="19"/>
      <x:c r="B402" s="19"/>
      <x:c r="C402" s="19"/>
      <x:c r="D402" s="20"/>
      <x:c r="E402" s="19"/>
      <x:c r="F402" s="20"/>
      <x:c r="G402" s="27"/>
      <x:c r="H402" s="27"/>
      <x:c r="I402" s="19"/>
    </x:row>
    <x:row r="403">
      <x:c r="A403" s="19"/>
      <x:c r="B403" s="19"/>
      <x:c r="C403" s="19"/>
      <x:c r="D403" s="20"/>
      <x:c r="E403" s="19"/>
      <x:c r="F403" s="20"/>
      <x:c r="G403" s="27"/>
      <x:c r="H403" s="27"/>
      <x:c r="I403" s="19"/>
    </x:row>
    <x:row r="404">
      <x:c r="A404" s="19"/>
      <x:c r="B404" s="19"/>
      <x:c r="C404" s="19"/>
      <x:c r="D404" s="20"/>
      <x:c r="E404" s="19"/>
      <x:c r="F404" s="20"/>
      <x:c r="G404" s="27"/>
      <x:c r="H404" s="27"/>
      <x:c r="I404" s="19"/>
    </x:row>
    <x:row r="405">
      <x:c r="A405" s="19"/>
      <x:c r="B405" s="19"/>
      <x:c r="C405" s="19"/>
      <x:c r="D405" s="20"/>
      <x:c r="E405" s="19"/>
      <x:c r="F405" s="20"/>
      <x:c r="G405" s="27"/>
      <x:c r="H405" s="27"/>
      <x:c r="I405" s="19"/>
    </x:row>
    <x:row r="406">
      <x:c r="A406" s="19"/>
      <x:c r="B406" s="19"/>
      <x:c r="C406" s="19"/>
      <x:c r="D406" s="20"/>
      <x:c r="E406" s="19"/>
      <x:c r="F406" s="20"/>
      <x:c r="G406" s="27"/>
      <x:c r="H406" s="27"/>
      <x:c r="I406" s="19"/>
    </x:row>
    <x:row r="407">
      <x:c r="A407" s="19"/>
      <x:c r="B407" s="19"/>
      <x:c r="C407" s="19"/>
      <x:c r="D407" s="20"/>
      <x:c r="E407" s="19"/>
      <x:c r="F407" s="20"/>
      <x:c r="G407" s="27"/>
      <x:c r="H407" s="27"/>
      <x:c r="I407" s="19"/>
    </x:row>
    <x:row r="408">
      <x:c r="A408" s="19"/>
      <x:c r="B408" s="19"/>
      <x:c r="C408" s="19"/>
      <x:c r="D408" s="20"/>
      <x:c r="E408" s="19"/>
      <x:c r="F408" s="20"/>
      <x:c r="G408" s="27"/>
      <x:c r="H408" s="27"/>
      <x:c r="I408" s="19"/>
    </x:row>
    <x:row r="409">
      <x:c r="A409" s="19"/>
      <x:c r="B409" s="19"/>
      <x:c r="C409" s="19"/>
      <x:c r="D409" s="20"/>
      <x:c r="E409" s="19"/>
      <x:c r="F409" s="20"/>
      <x:c r="G409" s="27"/>
      <x:c r="H409" s="27"/>
      <x:c r="I409" s="19"/>
    </x:row>
    <x:row r="410">
      <x:c r="A410" s="19"/>
      <x:c r="B410" s="19"/>
      <x:c r="C410" s="19"/>
      <x:c r="D410" s="20"/>
      <x:c r="E410" s="19"/>
      <x:c r="F410" s="20"/>
      <x:c r="G410" s="27"/>
      <x:c r="H410" s="27"/>
      <x:c r="I410" s="19"/>
    </x:row>
    <x:row r="411">
      <x:c r="A411" s="19"/>
      <x:c r="B411" s="19"/>
      <x:c r="C411" s="19"/>
      <x:c r="D411" s="20"/>
      <x:c r="E411" s="19"/>
      <x:c r="F411" s="20"/>
      <x:c r="G411" s="27"/>
      <x:c r="H411" s="27"/>
      <x:c r="I411" s="19"/>
    </x:row>
    <x:row r="412">
      <x:c r="A412" s="19"/>
      <x:c r="B412" s="19"/>
      <x:c r="C412" s="19"/>
      <x:c r="D412" s="20"/>
      <x:c r="E412" s="19"/>
      <x:c r="F412" s="20"/>
      <x:c r="G412" s="27"/>
      <x:c r="H412" s="27"/>
      <x:c r="I412" s="19"/>
    </x:row>
    <x:row r="413">
      <x:c r="A413" s="19"/>
      <x:c r="B413" s="19"/>
      <x:c r="C413" s="19"/>
      <x:c r="D413" s="20"/>
      <x:c r="E413" s="19"/>
      <x:c r="F413" s="20"/>
      <x:c r="G413" s="27"/>
      <x:c r="H413" s="27"/>
      <x:c r="I413" s="19"/>
    </x:row>
    <x:row r="414">
      <x:c r="A414" s="19"/>
      <x:c r="B414" s="19"/>
      <x:c r="C414" s="19"/>
      <x:c r="D414" s="20"/>
      <x:c r="E414" s="19"/>
      <x:c r="F414" s="20"/>
      <x:c r="G414" s="27"/>
      <x:c r="H414" s="27"/>
      <x:c r="I414" s="19"/>
    </x:row>
    <x:row r="415">
      <x:c r="A415" s="19"/>
      <x:c r="B415" s="19"/>
      <x:c r="C415" s="19"/>
      <x:c r="D415" s="20"/>
      <x:c r="E415" s="19"/>
      <x:c r="F415" s="20"/>
      <x:c r="G415" s="27"/>
      <x:c r="H415" s="27"/>
      <x:c r="I415" s="19"/>
    </x:row>
    <x:row r="416">
      <x:c r="A416" s="19"/>
      <x:c r="B416" s="19"/>
      <x:c r="C416" s="19"/>
      <x:c r="D416" s="20"/>
      <x:c r="E416" s="19"/>
      <x:c r="F416" s="20"/>
      <x:c r="G416" s="27"/>
      <x:c r="H416" s="27"/>
      <x:c r="I416" s="19"/>
    </x:row>
    <x:row r="417">
      <x:c r="A417" s="19"/>
      <x:c r="B417" s="19"/>
      <x:c r="C417" s="19"/>
      <x:c r="D417" s="20"/>
      <x:c r="E417" s="19"/>
      <x:c r="F417" s="20"/>
      <x:c r="G417" s="27"/>
      <x:c r="H417" s="27"/>
      <x:c r="I417" s="19"/>
    </x:row>
    <x:row r="418">
      <x:c r="A418" s="19"/>
      <x:c r="B418" s="19"/>
      <x:c r="C418" s="19"/>
      <x:c r="D418" s="20"/>
      <x:c r="E418" s="19"/>
      <x:c r="F418" s="20"/>
      <x:c r="G418" s="27"/>
      <x:c r="H418" s="27"/>
      <x:c r="I418" s="19"/>
    </x:row>
    <x:row r="419">
      <x:c r="A419" s="19"/>
      <x:c r="B419" s="19"/>
      <x:c r="C419" s="19"/>
      <x:c r="D419" s="20"/>
      <x:c r="E419" s="19"/>
      <x:c r="F419" s="20"/>
      <x:c r="G419" s="27"/>
      <x:c r="H419" s="27"/>
      <x:c r="I419" s="19"/>
    </x:row>
    <x:row r="420">
      <x:c r="A420" s="19"/>
      <x:c r="B420" s="19"/>
      <x:c r="C420" s="19"/>
      <x:c r="D420" s="20"/>
      <x:c r="E420" s="19"/>
      <x:c r="F420" s="20"/>
      <x:c r="G420" s="27"/>
      <x:c r="H420" s="27"/>
      <x:c r="I420" s="19"/>
    </x:row>
    <x:row r="421">
      <x:c r="A421" s="19"/>
      <x:c r="B421" s="19"/>
      <x:c r="C421" s="19"/>
      <x:c r="D421" s="20"/>
      <x:c r="E421" s="19"/>
      <x:c r="F421" s="20"/>
      <x:c r="G421" s="27"/>
      <x:c r="H421" s="27"/>
      <x:c r="I421" s="19"/>
    </x:row>
    <x:row r="422">
      <x:c r="A422" s="19"/>
      <x:c r="B422" s="19"/>
      <x:c r="C422" s="19"/>
      <x:c r="D422" s="20"/>
      <x:c r="E422" s="19"/>
      <x:c r="F422" s="20"/>
      <x:c r="G422" s="27"/>
      <x:c r="H422" s="27"/>
      <x:c r="I422" s="19"/>
    </x:row>
    <x:row r="423">
      <x:c r="A423" s="19"/>
      <x:c r="B423" s="19"/>
      <x:c r="C423" s="19"/>
      <x:c r="D423" s="20"/>
      <x:c r="E423" s="19"/>
      <x:c r="F423" s="20"/>
      <x:c r="G423" s="27"/>
      <x:c r="H423" s="27"/>
      <x:c r="I423" s="19"/>
    </x:row>
    <x:row r="424">
      <x:c r="A424" s="19"/>
      <x:c r="B424" s="19"/>
      <x:c r="C424" s="19"/>
      <x:c r="D424" s="20"/>
      <x:c r="E424" s="19"/>
      <x:c r="F424" s="20"/>
      <x:c r="G424" s="27"/>
      <x:c r="H424" s="27"/>
      <x:c r="I424" s="19"/>
    </x:row>
    <x:row r="425">
      <x:c r="A425" s="19"/>
      <x:c r="B425" s="19"/>
      <x:c r="C425" s="19"/>
      <x:c r="D425" s="20"/>
      <x:c r="E425" s="19"/>
      <x:c r="F425" s="20"/>
      <x:c r="G425" s="27"/>
      <x:c r="H425" s="27"/>
      <x:c r="I425" s="19"/>
    </x:row>
    <x:row r="426">
      <x:c r="A426" s="19"/>
      <x:c r="B426" s="19"/>
      <x:c r="C426" s="19"/>
      <x:c r="D426" s="20"/>
      <x:c r="E426" s="19"/>
      <x:c r="F426" s="20"/>
      <x:c r="G426" s="27"/>
      <x:c r="H426" s="27"/>
      <x:c r="I426" s="19"/>
    </x:row>
    <x:row r="427">
      <x:c r="A427" s="19"/>
      <x:c r="B427" s="19"/>
      <x:c r="C427" s="19"/>
      <x:c r="D427" s="20"/>
      <x:c r="E427" s="19"/>
      <x:c r="F427" s="20"/>
      <x:c r="G427" s="27"/>
      <x:c r="H427" s="27"/>
      <x:c r="I427" s="19"/>
    </x:row>
    <x:row r="428">
      <x:c r="A428" s="19"/>
      <x:c r="B428" s="19"/>
      <x:c r="C428" s="19"/>
      <x:c r="D428" s="20"/>
      <x:c r="E428" s="19"/>
      <x:c r="F428" s="20"/>
      <x:c r="G428" s="27"/>
      <x:c r="H428" s="27"/>
      <x:c r="I428" s="19"/>
    </x:row>
    <x:row r="429">
      <x:c r="A429" s="19"/>
      <x:c r="B429" s="19"/>
      <x:c r="C429" s="19"/>
      <x:c r="D429" s="20"/>
      <x:c r="E429" s="19"/>
      <x:c r="F429" s="20"/>
      <x:c r="G429" s="27"/>
      <x:c r="H429" s="27"/>
      <x:c r="I429" s="19"/>
    </x:row>
    <x:row r="430">
      <x:c r="A430" s="19"/>
      <x:c r="B430" s="19"/>
      <x:c r="C430" s="19"/>
      <x:c r="D430" s="20"/>
      <x:c r="E430" s="19"/>
      <x:c r="F430" s="20"/>
      <x:c r="G430" s="27"/>
      <x:c r="H430" s="27"/>
      <x:c r="I430" s="19"/>
    </x:row>
    <x:row r="431">
      <x:c r="A431" s="19"/>
      <x:c r="B431" s="19"/>
      <x:c r="C431" s="19"/>
      <x:c r="D431" s="20"/>
      <x:c r="E431" s="19"/>
      <x:c r="F431" s="20"/>
      <x:c r="G431" s="27"/>
      <x:c r="H431" s="27"/>
      <x:c r="I431" s="19"/>
    </x:row>
    <x:row r="432">
      <x:c r="A432" s="19"/>
      <x:c r="B432" s="19"/>
      <x:c r="C432" s="19"/>
      <x:c r="D432" s="20"/>
      <x:c r="E432" s="19"/>
      <x:c r="F432" s="20"/>
      <x:c r="G432" s="27"/>
      <x:c r="H432" s="27"/>
      <x:c r="I432" s="19"/>
    </x:row>
    <x:row r="433">
      <x:c r="A433" s="19"/>
      <x:c r="B433" s="19"/>
      <x:c r="C433" s="19"/>
      <x:c r="D433" s="20"/>
      <x:c r="E433" s="19"/>
      <x:c r="F433" s="20"/>
      <x:c r="G433" s="27"/>
      <x:c r="H433" s="27"/>
      <x:c r="I433" s="19"/>
    </x:row>
    <x:row r="434">
      <x:c r="A434" s="19"/>
      <x:c r="B434" s="19"/>
      <x:c r="C434" s="19"/>
      <x:c r="D434" s="20"/>
      <x:c r="E434" s="19"/>
      <x:c r="F434" s="20"/>
      <x:c r="G434" s="27"/>
      <x:c r="H434" s="27"/>
      <x:c r="I434" s="19"/>
    </x:row>
    <x:row r="435">
      <x:c r="A435" s="19"/>
      <x:c r="B435" s="19"/>
      <x:c r="C435" s="19"/>
      <x:c r="D435" s="20"/>
      <x:c r="E435" s="19"/>
      <x:c r="F435" s="20"/>
      <x:c r="G435" s="27"/>
      <x:c r="H435" s="27"/>
      <x:c r="I435" s="19"/>
    </x:row>
    <x:row r="436">
      <x:c r="A436" s="19"/>
      <x:c r="B436" s="19"/>
      <x:c r="C436" s="19"/>
      <x:c r="D436" s="20"/>
      <x:c r="E436" s="19"/>
      <x:c r="F436" s="20"/>
      <x:c r="G436" s="27"/>
      <x:c r="H436" s="27"/>
      <x:c r="I436" s="19"/>
    </x:row>
    <x:row r="437">
      <x:c r="A437" s="19"/>
      <x:c r="B437" s="19"/>
      <x:c r="C437" s="19"/>
      <x:c r="D437" s="20"/>
      <x:c r="E437" s="19"/>
      <x:c r="F437" s="20"/>
      <x:c r="G437" s="27"/>
      <x:c r="H437" s="27"/>
      <x:c r="I437" s="19"/>
    </x:row>
    <x:row r="438">
      <x:c r="A438" s="19"/>
      <x:c r="B438" s="19"/>
      <x:c r="C438" s="19"/>
      <x:c r="D438" s="20"/>
      <x:c r="E438" s="19"/>
      <x:c r="F438" s="20"/>
      <x:c r="G438" s="27"/>
      <x:c r="H438" s="27"/>
      <x:c r="I438" s="19"/>
    </x:row>
    <x:row r="439">
      <x:c r="A439" s="19"/>
      <x:c r="B439" s="19"/>
      <x:c r="C439" s="19"/>
      <x:c r="D439" s="20"/>
      <x:c r="E439" s="19"/>
      <x:c r="F439" s="20"/>
      <x:c r="G439" s="27"/>
      <x:c r="H439" s="27"/>
      <x:c r="I439" s="19"/>
    </x:row>
    <x:row r="440">
      <x:c r="A440" s="19"/>
      <x:c r="B440" s="19"/>
      <x:c r="C440" s="19"/>
      <x:c r="D440" s="20"/>
      <x:c r="E440" s="19"/>
      <x:c r="F440" s="20"/>
      <x:c r="G440" s="27"/>
      <x:c r="H440" s="27"/>
      <x:c r="I440" s="19"/>
    </x:row>
    <x:row r="441">
      <x:c r="A441" s="19"/>
      <x:c r="B441" s="19"/>
      <x:c r="C441" s="19"/>
      <x:c r="D441" s="20"/>
      <x:c r="E441" s="19"/>
      <x:c r="F441" s="20"/>
      <x:c r="G441" s="27"/>
      <x:c r="H441" s="27"/>
      <x:c r="I441" s="19"/>
    </x:row>
    <x:row r="442">
      <x:c r="A442" s="19"/>
      <x:c r="B442" s="19"/>
      <x:c r="C442" s="19"/>
      <x:c r="D442" s="20"/>
      <x:c r="E442" s="19"/>
      <x:c r="F442" s="20"/>
      <x:c r="G442" s="27"/>
      <x:c r="H442" s="27"/>
      <x:c r="I442" s="19"/>
    </x:row>
    <x:row r="443">
      <x:c r="A443" s="19"/>
      <x:c r="B443" s="19"/>
      <x:c r="C443" s="19"/>
      <x:c r="D443" s="20"/>
      <x:c r="E443" s="19"/>
      <x:c r="F443" s="20"/>
      <x:c r="G443" s="27"/>
      <x:c r="H443" s="27"/>
      <x:c r="I443" s="19"/>
    </x:row>
    <x:row r="444">
      <x:c r="A444" s="19"/>
      <x:c r="B444" s="19"/>
      <x:c r="C444" s="19"/>
      <x:c r="D444" s="20"/>
      <x:c r="E444" s="19"/>
      <x:c r="F444" s="20"/>
      <x:c r="G444" s="27"/>
      <x:c r="H444" s="27"/>
      <x:c r="I444" s="19"/>
    </x:row>
    <x:row r="445">
      <x:c r="A445" s="19"/>
      <x:c r="B445" s="19"/>
      <x:c r="C445" s="19"/>
      <x:c r="D445" s="20"/>
      <x:c r="E445" s="19"/>
      <x:c r="F445" s="20"/>
      <x:c r="G445" s="27"/>
      <x:c r="H445" s="27"/>
      <x:c r="I445" s="19"/>
    </x:row>
    <x:row r="446">
      <x:c r="A446" s="19"/>
      <x:c r="B446" s="19"/>
      <x:c r="C446" s="19"/>
      <x:c r="D446" s="20"/>
      <x:c r="E446" s="19"/>
      <x:c r="F446" s="20"/>
      <x:c r="G446" s="27"/>
      <x:c r="H446" s="27"/>
      <x:c r="I446" s="19"/>
    </x:row>
    <x:row r="447">
      <x:c r="A447" s="19"/>
      <x:c r="B447" s="19"/>
      <x:c r="C447" s="19"/>
      <x:c r="D447" s="20"/>
      <x:c r="E447" s="19"/>
      <x:c r="F447" s="20"/>
      <x:c r="G447" s="27"/>
      <x:c r="H447" s="27"/>
      <x:c r="I447" s="19"/>
    </x:row>
    <x:row r="448">
      <x:c r="A448" s="19"/>
      <x:c r="B448" s="19"/>
      <x:c r="C448" s="19"/>
      <x:c r="D448" s="20"/>
      <x:c r="E448" s="19"/>
      <x:c r="F448" s="20"/>
      <x:c r="G448" s="27"/>
      <x:c r="H448" s="27"/>
      <x:c r="I448" s="19"/>
    </x:row>
    <x:row r="449">
      <x:c r="A449" s="19"/>
      <x:c r="B449" s="19"/>
      <x:c r="C449" s="19"/>
      <x:c r="D449" s="20"/>
      <x:c r="E449" s="19"/>
      <x:c r="F449" s="20"/>
      <x:c r="G449" s="27"/>
      <x:c r="H449" s="27"/>
      <x:c r="I449" s="19"/>
    </x:row>
    <x:row r="450">
      <x:c r="A450" s="19"/>
      <x:c r="B450" s="19"/>
      <x:c r="C450" s="19"/>
      <x:c r="D450" s="20"/>
      <x:c r="E450" s="19"/>
      <x:c r="F450" s="20"/>
      <x:c r="G450" s="27"/>
      <x:c r="H450" s="27"/>
      <x:c r="I450" s="19"/>
    </x:row>
    <x:row r="451">
      <x:c r="A451" s="19"/>
      <x:c r="B451" s="19"/>
      <x:c r="C451" s="19"/>
      <x:c r="D451" s="20"/>
      <x:c r="E451" s="19"/>
      <x:c r="F451" s="20"/>
      <x:c r="G451" s="27"/>
      <x:c r="H451" s="27"/>
      <x:c r="I451" s="19"/>
    </x:row>
    <x:row r="452">
      <x:c r="A452" s="19"/>
      <x:c r="B452" s="19"/>
      <x:c r="C452" s="19"/>
      <x:c r="D452" s="20"/>
      <x:c r="E452" s="19"/>
      <x:c r="F452" s="20"/>
      <x:c r="G452" s="27"/>
      <x:c r="H452" s="27"/>
      <x:c r="I452" s="19"/>
    </x:row>
    <x:row r="453">
      <x:c r="A453" s="19"/>
      <x:c r="B453" s="19"/>
      <x:c r="C453" s="19"/>
      <x:c r="D453" s="20"/>
      <x:c r="E453" s="19"/>
      <x:c r="F453" s="20"/>
      <x:c r="G453" s="27"/>
      <x:c r="H453" s="27"/>
      <x:c r="I453" s="19"/>
    </x:row>
    <x:row r="454">
      <x:c r="A454" s="19"/>
      <x:c r="B454" s="19"/>
      <x:c r="C454" s="19"/>
      <x:c r="D454" s="20"/>
      <x:c r="E454" s="19"/>
      <x:c r="F454" s="20"/>
      <x:c r="G454" s="27"/>
      <x:c r="H454" s="27"/>
      <x:c r="I454" s="19"/>
    </x:row>
    <x:row r="455">
      <x:c r="A455" s="19"/>
      <x:c r="B455" s="19"/>
      <x:c r="C455" s="19"/>
      <x:c r="D455" s="20"/>
      <x:c r="E455" s="19"/>
      <x:c r="F455" s="20"/>
      <x:c r="G455" s="27"/>
      <x:c r="H455" s="27"/>
      <x:c r="I455" s="19"/>
    </x:row>
    <x:row r="456">
      <x:c r="A456" s="19"/>
      <x:c r="B456" s="19"/>
      <x:c r="C456" s="19"/>
      <x:c r="D456" s="20"/>
      <x:c r="E456" s="19"/>
      <x:c r="F456" s="20"/>
      <x:c r="G456" s="27"/>
      <x:c r="H456" s="27"/>
      <x:c r="I456" s="19"/>
    </x:row>
    <x:row r="457">
      <x:c r="A457" s="19"/>
      <x:c r="B457" s="19"/>
      <x:c r="C457" s="19"/>
      <x:c r="D457" s="20"/>
      <x:c r="E457" s="19"/>
      <x:c r="F457" s="20"/>
      <x:c r="G457" s="27"/>
      <x:c r="H457" s="27"/>
      <x:c r="I457" s="19"/>
    </x:row>
    <x:row r="458">
      <x:c r="A458" s="19"/>
      <x:c r="B458" s="19"/>
      <x:c r="C458" s="19"/>
      <x:c r="D458" s="20"/>
      <x:c r="E458" s="19"/>
      <x:c r="F458" s="20"/>
      <x:c r="G458" s="27"/>
      <x:c r="H458" s="27"/>
      <x:c r="I458" s="19"/>
    </x:row>
    <x:row r="459">
      <x:c r="A459" s="19"/>
      <x:c r="B459" s="19"/>
      <x:c r="C459" s="19"/>
      <x:c r="D459" s="20"/>
      <x:c r="E459" s="19"/>
      <x:c r="F459" s="20"/>
      <x:c r="G459" s="27"/>
      <x:c r="H459" s="27"/>
      <x:c r="I459" s="19"/>
    </x:row>
    <x:row r="460">
      <x:c r="A460" s="19"/>
      <x:c r="B460" s="19"/>
      <x:c r="C460" s="19"/>
      <x:c r="D460" s="20"/>
      <x:c r="E460" s="19"/>
      <x:c r="F460" s="20"/>
      <x:c r="G460" s="27"/>
      <x:c r="H460" s="27"/>
      <x:c r="I460" s="19"/>
    </x:row>
    <x:row r="461">
      <x:c r="A461" s="19"/>
      <x:c r="B461" s="19"/>
      <x:c r="C461" s="19"/>
      <x:c r="D461" s="20"/>
      <x:c r="E461" s="19"/>
      <x:c r="F461" s="20"/>
      <x:c r="G461" s="27"/>
      <x:c r="H461" s="27"/>
      <x:c r="I461" s="19"/>
    </x:row>
    <x:row r="462">
      <x:c r="A462" s="19"/>
      <x:c r="B462" s="19"/>
      <x:c r="C462" s="19"/>
      <x:c r="D462" s="20"/>
      <x:c r="E462" s="19"/>
      <x:c r="F462" s="20"/>
      <x:c r="G462" s="27"/>
      <x:c r="H462" s="27"/>
      <x:c r="I462" s="19"/>
    </x:row>
    <x:row r="463">
      <x:c r="A463" s="19"/>
      <x:c r="B463" s="19"/>
      <x:c r="C463" s="19"/>
      <x:c r="D463" s="20"/>
      <x:c r="E463" s="19"/>
      <x:c r="F463" s="20"/>
      <x:c r="G463" s="27"/>
      <x:c r="H463" s="27"/>
      <x:c r="I463" s="19"/>
    </x:row>
    <x:row r="464">
      <x:c r="A464" s="19"/>
      <x:c r="B464" s="19"/>
      <x:c r="C464" s="19"/>
      <x:c r="D464" s="20"/>
      <x:c r="E464" s="19"/>
      <x:c r="F464" s="20"/>
      <x:c r="G464" s="27"/>
      <x:c r="H464" s="27"/>
      <x:c r="I464" s="19"/>
    </x:row>
    <x:row r="465">
      <x:c r="A465" s="19"/>
      <x:c r="B465" s="19"/>
      <x:c r="C465" s="19"/>
      <x:c r="D465" s="20"/>
      <x:c r="E465" s="19"/>
      <x:c r="F465" s="20"/>
      <x:c r="G465" s="27"/>
      <x:c r="H465" s="27"/>
      <x:c r="I465" s="19"/>
    </x:row>
    <x:row r="466">
      <x:c r="A466" s="19"/>
      <x:c r="B466" s="19"/>
      <x:c r="C466" s="19"/>
      <x:c r="D466" s="20"/>
      <x:c r="E466" s="19"/>
      <x:c r="F466" s="20"/>
      <x:c r="G466" s="27"/>
      <x:c r="H466" s="27"/>
      <x:c r="I466" s="19"/>
    </x:row>
    <x:row r="467">
      <x:c r="A467" s="19"/>
      <x:c r="B467" s="19"/>
      <x:c r="C467" s="19"/>
      <x:c r="D467" s="20"/>
      <x:c r="E467" s="19"/>
      <x:c r="F467" s="20"/>
      <x:c r="G467" s="27"/>
      <x:c r="H467" s="27"/>
      <x:c r="I467" s="19"/>
    </x:row>
    <x:row r="468">
      <x:c r="A468" s="19"/>
      <x:c r="B468" s="19"/>
      <x:c r="C468" s="19"/>
      <x:c r="D468" s="20"/>
      <x:c r="E468" s="19"/>
      <x:c r="F468" s="20"/>
      <x:c r="G468" s="27"/>
      <x:c r="H468" s="27"/>
      <x:c r="I468" s="19"/>
    </x:row>
    <x:row r="469">
      <x:c r="A469" s="19"/>
      <x:c r="B469" s="19"/>
      <x:c r="C469" s="19"/>
      <x:c r="D469" s="20"/>
      <x:c r="E469" s="19"/>
      <x:c r="F469" s="20"/>
      <x:c r="G469" s="27"/>
      <x:c r="H469" s="27"/>
      <x:c r="I469" s="19"/>
    </x:row>
    <x:row r="470">
      <x:c r="A470" s="19"/>
      <x:c r="B470" s="19"/>
      <x:c r="C470" s="19"/>
      <x:c r="D470" s="20"/>
      <x:c r="E470" s="19"/>
      <x:c r="F470" s="20"/>
      <x:c r="G470" s="27"/>
      <x:c r="H470" s="27"/>
      <x:c r="I470" s="19"/>
    </x:row>
    <x:row r="471">
      <x:c r="A471" s="19"/>
      <x:c r="B471" s="19"/>
      <x:c r="C471" s="19"/>
      <x:c r="D471" s="20"/>
      <x:c r="E471" s="19"/>
      <x:c r="F471" s="20"/>
      <x:c r="G471" s="27"/>
      <x:c r="H471" s="27"/>
      <x:c r="I471" s="19"/>
    </x:row>
    <x:row r="472">
      <x:c r="A472" s="19"/>
      <x:c r="B472" s="19"/>
      <x:c r="C472" s="19"/>
      <x:c r="D472" s="20"/>
      <x:c r="E472" s="19"/>
      <x:c r="F472" s="20"/>
      <x:c r="G472" s="27"/>
      <x:c r="H472" s="27"/>
      <x:c r="I472" s="19"/>
    </x:row>
    <x:row r="473">
      <x:c r="A473" s="19"/>
      <x:c r="B473" s="19"/>
      <x:c r="C473" s="19"/>
      <x:c r="D473" s="20"/>
      <x:c r="E473" s="19"/>
      <x:c r="F473" s="20"/>
      <x:c r="G473" s="27"/>
      <x:c r="H473" s="27"/>
      <x:c r="I473" s="19"/>
    </x:row>
    <x:row r="474">
      <x:c r="A474" s="19"/>
      <x:c r="B474" s="19"/>
      <x:c r="C474" s="19"/>
      <x:c r="D474" s="20"/>
      <x:c r="E474" s="19"/>
      <x:c r="F474" s="20"/>
      <x:c r="G474" s="27"/>
      <x:c r="H474" s="27"/>
      <x:c r="I474" s="19"/>
    </x:row>
    <x:row r="475">
      <x:c r="A475" s="19"/>
      <x:c r="B475" s="19"/>
      <x:c r="C475" s="19"/>
      <x:c r="D475" s="20"/>
      <x:c r="E475" s="19"/>
      <x:c r="F475" s="20"/>
      <x:c r="G475" s="27"/>
      <x:c r="H475" s="27"/>
      <x:c r="I475" s="19"/>
    </x:row>
    <x:row r="476">
      <x:c r="A476" s="19"/>
      <x:c r="B476" s="19"/>
      <x:c r="C476" s="19"/>
      <x:c r="D476" s="20"/>
      <x:c r="E476" s="19"/>
      <x:c r="F476" s="20"/>
      <x:c r="G476" s="27"/>
      <x:c r="H476" s="27"/>
      <x:c r="I476" s="19"/>
    </x:row>
    <x:row r="477">
      <x:c r="A477" s="19"/>
      <x:c r="B477" s="19"/>
      <x:c r="C477" s="19"/>
      <x:c r="D477" s="20"/>
      <x:c r="E477" s="19"/>
      <x:c r="F477" s="20"/>
      <x:c r="G477" s="27"/>
      <x:c r="H477" s="27"/>
      <x:c r="I477" s="19"/>
    </x:row>
    <x:row r="478">
      <x:c r="A478" s="19"/>
      <x:c r="B478" s="19"/>
      <x:c r="C478" s="19"/>
      <x:c r="D478" s="20"/>
      <x:c r="E478" s="19"/>
      <x:c r="F478" s="20"/>
      <x:c r="G478" s="27"/>
      <x:c r="H478" s="27"/>
      <x:c r="I478" s="19"/>
    </x:row>
    <x:row r="479">
      <x:c r="A479" s="19"/>
      <x:c r="B479" s="19"/>
      <x:c r="C479" s="19"/>
      <x:c r="D479" s="20"/>
      <x:c r="E479" s="19"/>
      <x:c r="F479" s="20"/>
      <x:c r="G479" s="27"/>
      <x:c r="H479" s="27"/>
      <x:c r="I479" s="19"/>
    </x:row>
    <x:row r="480">
      <x:c r="A480" s="19"/>
      <x:c r="B480" s="19"/>
      <x:c r="C480" s="19"/>
      <x:c r="D480" s="20"/>
      <x:c r="E480" s="19"/>
      <x:c r="F480" s="20"/>
      <x:c r="G480" s="27"/>
      <x:c r="H480" s="27"/>
      <x:c r="I480" s="19"/>
    </x:row>
    <x:row r="481">
      <x:c r="A481" s="19"/>
      <x:c r="B481" s="19"/>
      <x:c r="C481" s="19"/>
      <x:c r="D481" s="20"/>
      <x:c r="E481" s="19"/>
      <x:c r="F481" s="20"/>
      <x:c r="G481" s="27"/>
      <x:c r="H481" s="27"/>
      <x:c r="I481" s="19"/>
    </x:row>
    <x:row r="482">
      <x:c r="A482" s="19"/>
      <x:c r="B482" s="19"/>
      <x:c r="C482" s="19"/>
      <x:c r="D482" s="20"/>
      <x:c r="E482" s="19"/>
      <x:c r="F482" s="20"/>
      <x:c r="G482" s="27"/>
      <x:c r="H482" s="27"/>
      <x:c r="I482" s="19"/>
    </x:row>
    <x:row r="483">
      <x:c r="A483" s="19"/>
      <x:c r="B483" s="19"/>
      <x:c r="C483" s="19"/>
      <x:c r="D483" s="20"/>
      <x:c r="E483" s="19"/>
      <x:c r="F483" s="20"/>
      <x:c r="G483" s="27"/>
      <x:c r="H483" s="27"/>
      <x:c r="I483" s="19"/>
    </x:row>
    <x:row r="484">
      <x:c r="A484" s="19"/>
      <x:c r="B484" s="19"/>
      <x:c r="C484" s="19"/>
      <x:c r="D484" s="20"/>
      <x:c r="E484" s="19"/>
      <x:c r="F484" s="20"/>
      <x:c r="G484" s="27"/>
      <x:c r="H484" s="27"/>
      <x:c r="I484" s="19"/>
    </x:row>
    <x:row r="485">
      <x:c r="A485" s="19"/>
      <x:c r="B485" s="19"/>
      <x:c r="C485" s="19"/>
      <x:c r="D485" s="20"/>
      <x:c r="E485" s="19"/>
      <x:c r="F485" s="20"/>
      <x:c r="G485" s="27"/>
      <x:c r="H485" s="27"/>
      <x:c r="I485" s="19"/>
    </x:row>
    <x:row r="486">
      <x:c r="A486" s="19"/>
      <x:c r="B486" s="19"/>
      <x:c r="C486" s="19"/>
      <x:c r="D486" s="20"/>
      <x:c r="E486" s="19"/>
      <x:c r="F486" s="20"/>
      <x:c r="G486" s="27"/>
      <x:c r="H486" s="27"/>
      <x:c r="I486" s="19"/>
    </x:row>
    <x:row r="487">
      <x:c r="A487" s="19"/>
      <x:c r="B487" s="19"/>
      <x:c r="C487" s="19"/>
      <x:c r="D487" s="20"/>
      <x:c r="E487" s="19"/>
      <x:c r="F487" s="20"/>
      <x:c r="G487" s="27"/>
      <x:c r="H487" s="27"/>
      <x:c r="I487" s="19"/>
    </x:row>
    <x:row r="488">
      <x:c r="A488" s="19"/>
      <x:c r="B488" s="19"/>
      <x:c r="C488" s="19"/>
      <x:c r="D488" s="20"/>
      <x:c r="E488" s="19"/>
      <x:c r="F488" s="20"/>
      <x:c r="G488" s="27"/>
      <x:c r="H488" s="27"/>
      <x:c r="I488" s="19"/>
    </x:row>
    <x:row r="489">
      <x:c r="A489" s="19"/>
      <x:c r="B489" s="19"/>
      <x:c r="C489" s="19"/>
      <x:c r="D489" s="20"/>
      <x:c r="E489" s="19"/>
      <x:c r="F489" s="20"/>
      <x:c r="G489" s="27"/>
      <x:c r="H489" s="27"/>
      <x:c r="I489" s="19"/>
    </x:row>
    <x:row r="490">
      <x:c r="A490" s="19"/>
      <x:c r="B490" s="19"/>
      <x:c r="C490" s="19"/>
      <x:c r="D490" s="20"/>
      <x:c r="E490" s="19"/>
      <x:c r="F490" s="20"/>
      <x:c r="G490" s="27"/>
      <x:c r="H490" s="27"/>
      <x:c r="I490" s="19"/>
    </x:row>
    <x:row r="491">
      <x:c r="A491" s="19"/>
      <x:c r="B491" s="19"/>
      <x:c r="C491" s="19"/>
      <x:c r="D491" s="20"/>
      <x:c r="E491" s="19"/>
      <x:c r="F491" s="20"/>
      <x:c r="G491" s="27"/>
      <x:c r="H491" s="27"/>
      <x:c r="I491" s="19"/>
    </x:row>
    <x:row r="492">
      <x:c r="A492" s="19"/>
      <x:c r="B492" s="19"/>
      <x:c r="C492" s="19"/>
      <x:c r="D492" s="20"/>
      <x:c r="E492" s="19"/>
      <x:c r="F492" s="20"/>
      <x:c r="G492" s="27"/>
      <x:c r="H492" s="27"/>
      <x:c r="I492" s="19"/>
    </x:row>
    <x:row r="493">
      <x:c r="A493" s="19"/>
      <x:c r="B493" s="19"/>
      <x:c r="C493" s="19"/>
      <x:c r="D493" s="20"/>
      <x:c r="E493" s="19"/>
      <x:c r="F493" s="20"/>
      <x:c r="G493" s="27"/>
      <x:c r="H493" s="27"/>
      <x:c r="I493" s="19"/>
    </x:row>
    <x:row r="494">
      <x:c r="A494" s="19"/>
      <x:c r="B494" s="19"/>
      <x:c r="C494" s="19"/>
      <x:c r="D494" s="20"/>
      <x:c r="E494" s="19"/>
      <x:c r="F494" s="20"/>
      <x:c r="G494" s="27"/>
      <x:c r="H494" s="27"/>
      <x:c r="I494" s="19"/>
    </x:row>
    <x:row r="495">
      <x:c r="A495" s="19"/>
      <x:c r="B495" s="19"/>
      <x:c r="C495" s="19"/>
      <x:c r="D495" s="20"/>
      <x:c r="E495" s="19"/>
      <x:c r="F495" s="20"/>
      <x:c r="G495" s="27"/>
      <x:c r="H495" s="27"/>
      <x:c r="I495" s="19"/>
    </x:row>
    <x:row r="496">
      <x:c r="A496" s="19"/>
      <x:c r="B496" s="19"/>
      <x:c r="C496" s="19"/>
      <x:c r="D496" s="20"/>
      <x:c r="E496" s="19"/>
      <x:c r="F496" s="20"/>
      <x:c r="G496" s="27"/>
      <x:c r="H496" s="27"/>
      <x:c r="I496" s="19"/>
    </x:row>
    <x:row r="497">
      <x:c r="A497" s="19"/>
      <x:c r="B497" s="19"/>
      <x:c r="C497" s="19"/>
      <x:c r="D497" s="20"/>
      <x:c r="E497" s="19"/>
      <x:c r="F497" s="20"/>
      <x:c r="G497" s="27"/>
      <x:c r="H497" s="27"/>
      <x:c r="I497" s="19"/>
    </x:row>
    <x:row r="498">
      <x:c r="A498" s="19"/>
      <x:c r="B498" s="19"/>
      <x:c r="C498" s="19"/>
      <x:c r="D498" s="20"/>
      <x:c r="E498" s="19"/>
      <x:c r="F498" s="20"/>
      <x:c r="G498" s="27"/>
      <x:c r="H498" s="27"/>
      <x:c r="I498" s="19"/>
    </x:row>
    <x:row r="499">
      <x:c r="A499" s="19"/>
      <x:c r="B499" s="19"/>
      <x:c r="C499" s="19"/>
      <x:c r="D499" s="20"/>
      <x:c r="E499" s="19"/>
      <x:c r="F499" s="20"/>
      <x:c r="G499" s="27"/>
      <x:c r="H499" s="27"/>
      <x:c r="I499" s="19"/>
    </x:row>
    <x:row r="500">
      <x:c r="A500" s="19"/>
      <x:c r="B500" s="19"/>
      <x:c r="C500" s="19"/>
      <x:c r="D500" s="20"/>
      <x:c r="E500" s="19"/>
      <x:c r="F500" s="20"/>
      <x:c r="G500" s="27"/>
      <x:c r="H500" s="27"/>
      <x:c r="I500" s="19"/>
    </x:row>
  </x:sheetData>
  <x:conditionalFormatting sqref="B2:B500">
    <x:cfRule type="expression" dxfId="167" priority="1">
      <x:formula>AND($A2&lt;&gt;"",B2="")</x:formula>
    </x:cfRule>
  </x:conditionalFormatting>
  <x:conditionalFormatting sqref="C2:C500">
    <x:cfRule type="expression" dxfId="168" priority="2">
      <x:formula>AND($A2&lt;&gt;"",C2="")</x:formula>
    </x:cfRule>
  </x:conditionalFormatting>
  <x:conditionalFormatting sqref="E2:E500">
    <x:cfRule type="expression" dxfId="169" priority="3">
      <x:formula>AND($A2&lt;&gt;"",E2="")</x:formula>
    </x:cfRule>
  </x:conditionalFormatting>
  <x:conditionalFormatting sqref="H2:H500">
    <x:cfRule type="expression" dxfId="170" priority="4">
      <x:formula>AND($A2&lt;&gt;"",H2="")</x:formula>
    </x:cfRule>
  </x:conditionalFormatting>
  <x:conditionalFormatting sqref="I2:I500">
    <x:cfRule type="expression" dxfId="171" priority="5">
      <x:formula>AND($A2&lt;&gt;"",I2="")</x:formula>
    </x:cfRule>
  </x:conditionalFormatting>
  <x:dataValidations count="1">
    <x:dataValidation type="list" sqref="I2:I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11441e47e24b57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9" hidden="0" customWidth="1"/>
    <x:col min="4" max="4" width="12" hidden="0" customWidth="1"/>
    <x:col min="5" max="5" width="14" hidden="0" customWidth="1"/>
    <x:col min="6" max="6" width="18" hidden="0" customWidth="1"/>
    <x:col min="7" max="7" width="15" hidden="0" customWidth="1"/>
    <x:col min="8" max="8" width="10" hidden="0" customWidth="1"/>
  </x:cols>
  <x:sheetData>
    <x:row r="1" ht="46" customHeight="1">
      <x:c r="A1" s="12" t="str">
        <x:v>شناسه توالی *
(sequence_id)</x:v>
      </x:c>
      <x:c r="B1" s="13" t="str">
        <x:v>نام *
(name_fa)</x:v>
      </x:c>
      <x:c r="C1" s="13" t="str">
        <x:v>گام *
(step_no)</x:v>
      </x:c>
      <x:c r="D1" s="13" t="str">
        <x:v>فاصله روز *
(delay_days)</x:v>
      </x:c>
      <x:c r="E1" s="13" t="str">
        <x:v>کانال *
(channel)</x:v>
      </x:c>
      <x:c r="F1" s="13" t="str">
        <x:v>قالب پیام
(template_id)</x:v>
      </x:c>
      <x:c r="G1" s="13" t="str">
        <x:v>توقف با پاسخ *
(stop_on_reply)</x:v>
      </x:c>
      <x:c r="H1" s="14" t="str">
        <x:v>فعال *
(active)</x:v>
      </x:c>
    </x:row>
    <x:row r="2">
      <x:c r="A2" s="28" t="str">
        <x:v>quote_default</x:v>
      </x:c>
      <x:c r="B2" s="29" t="str">
        <x:v>پیگیری پیش‌فاکتور</x:v>
      </x:c>
      <x:c r="C2" s="34" t="n">
        <x:v>1</x:v>
      </x:c>
      <x:c r="D2" s="34" t="n">
        <x:v>1</x:v>
      </x:c>
      <x:c r="E2" s="29" t="str">
        <x:v>call</x:v>
      </x:c>
      <x:c r="F2" s="29" t="str">
        <x:v>tpl_fu1</x:v>
      </x:c>
      <x:c r="G2" s="66" t="b">
        <x:v>1</x:v>
      </x:c>
      <x:c r="H2" s="55" t="b">
        <x:v>1</x:v>
      </x:c>
    </x:row>
    <x:row r="3">
      <x:c r="A3" s="37" t="str">
        <x:v>quote_default</x:v>
      </x:c>
      <x:c r="B3" s="38" t="str">
        <x:v>پیگیری پیش‌فاکتور</x:v>
      </x:c>
      <x:c r="C3" s="43" t="n">
        <x:v>2</x:v>
      </x:c>
      <x:c r="D3" s="43" t="n">
        <x:v>3</x:v>
      </x:c>
      <x:c r="E3" s="38" t="str">
        <x:v>call</x:v>
      </x:c>
      <x:c r="F3" s="38" t="str">
        <x:v>tpl_fu1</x:v>
      </x:c>
      <x:c r="G3" s="67" t="b">
        <x:v>1</x:v>
      </x:c>
      <x:c r="H3" s="56" t="b">
        <x:v>1</x:v>
      </x:c>
    </x:row>
    <x:row r="4">
      <x:c r="A4" s="37" t="str">
        <x:v>quote_default</x:v>
      </x:c>
      <x:c r="B4" s="38" t="str">
        <x:v>پیگیری پیش‌فاکتور</x:v>
      </x:c>
      <x:c r="C4" s="43" t="n">
        <x:v>3</x:v>
      </x:c>
      <x:c r="D4" s="43" t="n">
        <x:v>7</x:v>
      </x:c>
      <x:c r="E4" s="38" t="str">
        <x:v>call</x:v>
      </x:c>
      <x:c r="F4" s="38" t="str">
        <x:v>tpl_fu1</x:v>
      </x:c>
      <x:c r="G4" s="67" t="b">
        <x:v>1</x:v>
      </x:c>
      <x:c r="H4" s="56" t="b">
        <x:v>1</x:v>
      </x:c>
    </x:row>
    <x:row r="5">
      <x:c r="A5" s="46" t="str">
        <x:v>quote_default</x:v>
      </x:c>
      <x:c r="B5" s="47" t="str">
        <x:v>پیگیری پیش‌فاکتور</x:v>
      </x:c>
      <x:c r="C5" s="52" t="n">
        <x:v>4</x:v>
      </x:c>
      <x:c r="D5" s="52" t="n">
        <x:v>14</x:v>
      </x:c>
      <x:c r="E5" s="47" t="str">
        <x:v>call</x:v>
      </x:c>
      <x:c r="F5" s="47" t="str">
        <x:v>tpl_fu1</x:v>
      </x:c>
      <x:c r="G5" s="68" t="b">
        <x:v>1</x:v>
      </x:c>
      <x:c r="H5" s="57" t="b">
        <x:v>1</x:v>
      </x:c>
    </x:row>
    <x:row r="6">
      <x:c r="A6" s="19"/>
      <x:c r="B6" s="19"/>
      <x:c r="C6" s="27"/>
      <x:c r="D6" s="27"/>
      <x:c r="E6" s="19"/>
      <x:c r="F6" s="19"/>
      <x:c r="G6" s="19"/>
      <x:c r="H6" s="19"/>
    </x:row>
    <x:row r="7">
      <x:c r="A7" s="19"/>
      <x:c r="B7" s="19"/>
      <x:c r="C7" s="27"/>
      <x:c r="D7" s="27"/>
      <x:c r="E7" s="19"/>
      <x:c r="F7" s="19"/>
      <x:c r="G7" s="19"/>
      <x:c r="H7" s="19"/>
    </x:row>
    <x:row r="8">
      <x:c r="A8" s="19"/>
      <x:c r="B8" s="19"/>
      <x:c r="C8" s="27"/>
      <x:c r="D8" s="27"/>
      <x:c r="E8" s="19"/>
      <x:c r="F8" s="19"/>
      <x:c r="G8" s="19"/>
      <x:c r="H8" s="19"/>
    </x:row>
    <x:row r="9">
      <x:c r="A9" s="19"/>
      <x:c r="B9" s="19"/>
      <x:c r="C9" s="27"/>
      <x:c r="D9" s="27"/>
      <x:c r="E9" s="19"/>
      <x:c r="F9" s="19"/>
      <x:c r="G9" s="19"/>
      <x:c r="H9" s="19"/>
    </x:row>
    <x:row r="10">
      <x:c r="A10" s="19"/>
      <x:c r="B10" s="19"/>
      <x:c r="C10" s="27"/>
      <x:c r="D10" s="27"/>
      <x:c r="E10" s="19"/>
      <x:c r="F10" s="19"/>
      <x:c r="G10" s="19"/>
      <x:c r="H10" s="19"/>
    </x:row>
    <x:row r="11">
      <x:c r="A11" s="19"/>
      <x:c r="B11" s="19"/>
      <x:c r="C11" s="27"/>
      <x:c r="D11" s="27"/>
      <x:c r="E11" s="19"/>
      <x:c r="F11" s="19"/>
      <x:c r="G11" s="19"/>
      <x:c r="H11" s="19"/>
    </x:row>
    <x:row r="12">
      <x:c r="A12" s="19"/>
      <x:c r="B12" s="19"/>
      <x:c r="C12" s="27"/>
      <x:c r="D12" s="27"/>
      <x:c r="E12" s="19"/>
      <x:c r="F12" s="19"/>
      <x:c r="G12" s="19"/>
      <x:c r="H12" s="19"/>
    </x:row>
    <x:row r="13">
      <x:c r="A13" s="19"/>
      <x:c r="B13" s="19"/>
      <x:c r="C13" s="27"/>
      <x:c r="D13" s="27"/>
      <x:c r="E13" s="19"/>
      <x:c r="F13" s="19"/>
      <x:c r="G13" s="19"/>
      <x:c r="H13" s="19"/>
    </x:row>
    <x:row r="14">
      <x:c r="A14" s="19"/>
      <x:c r="B14" s="19"/>
      <x:c r="C14" s="27"/>
      <x:c r="D14" s="27"/>
      <x:c r="E14" s="19"/>
      <x:c r="F14" s="19"/>
      <x:c r="G14" s="19"/>
      <x:c r="H14" s="19"/>
    </x:row>
    <x:row r="15">
      <x:c r="A15" s="19"/>
      <x:c r="B15" s="19"/>
      <x:c r="C15" s="27"/>
      <x:c r="D15" s="27"/>
      <x:c r="E15" s="19"/>
      <x:c r="F15" s="19"/>
      <x:c r="G15" s="19"/>
      <x:c r="H15" s="19"/>
    </x:row>
    <x:row r="16">
      <x:c r="A16" s="19"/>
      <x:c r="B16" s="19"/>
      <x:c r="C16" s="27"/>
      <x:c r="D16" s="27"/>
      <x:c r="E16" s="19"/>
      <x:c r="F16" s="19"/>
      <x:c r="G16" s="19"/>
      <x:c r="H16" s="19"/>
    </x:row>
    <x:row r="17">
      <x:c r="A17" s="19"/>
      <x:c r="B17" s="19"/>
      <x:c r="C17" s="27"/>
      <x:c r="D17" s="27"/>
      <x:c r="E17" s="19"/>
      <x:c r="F17" s="19"/>
      <x:c r="G17" s="19"/>
      <x:c r="H17" s="19"/>
    </x:row>
    <x:row r="18">
      <x:c r="A18" s="19"/>
      <x:c r="B18" s="19"/>
      <x:c r="C18" s="27"/>
      <x:c r="D18" s="27"/>
      <x:c r="E18" s="19"/>
      <x:c r="F18" s="19"/>
      <x:c r="G18" s="19"/>
      <x:c r="H18" s="19"/>
    </x:row>
    <x:row r="19">
      <x:c r="A19" s="19"/>
      <x:c r="B19" s="19"/>
      <x:c r="C19" s="27"/>
      <x:c r="D19" s="27"/>
      <x:c r="E19" s="19"/>
      <x:c r="F19" s="19"/>
      <x:c r="G19" s="19"/>
      <x:c r="H19" s="19"/>
    </x:row>
    <x:row r="20">
      <x:c r="A20" s="19"/>
      <x:c r="B20" s="19"/>
      <x:c r="C20" s="27"/>
      <x:c r="D20" s="27"/>
      <x:c r="E20" s="19"/>
      <x:c r="F20" s="19"/>
      <x:c r="G20" s="19"/>
      <x:c r="H20" s="19"/>
    </x:row>
    <x:row r="21">
      <x:c r="A21" s="19"/>
      <x:c r="B21" s="19"/>
      <x:c r="C21" s="27"/>
      <x:c r="D21" s="27"/>
      <x:c r="E21" s="19"/>
      <x:c r="F21" s="19"/>
      <x:c r="G21" s="19"/>
      <x:c r="H21" s="19"/>
    </x:row>
    <x:row r="22">
      <x:c r="A22" s="19"/>
      <x:c r="B22" s="19"/>
      <x:c r="C22" s="27"/>
      <x:c r="D22" s="27"/>
      <x:c r="E22" s="19"/>
      <x:c r="F22" s="19"/>
      <x:c r="G22" s="19"/>
      <x:c r="H22" s="19"/>
    </x:row>
    <x:row r="23">
      <x:c r="A23" s="19"/>
      <x:c r="B23" s="19"/>
      <x:c r="C23" s="27"/>
      <x:c r="D23" s="27"/>
      <x:c r="E23" s="19"/>
      <x:c r="F23" s="19"/>
      <x:c r="G23" s="19"/>
      <x:c r="H23" s="19"/>
    </x:row>
    <x:row r="24">
      <x:c r="A24" s="19"/>
      <x:c r="B24" s="19"/>
      <x:c r="C24" s="27"/>
      <x:c r="D24" s="27"/>
      <x:c r="E24" s="19"/>
      <x:c r="F24" s="19"/>
      <x:c r="G24" s="19"/>
      <x:c r="H24" s="19"/>
    </x:row>
    <x:row r="25">
      <x:c r="A25" s="19"/>
      <x:c r="B25" s="19"/>
      <x:c r="C25" s="27"/>
      <x:c r="D25" s="27"/>
      <x:c r="E25" s="19"/>
      <x:c r="F25" s="19"/>
      <x:c r="G25" s="19"/>
      <x:c r="H25" s="19"/>
    </x:row>
    <x:row r="26">
      <x:c r="A26" s="19"/>
      <x:c r="B26" s="19"/>
      <x:c r="C26" s="27"/>
      <x:c r="D26" s="27"/>
      <x:c r="E26" s="19"/>
      <x:c r="F26" s="19"/>
      <x:c r="G26" s="19"/>
      <x:c r="H26" s="19"/>
    </x:row>
    <x:row r="27">
      <x:c r="A27" s="19"/>
      <x:c r="B27" s="19"/>
      <x:c r="C27" s="27"/>
      <x:c r="D27" s="27"/>
      <x:c r="E27" s="19"/>
      <x:c r="F27" s="19"/>
      <x:c r="G27" s="19"/>
      <x:c r="H27" s="19"/>
    </x:row>
    <x:row r="28">
      <x:c r="A28" s="19"/>
      <x:c r="B28" s="19"/>
      <x:c r="C28" s="27"/>
      <x:c r="D28" s="27"/>
      <x:c r="E28" s="19"/>
      <x:c r="F28" s="19"/>
      <x:c r="G28" s="19"/>
      <x:c r="H28" s="19"/>
    </x:row>
    <x:row r="29">
      <x:c r="A29" s="19"/>
      <x:c r="B29" s="19"/>
      <x:c r="C29" s="27"/>
      <x:c r="D29" s="27"/>
      <x:c r="E29" s="19"/>
      <x:c r="F29" s="19"/>
      <x:c r="G29" s="19"/>
      <x:c r="H29" s="19"/>
    </x:row>
    <x:row r="30">
      <x:c r="A30" s="19"/>
      <x:c r="B30" s="19"/>
      <x:c r="C30" s="27"/>
      <x:c r="D30" s="27"/>
      <x:c r="E30" s="19"/>
      <x:c r="F30" s="19"/>
      <x:c r="G30" s="19"/>
      <x:c r="H30" s="19"/>
    </x:row>
    <x:row r="31">
      <x:c r="A31" s="19"/>
      <x:c r="B31" s="19"/>
      <x:c r="C31" s="27"/>
      <x:c r="D31" s="27"/>
      <x:c r="E31" s="19"/>
      <x:c r="F31" s="19"/>
      <x:c r="G31" s="19"/>
      <x:c r="H31" s="19"/>
    </x:row>
    <x:row r="32">
      <x:c r="A32" s="19"/>
      <x:c r="B32" s="19"/>
      <x:c r="C32" s="27"/>
      <x:c r="D32" s="27"/>
      <x:c r="E32" s="19"/>
      <x:c r="F32" s="19"/>
      <x:c r="G32" s="19"/>
      <x:c r="H32" s="19"/>
    </x:row>
    <x:row r="33">
      <x:c r="A33" s="19"/>
      <x:c r="B33" s="19"/>
      <x:c r="C33" s="27"/>
      <x:c r="D33" s="27"/>
      <x:c r="E33" s="19"/>
      <x:c r="F33" s="19"/>
      <x:c r="G33" s="19"/>
      <x:c r="H33" s="19"/>
    </x:row>
    <x:row r="34">
      <x:c r="A34" s="19"/>
      <x:c r="B34" s="19"/>
      <x:c r="C34" s="27"/>
      <x:c r="D34" s="27"/>
      <x:c r="E34" s="19"/>
      <x:c r="F34" s="19"/>
      <x:c r="G34" s="19"/>
      <x:c r="H34" s="19"/>
    </x:row>
    <x:row r="35">
      <x:c r="A35" s="19"/>
      <x:c r="B35" s="19"/>
      <x:c r="C35" s="27"/>
      <x:c r="D35" s="27"/>
      <x:c r="E35" s="19"/>
      <x:c r="F35" s="19"/>
      <x:c r="G35" s="19"/>
      <x:c r="H35" s="19"/>
    </x:row>
    <x:row r="36">
      <x:c r="A36" s="19"/>
      <x:c r="B36" s="19"/>
      <x:c r="C36" s="27"/>
      <x:c r="D36" s="27"/>
      <x:c r="E36" s="19"/>
      <x:c r="F36" s="19"/>
      <x:c r="G36" s="19"/>
      <x:c r="H36" s="19"/>
    </x:row>
    <x:row r="37">
      <x:c r="A37" s="19"/>
      <x:c r="B37" s="19"/>
      <x:c r="C37" s="27"/>
      <x:c r="D37" s="27"/>
      <x:c r="E37" s="19"/>
      <x:c r="F37" s="19"/>
      <x:c r="G37" s="19"/>
      <x:c r="H37" s="19"/>
    </x:row>
    <x:row r="38">
      <x:c r="A38" s="19"/>
      <x:c r="B38" s="19"/>
      <x:c r="C38" s="27"/>
      <x:c r="D38" s="27"/>
      <x:c r="E38" s="19"/>
      <x:c r="F38" s="19"/>
      <x:c r="G38" s="19"/>
      <x:c r="H38" s="19"/>
    </x:row>
    <x:row r="39">
      <x:c r="A39" s="19"/>
      <x:c r="B39" s="19"/>
      <x:c r="C39" s="27"/>
      <x:c r="D39" s="27"/>
      <x:c r="E39" s="19"/>
      <x:c r="F39" s="19"/>
      <x:c r="G39" s="19"/>
      <x:c r="H39" s="19"/>
    </x:row>
    <x:row r="40">
      <x:c r="A40" s="19"/>
      <x:c r="B40" s="19"/>
      <x:c r="C40" s="27"/>
      <x:c r="D40" s="27"/>
      <x:c r="E40" s="19"/>
      <x:c r="F40" s="19"/>
      <x:c r="G40" s="19"/>
      <x:c r="H40" s="19"/>
    </x:row>
    <x:row r="41">
      <x:c r="A41" s="19"/>
      <x:c r="B41" s="19"/>
      <x:c r="C41" s="27"/>
      <x:c r="D41" s="27"/>
      <x:c r="E41" s="19"/>
      <x:c r="F41" s="19"/>
      <x:c r="G41" s="19"/>
      <x:c r="H41" s="19"/>
    </x:row>
    <x:row r="42">
      <x:c r="A42" s="19"/>
      <x:c r="B42" s="19"/>
      <x:c r="C42" s="27"/>
      <x:c r="D42" s="27"/>
      <x:c r="E42" s="19"/>
      <x:c r="F42" s="19"/>
      <x:c r="G42" s="19"/>
      <x:c r="H42" s="19"/>
    </x:row>
    <x:row r="43">
      <x:c r="A43" s="19"/>
      <x:c r="B43" s="19"/>
      <x:c r="C43" s="27"/>
      <x:c r="D43" s="27"/>
      <x:c r="E43" s="19"/>
      <x:c r="F43" s="19"/>
      <x:c r="G43" s="19"/>
      <x:c r="H43" s="19"/>
    </x:row>
    <x:row r="44">
      <x:c r="A44" s="19"/>
      <x:c r="B44" s="19"/>
      <x:c r="C44" s="27"/>
      <x:c r="D44" s="27"/>
      <x:c r="E44" s="19"/>
      <x:c r="F44" s="19"/>
      <x:c r="G44" s="19"/>
      <x:c r="H44" s="19"/>
    </x:row>
    <x:row r="45">
      <x:c r="A45" s="19"/>
      <x:c r="B45" s="19"/>
      <x:c r="C45" s="27"/>
      <x:c r="D45" s="27"/>
      <x:c r="E45" s="19"/>
      <x:c r="F45" s="19"/>
      <x:c r="G45" s="19"/>
      <x:c r="H45" s="19"/>
    </x:row>
    <x:row r="46">
      <x:c r="A46" s="19"/>
      <x:c r="B46" s="19"/>
      <x:c r="C46" s="27"/>
      <x:c r="D46" s="27"/>
      <x:c r="E46" s="19"/>
      <x:c r="F46" s="19"/>
      <x:c r="G46" s="19"/>
      <x:c r="H46" s="19"/>
    </x:row>
    <x:row r="47">
      <x:c r="A47" s="19"/>
      <x:c r="B47" s="19"/>
      <x:c r="C47" s="27"/>
      <x:c r="D47" s="27"/>
      <x:c r="E47" s="19"/>
      <x:c r="F47" s="19"/>
      <x:c r="G47" s="19"/>
      <x:c r="H47" s="19"/>
    </x:row>
    <x:row r="48">
      <x:c r="A48" s="19"/>
      <x:c r="B48" s="19"/>
      <x:c r="C48" s="27"/>
      <x:c r="D48" s="27"/>
      <x:c r="E48" s="19"/>
      <x:c r="F48" s="19"/>
      <x:c r="G48" s="19"/>
      <x:c r="H48" s="19"/>
    </x:row>
    <x:row r="49">
      <x:c r="A49" s="19"/>
      <x:c r="B49" s="19"/>
      <x:c r="C49" s="27"/>
      <x:c r="D49" s="27"/>
      <x:c r="E49" s="19"/>
      <x:c r="F49" s="19"/>
      <x:c r="G49" s="19"/>
      <x:c r="H49" s="19"/>
    </x:row>
    <x:row r="50">
      <x:c r="A50" s="19"/>
      <x:c r="B50" s="19"/>
      <x:c r="C50" s="27"/>
      <x:c r="D50" s="27"/>
      <x:c r="E50" s="19"/>
      <x:c r="F50" s="19"/>
      <x:c r="G50" s="19"/>
      <x:c r="H50" s="19"/>
    </x:row>
    <x:row r="51">
      <x:c r="A51" s="19"/>
      <x:c r="B51" s="19"/>
      <x:c r="C51" s="27"/>
      <x:c r="D51" s="27"/>
      <x:c r="E51" s="19"/>
      <x:c r="F51" s="19"/>
      <x:c r="G51" s="19"/>
      <x:c r="H51" s="19"/>
    </x:row>
    <x:row r="52">
      <x:c r="A52" s="19"/>
      <x:c r="B52" s="19"/>
      <x:c r="C52" s="27"/>
      <x:c r="D52" s="27"/>
      <x:c r="E52" s="19"/>
      <x:c r="F52" s="19"/>
      <x:c r="G52" s="19"/>
      <x:c r="H52" s="19"/>
    </x:row>
    <x:row r="53">
      <x:c r="A53" s="19"/>
      <x:c r="B53" s="19"/>
      <x:c r="C53" s="27"/>
      <x:c r="D53" s="27"/>
      <x:c r="E53" s="19"/>
      <x:c r="F53" s="19"/>
      <x:c r="G53" s="19"/>
      <x:c r="H53" s="19"/>
    </x:row>
    <x:row r="54">
      <x:c r="A54" s="19"/>
      <x:c r="B54" s="19"/>
      <x:c r="C54" s="27"/>
      <x:c r="D54" s="27"/>
      <x:c r="E54" s="19"/>
      <x:c r="F54" s="19"/>
      <x:c r="G54" s="19"/>
      <x:c r="H54" s="19"/>
    </x:row>
    <x:row r="55">
      <x:c r="A55" s="19"/>
      <x:c r="B55" s="19"/>
      <x:c r="C55" s="27"/>
      <x:c r="D55" s="27"/>
      <x:c r="E55" s="19"/>
      <x:c r="F55" s="19"/>
      <x:c r="G55" s="19"/>
      <x:c r="H55" s="19"/>
    </x:row>
    <x:row r="56">
      <x:c r="A56" s="19"/>
      <x:c r="B56" s="19"/>
      <x:c r="C56" s="27"/>
      <x:c r="D56" s="27"/>
      <x:c r="E56" s="19"/>
      <x:c r="F56" s="19"/>
      <x:c r="G56" s="19"/>
      <x:c r="H56" s="19"/>
    </x:row>
    <x:row r="57">
      <x:c r="A57" s="19"/>
      <x:c r="B57" s="19"/>
      <x:c r="C57" s="27"/>
      <x:c r="D57" s="27"/>
      <x:c r="E57" s="19"/>
      <x:c r="F57" s="19"/>
      <x:c r="G57" s="19"/>
      <x:c r="H57" s="19"/>
    </x:row>
    <x:row r="58">
      <x:c r="A58" s="19"/>
      <x:c r="B58" s="19"/>
      <x:c r="C58" s="27"/>
      <x:c r="D58" s="27"/>
      <x:c r="E58" s="19"/>
      <x:c r="F58" s="19"/>
      <x:c r="G58" s="19"/>
      <x:c r="H58" s="19"/>
    </x:row>
    <x:row r="59">
      <x:c r="A59" s="19"/>
      <x:c r="B59" s="19"/>
      <x:c r="C59" s="27"/>
      <x:c r="D59" s="27"/>
      <x:c r="E59" s="19"/>
      <x:c r="F59" s="19"/>
      <x:c r="G59" s="19"/>
      <x:c r="H59" s="19"/>
    </x:row>
    <x:row r="60">
      <x:c r="A60" s="19"/>
      <x:c r="B60" s="19"/>
      <x:c r="C60" s="27"/>
      <x:c r="D60" s="27"/>
      <x:c r="E60" s="19"/>
      <x:c r="F60" s="19"/>
      <x:c r="G60" s="19"/>
      <x:c r="H60" s="19"/>
    </x:row>
    <x:row r="61">
      <x:c r="A61" s="19"/>
      <x:c r="B61" s="19"/>
      <x:c r="C61" s="27"/>
      <x:c r="D61" s="27"/>
      <x:c r="E61" s="19"/>
      <x:c r="F61" s="19"/>
      <x:c r="G61" s="19"/>
      <x:c r="H61" s="19"/>
    </x:row>
    <x:row r="62">
      <x:c r="A62" s="19"/>
      <x:c r="B62" s="19"/>
      <x:c r="C62" s="27"/>
      <x:c r="D62" s="27"/>
      <x:c r="E62" s="19"/>
      <x:c r="F62" s="19"/>
      <x:c r="G62" s="19"/>
      <x:c r="H62" s="19"/>
    </x:row>
    <x:row r="63">
      <x:c r="A63" s="19"/>
      <x:c r="B63" s="19"/>
      <x:c r="C63" s="27"/>
      <x:c r="D63" s="27"/>
      <x:c r="E63" s="19"/>
      <x:c r="F63" s="19"/>
      <x:c r="G63" s="19"/>
      <x:c r="H63" s="19"/>
    </x:row>
    <x:row r="64">
      <x:c r="A64" s="19"/>
      <x:c r="B64" s="19"/>
      <x:c r="C64" s="27"/>
      <x:c r="D64" s="27"/>
      <x:c r="E64" s="19"/>
      <x:c r="F64" s="19"/>
      <x:c r="G64" s="19"/>
      <x:c r="H64" s="19"/>
    </x:row>
    <x:row r="65">
      <x:c r="A65" s="19"/>
      <x:c r="B65" s="19"/>
      <x:c r="C65" s="27"/>
      <x:c r="D65" s="27"/>
      <x:c r="E65" s="19"/>
      <x:c r="F65" s="19"/>
      <x:c r="G65" s="19"/>
      <x:c r="H65" s="19"/>
    </x:row>
    <x:row r="66">
      <x:c r="A66" s="19"/>
      <x:c r="B66" s="19"/>
      <x:c r="C66" s="27"/>
      <x:c r="D66" s="27"/>
      <x:c r="E66" s="19"/>
      <x:c r="F66" s="19"/>
      <x:c r="G66" s="19"/>
      <x:c r="H66" s="19"/>
    </x:row>
    <x:row r="67">
      <x:c r="A67" s="19"/>
      <x:c r="B67" s="19"/>
      <x:c r="C67" s="27"/>
      <x:c r="D67" s="27"/>
      <x:c r="E67" s="19"/>
      <x:c r="F67" s="19"/>
      <x:c r="G67" s="19"/>
      <x:c r="H67" s="19"/>
    </x:row>
    <x:row r="68">
      <x:c r="A68" s="19"/>
      <x:c r="B68" s="19"/>
      <x:c r="C68" s="27"/>
      <x:c r="D68" s="27"/>
      <x:c r="E68" s="19"/>
      <x:c r="F68" s="19"/>
      <x:c r="G68" s="19"/>
      <x:c r="H68" s="19"/>
    </x:row>
    <x:row r="69">
      <x:c r="A69" s="19"/>
      <x:c r="B69" s="19"/>
      <x:c r="C69" s="27"/>
      <x:c r="D69" s="27"/>
      <x:c r="E69" s="19"/>
      <x:c r="F69" s="19"/>
      <x:c r="G69" s="19"/>
      <x:c r="H69" s="19"/>
    </x:row>
    <x:row r="70">
      <x:c r="A70" s="19"/>
      <x:c r="B70" s="19"/>
      <x:c r="C70" s="27"/>
      <x:c r="D70" s="27"/>
      <x:c r="E70" s="19"/>
      <x:c r="F70" s="19"/>
      <x:c r="G70" s="19"/>
      <x:c r="H70" s="19"/>
    </x:row>
    <x:row r="71">
      <x:c r="A71" s="19"/>
      <x:c r="B71" s="19"/>
      <x:c r="C71" s="27"/>
      <x:c r="D71" s="27"/>
      <x:c r="E71" s="19"/>
      <x:c r="F71" s="19"/>
      <x:c r="G71" s="19"/>
      <x:c r="H71" s="19"/>
    </x:row>
    <x:row r="72">
      <x:c r="A72" s="19"/>
      <x:c r="B72" s="19"/>
      <x:c r="C72" s="27"/>
      <x:c r="D72" s="27"/>
      <x:c r="E72" s="19"/>
      <x:c r="F72" s="19"/>
      <x:c r="G72" s="19"/>
      <x:c r="H72" s="19"/>
    </x:row>
    <x:row r="73">
      <x:c r="A73" s="19"/>
      <x:c r="B73" s="19"/>
      <x:c r="C73" s="27"/>
      <x:c r="D73" s="27"/>
      <x:c r="E73" s="19"/>
      <x:c r="F73" s="19"/>
      <x:c r="G73" s="19"/>
      <x:c r="H73" s="19"/>
    </x:row>
    <x:row r="74">
      <x:c r="A74" s="19"/>
      <x:c r="B74" s="19"/>
      <x:c r="C74" s="27"/>
      <x:c r="D74" s="27"/>
      <x:c r="E74" s="19"/>
      <x:c r="F74" s="19"/>
      <x:c r="G74" s="19"/>
      <x:c r="H74" s="19"/>
    </x:row>
    <x:row r="75">
      <x:c r="A75" s="19"/>
      <x:c r="B75" s="19"/>
      <x:c r="C75" s="27"/>
      <x:c r="D75" s="27"/>
      <x:c r="E75" s="19"/>
      <x:c r="F75" s="19"/>
      <x:c r="G75" s="19"/>
      <x:c r="H75" s="19"/>
    </x:row>
    <x:row r="76">
      <x:c r="A76" s="19"/>
      <x:c r="B76" s="19"/>
      <x:c r="C76" s="27"/>
      <x:c r="D76" s="27"/>
      <x:c r="E76" s="19"/>
      <x:c r="F76" s="19"/>
      <x:c r="G76" s="19"/>
      <x:c r="H76" s="19"/>
    </x:row>
    <x:row r="77">
      <x:c r="A77" s="19"/>
      <x:c r="B77" s="19"/>
      <x:c r="C77" s="27"/>
      <x:c r="D77" s="27"/>
      <x:c r="E77" s="19"/>
      <x:c r="F77" s="19"/>
      <x:c r="G77" s="19"/>
      <x:c r="H77" s="19"/>
    </x:row>
    <x:row r="78">
      <x:c r="A78" s="19"/>
      <x:c r="B78" s="19"/>
      <x:c r="C78" s="27"/>
      <x:c r="D78" s="27"/>
      <x:c r="E78" s="19"/>
      <x:c r="F78" s="19"/>
      <x:c r="G78" s="19"/>
      <x:c r="H78" s="19"/>
    </x:row>
    <x:row r="79">
      <x:c r="A79" s="19"/>
      <x:c r="B79" s="19"/>
      <x:c r="C79" s="27"/>
      <x:c r="D79" s="27"/>
      <x:c r="E79" s="19"/>
      <x:c r="F79" s="19"/>
      <x:c r="G79" s="19"/>
      <x:c r="H79" s="19"/>
    </x:row>
    <x:row r="80">
      <x:c r="A80" s="19"/>
      <x:c r="B80" s="19"/>
      <x:c r="C80" s="27"/>
      <x:c r="D80" s="27"/>
      <x:c r="E80" s="19"/>
      <x:c r="F80" s="19"/>
      <x:c r="G80" s="19"/>
      <x:c r="H80" s="19"/>
    </x:row>
    <x:row r="81">
      <x:c r="A81" s="19"/>
      <x:c r="B81" s="19"/>
      <x:c r="C81" s="27"/>
      <x:c r="D81" s="27"/>
      <x:c r="E81" s="19"/>
      <x:c r="F81" s="19"/>
      <x:c r="G81" s="19"/>
      <x:c r="H81" s="19"/>
    </x:row>
    <x:row r="82">
      <x:c r="A82" s="19"/>
      <x:c r="B82" s="19"/>
      <x:c r="C82" s="27"/>
      <x:c r="D82" s="27"/>
      <x:c r="E82" s="19"/>
      <x:c r="F82" s="19"/>
      <x:c r="G82" s="19"/>
      <x:c r="H82" s="19"/>
    </x:row>
    <x:row r="83">
      <x:c r="A83" s="19"/>
      <x:c r="B83" s="19"/>
      <x:c r="C83" s="27"/>
      <x:c r="D83" s="27"/>
      <x:c r="E83" s="19"/>
      <x:c r="F83" s="19"/>
      <x:c r="G83" s="19"/>
      <x:c r="H83" s="19"/>
    </x:row>
    <x:row r="84">
      <x:c r="A84" s="19"/>
      <x:c r="B84" s="19"/>
      <x:c r="C84" s="27"/>
      <x:c r="D84" s="27"/>
      <x:c r="E84" s="19"/>
      <x:c r="F84" s="19"/>
      <x:c r="G84" s="19"/>
      <x:c r="H84" s="19"/>
    </x:row>
    <x:row r="85">
      <x:c r="A85" s="19"/>
      <x:c r="B85" s="19"/>
      <x:c r="C85" s="27"/>
      <x:c r="D85" s="27"/>
      <x:c r="E85" s="19"/>
      <x:c r="F85" s="19"/>
      <x:c r="G85" s="19"/>
      <x:c r="H85" s="19"/>
    </x:row>
    <x:row r="86">
      <x:c r="A86" s="19"/>
      <x:c r="B86" s="19"/>
      <x:c r="C86" s="27"/>
      <x:c r="D86" s="27"/>
      <x:c r="E86" s="19"/>
      <x:c r="F86" s="19"/>
      <x:c r="G86" s="19"/>
      <x:c r="H86" s="19"/>
    </x:row>
    <x:row r="87">
      <x:c r="A87" s="19"/>
      <x:c r="B87" s="19"/>
      <x:c r="C87" s="27"/>
      <x:c r="D87" s="27"/>
      <x:c r="E87" s="19"/>
      <x:c r="F87" s="19"/>
      <x:c r="G87" s="19"/>
      <x:c r="H87" s="19"/>
    </x:row>
    <x:row r="88">
      <x:c r="A88" s="19"/>
      <x:c r="B88" s="19"/>
      <x:c r="C88" s="27"/>
      <x:c r="D88" s="27"/>
      <x:c r="E88" s="19"/>
      <x:c r="F88" s="19"/>
      <x:c r="G88" s="19"/>
      <x:c r="H88" s="19"/>
    </x:row>
    <x:row r="89">
      <x:c r="A89" s="19"/>
      <x:c r="B89" s="19"/>
      <x:c r="C89" s="27"/>
      <x:c r="D89" s="27"/>
      <x:c r="E89" s="19"/>
      <x:c r="F89" s="19"/>
      <x:c r="G89" s="19"/>
      <x:c r="H89" s="19"/>
    </x:row>
    <x:row r="90">
      <x:c r="A90" s="19"/>
      <x:c r="B90" s="19"/>
      <x:c r="C90" s="27"/>
      <x:c r="D90" s="27"/>
      <x:c r="E90" s="19"/>
      <x:c r="F90" s="19"/>
      <x:c r="G90" s="19"/>
      <x:c r="H90" s="19"/>
    </x:row>
    <x:row r="91">
      <x:c r="A91" s="19"/>
      <x:c r="B91" s="19"/>
      <x:c r="C91" s="27"/>
      <x:c r="D91" s="27"/>
      <x:c r="E91" s="19"/>
      <x:c r="F91" s="19"/>
      <x:c r="G91" s="19"/>
      <x:c r="H91" s="19"/>
    </x:row>
    <x:row r="92">
      <x:c r="A92" s="19"/>
      <x:c r="B92" s="19"/>
      <x:c r="C92" s="27"/>
      <x:c r="D92" s="27"/>
      <x:c r="E92" s="19"/>
      <x:c r="F92" s="19"/>
      <x:c r="G92" s="19"/>
      <x:c r="H92" s="19"/>
    </x:row>
    <x:row r="93">
      <x:c r="A93" s="19"/>
      <x:c r="B93" s="19"/>
      <x:c r="C93" s="27"/>
      <x:c r="D93" s="27"/>
      <x:c r="E93" s="19"/>
      <x:c r="F93" s="19"/>
      <x:c r="G93" s="19"/>
      <x:c r="H93" s="19"/>
    </x:row>
    <x:row r="94">
      <x:c r="A94" s="19"/>
      <x:c r="B94" s="19"/>
      <x:c r="C94" s="27"/>
      <x:c r="D94" s="27"/>
      <x:c r="E94" s="19"/>
      <x:c r="F94" s="19"/>
      <x:c r="G94" s="19"/>
      <x:c r="H94" s="19"/>
    </x:row>
    <x:row r="95">
      <x:c r="A95" s="19"/>
      <x:c r="B95" s="19"/>
      <x:c r="C95" s="27"/>
      <x:c r="D95" s="27"/>
      <x:c r="E95" s="19"/>
      <x:c r="F95" s="19"/>
      <x:c r="G95" s="19"/>
      <x:c r="H95" s="19"/>
    </x:row>
    <x:row r="96">
      <x:c r="A96" s="19"/>
      <x:c r="B96" s="19"/>
      <x:c r="C96" s="27"/>
      <x:c r="D96" s="27"/>
      <x:c r="E96" s="19"/>
      <x:c r="F96" s="19"/>
      <x:c r="G96" s="19"/>
      <x:c r="H96" s="19"/>
    </x:row>
    <x:row r="97">
      <x:c r="A97" s="19"/>
      <x:c r="B97" s="19"/>
      <x:c r="C97" s="27"/>
      <x:c r="D97" s="27"/>
      <x:c r="E97" s="19"/>
      <x:c r="F97" s="19"/>
      <x:c r="G97" s="19"/>
      <x:c r="H97" s="19"/>
    </x:row>
    <x:row r="98">
      <x:c r="A98" s="19"/>
      <x:c r="B98" s="19"/>
      <x:c r="C98" s="27"/>
      <x:c r="D98" s="27"/>
      <x:c r="E98" s="19"/>
      <x:c r="F98" s="19"/>
      <x:c r="G98" s="19"/>
      <x:c r="H98" s="19"/>
    </x:row>
    <x:row r="99">
      <x:c r="A99" s="19"/>
      <x:c r="B99" s="19"/>
      <x:c r="C99" s="27"/>
      <x:c r="D99" s="27"/>
      <x:c r="E99" s="19"/>
      <x:c r="F99" s="19"/>
      <x:c r="G99" s="19"/>
      <x:c r="H99" s="19"/>
    </x:row>
    <x:row r="100">
      <x:c r="A100" s="19"/>
      <x:c r="B100" s="19"/>
      <x:c r="C100" s="27"/>
      <x:c r="D100" s="27"/>
      <x:c r="E100" s="19"/>
      <x:c r="F100" s="19"/>
      <x:c r="G100" s="19"/>
      <x:c r="H100" s="19"/>
    </x:row>
    <x:row r="101">
      <x:c r="A101" s="19"/>
      <x:c r="B101" s="19"/>
      <x:c r="C101" s="27"/>
      <x:c r="D101" s="27"/>
      <x:c r="E101" s="19"/>
      <x:c r="F101" s="19"/>
      <x:c r="G101" s="19"/>
      <x:c r="H101" s="19"/>
    </x:row>
    <x:row r="102">
      <x:c r="A102" s="19"/>
      <x:c r="B102" s="19"/>
      <x:c r="C102" s="27"/>
      <x:c r="D102" s="27"/>
      <x:c r="E102" s="19"/>
      <x:c r="F102" s="19"/>
      <x:c r="G102" s="19"/>
      <x:c r="H102" s="19"/>
    </x:row>
    <x:row r="103">
      <x:c r="A103" s="19"/>
      <x:c r="B103" s="19"/>
      <x:c r="C103" s="27"/>
      <x:c r="D103" s="27"/>
      <x:c r="E103" s="19"/>
      <x:c r="F103" s="19"/>
      <x:c r="G103" s="19"/>
      <x:c r="H103" s="19"/>
    </x:row>
    <x:row r="104">
      <x:c r="A104" s="19"/>
      <x:c r="B104" s="19"/>
      <x:c r="C104" s="27"/>
      <x:c r="D104" s="27"/>
      <x:c r="E104" s="19"/>
      <x:c r="F104" s="19"/>
      <x:c r="G104" s="19"/>
      <x:c r="H104" s="19"/>
    </x:row>
    <x:row r="105">
      <x:c r="A105" s="19"/>
      <x:c r="B105" s="19"/>
      <x:c r="C105" s="27"/>
      <x:c r="D105" s="27"/>
      <x:c r="E105" s="19"/>
      <x:c r="F105" s="19"/>
      <x:c r="G105" s="19"/>
      <x:c r="H105" s="19"/>
    </x:row>
    <x:row r="106">
      <x:c r="A106" s="19"/>
      <x:c r="B106" s="19"/>
      <x:c r="C106" s="27"/>
      <x:c r="D106" s="27"/>
      <x:c r="E106" s="19"/>
      <x:c r="F106" s="19"/>
      <x:c r="G106" s="19"/>
      <x:c r="H106" s="19"/>
    </x:row>
    <x:row r="107">
      <x:c r="A107" s="19"/>
      <x:c r="B107" s="19"/>
      <x:c r="C107" s="27"/>
      <x:c r="D107" s="27"/>
      <x:c r="E107" s="19"/>
      <x:c r="F107" s="19"/>
      <x:c r="G107" s="19"/>
      <x:c r="H107" s="19"/>
    </x:row>
    <x:row r="108">
      <x:c r="A108" s="19"/>
      <x:c r="B108" s="19"/>
      <x:c r="C108" s="27"/>
      <x:c r="D108" s="27"/>
      <x:c r="E108" s="19"/>
      <x:c r="F108" s="19"/>
      <x:c r="G108" s="19"/>
      <x:c r="H108" s="19"/>
    </x:row>
    <x:row r="109">
      <x:c r="A109" s="19"/>
      <x:c r="B109" s="19"/>
      <x:c r="C109" s="27"/>
      <x:c r="D109" s="27"/>
      <x:c r="E109" s="19"/>
      <x:c r="F109" s="19"/>
      <x:c r="G109" s="19"/>
      <x:c r="H109" s="19"/>
    </x:row>
    <x:row r="110">
      <x:c r="A110" s="19"/>
      <x:c r="B110" s="19"/>
      <x:c r="C110" s="27"/>
      <x:c r="D110" s="27"/>
      <x:c r="E110" s="19"/>
      <x:c r="F110" s="19"/>
      <x:c r="G110" s="19"/>
      <x:c r="H110" s="19"/>
    </x:row>
    <x:row r="111">
      <x:c r="A111" s="19"/>
      <x:c r="B111" s="19"/>
      <x:c r="C111" s="27"/>
      <x:c r="D111" s="27"/>
      <x:c r="E111" s="19"/>
      <x:c r="F111" s="19"/>
      <x:c r="G111" s="19"/>
      <x:c r="H111" s="19"/>
    </x:row>
    <x:row r="112">
      <x:c r="A112" s="19"/>
      <x:c r="B112" s="19"/>
      <x:c r="C112" s="27"/>
      <x:c r="D112" s="27"/>
      <x:c r="E112" s="19"/>
      <x:c r="F112" s="19"/>
      <x:c r="G112" s="19"/>
      <x:c r="H112" s="19"/>
    </x:row>
    <x:row r="113">
      <x:c r="A113" s="19"/>
      <x:c r="B113" s="19"/>
      <x:c r="C113" s="27"/>
      <x:c r="D113" s="27"/>
      <x:c r="E113" s="19"/>
      <x:c r="F113" s="19"/>
      <x:c r="G113" s="19"/>
      <x:c r="H113" s="19"/>
    </x:row>
    <x:row r="114">
      <x:c r="A114" s="19"/>
      <x:c r="B114" s="19"/>
      <x:c r="C114" s="27"/>
      <x:c r="D114" s="27"/>
      <x:c r="E114" s="19"/>
      <x:c r="F114" s="19"/>
      <x:c r="G114" s="19"/>
      <x:c r="H114" s="19"/>
    </x:row>
    <x:row r="115">
      <x:c r="A115" s="19"/>
      <x:c r="B115" s="19"/>
      <x:c r="C115" s="27"/>
      <x:c r="D115" s="27"/>
      <x:c r="E115" s="19"/>
      <x:c r="F115" s="19"/>
      <x:c r="G115" s="19"/>
      <x:c r="H115" s="19"/>
    </x:row>
    <x:row r="116">
      <x:c r="A116" s="19"/>
      <x:c r="B116" s="19"/>
      <x:c r="C116" s="27"/>
      <x:c r="D116" s="27"/>
      <x:c r="E116" s="19"/>
      <x:c r="F116" s="19"/>
      <x:c r="G116" s="19"/>
      <x:c r="H116" s="19"/>
    </x:row>
    <x:row r="117">
      <x:c r="A117" s="19"/>
      <x:c r="B117" s="19"/>
      <x:c r="C117" s="27"/>
      <x:c r="D117" s="27"/>
      <x:c r="E117" s="19"/>
      <x:c r="F117" s="19"/>
      <x:c r="G117" s="19"/>
      <x:c r="H117" s="19"/>
    </x:row>
    <x:row r="118">
      <x:c r="A118" s="19"/>
      <x:c r="B118" s="19"/>
      <x:c r="C118" s="27"/>
      <x:c r="D118" s="27"/>
      <x:c r="E118" s="19"/>
      <x:c r="F118" s="19"/>
      <x:c r="G118" s="19"/>
      <x:c r="H118" s="19"/>
    </x:row>
    <x:row r="119">
      <x:c r="A119" s="19"/>
      <x:c r="B119" s="19"/>
      <x:c r="C119" s="27"/>
      <x:c r="D119" s="27"/>
      <x:c r="E119" s="19"/>
      <x:c r="F119" s="19"/>
      <x:c r="G119" s="19"/>
      <x:c r="H119" s="19"/>
    </x:row>
    <x:row r="120">
      <x:c r="A120" s="19"/>
      <x:c r="B120" s="19"/>
      <x:c r="C120" s="27"/>
      <x:c r="D120" s="27"/>
      <x:c r="E120" s="19"/>
      <x:c r="F120" s="19"/>
      <x:c r="G120" s="19"/>
      <x:c r="H120" s="19"/>
    </x:row>
    <x:row r="121">
      <x:c r="A121" s="19"/>
      <x:c r="B121" s="19"/>
      <x:c r="C121" s="27"/>
      <x:c r="D121" s="27"/>
      <x:c r="E121" s="19"/>
      <x:c r="F121" s="19"/>
      <x:c r="G121" s="19"/>
      <x:c r="H121" s="19"/>
    </x:row>
    <x:row r="122">
      <x:c r="A122" s="19"/>
      <x:c r="B122" s="19"/>
      <x:c r="C122" s="27"/>
      <x:c r="D122" s="27"/>
      <x:c r="E122" s="19"/>
      <x:c r="F122" s="19"/>
      <x:c r="G122" s="19"/>
      <x:c r="H122" s="19"/>
    </x:row>
    <x:row r="123">
      <x:c r="A123" s="19"/>
      <x:c r="B123" s="19"/>
      <x:c r="C123" s="27"/>
      <x:c r="D123" s="27"/>
      <x:c r="E123" s="19"/>
      <x:c r="F123" s="19"/>
      <x:c r="G123" s="19"/>
      <x:c r="H123" s="19"/>
    </x:row>
    <x:row r="124">
      <x:c r="A124" s="19"/>
      <x:c r="B124" s="19"/>
      <x:c r="C124" s="27"/>
      <x:c r="D124" s="27"/>
      <x:c r="E124" s="19"/>
      <x:c r="F124" s="19"/>
      <x:c r="G124" s="19"/>
      <x:c r="H124" s="19"/>
    </x:row>
    <x:row r="125">
      <x:c r="A125" s="19"/>
      <x:c r="B125" s="19"/>
      <x:c r="C125" s="27"/>
      <x:c r="D125" s="27"/>
      <x:c r="E125" s="19"/>
      <x:c r="F125" s="19"/>
      <x:c r="G125" s="19"/>
      <x:c r="H125" s="19"/>
    </x:row>
    <x:row r="126">
      <x:c r="A126" s="19"/>
      <x:c r="B126" s="19"/>
      <x:c r="C126" s="27"/>
      <x:c r="D126" s="27"/>
      <x:c r="E126" s="19"/>
      <x:c r="F126" s="19"/>
      <x:c r="G126" s="19"/>
      <x:c r="H126" s="19"/>
    </x:row>
    <x:row r="127">
      <x:c r="A127" s="19"/>
      <x:c r="B127" s="19"/>
      <x:c r="C127" s="27"/>
      <x:c r="D127" s="27"/>
      <x:c r="E127" s="19"/>
      <x:c r="F127" s="19"/>
      <x:c r="G127" s="19"/>
      <x:c r="H127" s="19"/>
    </x:row>
    <x:row r="128">
      <x:c r="A128" s="19"/>
      <x:c r="B128" s="19"/>
      <x:c r="C128" s="27"/>
      <x:c r="D128" s="27"/>
      <x:c r="E128" s="19"/>
      <x:c r="F128" s="19"/>
      <x:c r="G128" s="19"/>
      <x:c r="H128" s="19"/>
    </x:row>
    <x:row r="129">
      <x:c r="A129" s="19"/>
      <x:c r="B129" s="19"/>
      <x:c r="C129" s="27"/>
      <x:c r="D129" s="27"/>
      <x:c r="E129" s="19"/>
      <x:c r="F129" s="19"/>
      <x:c r="G129" s="19"/>
      <x:c r="H129" s="19"/>
    </x:row>
    <x:row r="130">
      <x:c r="A130" s="19"/>
      <x:c r="B130" s="19"/>
      <x:c r="C130" s="27"/>
      <x:c r="D130" s="27"/>
      <x:c r="E130" s="19"/>
      <x:c r="F130" s="19"/>
      <x:c r="G130" s="19"/>
      <x:c r="H130" s="19"/>
    </x:row>
    <x:row r="131">
      <x:c r="A131" s="19"/>
      <x:c r="B131" s="19"/>
      <x:c r="C131" s="27"/>
      <x:c r="D131" s="27"/>
      <x:c r="E131" s="19"/>
      <x:c r="F131" s="19"/>
      <x:c r="G131" s="19"/>
      <x:c r="H131" s="19"/>
    </x:row>
    <x:row r="132">
      <x:c r="A132" s="19"/>
      <x:c r="B132" s="19"/>
      <x:c r="C132" s="27"/>
      <x:c r="D132" s="27"/>
      <x:c r="E132" s="19"/>
      <x:c r="F132" s="19"/>
      <x:c r="G132" s="19"/>
      <x:c r="H132" s="19"/>
    </x:row>
    <x:row r="133">
      <x:c r="A133" s="19"/>
      <x:c r="B133" s="19"/>
      <x:c r="C133" s="27"/>
      <x:c r="D133" s="27"/>
      <x:c r="E133" s="19"/>
      <x:c r="F133" s="19"/>
      <x:c r="G133" s="19"/>
      <x:c r="H133" s="19"/>
    </x:row>
    <x:row r="134">
      <x:c r="A134" s="19"/>
      <x:c r="B134" s="19"/>
      <x:c r="C134" s="27"/>
      <x:c r="D134" s="27"/>
      <x:c r="E134" s="19"/>
      <x:c r="F134" s="19"/>
      <x:c r="G134" s="19"/>
      <x:c r="H134" s="19"/>
    </x:row>
    <x:row r="135">
      <x:c r="A135" s="19"/>
      <x:c r="B135" s="19"/>
      <x:c r="C135" s="27"/>
      <x:c r="D135" s="27"/>
      <x:c r="E135" s="19"/>
      <x:c r="F135" s="19"/>
      <x:c r="G135" s="19"/>
      <x:c r="H135" s="19"/>
    </x:row>
    <x:row r="136">
      <x:c r="A136" s="19"/>
      <x:c r="B136" s="19"/>
      <x:c r="C136" s="27"/>
      <x:c r="D136" s="27"/>
      <x:c r="E136" s="19"/>
      <x:c r="F136" s="19"/>
      <x:c r="G136" s="19"/>
      <x:c r="H136" s="19"/>
    </x:row>
    <x:row r="137">
      <x:c r="A137" s="19"/>
      <x:c r="B137" s="19"/>
      <x:c r="C137" s="27"/>
      <x:c r="D137" s="27"/>
      <x:c r="E137" s="19"/>
      <x:c r="F137" s="19"/>
      <x:c r="G137" s="19"/>
      <x:c r="H137" s="19"/>
    </x:row>
    <x:row r="138">
      <x:c r="A138" s="19"/>
      <x:c r="B138" s="19"/>
      <x:c r="C138" s="27"/>
      <x:c r="D138" s="27"/>
      <x:c r="E138" s="19"/>
      <x:c r="F138" s="19"/>
      <x:c r="G138" s="19"/>
      <x:c r="H138" s="19"/>
    </x:row>
    <x:row r="139">
      <x:c r="A139" s="19"/>
      <x:c r="B139" s="19"/>
      <x:c r="C139" s="27"/>
      <x:c r="D139" s="27"/>
      <x:c r="E139" s="19"/>
      <x:c r="F139" s="19"/>
      <x:c r="G139" s="19"/>
      <x:c r="H139" s="19"/>
    </x:row>
    <x:row r="140">
      <x:c r="A140" s="19"/>
      <x:c r="B140" s="19"/>
      <x:c r="C140" s="27"/>
      <x:c r="D140" s="27"/>
      <x:c r="E140" s="19"/>
      <x:c r="F140" s="19"/>
      <x:c r="G140" s="19"/>
      <x:c r="H140" s="19"/>
    </x:row>
    <x:row r="141">
      <x:c r="A141" s="19"/>
      <x:c r="B141" s="19"/>
      <x:c r="C141" s="27"/>
      <x:c r="D141" s="27"/>
      <x:c r="E141" s="19"/>
      <x:c r="F141" s="19"/>
      <x:c r="G141" s="19"/>
      <x:c r="H141" s="19"/>
    </x:row>
    <x:row r="142">
      <x:c r="A142" s="19"/>
      <x:c r="B142" s="19"/>
      <x:c r="C142" s="27"/>
      <x:c r="D142" s="27"/>
      <x:c r="E142" s="19"/>
      <x:c r="F142" s="19"/>
      <x:c r="G142" s="19"/>
      <x:c r="H142" s="19"/>
    </x:row>
    <x:row r="143">
      <x:c r="A143" s="19"/>
      <x:c r="B143" s="19"/>
      <x:c r="C143" s="27"/>
      <x:c r="D143" s="27"/>
      <x:c r="E143" s="19"/>
      <x:c r="F143" s="19"/>
      <x:c r="G143" s="19"/>
      <x:c r="H143" s="19"/>
    </x:row>
    <x:row r="144">
      <x:c r="A144" s="19"/>
      <x:c r="B144" s="19"/>
      <x:c r="C144" s="27"/>
      <x:c r="D144" s="27"/>
      <x:c r="E144" s="19"/>
      <x:c r="F144" s="19"/>
      <x:c r="G144" s="19"/>
      <x:c r="H144" s="19"/>
    </x:row>
    <x:row r="145">
      <x:c r="A145" s="19"/>
      <x:c r="B145" s="19"/>
      <x:c r="C145" s="27"/>
      <x:c r="D145" s="27"/>
      <x:c r="E145" s="19"/>
      <x:c r="F145" s="19"/>
      <x:c r="G145" s="19"/>
      <x:c r="H145" s="19"/>
    </x:row>
    <x:row r="146">
      <x:c r="A146" s="19"/>
      <x:c r="B146" s="19"/>
      <x:c r="C146" s="27"/>
      <x:c r="D146" s="27"/>
      <x:c r="E146" s="19"/>
      <x:c r="F146" s="19"/>
      <x:c r="G146" s="19"/>
      <x:c r="H146" s="19"/>
    </x:row>
    <x:row r="147">
      <x:c r="A147" s="19"/>
      <x:c r="B147" s="19"/>
      <x:c r="C147" s="27"/>
      <x:c r="D147" s="27"/>
      <x:c r="E147" s="19"/>
      <x:c r="F147" s="19"/>
      <x:c r="G147" s="19"/>
      <x:c r="H147" s="19"/>
    </x:row>
    <x:row r="148">
      <x:c r="A148" s="19"/>
      <x:c r="B148" s="19"/>
      <x:c r="C148" s="27"/>
      <x:c r="D148" s="27"/>
      <x:c r="E148" s="19"/>
      <x:c r="F148" s="19"/>
      <x:c r="G148" s="19"/>
      <x:c r="H148" s="19"/>
    </x:row>
    <x:row r="149">
      <x:c r="A149" s="19"/>
      <x:c r="B149" s="19"/>
      <x:c r="C149" s="27"/>
      <x:c r="D149" s="27"/>
      <x:c r="E149" s="19"/>
      <x:c r="F149" s="19"/>
      <x:c r="G149" s="19"/>
      <x:c r="H149" s="19"/>
    </x:row>
    <x:row r="150">
      <x:c r="A150" s="19"/>
      <x:c r="B150" s="19"/>
      <x:c r="C150" s="27"/>
      <x:c r="D150" s="27"/>
      <x:c r="E150" s="19"/>
      <x:c r="F150" s="19"/>
      <x:c r="G150" s="19"/>
      <x:c r="H150" s="19"/>
    </x:row>
    <x:row r="151">
      <x:c r="A151" s="19"/>
      <x:c r="B151" s="19"/>
      <x:c r="C151" s="27"/>
      <x:c r="D151" s="27"/>
      <x:c r="E151" s="19"/>
      <x:c r="F151" s="19"/>
      <x:c r="G151" s="19"/>
      <x:c r="H151" s="19"/>
    </x:row>
    <x:row r="152">
      <x:c r="A152" s="19"/>
      <x:c r="B152" s="19"/>
      <x:c r="C152" s="27"/>
      <x:c r="D152" s="27"/>
      <x:c r="E152" s="19"/>
      <x:c r="F152" s="19"/>
      <x:c r="G152" s="19"/>
      <x:c r="H152" s="19"/>
    </x:row>
    <x:row r="153">
      <x:c r="A153" s="19"/>
      <x:c r="B153" s="19"/>
      <x:c r="C153" s="27"/>
      <x:c r="D153" s="27"/>
      <x:c r="E153" s="19"/>
      <x:c r="F153" s="19"/>
      <x:c r="G153" s="19"/>
      <x:c r="H153" s="19"/>
    </x:row>
    <x:row r="154">
      <x:c r="A154" s="19"/>
      <x:c r="B154" s="19"/>
      <x:c r="C154" s="27"/>
      <x:c r="D154" s="27"/>
      <x:c r="E154" s="19"/>
      <x:c r="F154" s="19"/>
      <x:c r="G154" s="19"/>
      <x:c r="H154" s="19"/>
    </x:row>
    <x:row r="155">
      <x:c r="A155" s="19"/>
      <x:c r="B155" s="19"/>
      <x:c r="C155" s="27"/>
      <x:c r="D155" s="27"/>
      <x:c r="E155" s="19"/>
      <x:c r="F155" s="19"/>
      <x:c r="G155" s="19"/>
      <x:c r="H155" s="19"/>
    </x:row>
    <x:row r="156">
      <x:c r="A156" s="19"/>
      <x:c r="B156" s="19"/>
      <x:c r="C156" s="27"/>
      <x:c r="D156" s="27"/>
      <x:c r="E156" s="19"/>
      <x:c r="F156" s="19"/>
      <x:c r="G156" s="19"/>
      <x:c r="H156" s="19"/>
    </x:row>
    <x:row r="157">
      <x:c r="A157" s="19"/>
      <x:c r="B157" s="19"/>
      <x:c r="C157" s="27"/>
      <x:c r="D157" s="27"/>
      <x:c r="E157" s="19"/>
      <x:c r="F157" s="19"/>
      <x:c r="G157" s="19"/>
      <x:c r="H157" s="19"/>
    </x:row>
    <x:row r="158">
      <x:c r="A158" s="19"/>
      <x:c r="B158" s="19"/>
      <x:c r="C158" s="27"/>
      <x:c r="D158" s="27"/>
      <x:c r="E158" s="19"/>
      <x:c r="F158" s="19"/>
      <x:c r="G158" s="19"/>
      <x:c r="H158" s="19"/>
    </x:row>
    <x:row r="159">
      <x:c r="A159" s="19"/>
      <x:c r="B159" s="19"/>
      <x:c r="C159" s="27"/>
      <x:c r="D159" s="27"/>
      <x:c r="E159" s="19"/>
      <x:c r="F159" s="19"/>
      <x:c r="G159" s="19"/>
      <x:c r="H159" s="19"/>
    </x:row>
    <x:row r="160">
      <x:c r="A160" s="19"/>
      <x:c r="B160" s="19"/>
      <x:c r="C160" s="27"/>
      <x:c r="D160" s="27"/>
      <x:c r="E160" s="19"/>
      <x:c r="F160" s="19"/>
      <x:c r="G160" s="19"/>
      <x:c r="H160" s="19"/>
    </x:row>
    <x:row r="161">
      <x:c r="A161" s="19"/>
      <x:c r="B161" s="19"/>
      <x:c r="C161" s="27"/>
      <x:c r="D161" s="27"/>
      <x:c r="E161" s="19"/>
      <x:c r="F161" s="19"/>
      <x:c r="G161" s="19"/>
      <x:c r="H161" s="19"/>
    </x:row>
    <x:row r="162">
      <x:c r="A162" s="19"/>
      <x:c r="B162" s="19"/>
      <x:c r="C162" s="27"/>
      <x:c r="D162" s="27"/>
      <x:c r="E162" s="19"/>
      <x:c r="F162" s="19"/>
      <x:c r="G162" s="19"/>
      <x:c r="H162" s="19"/>
    </x:row>
    <x:row r="163">
      <x:c r="A163" s="19"/>
      <x:c r="B163" s="19"/>
      <x:c r="C163" s="27"/>
      <x:c r="D163" s="27"/>
      <x:c r="E163" s="19"/>
      <x:c r="F163" s="19"/>
      <x:c r="G163" s="19"/>
      <x:c r="H163" s="19"/>
    </x:row>
    <x:row r="164">
      <x:c r="A164" s="19"/>
      <x:c r="B164" s="19"/>
      <x:c r="C164" s="27"/>
      <x:c r="D164" s="27"/>
      <x:c r="E164" s="19"/>
      <x:c r="F164" s="19"/>
      <x:c r="G164" s="19"/>
      <x:c r="H164" s="19"/>
    </x:row>
    <x:row r="165">
      <x:c r="A165" s="19"/>
      <x:c r="B165" s="19"/>
      <x:c r="C165" s="27"/>
      <x:c r="D165" s="27"/>
      <x:c r="E165" s="19"/>
      <x:c r="F165" s="19"/>
      <x:c r="G165" s="19"/>
      <x:c r="H165" s="19"/>
    </x:row>
    <x:row r="166">
      <x:c r="A166" s="19"/>
      <x:c r="B166" s="19"/>
      <x:c r="C166" s="27"/>
      <x:c r="D166" s="27"/>
      <x:c r="E166" s="19"/>
      <x:c r="F166" s="19"/>
      <x:c r="G166" s="19"/>
      <x:c r="H166" s="19"/>
    </x:row>
    <x:row r="167">
      <x:c r="A167" s="19"/>
      <x:c r="B167" s="19"/>
      <x:c r="C167" s="27"/>
      <x:c r="D167" s="27"/>
      <x:c r="E167" s="19"/>
      <x:c r="F167" s="19"/>
      <x:c r="G167" s="19"/>
      <x:c r="H167" s="19"/>
    </x:row>
    <x:row r="168">
      <x:c r="A168" s="19"/>
      <x:c r="B168" s="19"/>
      <x:c r="C168" s="27"/>
      <x:c r="D168" s="27"/>
      <x:c r="E168" s="19"/>
      <x:c r="F168" s="19"/>
      <x:c r="G168" s="19"/>
      <x:c r="H168" s="19"/>
    </x:row>
    <x:row r="169">
      <x:c r="A169" s="19"/>
      <x:c r="B169" s="19"/>
      <x:c r="C169" s="27"/>
      <x:c r="D169" s="27"/>
      <x:c r="E169" s="19"/>
      <x:c r="F169" s="19"/>
      <x:c r="G169" s="19"/>
      <x:c r="H169" s="19"/>
    </x:row>
    <x:row r="170">
      <x:c r="A170" s="19"/>
      <x:c r="B170" s="19"/>
      <x:c r="C170" s="27"/>
      <x:c r="D170" s="27"/>
      <x:c r="E170" s="19"/>
      <x:c r="F170" s="19"/>
      <x:c r="G170" s="19"/>
      <x:c r="H170" s="19"/>
    </x:row>
    <x:row r="171">
      <x:c r="A171" s="19"/>
      <x:c r="B171" s="19"/>
      <x:c r="C171" s="27"/>
      <x:c r="D171" s="27"/>
      <x:c r="E171" s="19"/>
      <x:c r="F171" s="19"/>
      <x:c r="G171" s="19"/>
      <x:c r="H171" s="19"/>
    </x:row>
    <x:row r="172">
      <x:c r="A172" s="19"/>
      <x:c r="B172" s="19"/>
      <x:c r="C172" s="27"/>
      <x:c r="D172" s="27"/>
      <x:c r="E172" s="19"/>
      <x:c r="F172" s="19"/>
      <x:c r="G172" s="19"/>
      <x:c r="H172" s="19"/>
    </x:row>
    <x:row r="173">
      <x:c r="A173" s="19"/>
      <x:c r="B173" s="19"/>
      <x:c r="C173" s="27"/>
      <x:c r="D173" s="27"/>
      <x:c r="E173" s="19"/>
      <x:c r="F173" s="19"/>
      <x:c r="G173" s="19"/>
      <x:c r="H173" s="19"/>
    </x:row>
    <x:row r="174">
      <x:c r="A174" s="19"/>
      <x:c r="B174" s="19"/>
      <x:c r="C174" s="27"/>
      <x:c r="D174" s="27"/>
      <x:c r="E174" s="19"/>
      <x:c r="F174" s="19"/>
      <x:c r="G174" s="19"/>
      <x:c r="H174" s="19"/>
    </x:row>
    <x:row r="175">
      <x:c r="A175" s="19"/>
      <x:c r="B175" s="19"/>
      <x:c r="C175" s="27"/>
      <x:c r="D175" s="27"/>
      <x:c r="E175" s="19"/>
      <x:c r="F175" s="19"/>
      <x:c r="G175" s="19"/>
      <x:c r="H175" s="19"/>
    </x:row>
    <x:row r="176">
      <x:c r="A176" s="19"/>
      <x:c r="B176" s="19"/>
      <x:c r="C176" s="27"/>
      <x:c r="D176" s="27"/>
      <x:c r="E176" s="19"/>
      <x:c r="F176" s="19"/>
      <x:c r="G176" s="19"/>
      <x:c r="H176" s="19"/>
    </x:row>
    <x:row r="177">
      <x:c r="A177" s="19"/>
      <x:c r="B177" s="19"/>
      <x:c r="C177" s="27"/>
      <x:c r="D177" s="27"/>
      <x:c r="E177" s="19"/>
      <x:c r="F177" s="19"/>
      <x:c r="G177" s="19"/>
      <x:c r="H177" s="19"/>
    </x:row>
    <x:row r="178">
      <x:c r="A178" s="19"/>
      <x:c r="B178" s="19"/>
      <x:c r="C178" s="27"/>
      <x:c r="D178" s="27"/>
      <x:c r="E178" s="19"/>
      <x:c r="F178" s="19"/>
      <x:c r="G178" s="19"/>
      <x:c r="H178" s="19"/>
    </x:row>
    <x:row r="179">
      <x:c r="A179" s="19"/>
      <x:c r="B179" s="19"/>
      <x:c r="C179" s="27"/>
      <x:c r="D179" s="27"/>
      <x:c r="E179" s="19"/>
      <x:c r="F179" s="19"/>
      <x:c r="G179" s="19"/>
      <x:c r="H179" s="19"/>
    </x:row>
    <x:row r="180">
      <x:c r="A180" s="19"/>
      <x:c r="B180" s="19"/>
      <x:c r="C180" s="27"/>
      <x:c r="D180" s="27"/>
      <x:c r="E180" s="19"/>
      <x:c r="F180" s="19"/>
      <x:c r="G180" s="19"/>
      <x:c r="H180" s="19"/>
    </x:row>
    <x:row r="181">
      <x:c r="A181" s="19"/>
      <x:c r="B181" s="19"/>
      <x:c r="C181" s="27"/>
      <x:c r="D181" s="27"/>
      <x:c r="E181" s="19"/>
      <x:c r="F181" s="19"/>
      <x:c r="G181" s="19"/>
      <x:c r="H181" s="19"/>
    </x:row>
    <x:row r="182">
      <x:c r="A182" s="19"/>
      <x:c r="B182" s="19"/>
      <x:c r="C182" s="27"/>
      <x:c r="D182" s="27"/>
      <x:c r="E182" s="19"/>
      <x:c r="F182" s="19"/>
      <x:c r="G182" s="19"/>
      <x:c r="H182" s="19"/>
    </x:row>
    <x:row r="183">
      <x:c r="A183" s="19"/>
      <x:c r="B183" s="19"/>
      <x:c r="C183" s="27"/>
      <x:c r="D183" s="27"/>
      <x:c r="E183" s="19"/>
      <x:c r="F183" s="19"/>
      <x:c r="G183" s="19"/>
      <x:c r="H183" s="19"/>
    </x:row>
    <x:row r="184">
      <x:c r="A184" s="19"/>
      <x:c r="B184" s="19"/>
      <x:c r="C184" s="27"/>
      <x:c r="D184" s="27"/>
      <x:c r="E184" s="19"/>
      <x:c r="F184" s="19"/>
      <x:c r="G184" s="19"/>
      <x:c r="H184" s="19"/>
    </x:row>
    <x:row r="185">
      <x:c r="A185" s="19"/>
      <x:c r="B185" s="19"/>
      <x:c r="C185" s="27"/>
      <x:c r="D185" s="27"/>
      <x:c r="E185" s="19"/>
      <x:c r="F185" s="19"/>
      <x:c r="G185" s="19"/>
      <x:c r="H185" s="19"/>
    </x:row>
    <x:row r="186">
      <x:c r="A186" s="19"/>
      <x:c r="B186" s="19"/>
      <x:c r="C186" s="27"/>
      <x:c r="D186" s="27"/>
      <x:c r="E186" s="19"/>
      <x:c r="F186" s="19"/>
      <x:c r="G186" s="19"/>
      <x:c r="H186" s="19"/>
    </x:row>
    <x:row r="187">
      <x:c r="A187" s="19"/>
      <x:c r="B187" s="19"/>
      <x:c r="C187" s="27"/>
      <x:c r="D187" s="27"/>
      <x:c r="E187" s="19"/>
      <x:c r="F187" s="19"/>
      <x:c r="G187" s="19"/>
      <x:c r="H187" s="19"/>
    </x:row>
    <x:row r="188">
      <x:c r="A188" s="19"/>
      <x:c r="B188" s="19"/>
      <x:c r="C188" s="27"/>
      <x:c r="D188" s="27"/>
      <x:c r="E188" s="19"/>
      <x:c r="F188" s="19"/>
      <x:c r="G188" s="19"/>
      <x:c r="H188" s="19"/>
    </x:row>
    <x:row r="189">
      <x:c r="A189" s="19"/>
      <x:c r="B189" s="19"/>
      <x:c r="C189" s="27"/>
      <x:c r="D189" s="27"/>
      <x:c r="E189" s="19"/>
      <x:c r="F189" s="19"/>
      <x:c r="G189" s="19"/>
      <x:c r="H189" s="19"/>
    </x:row>
    <x:row r="190">
      <x:c r="A190" s="19"/>
      <x:c r="B190" s="19"/>
      <x:c r="C190" s="27"/>
      <x:c r="D190" s="27"/>
      <x:c r="E190" s="19"/>
      <x:c r="F190" s="19"/>
      <x:c r="G190" s="19"/>
      <x:c r="H190" s="19"/>
    </x:row>
    <x:row r="191">
      <x:c r="A191" s="19"/>
      <x:c r="B191" s="19"/>
      <x:c r="C191" s="27"/>
      <x:c r="D191" s="27"/>
      <x:c r="E191" s="19"/>
      <x:c r="F191" s="19"/>
      <x:c r="G191" s="19"/>
      <x:c r="H191" s="19"/>
    </x:row>
    <x:row r="192">
      <x:c r="A192" s="19"/>
      <x:c r="B192" s="19"/>
      <x:c r="C192" s="27"/>
      <x:c r="D192" s="27"/>
      <x:c r="E192" s="19"/>
      <x:c r="F192" s="19"/>
      <x:c r="G192" s="19"/>
      <x:c r="H192" s="19"/>
    </x:row>
    <x:row r="193">
      <x:c r="A193" s="19"/>
      <x:c r="B193" s="19"/>
      <x:c r="C193" s="27"/>
      <x:c r="D193" s="27"/>
      <x:c r="E193" s="19"/>
      <x:c r="F193" s="19"/>
      <x:c r="G193" s="19"/>
      <x:c r="H193" s="19"/>
    </x:row>
    <x:row r="194">
      <x:c r="A194" s="19"/>
      <x:c r="B194" s="19"/>
      <x:c r="C194" s="27"/>
      <x:c r="D194" s="27"/>
      <x:c r="E194" s="19"/>
      <x:c r="F194" s="19"/>
      <x:c r="G194" s="19"/>
      <x:c r="H194" s="19"/>
    </x:row>
    <x:row r="195">
      <x:c r="A195" s="19"/>
      <x:c r="B195" s="19"/>
      <x:c r="C195" s="27"/>
      <x:c r="D195" s="27"/>
      <x:c r="E195" s="19"/>
      <x:c r="F195" s="19"/>
      <x:c r="G195" s="19"/>
      <x:c r="H195" s="19"/>
    </x:row>
    <x:row r="196">
      <x:c r="A196" s="19"/>
      <x:c r="B196" s="19"/>
      <x:c r="C196" s="27"/>
      <x:c r="D196" s="27"/>
      <x:c r="E196" s="19"/>
      <x:c r="F196" s="19"/>
      <x:c r="G196" s="19"/>
      <x:c r="H196" s="19"/>
    </x:row>
    <x:row r="197">
      <x:c r="A197" s="19"/>
      <x:c r="B197" s="19"/>
      <x:c r="C197" s="27"/>
      <x:c r="D197" s="27"/>
      <x:c r="E197" s="19"/>
      <x:c r="F197" s="19"/>
      <x:c r="G197" s="19"/>
      <x:c r="H197" s="19"/>
    </x:row>
    <x:row r="198">
      <x:c r="A198" s="19"/>
      <x:c r="B198" s="19"/>
      <x:c r="C198" s="27"/>
      <x:c r="D198" s="27"/>
      <x:c r="E198" s="19"/>
      <x:c r="F198" s="19"/>
      <x:c r="G198" s="19"/>
      <x:c r="H198" s="19"/>
    </x:row>
    <x:row r="199">
      <x:c r="A199" s="19"/>
      <x:c r="B199" s="19"/>
      <x:c r="C199" s="27"/>
      <x:c r="D199" s="27"/>
      <x:c r="E199" s="19"/>
      <x:c r="F199" s="19"/>
      <x:c r="G199" s="19"/>
      <x:c r="H199" s="19"/>
    </x:row>
    <x:row r="200">
      <x:c r="A200" s="19"/>
      <x:c r="B200" s="19"/>
      <x:c r="C200" s="27"/>
      <x:c r="D200" s="27"/>
      <x:c r="E200" s="19"/>
      <x:c r="F200" s="19"/>
      <x:c r="G200" s="19"/>
      <x:c r="H200" s="19"/>
    </x:row>
    <x:row r="201">
      <x:c r="A201" s="19"/>
      <x:c r="B201" s="19"/>
      <x:c r="C201" s="27"/>
      <x:c r="D201" s="27"/>
      <x:c r="E201" s="19"/>
      <x:c r="F201" s="19"/>
      <x:c r="G201" s="19"/>
      <x:c r="H201" s="19"/>
    </x:row>
    <x:row r="202">
      <x:c r="A202" s="19"/>
      <x:c r="B202" s="19"/>
      <x:c r="C202" s="27"/>
      <x:c r="D202" s="27"/>
      <x:c r="E202" s="19"/>
      <x:c r="F202" s="19"/>
      <x:c r="G202" s="19"/>
      <x:c r="H202" s="19"/>
    </x:row>
    <x:row r="203">
      <x:c r="A203" s="19"/>
      <x:c r="B203" s="19"/>
      <x:c r="C203" s="27"/>
      <x:c r="D203" s="27"/>
      <x:c r="E203" s="19"/>
      <x:c r="F203" s="19"/>
      <x:c r="G203" s="19"/>
      <x:c r="H203" s="19"/>
    </x:row>
    <x:row r="204">
      <x:c r="A204" s="19"/>
      <x:c r="B204" s="19"/>
      <x:c r="C204" s="27"/>
      <x:c r="D204" s="27"/>
      <x:c r="E204" s="19"/>
      <x:c r="F204" s="19"/>
      <x:c r="G204" s="19"/>
      <x:c r="H204" s="19"/>
    </x:row>
    <x:row r="205">
      <x:c r="A205" s="19"/>
      <x:c r="B205" s="19"/>
      <x:c r="C205" s="27"/>
      <x:c r="D205" s="27"/>
      <x:c r="E205" s="19"/>
      <x:c r="F205" s="19"/>
      <x:c r="G205" s="19"/>
      <x:c r="H205" s="19"/>
    </x:row>
    <x:row r="206">
      <x:c r="A206" s="19"/>
      <x:c r="B206" s="19"/>
      <x:c r="C206" s="27"/>
      <x:c r="D206" s="27"/>
      <x:c r="E206" s="19"/>
      <x:c r="F206" s="19"/>
      <x:c r="G206" s="19"/>
      <x:c r="H206" s="19"/>
    </x:row>
    <x:row r="207">
      <x:c r="A207" s="19"/>
      <x:c r="B207" s="19"/>
      <x:c r="C207" s="27"/>
      <x:c r="D207" s="27"/>
      <x:c r="E207" s="19"/>
      <x:c r="F207" s="19"/>
      <x:c r="G207" s="19"/>
      <x:c r="H207" s="19"/>
    </x:row>
    <x:row r="208">
      <x:c r="A208" s="19"/>
      <x:c r="B208" s="19"/>
      <x:c r="C208" s="27"/>
      <x:c r="D208" s="27"/>
      <x:c r="E208" s="19"/>
      <x:c r="F208" s="19"/>
      <x:c r="G208" s="19"/>
      <x:c r="H208" s="19"/>
    </x:row>
    <x:row r="209">
      <x:c r="A209" s="19"/>
      <x:c r="B209" s="19"/>
      <x:c r="C209" s="27"/>
      <x:c r="D209" s="27"/>
      <x:c r="E209" s="19"/>
      <x:c r="F209" s="19"/>
      <x:c r="G209" s="19"/>
      <x:c r="H209" s="19"/>
    </x:row>
    <x:row r="210">
      <x:c r="A210" s="19"/>
      <x:c r="B210" s="19"/>
      <x:c r="C210" s="27"/>
      <x:c r="D210" s="27"/>
      <x:c r="E210" s="19"/>
      <x:c r="F210" s="19"/>
      <x:c r="G210" s="19"/>
      <x:c r="H210" s="19"/>
    </x:row>
    <x:row r="211">
      <x:c r="A211" s="19"/>
      <x:c r="B211" s="19"/>
      <x:c r="C211" s="27"/>
      <x:c r="D211" s="27"/>
      <x:c r="E211" s="19"/>
      <x:c r="F211" s="19"/>
      <x:c r="G211" s="19"/>
      <x:c r="H211" s="19"/>
    </x:row>
    <x:row r="212">
      <x:c r="A212" s="19"/>
      <x:c r="B212" s="19"/>
      <x:c r="C212" s="27"/>
      <x:c r="D212" s="27"/>
      <x:c r="E212" s="19"/>
      <x:c r="F212" s="19"/>
      <x:c r="G212" s="19"/>
      <x:c r="H212" s="19"/>
    </x:row>
    <x:row r="213">
      <x:c r="A213" s="19"/>
      <x:c r="B213" s="19"/>
      <x:c r="C213" s="27"/>
      <x:c r="D213" s="27"/>
      <x:c r="E213" s="19"/>
      <x:c r="F213" s="19"/>
      <x:c r="G213" s="19"/>
      <x:c r="H213" s="19"/>
    </x:row>
    <x:row r="214">
      <x:c r="A214" s="19"/>
      <x:c r="B214" s="19"/>
      <x:c r="C214" s="27"/>
      <x:c r="D214" s="27"/>
      <x:c r="E214" s="19"/>
      <x:c r="F214" s="19"/>
      <x:c r="G214" s="19"/>
      <x:c r="H214" s="19"/>
    </x:row>
    <x:row r="215">
      <x:c r="A215" s="19"/>
      <x:c r="B215" s="19"/>
      <x:c r="C215" s="27"/>
      <x:c r="D215" s="27"/>
      <x:c r="E215" s="19"/>
      <x:c r="F215" s="19"/>
      <x:c r="G215" s="19"/>
      <x:c r="H215" s="19"/>
    </x:row>
    <x:row r="216">
      <x:c r="A216" s="19"/>
      <x:c r="B216" s="19"/>
      <x:c r="C216" s="27"/>
      <x:c r="D216" s="27"/>
      <x:c r="E216" s="19"/>
      <x:c r="F216" s="19"/>
      <x:c r="G216" s="19"/>
      <x:c r="H216" s="19"/>
    </x:row>
    <x:row r="217">
      <x:c r="A217" s="19"/>
      <x:c r="B217" s="19"/>
      <x:c r="C217" s="27"/>
      <x:c r="D217" s="27"/>
      <x:c r="E217" s="19"/>
      <x:c r="F217" s="19"/>
      <x:c r="G217" s="19"/>
      <x:c r="H217" s="19"/>
    </x:row>
    <x:row r="218">
      <x:c r="A218" s="19"/>
      <x:c r="B218" s="19"/>
      <x:c r="C218" s="27"/>
      <x:c r="D218" s="27"/>
      <x:c r="E218" s="19"/>
      <x:c r="F218" s="19"/>
      <x:c r="G218" s="19"/>
      <x:c r="H218" s="19"/>
    </x:row>
    <x:row r="219">
      <x:c r="A219" s="19"/>
      <x:c r="B219" s="19"/>
      <x:c r="C219" s="27"/>
      <x:c r="D219" s="27"/>
      <x:c r="E219" s="19"/>
      <x:c r="F219" s="19"/>
      <x:c r="G219" s="19"/>
      <x:c r="H219" s="19"/>
    </x:row>
    <x:row r="220">
      <x:c r="A220" s="19"/>
      <x:c r="B220" s="19"/>
      <x:c r="C220" s="27"/>
      <x:c r="D220" s="27"/>
      <x:c r="E220" s="19"/>
      <x:c r="F220" s="19"/>
      <x:c r="G220" s="19"/>
      <x:c r="H220" s="19"/>
    </x:row>
    <x:row r="221">
      <x:c r="A221" s="19"/>
      <x:c r="B221" s="19"/>
      <x:c r="C221" s="27"/>
      <x:c r="D221" s="27"/>
      <x:c r="E221" s="19"/>
      <x:c r="F221" s="19"/>
      <x:c r="G221" s="19"/>
      <x:c r="H221" s="19"/>
    </x:row>
    <x:row r="222">
      <x:c r="A222" s="19"/>
      <x:c r="B222" s="19"/>
      <x:c r="C222" s="27"/>
      <x:c r="D222" s="27"/>
      <x:c r="E222" s="19"/>
      <x:c r="F222" s="19"/>
      <x:c r="G222" s="19"/>
      <x:c r="H222" s="19"/>
    </x:row>
    <x:row r="223">
      <x:c r="A223" s="19"/>
      <x:c r="B223" s="19"/>
      <x:c r="C223" s="27"/>
      <x:c r="D223" s="27"/>
      <x:c r="E223" s="19"/>
      <x:c r="F223" s="19"/>
      <x:c r="G223" s="19"/>
      <x:c r="H223" s="19"/>
    </x:row>
    <x:row r="224">
      <x:c r="A224" s="19"/>
      <x:c r="B224" s="19"/>
      <x:c r="C224" s="27"/>
      <x:c r="D224" s="27"/>
      <x:c r="E224" s="19"/>
      <x:c r="F224" s="19"/>
      <x:c r="G224" s="19"/>
      <x:c r="H224" s="19"/>
    </x:row>
    <x:row r="225">
      <x:c r="A225" s="19"/>
      <x:c r="B225" s="19"/>
      <x:c r="C225" s="27"/>
      <x:c r="D225" s="27"/>
      <x:c r="E225" s="19"/>
      <x:c r="F225" s="19"/>
      <x:c r="G225" s="19"/>
      <x:c r="H225" s="19"/>
    </x:row>
    <x:row r="226">
      <x:c r="A226" s="19"/>
      <x:c r="B226" s="19"/>
      <x:c r="C226" s="27"/>
      <x:c r="D226" s="27"/>
      <x:c r="E226" s="19"/>
      <x:c r="F226" s="19"/>
      <x:c r="G226" s="19"/>
      <x:c r="H226" s="19"/>
    </x:row>
    <x:row r="227">
      <x:c r="A227" s="19"/>
      <x:c r="B227" s="19"/>
      <x:c r="C227" s="27"/>
      <x:c r="D227" s="27"/>
      <x:c r="E227" s="19"/>
      <x:c r="F227" s="19"/>
      <x:c r="G227" s="19"/>
      <x:c r="H227" s="19"/>
    </x:row>
    <x:row r="228">
      <x:c r="A228" s="19"/>
      <x:c r="B228" s="19"/>
      <x:c r="C228" s="27"/>
      <x:c r="D228" s="27"/>
      <x:c r="E228" s="19"/>
      <x:c r="F228" s="19"/>
      <x:c r="G228" s="19"/>
      <x:c r="H228" s="19"/>
    </x:row>
    <x:row r="229">
      <x:c r="A229" s="19"/>
      <x:c r="B229" s="19"/>
      <x:c r="C229" s="27"/>
      <x:c r="D229" s="27"/>
      <x:c r="E229" s="19"/>
      <x:c r="F229" s="19"/>
      <x:c r="G229" s="19"/>
      <x:c r="H229" s="19"/>
    </x:row>
    <x:row r="230">
      <x:c r="A230" s="19"/>
      <x:c r="B230" s="19"/>
      <x:c r="C230" s="27"/>
      <x:c r="D230" s="27"/>
      <x:c r="E230" s="19"/>
      <x:c r="F230" s="19"/>
      <x:c r="G230" s="19"/>
      <x:c r="H230" s="19"/>
    </x:row>
    <x:row r="231">
      <x:c r="A231" s="19"/>
      <x:c r="B231" s="19"/>
      <x:c r="C231" s="27"/>
      <x:c r="D231" s="27"/>
      <x:c r="E231" s="19"/>
      <x:c r="F231" s="19"/>
      <x:c r="G231" s="19"/>
      <x:c r="H231" s="19"/>
    </x:row>
    <x:row r="232">
      <x:c r="A232" s="19"/>
      <x:c r="B232" s="19"/>
      <x:c r="C232" s="27"/>
      <x:c r="D232" s="27"/>
      <x:c r="E232" s="19"/>
      <x:c r="F232" s="19"/>
      <x:c r="G232" s="19"/>
      <x:c r="H232" s="19"/>
    </x:row>
    <x:row r="233">
      <x:c r="A233" s="19"/>
      <x:c r="B233" s="19"/>
      <x:c r="C233" s="27"/>
      <x:c r="D233" s="27"/>
      <x:c r="E233" s="19"/>
      <x:c r="F233" s="19"/>
      <x:c r="G233" s="19"/>
      <x:c r="H233" s="19"/>
    </x:row>
    <x:row r="234">
      <x:c r="A234" s="19"/>
      <x:c r="B234" s="19"/>
      <x:c r="C234" s="27"/>
      <x:c r="D234" s="27"/>
      <x:c r="E234" s="19"/>
      <x:c r="F234" s="19"/>
      <x:c r="G234" s="19"/>
      <x:c r="H234" s="19"/>
    </x:row>
    <x:row r="235">
      <x:c r="A235" s="19"/>
      <x:c r="B235" s="19"/>
      <x:c r="C235" s="27"/>
      <x:c r="D235" s="27"/>
      <x:c r="E235" s="19"/>
      <x:c r="F235" s="19"/>
      <x:c r="G235" s="19"/>
      <x:c r="H235" s="19"/>
    </x:row>
    <x:row r="236">
      <x:c r="A236" s="19"/>
      <x:c r="B236" s="19"/>
      <x:c r="C236" s="27"/>
      <x:c r="D236" s="27"/>
      <x:c r="E236" s="19"/>
      <x:c r="F236" s="19"/>
      <x:c r="G236" s="19"/>
      <x:c r="H236" s="19"/>
    </x:row>
    <x:row r="237">
      <x:c r="A237" s="19"/>
      <x:c r="B237" s="19"/>
      <x:c r="C237" s="27"/>
      <x:c r="D237" s="27"/>
      <x:c r="E237" s="19"/>
      <x:c r="F237" s="19"/>
      <x:c r="G237" s="19"/>
      <x:c r="H237" s="19"/>
    </x:row>
    <x:row r="238">
      <x:c r="A238" s="19"/>
      <x:c r="B238" s="19"/>
      <x:c r="C238" s="27"/>
      <x:c r="D238" s="27"/>
      <x:c r="E238" s="19"/>
      <x:c r="F238" s="19"/>
      <x:c r="G238" s="19"/>
      <x:c r="H238" s="19"/>
    </x:row>
    <x:row r="239">
      <x:c r="A239" s="19"/>
      <x:c r="B239" s="19"/>
      <x:c r="C239" s="27"/>
      <x:c r="D239" s="27"/>
      <x:c r="E239" s="19"/>
      <x:c r="F239" s="19"/>
      <x:c r="G239" s="19"/>
      <x:c r="H239" s="19"/>
    </x:row>
    <x:row r="240">
      <x:c r="A240" s="19"/>
      <x:c r="B240" s="19"/>
      <x:c r="C240" s="27"/>
      <x:c r="D240" s="27"/>
      <x:c r="E240" s="19"/>
      <x:c r="F240" s="19"/>
      <x:c r="G240" s="19"/>
      <x:c r="H240" s="19"/>
    </x:row>
    <x:row r="241">
      <x:c r="A241" s="19"/>
      <x:c r="B241" s="19"/>
      <x:c r="C241" s="27"/>
      <x:c r="D241" s="27"/>
      <x:c r="E241" s="19"/>
      <x:c r="F241" s="19"/>
      <x:c r="G241" s="19"/>
      <x:c r="H241" s="19"/>
    </x:row>
    <x:row r="242">
      <x:c r="A242" s="19"/>
      <x:c r="B242" s="19"/>
      <x:c r="C242" s="27"/>
      <x:c r="D242" s="27"/>
      <x:c r="E242" s="19"/>
      <x:c r="F242" s="19"/>
      <x:c r="G242" s="19"/>
      <x:c r="H242" s="19"/>
    </x:row>
    <x:row r="243">
      <x:c r="A243" s="19"/>
      <x:c r="B243" s="19"/>
      <x:c r="C243" s="27"/>
      <x:c r="D243" s="27"/>
      <x:c r="E243" s="19"/>
      <x:c r="F243" s="19"/>
      <x:c r="G243" s="19"/>
      <x:c r="H243" s="19"/>
    </x:row>
    <x:row r="244">
      <x:c r="A244" s="19"/>
      <x:c r="B244" s="19"/>
      <x:c r="C244" s="27"/>
      <x:c r="D244" s="27"/>
      <x:c r="E244" s="19"/>
      <x:c r="F244" s="19"/>
      <x:c r="G244" s="19"/>
      <x:c r="H244" s="19"/>
    </x:row>
    <x:row r="245">
      <x:c r="A245" s="19"/>
      <x:c r="B245" s="19"/>
      <x:c r="C245" s="27"/>
      <x:c r="D245" s="27"/>
      <x:c r="E245" s="19"/>
      <x:c r="F245" s="19"/>
      <x:c r="G245" s="19"/>
      <x:c r="H245" s="19"/>
    </x:row>
    <x:row r="246">
      <x:c r="A246" s="19"/>
      <x:c r="B246" s="19"/>
      <x:c r="C246" s="27"/>
      <x:c r="D246" s="27"/>
      <x:c r="E246" s="19"/>
      <x:c r="F246" s="19"/>
      <x:c r="G246" s="19"/>
      <x:c r="H246" s="19"/>
    </x:row>
    <x:row r="247">
      <x:c r="A247" s="19"/>
      <x:c r="B247" s="19"/>
      <x:c r="C247" s="27"/>
      <x:c r="D247" s="27"/>
      <x:c r="E247" s="19"/>
      <x:c r="F247" s="19"/>
      <x:c r="G247" s="19"/>
      <x:c r="H247" s="19"/>
    </x:row>
    <x:row r="248">
      <x:c r="A248" s="19"/>
      <x:c r="B248" s="19"/>
      <x:c r="C248" s="27"/>
      <x:c r="D248" s="27"/>
      <x:c r="E248" s="19"/>
      <x:c r="F248" s="19"/>
      <x:c r="G248" s="19"/>
      <x:c r="H248" s="19"/>
    </x:row>
    <x:row r="249">
      <x:c r="A249" s="19"/>
      <x:c r="B249" s="19"/>
      <x:c r="C249" s="27"/>
      <x:c r="D249" s="27"/>
      <x:c r="E249" s="19"/>
      <x:c r="F249" s="19"/>
      <x:c r="G249" s="19"/>
      <x:c r="H249" s="19"/>
    </x:row>
    <x:row r="250">
      <x:c r="A250" s="19"/>
      <x:c r="B250" s="19"/>
      <x:c r="C250" s="27"/>
      <x:c r="D250" s="27"/>
      <x:c r="E250" s="19"/>
      <x:c r="F250" s="19"/>
      <x:c r="G250" s="19"/>
      <x:c r="H250" s="19"/>
    </x:row>
    <x:row r="251">
      <x:c r="A251" s="19"/>
      <x:c r="B251" s="19"/>
      <x:c r="C251" s="27"/>
      <x:c r="D251" s="27"/>
      <x:c r="E251" s="19"/>
      <x:c r="F251" s="19"/>
      <x:c r="G251" s="19"/>
      <x:c r="H251" s="19"/>
    </x:row>
    <x:row r="252">
      <x:c r="A252" s="19"/>
      <x:c r="B252" s="19"/>
      <x:c r="C252" s="27"/>
      <x:c r="D252" s="27"/>
      <x:c r="E252" s="19"/>
      <x:c r="F252" s="19"/>
      <x:c r="G252" s="19"/>
      <x:c r="H252" s="19"/>
    </x:row>
    <x:row r="253">
      <x:c r="A253" s="19"/>
      <x:c r="B253" s="19"/>
      <x:c r="C253" s="27"/>
      <x:c r="D253" s="27"/>
      <x:c r="E253" s="19"/>
      <x:c r="F253" s="19"/>
      <x:c r="G253" s="19"/>
      <x:c r="H253" s="19"/>
    </x:row>
    <x:row r="254">
      <x:c r="A254" s="19"/>
      <x:c r="B254" s="19"/>
      <x:c r="C254" s="27"/>
      <x:c r="D254" s="27"/>
      <x:c r="E254" s="19"/>
      <x:c r="F254" s="19"/>
      <x:c r="G254" s="19"/>
      <x:c r="H254" s="19"/>
    </x:row>
    <x:row r="255">
      <x:c r="A255" s="19"/>
      <x:c r="B255" s="19"/>
      <x:c r="C255" s="27"/>
      <x:c r="D255" s="27"/>
      <x:c r="E255" s="19"/>
      <x:c r="F255" s="19"/>
      <x:c r="G255" s="19"/>
      <x:c r="H255" s="19"/>
    </x:row>
    <x:row r="256">
      <x:c r="A256" s="19"/>
      <x:c r="B256" s="19"/>
      <x:c r="C256" s="27"/>
      <x:c r="D256" s="27"/>
      <x:c r="E256" s="19"/>
      <x:c r="F256" s="19"/>
      <x:c r="G256" s="19"/>
      <x:c r="H256" s="19"/>
    </x:row>
    <x:row r="257">
      <x:c r="A257" s="19"/>
      <x:c r="B257" s="19"/>
      <x:c r="C257" s="27"/>
      <x:c r="D257" s="27"/>
      <x:c r="E257" s="19"/>
      <x:c r="F257" s="19"/>
      <x:c r="G257" s="19"/>
      <x:c r="H257" s="19"/>
    </x:row>
    <x:row r="258">
      <x:c r="A258" s="19"/>
      <x:c r="B258" s="19"/>
      <x:c r="C258" s="27"/>
      <x:c r="D258" s="27"/>
      <x:c r="E258" s="19"/>
      <x:c r="F258" s="19"/>
      <x:c r="G258" s="19"/>
      <x:c r="H258" s="19"/>
    </x:row>
    <x:row r="259">
      <x:c r="A259" s="19"/>
      <x:c r="B259" s="19"/>
      <x:c r="C259" s="27"/>
      <x:c r="D259" s="27"/>
      <x:c r="E259" s="19"/>
      <x:c r="F259" s="19"/>
      <x:c r="G259" s="19"/>
      <x:c r="H259" s="19"/>
    </x:row>
    <x:row r="260">
      <x:c r="A260" s="19"/>
      <x:c r="B260" s="19"/>
      <x:c r="C260" s="27"/>
      <x:c r="D260" s="27"/>
      <x:c r="E260" s="19"/>
      <x:c r="F260" s="19"/>
      <x:c r="G260" s="19"/>
      <x:c r="H260" s="19"/>
    </x:row>
    <x:row r="261">
      <x:c r="A261" s="19"/>
      <x:c r="B261" s="19"/>
      <x:c r="C261" s="27"/>
      <x:c r="D261" s="27"/>
      <x:c r="E261" s="19"/>
      <x:c r="F261" s="19"/>
      <x:c r="G261" s="19"/>
      <x:c r="H261" s="19"/>
    </x:row>
    <x:row r="262">
      <x:c r="A262" s="19"/>
      <x:c r="B262" s="19"/>
      <x:c r="C262" s="27"/>
      <x:c r="D262" s="27"/>
      <x:c r="E262" s="19"/>
      <x:c r="F262" s="19"/>
      <x:c r="G262" s="19"/>
      <x:c r="H262" s="19"/>
    </x:row>
    <x:row r="263">
      <x:c r="A263" s="19"/>
      <x:c r="B263" s="19"/>
      <x:c r="C263" s="27"/>
      <x:c r="D263" s="27"/>
      <x:c r="E263" s="19"/>
      <x:c r="F263" s="19"/>
      <x:c r="G263" s="19"/>
      <x:c r="H263" s="19"/>
    </x:row>
    <x:row r="264">
      <x:c r="A264" s="19"/>
      <x:c r="B264" s="19"/>
      <x:c r="C264" s="27"/>
      <x:c r="D264" s="27"/>
      <x:c r="E264" s="19"/>
      <x:c r="F264" s="19"/>
      <x:c r="G264" s="19"/>
      <x:c r="H264" s="19"/>
    </x:row>
    <x:row r="265">
      <x:c r="A265" s="19"/>
      <x:c r="B265" s="19"/>
      <x:c r="C265" s="27"/>
      <x:c r="D265" s="27"/>
      <x:c r="E265" s="19"/>
      <x:c r="F265" s="19"/>
      <x:c r="G265" s="19"/>
      <x:c r="H265" s="19"/>
    </x:row>
    <x:row r="266">
      <x:c r="A266" s="19"/>
      <x:c r="B266" s="19"/>
      <x:c r="C266" s="27"/>
      <x:c r="D266" s="27"/>
      <x:c r="E266" s="19"/>
      <x:c r="F266" s="19"/>
      <x:c r="G266" s="19"/>
      <x:c r="H266" s="19"/>
    </x:row>
    <x:row r="267">
      <x:c r="A267" s="19"/>
      <x:c r="B267" s="19"/>
      <x:c r="C267" s="27"/>
      <x:c r="D267" s="27"/>
      <x:c r="E267" s="19"/>
      <x:c r="F267" s="19"/>
      <x:c r="G267" s="19"/>
      <x:c r="H267" s="19"/>
    </x:row>
    <x:row r="268">
      <x:c r="A268" s="19"/>
      <x:c r="B268" s="19"/>
      <x:c r="C268" s="27"/>
      <x:c r="D268" s="27"/>
      <x:c r="E268" s="19"/>
      <x:c r="F268" s="19"/>
      <x:c r="G268" s="19"/>
      <x:c r="H268" s="19"/>
    </x:row>
    <x:row r="269">
      <x:c r="A269" s="19"/>
      <x:c r="B269" s="19"/>
      <x:c r="C269" s="27"/>
      <x:c r="D269" s="27"/>
      <x:c r="E269" s="19"/>
      <x:c r="F269" s="19"/>
      <x:c r="G269" s="19"/>
      <x:c r="H269" s="19"/>
    </x:row>
    <x:row r="270">
      <x:c r="A270" s="19"/>
      <x:c r="B270" s="19"/>
      <x:c r="C270" s="27"/>
      <x:c r="D270" s="27"/>
      <x:c r="E270" s="19"/>
      <x:c r="F270" s="19"/>
      <x:c r="G270" s="19"/>
      <x:c r="H270" s="19"/>
    </x:row>
    <x:row r="271">
      <x:c r="A271" s="19"/>
      <x:c r="B271" s="19"/>
      <x:c r="C271" s="27"/>
      <x:c r="D271" s="27"/>
      <x:c r="E271" s="19"/>
      <x:c r="F271" s="19"/>
      <x:c r="G271" s="19"/>
      <x:c r="H271" s="19"/>
    </x:row>
    <x:row r="272">
      <x:c r="A272" s="19"/>
      <x:c r="B272" s="19"/>
      <x:c r="C272" s="27"/>
      <x:c r="D272" s="27"/>
      <x:c r="E272" s="19"/>
      <x:c r="F272" s="19"/>
      <x:c r="G272" s="19"/>
      <x:c r="H272" s="19"/>
    </x:row>
    <x:row r="273">
      <x:c r="A273" s="19"/>
      <x:c r="B273" s="19"/>
      <x:c r="C273" s="27"/>
      <x:c r="D273" s="27"/>
      <x:c r="E273" s="19"/>
      <x:c r="F273" s="19"/>
      <x:c r="G273" s="19"/>
      <x:c r="H273" s="19"/>
    </x:row>
    <x:row r="274">
      <x:c r="A274" s="19"/>
      <x:c r="B274" s="19"/>
      <x:c r="C274" s="27"/>
      <x:c r="D274" s="27"/>
      <x:c r="E274" s="19"/>
      <x:c r="F274" s="19"/>
      <x:c r="G274" s="19"/>
      <x:c r="H274" s="19"/>
    </x:row>
    <x:row r="275">
      <x:c r="A275" s="19"/>
      <x:c r="B275" s="19"/>
      <x:c r="C275" s="27"/>
      <x:c r="D275" s="27"/>
      <x:c r="E275" s="19"/>
      <x:c r="F275" s="19"/>
      <x:c r="G275" s="19"/>
      <x:c r="H275" s="19"/>
    </x:row>
    <x:row r="276">
      <x:c r="A276" s="19"/>
      <x:c r="B276" s="19"/>
      <x:c r="C276" s="27"/>
      <x:c r="D276" s="27"/>
      <x:c r="E276" s="19"/>
      <x:c r="F276" s="19"/>
      <x:c r="G276" s="19"/>
      <x:c r="H276" s="19"/>
    </x:row>
    <x:row r="277">
      <x:c r="A277" s="19"/>
      <x:c r="B277" s="19"/>
      <x:c r="C277" s="27"/>
      <x:c r="D277" s="27"/>
      <x:c r="E277" s="19"/>
      <x:c r="F277" s="19"/>
      <x:c r="G277" s="19"/>
      <x:c r="H277" s="19"/>
    </x:row>
    <x:row r="278">
      <x:c r="A278" s="19"/>
      <x:c r="B278" s="19"/>
      <x:c r="C278" s="27"/>
      <x:c r="D278" s="27"/>
      <x:c r="E278" s="19"/>
      <x:c r="F278" s="19"/>
      <x:c r="G278" s="19"/>
      <x:c r="H278" s="19"/>
    </x:row>
    <x:row r="279">
      <x:c r="A279" s="19"/>
      <x:c r="B279" s="19"/>
      <x:c r="C279" s="27"/>
      <x:c r="D279" s="27"/>
      <x:c r="E279" s="19"/>
      <x:c r="F279" s="19"/>
      <x:c r="G279" s="19"/>
      <x:c r="H279" s="19"/>
    </x:row>
    <x:row r="280">
      <x:c r="A280" s="19"/>
      <x:c r="B280" s="19"/>
      <x:c r="C280" s="27"/>
      <x:c r="D280" s="27"/>
      <x:c r="E280" s="19"/>
      <x:c r="F280" s="19"/>
      <x:c r="G280" s="19"/>
      <x:c r="H280" s="19"/>
    </x:row>
    <x:row r="281">
      <x:c r="A281" s="19"/>
      <x:c r="B281" s="19"/>
      <x:c r="C281" s="27"/>
      <x:c r="D281" s="27"/>
      <x:c r="E281" s="19"/>
      <x:c r="F281" s="19"/>
      <x:c r="G281" s="19"/>
      <x:c r="H281" s="19"/>
    </x:row>
    <x:row r="282">
      <x:c r="A282" s="19"/>
      <x:c r="B282" s="19"/>
      <x:c r="C282" s="27"/>
      <x:c r="D282" s="27"/>
      <x:c r="E282" s="19"/>
      <x:c r="F282" s="19"/>
      <x:c r="G282" s="19"/>
      <x:c r="H282" s="19"/>
    </x:row>
    <x:row r="283">
      <x:c r="A283" s="19"/>
      <x:c r="B283" s="19"/>
      <x:c r="C283" s="27"/>
      <x:c r="D283" s="27"/>
      <x:c r="E283" s="19"/>
      <x:c r="F283" s="19"/>
      <x:c r="G283" s="19"/>
      <x:c r="H283" s="19"/>
    </x:row>
    <x:row r="284">
      <x:c r="A284" s="19"/>
      <x:c r="B284" s="19"/>
      <x:c r="C284" s="27"/>
      <x:c r="D284" s="27"/>
      <x:c r="E284" s="19"/>
      <x:c r="F284" s="19"/>
      <x:c r="G284" s="19"/>
      <x:c r="H284" s="19"/>
    </x:row>
    <x:row r="285">
      <x:c r="A285" s="19"/>
      <x:c r="B285" s="19"/>
      <x:c r="C285" s="27"/>
      <x:c r="D285" s="27"/>
      <x:c r="E285" s="19"/>
      <x:c r="F285" s="19"/>
      <x:c r="G285" s="19"/>
      <x:c r="H285" s="19"/>
    </x:row>
    <x:row r="286">
      <x:c r="A286" s="19"/>
      <x:c r="B286" s="19"/>
      <x:c r="C286" s="27"/>
      <x:c r="D286" s="27"/>
      <x:c r="E286" s="19"/>
      <x:c r="F286" s="19"/>
      <x:c r="G286" s="19"/>
      <x:c r="H286" s="19"/>
    </x:row>
    <x:row r="287">
      <x:c r="A287" s="19"/>
      <x:c r="B287" s="19"/>
      <x:c r="C287" s="27"/>
      <x:c r="D287" s="27"/>
      <x:c r="E287" s="19"/>
      <x:c r="F287" s="19"/>
      <x:c r="G287" s="19"/>
      <x:c r="H287" s="19"/>
    </x:row>
    <x:row r="288">
      <x:c r="A288" s="19"/>
      <x:c r="B288" s="19"/>
      <x:c r="C288" s="27"/>
      <x:c r="D288" s="27"/>
      <x:c r="E288" s="19"/>
      <x:c r="F288" s="19"/>
      <x:c r="G288" s="19"/>
      <x:c r="H288" s="19"/>
    </x:row>
    <x:row r="289">
      <x:c r="A289" s="19"/>
      <x:c r="B289" s="19"/>
      <x:c r="C289" s="27"/>
      <x:c r="D289" s="27"/>
      <x:c r="E289" s="19"/>
      <x:c r="F289" s="19"/>
      <x:c r="G289" s="19"/>
      <x:c r="H289" s="19"/>
    </x:row>
    <x:row r="290">
      <x:c r="A290" s="19"/>
      <x:c r="B290" s="19"/>
      <x:c r="C290" s="27"/>
      <x:c r="D290" s="27"/>
      <x:c r="E290" s="19"/>
      <x:c r="F290" s="19"/>
      <x:c r="G290" s="19"/>
      <x:c r="H290" s="19"/>
    </x:row>
    <x:row r="291">
      <x:c r="A291" s="19"/>
      <x:c r="B291" s="19"/>
      <x:c r="C291" s="27"/>
      <x:c r="D291" s="27"/>
      <x:c r="E291" s="19"/>
      <x:c r="F291" s="19"/>
      <x:c r="G291" s="19"/>
      <x:c r="H291" s="19"/>
    </x:row>
    <x:row r="292">
      <x:c r="A292" s="19"/>
      <x:c r="B292" s="19"/>
      <x:c r="C292" s="27"/>
      <x:c r="D292" s="27"/>
      <x:c r="E292" s="19"/>
      <x:c r="F292" s="19"/>
      <x:c r="G292" s="19"/>
      <x:c r="H292" s="19"/>
    </x:row>
    <x:row r="293">
      <x:c r="A293" s="19"/>
      <x:c r="B293" s="19"/>
      <x:c r="C293" s="27"/>
      <x:c r="D293" s="27"/>
      <x:c r="E293" s="19"/>
      <x:c r="F293" s="19"/>
      <x:c r="G293" s="19"/>
      <x:c r="H293" s="19"/>
    </x:row>
    <x:row r="294">
      <x:c r="A294" s="19"/>
      <x:c r="B294" s="19"/>
      <x:c r="C294" s="27"/>
      <x:c r="D294" s="27"/>
      <x:c r="E294" s="19"/>
      <x:c r="F294" s="19"/>
      <x:c r="G294" s="19"/>
      <x:c r="H294" s="19"/>
    </x:row>
    <x:row r="295">
      <x:c r="A295" s="19"/>
      <x:c r="B295" s="19"/>
      <x:c r="C295" s="27"/>
      <x:c r="D295" s="27"/>
      <x:c r="E295" s="19"/>
      <x:c r="F295" s="19"/>
      <x:c r="G295" s="19"/>
      <x:c r="H295" s="19"/>
    </x:row>
    <x:row r="296">
      <x:c r="A296" s="19"/>
      <x:c r="B296" s="19"/>
      <x:c r="C296" s="27"/>
      <x:c r="D296" s="27"/>
      <x:c r="E296" s="19"/>
      <x:c r="F296" s="19"/>
      <x:c r="G296" s="19"/>
      <x:c r="H296" s="19"/>
    </x:row>
    <x:row r="297">
      <x:c r="A297" s="19"/>
      <x:c r="B297" s="19"/>
      <x:c r="C297" s="27"/>
      <x:c r="D297" s="27"/>
      <x:c r="E297" s="19"/>
      <x:c r="F297" s="19"/>
      <x:c r="G297" s="19"/>
      <x:c r="H297" s="19"/>
    </x:row>
    <x:row r="298">
      <x:c r="A298" s="19"/>
      <x:c r="B298" s="19"/>
      <x:c r="C298" s="27"/>
      <x:c r="D298" s="27"/>
      <x:c r="E298" s="19"/>
      <x:c r="F298" s="19"/>
      <x:c r="G298" s="19"/>
      <x:c r="H298" s="19"/>
    </x:row>
    <x:row r="299">
      <x:c r="A299" s="19"/>
      <x:c r="B299" s="19"/>
      <x:c r="C299" s="27"/>
      <x:c r="D299" s="27"/>
      <x:c r="E299" s="19"/>
      <x:c r="F299" s="19"/>
      <x:c r="G299" s="19"/>
      <x:c r="H299" s="19"/>
    </x:row>
    <x:row r="300">
      <x:c r="A300" s="19"/>
      <x:c r="B300" s="19"/>
      <x:c r="C300" s="27"/>
      <x:c r="D300" s="27"/>
      <x:c r="E300" s="19"/>
      <x:c r="F300" s="19"/>
      <x:c r="G300" s="19"/>
      <x:c r="H300" s="19"/>
    </x:row>
    <x:row r="301">
      <x:c r="A301" s="19"/>
      <x:c r="B301" s="19"/>
      <x:c r="C301" s="27"/>
      <x:c r="D301" s="27"/>
      <x:c r="E301" s="19"/>
      <x:c r="F301" s="19"/>
      <x:c r="G301" s="19"/>
      <x:c r="H301" s="19"/>
    </x:row>
    <x:row r="302">
      <x:c r="A302" s="19"/>
      <x:c r="B302" s="19"/>
      <x:c r="C302" s="27"/>
      <x:c r="D302" s="27"/>
      <x:c r="E302" s="19"/>
      <x:c r="F302" s="19"/>
      <x:c r="G302" s="19"/>
      <x:c r="H302" s="19"/>
    </x:row>
    <x:row r="303">
      <x:c r="A303" s="19"/>
      <x:c r="B303" s="19"/>
      <x:c r="C303" s="27"/>
      <x:c r="D303" s="27"/>
      <x:c r="E303" s="19"/>
      <x:c r="F303" s="19"/>
      <x:c r="G303" s="19"/>
      <x:c r="H303" s="19"/>
    </x:row>
    <x:row r="304">
      <x:c r="A304" s="19"/>
      <x:c r="B304" s="19"/>
      <x:c r="C304" s="27"/>
      <x:c r="D304" s="27"/>
      <x:c r="E304" s="19"/>
      <x:c r="F304" s="19"/>
      <x:c r="G304" s="19"/>
      <x:c r="H304" s="19"/>
    </x:row>
    <x:row r="305">
      <x:c r="A305" s="19"/>
      <x:c r="B305" s="19"/>
      <x:c r="C305" s="27"/>
      <x:c r="D305" s="27"/>
      <x:c r="E305" s="19"/>
      <x:c r="F305" s="19"/>
      <x:c r="G305" s="19"/>
      <x:c r="H305" s="19"/>
    </x:row>
    <x:row r="306">
      <x:c r="A306" s="19"/>
      <x:c r="B306" s="19"/>
      <x:c r="C306" s="27"/>
      <x:c r="D306" s="27"/>
      <x:c r="E306" s="19"/>
      <x:c r="F306" s="19"/>
      <x:c r="G306" s="19"/>
      <x:c r="H306" s="19"/>
    </x:row>
    <x:row r="307">
      <x:c r="A307" s="19"/>
      <x:c r="B307" s="19"/>
      <x:c r="C307" s="27"/>
      <x:c r="D307" s="27"/>
      <x:c r="E307" s="19"/>
      <x:c r="F307" s="19"/>
      <x:c r="G307" s="19"/>
      <x:c r="H307" s="19"/>
    </x:row>
    <x:row r="308">
      <x:c r="A308" s="19"/>
      <x:c r="B308" s="19"/>
      <x:c r="C308" s="27"/>
      <x:c r="D308" s="27"/>
      <x:c r="E308" s="19"/>
      <x:c r="F308" s="19"/>
      <x:c r="G308" s="19"/>
      <x:c r="H308" s="19"/>
    </x:row>
    <x:row r="309">
      <x:c r="A309" s="19"/>
      <x:c r="B309" s="19"/>
      <x:c r="C309" s="27"/>
      <x:c r="D309" s="27"/>
      <x:c r="E309" s="19"/>
      <x:c r="F309" s="19"/>
      <x:c r="G309" s="19"/>
      <x:c r="H309" s="19"/>
    </x:row>
    <x:row r="310">
      <x:c r="A310" s="19"/>
      <x:c r="B310" s="19"/>
      <x:c r="C310" s="27"/>
      <x:c r="D310" s="27"/>
      <x:c r="E310" s="19"/>
      <x:c r="F310" s="19"/>
      <x:c r="G310" s="19"/>
      <x:c r="H310" s="19"/>
    </x:row>
    <x:row r="311">
      <x:c r="A311" s="19"/>
      <x:c r="B311" s="19"/>
      <x:c r="C311" s="27"/>
      <x:c r="D311" s="27"/>
      <x:c r="E311" s="19"/>
      <x:c r="F311" s="19"/>
      <x:c r="G311" s="19"/>
      <x:c r="H311" s="19"/>
    </x:row>
    <x:row r="312">
      <x:c r="A312" s="19"/>
      <x:c r="B312" s="19"/>
      <x:c r="C312" s="27"/>
      <x:c r="D312" s="27"/>
      <x:c r="E312" s="19"/>
      <x:c r="F312" s="19"/>
      <x:c r="G312" s="19"/>
      <x:c r="H312" s="19"/>
    </x:row>
    <x:row r="313">
      <x:c r="A313" s="19"/>
      <x:c r="B313" s="19"/>
      <x:c r="C313" s="27"/>
      <x:c r="D313" s="27"/>
      <x:c r="E313" s="19"/>
      <x:c r="F313" s="19"/>
      <x:c r="G313" s="19"/>
      <x:c r="H313" s="19"/>
    </x:row>
    <x:row r="314">
      <x:c r="A314" s="19"/>
      <x:c r="B314" s="19"/>
      <x:c r="C314" s="27"/>
      <x:c r="D314" s="27"/>
      <x:c r="E314" s="19"/>
      <x:c r="F314" s="19"/>
      <x:c r="G314" s="19"/>
      <x:c r="H314" s="19"/>
    </x:row>
    <x:row r="315">
      <x:c r="A315" s="19"/>
      <x:c r="B315" s="19"/>
      <x:c r="C315" s="27"/>
      <x:c r="D315" s="27"/>
      <x:c r="E315" s="19"/>
      <x:c r="F315" s="19"/>
      <x:c r="G315" s="19"/>
      <x:c r="H315" s="19"/>
    </x:row>
    <x:row r="316">
      <x:c r="A316" s="19"/>
      <x:c r="B316" s="19"/>
      <x:c r="C316" s="27"/>
      <x:c r="D316" s="27"/>
      <x:c r="E316" s="19"/>
      <x:c r="F316" s="19"/>
      <x:c r="G316" s="19"/>
      <x:c r="H316" s="19"/>
    </x:row>
    <x:row r="317">
      <x:c r="A317" s="19"/>
      <x:c r="B317" s="19"/>
      <x:c r="C317" s="27"/>
      <x:c r="D317" s="27"/>
      <x:c r="E317" s="19"/>
      <x:c r="F317" s="19"/>
      <x:c r="G317" s="19"/>
      <x:c r="H317" s="19"/>
    </x:row>
    <x:row r="318">
      <x:c r="A318" s="19"/>
      <x:c r="B318" s="19"/>
      <x:c r="C318" s="27"/>
      <x:c r="D318" s="27"/>
      <x:c r="E318" s="19"/>
      <x:c r="F318" s="19"/>
      <x:c r="G318" s="19"/>
      <x:c r="H318" s="19"/>
    </x:row>
    <x:row r="319">
      <x:c r="A319" s="19"/>
      <x:c r="B319" s="19"/>
      <x:c r="C319" s="27"/>
      <x:c r="D319" s="27"/>
      <x:c r="E319" s="19"/>
      <x:c r="F319" s="19"/>
      <x:c r="G319" s="19"/>
      <x:c r="H319" s="19"/>
    </x:row>
    <x:row r="320">
      <x:c r="A320" s="19"/>
      <x:c r="B320" s="19"/>
      <x:c r="C320" s="27"/>
      <x:c r="D320" s="27"/>
      <x:c r="E320" s="19"/>
      <x:c r="F320" s="19"/>
      <x:c r="G320" s="19"/>
      <x:c r="H320" s="19"/>
    </x:row>
    <x:row r="321">
      <x:c r="A321" s="19"/>
      <x:c r="B321" s="19"/>
      <x:c r="C321" s="27"/>
      <x:c r="D321" s="27"/>
      <x:c r="E321" s="19"/>
      <x:c r="F321" s="19"/>
      <x:c r="G321" s="19"/>
      <x:c r="H321" s="19"/>
    </x:row>
    <x:row r="322">
      <x:c r="A322" s="19"/>
      <x:c r="B322" s="19"/>
      <x:c r="C322" s="27"/>
      <x:c r="D322" s="27"/>
      <x:c r="E322" s="19"/>
      <x:c r="F322" s="19"/>
      <x:c r="G322" s="19"/>
      <x:c r="H322" s="19"/>
    </x:row>
    <x:row r="323">
      <x:c r="A323" s="19"/>
      <x:c r="B323" s="19"/>
      <x:c r="C323" s="27"/>
      <x:c r="D323" s="27"/>
      <x:c r="E323" s="19"/>
      <x:c r="F323" s="19"/>
      <x:c r="G323" s="19"/>
      <x:c r="H323" s="19"/>
    </x:row>
    <x:row r="324">
      <x:c r="A324" s="19"/>
      <x:c r="B324" s="19"/>
      <x:c r="C324" s="27"/>
      <x:c r="D324" s="27"/>
      <x:c r="E324" s="19"/>
      <x:c r="F324" s="19"/>
      <x:c r="G324" s="19"/>
      <x:c r="H324" s="19"/>
    </x:row>
    <x:row r="325">
      <x:c r="A325" s="19"/>
      <x:c r="B325" s="19"/>
      <x:c r="C325" s="27"/>
      <x:c r="D325" s="27"/>
      <x:c r="E325" s="19"/>
      <x:c r="F325" s="19"/>
      <x:c r="G325" s="19"/>
      <x:c r="H325" s="19"/>
    </x:row>
    <x:row r="326">
      <x:c r="A326" s="19"/>
      <x:c r="B326" s="19"/>
      <x:c r="C326" s="27"/>
      <x:c r="D326" s="27"/>
      <x:c r="E326" s="19"/>
      <x:c r="F326" s="19"/>
      <x:c r="G326" s="19"/>
      <x:c r="H326" s="19"/>
    </x:row>
    <x:row r="327">
      <x:c r="A327" s="19"/>
      <x:c r="B327" s="19"/>
      <x:c r="C327" s="27"/>
      <x:c r="D327" s="27"/>
      <x:c r="E327" s="19"/>
      <x:c r="F327" s="19"/>
      <x:c r="G327" s="19"/>
      <x:c r="H327" s="19"/>
    </x:row>
    <x:row r="328">
      <x:c r="A328" s="19"/>
      <x:c r="B328" s="19"/>
      <x:c r="C328" s="27"/>
      <x:c r="D328" s="27"/>
      <x:c r="E328" s="19"/>
      <x:c r="F328" s="19"/>
      <x:c r="G328" s="19"/>
      <x:c r="H328" s="19"/>
    </x:row>
    <x:row r="329">
      <x:c r="A329" s="19"/>
      <x:c r="B329" s="19"/>
      <x:c r="C329" s="27"/>
      <x:c r="D329" s="27"/>
      <x:c r="E329" s="19"/>
      <x:c r="F329" s="19"/>
      <x:c r="G329" s="19"/>
      <x:c r="H329" s="19"/>
    </x:row>
    <x:row r="330">
      <x:c r="A330" s="19"/>
      <x:c r="B330" s="19"/>
      <x:c r="C330" s="27"/>
      <x:c r="D330" s="27"/>
      <x:c r="E330" s="19"/>
      <x:c r="F330" s="19"/>
      <x:c r="G330" s="19"/>
      <x:c r="H330" s="19"/>
    </x:row>
    <x:row r="331">
      <x:c r="A331" s="19"/>
      <x:c r="B331" s="19"/>
      <x:c r="C331" s="27"/>
      <x:c r="D331" s="27"/>
      <x:c r="E331" s="19"/>
      <x:c r="F331" s="19"/>
      <x:c r="G331" s="19"/>
      <x:c r="H331" s="19"/>
    </x:row>
    <x:row r="332">
      <x:c r="A332" s="19"/>
      <x:c r="B332" s="19"/>
      <x:c r="C332" s="27"/>
      <x:c r="D332" s="27"/>
      <x:c r="E332" s="19"/>
      <x:c r="F332" s="19"/>
      <x:c r="G332" s="19"/>
      <x:c r="H332" s="19"/>
    </x:row>
    <x:row r="333">
      <x:c r="A333" s="19"/>
      <x:c r="B333" s="19"/>
      <x:c r="C333" s="27"/>
      <x:c r="D333" s="27"/>
      <x:c r="E333" s="19"/>
      <x:c r="F333" s="19"/>
      <x:c r="G333" s="19"/>
      <x:c r="H333" s="19"/>
    </x:row>
    <x:row r="334">
      <x:c r="A334" s="19"/>
      <x:c r="B334" s="19"/>
      <x:c r="C334" s="27"/>
      <x:c r="D334" s="27"/>
      <x:c r="E334" s="19"/>
      <x:c r="F334" s="19"/>
      <x:c r="G334" s="19"/>
      <x:c r="H334" s="19"/>
    </x:row>
    <x:row r="335">
      <x:c r="A335" s="19"/>
      <x:c r="B335" s="19"/>
      <x:c r="C335" s="27"/>
      <x:c r="D335" s="27"/>
      <x:c r="E335" s="19"/>
      <x:c r="F335" s="19"/>
      <x:c r="G335" s="19"/>
      <x:c r="H335" s="19"/>
    </x:row>
    <x:row r="336">
      <x:c r="A336" s="19"/>
      <x:c r="B336" s="19"/>
      <x:c r="C336" s="27"/>
      <x:c r="D336" s="27"/>
      <x:c r="E336" s="19"/>
      <x:c r="F336" s="19"/>
      <x:c r="G336" s="19"/>
      <x:c r="H336" s="19"/>
    </x:row>
    <x:row r="337">
      <x:c r="A337" s="19"/>
      <x:c r="B337" s="19"/>
      <x:c r="C337" s="27"/>
      <x:c r="D337" s="27"/>
      <x:c r="E337" s="19"/>
      <x:c r="F337" s="19"/>
      <x:c r="G337" s="19"/>
      <x:c r="H337" s="19"/>
    </x:row>
    <x:row r="338">
      <x:c r="A338" s="19"/>
      <x:c r="B338" s="19"/>
      <x:c r="C338" s="27"/>
      <x:c r="D338" s="27"/>
      <x:c r="E338" s="19"/>
      <x:c r="F338" s="19"/>
      <x:c r="G338" s="19"/>
      <x:c r="H338" s="19"/>
    </x:row>
    <x:row r="339">
      <x:c r="A339" s="19"/>
      <x:c r="B339" s="19"/>
      <x:c r="C339" s="27"/>
      <x:c r="D339" s="27"/>
      <x:c r="E339" s="19"/>
      <x:c r="F339" s="19"/>
      <x:c r="G339" s="19"/>
      <x:c r="H339" s="19"/>
    </x:row>
    <x:row r="340">
      <x:c r="A340" s="19"/>
      <x:c r="B340" s="19"/>
      <x:c r="C340" s="27"/>
      <x:c r="D340" s="27"/>
      <x:c r="E340" s="19"/>
      <x:c r="F340" s="19"/>
      <x:c r="G340" s="19"/>
      <x:c r="H340" s="19"/>
    </x:row>
    <x:row r="341">
      <x:c r="A341" s="19"/>
      <x:c r="B341" s="19"/>
      <x:c r="C341" s="27"/>
      <x:c r="D341" s="27"/>
      <x:c r="E341" s="19"/>
      <x:c r="F341" s="19"/>
      <x:c r="G341" s="19"/>
      <x:c r="H341" s="19"/>
    </x:row>
    <x:row r="342">
      <x:c r="A342" s="19"/>
      <x:c r="B342" s="19"/>
      <x:c r="C342" s="27"/>
      <x:c r="D342" s="27"/>
      <x:c r="E342" s="19"/>
      <x:c r="F342" s="19"/>
      <x:c r="G342" s="19"/>
      <x:c r="H342" s="19"/>
    </x:row>
    <x:row r="343">
      <x:c r="A343" s="19"/>
      <x:c r="B343" s="19"/>
      <x:c r="C343" s="27"/>
      <x:c r="D343" s="27"/>
      <x:c r="E343" s="19"/>
      <x:c r="F343" s="19"/>
      <x:c r="G343" s="19"/>
      <x:c r="H343" s="19"/>
    </x:row>
    <x:row r="344">
      <x:c r="A344" s="19"/>
      <x:c r="B344" s="19"/>
      <x:c r="C344" s="27"/>
      <x:c r="D344" s="27"/>
      <x:c r="E344" s="19"/>
      <x:c r="F344" s="19"/>
      <x:c r="G344" s="19"/>
      <x:c r="H344" s="19"/>
    </x:row>
    <x:row r="345">
      <x:c r="A345" s="19"/>
      <x:c r="B345" s="19"/>
      <x:c r="C345" s="27"/>
      <x:c r="D345" s="27"/>
      <x:c r="E345" s="19"/>
      <x:c r="F345" s="19"/>
      <x:c r="G345" s="19"/>
      <x:c r="H345" s="19"/>
    </x:row>
    <x:row r="346">
      <x:c r="A346" s="19"/>
      <x:c r="B346" s="19"/>
      <x:c r="C346" s="27"/>
      <x:c r="D346" s="27"/>
      <x:c r="E346" s="19"/>
      <x:c r="F346" s="19"/>
      <x:c r="G346" s="19"/>
      <x:c r="H346" s="19"/>
    </x:row>
    <x:row r="347">
      <x:c r="A347" s="19"/>
      <x:c r="B347" s="19"/>
      <x:c r="C347" s="27"/>
      <x:c r="D347" s="27"/>
      <x:c r="E347" s="19"/>
      <x:c r="F347" s="19"/>
      <x:c r="G347" s="19"/>
      <x:c r="H347" s="19"/>
    </x:row>
    <x:row r="348">
      <x:c r="A348" s="19"/>
      <x:c r="B348" s="19"/>
      <x:c r="C348" s="27"/>
      <x:c r="D348" s="27"/>
      <x:c r="E348" s="19"/>
      <x:c r="F348" s="19"/>
      <x:c r="G348" s="19"/>
      <x:c r="H348" s="19"/>
    </x:row>
    <x:row r="349">
      <x:c r="A349" s="19"/>
      <x:c r="B349" s="19"/>
      <x:c r="C349" s="27"/>
      <x:c r="D349" s="27"/>
      <x:c r="E349" s="19"/>
      <x:c r="F349" s="19"/>
      <x:c r="G349" s="19"/>
      <x:c r="H349" s="19"/>
    </x:row>
    <x:row r="350">
      <x:c r="A350" s="19"/>
      <x:c r="B350" s="19"/>
      <x:c r="C350" s="27"/>
      <x:c r="D350" s="27"/>
      <x:c r="E350" s="19"/>
      <x:c r="F350" s="19"/>
      <x:c r="G350" s="19"/>
      <x:c r="H350" s="19"/>
    </x:row>
    <x:row r="351">
      <x:c r="A351" s="19"/>
      <x:c r="B351" s="19"/>
      <x:c r="C351" s="27"/>
      <x:c r="D351" s="27"/>
      <x:c r="E351" s="19"/>
      <x:c r="F351" s="19"/>
      <x:c r="G351" s="19"/>
      <x:c r="H351" s="19"/>
    </x:row>
    <x:row r="352">
      <x:c r="A352" s="19"/>
      <x:c r="B352" s="19"/>
      <x:c r="C352" s="27"/>
      <x:c r="D352" s="27"/>
      <x:c r="E352" s="19"/>
      <x:c r="F352" s="19"/>
      <x:c r="G352" s="19"/>
      <x:c r="H352" s="19"/>
    </x:row>
    <x:row r="353">
      <x:c r="A353" s="19"/>
      <x:c r="B353" s="19"/>
      <x:c r="C353" s="27"/>
      <x:c r="D353" s="27"/>
      <x:c r="E353" s="19"/>
      <x:c r="F353" s="19"/>
      <x:c r="G353" s="19"/>
      <x:c r="H353" s="19"/>
    </x:row>
    <x:row r="354">
      <x:c r="A354" s="19"/>
      <x:c r="B354" s="19"/>
      <x:c r="C354" s="27"/>
      <x:c r="D354" s="27"/>
      <x:c r="E354" s="19"/>
      <x:c r="F354" s="19"/>
      <x:c r="G354" s="19"/>
      <x:c r="H354" s="19"/>
    </x:row>
    <x:row r="355">
      <x:c r="A355" s="19"/>
      <x:c r="B355" s="19"/>
      <x:c r="C355" s="27"/>
      <x:c r="D355" s="27"/>
      <x:c r="E355" s="19"/>
      <x:c r="F355" s="19"/>
      <x:c r="G355" s="19"/>
      <x:c r="H355" s="19"/>
    </x:row>
    <x:row r="356">
      <x:c r="A356" s="19"/>
      <x:c r="B356" s="19"/>
      <x:c r="C356" s="27"/>
      <x:c r="D356" s="27"/>
      <x:c r="E356" s="19"/>
      <x:c r="F356" s="19"/>
      <x:c r="G356" s="19"/>
      <x:c r="H356" s="19"/>
    </x:row>
    <x:row r="357">
      <x:c r="A357" s="19"/>
      <x:c r="B357" s="19"/>
      <x:c r="C357" s="27"/>
      <x:c r="D357" s="27"/>
      <x:c r="E357" s="19"/>
      <x:c r="F357" s="19"/>
      <x:c r="G357" s="19"/>
      <x:c r="H357" s="19"/>
    </x:row>
    <x:row r="358">
      <x:c r="A358" s="19"/>
      <x:c r="B358" s="19"/>
      <x:c r="C358" s="27"/>
      <x:c r="D358" s="27"/>
      <x:c r="E358" s="19"/>
      <x:c r="F358" s="19"/>
      <x:c r="G358" s="19"/>
      <x:c r="H358" s="19"/>
    </x:row>
    <x:row r="359">
      <x:c r="A359" s="19"/>
      <x:c r="B359" s="19"/>
      <x:c r="C359" s="27"/>
      <x:c r="D359" s="27"/>
      <x:c r="E359" s="19"/>
      <x:c r="F359" s="19"/>
      <x:c r="G359" s="19"/>
      <x:c r="H359" s="19"/>
    </x:row>
    <x:row r="360">
      <x:c r="A360" s="19"/>
      <x:c r="B360" s="19"/>
      <x:c r="C360" s="27"/>
      <x:c r="D360" s="27"/>
      <x:c r="E360" s="19"/>
      <x:c r="F360" s="19"/>
      <x:c r="G360" s="19"/>
      <x:c r="H360" s="19"/>
    </x:row>
    <x:row r="361">
      <x:c r="A361" s="19"/>
      <x:c r="B361" s="19"/>
      <x:c r="C361" s="27"/>
      <x:c r="D361" s="27"/>
      <x:c r="E361" s="19"/>
      <x:c r="F361" s="19"/>
      <x:c r="G361" s="19"/>
      <x:c r="H361" s="19"/>
    </x:row>
    <x:row r="362">
      <x:c r="A362" s="19"/>
      <x:c r="B362" s="19"/>
      <x:c r="C362" s="27"/>
      <x:c r="D362" s="27"/>
      <x:c r="E362" s="19"/>
      <x:c r="F362" s="19"/>
      <x:c r="G362" s="19"/>
      <x:c r="H362" s="19"/>
    </x:row>
    <x:row r="363">
      <x:c r="A363" s="19"/>
      <x:c r="B363" s="19"/>
      <x:c r="C363" s="27"/>
      <x:c r="D363" s="27"/>
      <x:c r="E363" s="19"/>
      <x:c r="F363" s="19"/>
      <x:c r="G363" s="19"/>
      <x:c r="H363" s="19"/>
    </x:row>
    <x:row r="364">
      <x:c r="A364" s="19"/>
      <x:c r="B364" s="19"/>
      <x:c r="C364" s="27"/>
      <x:c r="D364" s="27"/>
      <x:c r="E364" s="19"/>
      <x:c r="F364" s="19"/>
      <x:c r="G364" s="19"/>
      <x:c r="H364" s="19"/>
    </x:row>
    <x:row r="365">
      <x:c r="A365" s="19"/>
      <x:c r="B365" s="19"/>
      <x:c r="C365" s="27"/>
      <x:c r="D365" s="27"/>
      <x:c r="E365" s="19"/>
      <x:c r="F365" s="19"/>
      <x:c r="G365" s="19"/>
      <x:c r="H365" s="19"/>
    </x:row>
    <x:row r="366">
      <x:c r="A366" s="19"/>
      <x:c r="B366" s="19"/>
      <x:c r="C366" s="27"/>
      <x:c r="D366" s="27"/>
      <x:c r="E366" s="19"/>
      <x:c r="F366" s="19"/>
      <x:c r="G366" s="19"/>
      <x:c r="H366" s="19"/>
    </x:row>
    <x:row r="367">
      <x:c r="A367" s="19"/>
      <x:c r="B367" s="19"/>
      <x:c r="C367" s="27"/>
      <x:c r="D367" s="27"/>
      <x:c r="E367" s="19"/>
      <x:c r="F367" s="19"/>
      <x:c r="G367" s="19"/>
      <x:c r="H367" s="19"/>
    </x:row>
    <x:row r="368">
      <x:c r="A368" s="19"/>
      <x:c r="B368" s="19"/>
      <x:c r="C368" s="27"/>
      <x:c r="D368" s="27"/>
      <x:c r="E368" s="19"/>
      <x:c r="F368" s="19"/>
      <x:c r="G368" s="19"/>
      <x:c r="H368" s="19"/>
    </x:row>
    <x:row r="369">
      <x:c r="A369" s="19"/>
      <x:c r="B369" s="19"/>
      <x:c r="C369" s="27"/>
      <x:c r="D369" s="27"/>
      <x:c r="E369" s="19"/>
      <x:c r="F369" s="19"/>
      <x:c r="G369" s="19"/>
      <x:c r="H369" s="19"/>
    </x:row>
    <x:row r="370">
      <x:c r="A370" s="19"/>
      <x:c r="B370" s="19"/>
      <x:c r="C370" s="27"/>
      <x:c r="D370" s="27"/>
      <x:c r="E370" s="19"/>
      <x:c r="F370" s="19"/>
      <x:c r="G370" s="19"/>
      <x:c r="H370" s="19"/>
    </x:row>
    <x:row r="371">
      <x:c r="A371" s="19"/>
      <x:c r="B371" s="19"/>
      <x:c r="C371" s="27"/>
      <x:c r="D371" s="27"/>
      <x:c r="E371" s="19"/>
      <x:c r="F371" s="19"/>
      <x:c r="G371" s="19"/>
      <x:c r="H371" s="19"/>
    </x:row>
    <x:row r="372">
      <x:c r="A372" s="19"/>
      <x:c r="B372" s="19"/>
      <x:c r="C372" s="27"/>
      <x:c r="D372" s="27"/>
      <x:c r="E372" s="19"/>
      <x:c r="F372" s="19"/>
      <x:c r="G372" s="19"/>
      <x:c r="H372" s="19"/>
    </x:row>
    <x:row r="373">
      <x:c r="A373" s="19"/>
      <x:c r="B373" s="19"/>
      <x:c r="C373" s="27"/>
      <x:c r="D373" s="27"/>
      <x:c r="E373" s="19"/>
      <x:c r="F373" s="19"/>
      <x:c r="G373" s="19"/>
      <x:c r="H373" s="19"/>
    </x:row>
    <x:row r="374">
      <x:c r="A374" s="19"/>
      <x:c r="B374" s="19"/>
      <x:c r="C374" s="27"/>
      <x:c r="D374" s="27"/>
      <x:c r="E374" s="19"/>
      <x:c r="F374" s="19"/>
      <x:c r="G374" s="19"/>
      <x:c r="H374" s="19"/>
    </x:row>
    <x:row r="375">
      <x:c r="A375" s="19"/>
      <x:c r="B375" s="19"/>
      <x:c r="C375" s="27"/>
      <x:c r="D375" s="27"/>
      <x:c r="E375" s="19"/>
      <x:c r="F375" s="19"/>
      <x:c r="G375" s="19"/>
      <x:c r="H375" s="19"/>
    </x:row>
    <x:row r="376">
      <x:c r="A376" s="19"/>
      <x:c r="B376" s="19"/>
      <x:c r="C376" s="27"/>
      <x:c r="D376" s="27"/>
      <x:c r="E376" s="19"/>
      <x:c r="F376" s="19"/>
      <x:c r="G376" s="19"/>
      <x:c r="H376" s="19"/>
    </x:row>
    <x:row r="377">
      <x:c r="A377" s="19"/>
      <x:c r="B377" s="19"/>
      <x:c r="C377" s="27"/>
      <x:c r="D377" s="27"/>
      <x:c r="E377" s="19"/>
      <x:c r="F377" s="19"/>
      <x:c r="G377" s="19"/>
      <x:c r="H377" s="19"/>
    </x:row>
    <x:row r="378">
      <x:c r="A378" s="19"/>
      <x:c r="B378" s="19"/>
      <x:c r="C378" s="27"/>
      <x:c r="D378" s="27"/>
      <x:c r="E378" s="19"/>
      <x:c r="F378" s="19"/>
      <x:c r="G378" s="19"/>
      <x:c r="H378" s="19"/>
    </x:row>
    <x:row r="379">
      <x:c r="A379" s="19"/>
      <x:c r="B379" s="19"/>
      <x:c r="C379" s="27"/>
      <x:c r="D379" s="27"/>
      <x:c r="E379" s="19"/>
      <x:c r="F379" s="19"/>
      <x:c r="G379" s="19"/>
      <x:c r="H379" s="19"/>
    </x:row>
    <x:row r="380">
      <x:c r="A380" s="19"/>
      <x:c r="B380" s="19"/>
      <x:c r="C380" s="27"/>
      <x:c r="D380" s="27"/>
      <x:c r="E380" s="19"/>
      <x:c r="F380" s="19"/>
      <x:c r="G380" s="19"/>
      <x:c r="H380" s="19"/>
    </x:row>
    <x:row r="381">
      <x:c r="A381" s="19"/>
      <x:c r="B381" s="19"/>
      <x:c r="C381" s="27"/>
      <x:c r="D381" s="27"/>
      <x:c r="E381" s="19"/>
      <x:c r="F381" s="19"/>
      <x:c r="G381" s="19"/>
      <x:c r="H381" s="19"/>
    </x:row>
    <x:row r="382">
      <x:c r="A382" s="19"/>
      <x:c r="B382" s="19"/>
      <x:c r="C382" s="27"/>
      <x:c r="D382" s="27"/>
      <x:c r="E382" s="19"/>
      <x:c r="F382" s="19"/>
      <x:c r="G382" s="19"/>
      <x:c r="H382" s="19"/>
    </x:row>
    <x:row r="383">
      <x:c r="A383" s="19"/>
      <x:c r="B383" s="19"/>
      <x:c r="C383" s="27"/>
      <x:c r="D383" s="27"/>
      <x:c r="E383" s="19"/>
      <x:c r="F383" s="19"/>
      <x:c r="G383" s="19"/>
      <x:c r="H383" s="19"/>
    </x:row>
    <x:row r="384">
      <x:c r="A384" s="19"/>
      <x:c r="B384" s="19"/>
      <x:c r="C384" s="27"/>
      <x:c r="D384" s="27"/>
      <x:c r="E384" s="19"/>
      <x:c r="F384" s="19"/>
      <x:c r="G384" s="19"/>
      <x:c r="H384" s="19"/>
    </x:row>
    <x:row r="385">
      <x:c r="A385" s="19"/>
      <x:c r="B385" s="19"/>
      <x:c r="C385" s="27"/>
      <x:c r="D385" s="27"/>
      <x:c r="E385" s="19"/>
      <x:c r="F385" s="19"/>
      <x:c r="G385" s="19"/>
      <x:c r="H385" s="19"/>
    </x:row>
    <x:row r="386">
      <x:c r="A386" s="19"/>
      <x:c r="B386" s="19"/>
      <x:c r="C386" s="27"/>
      <x:c r="D386" s="27"/>
      <x:c r="E386" s="19"/>
      <x:c r="F386" s="19"/>
      <x:c r="G386" s="19"/>
      <x:c r="H386" s="19"/>
    </x:row>
    <x:row r="387">
      <x:c r="A387" s="19"/>
      <x:c r="B387" s="19"/>
      <x:c r="C387" s="27"/>
      <x:c r="D387" s="27"/>
      <x:c r="E387" s="19"/>
      <x:c r="F387" s="19"/>
      <x:c r="G387" s="19"/>
      <x:c r="H387" s="19"/>
    </x:row>
    <x:row r="388">
      <x:c r="A388" s="19"/>
      <x:c r="B388" s="19"/>
      <x:c r="C388" s="27"/>
      <x:c r="D388" s="27"/>
      <x:c r="E388" s="19"/>
      <x:c r="F388" s="19"/>
      <x:c r="G388" s="19"/>
      <x:c r="H388" s="19"/>
    </x:row>
    <x:row r="389">
      <x:c r="A389" s="19"/>
      <x:c r="B389" s="19"/>
      <x:c r="C389" s="27"/>
      <x:c r="D389" s="27"/>
      <x:c r="E389" s="19"/>
      <x:c r="F389" s="19"/>
      <x:c r="G389" s="19"/>
      <x:c r="H389" s="19"/>
    </x:row>
    <x:row r="390">
      <x:c r="A390" s="19"/>
      <x:c r="B390" s="19"/>
      <x:c r="C390" s="27"/>
      <x:c r="D390" s="27"/>
      <x:c r="E390" s="19"/>
      <x:c r="F390" s="19"/>
      <x:c r="G390" s="19"/>
      <x:c r="H390" s="19"/>
    </x:row>
    <x:row r="391">
      <x:c r="A391" s="19"/>
      <x:c r="B391" s="19"/>
      <x:c r="C391" s="27"/>
      <x:c r="D391" s="27"/>
      <x:c r="E391" s="19"/>
      <x:c r="F391" s="19"/>
      <x:c r="G391" s="19"/>
      <x:c r="H391" s="19"/>
    </x:row>
    <x:row r="392">
      <x:c r="A392" s="19"/>
      <x:c r="B392" s="19"/>
      <x:c r="C392" s="27"/>
      <x:c r="D392" s="27"/>
      <x:c r="E392" s="19"/>
      <x:c r="F392" s="19"/>
      <x:c r="G392" s="19"/>
      <x:c r="H392" s="19"/>
    </x:row>
    <x:row r="393">
      <x:c r="A393" s="19"/>
      <x:c r="B393" s="19"/>
      <x:c r="C393" s="27"/>
      <x:c r="D393" s="27"/>
      <x:c r="E393" s="19"/>
      <x:c r="F393" s="19"/>
      <x:c r="G393" s="19"/>
      <x:c r="H393" s="19"/>
    </x:row>
    <x:row r="394">
      <x:c r="A394" s="19"/>
      <x:c r="B394" s="19"/>
      <x:c r="C394" s="27"/>
      <x:c r="D394" s="27"/>
      <x:c r="E394" s="19"/>
      <x:c r="F394" s="19"/>
      <x:c r="G394" s="19"/>
      <x:c r="H394" s="19"/>
    </x:row>
    <x:row r="395">
      <x:c r="A395" s="19"/>
      <x:c r="B395" s="19"/>
      <x:c r="C395" s="27"/>
      <x:c r="D395" s="27"/>
      <x:c r="E395" s="19"/>
      <x:c r="F395" s="19"/>
      <x:c r="G395" s="19"/>
      <x:c r="H395" s="19"/>
    </x:row>
    <x:row r="396">
      <x:c r="A396" s="19"/>
      <x:c r="B396" s="19"/>
      <x:c r="C396" s="27"/>
      <x:c r="D396" s="27"/>
      <x:c r="E396" s="19"/>
      <x:c r="F396" s="19"/>
      <x:c r="G396" s="19"/>
      <x:c r="H396" s="19"/>
    </x:row>
    <x:row r="397">
      <x:c r="A397" s="19"/>
      <x:c r="B397" s="19"/>
      <x:c r="C397" s="27"/>
      <x:c r="D397" s="27"/>
      <x:c r="E397" s="19"/>
      <x:c r="F397" s="19"/>
      <x:c r="G397" s="19"/>
      <x:c r="H397" s="19"/>
    </x:row>
    <x:row r="398">
      <x:c r="A398" s="19"/>
      <x:c r="B398" s="19"/>
      <x:c r="C398" s="27"/>
      <x:c r="D398" s="27"/>
      <x:c r="E398" s="19"/>
      <x:c r="F398" s="19"/>
      <x:c r="G398" s="19"/>
      <x:c r="H398" s="19"/>
    </x:row>
    <x:row r="399">
      <x:c r="A399" s="19"/>
      <x:c r="B399" s="19"/>
      <x:c r="C399" s="27"/>
      <x:c r="D399" s="27"/>
      <x:c r="E399" s="19"/>
      <x:c r="F399" s="19"/>
      <x:c r="G399" s="19"/>
      <x:c r="H399" s="19"/>
    </x:row>
    <x:row r="400">
      <x:c r="A400" s="19"/>
      <x:c r="B400" s="19"/>
      <x:c r="C400" s="27"/>
      <x:c r="D400" s="27"/>
      <x:c r="E400" s="19"/>
      <x:c r="F400" s="19"/>
      <x:c r="G400" s="19"/>
      <x:c r="H400" s="19"/>
    </x:row>
    <x:row r="401">
      <x:c r="A401" s="19"/>
      <x:c r="B401" s="19"/>
      <x:c r="C401" s="27"/>
      <x:c r="D401" s="27"/>
      <x:c r="E401" s="19"/>
      <x:c r="F401" s="19"/>
      <x:c r="G401" s="19"/>
      <x:c r="H401" s="19"/>
    </x:row>
    <x:row r="402">
      <x:c r="A402" s="19"/>
      <x:c r="B402" s="19"/>
      <x:c r="C402" s="27"/>
      <x:c r="D402" s="27"/>
      <x:c r="E402" s="19"/>
      <x:c r="F402" s="19"/>
      <x:c r="G402" s="19"/>
      <x:c r="H402" s="19"/>
    </x:row>
    <x:row r="403">
      <x:c r="A403" s="19"/>
      <x:c r="B403" s="19"/>
      <x:c r="C403" s="27"/>
      <x:c r="D403" s="27"/>
      <x:c r="E403" s="19"/>
      <x:c r="F403" s="19"/>
      <x:c r="G403" s="19"/>
      <x:c r="H403" s="19"/>
    </x:row>
    <x:row r="404">
      <x:c r="A404" s="19"/>
      <x:c r="B404" s="19"/>
      <x:c r="C404" s="27"/>
      <x:c r="D404" s="27"/>
      <x:c r="E404" s="19"/>
      <x:c r="F404" s="19"/>
      <x:c r="G404" s="19"/>
      <x:c r="H404" s="19"/>
    </x:row>
    <x:row r="405">
      <x:c r="A405" s="19"/>
      <x:c r="B405" s="19"/>
      <x:c r="C405" s="27"/>
      <x:c r="D405" s="27"/>
      <x:c r="E405" s="19"/>
      <x:c r="F405" s="19"/>
      <x:c r="G405" s="19"/>
      <x:c r="H405" s="19"/>
    </x:row>
    <x:row r="406">
      <x:c r="A406" s="19"/>
      <x:c r="B406" s="19"/>
      <x:c r="C406" s="27"/>
      <x:c r="D406" s="27"/>
      <x:c r="E406" s="19"/>
      <x:c r="F406" s="19"/>
      <x:c r="G406" s="19"/>
      <x:c r="H406" s="19"/>
    </x:row>
    <x:row r="407">
      <x:c r="A407" s="19"/>
      <x:c r="B407" s="19"/>
      <x:c r="C407" s="27"/>
      <x:c r="D407" s="27"/>
      <x:c r="E407" s="19"/>
      <x:c r="F407" s="19"/>
      <x:c r="G407" s="19"/>
      <x:c r="H407" s="19"/>
    </x:row>
    <x:row r="408">
      <x:c r="A408" s="19"/>
      <x:c r="B408" s="19"/>
      <x:c r="C408" s="27"/>
      <x:c r="D408" s="27"/>
      <x:c r="E408" s="19"/>
      <x:c r="F408" s="19"/>
      <x:c r="G408" s="19"/>
      <x:c r="H408" s="19"/>
    </x:row>
    <x:row r="409">
      <x:c r="A409" s="19"/>
      <x:c r="B409" s="19"/>
      <x:c r="C409" s="27"/>
      <x:c r="D409" s="27"/>
      <x:c r="E409" s="19"/>
      <x:c r="F409" s="19"/>
      <x:c r="G409" s="19"/>
      <x:c r="H409" s="19"/>
    </x:row>
    <x:row r="410">
      <x:c r="A410" s="19"/>
      <x:c r="B410" s="19"/>
      <x:c r="C410" s="27"/>
      <x:c r="D410" s="27"/>
      <x:c r="E410" s="19"/>
      <x:c r="F410" s="19"/>
      <x:c r="G410" s="19"/>
      <x:c r="H410" s="19"/>
    </x:row>
    <x:row r="411">
      <x:c r="A411" s="19"/>
      <x:c r="B411" s="19"/>
      <x:c r="C411" s="27"/>
      <x:c r="D411" s="27"/>
      <x:c r="E411" s="19"/>
      <x:c r="F411" s="19"/>
      <x:c r="G411" s="19"/>
      <x:c r="H411" s="19"/>
    </x:row>
    <x:row r="412">
      <x:c r="A412" s="19"/>
      <x:c r="B412" s="19"/>
      <x:c r="C412" s="27"/>
      <x:c r="D412" s="27"/>
      <x:c r="E412" s="19"/>
      <x:c r="F412" s="19"/>
      <x:c r="G412" s="19"/>
      <x:c r="H412" s="19"/>
    </x:row>
    <x:row r="413">
      <x:c r="A413" s="19"/>
      <x:c r="B413" s="19"/>
      <x:c r="C413" s="27"/>
      <x:c r="D413" s="27"/>
      <x:c r="E413" s="19"/>
      <x:c r="F413" s="19"/>
      <x:c r="G413" s="19"/>
      <x:c r="H413" s="19"/>
    </x:row>
    <x:row r="414">
      <x:c r="A414" s="19"/>
      <x:c r="B414" s="19"/>
      <x:c r="C414" s="27"/>
      <x:c r="D414" s="27"/>
      <x:c r="E414" s="19"/>
      <x:c r="F414" s="19"/>
      <x:c r="G414" s="19"/>
      <x:c r="H414" s="19"/>
    </x:row>
    <x:row r="415">
      <x:c r="A415" s="19"/>
      <x:c r="B415" s="19"/>
      <x:c r="C415" s="27"/>
      <x:c r="D415" s="27"/>
      <x:c r="E415" s="19"/>
      <x:c r="F415" s="19"/>
      <x:c r="G415" s="19"/>
      <x:c r="H415" s="19"/>
    </x:row>
    <x:row r="416">
      <x:c r="A416" s="19"/>
      <x:c r="B416" s="19"/>
      <x:c r="C416" s="27"/>
      <x:c r="D416" s="27"/>
      <x:c r="E416" s="19"/>
      <x:c r="F416" s="19"/>
      <x:c r="G416" s="19"/>
      <x:c r="H416" s="19"/>
    </x:row>
    <x:row r="417">
      <x:c r="A417" s="19"/>
      <x:c r="B417" s="19"/>
      <x:c r="C417" s="27"/>
      <x:c r="D417" s="27"/>
      <x:c r="E417" s="19"/>
      <x:c r="F417" s="19"/>
      <x:c r="G417" s="19"/>
      <x:c r="H417" s="19"/>
    </x:row>
    <x:row r="418">
      <x:c r="A418" s="19"/>
      <x:c r="B418" s="19"/>
      <x:c r="C418" s="27"/>
      <x:c r="D418" s="27"/>
      <x:c r="E418" s="19"/>
      <x:c r="F418" s="19"/>
      <x:c r="G418" s="19"/>
      <x:c r="H418" s="19"/>
    </x:row>
    <x:row r="419">
      <x:c r="A419" s="19"/>
      <x:c r="B419" s="19"/>
      <x:c r="C419" s="27"/>
      <x:c r="D419" s="27"/>
      <x:c r="E419" s="19"/>
      <x:c r="F419" s="19"/>
      <x:c r="G419" s="19"/>
      <x:c r="H419" s="19"/>
    </x:row>
    <x:row r="420">
      <x:c r="A420" s="19"/>
      <x:c r="B420" s="19"/>
      <x:c r="C420" s="27"/>
      <x:c r="D420" s="27"/>
      <x:c r="E420" s="19"/>
      <x:c r="F420" s="19"/>
      <x:c r="G420" s="19"/>
      <x:c r="H420" s="19"/>
    </x:row>
    <x:row r="421">
      <x:c r="A421" s="19"/>
      <x:c r="B421" s="19"/>
      <x:c r="C421" s="27"/>
      <x:c r="D421" s="27"/>
      <x:c r="E421" s="19"/>
      <x:c r="F421" s="19"/>
      <x:c r="G421" s="19"/>
      <x:c r="H421" s="19"/>
    </x:row>
    <x:row r="422">
      <x:c r="A422" s="19"/>
      <x:c r="B422" s="19"/>
      <x:c r="C422" s="27"/>
      <x:c r="D422" s="27"/>
      <x:c r="E422" s="19"/>
      <x:c r="F422" s="19"/>
      <x:c r="G422" s="19"/>
      <x:c r="H422" s="19"/>
    </x:row>
    <x:row r="423">
      <x:c r="A423" s="19"/>
      <x:c r="B423" s="19"/>
      <x:c r="C423" s="27"/>
      <x:c r="D423" s="27"/>
      <x:c r="E423" s="19"/>
      <x:c r="F423" s="19"/>
      <x:c r="G423" s="19"/>
      <x:c r="H423" s="19"/>
    </x:row>
    <x:row r="424">
      <x:c r="A424" s="19"/>
      <x:c r="B424" s="19"/>
      <x:c r="C424" s="27"/>
      <x:c r="D424" s="27"/>
      <x:c r="E424" s="19"/>
      <x:c r="F424" s="19"/>
      <x:c r="G424" s="19"/>
      <x:c r="H424" s="19"/>
    </x:row>
    <x:row r="425">
      <x:c r="A425" s="19"/>
      <x:c r="B425" s="19"/>
      <x:c r="C425" s="27"/>
      <x:c r="D425" s="27"/>
      <x:c r="E425" s="19"/>
      <x:c r="F425" s="19"/>
      <x:c r="G425" s="19"/>
      <x:c r="H425" s="19"/>
    </x:row>
    <x:row r="426">
      <x:c r="A426" s="19"/>
      <x:c r="B426" s="19"/>
      <x:c r="C426" s="27"/>
      <x:c r="D426" s="27"/>
      <x:c r="E426" s="19"/>
      <x:c r="F426" s="19"/>
      <x:c r="G426" s="19"/>
      <x:c r="H426" s="19"/>
    </x:row>
    <x:row r="427">
      <x:c r="A427" s="19"/>
      <x:c r="B427" s="19"/>
      <x:c r="C427" s="27"/>
      <x:c r="D427" s="27"/>
      <x:c r="E427" s="19"/>
      <x:c r="F427" s="19"/>
      <x:c r="G427" s="19"/>
      <x:c r="H427" s="19"/>
    </x:row>
    <x:row r="428">
      <x:c r="A428" s="19"/>
      <x:c r="B428" s="19"/>
      <x:c r="C428" s="27"/>
      <x:c r="D428" s="27"/>
      <x:c r="E428" s="19"/>
      <x:c r="F428" s="19"/>
      <x:c r="G428" s="19"/>
      <x:c r="H428" s="19"/>
    </x:row>
    <x:row r="429">
      <x:c r="A429" s="19"/>
      <x:c r="B429" s="19"/>
      <x:c r="C429" s="27"/>
      <x:c r="D429" s="27"/>
      <x:c r="E429" s="19"/>
      <x:c r="F429" s="19"/>
      <x:c r="G429" s="19"/>
      <x:c r="H429" s="19"/>
    </x:row>
    <x:row r="430">
      <x:c r="A430" s="19"/>
      <x:c r="B430" s="19"/>
      <x:c r="C430" s="27"/>
      <x:c r="D430" s="27"/>
      <x:c r="E430" s="19"/>
      <x:c r="F430" s="19"/>
      <x:c r="G430" s="19"/>
      <x:c r="H430" s="19"/>
    </x:row>
    <x:row r="431">
      <x:c r="A431" s="19"/>
      <x:c r="B431" s="19"/>
      <x:c r="C431" s="27"/>
      <x:c r="D431" s="27"/>
      <x:c r="E431" s="19"/>
      <x:c r="F431" s="19"/>
      <x:c r="G431" s="19"/>
      <x:c r="H431" s="19"/>
    </x:row>
    <x:row r="432">
      <x:c r="A432" s="19"/>
      <x:c r="B432" s="19"/>
      <x:c r="C432" s="27"/>
      <x:c r="D432" s="27"/>
      <x:c r="E432" s="19"/>
      <x:c r="F432" s="19"/>
      <x:c r="G432" s="19"/>
      <x:c r="H432" s="19"/>
    </x:row>
    <x:row r="433">
      <x:c r="A433" s="19"/>
      <x:c r="B433" s="19"/>
      <x:c r="C433" s="27"/>
      <x:c r="D433" s="27"/>
      <x:c r="E433" s="19"/>
      <x:c r="F433" s="19"/>
      <x:c r="G433" s="19"/>
      <x:c r="H433" s="19"/>
    </x:row>
    <x:row r="434">
      <x:c r="A434" s="19"/>
      <x:c r="B434" s="19"/>
      <x:c r="C434" s="27"/>
      <x:c r="D434" s="27"/>
      <x:c r="E434" s="19"/>
      <x:c r="F434" s="19"/>
      <x:c r="G434" s="19"/>
      <x:c r="H434" s="19"/>
    </x:row>
    <x:row r="435">
      <x:c r="A435" s="19"/>
      <x:c r="B435" s="19"/>
      <x:c r="C435" s="27"/>
      <x:c r="D435" s="27"/>
      <x:c r="E435" s="19"/>
      <x:c r="F435" s="19"/>
      <x:c r="G435" s="19"/>
      <x:c r="H435" s="19"/>
    </x:row>
    <x:row r="436">
      <x:c r="A436" s="19"/>
      <x:c r="B436" s="19"/>
      <x:c r="C436" s="27"/>
      <x:c r="D436" s="27"/>
      <x:c r="E436" s="19"/>
      <x:c r="F436" s="19"/>
      <x:c r="G436" s="19"/>
      <x:c r="H436" s="19"/>
    </x:row>
    <x:row r="437">
      <x:c r="A437" s="19"/>
      <x:c r="B437" s="19"/>
      <x:c r="C437" s="27"/>
      <x:c r="D437" s="27"/>
      <x:c r="E437" s="19"/>
      <x:c r="F437" s="19"/>
      <x:c r="G437" s="19"/>
      <x:c r="H437" s="19"/>
    </x:row>
    <x:row r="438">
      <x:c r="A438" s="19"/>
      <x:c r="B438" s="19"/>
      <x:c r="C438" s="27"/>
      <x:c r="D438" s="27"/>
      <x:c r="E438" s="19"/>
      <x:c r="F438" s="19"/>
      <x:c r="G438" s="19"/>
      <x:c r="H438" s="19"/>
    </x:row>
    <x:row r="439">
      <x:c r="A439" s="19"/>
      <x:c r="B439" s="19"/>
      <x:c r="C439" s="27"/>
      <x:c r="D439" s="27"/>
      <x:c r="E439" s="19"/>
      <x:c r="F439" s="19"/>
      <x:c r="G439" s="19"/>
      <x:c r="H439" s="19"/>
    </x:row>
    <x:row r="440">
      <x:c r="A440" s="19"/>
      <x:c r="B440" s="19"/>
      <x:c r="C440" s="27"/>
      <x:c r="D440" s="27"/>
      <x:c r="E440" s="19"/>
      <x:c r="F440" s="19"/>
      <x:c r="G440" s="19"/>
      <x:c r="H440" s="19"/>
    </x:row>
    <x:row r="441">
      <x:c r="A441" s="19"/>
      <x:c r="B441" s="19"/>
      <x:c r="C441" s="27"/>
      <x:c r="D441" s="27"/>
      <x:c r="E441" s="19"/>
      <x:c r="F441" s="19"/>
      <x:c r="G441" s="19"/>
      <x:c r="H441" s="19"/>
    </x:row>
    <x:row r="442">
      <x:c r="A442" s="19"/>
      <x:c r="B442" s="19"/>
      <x:c r="C442" s="27"/>
      <x:c r="D442" s="27"/>
      <x:c r="E442" s="19"/>
      <x:c r="F442" s="19"/>
      <x:c r="G442" s="19"/>
      <x:c r="H442" s="19"/>
    </x:row>
    <x:row r="443">
      <x:c r="A443" s="19"/>
      <x:c r="B443" s="19"/>
      <x:c r="C443" s="27"/>
      <x:c r="D443" s="27"/>
      <x:c r="E443" s="19"/>
      <x:c r="F443" s="19"/>
      <x:c r="G443" s="19"/>
      <x:c r="H443" s="19"/>
    </x:row>
    <x:row r="444">
      <x:c r="A444" s="19"/>
      <x:c r="B444" s="19"/>
      <x:c r="C444" s="27"/>
      <x:c r="D444" s="27"/>
      <x:c r="E444" s="19"/>
      <x:c r="F444" s="19"/>
      <x:c r="G444" s="19"/>
      <x:c r="H444" s="19"/>
    </x:row>
    <x:row r="445">
      <x:c r="A445" s="19"/>
      <x:c r="B445" s="19"/>
      <x:c r="C445" s="27"/>
      <x:c r="D445" s="27"/>
      <x:c r="E445" s="19"/>
      <x:c r="F445" s="19"/>
      <x:c r="G445" s="19"/>
      <x:c r="H445" s="19"/>
    </x:row>
    <x:row r="446">
      <x:c r="A446" s="19"/>
      <x:c r="B446" s="19"/>
      <x:c r="C446" s="27"/>
      <x:c r="D446" s="27"/>
      <x:c r="E446" s="19"/>
      <x:c r="F446" s="19"/>
      <x:c r="G446" s="19"/>
      <x:c r="H446" s="19"/>
    </x:row>
    <x:row r="447">
      <x:c r="A447" s="19"/>
      <x:c r="B447" s="19"/>
      <x:c r="C447" s="27"/>
      <x:c r="D447" s="27"/>
      <x:c r="E447" s="19"/>
      <x:c r="F447" s="19"/>
      <x:c r="G447" s="19"/>
      <x:c r="H447" s="19"/>
    </x:row>
    <x:row r="448">
      <x:c r="A448" s="19"/>
      <x:c r="B448" s="19"/>
      <x:c r="C448" s="27"/>
      <x:c r="D448" s="27"/>
      <x:c r="E448" s="19"/>
      <x:c r="F448" s="19"/>
      <x:c r="G448" s="19"/>
      <x:c r="H448" s="19"/>
    </x:row>
    <x:row r="449">
      <x:c r="A449" s="19"/>
      <x:c r="B449" s="19"/>
      <x:c r="C449" s="27"/>
      <x:c r="D449" s="27"/>
      <x:c r="E449" s="19"/>
      <x:c r="F449" s="19"/>
      <x:c r="G449" s="19"/>
      <x:c r="H449" s="19"/>
    </x:row>
    <x:row r="450">
      <x:c r="A450" s="19"/>
      <x:c r="B450" s="19"/>
      <x:c r="C450" s="27"/>
      <x:c r="D450" s="27"/>
      <x:c r="E450" s="19"/>
      <x:c r="F450" s="19"/>
      <x:c r="G450" s="19"/>
      <x:c r="H450" s="19"/>
    </x:row>
    <x:row r="451">
      <x:c r="A451" s="19"/>
      <x:c r="B451" s="19"/>
      <x:c r="C451" s="27"/>
      <x:c r="D451" s="27"/>
      <x:c r="E451" s="19"/>
      <x:c r="F451" s="19"/>
      <x:c r="G451" s="19"/>
      <x:c r="H451" s="19"/>
    </x:row>
    <x:row r="452">
      <x:c r="A452" s="19"/>
      <x:c r="B452" s="19"/>
      <x:c r="C452" s="27"/>
      <x:c r="D452" s="27"/>
      <x:c r="E452" s="19"/>
      <x:c r="F452" s="19"/>
      <x:c r="G452" s="19"/>
      <x:c r="H452" s="19"/>
    </x:row>
    <x:row r="453">
      <x:c r="A453" s="19"/>
      <x:c r="B453" s="19"/>
      <x:c r="C453" s="27"/>
      <x:c r="D453" s="27"/>
      <x:c r="E453" s="19"/>
      <x:c r="F453" s="19"/>
      <x:c r="G453" s="19"/>
      <x:c r="H453" s="19"/>
    </x:row>
    <x:row r="454">
      <x:c r="A454" s="19"/>
      <x:c r="B454" s="19"/>
      <x:c r="C454" s="27"/>
      <x:c r="D454" s="27"/>
      <x:c r="E454" s="19"/>
      <x:c r="F454" s="19"/>
      <x:c r="G454" s="19"/>
      <x:c r="H454" s="19"/>
    </x:row>
    <x:row r="455">
      <x:c r="A455" s="19"/>
      <x:c r="B455" s="19"/>
      <x:c r="C455" s="27"/>
      <x:c r="D455" s="27"/>
      <x:c r="E455" s="19"/>
      <x:c r="F455" s="19"/>
      <x:c r="G455" s="19"/>
      <x:c r="H455" s="19"/>
    </x:row>
    <x:row r="456">
      <x:c r="A456" s="19"/>
      <x:c r="B456" s="19"/>
      <x:c r="C456" s="27"/>
      <x:c r="D456" s="27"/>
      <x:c r="E456" s="19"/>
      <x:c r="F456" s="19"/>
      <x:c r="G456" s="19"/>
      <x:c r="H456" s="19"/>
    </x:row>
    <x:row r="457">
      <x:c r="A457" s="19"/>
      <x:c r="B457" s="19"/>
      <x:c r="C457" s="27"/>
      <x:c r="D457" s="27"/>
      <x:c r="E457" s="19"/>
      <x:c r="F457" s="19"/>
      <x:c r="G457" s="19"/>
      <x:c r="H457" s="19"/>
    </x:row>
    <x:row r="458">
      <x:c r="A458" s="19"/>
      <x:c r="B458" s="19"/>
      <x:c r="C458" s="27"/>
      <x:c r="D458" s="27"/>
      <x:c r="E458" s="19"/>
      <x:c r="F458" s="19"/>
      <x:c r="G458" s="19"/>
      <x:c r="H458" s="19"/>
    </x:row>
    <x:row r="459">
      <x:c r="A459" s="19"/>
      <x:c r="B459" s="19"/>
      <x:c r="C459" s="27"/>
      <x:c r="D459" s="27"/>
      <x:c r="E459" s="19"/>
      <x:c r="F459" s="19"/>
      <x:c r="G459" s="19"/>
      <x:c r="H459" s="19"/>
    </x:row>
    <x:row r="460">
      <x:c r="A460" s="19"/>
      <x:c r="B460" s="19"/>
      <x:c r="C460" s="27"/>
      <x:c r="D460" s="27"/>
      <x:c r="E460" s="19"/>
      <x:c r="F460" s="19"/>
      <x:c r="G460" s="19"/>
      <x:c r="H460" s="19"/>
    </x:row>
    <x:row r="461">
      <x:c r="A461" s="19"/>
      <x:c r="B461" s="19"/>
      <x:c r="C461" s="27"/>
      <x:c r="D461" s="27"/>
      <x:c r="E461" s="19"/>
      <x:c r="F461" s="19"/>
      <x:c r="G461" s="19"/>
      <x:c r="H461" s="19"/>
    </x:row>
    <x:row r="462">
      <x:c r="A462" s="19"/>
      <x:c r="B462" s="19"/>
      <x:c r="C462" s="27"/>
      <x:c r="D462" s="27"/>
      <x:c r="E462" s="19"/>
      <x:c r="F462" s="19"/>
      <x:c r="G462" s="19"/>
      <x:c r="H462" s="19"/>
    </x:row>
    <x:row r="463">
      <x:c r="A463" s="19"/>
      <x:c r="B463" s="19"/>
      <x:c r="C463" s="27"/>
      <x:c r="D463" s="27"/>
      <x:c r="E463" s="19"/>
      <x:c r="F463" s="19"/>
      <x:c r="G463" s="19"/>
      <x:c r="H463" s="19"/>
    </x:row>
    <x:row r="464">
      <x:c r="A464" s="19"/>
      <x:c r="B464" s="19"/>
      <x:c r="C464" s="27"/>
      <x:c r="D464" s="27"/>
      <x:c r="E464" s="19"/>
      <x:c r="F464" s="19"/>
      <x:c r="G464" s="19"/>
      <x:c r="H464" s="19"/>
    </x:row>
    <x:row r="465">
      <x:c r="A465" s="19"/>
      <x:c r="B465" s="19"/>
      <x:c r="C465" s="27"/>
      <x:c r="D465" s="27"/>
      <x:c r="E465" s="19"/>
      <x:c r="F465" s="19"/>
      <x:c r="G465" s="19"/>
      <x:c r="H465" s="19"/>
    </x:row>
    <x:row r="466">
      <x:c r="A466" s="19"/>
      <x:c r="B466" s="19"/>
      <x:c r="C466" s="27"/>
      <x:c r="D466" s="27"/>
      <x:c r="E466" s="19"/>
      <x:c r="F466" s="19"/>
      <x:c r="G466" s="19"/>
      <x:c r="H466" s="19"/>
    </x:row>
    <x:row r="467">
      <x:c r="A467" s="19"/>
      <x:c r="B467" s="19"/>
      <x:c r="C467" s="27"/>
      <x:c r="D467" s="27"/>
      <x:c r="E467" s="19"/>
      <x:c r="F467" s="19"/>
      <x:c r="G467" s="19"/>
      <x:c r="H467" s="19"/>
    </x:row>
    <x:row r="468">
      <x:c r="A468" s="19"/>
      <x:c r="B468" s="19"/>
      <x:c r="C468" s="27"/>
      <x:c r="D468" s="27"/>
      <x:c r="E468" s="19"/>
      <x:c r="F468" s="19"/>
      <x:c r="G468" s="19"/>
      <x:c r="H468" s="19"/>
    </x:row>
    <x:row r="469">
      <x:c r="A469" s="19"/>
      <x:c r="B469" s="19"/>
      <x:c r="C469" s="27"/>
      <x:c r="D469" s="27"/>
      <x:c r="E469" s="19"/>
      <x:c r="F469" s="19"/>
      <x:c r="G469" s="19"/>
      <x:c r="H469" s="19"/>
    </x:row>
    <x:row r="470">
      <x:c r="A470" s="19"/>
      <x:c r="B470" s="19"/>
      <x:c r="C470" s="27"/>
      <x:c r="D470" s="27"/>
      <x:c r="E470" s="19"/>
      <x:c r="F470" s="19"/>
      <x:c r="G470" s="19"/>
      <x:c r="H470" s="19"/>
    </x:row>
    <x:row r="471">
      <x:c r="A471" s="19"/>
      <x:c r="B471" s="19"/>
      <x:c r="C471" s="27"/>
      <x:c r="D471" s="27"/>
      <x:c r="E471" s="19"/>
      <x:c r="F471" s="19"/>
      <x:c r="G471" s="19"/>
      <x:c r="H471" s="19"/>
    </x:row>
    <x:row r="472">
      <x:c r="A472" s="19"/>
      <x:c r="B472" s="19"/>
      <x:c r="C472" s="27"/>
      <x:c r="D472" s="27"/>
      <x:c r="E472" s="19"/>
      <x:c r="F472" s="19"/>
      <x:c r="G472" s="19"/>
      <x:c r="H472" s="19"/>
    </x:row>
    <x:row r="473">
      <x:c r="A473" s="19"/>
      <x:c r="B473" s="19"/>
      <x:c r="C473" s="27"/>
      <x:c r="D473" s="27"/>
      <x:c r="E473" s="19"/>
      <x:c r="F473" s="19"/>
      <x:c r="G473" s="19"/>
      <x:c r="H473" s="19"/>
    </x:row>
    <x:row r="474">
      <x:c r="A474" s="19"/>
      <x:c r="B474" s="19"/>
      <x:c r="C474" s="27"/>
      <x:c r="D474" s="27"/>
      <x:c r="E474" s="19"/>
      <x:c r="F474" s="19"/>
      <x:c r="G474" s="19"/>
      <x:c r="H474" s="19"/>
    </x:row>
    <x:row r="475">
      <x:c r="A475" s="19"/>
      <x:c r="B475" s="19"/>
      <x:c r="C475" s="27"/>
      <x:c r="D475" s="27"/>
      <x:c r="E475" s="19"/>
      <x:c r="F475" s="19"/>
      <x:c r="G475" s="19"/>
      <x:c r="H475" s="19"/>
    </x:row>
    <x:row r="476">
      <x:c r="A476" s="19"/>
      <x:c r="B476" s="19"/>
      <x:c r="C476" s="27"/>
      <x:c r="D476" s="27"/>
      <x:c r="E476" s="19"/>
      <x:c r="F476" s="19"/>
      <x:c r="G476" s="19"/>
      <x:c r="H476" s="19"/>
    </x:row>
    <x:row r="477">
      <x:c r="A477" s="19"/>
      <x:c r="B477" s="19"/>
      <x:c r="C477" s="27"/>
      <x:c r="D477" s="27"/>
      <x:c r="E477" s="19"/>
      <x:c r="F477" s="19"/>
      <x:c r="G477" s="19"/>
      <x:c r="H477" s="19"/>
    </x:row>
    <x:row r="478">
      <x:c r="A478" s="19"/>
      <x:c r="B478" s="19"/>
      <x:c r="C478" s="27"/>
      <x:c r="D478" s="27"/>
      <x:c r="E478" s="19"/>
      <x:c r="F478" s="19"/>
      <x:c r="G478" s="19"/>
      <x:c r="H478" s="19"/>
    </x:row>
    <x:row r="479">
      <x:c r="A479" s="19"/>
      <x:c r="B479" s="19"/>
      <x:c r="C479" s="27"/>
      <x:c r="D479" s="27"/>
      <x:c r="E479" s="19"/>
      <x:c r="F479" s="19"/>
      <x:c r="G479" s="19"/>
      <x:c r="H479" s="19"/>
    </x:row>
    <x:row r="480">
      <x:c r="A480" s="19"/>
      <x:c r="B480" s="19"/>
      <x:c r="C480" s="27"/>
      <x:c r="D480" s="27"/>
      <x:c r="E480" s="19"/>
      <x:c r="F480" s="19"/>
      <x:c r="G480" s="19"/>
      <x:c r="H480" s="19"/>
    </x:row>
    <x:row r="481">
      <x:c r="A481" s="19"/>
      <x:c r="B481" s="19"/>
      <x:c r="C481" s="27"/>
      <x:c r="D481" s="27"/>
      <x:c r="E481" s="19"/>
      <x:c r="F481" s="19"/>
      <x:c r="G481" s="19"/>
      <x:c r="H481" s="19"/>
    </x:row>
    <x:row r="482">
      <x:c r="A482" s="19"/>
      <x:c r="B482" s="19"/>
      <x:c r="C482" s="27"/>
      <x:c r="D482" s="27"/>
      <x:c r="E482" s="19"/>
      <x:c r="F482" s="19"/>
      <x:c r="G482" s="19"/>
      <x:c r="H482" s="19"/>
    </x:row>
    <x:row r="483">
      <x:c r="A483" s="19"/>
      <x:c r="B483" s="19"/>
      <x:c r="C483" s="27"/>
      <x:c r="D483" s="27"/>
      <x:c r="E483" s="19"/>
      <x:c r="F483" s="19"/>
      <x:c r="G483" s="19"/>
      <x:c r="H483" s="19"/>
    </x:row>
    <x:row r="484">
      <x:c r="A484" s="19"/>
      <x:c r="B484" s="19"/>
      <x:c r="C484" s="27"/>
      <x:c r="D484" s="27"/>
      <x:c r="E484" s="19"/>
      <x:c r="F484" s="19"/>
      <x:c r="G484" s="19"/>
      <x:c r="H484" s="19"/>
    </x:row>
    <x:row r="485">
      <x:c r="A485" s="19"/>
      <x:c r="B485" s="19"/>
      <x:c r="C485" s="27"/>
      <x:c r="D485" s="27"/>
      <x:c r="E485" s="19"/>
      <x:c r="F485" s="19"/>
      <x:c r="G485" s="19"/>
      <x:c r="H485" s="19"/>
    </x:row>
    <x:row r="486">
      <x:c r="A486" s="19"/>
      <x:c r="B486" s="19"/>
      <x:c r="C486" s="27"/>
      <x:c r="D486" s="27"/>
      <x:c r="E486" s="19"/>
      <x:c r="F486" s="19"/>
      <x:c r="G486" s="19"/>
      <x:c r="H486" s="19"/>
    </x:row>
    <x:row r="487">
      <x:c r="A487" s="19"/>
      <x:c r="B487" s="19"/>
      <x:c r="C487" s="27"/>
      <x:c r="D487" s="27"/>
      <x:c r="E487" s="19"/>
      <x:c r="F487" s="19"/>
      <x:c r="G487" s="19"/>
      <x:c r="H487" s="19"/>
    </x:row>
    <x:row r="488">
      <x:c r="A488" s="19"/>
      <x:c r="B488" s="19"/>
      <x:c r="C488" s="27"/>
      <x:c r="D488" s="27"/>
      <x:c r="E488" s="19"/>
      <x:c r="F488" s="19"/>
      <x:c r="G488" s="19"/>
      <x:c r="H488" s="19"/>
    </x:row>
    <x:row r="489">
      <x:c r="A489" s="19"/>
      <x:c r="B489" s="19"/>
      <x:c r="C489" s="27"/>
      <x:c r="D489" s="27"/>
      <x:c r="E489" s="19"/>
      <x:c r="F489" s="19"/>
      <x:c r="G489" s="19"/>
      <x:c r="H489" s="19"/>
    </x:row>
    <x:row r="490">
      <x:c r="A490" s="19"/>
      <x:c r="B490" s="19"/>
      <x:c r="C490" s="27"/>
      <x:c r="D490" s="27"/>
      <x:c r="E490" s="19"/>
      <x:c r="F490" s="19"/>
      <x:c r="G490" s="19"/>
      <x:c r="H490" s="19"/>
    </x:row>
    <x:row r="491">
      <x:c r="A491" s="19"/>
      <x:c r="B491" s="19"/>
      <x:c r="C491" s="27"/>
      <x:c r="D491" s="27"/>
      <x:c r="E491" s="19"/>
      <x:c r="F491" s="19"/>
      <x:c r="G491" s="19"/>
      <x:c r="H491" s="19"/>
    </x:row>
    <x:row r="492">
      <x:c r="A492" s="19"/>
      <x:c r="B492" s="19"/>
      <x:c r="C492" s="27"/>
      <x:c r="D492" s="27"/>
      <x:c r="E492" s="19"/>
      <x:c r="F492" s="19"/>
      <x:c r="G492" s="19"/>
      <x:c r="H492" s="19"/>
    </x:row>
    <x:row r="493">
      <x:c r="A493" s="19"/>
      <x:c r="B493" s="19"/>
      <x:c r="C493" s="27"/>
      <x:c r="D493" s="27"/>
      <x:c r="E493" s="19"/>
      <x:c r="F493" s="19"/>
      <x:c r="G493" s="19"/>
      <x:c r="H493" s="19"/>
    </x:row>
    <x:row r="494">
      <x:c r="A494" s="19"/>
      <x:c r="B494" s="19"/>
      <x:c r="C494" s="27"/>
      <x:c r="D494" s="27"/>
      <x:c r="E494" s="19"/>
      <x:c r="F494" s="19"/>
      <x:c r="G494" s="19"/>
      <x:c r="H494" s="19"/>
    </x:row>
    <x:row r="495">
      <x:c r="A495" s="19"/>
      <x:c r="B495" s="19"/>
      <x:c r="C495" s="27"/>
      <x:c r="D495" s="27"/>
      <x:c r="E495" s="19"/>
      <x:c r="F495" s="19"/>
      <x:c r="G495" s="19"/>
      <x:c r="H495" s="19"/>
    </x:row>
    <x:row r="496">
      <x:c r="A496" s="19"/>
      <x:c r="B496" s="19"/>
      <x:c r="C496" s="27"/>
      <x:c r="D496" s="27"/>
      <x:c r="E496" s="19"/>
      <x:c r="F496" s="19"/>
      <x:c r="G496" s="19"/>
      <x:c r="H496" s="19"/>
    </x:row>
    <x:row r="497">
      <x:c r="A497" s="19"/>
      <x:c r="B497" s="19"/>
      <x:c r="C497" s="27"/>
      <x:c r="D497" s="27"/>
      <x:c r="E497" s="19"/>
      <x:c r="F497" s="19"/>
      <x:c r="G497" s="19"/>
      <x:c r="H497" s="19"/>
    </x:row>
    <x:row r="498">
      <x:c r="A498" s="19"/>
      <x:c r="B498" s="19"/>
      <x:c r="C498" s="27"/>
      <x:c r="D498" s="27"/>
      <x:c r="E498" s="19"/>
      <x:c r="F498" s="19"/>
      <x:c r="G498" s="19"/>
      <x:c r="H498" s="19"/>
    </x:row>
    <x:row r="499">
      <x:c r="A499" s="19"/>
      <x:c r="B499" s="19"/>
      <x:c r="C499" s="27"/>
      <x:c r="D499" s="27"/>
      <x:c r="E499" s="19"/>
      <x:c r="F499" s="19"/>
      <x:c r="G499" s="19"/>
      <x:c r="H499" s="19"/>
    </x:row>
    <x:row r="500">
      <x:c r="A500" s="19"/>
      <x:c r="B500" s="19"/>
      <x:c r="C500" s="27"/>
      <x:c r="D500" s="27"/>
      <x:c r="E500" s="19"/>
      <x:c r="F500" s="19"/>
      <x:c r="G500" s="19"/>
      <x:c r="H500" s="19"/>
    </x:row>
  </x:sheetData>
  <x:conditionalFormatting sqref="B2:B500">
    <x:cfRule type="expression" dxfId="172" priority="1">
      <x:formula>AND($A2&lt;&gt;"",B2="")</x:formula>
    </x:cfRule>
  </x:conditionalFormatting>
  <x:conditionalFormatting sqref="C2:C500">
    <x:cfRule type="expression" dxfId="173" priority="2">
      <x:formula>AND($A2&lt;&gt;"",C2="")</x:formula>
    </x:cfRule>
  </x:conditionalFormatting>
  <x:conditionalFormatting sqref="D2:D500">
    <x:cfRule type="expression" dxfId="174" priority="3">
      <x:formula>AND($A2&lt;&gt;"",D2="")</x:formula>
    </x:cfRule>
  </x:conditionalFormatting>
  <x:conditionalFormatting sqref="E2:E500">
    <x:cfRule type="expression" dxfId="175" priority="4">
      <x:formula>AND($A2&lt;&gt;"",E2="")</x:formula>
    </x:cfRule>
  </x:conditionalFormatting>
  <x:conditionalFormatting sqref="G2:G500">
    <x:cfRule type="expression" dxfId="176" priority="5">
      <x:formula>AND($A2&lt;&gt;"",G2="")</x:formula>
    </x:cfRule>
  </x:conditionalFormatting>
  <x:conditionalFormatting sqref="H2:H500">
    <x:cfRule type="expression" dxfId="177" priority="6">
      <x:formula>AND($A2&lt;&gt;"",H2="")</x:formula>
    </x:cfRule>
  </x:conditionalFormatting>
  <x:dataValidations count="2">
    <x:dataValidation type="list" sqref="G2:G500">
      <x:formula1>"TRUE,FALSE"</x:formula1>
    </x:dataValidation>
    <x:dataValidation type="list" sqref="H2:H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1cb6ec496c4aa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22" hidden="0" customWidth="1"/>
    <x:col min="5" max="5" width="19" hidden="0" customWidth="1"/>
    <x:col min="6" max="6" width="16" hidden="0" customWidth="1"/>
    <x:col min="7" max="7" width="19" hidden="0" customWidth="1"/>
    <x:col min="8" max="8" width="10" hidden="0" customWidth="1"/>
  </x:cols>
  <x:sheetData>
    <x:row r="1" ht="46" customHeight="1">
      <x:c r="A1" s="12" t="str">
        <x:v>شناسه کانال *
(channel_id)</x:v>
      </x:c>
      <x:c r="B1" s="13" t="str">
        <x:v>مشتری *
(customer_id)</x:v>
      </x:c>
      <x:c r="C1" s="13" t="str">
        <x:v>پلتفرم *
(platform)</x:v>
      </x:c>
      <x:c r="D1" s="13" t="str">
        <x:v>شناسه پلتفرم *
(platform_user_id)</x:v>
      </x:c>
      <x:c r="E1" s="13" t="str">
        <x:v>موبایل استاندارد
(normalized_mobile)</x:v>
      </x:c>
      <x:c r="F1" s="13" t="str">
        <x:v>رضایت پیام *
(consent_status)</x:v>
      </x:c>
      <x:c r="G1" s="13" t="str">
        <x:v>آخرین پیام
(last_message_at)</x:v>
      </x:c>
      <x:c r="H1" s="14" t="str">
        <x:v>فعال *
(active)</x:v>
      </x:c>
    </x:row>
    <x:row r="2">
      <x:c r="A2" s="28" t="str">
        <x:v>chn_001</x:v>
      </x:c>
      <x:c r="B2" s="29" t="str">
        <x:v>cus_001</x:v>
      </x:c>
      <x:c r="C2" s="29" t="str">
        <x:v>phone</x:v>
      </x:c>
      <x:c r="D2" s="29" t="str">
        <x:v>+989121234501</x:v>
      </x:c>
      <x:c r="E2" s="29" t="str">
        <x:v>+98 912 123 4501</x:v>
      </x:c>
      <x:c r="F2" s="29" t="str">
        <x:v>unknown</x:v>
      </x:c>
      <x:c r="G2" s="33" t="n">
        <x:v>46212.25</x:v>
      </x:c>
      <x:c r="H2" s="55" t="b">
        <x:v>1</x:v>
      </x:c>
    </x:row>
    <x:row r="3">
      <x:c r="A3" s="37" t="str">
        <x:v>chn_002</x:v>
      </x:c>
      <x:c r="B3" s="38" t="str">
        <x:v>cus_002</x:v>
      </x:c>
      <x:c r="C3" s="38" t="str">
        <x:v>instagram</x:v>
      </x:c>
      <x:c r="D3" s="38" t="str">
        <x:v>ig_user_2201</x:v>
      </x:c>
      <x:c r="E3" s="38" t="str">
        <x:v>+98 913 123 4502</x:v>
      </x:c>
      <x:c r="F3" s="38" t="str">
        <x:v>opted_in</x:v>
      </x:c>
      <x:c r="G3" s="42" t="n">
        <x:v>46213.5</x:v>
      </x:c>
      <x:c r="H3" s="56" t="b">
        <x:v>1</x:v>
      </x:c>
    </x:row>
    <x:row r="4">
      <x:c r="A4" s="46" t="str">
        <x:v>chn_003</x:v>
      </x:c>
      <x:c r="B4" s="47" t="str">
        <x:v>cus_005</x:v>
      </x:c>
      <x:c r="C4" s="47" t="str">
        <x:v>telegram</x:v>
      </x:c>
      <x:c r="D4" s="47" t="str">
        <x:v>tg_user_8801</x:v>
      </x:c>
      <x:c r="E4" s="47" t="str">
        <x:v>+98 912 123 4505</x:v>
      </x:c>
      <x:c r="F4" s="47" t="str">
        <x:v>opted_in</x:v>
      </x:c>
      <x:c r="G4" s="51" t="n">
        <x:v>46188.4375</x:v>
      </x:c>
      <x:c r="H4" s="57" t="b">
        <x:v>1</x:v>
      </x:c>
    </x:row>
    <x:row r="5">
      <x:c r="A5" s="19"/>
      <x:c r="B5" s="19"/>
      <x:c r="C5" s="19"/>
      <x:c r="D5" s="19"/>
      <x:c r="E5" s="19"/>
      <x:c r="F5" s="19"/>
      <x:c r="G5" s="26"/>
      <x:c r="H5" s="19"/>
    </x:row>
    <x:row r="6">
      <x:c r="A6" s="19"/>
      <x:c r="B6" s="19"/>
      <x:c r="C6" s="19"/>
      <x:c r="D6" s="19"/>
      <x:c r="E6" s="19"/>
      <x:c r="F6" s="19"/>
      <x:c r="G6" s="26"/>
      <x:c r="H6" s="19"/>
    </x:row>
    <x:row r="7">
      <x:c r="A7" s="19"/>
      <x:c r="B7" s="19"/>
      <x:c r="C7" s="19"/>
      <x:c r="D7" s="19"/>
      <x:c r="E7" s="19"/>
      <x:c r="F7" s="19"/>
      <x:c r="G7" s="26"/>
      <x:c r="H7" s="19"/>
    </x:row>
    <x:row r="8">
      <x:c r="A8" s="19"/>
      <x:c r="B8" s="19"/>
      <x:c r="C8" s="19"/>
      <x:c r="D8" s="19"/>
      <x:c r="E8" s="19"/>
      <x:c r="F8" s="19"/>
      <x:c r="G8" s="26"/>
      <x:c r="H8" s="19"/>
    </x:row>
    <x:row r="9">
      <x:c r="A9" s="19"/>
      <x:c r="B9" s="19"/>
      <x:c r="C9" s="19"/>
      <x:c r="D9" s="19"/>
      <x:c r="E9" s="19"/>
      <x:c r="F9" s="19"/>
      <x:c r="G9" s="26"/>
      <x:c r="H9" s="19"/>
    </x:row>
    <x:row r="10">
      <x:c r="A10" s="19"/>
      <x:c r="B10" s="19"/>
      <x:c r="C10" s="19"/>
      <x:c r="D10" s="19"/>
      <x:c r="E10" s="19"/>
      <x:c r="F10" s="19"/>
      <x:c r="G10" s="26"/>
      <x:c r="H10" s="19"/>
    </x:row>
    <x:row r="11">
      <x:c r="A11" s="19"/>
      <x:c r="B11" s="19"/>
      <x:c r="C11" s="19"/>
      <x:c r="D11" s="19"/>
      <x:c r="E11" s="19"/>
      <x:c r="F11" s="19"/>
      <x:c r="G11" s="26"/>
      <x:c r="H11" s="19"/>
    </x:row>
    <x:row r="12">
      <x:c r="A12" s="19"/>
      <x:c r="B12" s="19"/>
      <x:c r="C12" s="19"/>
      <x:c r="D12" s="19"/>
      <x:c r="E12" s="19"/>
      <x:c r="F12" s="19"/>
      <x:c r="G12" s="26"/>
      <x:c r="H12" s="19"/>
    </x:row>
    <x:row r="13">
      <x:c r="A13" s="19"/>
      <x:c r="B13" s="19"/>
      <x:c r="C13" s="19"/>
      <x:c r="D13" s="19"/>
      <x:c r="E13" s="19"/>
      <x:c r="F13" s="19"/>
      <x:c r="G13" s="26"/>
      <x:c r="H13" s="19"/>
    </x:row>
    <x:row r="14">
      <x:c r="A14" s="19"/>
      <x:c r="B14" s="19"/>
      <x:c r="C14" s="19"/>
      <x:c r="D14" s="19"/>
      <x:c r="E14" s="19"/>
      <x:c r="F14" s="19"/>
      <x:c r="G14" s="26"/>
      <x:c r="H14" s="19"/>
    </x:row>
    <x:row r="15">
      <x:c r="A15" s="19"/>
      <x:c r="B15" s="19"/>
      <x:c r="C15" s="19"/>
      <x:c r="D15" s="19"/>
      <x:c r="E15" s="19"/>
      <x:c r="F15" s="19"/>
      <x:c r="G15" s="26"/>
      <x:c r="H15" s="19"/>
    </x:row>
    <x:row r="16">
      <x:c r="A16" s="19"/>
      <x:c r="B16" s="19"/>
      <x:c r="C16" s="19"/>
      <x:c r="D16" s="19"/>
      <x:c r="E16" s="19"/>
      <x:c r="F16" s="19"/>
      <x:c r="G16" s="26"/>
      <x:c r="H16" s="19"/>
    </x:row>
    <x:row r="17">
      <x:c r="A17" s="19"/>
      <x:c r="B17" s="19"/>
      <x:c r="C17" s="19"/>
      <x:c r="D17" s="19"/>
      <x:c r="E17" s="19"/>
      <x:c r="F17" s="19"/>
      <x:c r="G17" s="26"/>
      <x:c r="H17" s="19"/>
    </x:row>
    <x:row r="18">
      <x:c r="A18" s="19"/>
      <x:c r="B18" s="19"/>
      <x:c r="C18" s="19"/>
      <x:c r="D18" s="19"/>
      <x:c r="E18" s="19"/>
      <x:c r="F18" s="19"/>
      <x:c r="G18" s="26"/>
      <x:c r="H18" s="19"/>
    </x:row>
    <x:row r="19">
      <x:c r="A19" s="19"/>
      <x:c r="B19" s="19"/>
      <x:c r="C19" s="19"/>
      <x:c r="D19" s="19"/>
      <x:c r="E19" s="19"/>
      <x:c r="F19" s="19"/>
      <x:c r="G19" s="26"/>
      <x:c r="H19" s="19"/>
    </x:row>
    <x:row r="20">
      <x:c r="A20" s="19"/>
      <x:c r="B20" s="19"/>
      <x:c r="C20" s="19"/>
      <x:c r="D20" s="19"/>
      <x:c r="E20" s="19"/>
      <x:c r="F20" s="19"/>
      <x:c r="G20" s="26"/>
      <x:c r="H20" s="19"/>
    </x:row>
    <x:row r="21">
      <x:c r="A21" s="19"/>
      <x:c r="B21" s="19"/>
      <x:c r="C21" s="19"/>
      <x:c r="D21" s="19"/>
      <x:c r="E21" s="19"/>
      <x:c r="F21" s="19"/>
      <x:c r="G21" s="26"/>
      <x:c r="H21" s="19"/>
    </x:row>
    <x:row r="22">
      <x:c r="A22" s="19"/>
      <x:c r="B22" s="19"/>
      <x:c r="C22" s="19"/>
      <x:c r="D22" s="19"/>
      <x:c r="E22" s="19"/>
      <x:c r="F22" s="19"/>
      <x:c r="G22" s="26"/>
      <x:c r="H22" s="19"/>
    </x:row>
    <x:row r="23">
      <x:c r="A23" s="19"/>
      <x:c r="B23" s="19"/>
      <x:c r="C23" s="19"/>
      <x:c r="D23" s="19"/>
      <x:c r="E23" s="19"/>
      <x:c r="F23" s="19"/>
      <x:c r="G23" s="26"/>
      <x:c r="H23" s="19"/>
    </x:row>
    <x:row r="24">
      <x:c r="A24" s="19"/>
      <x:c r="B24" s="19"/>
      <x:c r="C24" s="19"/>
      <x:c r="D24" s="19"/>
      <x:c r="E24" s="19"/>
      <x:c r="F24" s="19"/>
      <x:c r="G24" s="26"/>
      <x:c r="H24" s="19"/>
    </x:row>
    <x:row r="25">
      <x:c r="A25" s="19"/>
      <x:c r="B25" s="19"/>
      <x:c r="C25" s="19"/>
      <x:c r="D25" s="19"/>
      <x:c r="E25" s="19"/>
      <x:c r="F25" s="19"/>
      <x:c r="G25" s="26"/>
      <x:c r="H25" s="19"/>
    </x:row>
    <x:row r="26">
      <x:c r="A26" s="19"/>
      <x:c r="B26" s="19"/>
      <x:c r="C26" s="19"/>
      <x:c r="D26" s="19"/>
      <x:c r="E26" s="19"/>
      <x:c r="F26" s="19"/>
      <x:c r="G26" s="26"/>
      <x:c r="H26" s="19"/>
    </x:row>
    <x:row r="27">
      <x:c r="A27" s="19"/>
      <x:c r="B27" s="19"/>
      <x:c r="C27" s="19"/>
      <x:c r="D27" s="19"/>
      <x:c r="E27" s="19"/>
      <x:c r="F27" s="19"/>
      <x:c r="G27" s="26"/>
      <x:c r="H27" s="19"/>
    </x:row>
    <x:row r="28">
      <x:c r="A28" s="19"/>
      <x:c r="B28" s="19"/>
      <x:c r="C28" s="19"/>
      <x:c r="D28" s="19"/>
      <x:c r="E28" s="19"/>
      <x:c r="F28" s="19"/>
      <x:c r="G28" s="26"/>
      <x:c r="H28" s="19"/>
    </x:row>
    <x:row r="29">
      <x:c r="A29" s="19"/>
      <x:c r="B29" s="19"/>
      <x:c r="C29" s="19"/>
      <x:c r="D29" s="19"/>
      <x:c r="E29" s="19"/>
      <x:c r="F29" s="19"/>
      <x:c r="G29" s="26"/>
      <x:c r="H29" s="19"/>
    </x:row>
    <x:row r="30">
      <x:c r="A30" s="19"/>
      <x:c r="B30" s="19"/>
      <x:c r="C30" s="19"/>
      <x:c r="D30" s="19"/>
      <x:c r="E30" s="19"/>
      <x:c r="F30" s="19"/>
      <x:c r="G30" s="26"/>
      <x:c r="H30" s="19"/>
    </x:row>
    <x:row r="31">
      <x:c r="A31" s="19"/>
      <x:c r="B31" s="19"/>
      <x:c r="C31" s="19"/>
      <x:c r="D31" s="19"/>
      <x:c r="E31" s="19"/>
      <x:c r="F31" s="19"/>
      <x:c r="G31" s="26"/>
      <x:c r="H31" s="19"/>
    </x:row>
    <x:row r="32">
      <x:c r="A32" s="19"/>
      <x:c r="B32" s="19"/>
      <x:c r="C32" s="19"/>
      <x:c r="D32" s="19"/>
      <x:c r="E32" s="19"/>
      <x:c r="F32" s="19"/>
      <x:c r="G32" s="26"/>
      <x:c r="H32" s="19"/>
    </x:row>
    <x:row r="33">
      <x:c r="A33" s="19"/>
      <x:c r="B33" s="19"/>
      <x:c r="C33" s="19"/>
      <x:c r="D33" s="19"/>
      <x:c r="E33" s="19"/>
      <x:c r="F33" s="19"/>
      <x:c r="G33" s="26"/>
      <x:c r="H33" s="19"/>
    </x:row>
    <x:row r="34">
      <x:c r="A34" s="19"/>
      <x:c r="B34" s="19"/>
      <x:c r="C34" s="19"/>
      <x:c r="D34" s="19"/>
      <x:c r="E34" s="19"/>
      <x:c r="F34" s="19"/>
      <x:c r="G34" s="26"/>
      <x:c r="H34" s="19"/>
    </x:row>
    <x:row r="35">
      <x:c r="A35" s="19"/>
      <x:c r="B35" s="19"/>
      <x:c r="C35" s="19"/>
      <x:c r="D35" s="19"/>
      <x:c r="E35" s="19"/>
      <x:c r="F35" s="19"/>
      <x:c r="G35" s="26"/>
      <x:c r="H35" s="19"/>
    </x:row>
    <x:row r="36">
      <x:c r="A36" s="19"/>
      <x:c r="B36" s="19"/>
      <x:c r="C36" s="19"/>
      <x:c r="D36" s="19"/>
      <x:c r="E36" s="19"/>
      <x:c r="F36" s="19"/>
      <x:c r="G36" s="26"/>
      <x:c r="H36" s="19"/>
    </x:row>
    <x:row r="37">
      <x:c r="A37" s="19"/>
      <x:c r="B37" s="19"/>
      <x:c r="C37" s="19"/>
      <x:c r="D37" s="19"/>
      <x:c r="E37" s="19"/>
      <x:c r="F37" s="19"/>
      <x:c r="G37" s="26"/>
      <x:c r="H37" s="19"/>
    </x:row>
    <x:row r="38">
      <x:c r="A38" s="19"/>
      <x:c r="B38" s="19"/>
      <x:c r="C38" s="19"/>
      <x:c r="D38" s="19"/>
      <x:c r="E38" s="19"/>
      <x:c r="F38" s="19"/>
      <x:c r="G38" s="26"/>
      <x:c r="H38" s="19"/>
    </x:row>
    <x:row r="39">
      <x:c r="A39" s="19"/>
      <x:c r="B39" s="19"/>
      <x:c r="C39" s="19"/>
      <x:c r="D39" s="19"/>
      <x:c r="E39" s="19"/>
      <x:c r="F39" s="19"/>
      <x:c r="G39" s="26"/>
      <x:c r="H39" s="19"/>
    </x:row>
    <x:row r="40">
      <x:c r="A40" s="19"/>
      <x:c r="B40" s="19"/>
      <x:c r="C40" s="19"/>
      <x:c r="D40" s="19"/>
      <x:c r="E40" s="19"/>
      <x:c r="F40" s="19"/>
      <x:c r="G40" s="26"/>
      <x:c r="H40" s="19"/>
    </x:row>
    <x:row r="41">
      <x:c r="A41" s="19"/>
      <x:c r="B41" s="19"/>
      <x:c r="C41" s="19"/>
      <x:c r="D41" s="19"/>
      <x:c r="E41" s="19"/>
      <x:c r="F41" s="19"/>
      <x:c r="G41" s="26"/>
      <x:c r="H41" s="19"/>
    </x:row>
    <x:row r="42">
      <x:c r="A42" s="19"/>
      <x:c r="B42" s="19"/>
      <x:c r="C42" s="19"/>
      <x:c r="D42" s="19"/>
      <x:c r="E42" s="19"/>
      <x:c r="F42" s="19"/>
      <x:c r="G42" s="26"/>
      <x:c r="H42" s="19"/>
    </x:row>
    <x:row r="43">
      <x:c r="A43" s="19"/>
      <x:c r="B43" s="19"/>
      <x:c r="C43" s="19"/>
      <x:c r="D43" s="19"/>
      <x:c r="E43" s="19"/>
      <x:c r="F43" s="19"/>
      <x:c r="G43" s="26"/>
      <x:c r="H43" s="19"/>
    </x:row>
    <x:row r="44">
      <x:c r="A44" s="19"/>
      <x:c r="B44" s="19"/>
      <x:c r="C44" s="19"/>
      <x:c r="D44" s="19"/>
      <x:c r="E44" s="19"/>
      <x:c r="F44" s="19"/>
      <x:c r="G44" s="26"/>
      <x:c r="H44" s="19"/>
    </x:row>
    <x:row r="45">
      <x:c r="A45" s="19"/>
      <x:c r="B45" s="19"/>
      <x:c r="C45" s="19"/>
      <x:c r="D45" s="19"/>
      <x:c r="E45" s="19"/>
      <x:c r="F45" s="19"/>
      <x:c r="G45" s="26"/>
      <x:c r="H45" s="19"/>
    </x:row>
    <x:row r="46">
      <x:c r="A46" s="19"/>
      <x:c r="B46" s="19"/>
      <x:c r="C46" s="19"/>
      <x:c r="D46" s="19"/>
      <x:c r="E46" s="19"/>
      <x:c r="F46" s="19"/>
      <x:c r="G46" s="26"/>
      <x:c r="H46" s="19"/>
    </x:row>
    <x:row r="47">
      <x:c r="A47" s="19"/>
      <x:c r="B47" s="19"/>
      <x:c r="C47" s="19"/>
      <x:c r="D47" s="19"/>
      <x:c r="E47" s="19"/>
      <x:c r="F47" s="19"/>
      <x:c r="G47" s="26"/>
      <x:c r="H47" s="19"/>
    </x:row>
    <x:row r="48">
      <x:c r="A48" s="19"/>
      <x:c r="B48" s="19"/>
      <x:c r="C48" s="19"/>
      <x:c r="D48" s="19"/>
      <x:c r="E48" s="19"/>
      <x:c r="F48" s="19"/>
      <x:c r="G48" s="26"/>
      <x:c r="H48" s="19"/>
    </x:row>
    <x:row r="49">
      <x:c r="A49" s="19"/>
      <x:c r="B49" s="19"/>
      <x:c r="C49" s="19"/>
      <x:c r="D49" s="19"/>
      <x:c r="E49" s="19"/>
      <x:c r="F49" s="19"/>
      <x:c r="G49" s="26"/>
      <x:c r="H49" s="19"/>
    </x:row>
    <x:row r="50">
      <x:c r="A50" s="19"/>
      <x:c r="B50" s="19"/>
      <x:c r="C50" s="19"/>
      <x:c r="D50" s="19"/>
      <x:c r="E50" s="19"/>
      <x:c r="F50" s="19"/>
      <x:c r="G50" s="26"/>
      <x:c r="H50" s="19"/>
    </x:row>
    <x:row r="51">
      <x:c r="A51" s="19"/>
      <x:c r="B51" s="19"/>
      <x:c r="C51" s="19"/>
      <x:c r="D51" s="19"/>
      <x:c r="E51" s="19"/>
      <x:c r="F51" s="19"/>
      <x:c r="G51" s="26"/>
      <x:c r="H51" s="19"/>
    </x:row>
    <x:row r="52">
      <x:c r="A52" s="19"/>
      <x:c r="B52" s="19"/>
      <x:c r="C52" s="19"/>
      <x:c r="D52" s="19"/>
      <x:c r="E52" s="19"/>
      <x:c r="F52" s="19"/>
      <x:c r="G52" s="26"/>
      <x:c r="H52" s="19"/>
    </x:row>
    <x:row r="53">
      <x:c r="A53" s="19"/>
      <x:c r="B53" s="19"/>
      <x:c r="C53" s="19"/>
      <x:c r="D53" s="19"/>
      <x:c r="E53" s="19"/>
      <x:c r="F53" s="19"/>
      <x:c r="G53" s="26"/>
      <x:c r="H53" s="19"/>
    </x:row>
    <x:row r="54">
      <x:c r="A54" s="19"/>
      <x:c r="B54" s="19"/>
      <x:c r="C54" s="19"/>
      <x:c r="D54" s="19"/>
      <x:c r="E54" s="19"/>
      <x:c r="F54" s="19"/>
      <x:c r="G54" s="26"/>
      <x:c r="H54" s="19"/>
    </x:row>
    <x:row r="55">
      <x:c r="A55" s="19"/>
      <x:c r="B55" s="19"/>
      <x:c r="C55" s="19"/>
      <x:c r="D55" s="19"/>
      <x:c r="E55" s="19"/>
      <x:c r="F55" s="19"/>
      <x:c r="G55" s="26"/>
      <x:c r="H55" s="19"/>
    </x:row>
    <x:row r="56">
      <x:c r="A56" s="19"/>
      <x:c r="B56" s="19"/>
      <x:c r="C56" s="19"/>
      <x:c r="D56" s="19"/>
      <x:c r="E56" s="19"/>
      <x:c r="F56" s="19"/>
      <x:c r="G56" s="26"/>
      <x:c r="H56" s="19"/>
    </x:row>
    <x:row r="57">
      <x:c r="A57" s="19"/>
      <x:c r="B57" s="19"/>
      <x:c r="C57" s="19"/>
      <x:c r="D57" s="19"/>
      <x:c r="E57" s="19"/>
      <x:c r="F57" s="19"/>
      <x:c r="G57" s="26"/>
      <x:c r="H57" s="19"/>
    </x:row>
    <x:row r="58">
      <x:c r="A58" s="19"/>
      <x:c r="B58" s="19"/>
      <x:c r="C58" s="19"/>
      <x:c r="D58" s="19"/>
      <x:c r="E58" s="19"/>
      <x:c r="F58" s="19"/>
      <x:c r="G58" s="26"/>
      <x:c r="H58" s="19"/>
    </x:row>
    <x:row r="59">
      <x:c r="A59" s="19"/>
      <x:c r="B59" s="19"/>
      <x:c r="C59" s="19"/>
      <x:c r="D59" s="19"/>
      <x:c r="E59" s="19"/>
      <x:c r="F59" s="19"/>
      <x:c r="G59" s="26"/>
      <x:c r="H59" s="19"/>
    </x:row>
    <x:row r="60">
      <x:c r="A60" s="19"/>
      <x:c r="B60" s="19"/>
      <x:c r="C60" s="19"/>
      <x:c r="D60" s="19"/>
      <x:c r="E60" s="19"/>
      <x:c r="F60" s="19"/>
      <x:c r="G60" s="26"/>
      <x:c r="H60" s="19"/>
    </x:row>
    <x:row r="61">
      <x:c r="A61" s="19"/>
      <x:c r="B61" s="19"/>
      <x:c r="C61" s="19"/>
      <x:c r="D61" s="19"/>
      <x:c r="E61" s="19"/>
      <x:c r="F61" s="19"/>
      <x:c r="G61" s="26"/>
      <x:c r="H61" s="19"/>
    </x:row>
    <x:row r="62">
      <x:c r="A62" s="19"/>
      <x:c r="B62" s="19"/>
      <x:c r="C62" s="19"/>
      <x:c r="D62" s="19"/>
      <x:c r="E62" s="19"/>
      <x:c r="F62" s="19"/>
      <x:c r="G62" s="26"/>
      <x:c r="H62" s="19"/>
    </x:row>
    <x:row r="63">
      <x:c r="A63" s="19"/>
      <x:c r="B63" s="19"/>
      <x:c r="C63" s="19"/>
      <x:c r="D63" s="19"/>
      <x:c r="E63" s="19"/>
      <x:c r="F63" s="19"/>
      <x:c r="G63" s="26"/>
      <x:c r="H63" s="19"/>
    </x:row>
    <x:row r="64">
      <x:c r="A64" s="19"/>
      <x:c r="B64" s="19"/>
      <x:c r="C64" s="19"/>
      <x:c r="D64" s="19"/>
      <x:c r="E64" s="19"/>
      <x:c r="F64" s="19"/>
      <x:c r="G64" s="26"/>
      <x:c r="H64" s="19"/>
    </x:row>
    <x:row r="65">
      <x:c r="A65" s="19"/>
      <x:c r="B65" s="19"/>
      <x:c r="C65" s="19"/>
      <x:c r="D65" s="19"/>
      <x:c r="E65" s="19"/>
      <x:c r="F65" s="19"/>
      <x:c r="G65" s="26"/>
      <x:c r="H65" s="19"/>
    </x:row>
    <x:row r="66">
      <x:c r="A66" s="19"/>
      <x:c r="B66" s="19"/>
      <x:c r="C66" s="19"/>
      <x:c r="D66" s="19"/>
      <x:c r="E66" s="19"/>
      <x:c r="F66" s="19"/>
      <x:c r="G66" s="26"/>
      <x:c r="H66" s="19"/>
    </x:row>
    <x:row r="67">
      <x:c r="A67" s="19"/>
      <x:c r="B67" s="19"/>
      <x:c r="C67" s="19"/>
      <x:c r="D67" s="19"/>
      <x:c r="E67" s="19"/>
      <x:c r="F67" s="19"/>
      <x:c r="G67" s="26"/>
      <x:c r="H67" s="19"/>
    </x:row>
    <x:row r="68">
      <x:c r="A68" s="19"/>
      <x:c r="B68" s="19"/>
      <x:c r="C68" s="19"/>
      <x:c r="D68" s="19"/>
      <x:c r="E68" s="19"/>
      <x:c r="F68" s="19"/>
      <x:c r="G68" s="26"/>
      <x:c r="H68" s="19"/>
    </x:row>
    <x:row r="69">
      <x:c r="A69" s="19"/>
      <x:c r="B69" s="19"/>
      <x:c r="C69" s="19"/>
      <x:c r="D69" s="19"/>
      <x:c r="E69" s="19"/>
      <x:c r="F69" s="19"/>
      <x:c r="G69" s="26"/>
      <x:c r="H69" s="19"/>
    </x:row>
    <x:row r="70">
      <x:c r="A70" s="19"/>
      <x:c r="B70" s="19"/>
      <x:c r="C70" s="19"/>
      <x:c r="D70" s="19"/>
      <x:c r="E70" s="19"/>
      <x:c r="F70" s="19"/>
      <x:c r="G70" s="26"/>
      <x:c r="H70" s="19"/>
    </x:row>
    <x:row r="71">
      <x:c r="A71" s="19"/>
      <x:c r="B71" s="19"/>
      <x:c r="C71" s="19"/>
      <x:c r="D71" s="19"/>
      <x:c r="E71" s="19"/>
      <x:c r="F71" s="19"/>
      <x:c r="G71" s="26"/>
      <x:c r="H71" s="19"/>
    </x:row>
    <x:row r="72">
      <x:c r="A72" s="19"/>
      <x:c r="B72" s="19"/>
      <x:c r="C72" s="19"/>
      <x:c r="D72" s="19"/>
      <x:c r="E72" s="19"/>
      <x:c r="F72" s="19"/>
      <x:c r="G72" s="26"/>
      <x:c r="H72" s="19"/>
    </x:row>
    <x:row r="73">
      <x:c r="A73" s="19"/>
      <x:c r="B73" s="19"/>
      <x:c r="C73" s="19"/>
      <x:c r="D73" s="19"/>
      <x:c r="E73" s="19"/>
      <x:c r="F73" s="19"/>
      <x:c r="G73" s="26"/>
      <x:c r="H73" s="19"/>
    </x:row>
    <x:row r="74">
      <x:c r="A74" s="19"/>
      <x:c r="B74" s="19"/>
      <x:c r="C74" s="19"/>
      <x:c r="D74" s="19"/>
      <x:c r="E74" s="19"/>
      <x:c r="F74" s="19"/>
      <x:c r="G74" s="26"/>
      <x:c r="H74" s="19"/>
    </x:row>
    <x:row r="75">
      <x:c r="A75" s="19"/>
      <x:c r="B75" s="19"/>
      <x:c r="C75" s="19"/>
      <x:c r="D75" s="19"/>
      <x:c r="E75" s="19"/>
      <x:c r="F75" s="19"/>
      <x:c r="G75" s="26"/>
      <x:c r="H75" s="19"/>
    </x:row>
    <x:row r="76">
      <x:c r="A76" s="19"/>
      <x:c r="B76" s="19"/>
      <x:c r="C76" s="19"/>
      <x:c r="D76" s="19"/>
      <x:c r="E76" s="19"/>
      <x:c r="F76" s="19"/>
      <x:c r="G76" s="26"/>
      <x:c r="H76" s="19"/>
    </x:row>
    <x:row r="77">
      <x:c r="A77" s="19"/>
      <x:c r="B77" s="19"/>
      <x:c r="C77" s="19"/>
      <x:c r="D77" s="19"/>
      <x:c r="E77" s="19"/>
      <x:c r="F77" s="19"/>
      <x:c r="G77" s="26"/>
      <x:c r="H77" s="19"/>
    </x:row>
    <x:row r="78">
      <x:c r="A78" s="19"/>
      <x:c r="B78" s="19"/>
      <x:c r="C78" s="19"/>
      <x:c r="D78" s="19"/>
      <x:c r="E78" s="19"/>
      <x:c r="F78" s="19"/>
      <x:c r="G78" s="26"/>
      <x:c r="H78" s="19"/>
    </x:row>
    <x:row r="79">
      <x:c r="A79" s="19"/>
      <x:c r="B79" s="19"/>
      <x:c r="C79" s="19"/>
      <x:c r="D79" s="19"/>
      <x:c r="E79" s="19"/>
      <x:c r="F79" s="19"/>
      <x:c r="G79" s="26"/>
      <x:c r="H79" s="19"/>
    </x:row>
    <x:row r="80">
      <x:c r="A80" s="19"/>
      <x:c r="B80" s="19"/>
      <x:c r="C80" s="19"/>
      <x:c r="D80" s="19"/>
      <x:c r="E80" s="19"/>
      <x:c r="F80" s="19"/>
      <x:c r="G80" s="26"/>
      <x:c r="H80" s="19"/>
    </x:row>
    <x:row r="81">
      <x:c r="A81" s="19"/>
      <x:c r="B81" s="19"/>
      <x:c r="C81" s="19"/>
      <x:c r="D81" s="19"/>
      <x:c r="E81" s="19"/>
      <x:c r="F81" s="19"/>
      <x:c r="G81" s="26"/>
      <x:c r="H81" s="19"/>
    </x:row>
    <x:row r="82">
      <x:c r="A82" s="19"/>
      <x:c r="B82" s="19"/>
      <x:c r="C82" s="19"/>
      <x:c r="D82" s="19"/>
      <x:c r="E82" s="19"/>
      <x:c r="F82" s="19"/>
      <x:c r="G82" s="26"/>
      <x:c r="H82" s="19"/>
    </x:row>
    <x:row r="83">
      <x:c r="A83" s="19"/>
      <x:c r="B83" s="19"/>
      <x:c r="C83" s="19"/>
      <x:c r="D83" s="19"/>
      <x:c r="E83" s="19"/>
      <x:c r="F83" s="19"/>
      <x:c r="G83" s="26"/>
      <x:c r="H83" s="19"/>
    </x:row>
    <x:row r="84">
      <x:c r="A84" s="19"/>
      <x:c r="B84" s="19"/>
      <x:c r="C84" s="19"/>
      <x:c r="D84" s="19"/>
      <x:c r="E84" s="19"/>
      <x:c r="F84" s="19"/>
      <x:c r="G84" s="26"/>
      <x:c r="H84" s="19"/>
    </x:row>
    <x:row r="85">
      <x:c r="A85" s="19"/>
      <x:c r="B85" s="19"/>
      <x:c r="C85" s="19"/>
      <x:c r="D85" s="19"/>
      <x:c r="E85" s="19"/>
      <x:c r="F85" s="19"/>
      <x:c r="G85" s="26"/>
      <x:c r="H85" s="19"/>
    </x:row>
    <x:row r="86">
      <x:c r="A86" s="19"/>
      <x:c r="B86" s="19"/>
      <x:c r="C86" s="19"/>
      <x:c r="D86" s="19"/>
      <x:c r="E86" s="19"/>
      <x:c r="F86" s="19"/>
      <x:c r="G86" s="26"/>
      <x:c r="H86" s="19"/>
    </x:row>
    <x:row r="87">
      <x:c r="A87" s="19"/>
      <x:c r="B87" s="19"/>
      <x:c r="C87" s="19"/>
      <x:c r="D87" s="19"/>
      <x:c r="E87" s="19"/>
      <x:c r="F87" s="19"/>
      <x:c r="G87" s="26"/>
      <x:c r="H87" s="19"/>
    </x:row>
    <x:row r="88">
      <x:c r="A88" s="19"/>
      <x:c r="B88" s="19"/>
      <x:c r="C88" s="19"/>
      <x:c r="D88" s="19"/>
      <x:c r="E88" s="19"/>
      <x:c r="F88" s="19"/>
      <x:c r="G88" s="26"/>
      <x:c r="H88" s="19"/>
    </x:row>
    <x:row r="89">
      <x:c r="A89" s="19"/>
      <x:c r="B89" s="19"/>
      <x:c r="C89" s="19"/>
      <x:c r="D89" s="19"/>
      <x:c r="E89" s="19"/>
      <x:c r="F89" s="19"/>
      <x:c r="G89" s="26"/>
      <x:c r="H89" s="19"/>
    </x:row>
    <x:row r="90">
      <x:c r="A90" s="19"/>
      <x:c r="B90" s="19"/>
      <x:c r="C90" s="19"/>
      <x:c r="D90" s="19"/>
      <x:c r="E90" s="19"/>
      <x:c r="F90" s="19"/>
      <x:c r="G90" s="26"/>
      <x:c r="H90" s="19"/>
    </x:row>
    <x:row r="91">
      <x:c r="A91" s="19"/>
      <x:c r="B91" s="19"/>
      <x:c r="C91" s="19"/>
      <x:c r="D91" s="19"/>
      <x:c r="E91" s="19"/>
      <x:c r="F91" s="19"/>
      <x:c r="G91" s="26"/>
      <x:c r="H91" s="19"/>
    </x:row>
    <x:row r="92">
      <x:c r="A92" s="19"/>
      <x:c r="B92" s="19"/>
      <x:c r="C92" s="19"/>
      <x:c r="D92" s="19"/>
      <x:c r="E92" s="19"/>
      <x:c r="F92" s="19"/>
      <x:c r="G92" s="26"/>
      <x:c r="H92" s="19"/>
    </x:row>
    <x:row r="93">
      <x:c r="A93" s="19"/>
      <x:c r="B93" s="19"/>
      <x:c r="C93" s="19"/>
      <x:c r="D93" s="19"/>
      <x:c r="E93" s="19"/>
      <x:c r="F93" s="19"/>
      <x:c r="G93" s="26"/>
      <x:c r="H93" s="19"/>
    </x:row>
    <x:row r="94">
      <x:c r="A94" s="19"/>
      <x:c r="B94" s="19"/>
      <x:c r="C94" s="19"/>
      <x:c r="D94" s="19"/>
      <x:c r="E94" s="19"/>
      <x:c r="F94" s="19"/>
      <x:c r="G94" s="26"/>
      <x:c r="H94" s="19"/>
    </x:row>
    <x:row r="95">
      <x:c r="A95" s="19"/>
      <x:c r="B95" s="19"/>
      <x:c r="C95" s="19"/>
      <x:c r="D95" s="19"/>
      <x:c r="E95" s="19"/>
      <x:c r="F95" s="19"/>
      <x:c r="G95" s="26"/>
      <x:c r="H95" s="19"/>
    </x:row>
    <x:row r="96">
      <x:c r="A96" s="19"/>
      <x:c r="B96" s="19"/>
      <x:c r="C96" s="19"/>
      <x:c r="D96" s="19"/>
      <x:c r="E96" s="19"/>
      <x:c r="F96" s="19"/>
      <x:c r="G96" s="26"/>
      <x:c r="H96" s="19"/>
    </x:row>
    <x:row r="97">
      <x:c r="A97" s="19"/>
      <x:c r="B97" s="19"/>
      <x:c r="C97" s="19"/>
      <x:c r="D97" s="19"/>
      <x:c r="E97" s="19"/>
      <x:c r="F97" s="19"/>
      <x:c r="G97" s="26"/>
      <x:c r="H97" s="19"/>
    </x:row>
    <x:row r="98">
      <x:c r="A98" s="19"/>
      <x:c r="B98" s="19"/>
      <x:c r="C98" s="19"/>
      <x:c r="D98" s="19"/>
      <x:c r="E98" s="19"/>
      <x:c r="F98" s="19"/>
      <x:c r="G98" s="26"/>
      <x:c r="H98" s="19"/>
    </x:row>
    <x:row r="99">
      <x:c r="A99" s="19"/>
      <x:c r="B99" s="19"/>
      <x:c r="C99" s="19"/>
      <x:c r="D99" s="19"/>
      <x:c r="E99" s="19"/>
      <x:c r="F99" s="19"/>
      <x:c r="G99" s="26"/>
      <x:c r="H99" s="19"/>
    </x:row>
    <x:row r="100">
      <x:c r="A100" s="19"/>
      <x:c r="B100" s="19"/>
      <x:c r="C100" s="19"/>
      <x:c r="D100" s="19"/>
      <x:c r="E100" s="19"/>
      <x:c r="F100" s="19"/>
      <x:c r="G100" s="26"/>
      <x:c r="H100" s="19"/>
    </x:row>
    <x:row r="101">
      <x:c r="A101" s="19"/>
      <x:c r="B101" s="19"/>
      <x:c r="C101" s="19"/>
      <x:c r="D101" s="19"/>
      <x:c r="E101" s="19"/>
      <x:c r="F101" s="19"/>
      <x:c r="G101" s="26"/>
      <x:c r="H101" s="19"/>
    </x:row>
    <x:row r="102">
      <x:c r="A102" s="19"/>
      <x:c r="B102" s="19"/>
      <x:c r="C102" s="19"/>
      <x:c r="D102" s="19"/>
      <x:c r="E102" s="19"/>
      <x:c r="F102" s="19"/>
      <x:c r="G102" s="26"/>
      <x:c r="H102" s="19"/>
    </x:row>
    <x:row r="103">
      <x:c r="A103" s="19"/>
      <x:c r="B103" s="19"/>
      <x:c r="C103" s="19"/>
      <x:c r="D103" s="19"/>
      <x:c r="E103" s="19"/>
      <x:c r="F103" s="19"/>
      <x:c r="G103" s="26"/>
      <x:c r="H103" s="19"/>
    </x:row>
    <x:row r="104">
      <x:c r="A104" s="19"/>
      <x:c r="B104" s="19"/>
      <x:c r="C104" s="19"/>
      <x:c r="D104" s="19"/>
      <x:c r="E104" s="19"/>
      <x:c r="F104" s="19"/>
      <x:c r="G104" s="26"/>
      <x:c r="H104" s="19"/>
    </x:row>
    <x:row r="105">
      <x:c r="A105" s="19"/>
      <x:c r="B105" s="19"/>
      <x:c r="C105" s="19"/>
      <x:c r="D105" s="19"/>
      <x:c r="E105" s="19"/>
      <x:c r="F105" s="19"/>
      <x:c r="G105" s="26"/>
      <x:c r="H105" s="19"/>
    </x:row>
    <x:row r="106">
      <x:c r="A106" s="19"/>
      <x:c r="B106" s="19"/>
      <x:c r="C106" s="19"/>
      <x:c r="D106" s="19"/>
      <x:c r="E106" s="19"/>
      <x:c r="F106" s="19"/>
      <x:c r="G106" s="26"/>
      <x:c r="H106" s="19"/>
    </x:row>
    <x:row r="107">
      <x:c r="A107" s="19"/>
      <x:c r="B107" s="19"/>
      <x:c r="C107" s="19"/>
      <x:c r="D107" s="19"/>
      <x:c r="E107" s="19"/>
      <x:c r="F107" s="19"/>
      <x:c r="G107" s="26"/>
      <x:c r="H107" s="19"/>
    </x:row>
    <x:row r="108">
      <x:c r="A108" s="19"/>
      <x:c r="B108" s="19"/>
      <x:c r="C108" s="19"/>
      <x:c r="D108" s="19"/>
      <x:c r="E108" s="19"/>
      <x:c r="F108" s="19"/>
      <x:c r="G108" s="26"/>
      <x:c r="H108" s="19"/>
    </x:row>
    <x:row r="109">
      <x:c r="A109" s="19"/>
      <x:c r="B109" s="19"/>
      <x:c r="C109" s="19"/>
      <x:c r="D109" s="19"/>
      <x:c r="E109" s="19"/>
      <x:c r="F109" s="19"/>
      <x:c r="G109" s="26"/>
      <x:c r="H109" s="19"/>
    </x:row>
    <x:row r="110">
      <x:c r="A110" s="19"/>
      <x:c r="B110" s="19"/>
      <x:c r="C110" s="19"/>
      <x:c r="D110" s="19"/>
      <x:c r="E110" s="19"/>
      <x:c r="F110" s="19"/>
      <x:c r="G110" s="26"/>
      <x:c r="H110" s="19"/>
    </x:row>
    <x:row r="111">
      <x:c r="A111" s="19"/>
      <x:c r="B111" s="19"/>
      <x:c r="C111" s="19"/>
      <x:c r="D111" s="19"/>
      <x:c r="E111" s="19"/>
      <x:c r="F111" s="19"/>
      <x:c r="G111" s="26"/>
      <x:c r="H111" s="19"/>
    </x:row>
    <x:row r="112">
      <x:c r="A112" s="19"/>
      <x:c r="B112" s="19"/>
      <x:c r="C112" s="19"/>
      <x:c r="D112" s="19"/>
      <x:c r="E112" s="19"/>
      <x:c r="F112" s="19"/>
      <x:c r="G112" s="26"/>
      <x:c r="H112" s="19"/>
    </x:row>
    <x:row r="113">
      <x:c r="A113" s="19"/>
      <x:c r="B113" s="19"/>
      <x:c r="C113" s="19"/>
      <x:c r="D113" s="19"/>
      <x:c r="E113" s="19"/>
      <x:c r="F113" s="19"/>
      <x:c r="G113" s="26"/>
      <x:c r="H113" s="19"/>
    </x:row>
    <x:row r="114">
      <x:c r="A114" s="19"/>
      <x:c r="B114" s="19"/>
      <x:c r="C114" s="19"/>
      <x:c r="D114" s="19"/>
      <x:c r="E114" s="19"/>
      <x:c r="F114" s="19"/>
      <x:c r="G114" s="26"/>
      <x:c r="H114" s="19"/>
    </x:row>
    <x:row r="115">
      <x:c r="A115" s="19"/>
      <x:c r="B115" s="19"/>
      <x:c r="C115" s="19"/>
      <x:c r="D115" s="19"/>
      <x:c r="E115" s="19"/>
      <x:c r="F115" s="19"/>
      <x:c r="G115" s="26"/>
      <x:c r="H115" s="19"/>
    </x:row>
    <x:row r="116">
      <x:c r="A116" s="19"/>
      <x:c r="B116" s="19"/>
      <x:c r="C116" s="19"/>
      <x:c r="D116" s="19"/>
      <x:c r="E116" s="19"/>
      <x:c r="F116" s="19"/>
      <x:c r="G116" s="26"/>
      <x:c r="H116" s="19"/>
    </x:row>
    <x:row r="117">
      <x:c r="A117" s="19"/>
      <x:c r="B117" s="19"/>
      <x:c r="C117" s="19"/>
      <x:c r="D117" s="19"/>
      <x:c r="E117" s="19"/>
      <x:c r="F117" s="19"/>
      <x:c r="G117" s="26"/>
      <x:c r="H117" s="19"/>
    </x:row>
    <x:row r="118">
      <x:c r="A118" s="19"/>
      <x:c r="B118" s="19"/>
      <x:c r="C118" s="19"/>
      <x:c r="D118" s="19"/>
      <x:c r="E118" s="19"/>
      <x:c r="F118" s="19"/>
      <x:c r="G118" s="26"/>
      <x:c r="H118" s="19"/>
    </x:row>
    <x:row r="119">
      <x:c r="A119" s="19"/>
      <x:c r="B119" s="19"/>
      <x:c r="C119" s="19"/>
      <x:c r="D119" s="19"/>
      <x:c r="E119" s="19"/>
      <x:c r="F119" s="19"/>
      <x:c r="G119" s="26"/>
      <x:c r="H119" s="19"/>
    </x:row>
    <x:row r="120">
      <x:c r="A120" s="19"/>
      <x:c r="B120" s="19"/>
      <x:c r="C120" s="19"/>
      <x:c r="D120" s="19"/>
      <x:c r="E120" s="19"/>
      <x:c r="F120" s="19"/>
      <x:c r="G120" s="26"/>
      <x:c r="H120" s="19"/>
    </x:row>
    <x:row r="121">
      <x:c r="A121" s="19"/>
      <x:c r="B121" s="19"/>
      <x:c r="C121" s="19"/>
      <x:c r="D121" s="19"/>
      <x:c r="E121" s="19"/>
      <x:c r="F121" s="19"/>
      <x:c r="G121" s="26"/>
      <x:c r="H121" s="19"/>
    </x:row>
    <x:row r="122">
      <x:c r="A122" s="19"/>
      <x:c r="B122" s="19"/>
      <x:c r="C122" s="19"/>
      <x:c r="D122" s="19"/>
      <x:c r="E122" s="19"/>
      <x:c r="F122" s="19"/>
      <x:c r="G122" s="26"/>
      <x:c r="H122" s="19"/>
    </x:row>
    <x:row r="123">
      <x:c r="A123" s="19"/>
      <x:c r="B123" s="19"/>
      <x:c r="C123" s="19"/>
      <x:c r="D123" s="19"/>
      <x:c r="E123" s="19"/>
      <x:c r="F123" s="19"/>
      <x:c r="G123" s="26"/>
      <x:c r="H123" s="19"/>
    </x:row>
    <x:row r="124">
      <x:c r="A124" s="19"/>
      <x:c r="B124" s="19"/>
      <x:c r="C124" s="19"/>
      <x:c r="D124" s="19"/>
      <x:c r="E124" s="19"/>
      <x:c r="F124" s="19"/>
      <x:c r="G124" s="26"/>
      <x:c r="H124" s="19"/>
    </x:row>
    <x:row r="125">
      <x:c r="A125" s="19"/>
      <x:c r="B125" s="19"/>
      <x:c r="C125" s="19"/>
      <x:c r="D125" s="19"/>
      <x:c r="E125" s="19"/>
      <x:c r="F125" s="19"/>
      <x:c r="G125" s="26"/>
      <x:c r="H125" s="19"/>
    </x:row>
    <x:row r="126">
      <x:c r="A126" s="19"/>
      <x:c r="B126" s="19"/>
      <x:c r="C126" s="19"/>
      <x:c r="D126" s="19"/>
      <x:c r="E126" s="19"/>
      <x:c r="F126" s="19"/>
      <x:c r="G126" s="26"/>
      <x:c r="H126" s="19"/>
    </x:row>
    <x:row r="127">
      <x:c r="A127" s="19"/>
      <x:c r="B127" s="19"/>
      <x:c r="C127" s="19"/>
      <x:c r="D127" s="19"/>
      <x:c r="E127" s="19"/>
      <x:c r="F127" s="19"/>
      <x:c r="G127" s="26"/>
      <x:c r="H127" s="19"/>
    </x:row>
    <x:row r="128">
      <x:c r="A128" s="19"/>
      <x:c r="B128" s="19"/>
      <x:c r="C128" s="19"/>
      <x:c r="D128" s="19"/>
      <x:c r="E128" s="19"/>
      <x:c r="F128" s="19"/>
      <x:c r="G128" s="26"/>
      <x:c r="H128" s="19"/>
    </x:row>
    <x:row r="129">
      <x:c r="A129" s="19"/>
      <x:c r="B129" s="19"/>
      <x:c r="C129" s="19"/>
      <x:c r="D129" s="19"/>
      <x:c r="E129" s="19"/>
      <x:c r="F129" s="19"/>
      <x:c r="G129" s="26"/>
      <x:c r="H129" s="19"/>
    </x:row>
    <x:row r="130">
      <x:c r="A130" s="19"/>
      <x:c r="B130" s="19"/>
      <x:c r="C130" s="19"/>
      <x:c r="D130" s="19"/>
      <x:c r="E130" s="19"/>
      <x:c r="F130" s="19"/>
      <x:c r="G130" s="26"/>
      <x:c r="H130" s="19"/>
    </x:row>
    <x:row r="131">
      <x:c r="A131" s="19"/>
      <x:c r="B131" s="19"/>
      <x:c r="C131" s="19"/>
      <x:c r="D131" s="19"/>
      <x:c r="E131" s="19"/>
      <x:c r="F131" s="19"/>
      <x:c r="G131" s="26"/>
      <x:c r="H131" s="19"/>
    </x:row>
    <x:row r="132">
      <x:c r="A132" s="19"/>
      <x:c r="B132" s="19"/>
      <x:c r="C132" s="19"/>
      <x:c r="D132" s="19"/>
      <x:c r="E132" s="19"/>
      <x:c r="F132" s="19"/>
      <x:c r="G132" s="26"/>
      <x:c r="H132" s="19"/>
    </x:row>
    <x:row r="133">
      <x:c r="A133" s="19"/>
      <x:c r="B133" s="19"/>
      <x:c r="C133" s="19"/>
      <x:c r="D133" s="19"/>
      <x:c r="E133" s="19"/>
      <x:c r="F133" s="19"/>
      <x:c r="G133" s="26"/>
      <x:c r="H133" s="19"/>
    </x:row>
    <x:row r="134">
      <x:c r="A134" s="19"/>
      <x:c r="B134" s="19"/>
      <x:c r="C134" s="19"/>
      <x:c r="D134" s="19"/>
      <x:c r="E134" s="19"/>
      <x:c r="F134" s="19"/>
      <x:c r="G134" s="26"/>
      <x:c r="H134" s="19"/>
    </x:row>
    <x:row r="135">
      <x:c r="A135" s="19"/>
      <x:c r="B135" s="19"/>
      <x:c r="C135" s="19"/>
      <x:c r="D135" s="19"/>
      <x:c r="E135" s="19"/>
      <x:c r="F135" s="19"/>
      <x:c r="G135" s="26"/>
      <x:c r="H135" s="19"/>
    </x:row>
    <x:row r="136">
      <x:c r="A136" s="19"/>
      <x:c r="B136" s="19"/>
      <x:c r="C136" s="19"/>
      <x:c r="D136" s="19"/>
      <x:c r="E136" s="19"/>
      <x:c r="F136" s="19"/>
      <x:c r="G136" s="26"/>
      <x:c r="H136" s="19"/>
    </x:row>
    <x:row r="137">
      <x:c r="A137" s="19"/>
      <x:c r="B137" s="19"/>
      <x:c r="C137" s="19"/>
      <x:c r="D137" s="19"/>
      <x:c r="E137" s="19"/>
      <x:c r="F137" s="19"/>
      <x:c r="G137" s="26"/>
      <x:c r="H137" s="19"/>
    </x:row>
    <x:row r="138">
      <x:c r="A138" s="19"/>
      <x:c r="B138" s="19"/>
      <x:c r="C138" s="19"/>
      <x:c r="D138" s="19"/>
      <x:c r="E138" s="19"/>
      <x:c r="F138" s="19"/>
      <x:c r="G138" s="26"/>
      <x:c r="H138" s="19"/>
    </x:row>
    <x:row r="139">
      <x:c r="A139" s="19"/>
      <x:c r="B139" s="19"/>
      <x:c r="C139" s="19"/>
      <x:c r="D139" s="19"/>
      <x:c r="E139" s="19"/>
      <x:c r="F139" s="19"/>
      <x:c r="G139" s="26"/>
      <x:c r="H139" s="19"/>
    </x:row>
    <x:row r="140">
      <x:c r="A140" s="19"/>
      <x:c r="B140" s="19"/>
      <x:c r="C140" s="19"/>
      <x:c r="D140" s="19"/>
      <x:c r="E140" s="19"/>
      <x:c r="F140" s="19"/>
      <x:c r="G140" s="26"/>
      <x:c r="H140" s="19"/>
    </x:row>
    <x:row r="141">
      <x:c r="A141" s="19"/>
      <x:c r="B141" s="19"/>
      <x:c r="C141" s="19"/>
      <x:c r="D141" s="19"/>
      <x:c r="E141" s="19"/>
      <x:c r="F141" s="19"/>
      <x:c r="G141" s="26"/>
      <x:c r="H141" s="19"/>
    </x:row>
    <x:row r="142">
      <x:c r="A142" s="19"/>
      <x:c r="B142" s="19"/>
      <x:c r="C142" s="19"/>
      <x:c r="D142" s="19"/>
      <x:c r="E142" s="19"/>
      <x:c r="F142" s="19"/>
      <x:c r="G142" s="26"/>
      <x:c r="H142" s="19"/>
    </x:row>
    <x:row r="143">
      <x:c r="A143" s="19"/>
      <x:c r="B143" s="19"/>
      <x:c r="C143" s="19"/>
      <x:c r="D143" s="19"/>
      <x:c r="E143" s="19"/>
      <x:c r="F143" s="19"/>
      <x:c r="G143" s="26"/>
      <x:c r="H143" s="19"/>
    </x:row>
    <x:row r="144">
      <x:c r="A144" s="19"/>
      <x:c r="B144" s="19"/>
      <x:c r="C144" s="19"/>
      <x:c r="D144" s="19"/>
      <x:c r="E144" s="19"/>
      <x:c r="F144" s="19"/>
      <x:c r="G144" s="26"/>
      <x:c r="H144" s="19"/>
    </x:row>
    <x:row r="145">
      <x:c r="A145" s="19"/>
      <x:c r="B145" s="19"/>
      <x:c r="C145" s="19"/>
      <x:c r="D145" s="19"/>
      <x:c r="E145" s="19"/>
      <x:c r="F145" s="19"/>
      <x:c r="G145" s="26"/>
      <x:c r="H145" s="19"/>
    </x:row>
    <x:row r="146">
      <x:c r="A146" s="19"/>
      <x:c r="B146" s="19"/>
      <x:c r="C146" s="19"/>
      <x:c r="D146" s="19"/>
      <x:c r="E146" s="19"/>
      <x:c r="F146" s="19"/>
      <x:c r="G146" s="26"/>
      <x:c r="H146" s="19"/>
    </x:row>
    <x:row r="147">
      <x:c r="A147" s="19"/>
      <x:c r="B147" s="19"/>
      <x:c r="C147" s="19"/>
      <x:c r="D147" s="19"/>
      <x:c r="E147" s="19"/>
      <x:c r="F147" s="19"/>
      <x:c r="G147" s="26"/>
      <x:c r="H147" s="19"/>
    </x:row>
    <x:row r="148">
      <x:c r="A148" s="19"/>
      <x:c r="B148" s="19"/>
      <x:c r="C148" s="19"/>
      <x:c r="D148" s="19"/>
      <x:c r="E148" s="19"/>
      <x:c r="F148" s="19"/>
      <x:c r="G148" s="26"/>
      <x:c r="H148" s="19"/>
    </x:row>
    <x:row r="149">
      <x:c r="A149" s="19"/>
      <x:c r="B149" s="19"/>
      <x:c r="C149" s="19"/>
      <x:c r="D149" s="19"/>
      <x:c r="E149" s="19"/>
      <x:c r="F149" s="19"/>
      <x:c r="G149" s="26"/>
      <x:c r="H149" s="19"/>
    </x:row>
    <x:row r="150">
      <x:c r="A150" s="19"/>
      <x:c r="B150" s="19"/>
      <x:c r="C150" s="19"/>
      <x:c r="D150" s="19"/>
      <x:c r="E150" s="19"/>
      <x:c r="F150" s="19"/>
      <x:c r="G150" s="26"/>
      <x:c r="H150" s="19"/>
    </x:row>
    <x:row r="151">
      <x:c r="A151" s="19"/>
      <x:c r="B151" s="19"/>
      <x:c r="C151" s="19"/>
      <x:c r="D151" s="19"/>
      <x:c r="E151" s="19"/>
      <x:c r="F151" s="19"/>
      <x:c r="G151" s="26"/>
      <x:c r="H151" s="19"/>
    </x:row>
    <x:row r="152">
      <x:c r="A152" s="19"/>
      <x:c r="B152" s="19"/>
      <x:c r="C152" s="19"/>
      <x:c r="D152" s="19"/>
      <x:c r="E152" s="19"/>
      <x:c r="F152" s="19"/>
      <x:c r="G152" s="26"/>
      <x:c r="H152" s="19"/>
    </x:row>
    <x:row r="153">
      <x:c r="A153" s="19"/>
      <x:c r="B153" s="19"/>
      <x:c r="C153" s="19"/>
      <x:c r="D153" s="19"/>
      <x:c r="E153" s="19"/>
      <x:c r="F153" s="19"/>
      <x:c r="G153" s="26"/>
      <x:c r="H153" s="19"/>
    </x:row>
    <x:row r="154">
      <x:c r="A154" s="19"/>
      <x:c r="B154" s="19"/>
      <x:c r="C154" s="19"/>
      <x:c r="D154" s="19"/>
      <x:c r="E154" s="19"/>
      <x:c r="F154" s="19"/>
      <x:c r="G154" s="26"/>
      <x:c r="H154" s="19"/>
    </x:row>
    <x:row r="155">
      <x:c r="A155" s="19"/>
      <x:c r="B155" s="19"/>
      <x:c r="C155" s="19"/>
      <x:c r="D155" s="19"/>
      <x:c r="E155" s="19"/>
      <x:c r="F155" s="19"/>
      <x:c r="G155" s="26"/>
      <x:c r="H155" s="19"/>
    </x:row>
    <x:row r="156">
      <x:c r="A156" s="19"/>
      <x:c r="B156" s="19"/>
      <x:c r="C156" s="19"/>
      <x:c r="D156" s="19"/>
      <x:c r="E156" s="19"/>
      <x:c r="F156" s="19"/>
      <x:c r="G156" s="26"/>
      <x:c r="H156" s="19"/>
    </x:row>
    <x:row r="157">
      <x:c r="A157" s="19"/>
      <x:c r="B157" s="19"/>
      <x:c r="C157" s="19"/>
      <x:c r="D157" s="19"/>
      <x:c r="E157" s="19"/>
      <x:c r="F157" s="19"/>
      <x:c r="G157" s="26"/>
      <x:c r="H157" s="19"/>
    </x:row>
    <x:row r="158">
      <x:c r="A158" s="19"/>
      <x:c r="B158" s="19"/>
      <x:c r="C158" s="19"/>
      <x:c r="D158" s="19"/>
      <x:c r="E158" s="19"/>
      <x:c r="F158" s="19"/>
      <x:c r="G158" s="26"/>
      <x:c r="H158" s="19"/>
    </x:row>
    <x:row r="159">
      <x:c r="A159" s="19"/>
      <x:c r="B159" s="19"/>
      <x:c r="C159" s="19"/>
      <x:c r="D159" s="19"/>
      <x:c r="E159" s="19"/>
      <x:c r="F159" s="19"/>
      <x:c r="G159" s="26"/>
      <x:c r="H159" s="19"/>
    </x:row>
    <x:row r="160">
      <x:c r="A160" s="19"/>
      <x:c r="B160" s="19"/>
      <x:c r="C160" s="19"/>
      <x:c r="D160" s="19"/>
      <x:c r="E160" s="19"/>
      <x:c r="F160" s="19"/>
      <x:c r="G160" s="26"/>
      <x:c r="H160" s="19"/>
    </x:row>
    <x:row r="161">
      <x:c r="A161" s="19"/>
      <x:c r="B161" s="19"/>
      <x:c r="C161" s="19"/>
      <x:c r="D161" s="19"/>
      <x:c r="E161" s="19"/>
      <x:c r="F161" s="19"/>
      <x:c r="G161" s="26"/>
      <x:c r="H161" s="19"/>
    </x:row>
    <x:row r="162">
      <x:c r="A162" s="19"/>
      <x:c r="B162" s="19"/>
      <x:c r="C162" s="19"/>
      <x:c r="D162" s="19"/>
      <x:c r="E162" s="19"/>
      <x:c r="F162" s="19"/>
      <x:c r="G162" s="26"/>
      <x:c r="H162" s="19"/>
    </x:row>
    <x:row r="163">
      <x:c r="A163" s="19"/>
      <x:c r="B163" s="19"/>
      <x:c r="C163" s="19"/>
      <x:c r="D163" s="19"/>
      <x:c r="E163" s="19"/>
      <x:c r="F163" s="19"/>
      <x:c r="G163" s="26"/>
      <x:c r="H163" s="19"/>
    </x:row>
    <x:row r="164">
      <x:c r="A164" s="19"/>
      <x:c r="B164" s="19"/>
      <x:c r="C164" s="19"/>
      <x:c r="D164" s="19"/>
      <x:c r="E164" s="19"/>
      <x:c r="F164" s="19"/>
      <x:c r="G164" s="26"/>
      <x:c r="H164" s="19"/>
    </x:row>
    <x:row r="165">
      <x:c r="A165" s="19"/>
      <x:c r="B165" s="19"/>
      <x:c r="C165" s="19"/>
      <x:c r="D165" s="19"/>
      <x:c r="E165" s="19"/>
      <x:c r="F165" s="19"/>
      <x:c r="G165" s="26"/>
      <x:c r="H165" s="19"/>
    </x:row>
    <x:row r="166">
      <x:c r="A166" s="19"/>
      <x:c r="B166" s="19"/>
      <x:c r="C166" s="19"/>
      <x:c r="D166" s="19"/>
      <x:c r="E166" s="19"/>
      <x:c r="F166" s="19"/>
      <x:c r="G166" s="26"/>
      <x:c r="H166" s="19"/>
    </x:row>
    <x:row r="167">
      <x:c r="A167" s="19"/>
      <x:c r="B167" s="19"/>
      <x:c r="C167" s="19"/>
      <x:c r="D167" s="19"/>
      <x:c r="E167" s="19"/>
      <x:c r="F167" s="19"/>
      <x:c r="G167" s="26"/>
      <x:c r="H167" s="19"/>
    </x:row>
    <x:row r="168">
      <x:c r="A168" s="19"/>
      <x:c r="B168" s="19"/>
      <x:c r="C168" s="19"/>
      <x:c r="D168" s="19"/>
      <x:c r="E168" s="19"/>
      <x:c r="F168" s="19"/>
      <x:c r="G168" s="26"/>
      <x:c r="H168" s="19"/>
    </x:row>
    <x:row r="169">
      <x:c r="A169" s="19"/>
      <x:c r="B169" s="19"/>
      <x:c r="C169" s="19"/>
      <x:c r="D169" s="19"/>
      <x:c r="E169" s="19"/>
      <x:c r="F169" s="19"/>
      <x:c r="G169" s="26"/>
      <x:c r="H169" s="19"/>
    </x:row>
    <x:row r="170">
      <x:c r="A170" s="19"/>
      <x:c r="B170" s="19"/>
      <x:c r="C170" s="19"/>
      <x:c r="D170" s="19"/>
      <x:c r="E170" s="19"/>
      <x:c r="F170" s="19"/>
      <x:c r="G170" s="26"/>
      <x:c r="H170" s="19"/>
    </x:row>
    <x:row r="171">
      <x:c r="A171" s="19"/>
      <x:c r="B171" s="19"/>
      <x:c r="C171" s="19"/>
      <x:c r="D171" s="19"/>
      <x:c r="E171" s="19"/>
      <x:c r="F171" s="19"/>
      <x:c r="G171" s="26"/>
      <x:c r="H171" s="19"/>
    </x:row>
    <x:row r="172">
      <x:c r="A172" s="19"/>
      <x:c r="B172" s="19"/>
      <x:c r="C172" s="19"/>
      <x:c r="D172" s="19"/>
      <x:c r="E172" s="19"/>
      <x:c r="F172" s="19"/>
      <x:c r="G172" s="26"/>
      <x:c r="H172" s="19"/>
    </x:row>
    <x:row r="173">
      <x:c r="A173" s="19"/>
      <x:c r="B173" s="19"/>
      <x:c r="C173" s="19"/>
      <x:c r="D173" s="19"/>
      <x:c r="E173" s="19"/>
      <x:c r="F173" s="19"/>
      <x:c r="G173" s="26"/>
      <x:c r="H173" s="19"/>
    </x:row>
    <x:row r="174">
      <x:c r="A174" s="19"/>
      <x:c r="B174" s="19"/>
      <x:c r="C174" s="19"/>
      <x:c r="D174" s="19"/>
      <x:c r="E174" s="19"/>
      <x:c r="F174" s="19"/>
      <x:c r="G174" s="26"/>
      <x:c r="H174" s="19"/>
    </x:row>
    <x:row r="175">
      <x:c r="A175" s="19"/>
      <x:c r="B175" s="19"/>
      <x:c r="C175" s="19"/>
      <x:c r="D175" s="19"/>
      <x:c r="E175" s="19"/>
      <x:c r="F175" s="19"/>
      <x:c r="G175" s="26"/>
      <x:c r="H175" s="19"/>
    </x:row>
    <x:row r="176">
      <x:c r="A176" s="19"/>
      <x:c r="B176" s="19"/>
      <x:c r="C176" s="19"/>
      <x:c r="D176" s="19"/>
      <x:c r="E176" s="19"/>
      <x:c r="F176" s="19"/>
      <x:c r="G176" s="26"/>
      <x:c r="H176" s="19"/>
    </x:row>
    <x:row r="177">
      <x:c r="A177" s="19"/>
      <x:c r="B177" s="19"/>
      <x:c r="C177" s="19"/>
      <x:c r="D177" s="19"/>
      <x:c r="E177" s="19"/>
      <x:c r="F177" s="19"/>
      <x:c r="G177" s="26"/>
      <x:c r="H177" s="19"/>
    </x:row>
    <x:row r="178">
      <x:c r="A178" s="19"/>
      <x:c r="B178" s="19"/>
      <x:c r="C178" s="19"/>
      <x:c r="D178" s="19"/>
      <x:c r="E178" s="19"/>
      <x:c r="F178" s="19"/>
      <x:c r="G178" s="26"/>
      <x:c r="H178" s="19"/>
    </x:row>
    <x:row r="179">
      <x:c r="A179" s="19"/>
      <x:c r="B179" s="19"/>
      <x:c r="C179" s="19"/>
      <x:c r="D179" s="19"/>
      <x:c r="E179" s="19"/>
      <x:c r="F179" s="19"/>
      <x:c r="G179" s="26"/>
      <x:c r="H179" s="19"/>
    </x:row>
    <x:row r="180">
      <x:c r="A180" s="19"/>
      <x:c r="B180" s="19"/>
      <x:c r="C180" s="19"/>
      <x:c r="D180" s="19"/>
      <x:c r="E180" s="19"/>
      <x:c r="F180" s="19"/>
      <x:c r="G180" s="26"/>
      <x:c r="H180" s="19"/>
    </x:row>
    <x:row r="181">
      <x:c r="A181" s="19"/>
      <x:c r="B181" s="19"/>
      <x:c r="C181" s="19"/>
      <x:c r="D181" s="19"/>
      <x:c r="E181" s="19"/>
      <x:c r="F181" s="19"/>
      <x:c r="G181" s="26"/>
      <x:c r="H181" s="19"/>
    </x:row>
    <x:row r="182">
      <x:c r="A182" s="19"/>
      <x:c r="B182" s="19"/>
      <x:c r="C182" s="19"/>
      <x:c r="D182" s="19"/>
      <x:c r="E182" s="19"/>
      <x:c r="F182" s="19"/>
      <x:c r="G182" s="26"/>
      <x:c r="H182" s="19"/>
    </x:row>
    <x:row r="183">
      <x:c r="A183" s="19"/>
      <x:c r="B183" s="19"/>
      <x:c r="C183" s="19"/>
      <x:c r="D183" s="19"/>
      <x:c r="E183" s="19"/>
      <x:c r="F183" s="19"/>
      <x:c r="G183" s="26"/>
      <x:c r="H183" s="19"/>
    </x:row>
    <x:row r="184">
      <x:c r="A184" s="19"/>
      <x:c r="B184" s="19"/>
      <x:c r="C184" s="19"/>
      <x:c r="D184" s="19"/>
      <x:c r="E184" s="19"/>
      <x:c r="F184" s="19"/>
      <x:c r="G184" s="26"/>
      <x:c r="H184" s="19"/>
    </x:row>
    <x:row r="185">
      <x:c r="A185" s="19"/>
      <x:c r="B185" s="19"/>
      <x:c r="C185" s="19"/>
      <x:c r="D185" s="19"/>
      <x:c r="E185" s="19"/>
      <x:c r="F185" s="19"/>
      <x:c r="G185" s="26"/>
      <x:c r="H185" s="19"/>
    </x:row>
    <x:row r="186">
      <x:c r="A186" s="19"/>
      <x:c r="B186" s="19"/>
      <x:c r="C186" s="19"/>
      <x:c r="D186" s="19"/>
      <x:c r="E186" s="19"/>
      <x:c r="F186" s="19"/>
      <x:c r="G186" s="26"/>
      <x:c r="H186" s="19"/>
    </x:row>
    <x:row r="187">
      <x:c r="A187" s="19"/>
      <x:c r="B187" s="19"/>
      <x:c r="C187" s="19"/>
      <x:c r="D187" s="19"/>
      <x:c r="E187" s="19"/>
      <x:c r="F187" s="19"/>
      <x:c r="G187" s="26"/>
      <x:c r="H187" s="19"/>
    </x:row>
    <x:row r="188">
      <x:c r="A188" s="19"/>
      <x:c r="B188" s="19"/>
      <x:c r="C188" s="19"/>
      <x:c r="D188" s="19"/>
      <x:c r="E188" s="19"/>
      <x:c r="F188" s="19"/>
      <x:c r="G188" s="26"/>
      <x:c r="H188" s="19"/>
    </x:row>
    <x:row r="189">
      <x:c r="A189" s="19"/>
      <x:c r="B189" s="19"/>
      <x:c r="C189" s="19"/>
      <x:c r="D189" s="19"/>
      <x:c r="E189" s="19"/>
      <x:c r="F189" s="19"/>
      <x:c r="G189" s="26"/>
      <x:c r="H189" s="19"/>
    </x:row>
    <x:row r="190">
      <x:c r="A190" s="19"/>
      <x:c r="B190" s="19"/>
      <x:c r="C190" s="19"/>
      <x:c r="D190" s="19"/>
      <x:c r="E190" s="19"/>
      <x:c r="F190" s="19"/>
      <x:c r="G190" s="26"/>
      <x:c r="H190" s="19"/>
    </x:row>
    <x:row r="191">
      <x:c r="A191" s="19"/>
      <x:c r="B191" s="19"/>
      <x:c r="C191" s="19"/>
      <x:c r="D191" s="19"/>
      <x:c r="E191" s="19"/>
      <x:c r="F191" s="19"/>
      <x:c r="G191" s="26"/>
      <x:c r="H191" s="19"/>
    </x:row>
    <x:row r="192">
      <x:c r="A192" s="19"/>
      <x:c r="B192" s="19"/>
      <x:c r="C192" s="19"/>
      <x:c r="D192" s="19"/>
      <x:c r="E192" s="19"/>
      <x:c r="F192" s="19"/>
      <x:c r="G192" s="26"/>
      <x:c r="H192" s="19"/>
    </x:row>
    <x:row r="193">
      <x:c r="A193" s="19"/>
      <x:c r="B193" s="19"/>
      <x:c r="C193" s="19"/>
      <x:c r="D193" s="19"/>
      <x:c r="E193" s="19"/>
      <x:c r="F193" s="19"/>
      <x:c r="G193" s="26"/>
      <x:c r="H193" s="19"/>
    </x:row>
    <x:row r="194">
      <x:c r="A194" s="19"/>
      <x:c r="B194" s="19"/>
      <x:c r="C194" s="19"/>
      <x:c r="D194" s="19"/>
      <x:c r="E194" s="19"/>
      <x:c r="F194" s="19"/>
      <x:c r="G194" s="26"/>
      <x:c r="H194" s="19"/>
    </x:row>
    <x:row r="195">
      <x:c r="A195" s="19"/>
      <x:c r="B195" s="19"/>
      <x:c r="C195" s="19"/>
      <x:c r="D195" s="19"/>
      <x:c r="E195" s="19"/>
      <x:c r="F195" s="19"/>
      <x:c r="G195" s="26"/>
      <x:c r="H195" s="19"/>
    </x:row>
    <x:row r="196">
      <x:c r="A196" s="19"/>
      <x:c r="B196" s="19"/>
      <x:c r="C196" s="19"/>
      <x:c r="D196" s="19"/>
      <x:c r="E196" s="19"/>
      <x:c r="F196" s="19"/>
      <x:c r="G196" s="26"/>
      <x:c r="H196" s="19"/>
    </x:row>
    <x:row r="197">
      <x:c r="A197" s="19"/>
      <x:c r="B197" s="19"/>
      <x:c r="C197" s="19"/>
      <x:c r="D197" s="19"/>
      <x:c r="E197" s="19"/>
      <x:c r="F197" s="19"/>
      <x:c r="G197" s="26"/>
      <x:c r="H197" s="19"/>
    </x:row>
    <x:row r="198">
      <x:c r="A198" s="19"/>
      <x:c r="B198" s="19"/>
      <x:c r="C198" s="19"/>
      <x:c r="D198" s="19"/>
      <x:c r="E198" s="19"/>
      <x:c r="F198" s="19"/>
      <x:c r="G198" s="26"/>
      <x:c r="H198" s="19"/>
    </x:row>
    <x:row r="199">
      <x:c r="A199" s="19"/>
      <x:c r="B199" s="19"/>
      <x:c r="C199" s="19"/>
      <x:c r="D199" s="19"/>
      <x:c r="E199" s="19"/>
      <x:c r="F199" s="19"/>
      <x:c r="G199" s="26"/>
      <x:c r="H199" s="19"/>
    </x:row>
    <x:row r="200">
      <x:c r="A200" s="19"/>
      <x:c r="B200" s="19"/>
      <x:c r="C200" s="19"/>
      <x:c r="D200" s="19"/>
      <x:c r="E200" s="19"/>
      <x:c r="F200" s="19"/>
      <x:c r="G200" s="26"/>
      <x:c r="H200" s="19"/>
    </x:row>
    <x:row r="201">
      <x:c r="A201" s="19"/>
      <x:c r="B201" s="19"/>
      <x:c r="C201" s="19"/>
      <x:c r="D201" s="19"/>
      <x:c r="E201" s="19"/>
      <x:c r="F201" s="19"/>
      <x:c r="G201" s="26"/>
      <x:c r="H201" s="19"/>
    </x:row>
    <x:row r="202">
      <x:c r="A202" s="19"/>
      <x:c r="B202" s="19"/>
      <x:c r="C202" s="19"/>
      <x:c r="D202" s="19"/>
      <x:c r="E202" s="19"/>
      <x:c r="F202" s="19"/>
      <x:c r="G202" s="26"/>
      <x:c r="H202" s="19"/>
    </x:row>
    <x:row r="203">
      <x:c r="A203" s="19"/>
      <x:c r="B203" s="19"/>
      <x:c r="C203" s="19"/>
      <x:c r="D203" s="19"/>
      <x:c r="E203" s="19"/>
      <x:c r="F203" s="19"/>
      <x:c r="G203" s="26"/>
      <x:c r="H203" s="19"/>
    </x:row>
    <x:row r="204">
      <x:c r="A204" s="19"/>
      <x:c r="B204" s="19"/>
      <x:c r="C204" s="19"/>
      <x:c r="D204" s="19"/>
      <x:c r="E204" s="19"/>
      <x:c r="F204" s="19"/>
      <x:c r="G204" s="26"/>
      <x:c r="H204" s="19"/>
    </x:row>
    <x:row r="205">
      <x:c r="A205" s="19"/>
      <x:c r="B205" s="19"/>
      <x:c r="C205" s="19"/>
      <x:c r="D205" s="19"/>
      <x:c r="E205" s="19"/>
      <x:c r="F205" s="19"/>
      <x:c r="G205" s="26"/>
      <x:c r="H205" s="19"/>
    </x:row>
    <x:row r="206">
      <x:c r="A206" s="19"/>
      <x:c r="B206" s="19"/>
      <x:c r="C206" s="19"/>
      <x:c r="D206" s="19"/>
      <x:c r="E206" s="19"/>
      <x:c r="F206" s="19"/>
      <x:c r="G206" s="26"/>
      <x:c r="H206" s="19"/>
    </x:row>
    <x:row r="207">
      <x:c r="A207" s="19"/>
      <x:c r="B207" s="19"/>
      <x:c r="C207" s="19"/>
      <x:c r="D207" s="19"/>
      <x:c r="E207" s="19"/>
      <x:c r="F207" s="19"/>
      <x:c r="G207" s="26"/>
      <x:c r="H207" s="19"/>
    </x:row>
    <x:row r="208">
      <x:c r="A208" s="19"/>
      <x:c r="B208" s="19"/>
      <x:c r="C208" s="19"/>
      <x:c r="D208" s="19"/>
      <x:c r="E208" s="19"/>
      <x:c r="F208" s="19"/>
      <x:c r="G208" s="26"/>
      <x:c r="H208" s="19"/>
    </x:row>
    <x:row r="209">
      <x:c r="A209" s="19"/>
      <x:c r="B209" s="19"/>
      <x:c r="C209" s="19"/>
      <x:c r="D209" s="19"/>
      <x:c r="E209" s="19"/>
      <x:c r="F209" s="19"/>
      <x:c r="G209" s="26"/>
      <x:c r="H209" s="19"/>
    </x:row>
    <x:row r="210">
      <x:c r="A210" s="19"/>
      <x:c r="B210" s="19"/>
      <x:c r="C210" s="19"/>
      <x:c r="D210" s="19"/>
      <x:c r="E210" s="19"/>
      <x:c r="F210" s="19"/>
      <x:c r="G210" s="26"/>
      <x:c r="H210" s="19"/>
    </x:row>
    <x:row r="211">
      <x:c r="A211" s="19"/>
      <x:c r="B211" s="19"/>
      <x:c r="C211" s="19"/>
      <x:c r="D211" s="19"/>
      <x:c r="E211" s="19"/>
      <x:c r="F211" s="19"/>
      <x:c r="G211" s="26"/>
      <x:c r="H211" s="19"/>
    </x:row>
    <x:row r="212">
      <x:c r="A212" s="19"/>
      <x:c r="B212" s="19"/>
      <x:c r="C212" s="19"/>
      <x:c r="D212" s="19"/>
      <x:c r="E212" s="19"/>
      <x:c r="F212" s="19"/>
      <x:c r="G212" s="26"/>
      <x:c r="H212" s="19"/>
    </x:row>
    <x:row r="213">
      <x:c r="A213" s="19"/>
      <x:c r="B213" s="19"/>
      <x:c r="C213" s="19"/>
      <x:c r="D213" s="19"/>
      <x:c r="E213" s="19"/>
      <x:c r="F213" s="19"/>
      <x:c r="G213" s="26"/>
      <x:c r="H213" s="19"/>
    </x:row>
    <x:row r="214">
      <x:c r="A214" s="19"/>
      <x:c r="B214" s="19"/>
      <x:c r="C214" s="19"/>
      <x:c r="D214" s="19"/>
      <x:c r="E214" s="19"/>
      <x:c r="F214" s="19"/>
      <x:c r="G214" s="26"/>
      <x:c r="H214" s="19"/>
    </x:row>
    <x:row r="215">
      <x:c r="A215" s="19"/>
      <x:c r="B215" s="19"/>
      <x:c r="C215" s="19"/>
      <x:c r="D215" s="19"/>
      <x:c r="E215" s="19"/>
      <x:c r="F215" s="19"/>
      <x:c r="G215" s="26"/>
      <x:c r="H215" s="19"/>
    </x:row>
    <x:row r="216">
      <x:c r="A216" s="19"/>
      <x:c r="B216" s="19"/>
      <x:c r="C216" s="19"/>
      <x:c r="D216" s="19"/>
      <x:c r="E216" s="19"/>
      <x:c r="F216" s="19"/>
      <x:c r="G216" s="26"/>
      <x:c r="H216" s="19"/>
    </x:row>
    <x:row r="217">
      <x:c r="A217" s="19"/>
      <x:c r="B217" s="19"/>
      <x:c r="C217" s="19"/>
      <x:c r="D217" s="19"/>
      <x:c r="E217" s="19"/>
      <x:c r="F217" s="19"/>
      <x:c r="G217" s="26"/>
      <x:c r="H217" s="19"/>
    </x:row>
    <x:row r="218">
      <x:c r="A218" s="19"/>
      <x:c r="B218" s="19"/>
      <x:c r="C218" s="19"/>
      <x:c r="D218" s="19"/>
      <x:c r="E218" s="19"/>
      <x:c r="F218" s="19"/>
      <x:c r="G218" s="26"/>
      <x:c r="H218" s="19"/>
    </x:row>
    <x:row r="219">
      <x:c r="A219" s="19"/>
      <x:c r="B219" s="19"/>
      <x:c r="C219" s="19"/>
      <x:c r="D219" s="19"/>
      <x:c r="E219" s="19"/>
      <x:c r="F219" s="19"/>
      <x:c r="G219" s="26"/>
      <x:c r="H219" s="19"/>
    </x:row>
    <x:row r="220">
      <x:c r="A220" s="19"/>
      <x:c r="B220" s="19"/>
      <x:c r="C220" s="19"/>
      <x:c r="D220" s="19"/>
      <x:c r="E220" s="19"/>
      <x:c r="F220" s="19"/>
      <x:c r="G220" s="26"/>
      <x:c r="H220" s="19"/>
    </x:row>
    <x:row r="221">
      <x:c r="A221" s="19"/>
      <x:c r="B221" s="19"/>
      <x:c r="C221" s="19"/>
      <x:c r="D221" s="19"/>
      <x:c r="E221" s="19"/>
      <x:c r="F221" s="19"/>
      <x:c r="G221" s="26"/>
      <x:c r="H221" s="19"/>
    </x:row>
    <x:row r="222">
      <x:c r="A222" s="19"/>
      <x:c r="B222" s="19"/>
      <x:c r="C222" s="19"/>
      <x:c r="D222" s="19"/>
      <x:c r="E222" s="19"/>
      <x:c r="F222" s="19"/>
      <x:c r="G222" s="26"/>
      <x:c r="H222" s="19"/>
    </x:row>
    <x:row r="223">
      <x:c r="A223" s="19"/>
      <x:c r="B223" s="19"/>
      <x:c r="C223" s="19"/>
      <x:c r="D223" s="19"/>
      <x:c r="E223" s="19"/>
      <x:c r="F223" s="19"/>
      <x:c r="G223" s="26"/>
      <x:c r="H223" s="19"/>
    </x:row>
    <x:row r="224">
      <x:c r="A224" s="19"/>
      <x:c r="B224" s="19"/>
      <x:c r="C224" s="19"/>
      <x:c r="D224" s="19"/>
      <x:c r="E224" s="19"/>
      <x:c r="F224" s="19"/>
      <x:c r="G224" s="26"/>
      <x:c r="H224" s="19"/>
    </x:row>
    <x:row r="225">
      <x:c r="A225" s="19"/>
      <x:c r="B225" s="19"/>
      <x:c r="C225" s="19"/>
      <x:c r="D225" s="19"/>
      <x:c r="E225" s="19"/>
      <x:c r="F225" s="19"/>
      <x:c r="G225" s="26"/>
      <x:c r="H225" s="19"/>
    </x:row>
    <x:row r="226">
      <x:c r="A226" s="19"/>
      <x:c r="B226" s="19"/>
      <x:c r="C226" s="19"/>
      <x:c r="D226" s="19"/>
      <x:c r="E226" s="19"/>
      <x:c r="F226" s="19"/>
      <x:c r="G226" s="26"/>
      <x:c r="H226" s="19"/>
    </x:row>
    <x:row r="227">
      <x:c r="A227" s="19"/>
      <x:c r="B227" s="19"/>
      <x:c r="C227" s="19"/>
      <x:c r="D227" s="19"/>
      <x:c r="E227" s="19"/>
      <x:c r="F227" s="19"/>
      <x:c r="G227" s="26"/>
      <x:c r="H227" s="19"/>
    </x:row>
    <x:row r="228">
      <x:c r="A228" s="19"/>
      <x:c r="B228" s="19"/>
      <x:c r="C228" s="19"/>
      <x:c r="D228" s="19"/>
      <x:c r="E228" s="19"/>
      <x:c r="F228" s="19"/>
      <x:c r="G228" s="26"/>
      <x:c r="H228" s="19"/>
    </x:row>
    <x:row r="229">
      <x:c r="A229" s="19"/>
      <x:c r="B229" s="19"/>
      <x:c r="C229" s="19"/>
      <x:c r="D229" s="19"/>
      <x:c r="E229" s="19"/>
      <x:c r="F229" s="19"/>
      <x:c r="G229" s="26"/>
      <x:c r="H229" s="19"/>
    </x:row>
    <x:row r="230">
      <x:c r="A230" s="19"/>
      <x:c r="B230" s="19"/>
      <x:c r="C230" s="19"/>
      <x:c r="D230" s="19"/>
      <x:c r="E230" s="19"/>
      <x:c r="F230" s="19"/>
      <x:c r="G230" s="26"/>
      <x:c r="H230" s="19"/>
    </x:row>
    <x:row r="231">
      <x:c r="A231" s="19"/>
      <x:c r="B231" s="19"/>
      <x:c r="C231" s="19"/>
      <x:c r="D231" s="19"/>
      <x:c r="E231" s="19"/>
      <x:c r="F231" s="19"/>
      <x:c r="G231" s="26"/>
      <x:c r="H231" s="19"/>
    </x:row>
    <x:row r="232">
      <x:c r="A232" s="19"/>
      <x:c r="B232" s="19"/>
      <x:c r="C232" s="19"/>
      <x:c r="D232" s="19"/>
      <x:c r="E232" s="19"/>
      <x:c r="F232" s="19"/>
      <x:c r="G232" s="26"/>
      <x:c r="H232" s="19"/>
    </x:row>
    <x:row r="233">
      <x:c r="A233" s="19"/>
      <x:c r="B233" s="19"/>
      <x:c r="C233" s="19"/>
      <x:c r="D233" s="19"/>
      <x:c r="E233" s="19"/>
      <x:c r="F233" s="19"/>
      <x:c r="G233" s="26"/>
      <x:c r="H233" s="19"/>
    </x:row>
    <x:row r="234">
      <x:c r="A234" s="19"/>
      <x:c r="B234" s="19"/>
      <x:c r="C234" s="19"/>
      <x:c r="D234" s="19"/>
      <x:c r="E234" s="19"/>
      <x:c r="F234" s="19"/>
      <x:c r="G234" s="26"/>
      <x:c r="H234" s="19"/>
    </x:row>
    <x:row r="235">
      <x:c r="A235" s="19"/>
      <x:c r="B235" s="19"/>
      <x:c r="C235" s="19"/>
      <x:c r="D235" s="19"/>
      <x:c r="E235" s="19"/>
      <x:c r="F235" s="19"/>
      <x:c r="G235" s="26"/>
      <x:c r="H235" s="19"/>
    </x:row>
    <x:row r="236">
      <x:c r="A236" s="19"/>
      <x:c r="B236" s="19"/>
      <x:c r="C236" s="19"/>
      <x:c r="D236" s="19"/>
      <x:c r="E236" s="19"/>
      <x:c r="F236" s="19"/>
      <x:c r="G236" s="26"/>
      <x:c r="H236" s="19"/>
    </x:row>
    <x:row r="237">
      <x:c r="A237" s="19"/>
      <x:c r="B237" s="19"/>
      <x:c r="C237" s="19"/>
      <x:c r="D237" s="19"/>
      <x:c r="E237" s="19"/>
      <x:c r="F237" s="19"/>
      <x:c r="G237" s="26"/>
      <x:c r="H237" s="19"/>
    </x:row>
    <x:row r="238">
      <x:c r="A238" s="19"/>
      <x:c r="B238" s="19"/>
      <x:c r="C238" s="19"/>
      <x:c r="D238" s="19"/>
      <x:c r="E238" s="19"/>
      <x:c r="F238" s="19"/>
      <x:c r="G238" s="26"/>
      <x:c r="H238" s="19"/>
    </x:row>
    <x:row r="239">
      <x:c r="A239" s="19"/>
      <x:c r="B239" s="19"/>
      <x:c r="C239" s="19"/>
      <x:c r="D239" s="19"/>
      <x:c r="E239" s="19"/>
      <x:c r="F239" s="19"/>
      <x:c r="G239" s="26"/>
      <x:c r="H239" s="19"/>
    </x:row>
    <x:row r="240">
      <x:c r="A240" s="19"/>
      <x:c r="B240" s="19"/>
      <x:c r="C240" s="19"/>
      <x:c r="D240" s="19"/>
      <x:c r="E240" s="19"/>
      <x:c r="F240" s="19"/>
      <x:c r="G240" s="26"/>
      <x:c r="H240" s="19"/>
    </x:row>
    <x:row r="241">
      <x:c r="A241" s="19"/>
      <x:c r="B241" s="19"/>
      <x:c r="C241" s="19"/>
      <x:c r="D241" s="19"/>
      <x:c r="E241" s="19"/>
      <x:c r="F241" s="19"/>
      <x:c r="G241" s="26"/>
      <x:c r="H241" s="19"/>
    </x:row>
    <x:row r="242">
      <x:c r="A242" s="19"/>
      <x:c r="B242" s="19"/>
      <x:c r="C242" s="19"/>
      <x:c r="D242" s="19"/>
      <x:c r="E242" s="19"/>
      <x:c r="F242" s="19"/>
      <x:c r="G242" s="26"/>
      <x:c r="H242" s="19"/>
    </x:row>
    <x:row r="243">
      <x:c r="A243" s="19"/>
      <x:c r="B243" s="19"/>
      <x:c r="C243" s="19"/>
      <x:c r="D243" s="19"/>
      <x:c r="E243" s="19"/>
      <x:c r="F243" s="19"/>
      <x:c r="G243" s="26"/>
      <x:c r="H243" s="19"/>
    </x:row>
    <x:row r="244">
      <x:c r="A244" s="19"/>
      <x:c r="B244" s="19"/>
      <x:c r="C244" s="19"/>
      <x:c r="D244" s="19"/>
      <x:c r="E244" s="19"/>
      <x:c r="F244" s="19"/>
      <x:c r="G244" s="26"/>
      <x:c r="H244" s="19"/>
    </x:row>
    <x:row r="245">
      <x:c r="A245" s="19"/>
      <x:c r="B245" s="19"/>
      <x:c r="C245" s="19"/>
      <x:c r="D245" s="19"/>
      <x:c r="E245" s="19"/>
      <x:c r="F245" s="19"/>
      <x:c r="G245" s="26"/>
      <x:c r="H245" s="19"/>
    </x:row>
    <x:row r="246">
      <x:c r="A246" s="19"/>
      <x:c r="B246" s="19"/>
      <x:c r="C246" s="19"/>
      <x:c r="D246" s="19"/>
      <x:c r="E246" s="19"/>
      <x:c r="F246" s="19"/>
      <x:c r="G246" s="26"/>
      <x:c r="H246" s="19"/>
    </x:row>
    <x:row r="247">
      <x:c r="A247" s="19"/>
      <x:c r="B247" s="19"/>
      <x:c r="C247" s="19"/>
      <x:c r="D247" s="19"/>
      <x:c r="E247" s="19"/>
      <x:c r="F247" s="19"/>
      <x:c r="G247" s="26"/>
      <x:c r="H247" s="19"/>
    </x:row>
    <x:row r="248">
      <x:c r="A248" s="19"/>
      <x:c r="B248" s="19"/>
      <x:c r="C248" s="19"/>
      <x:c r="D248" s="19"/>
      <x:c r="E248" s="19"/>
      <x:c r="F248" s="19"/>
      <x:c r="G248" s="26"/>
      <x:c r="H248" s="19"/>
    </x:row>
    <x:row r="249">
      <x:c r="A249" s="19"/>
      <x:c r="B249" s="19"/>
      <x:c r="C249" s="19"/>
      <x:c r="D249" s="19"/>
      <x:c r="E249" s="19"/>
      <x:c r="F249" s="19"/>
      <x:c r="G249" s="26"/>
      <x:c r="H249" s="19"/>
    </x:row>
    <x:row r="250">
      <x:c r="A250" s="19"/>
      <x:c r="B250" s="19"/>
      <x:c r="C250" s="19"/>
      <x:c r="D250" s="19"/>
      <x:c r="E250" s="19"/>
      <x:c r="F250" s="19"/>
      <x:c r="G250" s="26"/>
      <x:c r="H250" s="19"/>
    </x:row>
    <x:row r="251">
      <x:c r="A251" s="19"/>
      <x:c r="B251" s="19"/>
      <x:c r="C251" s="19"/>
      <x:c r="D251" s="19"/>
      <x:c r="E251" s="19"/>
      <x:c r="F251" s="19"/>
      <x:c r="G251" s="26"/>
      <x:c r="H251" s="19"/>
    </x:row>
    <x:row r="252">
      <x:c r="A252" s="19"/>
      <x:c r="B252" s="19"/>
      <x:c r="C252" s="19"/>
      <x:c r="D252" s="19"/>
      <x:c r="E252" s="19"/>
      <x:c r="F252" s="19"/>
      <x:c r="G252" s="26"/>
      <x:c r="H252" s="19"/>
    </x:row>
    <x:row r="253">
      <x:c r="A253" s="19"/>
      <x:c r="B253" s="19"/>
      <x:c r="C253" s="19"/>
      <x:c r="D253" s="19"/>
      <x:c r="E253" s="19"/>
      <x:c r="F253" s="19"/>
      <x:c r="G253" s="26"/>
      <x:c r="H253" s="19"/>
    </x:row>
    <x:row r="254">
      <x:c r="A254" s="19"/>
      <x:c r="B254" s="19"/>
      <x:c r="C254" s="19"/>
      <x:c r="D254" s="19"/>
      <x:c r="E254" s="19"/>
      <x:c r="F254" s="19"/>
      <x:c r="G254" s="26"/>
      <x:c r="H254" s="19"/>
    </x:row>
    <x:row r="255">
      <x:c r="A255" s="19"/>
      <x:c r="B255" s="19"/>
      <x:c r="C255" s="19"/>
      <x:c r="D255" s="19"/>
      <x:c r="E255" s="19"/>
      <x:c r="F255" s="19"/>
      <x:c r="G255" s="26"/>
      <x:c r="H255" s="19"/>
    </x:row>
    <x:row r="256">
      <x:c r="A256" s="19"/>
      <x:c r="B256" s="19"/>
      <x:c r="C256" s="19"/>
      <x:c r="D256" s="19"/>
      <x:c r="E256" s="19"/>
      <x:c r="F256" s="19"/>
      <x:c r="G256" s="26"/>
      <x:c r="H256" s="19"/>
    </x:row>
    <x:row r="257">
      <x:c r="A257" s="19"/>
      <x:c r="B257" s="19"/>
      <x:c r="C257" s="19"/>
      <x:c r="D257" s="19"/>
      <x:c r="E257" s="19"/>
      <x:c r="F257" s="19"/>
      <x:c r="G257" s="26"/>
      <x:c r="H257" s="19"/>
    </x:row>
    <x:row r="258">
      <x:c r="A258" s="19"/>
      <x:c r="B258" s="19"/>
      <x:c r="C258" s="19"/>
      <x:c r="D258" s="19"/>
      <x:c r="E258" s="19"/>
      <x:c r="F258" s="19"/>
      <x:c r="G258" s="26"/>
      <x:c r="H258" s="19"/>
    </x:row>
    <x:row r="259">
      <x:c r="A259" s="19"/>
      <x:c r="B259" s="19"/>
      <x:c r="C259" s="19"/>
      <x:c r="D259" s="19"/>
      <x:c r="E259" s="19"/>
      <x:c r="F259" s="19"/>
      <x:c r="G259" s="26"/>
      <x:c r="H259" s="19"/>
    </x:row>
    <x:row r="260">
      <x:c r="A260" s="19"/>
      <x:c r="B260" s="19"/>
      <x:c r="C260" s="19"/>
      <x:c r="D260" s="19"/>
      <x:c r="E260" s="19"/>
      <x:c r="F260" s="19"/>
      <x:c r="G260" s="26"/>
      <x:c r="H260" s="19"/>
    </x:row>
    <x:row r="261">
      <x:c r="A261" s="19"/>
      <x:c r="B261" s="19"/>
      <x:c r="C261" s="19"/>
      <x:c r="D261" s="19"/>
      <x:c r="E261" s="19"/>
      <x:c r="F261" s="19"/>
      <x:c r="G261" s="26"/>
      <x:c r="H261" s="19"/>
    </x:row>
    <x:row r="262">
      <x:c r="A262" s="19"/>
      <x:c r="B262" s="19"/>
      <x:c r="C262" s="19"/>
      <x:c r="D262" s="19"/>
      <x:c r="E262" s="19"/>
      <x:c r="F262" s="19"/>
      <x:c r="G262" s="26"/>
      <x:c r="H262" s="19"/>
    </x:row>
    <x:row r="263">
      <x:c r="A263" s="19"/>
      <x:c r="B263" s="19"/>
      <x:c r="C263" s="19"/>
      <x:c r="D263" s="19"/>
      <x:c r="E263" s="19"/>
      <x:c r="F263" s="19"/>
      <x:c r="G263" s="26"/>
      <x:c r="H263" s="19"/>
    </x:row>
    <x:row r="264">
      <x:c r="A264" s="19"/>
      <x:c r="B264" s="19"/>
      <x:c r="C264" s="19"/>
      <x:c r="D264" s="19"/>
      <x:c r="E264" s="19"/>
      <x:c r="F264" s="19"/>
      <x:c r="G264" s="26"/>
      <x:c r="H264" s="19"/>
    </x:row>
    <x:row r="265">
      <x:c r="A265" s="19"/>
      <x:c r="B265" s="19"/>
      <x:c r="C265" s="19"/>
      <x:c r="D265" s="19"/>
      <x:c r="E265" s="19"/>
      <x:c r="F265" s="19"/>
      <x:c r="G265" s="26"/>
      <x:c r="H265" s="19"/>
    </x:row>
    <x:row r="266">
      <x:c r="A266" s="19"/>
      <x:c r="B266" s="19"/>
      <x:c r="C266" s="19"/>
      <x:c r="D266" s="19"/>
      <x:c r="E266" s="19"/>
      <x:c r="F266" s="19"/>
      <x:c r="G266" s="26"/>
      <x:c r="H266" s="19"/>
    </x:row>
    <x:row r="267">
      <x:c r="A267" s="19"/>
      <x:c r="B267" s="19"/>
      <x:c r="C267" s="19"/>
      <x:c r="D267" s="19"/>
      <x:c r="E267" s="19"/>
      <x:c r="F267" s="19"/>
      <x:c r="G267" s="26"/>
      <x:c r="H267" s="19"/>
    </x:row>
    <x:row r="268">
      <x:c r="A268" s="19"/>
      <x:c r="B268" s="19"/>
      <x:c r="C268" s="19"/>
      <x:c r="D268" s="19"/>
      <x:c r="E268" s="19"/>
      <x:c r="F268" s="19"/>
      <x:c r="G268" s="26"/>
      <x:c r="H268" s="19"/>
    </x:row>
    <x:row r="269">
      <x:c r="A269" s="19"/>
      <x:c r="B269" s="19"/>
      <x:c r="C269" s="19"/>
      <x:c r="D269" s="19"/>
      <x:c r="E269" s="19"/>
      <x:c r="F269" s="19"/>
      <x:c r="G269" s="26"/>
      <x:c r="H269" s="19"/>
    </x:row>
    <x:row r="270">
      <x:c r="A270" s="19"/>
      <x:c r="B270" s="19"/>
      <x:c r="C270" s="19"/>
      <x:c r="D270" s="19"/>
      <x:c r="E270" s="19"/>
      <x:c r="F270" s="19"/>
      <x:c r="G270" s="26"/>
      <x:c r="H270" s="19"/>
    </x:row>
    <x:row r="271">
      <x:c r="A271" s="19"/>
      <x:c r="B271" s="19"/>
      <x:c r="C271" s="19"/>
      <x:c r="D271" s="19"/>
      <x:c r="E271" s="19"/>
      <x:c r="F271" s="19"/>
      <x:c r="G271" s="26"/>
      <x:c r="H271" s="19"/>
    </x:row>
    <x:row r="272">
      <x:c r="A272" s="19"/>
      <x:c r="B272" s="19"/>
      <x:c r="C272" s="19"/>
      <x:c r="D272" s="19"/>
      <x:c r="E272" s="19"/>
      <x:c r="F272" s="19"/>
      <x:c r="G272" s="26"/>
      <x:c r="H272" s="19"/>
    </x:row>
    <x:row r="273">
      <x:c r="A273" s="19"/>
      <x:c r="B273" s="19"/>
      <x:c r="C273" s="19"/>
      <x:c r="D273" s="19"/>
      <x:c r="E273" s="19"/>
      <x:c r="F273" s="19"/>
      <x:c r="G273" s="26"/>
      <x:c r="H273" s="19"/>
    </x:row>
    <x:row r="274">
      <x:c r="A274" s="19"/>
      <x:c r="B274" s="19"/>
      <x:c r="C274" s="19"/>
      <x:c r="D274" s="19"/>
      <x:c r="E274" s="19"/>
      <x:c r="F274" s="19"/>
      <x:c r="G274" s="26"/>
      <x:c r="H274" s="19"/>
    </x:row>
    <x:row r="275">
      <x:c r="A275" s="19"/>
      <x:c r="B275" s="19"/>
      <x:c r="C275" s="19"/>
      <x:c r="D275" s="19"/>
      <x:c r="E275" s="19"/>
      <x:c r="F275" s="19"/>
      <x:c r="G275" s="26"/>
      <x:c r="H275" s="19"/>
    </x:row>
    <x:row r="276">
      <x:c r="A276" s="19"/>
      <x:c r="B276" s="19"/>
      <x:c r="C276" s="19"/>
      <x:c r="D276" s="19"/>
      <x:c r="E276" s="19"/>
      <x:c r="F276" s="19"/>
      <x:c r="G276" s="26"/>
      <x:c r="H276" s="19"/>
    </x:row>
    <x:row r="277">
      <x:c r="A277" s="19"/>
      <x:c r="B277" s="19"/>
      <x:c r="C277" s="19"/>
      <x:c r="D277" s="19"/>
      <x:c r="E277" s="19"/>
      <x:c r="F277" s="19"/>
      <x:c r="G277" s="26"/>
      <x:c r="H277" s="19"/>
    </x:row>
    <x:row r="278">
      <x:c r="A278" s="19"/>
      <x:c r="B278" s="19"/>
      <x:c r="C278" s="19"/>
      <x:c r="D278" s="19"/>
      <x:c r="E278" s="19"/>
      <x:c r="F278" s="19"/>
      <x:c r="G278" s="26"/>
      <x:c r="H278" s="19"/>
    </x:row>
    <x:row r="279">
      <x:c r="A279" s="19"/>
      <x:c r="B279" s="19"/>
      <x:c r="C279" s="19"/>
      <x:c r="D279" s="19"/>
      <x:c r="E279" s="19"/>
      <x:c r="F279" s="19"/>
      <x:c r="G279" s="26"/>
      <x:c r="H279" s="19"/>
    </x:row>
    <x:row r="280">
      <x:c r="A280" s="19"/>
      <x:c r="B280" s="19"/>
      <x:c r="C280" s="19"/>
      <x:c r="D280" s="19"/>
      <x:c r="E280" s="19"/>
      <x:c r="F280" s="19"/>
      <x:c r="G280" s="26"/>
      <x:c r="H280" s="19"/>
    </x:row>
    <x:row r="281">
      <x:c r="A281" s="19"/>
      <x:c r="B281" s="19"/>
      <x:c r="C281" s="19"/>
      <x:c r="D281" s="19"/>
      <x:c r="E281" s="19"/>
      <x:c r="F281" s="19"/>
      <x:c r="G281" s="26"/>
      <x:c r="H281" s="19"/>
    </x:row>
    <x:row r="282">
      <x:c r="A282" s="19"/>
      <x:c r="B282" s="19"/>
      <x:c r="C282" s="19"/>
      <x:c r="D282" s="19"/>
      <x:c r="E282" s="19"/>
      <x:c r="F282" s="19"/>
      <x:c r="G282" s="26"/>
      <x:c r="H282" s="19"/>
    </x:row>
    <x:row r="283">
      <x:c r="A283" s="19"/>
      <x:c r="B283" s="19"/>
      <x:c r="C283" s="19"/>
      <x:c r="D283" s="19"/>
      <x:c r="E283" s="19"/>
      <x:c r="F283" s="19"/>
      <x:c r="G283" s="26"/>
      <x:c r="H283" s="19"/>
    </x:row>
    <x:row r="284">
      <x:c r="A284" s="19"/>
      <x:c r="B284" s="19"/>
      <x:c r="C284" s="19"/>
      <x:c r="D284" s="19"/>
      <x:c r="E284" s="19"/>
      <x:c r="F284" s="19"/>
      <x:c r="G284" s="26"/>
      <x:c r="H284" s="19"/>
    </x:row>
    <x:row r="285">
      <x:c r="A285" s="19"/>
      <x:c r="B285" s="19"/>
      <x:c r="C285" s="19"/>
      <x:c r="D285" s="19"/>
      <x:c r="E285" s="19"/>
      <x:c r="F285" s="19"/>
      <x:c r="G285" s="26"/>
      <x:c r="H285" s="19"/>
    </x:row>
    <x:row r="286">
      <x:c r="A286" s="19"/>
      <x:c r="B286" s="19"/>
      <x:c r="C286" s="19"/>
      <x:c r="D286" s="19"/>
      <x:c r="E286" s="19"/>
      <x:c r="F286" s="19"/>
      <x:c r="G286" s="26"/>
      <x:c r="H286" s="19"/>
    </x:row>
    <x:row r="287">
      <x:c r="A287" s="19"/>
      <x:c r="B287" s="19"/>
      <x:c r="C287" s="19"/>
      <x:c r="D287" s="19"/>
      <x:c r="E287" s="19"/>
      <x:c r="F287" s="19"/>
      <x:c r="G287" s="26"/>
      <x:c r="H287" s="19"/>
    </x:row>
    <x:row r="288">
      <x:c r="A288" s="19"/>
      <x:c r="B288" s="19"/>
      <x:c r="C288" s="19"/>
      <x:c r="D288" s="19"/>
      <x:c r="E288" s="19"/>
      <x:c r="F288" s="19"/>
      <x:c r="G288" s="26"/>
      <x:c r="H288" s="19"/>
    </x:row>
    <x:row r="289">
      <x:c r="A289" s="19"/>
      <x:c r="B289" s="19"/>
      <x:c r="C289" s="19"/>
      <x:c r="D289" s="19"/>
      <x:c r="E289" s="19"/>
      <x:c r="F289" s="19"/>
      <x:c r="G289" s="26"/>
      <x:c r="H289" s="19"/>
    </x:row>
    <x:row r="290">
      <x:c r="A290" s="19"/>
      <x:c r="B290" s="19"/>
      <x:c r="C290" s="19"/>
      <x:c r="D290" s="19"/>
      <x:c r="E290" s="19"/>
      <x:c r="F290" s="19"/>
      <x:c r="G290" s="26"/>
      <x:c r="H290" s="19"/>
    </x:row>
    <x:row r="291">
      <x:c r="A291" s="19"/>
      <x:c r="B291" s="19"/>
      <x:c r="C291" s="19"/>
      <x:c r="D291" s="19"/>
      <x:c r="E291" s="19"/>
      <x:c r="F291" s="19"/>
      <x:c r="G291" s="26"/>
      <x:c r="H291" s="19"/>
    </x:row>
    <x:row r="292">
      <x:c r="A292" s="19"/>
      <x:c r="B292" s="19"/>
      <x:c r="C292" s="19"/>
      <x:c r="D292" s="19"/>
      <x:c r="E292" s="19"/>
      <x:c r="F292" s="19"/>
      <x:c r="G292" s="26"/>
      <x:c r="H292" s="19"/>
    </x:row>
    <x:row r="293">
      <x:c r="A293" s="19"/>
      <x:c r="B293" s="19"/>
      <x:c r="C293" s="19"/>
      <x:c r="D293" s="19"/>
      <x:c r="E293" s="19"/>
      <x:c r="F293" s="19"/>
      <x:c r="G293" s="26"/>
      <x:c r="H293" s="19"/>
    </x:row>
    <x:row r="294">
      <x:c r="A294" s="19"/>
      <x:c r="B294" s="19"/>
      <x:c r="C294" s="19"/>
      <x:c r="D294" s="19"/>
      <x:c r="E294" s="19"/>
      <x:c r="F294" s="19"/>
      <x:c r="G294" s="26"/>
      <x:c r="H294" s="19"/>
    </x:row>
    <x:row r="295">
      <x:c r="A295" s="19"/>
      <x:c r="B295" s="19"/>
      <x:c r="C295" s="19"/>
      <x:c r="D295" s="19"/>
      <x:c r="E295" s="19"/>
      <x:c r="F295" s="19"/>
      <x:c r="G295" s="26"/>
      <x:c r="H295" s="19"/>
    </x:row>
    <x:row r="296">
      <x:c r="A296" s="19"/>
      <x:c r="B296" s="19"/>
      <x:c r="C296" s="19"/>
      <x:c r="D296" s="19"/>
      <x:c r="E296" s="19"/>
      <x:c r="F296" s="19"/>
      <x:c r="G296" s="26"/>
      <x:c r="H296" s="19"/>
    </x:row>
    <x:row r="297">
      <x:c r="A297" s="19"/>
      <x:c r="B297" s="19"/>
      <x:c r="C297" s="19"/>
      <x:c r="D297" s="19"/>
      <x:c r="E297" s="19"/>
      <x:c r="F297" s="19"/>
      <x:c r="G297" s="26"/>
      <x:c r="H297" s="19"/>
    </x:row>
    <x:row r="298">
      <x:c r="A298" s="19"/>
      <x:c r="B298" s="19"/>
      <x:c r="C298" s="19"/>
      <x:c r="D298" s="19"/>
      <x:c r="E298" s="19"/>
      <x:c r="F298" s="19"/>
      <x:c r="G298" s="26"/>
      <x:c r="H298" s="19"/>
    </x:row>
    <x:row r="299">
      <x:c r="A299" s="19"/>
      <x:c r="B299" s="19"/>
      <x:c r="C299" s="19"/>
      <x:c r="D299" s="19"/>
      <x:c r="E299" s="19"/>
      <x:c r="F299" s="19"/>
      <x:c r="G299" s="26"/>
      <x:c r="H299" s="19"/>
    </x:row>
    <x:row r="300">
      <x:c r="A300" s="19"/>
      <x:c r="B300" s="19"/>
      <x:c r="C300" s="19"/>
      <x:c r="D300" s="19"/>
      <x:c r="E300" s="19"/>
      <x:c r="F300" s="19"/>
      <x:c r="G300" s="26"/>
      <x:c r="H300" s="19"/>
    </x:row>
    <x:row r="301">
      <x:c r="A301" s="19"/>
      <x:c r="B301" s="19"/>
      <x:c r="C301" s="19"/>
      <x:c r="D301" s="19"/>
      <x:c r="E301" s="19"/>
      <x:c r="F301" s="19"/>
      <x:c r="G301" s="26"/>
      <x:c r="H301" s="19"/>
    </x:row>
    <x:row r="302">
      <x:c r="A302" s="19"/>
      <x:c r="B302" s="19"/>
      <x:c r="C302" s="19"/>
      <x:c r="D302" s="19"/>
      <x:c r="E302" s="19"/>
      <x:c r="F302" s="19"/>
      <x:c r="G302" s="26"/>
      <x:c r="H302" s="19"/>
    </x:row>
    <x:row r="303">
      <x:c r="A303" s="19"/>
      <x:c r="B303" s="19"/>
      <x:c r="C303" s="19"/>
      <x:c r="D303" s="19"/>
      <x:c r="E303" s="19"/>
      <x:c r="F303" s="19"/>
      <x:c r="G303" s="26"/>
      <x:c r="H303" s="19"/>
    </x:row>
    <x:row r="304">
      <x:c r="A304" s="19"/>
      <x:c r="B304" s="19"/>
      <x:c r="C304" s="19"/>
      <x:c r="D304" s="19"/>
      <x:c r="E304" s="19"/>
      <x:c r="F304" s="19"/>
      <x:c r="G304" s="26"/>
      <x:c r="H304" s="19"/>
    </x:row>
    <x:row r="305">
      <x:c r="A305" s="19"/>
      <x:c r="B305" s="19"/>
      <x:c r="C305" s="19"/>
      <x:c r="D305" s="19"/>
      <x:c r="E305" s="19"/>
      <x:c r="F305" s="19"/>
      <x:c r="G305" s="26"/>
      <x:c r="H305" s="19"/>
    </x:row>
    <x:row r="306">
      <x:c r="A306" s="19"/>
      <x:c r="B306" s="19"/>
      <x:c r="C306" s="19"/>
      <x:c r="D306" s="19"/>
      <x:c r="E306" s="19"/>
      <x:c r="F306" s="19"/>
      <x:c r="G306" s="26"/>
      <x:c r="H306" s="19"/>
    </x:row>
    <x:row r="307">
      <x:c r="A307" s="19"/>
      <x:c r="B307" s="19"/>
      <x:c r="C307" s="19"/>
      <x:c r="D307" s="19"/>
      <x:c r="E307" s="19"/>
      <x:c r="F307" s="19"/>
      <x:c r="G307" s="26"/>
      <x:c r="H307" s="19"/>
    </x:row>
    <x:row r="308">
      <x:c r="A308" s="19"/>
      <x:c r="B308" s="19"/>
      <x:c r="C308" s="19"/>
      <x:c r="D308" s="19"/>
      <x:c r="E308" s="19"/>
      <x:c r="F308" s="19"/>
      <x:c r="G308" s="26"/>
      <x:c r="H308" s="19"/>
    </x:row>
    <x:row r="309">
      <x:c r="A309" s="19"/>
      <x:c r="B309" s="19"/>
      <x:c r="C309" s="19"/>
      <x:c r="D309" s="19"/>
      <x:c r="E309" s="19"/>
      <x:c r="F309" s="19"/>
      <x:c r="G309" s="26"/>
      <x:c r="H309" s="19"/>
    </x:row>
    <x:row r="310">
      <x:c r="A310" s="19"/>
      <x:c r="B310" s="19"/>
      <x:c r="C310" s="19"/>
      <x:c r="D310" s="19"/>
      <x:c r="E310" s="19"/>
      <x:c r="F310" s="19"/>
      <x:c r="G310" s="26"/>
      <x:c r="H310" s="19"/>
    </x:row>
    <x:row r="311">
      <x:c r="A311" s="19"/>
      <x:c r="B311" s="19"/>
      <x:c r="C311" s="19"/>
      <x:c r="D311" s="19"/>
      <x:c r="E311" s="19"/>
      <x:c r="F311" s="19"/>
      <x:c r="G311" s="26"/>
      <x:c r="H311" s="19"/>
    </x:row>
    <x:row r="312">
      <x:c r="A312" s="19"/>
      <x:c r="B312" s="19"/>
      <x:c r="C312" s="19"/>
      <x:c r="D312" s="19"/>
      <x:c r="E312" s="19"/>
      <x:c r="F312" s="19"/>
      <x:c r="G312" s="26"/>
      <x:c r="H312" s="19"/>
    </x:row>
    <x:row r="313">
      <x:c r="A313" s="19"/>
      <x:c r="B313" s="19"/>
      <x:c r="C313" s="19"/>
      <x:c r="D313" s="19"/>
      <x:c r="E313" s="19"/>
      <x:c r="F313" s="19"/>
      <x:c r="G313" s="26"/>
      <x:c r="H313" s="19"/>
    </x:row>
    <x:row r="314">
      <x:c r="A314" s="19"/>
      <x:c r="B314" s="19"/>
      <x:c r="C314" s="19"/>
      <x:c r="D314" s="19"/>
      <x:c r="E314" s="19"/>
      <x:c r="F314" s="19"/>
      <x:c r="G314" s="26"/>
      <x:c r="H314" s="19"/>
    </x:row>
    <x:row r="315">
      <x:c r="A315" s="19"/>
      <x:c r="B315" s="19"/>
      <x:c r="C315" s="19"/>
      <x:c r="D315" s="19"/>
      <x:c r="E315" s="19"/>
      <x:c r="F315" s="19"/>
      <x:c r="G315" s="26"/>
      <x:c r="H315" s="19"/>
    </x:row>
    <x:row r="316">
      <x:c r="A316" s="19"/>
      <x:c r="B316" s="19"/>
      <x:c r="C316" s="19"/>
      <x:c r="D316" s="19"/>
      <x:c r="E316" s="19"/>
      <x:c r="F316" s="19"/>
      <x:c r="G316" s="26"/>
      <x:c r="H316" s="19"/>
    </x:row>
    <x:row r="317">
      <x:c r="A317" s="19"/>
      <x:c r="B317" s="19"/>
      <x:c r="C317" s="19"/>
      <x:c r="D317" s="19"/>
      <x:c r="E317" s="19"/>
      <x:c r="F317" s="19"/>
      <x:c r="G317" s="26"/>
      <x:c r="H317" s="19"/>
    </x:row>
    <x:row r="318">
      <x:c r="A318" s="19"/>
      <x:c r="B318" s="19"/>
      <x:c r="C318" s="19"/>
      <x:c r="D318" s="19"/>
      <x:c r="E318" s="19"/>
      <x:c r="F318" s="19"/>
      <x:c r="G318" s="26"/>
      <x:c r="H318" s="19"/>
    </x:row>
    <x:row r="319">
      <x:c r="A319" s="19"/>
      <x:c r="B319" s="19"/>
      <x:c r="C319" s="19"/>
      <x:c r="D319" s="19"/>
      <x:c r="E319" s="19"/>
      <x:c r="F319" s="19"/>
      <x:c r="G319" s="26"/>
      <x:c r="H319" s="19"/>
    </x:row>
    <x:row r="320">
      <x:c r="A320" s="19"/>
      <x:c r="B320" s="19"/>
      <x:c r="C320" s="19"/>
      <x:c r="D320" s="19"/>
      <x:c r="E320" s="19"/>
      <x:c r="F320" s="19"/>
      <x:c r="G320" s="26"/>
      <x:c r="H320" s="19"/>
    </x:row>
    <x:row r="321">
      <x:c r="A321" s="19"/>
      <x:c r="B321" s="19"/>
      <x:c r="C321" s="19"/>
      <x:c r="D321" s="19"/>
      <x:c r="E321" s="19"/>
      <x:c r="F321" s="19"/>
      <x:c r="G321" s="26"/>
      <x:c r="H321" s="19"/>
    </x:row>
    <x:row r="322">
      <x:c r="A322" s="19"/>
      <x:c r="B322" s="19"/>
      <x:c r="C322" s="19"/>
      <x:c r="D322" s="19"/>
      <x:c r="E322" s="19"/>
      <x:c r="F322" s="19"/>
      <x:c r="G322" s="26"/>
      <x:c r="H322" s="19"/>
    </x:row>
    <x:row r="323">
      <x:c r="A323" s="19"/>
      <x:c r="B323" s="19"/>
      <x:c r="C323" s="19"/>
      <x:c r="D323" s="19"/>
      <x:c r="E323" s="19"/>
      <x:c r="F323" s="19"/>
      <x:c r="G323" s="26"/>
      <x:c r="H323" s="19"/>
    </x:row>
    <x:row r="324">
      <x:c r="A324" s="19"/>
      <x:c r="B324" s="19"/>
      <x:c r="C324" s="19"/>
      <x:c r="D324" s="19"/>
      <x:c r="E324" s="19"/>
      <x:c r="F324" s="19"/>
      <x:c r="G324" s="26"/>
      <x:c r="H324" s="19"/>
    </x:row>
    <x:row r="325">
      <x:c r="A325" s="19"/>
      <x:c r="B325" s="19"/>
      <x:c r="C325" s="19"/>
      <x:c r="D325" s="19"/>
      <x:c r="E325" s="19"/>
      <x:c r="F325" s="19"/>
      <x:c r="G325" s="26"/>
      <x:c r="H325" s="19"/>
    </x:row>
    <x:row r="326">
      <x:c r="A326" s="19"/>
      <x:c r="B326" s="19"/>
      <x:c r="C326" s="19"/>
      <x:c r="D326" s="19"/>
      <x:c r="E326" s="19"/>
      <x:c r="F326" s="19"/>
      <x:c r="G326" s="26"/>
      <x:c r="H326" s="19"/>
    </x:row>
    <x:row r="327">
      <x:c r="A327" s="19"/>
      <x:c r="B327" s="19"/>
      <x:c r="C327" s="19"/>
      <x:c r="D327" s="19"/>
      <x:c r="E327" s="19"/>
      <x:c r="F327" s="19"/>
      <x:c r="G327" s="26"/>
      <x:c r="H327" s="19"/>
    </x:row>
    <x:row r="328">
      <x:c r="A328" s="19"/>
      <x:c r="B328" s="19"/>
      <x:c r="C328" s="19"/>
      <x:c r="D328" s="19"/>
      <x:c r="E328" s="19"/>
      <x:c r="F328" s="19"/>
      <x:c r="G328" s="26"/>
      <x:c r="H328" s="19"/>
    </x:row>
    <x:row r="329">
      <x:c r="A329" s="19"/>
      <x:c r="B329" s="19"/>
      <x:c r="C329" s="19"/>
      <x:c r="D329" s="19"/>
      <x:c r="E329" s="19"/>
      <x:c r="F329" s="19"/>
      <x:c r="G329" s="26"/>
      <x:c r="H329" s="19"/>
    </x:row>
    <x:row r="330">
      <x:c r="A330" s="19"/>
      <x:c r="B330" s="19"/>
      <x:c r="C330" s="19"/>
      <x:c r="D330" s="19"/>
      <x:c r="E330" s="19"/>
      <x:c r="F330" s="19"/>
      <x:c r="G330" s="26"/>
      <x:c r="H330" s="19"/>
    </x:row>
    <x:row r="331">
      <x:c r="A331" s="19"/>
      <x:c r="B331" s="19"/>
      <x:c r="C331" s="19"/>
      <x:c r="D331" s="19"/>
      <x:c r="E331" s="19"/>
      <x:c r="F331" s="19"/>
      <x:c r="G331" s="26"/>
      <x:c r="H331" s="19"/>
    </x:row>
    <x:row r="332">
      <x:c r="A332" s="19"/>
      <x:c r="B332" s="19"/>
      <x:c r="C332" s="19"/>
      <x:c r="D332" s="19"/>
      <x:c r="E332" s="19"/>
      <x:c r="F332" s="19"/>
      <x:c r="G332" s="26"/>
      <x:c r="H332" s="19"/>
    </x:row>
    <x:row r="333">
      <x:c r="A333" s="19"/>
      <x:c r="B333" s="19"/>
      <x:c r="C333" s="19"/>
      <x:c r="D333" s="19"/>
      <x:c r="E333" s="19"/>
      <x:c r="F333" s="19"/>
      <x:c r="G333" s="26"/>
      <x:c r="H333" s="19"/>
    </x:row>
    <x:row r="334">
      <x:c r="A334" s="19"/>
      <x:c r="B334" s="19"/>
      <x:c r="C334" s="19"/>
      <x:c r="D334" s="19"/>
      <x:c r="E334" s="19"/>
      <x:c r="F334" s="19"/>
      <x:c r="G334" s="26"/>
      <x:c r="H334" s="19"/>
    </x:row>
    <x:row r="335">
      <x:c r="A335" s="19"/>
      <x:c r="B335" s="19"/>
      <x:c r="C335" s="19"/>
      <x:c r="D335" s="19"/>
      <x:c r="E335" s="19"/>
      <x:c r="F335" s="19"/>
      <x:c r="G335" s="26"/>
      <x:c r="H335" s="19"/>
    </x:row>
    <x:row r="336">
      <x:c r="A336" s="19"/>
      <x:c r="B336" s="19"/>
      <x:c r="C336" s="19"/>
      <x:c r="D336" s="19"/>
      <x:c r="E336" s="19"/>
      <x:c r="F336" s="19"/>
      <x:c r="G336" s="26"/>
      <x:c r="H336" s="19"/>
    </x:row>
    <x:row r="337">
      <x:c r="A337" s="19"/>
      <x:c r="B337" s="19"/>
      <x:c r="C337" s="19"/>
      <x:c r="D337" s="19"/>
      <x:c r="E337" s="19"/>
      <x:c r="F337" s="19"/>
      <x:c r="G337" s="26"/>
      <x:c r="H337" s="19"/>
    </x:row>
    <x:row r="338">
      <x:c r="A338" s="19"/>
      <x:c r="B338" s="19"/>
      <x:c r="C338" s="19"/>
      <x:c r="D338" s="19"/>
      <x:c r="E338" s="19"/>
      <x:c r="F338" s="19"/>
      <x:c r="G338" s="26"/>
      <x:c r="H338" s="19"/>
    </x:row>
    <x:row r="339">
      <x:c r="A339" s="19"/>
      <x:c r="B339" s="19"/>
      <x:c r="C339" s="19"/>
      <x:c r="D339" s="19"/>
      <x:c r="E339" s="19"/>
      <x:c r="F339" s="19"/>
      <x:c r="G339" s="26"/>
      <x:c r="H339" s="19"/>
    </x:row>
    <x:row r="340">
      <x:c r="A340" s="19"/>
      <x:c r="B340" s="19"/>
      <x:c r="C340" s="19"/>
      <x:c r="D340" s="19"/>
      <x:c r="E340" s="19"/>
      <x:c r="F340" s="19"/>
      <x:c r="G340" s="26"/>
      <x:c r="H340" s="19"/>
    </x:row>
    <x:row r="341">
      <x:c r="A341" s="19"/>
      <x:c r="B341" s="19"/>
      <x:c r="C341" s="19"/>
      <x:c r="D341" s="19"/>
      <x:c r="E341" s="19"/>
      <x:c r="F341" s="19"/>
      <x:c r="G341" s="26"/>
      <x:c r="H341" s="19"/>
    </x:row>
    <x:row r="342">
      <x:c r="A342" s="19"/>
      <x:c r="B342" s="19"/>
      <x:c r="C342" s="19"/>
      <x:c r="D342" s="19"/>
      <x:c r="E342" s="19"/>
      <x:c r="F342" s="19"/>
      <x:c r="G342" s="26"/>
      <x:c r="H342" s="19"/>
    </x:row>
    <x:row r="343">
      <x:c r="A343" s="19"/>
      <x:c r="B343" s="19"/>
      <x:c r="C343" s="19"/>
      <x:c r="D343" s="19"/>
      <x:c r="E343" s="19"/>
      <x:c r="F343" s="19"/>
      <x:c r="G343" s="26"/>
      <x:c r="H343" s="19"/>
    </x:row>
    <x:row r="344">
      <x:c r="A344" s="19"/>
      <x:c r="B344" s="19"/>
      <x:c r="C344" s="19"/>
      <x:c r="D344" s="19"/>
      <x:c r="E344" s="19"/>
      <x:c r="F344" s="19"/>
      <x:c r="G344" s="26"/>
      <x:c r="H344" s="19"/>
    </x:row>
    <x:row r="345">
      <x:c r="A345" s="19"/>
      <x:c r="B345" s="19"/>
      <x:c r="C345" s="19"/>
      <x:c r="D345" s="19"/>
      <x:c r="E345" s="19"/>
      <x:c r="F345" s="19"/>
      <x:c r="G345" s="26"/>
      <x:c r="H345" s="19"/>
    </x:row>
    <x:row r="346">
      <x:c r="A346" s="19"/>
      <x:c r="B346" s="19"/>
      <x:c r="C346" s="19"/>
      <x:c r="D346" s="19"/>
      <x:c r="E346" s="19"/>
      <x:c r="F346" s="19"/>
      <x:c r="G346" s="26"/>
      <x:c r="H346" s="19"/>
    </x:row>
    <x:row r="347">
      <x:c r="A347" s="19"/>
      <x:c r="B347" s="19"/>
      <x:c r="C347" s="19"/>
      <x:c r="D347" s="19"/>
      <x:c r="E347" s="19"/>
      <x:c r="F347" s="19"/>
      <x:c r="G347" s="26"/>
      <x:c r="H347" s="19"/>
    </x:row>
    <x:row r="348">
      <x:c r="A348" s="19"/>
      <x:c r="B348" s="19"/>
      <x:c r="C348" s="19"/>
      <x:c r="D348" s="19"/>
      <x:c r="E348" s="19"/>
      <x:c r="F348" s="19"/>
      <x:c r="G348" s="26"/>
      <x:c r="H348" s="19"/>
    </x:row>
    <x:row r="349">
      <x:c r="A349" s="19"/>
      <x:c r="B349" s="19"/>
      <x:c r="C349" s="19"/>
      <x:c r="D349" s="19"/>
      <x:c r="E349" s="19"/>
      <x:c r="F349" s="19"/>
      <x:c r="G349" s="26"/>
      <x:c r="H349" s="19"/>
    </x:row>
    <x:row r="350">
      <x:c r="A350" s="19"/>
      <x:c r="B350" s="19"/>
      <x:c r="C350" s="19"/>
      <x:c r="D350" s="19"/>
      <x:c r="E350" s="19"/>
      <x:c r="F350" s="19"/>
      <x:c r="G350" s="26"/>
      <x:c r="H350" s="19"/>
    </x:row>
    <x:row r="351">
      <x:c r="A351" s="19"/>
      <x:c r="B351" s="19"/>
      <x:c r="C351" s="19"/>
      <x:c r="D351" s="19"/>
      <x:c r="E351" s="19"/>
      <x:c r="F351" s="19"/>
      <x:c r="G351" s="26"/>
      <x:c r="H351" s="19"/>
    </x:row>
    <x:row r="352">
      <x:c r="A352" s="19"/>
      <x:c r="B352" s="19"/>
      <x:c r="C352" s="19"/>
      <x:c r="D352" s="19"/>
      <x:c r="E352" s="19"/>
      <x:c r="F352" s="19"/>
      <x:c r="G352" s="26"/>
      <x:c r="H352" s="19"/>
    </x:row>
    <x:row r="353">
      <x:c r="A353" s="19"/>
      <x:c r="B353" s="19"/>
      <x:c r="C353" s="19"/>
      <x:c r="D353" s="19"/>
      <x:c r="E353" s="19"/>
      <x:c r="F353" s="19"/>
      <x:c r="G353" s="26"/>
      <x:c r="H353" s="19"/>
    </x:row>
    <x:row r="354">
      <x:c r="A354" s="19"/>
      <x:c r="B354" s="19"/>
      <x:c r="C354" s="19"/>
      <x:c r="D354" s="19"/>
      <x:c r="E354" s="19"/>
      <x:c r="F354" s="19"/>
      <x:c r="G354" s="26"/>
      <x:c r="H354" s="19"/>
    </x:row>
    <x:row r="355">
      <x:c r="A355" s="19"/>
      <x:c r="B355" s="19"/>
      <x:c r="C355" s="19"/>
      <x:c r="D355" s="19"/>
      <x:c r="E355" s="19"/>
      <x:c r="F355" s="19"/>
      <x:c r="G355" s="26"/>
      <x:c r="H355" s="19"/>
    </x:row>
    <x:row r="356">
      <x:c r="A356" s="19"/>
      <x:c r="B356" s="19"/>
      <x:c r="C356" s="19"/>
      <x:c r="D356" s="19"/>
      <x:c r="E356" s="19"/>
      <x:c r="F356" s="19"/>
      <x:c r="G356" s="26"/>
      <x:c r="H356" s="19"/>
    </x:row>
    <x:row r="357">
      <x:c r="A357" s="19"/>
      <x:c r="B357" s="19"/>
      <x:c r="C357" s="19"/>
      <x:c r="D357" s="19"/>
      <x:c r="E357" s="19"/>
      <x:c r="F357" s="19"/>
      <x:c r="G357" s="26"/>
      <x:c r="H357" s="19"/>
    </x:row>
    <x:row r="358">
      <x:c r="A358" s="19"/>
      <x:c r="B358" s="19"/>
      <x:c r="C358" s="19"/>
      <x:c r="D358" s="19"/>
      <x:c r="E358" s="19"/>
      <x:c r="F358" s="19"/>
      <x:c r="G358" s="26"/>
      <x:c r="H358" s="19"/>
    </x:row>
    <x:row r="359">
      <x:c r="A359" s="19"/>
      <x:c r="B359" s="19"/>
      <x:c r="C359" s="19"/>
      <x:c r="D359" s="19"/>
      <x:c r="E359" s="19"/>
      <x:c r="F359" s="19"/>
      <x:c r="G359" s="26"/>
      <x:c r="H359" s="19"/>
    </x:row>
    <x:row r="360">
      <x:c r="A360" s="19"/>
      <x:c r="B360" s="19"/>
      <x:c r="C360" s="19"/>
      <x:c r="D360" s="19"/>
      <x:c r="E360" s="19"/>
      <x:c r="F360" s="19"/>
      <x:c r="G360" s="26"/>
      <x:c r="H360" s="19"/>
    </x:row>
    <x:row r="361">
      <x:c r="A361" s="19"/>
      <x:c r="B361" s="19"/>
      <x:c r="C361" s="19"/>
      <x:c r="D361" s="19"/>
      <x:c r="E361" s="19"/>
      <x:c r="F361" s="19"/>
      <x:c r="G361" s="26"/>
      <x:c r="H361" s="19"/>
    </x:row>
    <x:row r="362">
      <x:c r="A362" s="19"/>
      <x:c r="B362" s="19"/>
      <x:c r="C362" s="19"/>
      <x:c r="D362" s="19"/>
      <x:c r="E362" s="19"/>
      <x:c r="F362" s="19"/>
      <x:c r="G362" s="26"/>
      <x:c r="H362" s="19"/>
    </x:row>
    <x:row r="363">
      <x:c r="A363" s="19"/>
      <x:c r="B363" s="19"/>
      <x:c r="C363" s="19"/>
      <x:c r="D363" s="19"/>
      <x:c r="E363" s="19"/>
      <x:c r="F363" s="19"/>
      <x:c r="G363" s="26"/>
      <x:c r="H363" s="19"/>
    </x:row>
    <x:row r="364">
      <x:c r="A364" s="19"/>
      <x:c r="B364" s="19"/>
      <x:c r="C364" s="19"/>
      <x:c r="D364" s="19"/>
      <x:c r="E364" s="19"/>
      <x:c r="F364" s="19"/>
      <x:c r="G364" s="26"/>
      <x:c r="H364" s="19"/>
    </x:row>
    <x:row r="365">
      <x:c r="A365" s="19"/>
      <x:c r="B365" s="19"/>
      <x:c r="C365" s="19"/>
      <x:c r="D365" s="19"/>
      <x:c r="E365" s="19"/>
      <x:c r="F365" s="19"/>
      <x:c r="G365" s="26"/>
      <x:c r="H365" s="19"/>
    </x:row>
    <x:row r="366">
      <x:c r="A366" s="19"/>
      <x:c r="B366" s="19"/>
      <x:c r="C366" s="19"/>
      <x:c r="D366" s="19"/>
      <x:c r="E366" s="19"/>
      <x:c r="F366" s="19"/>
      <x:c r="G366" s="26"/>
      <x:c r="H366" s="19"/>
    </x:row>
    <x:row r="367">
      <x:c r="A367" s="19"/>
      <x:c r="B367" s="19"/>
      <x:c r="C367" s="19"/>
      <x:c r="D367" s="19"/>
      <x:c r="E367" s="19"/>
      <x:c r="F367" s="19"/>
      <x:c r="G367" s="26"/>
      <x:c r="H367" s="19"/>
    </x:row>
    <x:row r="368">
      <x:c r="A368" s="19"/>
      <x:c r="B368" s="19"/>
      <x:c r="C368" s="19"/>
      <x:c r="D368" s="19"/>
      <x:c r="E368" s="19"/>
      <x:c r="F368" s="19"/>
      <x:c r="G368" s="26"/>
      <x:c r="H368" s="19"/>
    </x:row>
    <x:row r="369">
      <x:c r="A369" s="19"/>
      <x:c r="B369" s="19"/>
      <x:c r="C369" s="19"/>
      <x:c r="D369" s="19"/>
      <x:c r="E369" s="19"/>
      <x:c r="F369" s="19"/>
      <x:c r="G369" s="26"/>
      <x:c r="H369" s="19"/>
    </x:row>
    <x:row r="370">
      <x:c r="A370" s="19"/>
      <x:c r="B370" s="19"/>
      <x:c r="C370" s="19"/>
      <x:c r="D370" s="19"/>
      <x:c r="E370" s="19"/>
      <x:c r="F370" s="19"/>
      <x:c r="G370" s="26"/>
      <x:c r="H370" s="19"/>
    </x:row>
    <x:row r="371">
      <x:c r="A371" s="19"/>
      <x:c r="B371" s="19"/>
      <x:c r="C371" s="19"/>
      <x:c r="D371" s="19"/>
      <x:c r="E371" s="19"/>
      <x:c r="F371" s="19"/>
      <x:c r="G371" s="26"/>
      <x:c r="H371" s="19"/>
    </x:row>
    <x:row r="372">
      <x:c r="A372" s="19"/>
      <x:c r="B372" s="19"/>
      <x:c r="C372" s="19"/>
      <x:c r="D372" s="19"/>
      <x:c r="E372" s="19"/>
      <x:c r="F372" s="19"/>
      <x:c r="G372" s="26"/>
      <x:c r="H372" s="19"/>
    </x:row>
    <x:row r="373">
      <x:c r="A373" s="19"/>
      <x:c r="B373" s="19"/>
      <x:c r="C373" s="19"/>
      <x:c r="D373" s="19"/>
      <x:c r="E373" s="19"/>
      <x:c r="F373" s="19"/>
      <x:c r="G373" s="26"/>
      <x:c r="H373" s="19"/>
    </x:row>
    <x:row r="374">
      <x:c r="A374" s="19"/>
      <x:c r="B374" s="19"/>
      <x:c r="C374" s="19"/>
      <x:c r="D374" s="19"/>
      <x:c r="E374" s="19"/>
      <x:c r="F374" s="19"/>
      <x:c r="G374" s="26"/>
      <x:c r="H374" s="19"/>
    </x:row>
    <x:row r="375">
      <x:c r="A375" s="19"/>
      <x:c r="B375" s="19"/>
      <x:c r="C375" s="19"/>
      <x:c r="D375" s="19"/>
      <x:c r="E375" s="19"/>
      <x:c r="F375" s="19"/>
      <x:c r="G375" s="26"/>
      <x:c r="H375" s="19"/>
    </x:row>
    <x:row r="376">
      <x:c r="A376" s="19"/>
      <x:c r="B376" s="19"/>
      <x:c r="C376" s="19"/>
      <x:c r="D376" s="19"/>
      <x:c r="E376" s="19"/>
      <x:c r="F376" s="19"/>
      <x:c r="G376" s="26"/>
      <x:c r="H376" s="19"/>
    </x:row>
    <x:row r="377">
      <x:c r="A377" s="19"/>
      <x:c r="B377" s="19"/>
      <x:c r="C377" s="19"/>
      <x:c r="D377" s="19"/>
      <x:c r="E377" s="19"/>
      <x:c r="F377" s="19"/>
      <x:c r="G377" s="26"/>
      <x:c r="H377" s="19"/>
    </x:row>
    <x:row r="378">
      <x:c r="A378" s="19"/>
      <x:c r="B378" s="19"/>
      <x:c r="C378" s="19"/>
      <x:c r="D378" s="19"/>
      <x:c r="E378" s="19"/>
      <x:c r="F378" s="19"/>
      <x:c r="G378" s="26"/>
      <x:c r="H378" s="19"/>
    </x:row>
    <x:row r="379">
      <x:c r="A379" s="19"/>
      <x:c r="B379" s="19"/>
      <x:c r="C379" s="19"/>
      <x:c r="D379" s="19"/>
      <x:c r="E379" s="19"/>
      <x:c r="F379" s="19"/>
      <x:c r="G379" s="26"/>
      <x:c r="H379" s="19"/>
    </x:row>
    <x:row r="380">
      <x:c r="A380" s="19"/>
      <x:c r="B380" s="19"/>
      <x:c r="C380" s="19"/>
      <x:c r="D380" s="19"/>
      <x:c r="E380" s="19"/>
      <x:c r="F380" s="19"/>
      <x:c r="G380" s="26"/>
      <x:c r="H380" s="19"/>
    </x:row>
    <x:row r="381">
      <x:c r="A381" s="19"/>
      <x:c r="B381" s="19"/>
      <x:c r="C381" s="19"/>
      <x:c r="D381" s="19"/>
      <x:c r="E381" s="19"/>
      <x:c r="F381" s="19"/>
      <x:c r="G381" s="26"/>
      <x:c r="H381" s="19"/>
    </x:row>
    <x:row r="382">
      <x:c r="A382" s="19"/>
      <x:c r="B382" s="19"/>
      <x:c r="C382" s="19"/>
      <x:c r="D382" s="19"/>
      <x:c r="E382" s="19"/>
      <x:c r="F382" s="19"/>
      <x:c r="G382" s="26"/>
      <x:c r="H382" s="19"/>
    </x:row>
    <x:row r="383">
      <x:c r="A383" s="19"/>
      <x:c r="B383" s="19"/>
      <x:c r="C383" s="19"/>
      <x:c r="D383" s="19"/>
      <x:c r="E383" s="19"/>
      <x:c r="F383" s="19"/>
      <x:c r="G383" s="26"/>
      <x:c r="H383" s="19"/>
    </x:row>
    <x:row r="384">
      <x:c r="A384" s="19"/>
      <x:c r="B384" s="19"/>
      <x:c r="C384" s="19"/>
      <x:c r="D384" s="19"/>
      <x:c r="E384" s="19"/>
      <x:c r="F384" s="19"/>
      <x:c r="G384" s="26"/>
      <x:c r="H384" s="19"/>
    </x:row>
    <x:row r="385">
      <x:c r="A385" s="19"/>
      <x:c r="B385" s="19"/>
      <x:c r="C385" s="19"/>
      <x:c r="D385" s="19"/>
      <x:c r="E385" s="19"/>
      <x:c r="F385" s="19"/>
      <x:c r="G385" s="26"/>
      <x:c r="H385" s="19"/>
    </x:row>
    <x:row r="386">
      <x:c r="A386" s="19"/>
      <x:c r="B386" s="19"/>
      <x:c r="C386" s="19"/>
      <x:c r="D386" s="19"/>
      <x:c r="E386" s="19"/>
      <x:c r="F386" s="19"/>
      <x:c r="G386" s="26"/>
      <x:c r="H386" s="19"/>
    </x:row>
    <x:row r="387">
      <x:c r="A387" s="19"/>
      <x:c r="B387" s="19"/>
      <x:c r="C387" s="19"/>
      <x:c r="D387" s="19"/>
      <x:c r="E387" s="19"/>
      <x:c r="F387" s="19"/>
      <x:c r="G387" s="26"/>
      <x:c r="H387" s="19"/>
    </x:row>
    <x:row r="388">
      <x:c r="A388" s="19"/>
      <x:c r="B388" s="19"/>
      <x:c r="C388" s="19"/>
      <x:c r="D388" s="19"/>
      <x:c r="E388" s="19"/>
      <x:c r="F388" s="19"/>
      <x:c r="G388" s="26"/>
      <x:c r="H388" s="19"/>
    </x:row>
    <x:row r="389">
      <x:c r="A389" s="19"/>
      <x:c r="B389" s="19"/>
      <x:c r="C389" s="19"/>
      <x:c r="D389" s="19"/>
      <x:c r="E389" s="19"/>
      <x:c r="F389" s="19"/>
      <x:c r="G389" s="26"/>
      <x:c r="H389" s="19"/>
    </x:row>
    <x:row r="390">
      <x:c r="A390" s="19"/>
      <x:c r="B390" s="19"/>
      <x:c r="C390" s="19"/>
      <x:c r="D390" s="19"/>
      <x:c r="E390" s="19"/>
      <x:c r="F390" s="19"/>
      <x:c r="G390" s="26"/>
      <x:c r="H390" s="19"/>
    </x:row>
    <x:row r="391">
      <x:c r="A391" s="19"/>
      <x:c r="B391" s="19"/>
      <x:c r="C391" s="19"/>
      <x:c r="D391" s="19"/>
      <x:c r="E391" s="19"/>
      <x:c r="F391" s="19"/>
      <x:c r="G391" s="26"/>
      <x:c r="H391" s="19"/>
    </x:row>
    <x:row r="392">
      <x:c r="A392" s="19"/>
      <x:c r="B392" s="19"/>
      <x:c r="C392" s="19"/>
      <x:c r="D392" s="19"/>
      <x:c r="E392" s="19"/>
      <x:c r="F392" s="19"/>
      <x:c r="G392" s="26"/>
      <x:c r="H392" s="19"/>
    </x:row>
    <x:row r="393">
      <x:c r="A393" s="19"/>
      <x:c r="B393" s="19"/>
      <x:c r="C393" s="19"/>
      <x:c r="D393" s="19"/>
      <x:c r="E393" s="19"/>
      <x:c r="F393" s="19"/>
      <x:c r="G393" s="26"/>
      <x:c r="H393" s="19"/>
    </x:row>
    <x:row r="394">
      <x:c r="A394" s="19"/>
      <x:c r="B394" s="19"/>
      <x:c r="C394" s="19"/>
      <x:c r="D394" s="19"/>
      <x:c r="E394" s="19"/>
      <x:c r="F394" s="19"/>
      <x:c r="G394" s="26"/>
      <x:c r="H394" s="19"/>
    </x:row>
    <x:row r="395">
      <x:c r="A395" s="19"/>
      <x:c r="B395" s="19"/>
      <x:c r="C395" s="19"/>
      <x:c r="D395" s="19"/>
      <x:c r="E395" s="19"/>
      <x:c r="F395" s="19"/>
      <x:c r="G395" s="26"/>
      <x:c r="H395" s="19"/>
    </x:row>
    <x:row r="396">
      <x:c r="A396" s="19"/>
      <x:c r="B396" s="19"/>
      <x:c r="C396" s="19"/>
      <x:c r="D396" s="19"/>
      <x:c r="E396" s="19"/>
      <x:c r="F396" s="19"/>
      <x:c r="G396" s="26"/>
      <x:c r="H396" s="19"/>
    </x:row>
    <x:row r="397">
      <x:c r="A397" s="19"/>
      <x:c r="B397" s="19"/>
      <x:c r="C397" s="19"/>
      <x:c r="D397" s="19"/>
      <x:c r="E397" s="19"/>
      <x:c r="F397" s="19"/>
      <x:c r="G397" s="26"/>
      <x:c r="H397" s="19"/>
    </x:row>
    <x:row r="398">
      <x:c r="A398" s="19"/>
      <x:c r="B398" s="19"/>
      <x:c r="C398" s="19"/>
      <x:c r="D398" s="19"/>
      <x:c r="E398" s="19"/>
      <x:c r="F398" s="19"/>
      <x:c r="G398" s="26"/>
      <x:c r="H398" s="19"/>
    </x:row>
    <x:row r="399">
      <x:c r="A399" s="19"/>
      <x:c r="B399" s="19"/>
      <x:c r="C399" s="19"/>
      <x:c r="D399" s="19"/>
      <x:c r="E399" s="19"/>
      <x:c r="F399" s="19"/>
      <x:c r="G399" s="26"/>
      <x:c r="H399" s="19"/>
    </x:row>
    <x:row r="400">
      <x:c r="A400" s="19"/>
      <x:c r="B400" s="19"/>
      <x:c r="C400" s="19"/>
      <x:c r="D400" s="19"/>
      <x:c r="E400" s="19"/>
      <x:c r="F400" s="19"/>
      <x:c r="G400" s="26"/>
      <x:c r="H400" s="19"/>
    </x:row>
    <x:row r="401">
      <x:c r="A401" s="19"/>
      <x:c r="B401" s="19"/>
      <x:c r="C401" s="19"/>
      <x:c r="D401" s="19"/>
      <x:c r="E401" s="19"/>
      <x:c r="F401" s="19"/>
      <x:c r="G401" s="26"/>
      <x:c r="H401" s="19"/>
    </x:row>
    <x:row r="402">
      <x:c r="A402" s="19"/>
      <x:c r="B402" s="19"/>
      <x:c r="C402" s="19"/>
      <x:c r="D402" s="19"/>
      <x:c r="E402" s="19"/>
      <x:c r="F402" s="19"/>
      <x:c r="G402" s="26"/>
      <x:c r="H402" s="19"/>
    </x:row>
    <x:row r="403">
      <x:c r="A403" s="19"/>
      <x:c r="B403" s="19"/>
      <x:c r="C403" s="19"/>
      <x:c r="D403" s="19"/>
      <x:c r="E403" s="19"/>
      <x:c r="F403" s="19"/>
      <x:c r="G403" s="26"/>
      <x:c r="H403" s="19"/>
    </x:row>
    <x:row r="404">
      <x:c r="A404" s="19"/>
      <x:c r="B404" s="19"/>
      <x:c r="C404" s="19"/>
      <x:c r="D404" s="19"/>
      <x:c r="E404" s="19"/>
      <x:c r="F404" s="19"/>
      <x:c r="G404" s="26"/>
      <x:c r="H404" s="19"/>
    </x:row>
    <x:row r="405">
      <x:c r="A405" s="19"/>
      <x:c r="B405" s="19"/>
      <x:c r="C405" s="19"/>
      <x:c r="D405" s="19"/>
      <x:c r="E405" s="19"/>
      <x:c r="F405" s="19"/>
      <x:c r="G405" s="26"/>
      <x:c r="H405" s="19"/>
    </x:row>
    <x:row r="406">
      <x:c r="A406" s="19"/>
      <x:c r="B406" s="19"/>
      <x:c r="C406" s="19"/>
      <x:c r="D406" s="19"/>
      <x:c r="E406" s="19"/>
      <x:c r="F406" s="19"/>
      <x:c r="G406" s="26"/>
      <x:c r="H406" s="19"/>
    </x:row>
    <x:row r="407">
      <x:c r="A407" s="19"/>
      <x:c r="B407" s="19"/>
      <x:c r="C407" s="19"/>
      <x:c r="D407" s="19"/>
      <x:c r="E407" s="19"/>
      <x:c r="F407" s="19"/>
      <x:c r="G407" s="26"/>
      <x:c r="H407" s="19"/>
    </x:row>
    <x:row r="408">
      <x:c r="A408" s="19"/>
      <x:c r="B408" s="19"/>
      <x:c r="C408" s="19"/>
      <x:c r="D408" s="19"/>
      <x:c r="E408" s="19"/>
      <x:c r="F408" s="19"/>
      <x:c r="G408" s="26"/>
      <x:c r="H408" s="19"/>
    </x:row>
    <x:row r="409">
      <x:c r="A409" s="19"/>
      <x:c r="B409" s="19"/>
      <x:c r="C409" s="19"/>
      <x:c r="D409" s="19"/>
      <x:c r="E409" s="19"/>
      <x:c r="F409" s="19"/>
      <x:c r="G409" s="26"/>
      <x:c r="H409" s="19"/>
    </x:row>
    <x:row r="410">
      <x:c r="A410" s="19"/>
      <x:c r="B410" s="19"/>
      <x:c r="C410" s="19"/>
      <x:c r="D410" s="19"/>
      <x:c r="E410" s="19"/>
      <x:c r="F410" s="19"/>
      <x:c r="G410" s="26"/>
      <x:c r="H410" s="19"/>
    </x:row>
    <x:row r="411">
      <x:c r="A411" s="19"/>
      <x:c r="B411" s="19"/>
      <x:c r="C411" s="19"/>
      <x:c r="D411" s="19"/>
      <x:c r="E411" s="19"/>
      <x:c r="F411" s="19"/>
      <x:c r="G411" s="26"/>
      <x:c r="H411" s="19"/>
    </x:row>
    <x:row r="412">
      <x:c r="A412" s="19"/>
      <x:c r="B412" s="19"/>
      <x:c r="C412" s="19"/>
      <x:c r="D412" s="19"/>
      <x:c r="E412" s="19"/>
      <x:c r="F412" s="19"/>
      <x:c r="G412" s="26"/>
      <x:c r="H412" s="19"/>
    </x:row>
    <x:row r="413">
      <x:c r="A413" s="19"/>
      <x:c r="B413" s="19"/>
      <x:c r="C413" s="19"/>
      <x:c r="D413" s="19"/>
      <x:c r="E413" s="19"/>
      <x:c r="F413" s="19"/>
      <x:c r="G413" s="26"/>
      <x:c r="H413" s="19"/>
    </x:row>
    <x:row r="414">
      <x:c r="A414" s="19"/>
      <x:c r="B414" s="19"/>
      <x:c r="C414" s="19"/>
      <x:c r="D414" s="19"/>
      <x:c r="E414" s="19"/>
      <x:c r="F414" s="19"/>
      <x:c r="G414" s="26"/>
      <x:c r="H414" s="19"/>
    </x:row>
    <x:row r="415">
      <x:c r="A415" s="19"/>
      <x:c r="B415" s="19"/>
      <x:c r="C415" s="19"/>
      <x:c r="D415" s="19"/>
      <x:c r="E415" s="19"/>
      <x:c r="F415" s="19"/>
      <x:c r="G415" s="26"/>
      <x:c r="H415" s="19"/>
    </x:row>
    <x:row r="416">
      <x:c r="A416" s="19"/>
      <x:c r="B416" s="19"/>
      <x:c r="C416" s="19"/>
      <x:c r="D416" s="19"/>
      <x:c r="E416" s="19"/>
      <x:c r="F416" s="19"/>
      <x:c r="G416" s="26"/>
      <x:c r="H416" s="19"/>
    </x:row>
    <x:row r="417">
      <x:c r="A417" s="19"/>
      <x:c r="B417" s="19"/>
      <x:c r="C417" s="19"/>
      <x:c r="D417" s="19"/>
      <x:c r="E417" s="19"/>
      <x:c r="F417" s="19"/>
      <x:c r="G417" s="26"/>
      <x:c r="H417" s="19"/>
    </x:row>
    <x:row r="418">
      <x:c r="A418" s="19"/>
      <x:c r="B418" s="19"/>
      <x:c r="C418" s="19"/>
      <x:c r="D418" s="19"/>
      <x:c r="E418" s="19"/>
      <x:c r="F418" s="19"/>
      <x:c r="G418" s="26"/>
      <x:c r="H418" s="19"/>
    </x:row>
    <x:row r="419">
      <x:c r="A419" s="19"/>
      <x:c r="B419" s="19"/>
      <x:c r="C419" s="19"/>
      <x:c r="D419" s="19"/>
      <x:c r="E419" s="19"/>
      <x:c r="F419" s="19"/>
      <x:c r="G419" s="26"/>
      <x:c r="H419" s="19"/>
    </x:row>
    <x:row r="420">
      <x:c r="A420" s="19"/>
      <x:c r="B420" s="19"/>
      <x:c r="C420" s="19"/>
      <x:c r="D420" s="19"/>
      <x:c r="E420" s="19"/>
      <x:c r="F420" s="19"/>
      <x:c r="G420" s="26"/>
      <x:c r="H420" s="19"/>
    </x:row>
    <x:row r="421">
      <x:c r="A421" s="19"/>
      <x:c r="B421" s="19"/>
      <x:c r="C421" s="19"/>
      <x:c r="D421" s="19"/>
      <x:c r="E421" s="19"/>
      <x:c r="F421" s="19"/>
      <x:c r="G421" s="26"/>
      <x:c r="H421" s="19"/>
    </x:row>
    <x:row r="422">
      <x:c r="A422" s="19"/>
      <x:c r="B422" s="19"/>
      <x:c r="C422" s="19"/>
      <x:c r="D422" s="19"/>
      <x:c r="E422" s="19"/>
      <x:c r="F422" s="19"/>
      <x:c r="G422" s="26"/>
      <x:c r="H422" s="19"/>
    </x:row>
    <x:row r="423">
      <x:c r="A423" s="19"/>
      <x:c r="B423" s="19"/>
      <x:c r="C423" s="19"/>
      <x:c r="D423" s="19"/>
      <x:c r="E423" s="19"/>
      <x:c r="F423" s="19"/>
      <x:c r="G423" s="26"/>
      <x:c r="H423" s="19"/>
    </x:row>
    <x:row r="424">
      <x:c r="A424" s="19"/>
      <x:c r="B424" s="19"/>
      <x:c r="C424" s="19"/>
      <x:c r="D424" s="19"/>
      <x:c r="E424" s="19"/>
      <x:c r="F424" s="19"/>
      <x:c r="G424" s="26"/>
      <x:c r="H424" s="19"/>
    </x:row>
    <x:row r="425">
      <x:c r="A425" s="19"/>
      <x:c r="B425" s="19"/>
      <x:c r="C425" s="19"/>
      <x:c r="D425" s="19"/>
      <x:c r="E425" s="19"/>
      <x:c r="F425" s="19"/>
      <x:c r="G425" s="26"/>
      <x:c r="H425" s="19"/>
    </x:row>
    <x:row r="426">
      <x:c r="A426" s="19"/>
      <x:c r="B426" s="19"/>
      <x:c r="C426" s="19"/>
      <x:c r="D426" s="19"/>
      <x:c r="E426" s="19"/>
      <x:c r="F426" s="19"/>
      <x:c r="G426" s="26"/>
      <x:c r="H426" s="19"/>
    </x:row>
    <x:row r="427">
      <x:c r="A427" s="19"/>
      <x:c r="B427" s="19"/>
      <x:c r="C427" s="19"/>
      <x:c r="D427" s="19"/>
      <x:c r="E427" s="19"/>
      <x:c r="F427" s="19"/>
      <x:c r="G427" s="26"/>
      <x:c r="H427" s="19"/>
    </x:row>
    <x:row r="428">
      <x:c r="A428" s="19"/>
      <x:c r="B428" s="19"/>
      <x:c r="C428" s="19"/>
      <x:c r="D428" s="19"/>
      <x:c r="E428" s="19"/>
      <x:c r="F428" s="19"/>
      <x:c r="G428" s="26"/>
      <x:c r="H428" s="19"/>
    </x:row>
    <x:row r="429">
      <x:c r="A429" s="19"/>
      <x:c r="B429" s="19"/>
      <x:c r="C429" s="19"/>
      <x:c r="D429" s="19"/>
      <x:c r="E429" s="19"/>
      <x:c r="F429" s="19"/>
      <x:c r="G429" s="26"/>
      <x:c r="H429" s="19"/>
    </x:row>
    <x:row r="430">
      <x:c r="A430" s="19"/>
      <x:c r="B430" s="19"/>
      <x:c r="C430" s="19"/>
      <x:c r="D430" s="19"/>
      <x:c r="E430" s="19"/>
      <x:c r="F430" s="19"/>
      <x:c r="G430" s="26"/>
      <x:c r="H430" s="19"/>
    </x:row>
    <x:row r="431">
      <x:c r="A431" s="19"/>
      <x:c r="B431" s="19"/>
      <x:c r="C431" s="19"/>
      <x:c r="D431" s="19"/>
      <x:c r="E431" s="19"/>
      <x:c r="F431" s="19"/>
      <x:c r="G431" s="26"/>
      <x:c r="H431" s="19"/>
    </x:row>
    <x:row r="432">
      <x:c r="A432" s="19"/>
      <x:c r="B432" s="19"/>
      <x:c r="C432" s="19"/>
      <x:c r="D432" s="19"/>
      <x:c r="E432" s="19"/>
      <x:c r="F432" s="19"/>
      <x:c r="G432" s="26"/>
      <x:c r="H432" s="19"/>
    </x:row>
    <x:row r="433">
      <x:c r="A433" s="19"/>
      <x:c r="B433" s="19"/>
      <x:c r="C433" s="19"/>
      <x:c r="D433" s="19"/>
      <x:c r="E433" s="19"/>
      <x:c r="F433" s="19"/>
      <x:c r="G433" s="26"/>
      <x:c r="H433" s="19"/>
    </x:row>
    <x:row r="434">
      <x:c r="A434" s="19"/>
      <x:c r="B434" s="19"/>
      <x:c r="C434" s="19"/>
      <x:c r="D434" s="19"/>
      <x:c r="E434" s="19"/>
      <x:c r="F434" s="19"/>
      <x:c r="G434" s="26"/>
      <x:c r="H434" s="19"/>
    </x:row>
    <x:row r="435">
      <x:c r="A435" s="19"/>
      <x:c r="B435" s="19"/>
      <x:c r="C435" s="19"/>
      <x:c r="D435" s="19"/>
      <x:c r="E435" s="19"/>
      <x:c r="F435" s="19"/>
      <x:c r="G435" s="26"/>
      <x:c r="H435" s="19"/>
    </x:row>
    <x:row r="436">
      <x:c r="A436" s="19"/>
      <x:c r="B436" s="19"/>
      <x:c r="C436" s="19"/>
      <x:c r="D436" s="19"/>
      <x:c r="E436" s="19"/>
      <x:c r="F436" s="19"/>
      <x:c r="G436" s="26"/>
      <x:c r="H436" s="19"/>
    </x:row>
    <x:row r="437">
      <x:c r="A437" s="19"/>
      <x:c r="B437" s="19"/>
      <x:c r="C437" s="19"/>
      <x:c r="D437" s="19"/>
      <x:c r="E437" s="19"/>
      <x:c r="F437" s="19"/>
      <x:c r="G437" s="26"/>
      <x:c r="H437" s="19"/>
    </x:row>
    <x:row r="438">
      <x:c r="A438" s="19"/>
      <x:c r="B438" s="19"/>
      <x:c r="C438" s="19"/>
      <x:c r="D438" s="19"/>
      <x:c r="E438" s="19"/>
      <x:c r="F438" s="19"/>
      <x:c r="G438" s="26"/>
      <x:c r="H438" s="19"/>
    </x:row>
    <x:row r="439">
      <x:c r="A439" s="19"/>
      <x:c r="B439" s="19"/>
      <x:c r="C439" s="19"/>
      <x:c r="D439" s="19"/>
      <x:c r="E439" s="19"/>
      <x:c r="F439" s="19"/>
      <x:c r="G439" s="26"/>
      <x:c r="H439" s="19"/>
    </x:row>
    <x:row r="440">
      <x:c r="A440" s="19"/>
      <x:c r="B440" s="19"/>
      <x:c r="C440" s="19"/>
      <x:c r="D440" s="19"/>
      <x:c r="E440" s="19"/>
      <x:c r="F440" s="19"/>
      <x:c r="G440" s="26"/>
      <x:c r="H440" s="19"/>
    </x:row>
    <x:row r="441">
      <x:c r="A441" s="19"/>
      <x:c r="B441" s="19"/>
      <x:c r="C441" s="19"/>
      <x:c r="D441" s="19"/>
      <x:c r="E441" s="19"/>
      <x:c r="F441" s="19"/>
      <x:c r="G441" s="26"/>
      <x:c r="H441" s="19"/>
    </x:row>
    <x:row r="442">
      <x:c r="A442" s="19"/>
      <x:c r="B442" s="19"/>
      <x:c r="C442" s="19"/>
      <x:c r="D442" s="19"/>
      <x:c r="E442" s="19"/>
      <x:c r="F442" s="19"/>
      <x:c r="G442" s="26"/>
      <x:c r="H442" s="19"/>
    </x:row>
    <x:row r="443">
      <x:c r="A443" s="19"/>
      <x:c r="B443" s="19"/>
      <x:c r="C443" s="19"/>
      <x:c r="D443" s="19"/>
      <x:c r="E443" s="19"/>
      <x:c r="F443" s="19"/>
      <x:c r="G443" s="26"/>
      <x:c r="H443" s="19"/>
    </x:row>
    <x:row r="444">
      <x:c r="A444" s="19"/>
      <x:c r="B444" s="19"/>
      <x:c r="C444" s="19"/>
      <x:c r="D444" s="19"/>
      <x:c r="E444" s="19"/>
      <x:c r="F444" s="19"/>
      <x:c r="G444" s="26"/>
      <x:c r="H444" s="19"/>
    </x:row>
    <x:row r="445">
      <x:c r="A445" s="19"/>
      <x:c r="B445" s="19"/>
      <x:c r="C445" s="19"/>
      <x:c r="D445" s="19"/>
      <x:c r="E445" s="19"/>
      <x:c r="F445" s="19"/>
      <x:c r="G445" s="26"/>
      <x:c r="H445" s="19"/>
    </x:row>
    <x:row r="446">
      <x:c r="A446" s="19"/>
      <x:c r="B446" s="19"/>
      <x:c r="C446" s="19"/>
      <x:c r="D446" s="19"/>
      <x:c r="E446" s="19"/>
      <x:c r="F446" s="19"/>
      <x:c r="G446" s="26"/>
      <x:c r="H446" s="19"/>
    </x:row>
    <x:row r="447">
      <x:c r="A447" s="19"/>
      <x:c r="B447" s="19"/>
      <x:c r="C447" s="19"/>
      <x:c r="D447" s="19"/>
      <x:c r="E447" s="19"/>
      <x:c r="F447" s="19"/>
      <x:c r="G447" s="26"/>
      <x:c r="H447" s="19"/>
    </x:row>
    <x:row r="448">
      <x:c r="A448" s="19"/>
      <x:c r="B448" s="19"/>
      <x:c r="C448" s="19"/>
      <x:c r="D448" s="19"/>
      <x:c r="E448" s="19"/>
      <x:c r="F448" s="19"/>
      <x:c r="G448" s="26"/>
      <x:c r="H448" s="19"/>
    </x:row>
    <x:row r="449">
      <x:c r="A449" s="19"/>
      <x:c r="B449" s="19"/>
      <x:c r="C449" s="19"/>
      <x:c r="D449" s="19"/>
      <x:c r="E449" s="19"/>
      <x:c r="F449" s="19"/>
      <x:c r="G449" s="26"/>
      <x:c r="H449" s="19"/>
    </x:row>
    <x:row r="450">
      <x:c r="A450" s="19"/>
      <x:c r="B450" s="19"/>
      <x:c r="C450" s="19"/>
      <x:c r="D450" s="19"/>
      <x:c r="E450" s="19"/>
      <x:c r="F450" s="19"/>
      <x:c r="G450" s="26"/>
      <x:c r="H450" s="19"/>
    </x:row>
    <x:row r="451">
      <x:c r="A451" s="19"/>
      <x:c r="B451" s="19"/>
      <x:c r="C451" s="19"/>
      <x:c r="D451" s="19"/>
      <x:c r="E451" s="19"/>
      <x:c r="F451" s="19"/>
      <x:c r="G451" s="26"/>
      <x:c r="H451" s="19"/>
    </x:row>
    <x:row r="452">
      <x:c r="A452" s="19"/>
      <x:c r="B452" s="19"/>
      <x:c r="C452" s="19"/>
      <x:c r="D452" s="19"/>
      <x:c r="E452" s="19"/>
      <x:c r="F452" s="19"/>
      <x:c r="G452" s="26"/>
      <x:c r="H452" s="19"/>
    </x:row>
    <x:row r="453">
      <x:c r="A453" s="19"/>
      <x:c r="B453" s="19"/>
      <x:c r="C453" s="19"/>
      <x:c r="D453" s="19"/>
      <x:c r="E453" s="19"/>
      <x:c r="F453" s="19"/>
      <x:c r="G453" s="26"/>
      <x:c r="H453" s="19"/>
    </x:row>
    <x:row r="454">
      <x:c r="A454" s="19"/>
      <x:c r="B454" s="19"/>
      <x:c r="C454" s="19"/>
      <x:c r="D454" s="19"/>
      <x:c r="E454" s="19"/>
      <x:c r="F454" s="19"/>
      <x:c r="G454" s="26"/>
      <x:c r="H454" s="19"/>
    </x:row>
    <x:row r="455">
      <x:c r="A455" s="19"/>
      <x:c r="B455" s="19"/>
      <x:c r="C455" s="19"/>
      <x:c r="D455" s="19"/>
      <x:c r="E455" s="19"/>
      <x:c r="F455" s="19"/>
      <x:c r="G455" s="26"/>
      <x:c r="H455" s="19"/>
    </x:row>
    <x:row r="456">
      <x:c r="A456" s="19"/>
      <x:c r="B456" s="19"/>
      <x:c r="C456" s="19"/>
      <x:c r="D456" s="19"/>
      <x:c r="E456" s="19"/>
      <x:c r="F456" s="19"/>
      <x:c r="G456" s="26"/>
      <x:c r="H456" s="19"/>
    </x:row>
    <x:row r="457">
      <x:c r="A457" s="19"/>
      <x:c r="B457" s="19"/>
      <x:c r="C457" s="19"/>
      <x:c r="D457" s="19"/>
      <x:c r="E457" s="19"/>
      <x:c r="F457" s="19"/>
      <x:c r="G457" s="26"/>
      <x:c r="H457" s="19"/>
    </x:row>
    <x:row r="458">
      <x:c r="A458" s="19"/>
      <x:c r="B458" s="19"/>
      <x:c r="C458" s="19"/>
      <x:c r="D458" s="19"/>
      <x:c r="E458" s="19"/>
      <x:c r="F458" s="19"/>
      <x:c r="G458" s="26"/>
      <x:c r="H458" s="19"/>
    </x:row>
    <x:row r="459">
      <x:c r="A459" s="19"/>
      <x:c r="B459" s="19"/>
      <x:c r="C459" s="19"/>
      <x:c r="D459" s="19"/>
      <x:c r="E459" s="19"/>
      <x:c r="F459" s="19"/>
      <x:c r="G459" s="26"/>
      <x:c r="H459" s="19"/>
    </x:row>
    <x:row r="460">
      <x:c r="A460" s="19"/>
      <x:c r="B460" s="19"/>
      <x:c r="C460" s="19"/>
      <x:c r="D460" s="19"/>
      <x:c r="E460" s="19"/>
      <x:c r="F460" s="19"/>
      <x:c r="G460" s="26"/>
      <x:c r="H460" s="19"/>
    </x:row>
    <x:row r="461">
      <x:c r="A461" s="19"/>
      <x:c r="B461" s="19"/>
      <x:c r="C461" s="19"/>
      <x:c r="D461" s="19"/>
      <x:c r="E461" s="19"/>
      <x:c r="F461" s="19"/>
      <x:c r="G461" s="26"/>
      <x:c r="H461" s="19"/>
    </x:row>
    <x:row r="462">
      <x:c r="A462" s="19"/>
      <x:c r="B462" s="19"/>
      <x:c r="C462" s="19"/>
      <x:c r="D462" s="19"/>
      <x:c r="E462" s="19"/>
      <x:c r="F462" s="19"/>
      <x:c r="G462" s="26"/>
      <x:c r="H462" s="19"/>
    </x:row>
    <x:row r="463">
      <x:c r="A463" s="19"/>
      <x:c r="B463" s="19"/>
      <x:c r="C463" s="19"/>
      <x:c r="D463" s="19"/>
      <x:c r="E463" s="19"/>
      <x:c r="F463" s="19"/>
      <x:c r="G463" s="26"/>
      <x:c r="H463" s="19"/>
    </x:row>
    <x:row r="464">
      <x:c r="A464" s="19"/>
      <x:c r="B464" s="19"/>
      <x:c r="C464" s="19"/>
      <x:c r="D464" s="19"/>
      <x:c r="E464" s="19"/>
      <x:c r="F464" s="19"/>
      <x:c r="G464" s="26"/>
      <x:c r="H464" s="19"/>
    </x:row>
    <x:row r="465">
      <x:c r="A465" s="19"/>
      <x:c r="B465" s="19"/>
      <x:c r="C465" s="19"/>
      <x:c r="D465" s="19"/>
      <x:c r="E465" s="19"/>
      <x:c r="F465" s="19"/>
      <x:c r="G465" s="26"/>
      <x:c r="H465" s="19"/>
    </x:row>
    <x:row r="466">
      <x:c r="A466" s="19"/>
      <x:c r="B466" s="19"/>
      <x:c r="C466" s="19"/>
      <x:c r="D466" s="19"/>
      <x:c r="E466" s="19"/>
      <x:c r="F466" s="19"/>
      <x:c r="G466" s="26"/>
      <x:c r="H466" s="19"/>
    </x:row>
    <x:row r="467">
      <x:c r="A467" s="19"/>
      <x:c r="B467" s="19"/>
      <x:c r="C467" s="19"/>
      <x:c r="D467" s="19"/>
      <x:c r="E467" s="19"/>
      <x:c r="F467" s="19"/>
      <x:c r="G467" s="26"/>
      <x:c r="H467" s="19"/>
    </x:row>
    <x:row r="468">
      <x:c r="A468" s="19"/>
      <x:c r="B468" s="19"/>
      <x:c r="C468" s="19"/>
      <x:c r="D468" s="19"/>
      <x:c r="E468" s="19"/>
      <x:c r="F468" s="19"/>
      <x:c r="G468" s="26"/>
      <x:c r="H468" s="19"/>
    </x:row>
    <x:row r="469">
      <x:c r="A469" s="19"/>
      <x:c r="B469" s="19"/>
      <x:c r="C469" s="19"/>
      <x:c r="D469" s="19"/>
      <x:c r="E469" s="19"/>
      <x:c r="F469" s="19"/>
      <x:c r="G469" s="26"/>
      <x:c r="H469" s="19"/>
    </x:row>
    <x:row r="470">
      <x:c r="A470" s="19"/>
      <x:c r="B470" s="19"/>
      <x:c r="C470" s="19"/>
      <x:c r="D470" s="19"/>
      <x:c r="E470" s="19"/>
      <x:c r="F470" s="19"/>
      <x:c r="G470" s="26"/>
      <x:c r="H470" s="19"/>
    </x:row>
    <x:row r="471">
      <x:c r="A471" s="19"/>
      <x:c r="B471" s="19"/>
      <x:c r="C471" s="19"/>
      <x:c r="D471" s="19"/>
      <x:c r="E471" s="19"/>
      <x:c r="F471" s="19"/>
      <x:c r="G471" s="26"/>
      <x:c r="H471" s="19"/>
    </x:row>
    <x:row r="472">
      <x:c r="A472" s="19"/>
      <x:c r="B472" s="19"/>
      <x:c r="C472" s="19"/>
      <x:c r="D472" s="19"/>
      <x:c r="E472" s="19"/>
      <x:c r="F472" s="19"/>
      <x:c r="G472" s="26"/>
      <x:c r="H472" s="19"/>
    </x:row>
    <x:row r="473">
      <x:c r="A473" s="19"/>
      <x:c r="B473" s="19"/>
      <x:c r="C473" s="19"/>
      <x:c r="D473" s="19"/>
      <x:c r="E473" s="19"/>
      <x:c r="F473" s="19"/>
      <x:c r="G473" s="26"/>
      <x:c r="H473" s="19"/>
    </x:row>
    <x:row r="474">
      <x:c r="A474" s="19"/>
      <x:c r="B474" s="19"/>
      <x:c r="C474" s="19"/>
      <x:c r="D474" s="19"/>
      <x:c r="E474" s="19"/>
      <x:c r="F474" s="19"/>
      <x:c r="G474" s="26"/>
      <x:c r="H474" s="19"/>
    </x:row>
    <x:row r="475">
      <x:c r="A475" s="19"/>
      <x:c r="B475" s="19"/>
      <x:c r="C475" s="19"/>
      <x:c r="D475" s="19"/>
      <x:c r="E475" s="19"/>
      <x:c r="F475" s="19"/>
      <x:c r="G475" s="26"/>
      <x:c r="H475" s="19"/>
    </x:row>
    <x:row r="476">
      <x:c r="A476" s="19"/>
      <x:c r="B476" s="19"/>
      <x:c r="C476" s="19"/>
      <x:c r="D476" s="19"/>
      <x:c r="E476" s="19"/>
      <x:c r="F476" s="19"/>
      <x:c r="G476" s="26"/>
      <x:c r="H476" s="19"/>
    </x:row>
    <x:row r="477">
      <x:c r="A477" s="19"/>
      <x:c r="B477" s="19"/>
      <x:c r="C477" s="19"/>
      <x:c r="D477" s="19"/>
      <x:c r="E477" s="19"/>
      <x:c r="F477" s="19"/>
      <x:c r="G477" s="26"/>
      <x:c r="H477" s="19"/>
    </x:row>
    <x:row r="478">
      <x:c r="A478" s="19"/>
      <x:c r="B478" s="19"/>
      <x:c r="C478" s="19"/>
      <x:c r="D478" s="19"/>
      <x:c r="E478" s="19"/>
      <x:c r="F478" s="19"/>
      <x:c r="G478" s="26"/>
      <x:c r="H478" s="19"/>
    </x:row>
    <x:row r="479">
      <x:c r="A479" s="19"/>
      <x:c r="B479" s="19"/>
      <x:c r="C479" s="19"/>
      <x:c r="D479" s="19"/>
      <x:c r="E479" s="19"/>
      <x:c r="F479" s="19"/>
      <x:c r="G479" s="26"/>
      <x:c r="H479" s="19"/>
    </x:row>
    <x:row r="480">
      <x:c r="A480" s="19"/>
      <x:c r="B480" s="19"/>
      <x:c r="C480" s="19"/>
      <x:c r="D480" s="19"/>
      <x:c r="E480" s="19"/>
      <x:c r="F480" s="19"/>
      <x:c r="G480" s="26"/>
      <x:c r="H480" s="19"/>
    </x:row>
    <x:row r="481">
      <x:c r="A481" s="19"/>
      <x:c r="B481" s="19"/>
      <x:c r="C481" s="19"/>
      <x:c r="D481" s="19"/>
      <x:c r="E481" s="19"/>
      <x:c r="F481" s="19"/>
      <x:c r="G481" s="26"/>
      <x:c r="H481" s="19"/>
    </x:row>
    <x:row r="482">
      <x:c r="A482" s="19"/>
      <x:c r="B482" s="19"/>
      <x:c r="C482" s="19"/>
      <x:c r="D482" s="19"/>
      <x:c r="E482" s="19"/>
      <x:c r="F482" s="19"/>
      <x:c r="G482" s="26"/>
      <x:c r="H482" s="19"/>
    </x:row>
    <x:row r="483">
      <x:c r="A483" s="19"/>
      <x:c r="B483" s="19"/>
      <x:c r="C483" s="19"/>
      <x:c r="D483" s="19"/>
      <x:c r="E483" s="19"/>
      <x:c r="F483" s="19"/>
      <x:c r="G483" s="26"/>
      <x:c r="H483" s="19"/>
    </x:row>
    <x:row r="484">
      <x:c r="A484" s="19"/>
      <x:c r="B484" s="19"/>
      <x:c r="C484" s="19"/>
      <x:c r="D484" s="19"/>
      <x:c r="E484" s="19"/>
      <x:c r="F484" s="19"/>
      <x:c r="G484" s="26"/>
      <x:c r="H484" s="19"/>
    </x:row>
    <x:row r="485">
      <x:c r="A485" s="19"/>
      <x:c r="B485" s="19"/>
      <x:c r="C485" s="19"/>
      <x:c r="D485" s="19"/>
      <x:c r="E485" s="19"/>
      <x:c r="F485" s="19"/>
      <x:c r="G485" s="26"/>
      <x:c r="H485" s="19"/>
    </x:row>
    <x:row r="486">
      <x:c r="A486" s="19"/>
      <x:c r="B486" s="19"/>
      <x:c r="C486" s="19"/>
      <x:c r="D486" s="19"/>
      <x:c r="E486" s="19"/>
      <x:c r="F486" s="19"/>
      <x:c r="G486" s="26"/>
      <x:c r="H486" s="19"/>
    </x:row>
    <x:row r="487">
      <x:c r="A487" s="19"/>
      <x:c r="B487" s="19"/>
      <x:c r="C487" s="19"/>
      <x:c r="D487" s="19"/>
      <x:c r="E487" s="19"/>
      <x:c r="F487" s="19"/>
      <x:c r="G487" s="26"/>
      <x:c r="H487" s="19"/>
    </x:row>
    <x:row r="488">
      <x:c r="A488" s="19"/>
      <x:c r="B488" s="19"/>
      <x:c r="C488" s="19"/>
      <x:c r="D488" s="19"/>
      <x:c r="E488" s="19"/>
      <x:c r="F488" s="19"/>
      <x:c r="G488" s="26"/>
      <x:c r="H488" s="19"/>
    </x:row>
    <x:row r="489">
      <x:c r="A489" s="19"/>
      <x:c r="B489" s="19"/>
      <x:c r="C489" s="19"/>
      <x:c r="D489" s="19"/>
      <x:c r="E489" s="19"/>
      <x:c r="F489" s="19"/>
      <x:c r="G489" s="26"/>
      <x:c r="H489" s="19"/>
    </x:row>
    <x:row r="490">
      <x:c r="A490" s="19"/>
      <x:c r="B490" s="19"/>
      <x:c r="C490" s="19"/>
      <x:c r="D490" s="19"/>
      <x:c r="E490" s="19"/>
      <x:c r="F490" s="19"/>
      <x:c r="G490" s="26"/>
      <x:c r="H490" s="19"/>
    </x:row>
    <x:row r="491">
      <x:c r="A491" s="19"/>
      <x:c r="B491" s="19"/>
      <x:c r="C491" s="19"/>
      <x:c r="D491" s="19"/>
      <x:c r="E491" s="19"/>
      <x:c r="F491" s="19"/>
      <x:c r="G491" s="26"/>
      <x:c r="H491" s="19"/>
    </x:row>
    <x:row r="492">
      <x:c r="A492" s="19"/>
      <x:c r="B492" s="19"/>
      <x:c r="C492" s="19"/>
      <x:c r="D492" s="19"/>
      <x:c r="E492" s="19"/>
      <x:c r="F492" s="19"/>
      <x:c r="G492" s="26"/>
      <x:c r="H492" s="19"/>
    </x:row>
    <x:row r="493">
      <x:c r="A493" s="19"/>
      <x:c r="B493" s="19"/>
      <x:c r="C493" s="19"/>
      <x:c r="D493" s="19"/>
      <x:c r="E493" s="19"/>
      <x:c r="F493" s="19"/>
      <x:c r="G493" s="26"/>
      <x:c r="H493" s="19"/>
    </x:row>
    <x:row r="494">
      <x:c r="A494" s="19"/>
      <x:c r="B494" s="19"/>
      <x:c r="C494" s="19"/>
      <x:c r="D494" s="19"/>
      <x:c r="E494" s="19"/>
      <x:c r="F494" s="19"/>
      <x:c r="G494" s="26"/>
      <x:c r="H494" s="19"/>
    </x:row>
    <x:row r="495">
      <x:c r="A495" s="19"/>
      <x:c r="B495" s="19"/>
      <x:c r="C495" s="19"/>
      <x:c r="D495" s="19"/>
      <x:c r="E495" s="19"/>
      <x:c r="F495" s="19"/>
      <x:c r="G495" s="26"/>
      <x:c r="H495" s="19"/>
    </x:row>
    <x:row r="496">
      <x:c r="A496" s="19"/>
      <x:c r="B496" s="19"/>
      <x:c r="C496" s="19"/>
      <x:c r="D496" s="19"/>
      <x:c r="E496" s="19"/>
      <x:c r="F496" s="19"/>
      <x:c r="G496" s="26"/>
      <x:c r="H496" s="19"/>
    </x:row>
    <x:row r="497">
      <x:c r="A497" s="19"/>
      <x:c r="B497" s="19"/>
      <x:c r="C497" s="19"/>
      <x:c r="D497" s="19"/>
      <x:c r="E497" s="19"/>
      <x:c r="F497" s="19"/>
      <x:c r="G497" s="26"/>
      <x:c r="H497" s="19"/>
    </x:row>
    <x:row r="498">
      <x:c r="A498" s="19"/>
      <x:c r="B498" s="19"/>
      <x:c r="C498" s="19"/>
      <x:c r="D498" s="19"/>
      <x:c r="E498" s="19"/>
      <x:c r="F498" s="19"/>
      <x:c r="G498" s="26"/>
      <x:c r="H498" s="19"/>
    </x:row>
    <x:row r="499">
      <x:c r="A499" s="19"/>
      <x:c r="B499" s="19"/>
      <x:c r="C499" s="19"/>
      <x:c r="D499" s="19"/>
      <x:c r="E499" s="19"/>
      <x:c r="F499" s="19"/>
      <x:c r="G499" s="26"/>
      <x:c r="H499" s="19"/>
    </x:row>
    <x:row r="500">
      <x:c r="A500" s="19"/>
      <x:c r="B500" s="19"/>
      <x:c r="C500" s="19"/>
      <x:c r="D500" s="19"/>
      <x:c r="E500" s="19"/>
      <x:c r="F500" s="19"/>
      <x:c r="G500" s="26"/>
      <x:c r="H500" s="19"/>
    </x:row>
  </x:sheetData>
  <x:conditionalFormatting sqref="B2:B500">
    <x:cfRule type="expression" dxfId="178" priority="1">
      <x:formula>AND($A2&lt;&gt;"",B2="")</x:formula>
    </x:cfRule>
  </x:conditionalFormatting>
  <x:conditionalFormatting sqref="C2:C500">
    <x:cfRule type="expression" dxfId="179" priority="2">
      <x:formula>AND($A2&lt;&gt;"",C2="")</x:formula>
    </x:cfRule>
  </x:conditionalFormatting>
  <x:conditionalFormatting sqref="D2:D500">
    <x:cfRule type="expression" dxfId="180" priority="3">
      <x:formula>AND($A2&lt;&gt;"",D2="")</x:formula>
    </x:cfRule>
  </x:conditionalFormatting>
  <x:conditionalFormatting sqref="F2:F500">
    <x:cfRule type="expression" dxfId="181" priority="4">
      <x:formula>AND($A2&lt;&gt;"",F2="")</x:formula>
    </x:cfRule>
  </x:conditionalFormatting>
  <x:conditionalFormatting sqref="H2:H500">
    <x:cfRule type="expression" dxfId="182" priority="5">
      <x:formula>AND($A2&lt;&gt;"",H2="")</x:formula>
    </x:cfRule>
  </x:conditionalFormatting>
  <x:dataValidations count="3">
    <x:dataValidation type="list" sqref="C2:C500">
      <x:formula1>"telegram,whatsapp,instagram,facebook,email,phone"</x:formula1>
    </x:dataValidation>
    <x:dataValidation type="list" sqref="F2:F500">
      <x:formula1>"unknown,opted_in,opted_out"</x:formula1>
    </x:dataValidation>
    <x:dataValidation type="list" sqref="H2:H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1aa740045644fa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8" hidden="0" customWidth="1"/>
    <x:col min="4" max="4" width="18" hidden="0" customWidth="1"/>
    <x:col min="5" max="5" width="19" hidden="0" customWidth="1"/>
    <x:col min="6" max="6" width="15" hidden="0" customWidth="1"/>
    <x:col min="7" max="7" width="18" hidden="0" customWidth="1"/>
    <x:col min="8" max="8" width="17" hidden="0" customWidth="1"/>
    <x:col min="9" max="9" width="19" hidden="0" customWidth="1"/>
    <x:col min="10" max="10" width="15" hidden="0" customWidth="1"/>
    <x:col min="11" max="11" width="34" hidden="0" customWidth="1"/>
    <x:col min="12" max="12" width="18" hidden="0" customWidth="1"/>
    <x:col min="13" max="13" width="19" hidden="0" customWidth="1"/>
  </x:cols>
  <x:sheetData>
    <x:row r="1" ht="46" customHeight="1">
      <x:c r="A1" s="12" t="str">
        <x:v>شناسه پیش‌فاکتور *
(quotation_id)</x:v>
      </x:c>
      <x:c r="B1" s="13" t="str">
        <x:v>شماره پیش‌فاکتور *
(quotation_number)</x:v>
      </x:c>
      <x:c r="C1" s="13" t="str">
        <x:v>مشتری *
(customer_id)</x:v>
      </x:c>
      <x:c r="D1" s="13" t="str">
        <x:v>فرصت *
(opportunity_id)</x:v>
      </x:c>
      <x:c r="E1" s="13" t="str">
        <x:v>تاریخ صدور *
(issued_at)</x:v>
      </x:c>
      <x:c r="F1" s="13" t="str">
        <x:v>اعتبار تا *
(valid_until)</x:v>
      </x:c>
      <x:c r="G1" s="13" t="str">
        <x:v>جمع اقلام (ریال)
(subtotal)</x:v>
      </x:c>
      <x:c r="H1" s="13" t="str">
        <x:v>تخفیف (ریال) *
(discount_amount)</x:v>
      </x:c>
      <x:c r="I1" s="13" t="str">
        <x:v>مبلغ نهایی (ریال)
(final_amount)</x:v>
      </x:c>
      <x:c r="J1" s="13" t="str">
        <x:v>وضعیت *
(status)</x:v>
      </x:c>
      <x:c r="K1" s="13" t="str">
        <x:v>لینک فایل
(file_url)</x:v>
      </x:c>
      <x:c r="L1" s="13" t="str">
        <x:v>فروشنده *
(seller_user_id)</x:v>
      </x:c>
      <x:c r="M1" s="14" t="str">
        <x:v>زمان ایجاد *
(created_at)</x:v>
      </x:c>
    </x:row>
    <x:row r="2">
      <x:c r="A2" s="28" t="str">
        <x:v>quo_001</x:v>
      </x:c>
      <x:c r="B2" s="29" t="str">
        <x:v>Q-1405-001</x:v>
      </x:c>
      <x:c r="C2" s="29" t="str">
        <x:v>cus_001</x:v>
      </x:c>
      <x:c r="D2" s="29" t="str">
        <x:v>opp_001</x:v>
      </x:c>
      <x:c r="E2" s="33" t="n">
        <x:v>46212.395833333336</x:v>
      </x:c>
      <x:c r="F2" s="31" t="n">
        <x:v>46219</x:v>
      </x:c>
      <x:c r="G2" s="93" t="n">
        <x:f>IF($A2="","",SUMIFS('QuotationItems'!$I$2:$I$500,'QuotationItems'!$B$2:$B$500,$A2))</x:f>
        <x:v>520000000</x:v>
      </x:c>
      <x:c r="H2" s="32" t="n">
        <x:v>0</x:v>
      </x:c>
      <x:c r="I2" s="93" t="n">
        <x:f>IF($A2="","",$G2-$H2)</x:f>
        <x:v>520000000</x:v>
      </x:c>
      <x:c r="J2" s="29" t="str">
        <x:v>sent</x:v>
      </x:c>
      <x:c r="K2" s="29" t="str">
        <x:v>https://drive.google.com/example/quo001</x:v>
      </x:c>
      <x:c r="L2" s="29" t="str">
        <x:v>usr_sara</x:v>
      </x:c>
      <x:c r="M2" s="83" t="n">
        <x:v>46212.395833333336</x:v>
      </x:c>
    </x:row>
    <x:row r="3">
      <x:c r="A3" s="37" t="str">
        <x:v>quo_002</x:v>
      </x:c>
      <x:c r="B3" s="38" t="str">
        <x:v>Q-1405-002</x:v>
      </x:c>
      <x:c r="C3" s="38" t="str">
        <x:v>cus_003</x:v>
      </x:c>
      <x:c r="D3" s="38" t="str">
        <x:v>opp_003</x:v>
      </x:c>
      <x:c r="E3" s="42" t="n">
        <x:v>46209.270833333336</x:v>
      </x:c>
      <x:c r="F3" s="40" t="n">
        <x:v>46218</x:v>
      </x:c>
      <x:c r="G3" s="94" t="n">
        <x:f>IF($A3="","",SUMIFS('QuotationItems'!$I$2:$I$500,'QuotationItems'!$B$2:$B$500,$A3))</x:f>
        <x:v>900000000</x:v>
      </x:c>
      <x:c r="H3" s="41" t="n">
        <x:v>20000000</x:v>
      </x:c>
      <x:c r="I3" s="94" t="n">
        <x:f>IF($A3="","",$G3-$H3)</x:f>
        <x:v>880000000</x:v>
      </x:c>
      <x:c r="J3" s="38" t="str">
        <x:v>sent</x:v>
      </x:c>
      <x:c r="K3" s="38" t="str">
        <x:v>https://drive.google.com/example/quo002</x:v>
      </x:c>
      <x:c r="L3" s="38" t="str">
        <x:v>usr_sara</x:v>
      </x:c>
      <x:c r="M3" s="84" t="n">
        <x:v>46209.270833333336</x:v>
      </x:c>
    </x:row>
    <x:row r="4">
      <x:c r="A4" s="46" t="str">
        <x:v>quo_003</x:v>
      </x:c>
      <x:c r="B4" s="47" t="str">
        <x:v>Q-1405-003</x:v>
      </x:c>
      <x:c r="C4" s="47" t="str">
        <x:v>cus_004</x:v>
      </x:c>
      <x:c r="D4" s="47" t="str">
        <x:v>opp_004</x:v>
      </x:c>
      <x:c r="E4" s="51" t="n">
        <x:v>46193.4375</x:v>
      </x:c>
      <x:c r="F4" s="49" t="n">
        <x:v>46198</x:v>
      </x:c>
      <x:c r="G4" s="95" t="n">
        <x:f>IF($A4="","",SUMIFS('QuotationItems'!$I$2:$I$500,'QuotationItems'!$B$2:$B$500,$A4))</x:f>
        <x:v>120000000</x:v>
      </x:c>
      <x:c r="H4" s="50" t="n">
        <x:v>0</x:v>
      </x:c>
      <x:c r="I4" s="95" t="n">
        <x:f>IF($A4="","",$G4-$H4)</x:f>
        <x:v>120000000</x:v>
      </x:c>
      <x:c r="J4" s="47" t="str">
        <x:v>accepted</x:v>
      </x:c>
      <x:c r="K4" s="47" t="str">
        <x:v>https://drive.google.com/example/quo003</x:v>
      </x:c>
      <x:c r="L4" s="47" t="str">
        <x:v>usr_ali</x:v>
      </x:c>
      <x:c r="M4" s="85" t="n">
        <x:v>46193.4375</x:v>
      </x:c>
    </x:row>
    <x:row r="5">
      <x:c r="A5" s="19"/>
      <x:c r="B5" s="19"/>
      <x:c r="C5" s="19"/>
      <x:c r="D5" s="19"/>
      <x:c r="E5" s="26"/>
      <x:c r="F5" s="24"/>
      <x:c r="G5" s="96" t="str">
        <x:f>IF($A5="","",SUMIFS('QuotationItems'!$I$2:$I$500,'QuotationItems'!$B$2:$B$500,$A5))</x:f>
      </x:c>
      <x:c r="H5" s="25"/>
      <x:c r="I5" s="96" t="str">
        <x:f>IF($A5="","",$G5-$H5)</x:f>
      </x:c>
      <x:c r="J5" s="19"/>
      <x:c r="K5" s="19"/>
      <x:c r="L5" s="19"/>
      <x:c r="M5" s="26"/>
    </x:row>
    <x:row r="6">
      <x:c r="A6" s="19"/>
      <x:c r="B6" s="19"/>
      <x:c r="C6" s="19"/>
      <x:c r="D6" s="19"/>
      <x:c r="E6" s="26"/>
      <x:c r="F6" s="24"/>
      <x:c r="G6" s="96" t="str">
        <x:f>IF($A6="","",SUMIFS('QuotationItems'!$I$2:$I$500,'QuotationItems'!$B$2:$B$500,$A6))</x:f>
      </x:c>
      <x:c r="H6" s="25"/>
      <x:c r="I6" s="96" t="str">
        <x:f>IF($A6="","",$G6-$H6)</x:f>
      </x:c>
      <x:c r="J6" s="19"/>
      <x:c r="K6" s="19"/>
      <x:c r="L6" s="19"/>
      <x:c r="M6" s="26"/>
    </x:row>
    <x:row r="7">
      <x:c r="A7" s="19"/>
      <x:c r="B7" s="19"/>
      <x:c r="C7" s="19"/>
      <x:c r="D7" s="19"/>
      <x:c r="E7" s="26"/>
      <x:c r="F7" s="24"/>
      <x:c r="G7" s="96" t="str">
        <x:f>IF($A7="","",SUMIFS('QuotationItems'!$I$2:$I$500,'QuotationItems'!$B$2:$B$500,$A7))</x:f>
      </x:c>
      <x:c r="H7" s="25"/>
      <x:c r="I7" s="96" t="str">
        <x:f>IF($A7="","",$G7-$H7)</x:f>
      </x:c>
      <x:c r="J7" s="19"/>
      <x:c r="K7" s="19"/>
      <x:c r="L7" s="19"/>
      <x:c r="M7" s="26"/>
    </x:row>
    <x:row r="8">
      <x:c r="A8" s="19"/>
      <x:c r="B8" s="19"/>
      <x:c r="C8" s="19"/>
      <x:c r="D8" s="19"/>
      <x:c r="E8" s="26"/>
      <x:c r="F8" s="24"/>
      <x:c r="G8" s="96" t="str">
        <x:f>IF($A8="","",SUMIFS('QuotationItems'!$I$2:$I$500,'QuotationItems'!$B$2:$B$500,$A8))</x:f>
      </x:c>
      <x:c r="H8" s="25"/>
      <x:c r="I8" s="96" t="str">
        <x:f>IF($A8="","",$G8-$H8)</x:f>
      </x:c>
      <x:c r="J8" s="19"/>
      <x:c r="K8" s="19"/>
      <x:c r="L8" s="19"/>
      <x:c r="M8" s="26"/>
    </x:row>
    <x:row r="9">
      <x:c r="A9" s="19"/>
      <x:c r="B9" s="19"/>
      <x:c r="C9" s="19"/>
      <x:c r="D9" s="19"/>
      <x:c r="E9" s="26"/>
      <x:c r="F9" s="24"/>
      <x:c r="G9" s="96" t="str">
        <x:f>IF($A9="","",SUMIFS('QuotationItems'!$I$2:$I$500,'QuotationItems'!$B$2:$B$500,$A9))</x:f>
      </x:c>
      <x:c r="H9" s="25"/>
      <x:c r="I9" s="96" t="str">
        <x:f>IF($A9="","",$G9-$H9)</x:f>
      </x:c>
      <x:c r="J9" s="19"/>
      <x:c r="K9" s="19"/>
      <x:c r="L9" s="19"/>
      <x:c r="M9" s="26"/>
    </x:row>
    <x:row r="10">
      <x:c r="A10" s="19"/>
      <x:c r="B10" s="19"/>
      <x:c r="C10" s="19"/>
      <x:c r="D10" s="19"/>
      <x:c r="E10" s="26"/>
      <x:c r="F10" s="24"/>
      <x:c r="G10" s="96" t="str">
        <x:f>IF($A10="","",SUMIFS('QuotationItems'!$I$2:$I$500,'QuotationItems'!$B$2:$B$500,$A10))</x:f>
      </x:c>
      <x:c r="H10" s="25"/>
      <x:c r="I10" s="96" t="str">
        <x:f>IF($A10="","",$G10-$H10)</x:f>
      </x:c>
      <x:c r="J10" s="19"/>
      <x:c r="K10" s="19"/>
      <x:c r="L10" s="19"/>
      <x:c r="M10" s="26"/>
    </x:row>
    <x:row r="11">
      <x:c r="A11" s="19"/>
      <x:c r="B11" s="19"/>
      <x:c r="C11" s="19"/>
      <x:c r="D11" s="19"/>
      <x:c r="E11" s="26"/>
      <x:c r="F11" s="24"/>
      <x:c r="G11" s="96" t="str">
        <x:f>IF($A11="","",SUMIFS('QuotationItems'!$I$2:$I$500,'QuotationItems'!$B$2:$B$500,$A11))</x:f>
      </x:c>
      <x:c r="H11" s="25"/>
      <x:c r="I11" s="96" t="str">
        <x:f>IF($A11="","",$G11-$H11)</x:f>
      </x:c>
      <x:c r="J11" s="19"/>
      <x:c r="K11" s="19"/>
      <x:c r="L11" s="19"/>
      <x:c r="M11" s="26"/>
    </x:row>
    <x:row r="12">
      <x:c r="A12" s="19"/>
      <x:c r="B12" s="19"/>
      <x:c r="C12" s="19"/>
      <x:c r="D12" s="19"/>
      <x:c r="E12" s="26"/>
      <x:c r="F12" s="24"/>
      <x:c r="G12" s="96" t="str">
        <x:f>IF($A12="","",SUMIFS('QuotationItems'!$I$2:$I$500,'QuotationItems'!$B$2:$B$500,$A12))</x:f>
      </x:c>
      <x:c r="H12" s="25"/>
      <x:c r="I12" s="96" t="str">
        <x:f>IF($A12="","",$G12-$H12)</x:f>
      </x:c>
      <x:c r="J12" s="19"/>
      <x:c r="K12" s="19"/>
      <x:c r="L12" s="19"/>
      <x:c r="M12" s="26"/>
    </x:row>
    <x:row r="13">
      <x:c r="A13" s="19"/>
      <x:c r="B13" s="19"/>
      <x:c r="C13" s="19"/>
      <x:c r="D13" s="19"/>
      <x:c r="E13" s="26"/>
      <x:c r="F13" s="24"/>
      <x:c r="G13" s="96" t="str">
        <x:f>IF($A13="","",SUMIFS('QuotationItems'!$I$2:$I$500,'QuotationItems'!$B$2:$B$500,$A13))</x:f>
      </x:c>
      <x:c r="H13" s="25"/>
      <x:c r="I13" s="96" t="str">
        <x:f>IF($A13="","",$G13-$H13)</x:f>
      </x:c>
      <x:c r="J13" s="19"/>
      <x:c r="K13" s="19"/>
      <x:c r="L13" s="19"/>
      <x:c r="M13" s="26"/>
    </x:row>
    <x:row r="14">
      <x:c r="A14" s="19"/>
      <x:c r="B14" s="19"/>
      <x:c r="C14" s="19"/>
      <x:c r="D14" s="19"/>
      <x:c r="E14" s="26"/>
      <x:c r="F14" s="24"/>
      <x:c r="G14" s="96" t="str">
        <x:f>IF($A14="","",SUMIFS('QuotationItems'!$I$2:$I$500,'QuotationItems'!$B$2:$B$500,$A14))</x:f>
      </x:c>
      <x:c r="H14" s="25"/>
      <x:c r="I14" s="96" t="str">
        <x:f>IF($A14="","",$G14-$H14)</x:f>
      </x:c>
      <x:c r="J14" s="19"/>
      <x:c r="K14" s="19"/>
      <x:c r="L14" s="19"/>
      <x:c r="M14" s="26"/>
    </x:row>
    <x:row r="15">
      <x:c r="A15" s="19"/>
      <x:c r="B15" s="19"/>
      <x:c r="C15" s="19"/>
      <x:c r="D15" s="19"/>
      <x:c r="E15" s="26"/>
      <x:c r="F15" s="24"/>
      <x:c r="G15" s="96" t="str">
        <x:f>IF($A15="","",SUMIFS('QuotationItems'!$I$2:$I$500,'QuotationItems'!$B$2:$B$500,$A15))</x:f>
      </x:c>
      <x:c r="H15" s="25"/>
      <x:c r="I15" s="96" t="str">
        <x:f>IF($A15="","",$G15-$H15)</x:f>
      </x:c>
      <x:c r="J15" s="19"/>
      <x:c r="K15" s="19"/>
      <x:c r="L15" s="19"/>
      <x:c r="M15" s="26"/>
    </x:row>
    <x:row r="16">
      <x:c r="A16" s="19"/>
      <x:c r="B16" s="19"/>
      <x:c r="C16" s="19"/>
      <x:c r="D16" s="19"/>
      <x:c r="E16" s="26"/>
      <x:c r="F16" s="24"/>
      <x:c r="G16" s="96" t="str">
        <x:f>IF($A16="","",SUMIFS('QuotationItems'!$I$2:$I$500,'QuotationItems'!$B$2:$B$500,$A16))</x:f>
      </x:c>
      <x:c r="H16" s="25"/>
      <x:c r="I16" s="96" t="str">
        <x:f>IF($A16="","",$G16-$H16)</x:f>
      </x:c>
      <x:c r="J16" s="19"/>
      <x:c r="K16" s="19"/>
      <x:c r="L16" s="19"/>
      <x:c r="M16" s="26"/>
    </x:row>
    <x:row r="17">
      <x:c r="A17" s="19"/>
      <x:c r="B17" s="19"/>
      <x:c r="C17" s="19"/>
      <x:c r="D17" s="19"/>
      <x:c r="E17" s="26"/>
      <x:c r="F17" s="24"/>
      <x:c r="G17" s="96" t="str">
        <x:f>IF($A17="","",SUMIFS('QuotationItems'!$I$2:$I$500,'QuotationItems'!$B$2:$B$500,$A17))</x:f>
      </x:c>
      <x:c r="H17" s="25"/>
      <x:c r="I17" s="96" t="str">
        <x:f>IF($A17="","",$G17-$H17)</x:f>
      </x:c>
      <x:c r="J17" s="19"/>
      <x:c r="K17" s="19"/>
      <x:c r="L17" s="19"/>
      <x:c r="M17" s="26"/>
    </x:row>
    <x:row r="18">
      <x:c r="A18" s="19"/>
      <x:c r="B18" s="19"/>
      <x:c r="C18" s="19"/>
      <x:c r="D18" s="19"/>
      <x:c r="E18" s="26"/>
      <x:c r="F18" s="24"/>
      <x:c r="G18" s="96" t="str">
        <x:f>IF($A18="","",SUMIFS('QuotationItems'!$I$2:$I$500,'QuotationItems'!$B$2:$B$500,$A18))</x:f>
      </x:c>
      <x:c r="H18" s="25"/>
      <x:c r="I18" s="96" t="str">
        <x:f>IF($A18="","",$G18-$H18)</x:f>
      </x:c>
      <x:c r="J18" s="19"/>
      <x:c r="K18" s="19"/>
      <x:c r="L18" s="19"/>
      <x:c r="M18" s="26"/>
    </x:row>
    <x:row r="19">
      <x:c r="A19" s="19"/>
      <x:c r="B19" s="19"/>
      <x:c r="C19" s="19"/>
      <x:c r="D19" s="19"/>
      <x:c r="E19" s="26"/>
      <x:c r="F19" s="24"/>
      <x:c r="G19" s="96" t="str">
        <x:f>IF($A19="","",SUMIFS('QuotationItems'!$I$2:$I$500,'QuotationItems'!$B$2:$B$500,$A19))</x:f>
      </x:c>
      <x:c r="H19" s="25"/>
      <x:c r="I19" s="96" t="str">
        <x:f>IF($A19="","",$G19-$H19)</x:f>
      </x:c>
      <x:c r="J19" s="19"/>
      <x:c r="K19" s="19"/>
      <x:c r="L19" s="19"/>
      <x:c r="M19" s="26"/>
    </x:row>
    <x:row r="20">
      <x:c r="A20" s="19"/>
      <x:c r="B20" s="19"/>
      <x:c r="C20" s="19"/>
      <x:c r="D20" s="19"/>
      <x:c r="E20" s="26"/>
      <x:c r="F20" s="24"/>
      <x:c r="G20" s="96" t="str">
        <x:f>IF($A20="","",SUMIFS('QuotationItems'!$I$2:$I$500,'QuotationItems'!$B$2:$B$500,$A20))</x:f>
      </x:c>
      <x:c r="H20" s="25"/>
      <x:c r="I20" s="96" t="str">
        <x:f>IF($A20="","",$G20-$H20)</x:f>
      </x:c>
      <x:c r="J20" s="19"/>
      <x:c r="K20" s="19"/>
      <x:c r="L20" s="19"/>
      <x:c r="M20" s="26"/>
    </x:row>
    <x:row r="21">
      <x:c r="A21" s="19"/>
      <x:c r="B21" s="19"/>
      <x:c r="C21" s="19"/>
      <x:c r="D21" s="19"/>
      <x:c r="E21" s="26"/>
      <x:c r="F21" s="24"/>
      <x:c r="G21" s="96" t="str">
        <x:f>IF($A21="","",SUMIFS('QuotationItems'!$I$2:$I$500,'QuotationItems'!$B$2:$B$500,$A21))</x:f>
      </x:c>
      <x:c r="H21" s="25"/>
      <x:c r="I21" s="96" t="str">
        <x:f>IF($A21="","",$G21-$H21)</x:f>
      </x:c>
      <x:c r="J21" s="19"/>
      <x:c r="K21" s="19"/>
      <x:c r="L21" s="19"/>
      <x:c r="M21" s="26"/>
    </x:row>
    <x:row r="22">
      <x:c r="A22" s="19"/>
      <x:c r="B22" s="19"/>
      <x:c r="C22" s="19"/>
      <x:c r="D22" s="19"/>
      <x:c r="E22" s="26"/>
      <x:c r="F22" s="24"/>
      <x:c r="G22" s="96" t="str">
        <x:f>IF($A22="","",SUMIFS('QuotationItems'!$I$2:$I$500,'QuotationItems'!$B$2:$B$500,$A22))</x:f>
      </x:c>
      <x:c r="H22" s="25"/>
      <x:c r="I22" s="96" t="str">
        <x:f>IF($A22="","",$G22-$H22)</x:f>
      </x:c>
      <x:c r="J22" s="19"/>
      <x:c r="K22" s="19"/>
      <x:c r="L22" s="19"/>
      <x:c r="M22" s="26"/>
    </x:row>
    <x:row r="23">
      <x:c r="A23" s="19"/>
      <x:c r="B23" s="19"/>
      <x:c r="C23" s="19"/>
      <x:c r="D23" s="19"/>
      <x:c r="E23" s="26"/>
      <x:c r="F23" s="24"/>
      <x:c r="G23" s="96" t="str">
        <x:f>IF($A23="","",SUMIFS('QuotationItems'!$I$2:$I$500,'QuotationItems'!$B$2:$B$500,$A23))</x:f>
      </x:c>
      <x:c r="H23" s="25"/>
      <x:c r="I23" s="96" t="str">
        <x:f>IF($A23="","",$G23-$H23)</x:f>
      </x:c>
      <x:c r="J23" s="19"/>
      <x:c r="K23" s="19"/>
      <x:c r="L23" s="19"/>
      <x:c r="M23" s="26"/>
    </x:row>
    <x:row r="24">
      <x:c r="A24" s="19"/>
      <x:c r="B24" s="19"/>
      <x:c r="C24" s="19"/>
      <x:c r="D24" s="19"/>
      <x:c r="E24" s="26"/>
      <x:c r="F24" s="24"/>
      <x:c r="G24" s="96" t="str">
        <x:f>IF($A24="","",SUMIFS('QuotationItems'!$I$2:$I$500,'QuotationItems'!$B$2:$B$500,$A24))</x:f>
      </x:c>
      <x:c r="H24" s="25"/>
      <x:c r="I24" s="96" t="str">
        <x:f>IF($A24="","",$G24-$H24)</x:f>
      </x:c>
      <x:c r="J24" s="19"/>
      <x:c r="K24" s="19"/>
      <x:c r="L24" s="19"/>
      <x:c r="M24" s="26"/>
    </x:row>
    <x:row r="25">
      <x:c r="A25" s="19"/>
      <x:c r="B25" s="19"/>
      <x:c r="C25" s="19"/>
      <x:c r="D25" s="19"/>
      <x:c r="E25" s="26"/>
      <x:c r="F25" s="24"/>
      <x:c r="G25" s="96" t="str">
        <x:f>IF($A25="","",SUMIFS('QuotationItems'!$I$2:$I$500,'QuotationItems'!$B$2:$B$500,$A25))</x:f>
      </x:c>
      <x:c r="H25" s="25"/>
      <x:c r="I25" s="96" t="str">
        <x:f>IF($A25="","",$G25-$H25)</x:f>
      </x:c>
      <x:c r="J25" s="19"/>
      <x:c r="K25" s="19"/>
      <x:c r="L25" s="19"/>
      <x:c r="M25" s="26"/>
    </x:row>
    <x:row r="26">
      <x:c r="A26" s="19"/>
      <x:c r="B26" s="19"/>
      <x:c r="C26" s="19"/>
      <x:c r="D26" s="19"/>
      <x:c r="E26" s="26"/>
      <x:c r="F26" s="24"/>
      <x:c r="G26" s="96" t="str">
        <x:f>IF($A26="","",SUMIFS('QuotationItems'!$I$2:$I$500,'QuotationItems'!$B$2:$B$500,$A26))</x:f>
      </x:c>
      <x:c r="H26" s="25"/>
      <x:c r="I26" s="96" t="str">
        <x:f>IF($A26="","",$G26-$H26)</x:f>
      </x:c>
      <x:c r="J26" s="19"/>
      <x:c r="K26" s="19"/>
      <x:c r="L26" s="19"/>
      <x:c r="M26" s="26"/>
    </x:row>
    <x:row r="27">
      <x:c r="A27" s="19"/>
      <x:c r="B27" s="19"/>
      <x:c r="C27" s="19"/>
      <x:c r="D27" s="19"/>
      <x:c r="E27" s="26"/>
      <x:c r="F27" s="24"/>
      <x:c r="G27" s="96" t="str">
        <x:f>IF($A27="","",SUMIFS('QuotationItems'!$I$2:$I$500,'QuotationItems'!$B$2:$B$500,$A27))</x:f>
      </x:c>
      <x:c r="H27" s="25"/>
      <x:c r="I27" s="96" t="str">
        <x:f>IF($A27="","",$G27-$H27)</x:f>
      </x:c>
      <x:c r="J27" s="19"/>
      <x:c r="K27" s="19"/>
      <x:c r="L27" s="19"/>
      <x:c r="M27" s="26"/>
    </x:row>
    <x:row r="28">
      <x:c r="A28" s="19"/>
      <x:c r="B28" s="19"/>
      <x:c r="C28" s="19"/>
      <x:c r="D28" s="19"/>
      <x:c r="E28" s="26"/>
      <x:c r="F28" s="24"/>
      <x:c r="G28" s="96" t="str">
        <x:f>IF($A28="","",SUMIFS('QuotationItems'!$I$2:$I$500,'QuotationItems'!$B$2:$B$500,$A28))</x:f>
      </x:c>
      <x:c r="H28" s="25"/>
      <x:c r="I28" s="96" t="str">
        <x:f>IF($A28="","",$G28-$H28)</x:f>
      </x:c>
      <x:c r="J28" s="19"/>
      <x:c r="K28" s="19"/>
      <x:c r="L28" s="19"/>
      <x:c r="M28" s="26"/>
    </x:row>
    <x:row r="29">
      <x:c r="A29" s="19"/>
      <x:c r="B29" s="19"/>
      <x:c r="C29" s="19"/>
      <x:c r="D29" s="19"/>
      <x:c r="E29" s="26"/>
      <x:c r="F29" s="24"/>
      <x:c r="G29" s="96" t="str">
        <x:f>IF($A29="","",SUMIFS('QuotationItems'!$I$2:$I$500,'QuotationItems'!$B$2:$B$500,$A29))</x:f>
      </x:c>
      <x:c r="H29" s="25"/>
      <x:c r="I29" s="96" t="str">
        <x:f>IF($A29="","",$G29-$H29)</x:f>
      </x:c>
      <x:c r="J29" s="19"/>
      <x:c r="K29" s="19"/>
      <x:c r="L29" s="19"/>
      <x:c r="M29" s="26"/>
    </x:row>
    <x:row r="30">
      <x:c r="A30" s="19"/>
      <x:c r="B30" s="19"/>
      <x:c r="C30" s="19"/>
      <x:c r="D30" s="19"/>
      <x:c r="E30" s="26"/>
      <x:c r="F30" s="24"/>
      <x:c r="G30" s="96" t="str">
        <x:f>IF($A30="","",SUMIFS('QuotationItems'!$I$2:$I$500,'QuotationItems'!$B$2:$B$500,$A30))</x:f>
      </x:c>
      <x:c r="H30" s="25"/>
      <x:c r="I30" s="96" t="str">
        <x:f>IF($A30="","",$G30-$H30)</x:f>
      </x:c>
      <x:c r="J30" s="19"/>
      <x:c r="K30" s="19"/>
      <x:c r="L30" s="19"/>
      <x:c r="M30" s="26"/>
    </x:row>
    <x:row r="31">
      <x:c r="A31" s="19"/>
      <x:c r="B31" s="19"/>
      <x:c r="C31" s="19"/>
      <x:c r="D31" s="19"/>
      <x:c r="E31" s="26"/>
      <x:c r="F31" s="24"/>
      <x:c r="G31" s="96" t="str">
        <x:f>IF($A31="","",SUMIFS('QuotationItems'!$I$2:$I$500,'QuotationItems'!$B$2:$B$500,$A31))</x:f>
      </x:c>
      <x:c r="H31" s="25"/>
      <x:c r="I31" s="96" t="str">
        <x:f>IF($A31="","",$G31-$H31)</x:f>
      </x:c>
      <x:c r="J31" s="19"/>
      <x:c r="K31" s="19"/>
      <x:c r="L31" s="19"/>
      <x:c r="M31" s="26"/>
    </x:row>
    <x:row r="32">
      <x:c r="A32" s="19"/>
      <x:c r="B32" s="19"/>
      <x:c r="C32" s="19"/>
      <x:c r="D32" s="19"/>
      <x:c r="E32" s="26"/>
      <x:c r="F32" s="24"/>
      <x:c r="G32" s="96" t="str">
        <x:f>IF($A32="","",SUMIFS('QuotationItems'!$I$2:$I$500,'QuotationItems'!$B$2:$B$500,$A32))</x:f>
      </x:c>
      <x:c r="H32" s="25"/>
      <x:c r="I32" s="96" t="str">
        <x:f>IF($A32="","",$G32-$H32)</x:f>
      </x:c>
      <x:c r="J32" s="19"/>
      <x:c r="K32" s="19"/>
      <x:c r="L32" s="19"/>
      <x:c r="M32" s="26"/>
    </x:row>
    <x:row r="33">
      <x:c r="A33" s="19"/>
      <x:c r="B33" s="19"/>
      <x:c r="C33" s="19"/>
      <x:c r="D33" s="19"/>
      <x:c r="E33" s="26"/>
      <x:c r="F33" s="24"/>
      <x:c r="G33" s="96" t="str">
        <x:f>IF($A33="","",SUMIFS('QuotationItems'!$I$2:$I$500,'QuotationItems'!$B$2:$B$500,$A33))</x:f>
      </x:c>
      <x:c r="H33" s="25"/>
      <x:c r="I33" s="96" t="str">
        <x:f>IF($A33="","",$G33-$H33)</x:f>
      </x:c>
      <x:c r="J33" s="19"/>
      <x:c r="K33" s="19"/>
      <x:c r="L33" s="19"/>
      <x:c r="M33" s="26"/>
    </x:row>
    <x:row r="34">
      <x:c r="A34" s="19"/>
      <x:c r="B34" s="19"/>
      <x:c r="C34" s="19"/>
      <x:c r="D34" s="19"/>
      <x:c r="E34" s="26"/>
      <x:c r="F34" s="24"/>
      <x:c r="G34" s="96" t="str">
        <x:f>IF($A34="","",SUMIFS('QuotationItems'!$I$2:$I$500,'QuotationItems'!$B$2:$B$500,$A34))</x:f>
      </x:c>
      <x:c r="H34" s="25"/>
      <x:c r="I34" s="96" t="str">
        <x:f>IF($A34="","",$G34-$H34)</x:f>
      </x:c>
      <x:c r="J34" s="19"/>
      <x:c r="K34" s="19"/>
      <x:c r="L34" s="19"/>
      <x:c r="M34" s="26"/>
    </x:row>
    <x:row r="35">
      <x:c r="A35" s="19"/>
      <x:c r="B35" s="19"/>
      <x:c r="C35" s="19"/>
      <x:c r="D35" s="19"/>
      <x:c r="E35" s="26"/>
      <x:c r="F35" s="24"/>
      <x:c r="G35" s="96" t="str">
        <x:f>IF($A35="","",SUMIFS('QuotationItems'!$I$2:$I$500,'QuotationItems'!$B$2:$B$500,$A35))</x:f>
      </x:c>
      <x:c r="H35" s="25"/>
      <x:c r="I35" s="96" t="str">
        <x:f>IF($A35="","",$G35-$H35)</x:f>
      </x:c>
      <x:c r="J35" s="19"/>
      <x:c r="K35" s="19"/>
      <x:c r="L35" s="19"/>
      <x:c r="M35" s="26"/>
    </x:row>
    <x:row r="36">
      <x:c r="A36" s="19"/>
      <x:c r="B36" s="19"/>
      <x:c r="C36" s="19"/>
      <x:c r="D36" s="19"/>
      <x:c r="E36" s="26"/>
      <x:c r="F36" s="24"/>
      <x:c r="G36" s="96" t="str">
        <x:f>IF($A36="","",SUMIFS('QuotationItems'!$I$2:$I$500,'QuotationItems'!$B$2:$B$500,$A36))</x:f>
      </x:c>
      <x:c r="H36" s="25"/>
      <x:c r="I36" s="96" t="str">
        <x:f>IF($A36="","",$G36-$H36)</x:f>
      </x:c>
      <x:c r="J36" s="19"/>
      <x:c r="K36" s="19"/>
      <x:c r="L36" s="19"/>
      <x:c r="M36" s="26"/>
    </x:row>
    <x:row r="37">
      <x:c r="A37" s="19"/>
      <x:c r="B37" s="19"/>
      <x:c r="C37" s="19"/>
      <x:c r="D37" s="19"/>
      <x:c r="E37" s="26"/>
      <x:c r="F37" s="24"/>
      <x:c r="G37" s="96" t="str">
        <x:f>IF($A37="","",SUMIFS('QuotationItems'!$I$2:$I$500,'QuotationItems'!$B$2:$B$500,$A37))</x:f>
      </x:c>
      <x:c r="H37" s="25"/>
      <x:c r="I37" s="96" t="str">
        <x:f>IF($A37="","",$G37-$H37)</x:f>
      </x:c>
      <x:c r="J37" s="19"/>
      <x:c r="K37" s="19"/>
      <x:c r="L37" s="19"/>
      <x:c r="M37" s="26"/>
    </x:row>
    <x:row r="38">
      <x:c r="A38" s="19"/>
      <x:c r="B38" s="19"/>
      <x:c r="C38" s="19"/>
      <x:c r="D38" s="19"/>
      <x:c r="E38" s="26"/>
      <x:c r="F38" s="24"/>
      <x:c r="G38" s="96" t="str">
        <x:f>IF($A38="","",SUMIFS('QuotationItems'!$I$2:$I$500,'QuotationItems'!$B$2:$B$500,$A38))</x:f>
      </x:c>
      <x:c r="H38" s="25"/>
      <x:c r="I38" s="96" t="str">
        <x:f>IF($A38="","",$G38-$H38)</x:f>
      </x:c>
      <x:c r="J38" s="19"/>
      <x:c r="K38" s="19"/>
      <x:c r="L38" s="19"/>
      <x:c r="M38" s="26"/>
    </x:row>
    <x:row r="39">
      <x:c r="A39" s="19"/>
      <x:c r="B39" s="19"/>
      <x:c r="C39" s="19"/>
      <x:c r="D39" s="19"/>
      <x:c r="E39" s="26"/>
      <x:c r="F39" s="24"/>
      <x:c r="G39" s="96" t="str">
        <x:f>IF($A39="","",SUMIFS('QuotationItems'!$I$2:$I$500,'QuotationItems'!$B$2:$B$500,$A39))</x:f>
      </x:c>
      <x:c r="H39" s="25"/>
      <x:c r="I39" s="96" t="str">
        <x:f>IF($A39="","",$G39-$H39)</x:f>
      </x:c>
      <x:c r="J39" s="19"/>
      <x:c r="K39" s="19"/>
      <x:c r="L39" s="19"/>
      <x:c r="M39" s="26"/>
    </x:row>
    <x:row r="40">
      <x:c r="A40" s="19"/>
      <x:c r="B40" s="19"/>
      <x:c r="C40" s="19"/>
      <x:c r="D40" s="19"/>
      <x:c r="E40" s="26"/>
      <x:c r="F40" s="24"/>
      <x:c r="G40" s="96" t="str">
        <x:f>IF($A40="","",SUMIFS('QuotationItems'!$I$2:$I$500,'QuotationItems'!$B$2:$B$500,$A40))</x:f>
      </x:c>
      <x:c r="H40" s="25"/>
      <x:c r="I40" s="96" t="str">
        <x:f>IF($A40="","",$G40-$H40)</x:f>
      </x:c>
      <x:c r="J40" s="19"/>
      <x:c r="K40" s="19"/>
      <x:c r="L40" s="19"/>
      <x:c r="M40" s="26"/>
    </x:row>
    <x:row r="41">
      <x:c r="A41" s="19"/>
      <x:c r="B41" s="19"/>
      <x:c r="C41" s="19"/>
      <x:c r="D41" s="19"/>
      <x:c r="E41" s="26"/>
      <x:c r="F41" s="24"/>
      <x:c r="G41" s="96" t="str">
        <x:f>IF($A41="","",SUMIFS('QuotationItems'!$I$2:$I$500,'QuotationItems'!$B$2:$B$500,$A41))</x:f>
      </x:c>
      <x:c r="H41" s="25"/>
      <x:c r="I41" s="96" t="str">
        <x:f>IF($A41="","",$G41-$H41)</x:f>
      </x:c>
      <x:c r="J41" s="19"/>
      <x:c r="K41" s="19"/>
      <x:c r="L41" s="19"/>
      <x:c r="M41" s="26"/>
    </x:row>
    <x:row r="42">
      <x:c r="A42" s="19"/>
      <x:c r="B42" s="19"/>
      <x:c r="C42" s="19"/>
      <x:c r="D42" s="19"/>
      <x:c r="E42" s="26"/>
      <x:c r="F42" s="24"/>
      <x:c r="G42" s="96" t="str">
        <x:f>IF($A42="","",SUMIFS('QuotationItems'!$I$2:$I$500,'QuotationItems'!$B$2:$B$500,$A42))</x:f>
      </x:c>
      <x:c r="H42" s="25"/>
      <x:c r="I42" s="96" t="str">
        <x:f>IF($A42="","",$G42-$H42)</x:f>
      </x:c>
      <x:c r="J42" s="19"/>
      <x:c r="K42" s="19"/>
      <x:c r="L42" s="19"/>
      <x:c r="M42" s="26"/>
    </x:row>
    <x:row r="43">
      <x:c r="A43" s="19"/>
      <x:c r="B43" s="19"/>
      <x:c r="C43" s="19"/>
      <x:c r="D43" s="19"/>
      <x:c r="E43" s="26"/>
      <x:c r="F43" s="24"/>
      <x:c r="G43" s="96" t="str">
        <x:f>IF($A43="","",SUMIFS('QuotationItems'!$I$2:$I$500,'QuotationItems'!$B$2:$B$500,$A43))</x:f>
      </x:c>
      <x:c r="H43" s="25"/>
      <x:c r="I43" s="96" t="str">
        <x:f>IF($A43="","",$G43-$H43)</x:f>
      </x:c>
      <x:c r="J43" s="19"/>
      <x:c r="K43" s="19"/>
      <x:c r="L43" s="19"/>
      <x:c r="M43" s="26"/>
    </x:row>
    <x:row r="44">
      <x:c r="A44" s="19"/>
      <x:c r="B44" s="19"/>
      <x:c r="C44" s="19"/>
      <x:c r="D44" s="19"/>
      <x:c r="E44" s="26"/>
      <x:c r="F44" s="24"/>
      <x:c r="G44" s="96" t="str">
        <x:f>IF($A44="","",SUMIFS('QuotationItems'!$I$2:$I$500,'QuotationItems'!$B$2:$B$500,$A44))</x:f>
      </x:c>
      <x:c r="H44" s="25"/>
      <x:c r="I44" s="96" t="str">
        <x:f>IF($A44="","",$G44-$H44)</x:f>
      </x:c>
      <x:c r="J44" s="19"/>
      <x:c r="K44" s="19"/>
      <x:c r="L44" s="19"/>
      <x:c r="M44" s="26"/>
    </x:row>
    <x:row r="45">
      <x:c r="A45" s="19"/>
      <x:c r="B45" s="19"/>
      <x:c r="C45" s="19"/>
      <x:c r="D45" s="19"/>
      <x:c r="E45" s="26"/>
      <x:c r="F45" s="24"/>
      <x:c r="G45" s="96" t="str">
        <x:f>IF($A45="","",SUMIFS('QuotationItems'!$I$2:$I$500,'QuotationItems'!$B$2:$B$500,$A45))</x:f>
      </x:c>
      <x:c r="H45" s="25"/>
      <x:c r="I45" s="96" t="str">
        <x:f>IF($A45="","",$G45-$H45)</x:f>
      </x:c>
      <x:c r="J45" s="19"/>
      <x:c r="K45" s="19"/>
      <x:c r="L45" s="19"/>
      <x:c r="M45" s="26"/>
    </x:row>
    <x:row r="46">
      <x:c r="A46" s="19"/>
      <x:c r="B46" s="19"/>
      <x:c r="C46" s="19"/>
      <x:c r="D46" s="19"/>
      <x:c r="E46" s="26"/>
      <x:c r="F46" s="24"/>
      <x:c r="G46" s="96" t="str">
        <x:f>IF($A46="","",SUMIFS('QuotationItems'!$I$2:$I$500,'QuotationItems'!$B$2:$B$500,$A46))</x:f>
      </x:c>
      <x:c r="H46" s="25"/>
      <x:c r="I46" s="96" t="str">
        <x:f>IF($A46="","",$G46-$H46)</x:f>
      </x:c>
      <x:c r="J46" s="19"/>
      <x:c r="K46" s="19"/>
      <x:c r="L46" s="19"/>
      <x:c r="M46" s="26"/>
    </x:row>
    <x:row r="47">
      <x:c r="A47" s="19"/>
      <x:c r="B47" s="19"/>
      <x:c r="C47" s="19"/>
      <x:c r="D47" s="19"/>
      <x:c r="E47" s="26"/>
      <x:c r="F47" s="24"/>
      <x:c r="G47" s="96" t="str">
        <x:f>IF($A47="","",SUMIFS('QuotationItems'!$I$2:$I$500,'QuotationItems'!$B$2:$B$500,$A47))</x:f>
      </x:c>
      <x:c r="H47" s="25"/>
      <x:c r="I47" s="96" t="str">
        <x:f>IF($A47="","",$G47-$H47)</x:f>
      </x:c>
      <x:c r="J47" s="19"/>
      <x:c r="K47" s="19"/>
      <x:c r="L47" s="19"/>
      <x:c r="M47" s="26"/>
    </x:row>
    <x:row r="48">
      <x:c r="A48" s="19"/>
      <x:c r="B48" s="19"/>
      <x:c r="C48" s="19"/>
      <x:c r="D48" s="19"/>
      <x:c r="E48" s="26"/>
      <x:c r="F48" s="24"/>
      <x:c r="G48" s="96" t="str">
        <x:f>IF($A48="","",SUMIFS('QuotationItems'!$I$2:$I$500,'QuotationItems'!$B$2:$B$500,$A48))</x:f>
      </x:c>
      <x:c r="H48" s="25"/>
      <x:c r="I48" s="96" t="str">
        <x:f>IF($A48="","",$G48-$H48)</x:f>
      </x:c>
      <x:c r="J48" s="19"/>
      <x:c r="K48" s="19"/>
      <x:c r="L48" s="19"/>
      <x:c r="M48" s="26"/>
    </x:row>
    <x:row r="49">
      <x:c r="A49" s="19"/>
      <x:c r="B49" s="19"/>
      <x:c r="C49" s="19"/>
      <x:c r="D49" s="19"/>
      <x:c r="E49" s="26"/>
      <x:c r="F49" s="24"/>
      <x:c r="G49" s="96" t="str">
        <x:f>IF($A49="","",SUMIFS('QuotationItems'!$I$2:$I$500,'QuotationItems'!$B$2:$B$500,$A49))</x:f>
      </x:c>
      <x:c r="H49" s="25"/>
      <x:c r="I49" s="96" t="str">
        <x:f>IF($A49="","",$G49-$H49)</x:f>
      </x:c>
      <x:c r="J49" s="19"/>
      <x:c r="K49" s="19"/>
      <x:c r="L49" s="19"/>
      <x:c r="M49" s="26"/>
    </x:row>
    <x:row r="50">
      <x:c r="A50" s="19"/>
      <x:c r="B50" s="19"/>
      <x:c r="C50" s="19"/>
      <x:c r="D50" s="19"/>
      <x:c r="E50" s="26"/>
      <x:c r="F50" s="24"/>
      <x:c r="G50" s="96" t="str">
        <x:f>IF($A50="","",SUMIFS('QuotationItems'!$I$2:$I$500,'QuotationItems'!$B$2:$B$500,$A50))</x:f>
      </x:c>
      <x:c r="H50" s="25"/>
      <x:c r="I50" s="96" t="str">
        <x:f>IF($A50="","",$G50-$H50)</x:f>
      </x:c>
      <x:c r="J50" s="19"/>
      <x:c r="K50" s="19"/>
      <x:c r="L50" s="19"/>
      <x:c r="M50" s="26"/>
    </x:row>
    <x:row r="51">
      <x:c r="A51" s="19"/>
      <x:c r="B51" s="19"/>
      <x:c r="C51" s="19"/>
      <x:c r="D51" s="19"/>
      <x:c r="E51" s="26"/>
      <x:c r="F51" s="24"/>
      <x:c r="G51" s="96" t="str">
        <x:f>IF($A51="","",SUMIFS('QuotationItems'!$I$2:$I$500,'QuotationItems'!$B$2:$B$500,$A51))</x:f>
      </x:c>
      <x:c r="H51" s="25"/>
      <x:c r="I51" s="96" t="str">
        <x:f>IF($A51="","",$G51-$H51)</x:f>
      </x:c>
      <x:c r="J51" s="19"/>
      <x:c r="K51" s="19"/>
      <x:c r="L51" s="19"/>
      <x:c r="M51" s="26"/>
    </x:row>
    <x:row r="52">
      <x:c r="A52" s="19"/>
      <x:c r="B52" s="19"/>
      <x:c r="C52" s="19"/>
      <x:c r="D52" s="19"/>
      <x:c r="E52" s="26"/>
      <x:c r="F52" s="24"/>
      <x:c r="G52" s="96" t="str">
        <x:f>IF($A52="","",SUMIFS('QuotationItems'!$I$2:$I$500,'QuotationItems'!$B$2:$B$500,$A52))</x:f>
      </x:c>
      <x:c r="H52" s="25"/>
      <x:c r="I52" s="96" t="str">
        <x:f>IF($A52="","",$G52-$H52)</x:f>
      </x:c>
      <x:c r="J52" s="19"/>
      <x:c r="K52" s="19"/>
      <x:c r="L52" s="19"/>
      <x:c r="M52" s="26"/>
    </x:row>
    <x:row r="53">
      <x:c r="A53" s="19"/>
      <x:c r="B53" s="19"/>
      <x:c r="C53" s="19"/>
      <x:c r="D53" s="19"/>
      <x:c r="E53" s="26"/>
      <x:c r="F53" s="24"/>
      <x:c r="G53" s="96" t="str">
        <x:f>IF($A53="","",SUMIFS('QuotationItems'!$I$2:$I$500,'QuotationItems'!$B$2:$B$500,$A53))</x:f>
      </x:c>
      <x:c r="H53" s="25"/>
      <x:c r="I53" s="96" t="str">
        <x:f>IF($A53="","",$G53-$H53)</x:f>
      </x:c>
      <x:c r="J53" s="19"/>
      <x:c r="K53" s="19"/>
      <x:c r="L53" s="19"/>
      <x:c r="M53" s="26"/>
    </x:row>
    <x:row r="54">
      <x:c r="A54" s="19"/>
      <x:c r="B54" s="19"/>
      <x:c r="C54" s="19"/>
      <x:c r="D54" s="19"/>
      <x:c r="E54" s="26"/>
      <x:c r="F54" s="24"/>
      <x:c r="G54" s="96" t="str">
        <x:f>IF($A54="","",SUMIFS('QuotationItems'!$I$2:$I$500,'QuotationItems'!$B$2:$B$500,$A54))</x:f>
      </x:c>
      <x:c r="H54" s="25"/>
      <x:c r="I54" s="96" t="str">
        <x:f>IF($A54="","",$G54-$H54)</x:f>
      </x:c>
      <x:c r="J54" s="19"/>
      <x:c r="K54" s="19"/>
      <x:c r="L54" s="19"/>
      <x:c r="M54" s="26"/>
    </x:row>
    <x:row r="55">
      <x:c r="A55" s="19"/>
      <x:c r="B55" s="19"/>
      <x:c r="C55" s="19"/>
      <x:c r="D55" s="19"/>
      <x:c r="E55" s="26"/>
      <x:c r="F55" s="24"/>
      <x:c r="G55" s="96" t="str">
        <x:f>IF($A55="","",SUMIFS('QuotationItems'!$I$2:$I$500,'QuotationItems'!$B$2:$B$500,$A55))</x:f>
      </x:c>
      <x:c r="H55" s="25"/>
      <x:c r="I55" s="96" t="str">
        <x:f>IF($A55="","",$G55-$H55)</x:f>
      </x:c>
      <x:c r="J55" s="19"/>
      <x:c r="K55" s="19"/>
      <x:c r="L55" s="19"/>
      <x:c r="M55" s="26"/>
    </x:row>
    <x:row r="56">
      <x:c r="A56" s="19"/>
      <x:c r="B56" s="19"/>
      <x:c r="C56" s="19"/>
      <x:c r="D56" s="19"/>
      <x:c r="E56" s="26"/>
      <x:c r="F56" s="24"/>
      <x:c r="G56" s="96" t="str">
        <x:f>IF($A56="","",SUMIFS('QuotationItems'!$I$2:$I$500,'QuotationItems'!$B$2:$B$500,$A56))</x:f>
      </x:c>
      <x:c r="H56" s="25"/>
      <x:c r="I56" s="96" t="str">
        <x:f>IF($A56="","",$G56-$H56)</x:f>
      </x:c>
      <x:c r="J56" s="19"/>
      <x:c r="K56" s="19"/>
      <x:c r="L56" s="19"/>
      <x:c r="M56" s="26"/>
    </x:row>
    <x:row r="57">
      <x:c r="A57" s="19"/>
      <x:c r="B57" s="19"/>
      <x:c r="C57" s="19"/>
      <x:c r="D57" s="19"/>
      <x:c r="E57" s="26"/>
      <x:c r="F57" s="24"/>
      <x:c r="G57" s="96" t="str">
        <x:f>IF($A57="","",SUMIFS('QuotationItems'!$I$2:$I$500,'QuotationItems'!$B$2:$B$500,$A57))</x:f>
      </x:c>
      <x:c r="H57" s="25"/>
      <x:c r="I57" s="96" t="str">
        <x:f>IF($A57="","",$G57-$H57)</x:f>
      </x:c>
      <x:c r="J57" s="19"/>
      <x:c r="K57" s="19"/>
      <x:c r="L57" s="19"/>
      <x:c r="M57" s="26"/>
    </x:row>
    <x:row r="58">
      <x:c r="A58" s="19"/>
      <x:c r="B58" s="19"/>
      <x:c r="C58" s="19"/>
      <x:c r="D58" s="19"/>
      <x:c r="E58" s="26"/>
      <x:c r="F58" s="24"/>
      <x:c r="G58" s="96" t="str">
        <x:f>IF($A58="","",SUMIFS('QuotationItems'!$I$2:$I$500,'QuotationItems'!$B$2:$B$500,$A58))</x:f>
      </x:c>
      <x:c r="H58" s="25"/>
      <x:c r="I58" s="96" t="str">
        <x:f>IF($A58="","",$G58-$H58)</x:f>
      </x:c>
      <x:c r="J58" s="19"/>
      <x:c r="K58" s="19"/>
      <x:c r="L58" s="19"/>
      <x:c r="M58" s="26"/>
    </x:row>
    <x:row r="59">
      <x:c r="A59" s="19"/>
      <x:c r="B59" s="19"/>
      <x:c r="C59" s="19"/>
      <x:c r="D59" s="19"/>
      <x:c r="E59" s="26"/>
      <x:c r="F59" s="24"/>
      <x:c r="G59" s="96" t="str">
        <x:f>IF($A59="","",SUMIFS('QuotationItems'!$I$2:$I$500,'QuotationItems'!$B$2:$B$500,$A59))</x:f>
      </x:c>
      <x:c r="H59" s="25"/>
      <x:c r="I59" s="96" t="str">
        <x:f>IF($A59="","",$G59-$H59)</x:f>
      </x:c>
      <x:c r="J59" s="19"/>
      <x:c r="K59" s="19"/>
      <x:c r="L59" s="19"/>
      <x:c r="M59" s="26"/>
    </x:row>
    <x:row r="60">
      <x:c r="A60" s="19"/>
      <x:c r="B60" s="19"/>
      <x:c r="C60" s="19"/>
      <x:c r="D60" s="19"/>
      <x:c r="E60" s="26"/>
      <x:c r="F60" s="24"/>
      <x:c r="G60" s="96" t="str">
        <x:f>IF($A60="","",SUMIFS('QuotationItems'!$I$2:$I$500,'QuotationItems'!$B$2:$B$500,$A60))</x:f>
      </x:c>
      <x:c r="H60" s="25"/>
      <x:c r="I60" s="96" t="str">
        <x:f>IF($A60="","",$G60-$H60)</x:f>
      </x:c>
      <x:c r="J60" s="19"/>
      <x:c r="K60" s="19"/>
      <x:c r="L60" s="19"/>
      <x:c r="M60" s="26"/>
    </x:row>
    <x:row r="61">
      <x:c r="A61" s="19"/>
      <x:c r="B61" s="19"/>
      <x:c r="C61" s="19"/>
      <x:c r="D61" s="19"/>
      <x:c r="E61" s="26"/>
      <x:c r="F61" s="24"/>
      <x:c r="G61" s="96" t="str">
        <x:f>IF($A61="","",SUMIFS('QuotationItems'!$I$2:$I$500,'QuotationItems'!$B$2:$B$500,$A61))</x:f>
      </x:c>
      <x:c r="H61" s="25"/>
      <x:c r="I61" s="96" t="str">
        <x:f>IF($A61="","",$G61-$H61)</x:f>
      </x:c>
      <x:c r="J61" s="19"/>
      <x:c r="K61" s="19"/>
      <x:c r="L61" s="19"/>
      <x:c r="M61" s="26"/>
    </x:row>
    <x:row r="62">
      <x:c r="A62" s="19"/>
      <x:c r="B62" s="19"/>
      <x:c r="C62" s="19"/>
      <x:c r="D62" s="19"/>
      <x:c r="E62" s="26"/>
      <x:c r="F62" s="24"/>
      <x:c r="G62" s="96" t="str">
        <x:f>IF($A62="","",SUMIFS('QuotationItems'!$I$2:$I$500,'QuotationItems'!$B$2:$B$500,$A62))</x:f>
      </x:c>
      <x:c r="H62" s="25"/>
      <x:c r="I62" s="96" t="str">
        <x:f>IF($A62="","",$G62-$H62)</x:f>
      </x:c>
      <x:c r="J62" s="19"/>
      <x:c r="K62" s="19"/>
      <x:c r="L62" s="19"/>
      <x:c r="M62" s="26"/>
    </x:row>
    <x:row r="63">
      <x:c r="A63" s="19"/>
      <x:c r="B63" s="19"/>
      <x:c r="C63" s="19"/>
      <x:c r="D63" s="19"/>
      <x:c r="E63" s="26"/>
      <x:c r="F63" s="24"/>
      <x:c r="G63" s="96" t="str">
        <x:f>IF($A63="","",SUMIFS('QuotationItems'!$I$2:$I$500,'QuotationItems'!$B$2:$B$500,$A63))</x:f>
      </x:c>
      <x:c r="H63" s="25"/>
      <x:c r="I63" s="96" t="str">
        <x:f>IF($A63="","",$G63-$H63)</x:f>
      </x:c>
      <x:c r="J63" s="19"/>
      <x:c r="K63" s="19"/>
      <x:c r="L63" s="19"/>
      <x:c r="M63" s="26"/>
    </x:row>
    <x:row r="64">
      <x:c r="A64" s="19"/>
      <x:c r="B64" s="19"/>
      <x:c r="C64" s="19"/>
      <x:c r="D64" s="19"/>
      <x:c r="E64" s="26"/>
      <x:c r="F64" s="24"/>
      <x:c r="G64" s="96" t="str">
        <x:f>IF($A64="","",SUMIFS('QuotationItems'!$I$2:$I$500,'QuotationItems'!$B$2:$B$500,$A64))</x:f>
      </x:c>
      <x:c r="H64" s="25"/>
      <x:c r="I64" s="96" t="str">
        <x:f>IF($A64="","",$G64-$H64)</x:f>
      </x:c>
      <x:c r="J64" s="19"/>
      <x:c r="K64" s="19"/>
      <x:c r="L64" s="19"/>
      <x:c r="M64" s="26"/>
    </x:row>
    <x:row r="65">
      <x:c r="A65" s="19"/>
      <x:c r="B65" s="19"/>
      <x:c r="C65" s="19"/>
      <x:c r="D65" s="19"/>
      <x:c r="E65" s="26"/>
      <x:c r="F65" s="24"/>
      <x:c r="G65" s="96" t="str">
        <x:f>IF($A65="","",SUMIFS('QuotationItems'!$I$2:$I$500,'QuotationItems'!$B$2:$B$500,$A65))</x:f>
      </x:c>
      <x:c r="H65" s="25"/>
      <x:c r="I65" s="96" t="str">
        <x:f>IF($A65="","",$G65-$H65)</x:f>
      </x:c>
      <x:c r="J65" s="19"/>
      <x:c r="K65" s="19"/>
      <x:c r="L65" s="19"/>
      <x:c r="M65" s="26"/>
    </x:row>
    <x:row r="66">
      <x:c r="A66" s="19"/>
      <x:c r="B66" s="19"/>
      <x:c r="C66" s="19"/>
      <x:c r="D66" s="19"/>
      <x:c r="E66" s="26"/>
      <x:c r="F66" s="24"/>
      <x:c r="G66" s="96" t="str">
        <x:f>IF($A66="","",SUMIFS('QuotationItems'!$I$2:$I$500,'QuotationItems'!$B$2:$B$500,$A66))</x:f>
      </x:c>
      <x:c r="H66" s="25"/>
      <x:c r="I66" s="96" t="str">
        <x:f>IF($A66="","",$G66-$H66)</x:f>
      </x:c>
      <x:c r="J66" s="19"/>
      <x:c r="K66" s="19"/>
      <x:c r="L66" s="19"/>
      <x:c r="M66" s="26"/>
    </x:row>
    <x:row r="67">
      <x:c r="A67" s="19"/>
      <x:c r="B67" s="19"/>
      <x:c r="C67" s="19"/>
      <x:c r="D67" s="19"/>
      <x:c r="E67" s="26"/>
      <x:c r="F67" s="24"/>
      <x:c r="G67" s="96" t="str">
        <x:f>IF($A67="","",SUMIFS('QuotationItems'!$I$2:$I$500,'QuotationItems'!$B$2:$B$500,$A67))</x:f>
      </x:c>
      <x:c r="H67" s="25"/>
      <x:c r="I67" s="96" t="str">
        <x:f>IF($A67="","",$G67-$H67)</x:f>
      </x:c>
      <x:c r="J67" s="19"/>
      <x:c r="K67" s="19"/>
      <x:c r="L67" s="19"/>
      <x:c r="M67" s="26"/>
    </x:row>
    <x:row r="68">
      <x:c r="A68" s="19"/>
      <x:c r="B68" s="19"/>
      <x:c r="C68" s="19"/>
      <x:c r="D68" s="19"/>
      <x:c r="E68" s="26"/>
      <x:c r="F68" s="24"/>
      <x:c r="G68" s="96" t="str">
        <x:f>IF($A68="","",SUMIFS('QuotationItems'!$I$2:$I$500,'QuotationItems'!$B$2:$B$500,$A68))</x:f>
      </x:c>
      <x:c r="H68" s="25"/>
      <x:c r="I68" s="96" t="str">
        <x:f>IF($A68="","",$G68-$H68)</x:f>
      </x:c>
      <x:c r="J68" s="19"/>
      <x:c r="K68" s="19"/>
      <x:c r="L68" s="19"/>
      <x:c r="M68" s="26"/>
    </x:row>
    <x:row r="69">
      <x:c r="A69" s="19"/>
      <x:c r="B69" s="19"/>
      <x:c r="C69" s="19"/>
      <x:c r="D69" s="19"/>
      <x:c r="E69" s="26"/>
      <x:c r="F69" s="24"/>
      <x:c r="G69" s="96" t="str">
        <x:f>IF($A69="","",SUMIFS('QuotationItems'!$I$2:$I$500,'QuotationItems'!$B$2:$B$500,$A69))</x:f>
      </x:c>
      <x:c r="H69" s="25"/>
      <x:c r="I69" s="96" t="str">
        <x:f>IF($A69="","",$G69-$H69)</x:f>
      </x:c>
      <x:c r="J69" s="19"/>
      <x:c r="K69" s="19"/>
      <x:c r="L69" s="19"/>
      <x:c r="M69" s="26"/>
    </x:row>
    <x:row r="70">
      <x:c r="A70" s="19"/>
      <x:c r="B70" s="19"/>
      <x:c r="C70" s="19"/>
      <x:c r="D70" s="19"/>
      <x:c r="E70" s="26"/>
      <x:c r="F70" s="24"/>
      <x:c r="G70" s="96" t="str">
        <x:f>IF($A70="","",SUMIFS('QuotationItems'!$I$2:$I$500,'QuotationItems'!$B$2:$B$500,$A70))</x:f>
      </x:c>
      <x:c r="H70" s="25"/>
      <x:c r="I70" s="96" t="str">
        <x:f>IF($A70="","",$G70-$H70)</x:f>
      </x:c>
      <x:c r="J70" s="19"/>
      <x:c r="K70" s="19"/>
      <x:c r="L70" s="19"/>
      <x:c r="M70" s="26"/>
    </x:row>
    <x:row r="71">
      <x:c r="A71" s="19"/>
      <x:c r="B71" s="19"/>
      <x:c r="C71" s="19"/>
      <x:c r="D71" s="19"/>
      <x:c r="E71" s="26"/>
      <x:c r="F71" s="24"/>
      <x:c r="G71" s="96" t="str">
        <x:f>IF($A71="","",SUMIFS('QuotationItems'!$I$2:$I$500,'QuotationItems'!$B$2:$B$500,$A71))</x:f>
      </x:c>
      <x:c r="H71" s="25"/>
      <x:c r="I71" s="96" t="str">
        <x:f>IF($A71="","",$G71-$H71)</x:f>
      </x:c>
      <x:c r="J71" s="19"/>
      <x:c r="K71" s="19"/>
      <x:c r="L71" s="19"/>
      <x:c r="M71" s="26"/>
    </x:row>
    <x:row r="72">
      <x:c r="A72" s="19"/>
      <x:c r="B72" s="19"/>
      <x:c r="C72" s="19"/>
      <x:c r="D72" s="19"/>
      <x:c r="E72" s="26"/>
      <x:c r="F72" s="24"/>
      <x:c r="G72" s="96" t="str">
        <x:f>IF($A72="","",SUMIFS('QuotationItems'!$I$2:$I$500,'QuotationItems'!$B$2:$B$500,$A72))</x:f>
      </x:c>
      <x:c r="H72" s="25"/>
      <x:c r="I72" s="96" t="str">
        <x:f>IF($A72="","",$G72-$H72)</x:f>
      </x:c>
      <x:c r="J72" s="19"/>
      <x:c r="K72" s="19"/>
      <x:c r="L72" s="19"/>
      <x:c r="M72" s="26"/>
    </x:row>
    <x:row r="73">
      <x:c r="A73" s="19"/>
      <x:c r="B73" s="19"/>
      <x:c r="C73" s="19"/>
      <x:c r="D73" s="19"/>
      <x:c r="E73" s="26"/>
      <x:c r="F73" s="24"/>
      <x:c r="G73" s="96" t="str">
        <x:f>IF($A73="","",SUMIFS('QuotationItems'!$I$2:$I$500,'QuotationItems'!$B$2:$B$500,$A73))</x:f>
      </x:c>
      <x:c r="H73" s="25"/>
      <x:c r="I73" s="96" t="str">
        <x:f>IF($A73="","",$G73-$H73)</x:f>
      </x:c>
      <x:c r="J73" s="19"/>
      <x:c r="K73" s="19"/>
      <x:c r="L73" s="19"/>
      <x:c r="M73" s="26"/>
    </x:row>
    <x:row r="74">
      <x:c r="A74" s="19"/>
      <x:c r="B74" s="19"/>
      <x:c r="C74" s="19"/>
      <x:c r="D74" s="19"/>
      <x:c r="E74" s="26"/>
      <x:c r="F74" s="24"/>
      <x:c r="G74" s="96" t="str">
        <x:f>IF($A74="","",SUMIFS('QuotationItems'!$I$2:$I$500,'QuotationItems'!$B$2:$B$500,$A74))</x:f>
      </x:c>
      <x:c r="H74" s="25"/>
      <x:c r="I74" s="96" t="str">
        <x:f>IF($A74="","",$G74-$H74)</x:f>
      </x:c>
      <x:c r="J74" s="19"/>
      <x:c r="K74" s="19"/>
      <x:c r="L74" s="19"/>
      <x:c r="M74" s="26"/>
    </x:row>
    <x:row r="75">
      <x:c r="A75" s="19"/>
      <x:c r="B75" s="19"/>
      <x:c r="C75" s="19"/>
      <x:c r="D75" s="19"/>
      <x:c r="E75" s="26"/>
      <x:c r="F75" s="24"/>
      <x:c r="G75" s="96" t="str">
        <x:f>IF($A75="","",SUMIFS('QuotationItems'!$I$2:$I$500,'QuotationItems'!$B$2:$B$500,$A75))</x:f>
      </x:c>
      <x:c r="H75" s="25"/>
      <x:c r="I75" s="96" t="str">
        <x:f>IF($A75="","",$G75-$H75)</x:f>
      </x:c>
      <x:c r="J75" s="19"/>
      <x:c r="K75" s="19"/>
      <x:c r="L75" s="19"/>
      <x:c r="M75" s="26"/>
    </x:row>
    <x:row r="76">
      <x:c r="A76" s="19"/>
      <x:c r="B76" s="19"/>
      <x:c r="C76" s="19"/>
      <x:c r="D76" s="19"/>
      <x:c r="E76" s="26"/>
      <x:c r="F76" s="24"/>
      <x:c r="G76" s="96" t="str">
        <x:f>IF($A76="","",SUMIFS('QuotationItems'!$I$2:$I$500,'QuotationItems'!$B$2:$B$500,$A76))</x:f>
      </x:c>
      <x:c r="H76" s="25"/>
      <x:c r="I76" s="96" t="str">
        <x:f>IF($A76="","",$G76-$H76)</x:f>
      </x:c>
      <x:c r="J76" s="19"/>
      <x:c r="K76" s="19"/>
      <x:c r="L76" s="19"/>
      <x:c r="M76" s="26"/>
    </x:row>
    <x:row r="77">
      <x:c r="A77" s="19"/>
      <x:c r="B77" s="19"/>
      <x:c r="C77" s="19"/>
      <x:c r="D77" s="19"/>
      <x:c r="E77" s="26"/>
      <x:c r="F77" s="24"/>
      <x:c r="G77" s="96" t="str">
        <x:f>IF($A77="","",SUMIFS('QuotationItems'!$I$2:$I$500,'QuotationItems'!$B$2:$B$500,$A77))</x:f>
      </x:c>
      <x:c r="H77" s="25"/>
      <x:c r="I77" s="96" t="str">
        <x:f>IF($A77="","",$G77-$H77)</x:f>
      </x:c>
      <x:c r="J77" s="19"/>
      <x:c r="K77" s="19"/>
      <x:c r="L77" s="19"/>
      <x:c r="M77" s="26"/>
    </x:row>
    <x:row r="78">
      <x:c r="A78" s="19"/>
      <x:c r="B78" s="19"/>
      <x:c r="C78" s="19"/>
      <x:c r="D78" s="19"/>
      <x:c r="E78" s="26"/>
      <x:c r="F78" s="24"/>
      <x:c r="G78" s="96" t="str">
        <x:f>IF($A78="","",SUMIFS('QuotationItems'!$I$2:$I$500,'QuotationItems'!$B$2:$B$500,$A78))</x:f>
      </x:c>
      <x:c r="H78" s="25"/>
      <x:c r="I78" s="96" t="str">
        <x:f>IF($A78="","",$G78-$H78)</x:f>
      </x:c>
      <x:c r="J78" s="19"/>
      <x:c r="K78" s="19"/>
      <x:c r="L78" s="19"/>
      <x:c r="M78" s="26"/>
    </x:row>
    <x:row r="79">
      <x:c r="A79" s="19"/>
      <x:c r="B79" s="19"/>
      <x:c r="C79" s="19"/>
      <x:c r="D79" s="19"/>
      <x:c r="E79" s="26"/>
      <x:c r="F79" s="24"/>
      <x:c r="G79" s="96" t="str">
        <x:f>IF($A79="","",SUMIFS('QuotationItems'!$I$2:$I$500,'QuotationItems'!$B$2:$B$500,$A79))</x:f>
      </x:c>
      <x:c r="H79" s="25"/>
      <x:c r="I79" s="96" t="str">
        <x:f>IF($A79="","",$G79-$H79)</x:f>
      </x:c>
      <x:c r="J79" s="19"/>
      <x:c r="K79" s="19"/>
      <x:c r="L79" s="19"/>
      <x:c r="M79" s="26"/>
    </x:row>
    <x:row r="80">
      <x:c r="A80" s="19"/>
      <x:c r="B80" s="19"/>
      <x:c r="C80" s="19"/>
      <x:c r="D80" s="19"/>
      <x:c r="E80" s="26"/>
      <x:c r="F80" s="24"/>
      <x:c r="G80" s="96" t="str">
        <x:f>IF($A80="","",SUMIFS('QuotationItems'!$I$2:$I$500,'QuotationItems'!$B$2:$B$500,$A80))</x:f>
      </x:c>
      <x:c r="H80" s="25"/>
      <x:c r="I80" s="96" t="str">
        <x:f>IF($A80="","",$G80-$H80)</x:f>
      </x:c>
      <x:c r="J80" s="19"/>
      <x:c r="K80" s="19"/>
      <x:c r="L80" s="19"/>
      <x:c r="M80" s="26"/>
    </x:row>
    <x:row r="81">
      <x:c r="A81" s="19"/>
      <x:c r="B81" s="19"/>
      <x:c r="C81" s="19"/>
      <x:c r="D81" s="19"/>
      <x:c r="E81" s="26"/>
      <x:c r="F81" s="24"/>
      <x:c r="G81" s="96" t="str">
        <x:f>IF($A81="","",SUMIFS('QuotationItems'!$I$2:$I$500,'QuotationItems'!$B$2:$B$500,$A81))</x:f>
      </x:c>
      <x:c r="H81" s="25"/>
      <x:c r="I81" s="96" t="str">
        <x:f>IF($A81="","",$G81-$H81)</x:f>
      </x:c>
      <x:c r="J81" s="19"/>
      <x:c r="K81" s="19"/>
      <x:c r="L81" s="19"/>
      <x:c r="M81" s="26"/>
    </x:row>
    <x:row r="82">
      <x:c r="A82" s="19"/>
      <x:c r="B82" s="19"/>
      <x:c r="C82" s="19"/>
      <x:c r="D82" s="19"/>
      <x:c r="E82" s="26"/>
      <x:c r="F82" s="24"/>
      <x:c r="G82" s="96" t="str">
        <x:f>IF($A82="","",SUMIFS('QuotationItems'!$I$2:$I$500,'QuotationItems'!$B$2:$B$500,$A82))</x:f>
      </x:c>
      <x:c r="H82" s="25"/>
      <x:c r="I82" s="96" t="str">
        <x:f>IF($A82="","",$G82-$H82)</x:f>
      </x:c>
      <x:c r="J82" s="19"/>
      <x:c r="K82" s="19"/>
      <x:c r="L82" s="19"/>
      <x:c r="M82" s="26"/>
    </x:row>
    <x:row r="83">
      <x:c r="A83" s="19"/>
      <x:c r="B83" s="19"/>
      <x:c r="C83" s="19"/>
      <x:c r="D83" s="19"/>
      <x:c r="E83" s="26"/>
      <x:c r="F83" s="24"/>
      <x:c r="G83" s="96" t="str">
        <x:f>IF($A83="","",SUMIFS('QuotationItems'!$I$2:$I$500,'QuotationItems'!$B$2:$B$500,$A83))</x:f>
      </x:c>
      <x:c r="H83" s="25"/>
      <x:c r="I83" s="96" t="str">
        <x:f>IF($A83="","",$G83-$H83)</x:f>
      </x:c>
      <x:c r="J83" s="19"/>
      <x:c r="K83" s="19"/>
      <x:c r="L83" s="19"/>
      <x:c r="M83" s="26"/>
    </x:row>
    <x:row r="84">
      <x:c r="A84" s="19"/>
      <x:c r="B84" s="19"/>
      <x:c r="C84" s="19"/>
      <x:c r="D84" s="19"/>
      <x:c r="E84" s="26"/>
      <x:c r="F84" s="24"/>
      <x:c r="G84" s="96" t="str">
        <x:f>IF($A84="","",SUMIFS('QuotationItems'!$I$2:$I$500,'QuotationItems'!$B$2:$B$500,$A84))</x:f>
      </x:c>
      <x:c r="H84" s="25"/>
      <x:c r="I84" s="96" t="str">
        <x:f>IF($A84="","",$G84-$H84)</x:f>
      </x:c>
      <x:c r="J84" s="19"/>
      <x:c r="K84" s="19"/>
      <x:c r="L84" s="19"/>
      <x:c r="M84" s="26"/>
    </x:row>
    <x:row r="85">
      <x:c r="A85" s="19"/>
      <x:c r="B85" s="19"/>
      <x:c r="C85" s="19"/>
      <x:c r="D85" s="19"/>
      <x:c r="E85" s="26"/>
      <x:c r="F85" s="24"/>
      <x:c r="G85" s="96" t="str">
        <x:f>IF($A85="","",SUMIFS('QuotationItems'!$I$2:$I$500,'QuotationItems'!$B$2:$B$500,$A85))</x:f>
      </x:c>
      <x:c r="H85" s="25"/>
      <x:c r="I85" s="96" t="str">
        <x:f>IF($A85="","",$G85-$H85)</x:f>
      </x:c>
      <x:c r="J85" s="19"/>
      <x:c r="K85" s="19"/>
      <x:c r="L85" s="19"/>
      <x:c r="M85" s="26"/>
    </x:row>
    <x:row r="86">
      <x:c r="A86" s="19"/>
      <x:c r="B86" s="19"/>
      <x:c r="C86" s="19"/>
      <x:c r="D86" s="19"/>
      <x:c r="E86" s="26"/>
      <x:c r="F86" s="24"/>
      <x:c r="G86" s="96" t="str">
        <x:f>IF($A86="","",SUMIFS('QuotationItems'!$I$2:$I$500,'QuotationItems'!$B$2:$B$500,$A86))</x:f>
      </x:c>
      <x:c r="H86" s="25"/>
      <x:c r="I86" s="96" t="str">
        <x:f>IF($A86="","",$G86-$H86)</x:f>
      </x:c>
      <x:c r="J86" s="19"/>
      <x:c r="K86" s="19"/>
      <x:c r="L86" s="19"/>
      <x:c r="M86" s="26"/>
    </x:row>
    <x:row r="87">
      <x:c r="A87" s="19"/>
      <x:c r="B87" s="19"/>
      <x:c r="C87" s="19"/>
      <x:c r="D87" s="19"/>
      <x:c r="E87" s="26"/>
      <x:c r="F87" s="24"/>
      <x:c r="G87" s="96" t="str">
        <x:f>IF($A87="","",SUMIFS('QuotationItems'!$I$2:$I$500,'QuotationItems'!$B$2:$B$500,$A87))</x:f>
      </x:c>
      <x:c r="H87" s="25"/>
      <x:c r="I87" s="96" t="str">
        <x:f>IF($A87="","",$G87-$H87)</x:f>
      </x:c>
      <x:c r="J87" s="19"/>
      <x:c r="K87" s="19"/>
      <x:c r="L87" s="19"/>
      <x:c r="M87" s="26"/>
    </x:row>
    <x:row r="88">
      <x:c r="A88" s="19"/>
      <x:c r="B88" s="19"/>
      <x:c r="C88" s="19"/>
      <x:c r="D88" s="19"/>
      <x:c r="E88" s="26"/>
      <x:c r="F88" s="24"/>
      <x:c r="G88" s="96" t="str">
        <x:f>IF($A88="","",SUMIFS('QuotationItems'!$I$2:$I$500,'QuotationItems'!$B$2:$B$500,$A88))</x:f>
      </x:c>
      <x:c r="H88" s="25"/>
      <x:c r="I88" s="96" t="str">
        <x:f>IF($A88="","",$G88-$H88)</x:f>
      </x:c>
      <x:c r="J88" s="19"/>
      <x:c r="K88" s="19"/>
      <x:c r="L88" s="19"/>
      <x:c r="M88" s="26"/>
    </x:row>
    <x:row r="89">
      <x:c r="A89" s="19"/>
      <x:c r="B89" s="19"/>
      <x:c r="C89" s="19"/>
      <x:c r="D89" s="19"/>
      <x:c r="E89" s="26"/>
      <x:c r="F89" s="24"/>
      <x:c r="G89" s="96" t="str">
        <x:f>IF($A89="","",SUMIFS('QuotationItems'!$I$2:$I$500,'QuotationItems'!$B$2:$B$500,$A89))</x:f>
      </x:c>
      <x:c r="H89" s="25"/>
      <x:c r="I89" s="96" t="str">
        <x:f>IF($A89="","",$G89-$H89)</x:f>
      </x:c>
      <x:c r="J89" s="19"/>
      <x:c r="K89" s="19"/>
      <x:c r="L89" s="19"/>
      <x:c r="M89" s="26"/>
    </x:row>
    <x:row r="90">
      <x:c r="A90" s="19"/>
      <x:c r="B90" s="19"/>
      <x:c r="C90" s="19"/>
      <x:c r="D90" s="19"/>
      <x:c r="E90" s="26"/>
      <x:c r="F90" s="24"/>
      <x:c r="G90" s="96" t="str">
        <x:f>IF($A90="","",SUMIFS('QuotationItems'!$I$2:$I$500,'QuotationItems'!$B$2:$B$500,$A90))</x:f>
      </x:c>
      <x:c r="H90" s="25"/>
      <x:c r="I90" s="96" t="str">
        <x:f>IF($A90="","",$G90-$H90)</x:f>
      </x:c>
      <x:c r="J90" s="19"/>
      <x:c r="K90" s="19"/>
      <x:c r="L90" s="19"/>
      <x:c r="M90" s="26"/>
    </x:row>
    <x:row r="91">
      <x:c r="A91" s="19"/>
      <x:c r="B91" s="19"/>
      <x:c r="C91" s="19"/>
      <x:c r="D91" s="19"/>
      <x:c r="E91" s="26"/>
      <x:c r="F91" s="24"/>
      <x:c r="G91" s="96" t="str">
        <x:f>IF($A91="","",SUMIFS('QuotationItems'!$I$2:$I$500,'QuotationItems'!$B$2:$B$500,$A91))</x:f>
      </x:c>
      <x:c r="H91" s="25"/>
      <x:c r="I91" s="96" t="str">
        <x:f>IF($A91="","",$G91-$H91)</x:f>
      </x:c>
      <x:c r="J91" s="19"/>
      <x:c r="K91" s="19"/>
      <x:c r="L91" s="19"/>
      <x:c r="M91" s="26"/>
    </x:row>
    <x:row r="92">
      <x:c r="A92" s="19"/>
      <x:c r="B92" s="19"/>
      <x:c r="C92" s="19"/>
      <x:c r="D92" s="19"/>
      <x:c r="E92" s="26"/>
      <x:c r="F92" s="24"/>
      <x:c r="G92" s="96" t="str">
        <x:f>IF($A92="","",SUMIFS('QuotationItems'!$I$2:$I$500,'QuotationItems'!$B$2:$B$500,$A92))</x:f>
      </x:c>
      <x:c r="H92" s="25"/>
      <x:c r="I92" s="96" t="str">
        <x:f>IF($A92="","",$G92-$H92)</x:f>
      </x:c>
      <x:c r="J92" s="19"/>
      <x:c r="K92" s="19"/>
      <x:c r="L92" s="19"/>
      <x:c r="M92" s="26"/>
    </x:row>
    <x:row r="93">
      <x:c r="A93" s="19"/>
      <x:c r="B93" s="19"/>
      <x:c r="C93" s="19"/>
      <x:c r="D93" s="19"/>
      <x:c r="E93" s="26"/>
      <x:c r="F93" s="24"/>
      <x:c r="G93" s="96" t="str">
        <x:f>IF($A93="","",SUMIFS('QuotationItems'!$I$2:$I$500,'QuotationItems'!$B$2:$B$500,$A93))</x:f>
      </x:c>
      <x:c r="H93" s="25"/>
      <x:c r="I93" s="96" t="str">
        <x:f>IF($A93="","",$G93-$H93)</x:f>
      </x:c>
      <x:c r="J93" s="19"/>
      <x:c r="K93" s="19"/>
      <x:c r="L93" s="19"/>
      <x:c r="M93" s="26"/>
    </x:row>
    <x:row r="94">
      <x:c r="A94" s="19"/>
      <x:c r="B94" s="19"/>
      <x:c r="C94" s="19"/>
      <x:c r="D94" s="19"/>
      <x:c r="E94" s="26"/>
      <x:c r="F94" s="24"/>
      <x:c r="G94" s="96" t="str">
        <x:f>IF($A94="","",SUMIFS('QuotationItems'!$I$2:$I$500,'QuotationItems'!$B$2:$B$500,$A94))</x:f>
      </x:c>
      <x:c r="H94" s="25"/>
      <x:c r="I94" s="96" t="str">
        <x:f>IF($A94="","",$G94-$H94)</x:f>
      </x:c>
      <x:c r="J94" s="19"/>
      <x:c r="K94" s="19"/>
      <x:c r="L94" s="19"/>
      <x:c r="M94" s="26"/>
    </x:row>
    <x:row r="95">
      <x:c r="A95" s="19"/>
      <x:c r="B95" s="19"/>
      <x:c r="C95" s="19"/>
      <x:c r="D95" s="19"/>
      <x:c r="E95" s="26"/>
      <x:c r="F95" s="24"/>
      <x:c r="G95" s="96" t="str">
        <x:f>IF($A95="","",SUMIFS('QuotationItems'!$I$2:$I$500,'QuotationItems'!$B$2:$B$500,$A95))</x:f>
      </x:c>
      <x:c r="H95" s="25"/>
      <x:c r="I95" s="96" t="str">
        <x:f>IF($A95="","",$G95-$H95)</x:f>
      </x:c>
      <x:c r="J95" s="19"/>
      <x:c r="K95" s="19"/>
      <x:c r="L95" s="19"/>
      <x:c r="M95" s="26"/>
    </x:row>
    <x:row r="96">
      <x:c r="A96" s="19"/>
      <x:c r="B96" s="19"/>
      <x:c r="C96" s="19"/>
      <x:c r="D96" s="19"/>
      <x:c r="E96" s="26"/>
      <x:c r="F96" s="24"/>
      <x:c r="G96" s="96" t="str">
        <x:f>IF($A96="","",SUMIFS('QuotationItems'!$I$2:$I$500,'QuotationItems'!$B$2:$B$500,$A96))</x:f>
      </x:c>
      <x:c r="H96" s="25"/>
      <x:c r="I96" s="96" t="str">
        <x:f>IF($A96="","",$G96-$H96)</x:f>
      </x:c>
      <x:c r="J96" s="19"/>
      <x:c r="K96" s="19"/>
      <x:c r="L96" s="19"/>
      <x:c r="M96" s="26"/>
    </x:row>
    <x:row r="97">
      <x:c r="A97" s="19"/>
      <x:c r="B97" s="19"/>
      <x:c r="C97" s="19"/>
      <x:c r="D97" s="19"/>
      <x:c r="E97" s="26"/>
      <x:c r="F97" s="24"/>
      <x:c r="G97" s="96" t="str">
        <x:f>IF($A97="","",SUMIFS('QuotationItems'!$I$2:$I$500,'QuotationItems'!$B$2:$B$500,$A97))</x:f>
      </x:c>
      <x:c r="H97" s="25"/>
      <x:c r="I97" s="96" t="str">
        <x:f>IF($A97="","",$G97-$H97)</x:f>
      </x:c>
      <x:c r="J97" s="19"/>
      <x:c r="K97" s="19"/>
      <x:c r="L97" s="19"/>
      <x:c r="M97" s="26"/>
    </x:row>
    <x:row r="98">
      <x:c r="A98" s="19"/>
      <x:c r="B98" s="19"/>
      <x:c r="C98" s="19"/>
      <x:c r="D98" s="19"/>
      <x:c r="E98" s="26"/>
      <x:c r="F98" s="24"/>
      <x:c r="G98" s="96" t="str">
        <x:f>IF($A98="","",SUMIFS('QuotationItems'!$I$2:$I$500,'QuotationItems'!$B$2:$B$500,$A98))</x:f>
      </x:c>
      <x:c r="H98" s="25"/>
      <x:c r="I98" s="96" t="str">
        <x:f>IF($A98="","",$G98-$H98)</x:f>
      </x:c>
      <x:c r="J98" s="19"/>
      <x:c r="K98" s="19"/>
      <x:c r="L98" s="19"/>
      <x:c r="M98" s="26"/>
    </x:row>
    <x:row r="99">
      <x:c r="A99" s="19"/>
      <x:c r="B99" s="19"/>
      <x:c r="C99" s="19"/>
      <x:c r="D99" s="19"/>
      <x:c r="E99" s="26"/>
      <x:c r="F99" s="24"/>
      <x:c r="G99" s="96" t="str">
        <x:f>IF($A99="","",SUMIFS('QuotationItems'!$I$2:$I$500,'QuotationItems'!$B$2:$B$500,$A99))</x:f>
      </x:c>
      <x:c r="H99" s="25"/>
      <x:c r="I99" s="96" t="str">
        <x:f>IF($A99="","",$G99-$H99)</x:f>
      </x:c>
      <x:c r="J99" s="19"/>
      <x:c r="K99" s="19"/>
      <x:c r="L99" s="19"/>
      <x:c r="M99" s="26"/>
    </x:row>
    <x:row r="100">
      <x:c r="A100" s="19"/>
      <x:c r="B100" s="19"/>
      <x:c r="C100" s="19"/>
      <x:c r="D100" s="19"/>
      <x:c r="E100" s="26"/>
      <x:c r="F100" s="24"/>
      <x:c r="G100" s="96" t="str">
        <x:f>IF($A100="","",SUMIFS('QuotationItems'!$I$2:$I$500,'QuotationItems'!$B$2:$B$500,$A100))</x:f>
      </x:c>
      <x:c r="H100" s="25"/>
      <x:c r="I100" s="96" t="str">
        <x:f>IF($A100="","",$G100-$H100)</x:f>
      </x:c>
      <x:c r="J100" s="19"/>
      <x:c r="K100" s="19"/>
      <x:c r="L100" s="19"/>
      <x:c r="M100" s="26"/>
    </x:row>
    <x:row r="101">
      <x:c r="A101" s="19"/>
      <x:c r="B101" s="19"/>
      <x:c r="C101" s="19"/>
      <x:c r="D101" s="19"/>
      <x:c r="E101" s="26"/>
      <x:c r="F101" s="24"/>
      <x:c r="G101" s="96" t="str">
        <x:f>IF($A101="","",SUMIFS('QuotationItems'!$I$2:$I$500,'QuotationItems'!$B$2:$B$500,$A101))</x:f>
      </x:c>
      <x:c r="H101" s="25"/>
      <x:c r="I101" s="96" t="str">
        <x:f>IF($A101="","",$G101-$H101)</x:f>
      </x:c>
      <x:c r="J101" s="19"/>
      <x:c r="K101" s="19"/>
      <x:c r="L101" s="19"/>
      <x:c r="M101" s="26"/>
    </x:row>
    <x:row r="102">
      <x:c r="A102" s="19"/>
      <x:c r="B102" s="19"/>
      <x:c r="C102" s="19"/>
      <x:c r="D102" s="19"/>
      <x:c r="E102" s="26"/>
      <x:c r="F102" s="24"/>
      <x:c r="G102" s="96" t="str">
        <x:f>IF($A102="","",SUMIFS('QuotationItems'!$I$2:$I$500,'QuotationItems'!$B$2:$B$500,$A102))</x:f>
      </x:c>
      <x:c r="H102" s="25"/>
      <x:c r="I102" s="96" t="str">
        <x:f>IF($A102="","",$G102-$H102)</x:f>
      </x:c>
      <x:c r="J102" s="19"/>
      <x:c r="K102" s="19"/>
      <x:c r="L102" s="19"/>
      <x:c r="M102" s="26"/>
    </x:row>
    <x:row r="103">
      <x:c r="A103" s="19"/>
      <x:c r="B103" s="19"/>
      <x:c r="C103" s="19"/>
      <x:c r="D103" s="19"/>
      <x:c r="E103" s="26"/>
      <x:c r="F103" s="24"/>
      <x:c r="G103" s="96" t="str">
        <x:f>IF($A103="","",SUMIFS('QuotationItems'!$I$2:$I$500,'QuotationItems'!$B$2:$B$500,$A103))</x:f>
      </x:c>
      <x:c r="H103" s="25"/>
      <x:c r="I103" s="96" t="str">
        <x:f>IF($A103="","",$G103-$H103)</x:f>
      </x:c>
      <x:c r="J103" s="19"/>
      <x:c r="K103" s="19"/>
      <x:c r="L103" s="19"/>
      <x:c r="M103" s="26"/>
    </x:row>
    <x:row r="104">
      <x:c r="A104" s="19"/>
      <x:c r="B104" s="19"/>
      <x:c r="C104" s="19"/>
      <x:c r="D104" s="19"/>
      <x:c r="E104" s="26"/>
      <x:c r="F104" s="24"/>
      <x:c r="G104" s="96" t="str">
        <x:f>IF($A104="","",SUMIFS('QuotationItems'!$I$2:$I$500,'QuotationItems'!$B$2:$B$500,$A104))</x:f>
      </x:c>
      <x:c r="H104" s="25"/>
      <x:c r="I104" s="96" t="str">
        <x:f>IF($A104="","",$G104-$H104)</x:f>
      </x:c>
      <x:c r="J104" s="19"/>
      <x:c r="K104" s="19"/>
      <x:c r="L104" s="19"/>
      <x:c r="M104" s="26"/>
    </x:row>
    <x:row r="105">
      <x:c r="A105" s="19"/>
      <x:c r="B105" s="19"/>
      <x:c r="C105" s="19"/>
      <x:c r="D105" s="19"/>
      <x:c r="E105" s="26"/>
      <x:c r="F105" s="24"/>
      <x:c r="G105" s="96" t="str">
        <x:f>IF($A105="","",SUMIFS('QuotationItems'!$I$2:$I$500,'QuotationItems'!$B$2:$B$500,$A105))</x:f>
      </x:c>
      <x:c r="H105" s="25"/>
      <x:c r="I105" s="96" t="str">
        <x:f>IF($A105="","",$G105-$H105)</x:f>
      </x:c>
      <x:c r="J105" s="19"/>
      <x:c r="K105" s="19"/>
      <x:c r="L105" s="19"/>
      <x:c r="M105" s="26"/>
    </x:row>
    <x:row r="106">
      <x:c r="A106" s="19"/>
      <x:c r="B106" s="19"/>
      <x:c r="C106" s="19"/>
      <x:c r="D106" s="19"/>
      <x:c r="E106" s="26"/>
      <x:c r="F106" s="24"/>
      <x:c r="G106" s="96" t="str">
        <x:f>IF($A106="","",SUMIFS('QuotationItems'!$I$2:$I$500,'QuotationItems'!$B$2:$B$500,$A106))</x:f>
      </x:c>
      <x:c r="H106" s="25"/>
      <x:c r="I106" s="96" t="str">
        <x:f>IF($A106="","",$G106-$H106)</x:f>
      </x:c>
      <x:c r="J106" s="19"/>
      <x:c r="K106" s="19"/>
      <x:c r="L106" s="19"/>
      <x:c r="M106" s="26"/>
    </x:row>
    <x:row r="107">
      <x:c r="A107" s="19"/>
      <x:c r="B107" s="19"/>
      <x:c r="C107" s="19"/>
      <x:c r="D107" s="19"/>
      <x:c r="E107" s="26"/>
      <x:c r="F107" s="24"/>
      <x:c r="G107" s="96" t="str">
        <x:f>IF($A107="","",SUMIFS('QuotationItems'!$I$2:$I$500,'QuotationItems'!$B$2:$B$500,$A107))</x:f>
      </x:c>
      <x:c r="H107" s="25"/>
      <x:c r="I107" s="96" t="str">
        <x:f>IF($A107="","",$G107-$H107)</x:f>
      </x:c>
      <x:c r="J107" s="19"/>
      <x:c r="K107" s="19"/>
      <x:c r="L107" s="19"/>
      <x:c r="M107" s="26"/>
    </x:row>
    <x:row r="108">
      <x:c r="A108" s="19"/>
      <x:c r="B108" s="19"/>
      <x:c r="C108" s="19"/>
      <x:c r="D108" s="19"/>
      <x:c r="E108" s="26"/>
      <x:c r="F108" s="24"/>
      <x:c r="G108" s="96" t="str">
        <x:f>IF($A108="","",SUMIFS('QuotationItems'!$I$2:$I$500,'QuotationItems'!$B$2:$B$500,$A108))</x:f>
      </x:c>
      <x:c r="H108" s="25"/>
      <x:c r="I108" s="96" t="str">
        <x:f>IF($A108="","",$G108-$H108)</x:f>
      </x:c>
      <x:c r="J108" s="19"/>
      <x:c r="K108" s="19"/>
      <x:c r="L108" s="19"/>
      <x:c r="M108" s="26"/>
    </x:row>
    <x:row r="109">
      <x:c r="A109" s="19"/>
      <x:c r="B109" s="19"/>
      <x:c r="C109" s="19"/>
      <x:c r="D109" s="19"/>
      <x:c r="E109" s="26"/>
      <x:c r="F109" s="24"/>
      <x:c r="G109" s="96" t="str">
        <x:f>IF($A109="","",SUMIFS('QuotationItems'!$I$2:$I$500,'QuotationItems'!$B$2:$B$500,$A109))</x:f>
      </x:c>
      <x:c r="H109" s="25"/>
      <x:c r="I109" s="96" t="str">
        <x:f>IF($A109="","",$G109-$H109)</x:f>
      </x:c>
      <x:c r="J109" s="19"/>
      <x:c r="K109" s="19"/>
      <x:c r="L109" s="19"/>
      <x:c r="M109" s="26"/>
    </x:row>
    <x:row r="110">
      <x:c r="A110" s="19"/>
      <x:c r="B110" s="19"/>
      <x:c r="C110" s="19"/>
      <x:c r="D110" s="19"/>
      <x:c r="E110" s="26"/>
      <x:c r="F110" s="24"/>
      <x:c r="G110" s="96" t="str">
        <x:f>IF($A110="","",SUMIFS('QuotationItems'!$I$2:$I$500,'QuotationItems'!$B$2:$B$500,$A110))</x:f>
      </x:c>
      <x:c r="H110" s="25"/>
      <x:c r="I110" s="96" t="str">
        <x:f>IF($A110="","",$G110-$H110)</x:f>
      </x:c>
      <x:c r="J110" s="19"/>
      <x:c r="K110" s="19"/>
      <x:c r="L110" s="19"/>
      <x:c r="M110" s="26"/>
    </x:row>
    <x:row r="111">
      <x:c r="A111" s="19"/>
      <x:c r="B111" s="19"/>
      <x:c r="C111" s="19"/>
      <x:c r="D111" s="19"/>
      <x:c r="E111" s="26"/>
      <x:c r="F111" s="24"/>
      <x:c r="G111" s="96" t="str">
        <x:f>IF($A111="","",SUMIFS('QuotationItems'!$I$2:$I$500,'QuotationItems'!$B$2:$B$500,$A111))</x:f>
      </x:c>
      <x:c r="H111" s="25"/>
      <x:c r="I111" s="96" t="str">
        <x:f>IF($A111="","",$G111-$H111)</x:f>
      </x:c>
      <x:c r="J111" s="19"/>
      <x:c r="K111" s="19"/>
      <x:c r="L111" s="19"/>
      <x:c r="M111" s="26"/>
    </x:row>
    <x:row r="112">
      <x:c r="A112" s="19"/>
      <x:c r="B112" s="19"/>
      <x:c r="C112" s="19"/>
      <x:c r="D112" s="19"/>
      <x:c r="E112" s="26"/>
      <x:c r="F112" s="24"/>
      <x:c r="G112" s="96" t="str">
        <x:f>IF($A112="","",SUMIFS('QuotationItems'!$I$2:$I$500,'QuotationItems'!$B$2:$B$500,$A112))</x:f>
      </x:c>
      <x:c r="H112" s="25"/>
      <x:c r="I112" s="96" t="str">
        <x:f>IF($A112="","",$G112-$H112)</x:f>
      </x:c>
      <x:c r="J112" s="19"/>
      <x:c r="K112" s="19"/>
      <x:c r="L112" s="19"/>
      <x:c r="M112" s="26"/>
    </x:row>
    <x:row r="113">
      <x:c r="A113" s="19"/>
      <x:c r="B113" s="19"/>
      <x:c r="C113" s="19"/>
      <x:c r="D113" s="19"/>
      <x:c r="E113" s="26"/>
      <x:c r="F113" s="24"/>
      <x:c r="G113" s="96" t="str">
        <x:f>IF($A113="","",SUMIFS('QuotationItems'!$I$2:$I$500,'QuotationItems'!$B$2:$B$500,$A113))</x:f>
      </x:c>
      <x:c r="H113" s="25"/>
      <x:c r="I113" s="96" t="str">
        <x:f>IF($A113="","",$G113-$H113)</x:f>
      </x:c>
      <x:c r="J113" s="19"/>
      <x:c r="K113" s="19"/>
      <x:c r="L113" s="19"/>
      <x:c r="M113" s="26"/>
    </x:row>
    <x:row r="114">
      <x:c r="A114" s="19"/>
      <x:c r="B114" s="19"/>
      <x:c r="C114" s="19"/>
      <x:c r="D114" s="19"/>
      <x:c r="E114" s="26"/>
      <x:c r="F114" s="24"/>
      <x:c r="G114" s="96" t="str">
        <x:f>IF($A114="","",SUMIFS('QuotationItems'!$I$2:$I$500,'QuotationItems'!$B$2:$B$500,$A114))</x:f>
      </x:c>
      <x:c r="H114" s="25"/>
      <x:c r="I114" s="96" t="str">
        <x:f>IF($A114="","",$G114-$H114)</x:f>
      </x:c>
      <x:c r="J114" s="19"/>
      <x:c r="K114" s="19"/>
      <x:c r="L114" s="19"/>
      <x:c r="M114" s="26"/>
    </x:row>
    <x:row r="115">
      <x:c r="A115" s="19"/>
      <x:c r="B115" s="19"/>
      <x:c r="C115" s="19"/>
      <x:c r="D115" s="19"/>
      <x:c r="E115" s="26"/>
      <x:c r="F115" s="24"/>
      <x:c r="G115" s="96" t="str">
        <x:f>IF($A115="","",SUMIFS('QuotationItems'!$I$2:$I$500,'QuotationItems'!$B$2:$B$500,$A115))</x:f>
      </x:c>
      <x:c r="H115" s="25"/>
      <x:c r="I115" s="96" t="str">
        <x:f>IF($A115="","",$G115-$H115)</x:f>
      </x:c>
      <x:c r="J115" s="19"/>
      <x:c r="K115" s="19"/>
      <x:c r="L115" s="19"/>
      <x:c r="M115" s="26"/>
    </x:row>
    <x:row r="116">
      <x:c r="A116" s="19"/>
      <x:c r="B116" s="19"/>
      <x:c r="C116" s="19"/>
      <x:c r="D116" s="19"/>
      <x:c r="E116" s="26"/>
      <x:c r="F116" s="24"/>
      <x:c r="G116" s="96" t="str">
        <x:f>IF($A116="","",SUMIFS('QuotationItems'!$I$2:$I$500,'QuotationItems'!$B$2:$B$500,$A116))</x:f>
      </x:c>
      <x:c r="H116" s="25"/>
      <x:c r="I116" s="96" t="str">
        <x:f>IF($A116="","",$G116-$H116)</x:f>
      </x:c>
      <x:c r="J116" s="19"/>
      <x:c r="K116" s="19"/>
      <x:c r="L116" s="19"/>
      <x:c r="M116" s="26"/>
    </x:row>
    <x:row r="117">
      <x:c r="A117" s="19"/>
      <x:c r="B117" s="19"/>
      <x:c r="C117" s="19"/>
      <x:c r="D117" s="19"/>
      <x:c r="E117" s="26"/>
      <x:c r="F117" s="24"/>
      <x:c r="G117" s="96" t="str">
        <x:f>IF($A117="","",SUMIFS('QuotationItems'!$I$2:$I$500,'QuotationItems'!$B$2:$B$500,$A117))</x:f>
      </x:c>
      <x:c r="H117" s="25"/>
      <x:c r="I117" s="96" t="str">
        <x:f>IF($A117="","",$G117-$H117)</x:f>
      </x:c>
      <x:c r="J117" s="19"/>
      <x:c r="K117" s="19"/>
      <x:c r="L117" s="19"/>
      <x:c r="M117" s="26"/>
    </x:row>
    <x:row r="118">
      <x:c r="A118" s="19"/>
      <x:c r="B118" s="19"/>
      <x:c r="C118" s="19"/>
      <x:c r="D118" s="19"/>
      <x:c r="E118" s="26"/>
      <x:c r="F118" s="24"/>
      <x:c r="G118" s="96" t="str">
        <x:f>IF($A118="","",SUMIFS('QuotationItems'!$I$2:$I$500,'QuotationItems'!$B$2:$B$500,$A118))</x:f>
      </x:c>
      <x:c r="H118" s="25"/>
      <x:c r="I118" s="96" t="str">
        <x:f>IF($A118="","",$G118-$H118)</x:f>
      </x:c>
      <x:c r="J118" s="19"/>
      <x:c r="K118" s="19"/>
      <x:c r="L118" s="19"/>
      <x:c r="M118" s="26"/>
    </x:row>
    <x:row r="119">
      <x:c r="A119" s="19"/>
      <x:c r="B119" s="19"/>
      <x:c r="C119" s="19"/>
      <x:c r="D119" s="19"/>
      <x:c r="E119" s="26"/>
      <x:c r="F119" s="24"/>
      <x:c r="G119" s="96" t="str">
        <x:f>IF($A119="","",SUMIFS('QuotationItems'!$I$2:$I$500,'QuotationItems'!$B$2:$B$500,$A119))</x:f>
      </x:c>
      <x:c r="H119" s="25"/>
      <x:c r="I119" s="96" t="str">
        <x:f>IF($A119="","",$G119-$H119)</x:f>
      </x:c>
      <x:c r="J119" s="19"/>
      <x:c r="K119" s="19"/>
      <x:c r="L119" s="19"/>
      <x:c r="M119" s="26"/>
    </x:row>
    <x:row r="120">
      <x:c r="A120" s="19"/>
      <x:c r="B120" s="19"/>
      <x:c r="C120" s="19"/>
      <x:c r="D120" s="19"/>
      <x:c r="E120" s="26"/>
      <x:c r="F120" s="24"/>
      <x:c r="G120" s="96" t="str">
        <x:f>IF($A120="","",SUMIFS('QuotationItems'!$I$2:$I$500,'QuotationItems'!$B$2:$B$500,$A120))</x:f>
      </x:c>
      <x:c r="H120" s="25"/>
      <x:c r="I120" s="96" t="str">
        <x:f>IF($A120="","",$G120-$H120)</x:f>
      </x:c>
      <x:c r="J120" s="19"/>
      <x:c r="K120" s="19"/>
      <x:c r="L120" s="19"/>
      <x:c r="M120" s="26"/>
    </x:row>
    <x:row r="121">
      <x:c r="A121" s="19"/>
      <x:c r="B121" s="19"/>
      <x:c r="C121" s="19"/>
      <x:c r="D121" s="19"/>
      <x:c r="E121" s="26"/>
      <x:c r="F121" s="24"/>
      <x:c r="G121" s="96" t="str">
        <x:f>IF($A121="","",SUMIFS('QuotationItems'!$I$2:$I$500,'QuotationItems'!$B$2:$B$500,$A121))</x:f>
      </x:c>
      <x:c r="H121" s="25"/>
      <x:c r="I121" s="96" t="str">
        <x:f>IF($A121="","",$G121-$H121)</x:f>
      </x:c>
      <x:c r="J121" s="19"/>
      <x:c r="K121" s="19"/>
      <x:c r="L121" s="19"/>
      <x:c r="M121" s="26"/>
    </x:row>
    <x:row r="122">
      <x:c r="A122" s="19"/>
      <x:c r="B122" s="19"/>
      <x:c r="C122" s="19"/>
      <x:c r="D122" s="19"/>
      <x:c r="E122" s="26"/>
      <x:c r="F122" s="24"/>
      <x:c r="G122" s="96" t="str">
        <x:f>IF($A122="","",SUMIFS('QuotationItems'!$I$2:$I$500,'QuotationItems'!$B$2:$B$500,$A122))</x:f>
      </x:c>
      <x:c r="H122" s="25"/>
      <x:c r="I122" s="96" t="str">
        <x:f>IF($A122="","",$G122-$H122)</x:f>
      </x:c>
      <x:c r="J122" s="19"/>
      <x:c r="K122" s="19"/>
      <x:c r="L122" s="19"/>
      <x:c r="M122" s="26"/>
    </x:row>
    <x:row r="123">
      <x:c r="A123" s="19"/>
      <x:c r="B123" s="19"/>
      <x:c r="C123" s="19"/>
      <x:c r="D123" s="19"/>
      <x:c r="E123" s="26"/>
      <x:c r="F123" s="24"/>
      <x:c r="G123" s="96" t="str">
        <x:f>IF($A123="","",SUMIFS('QuotationItems'!$I$2:$I$500,'QuotationItems'!$B$2:$B$500,$A123))</x:f>
      </x:c>
      <x:c r="H123" s="25"/>
      <x:c r="I123" s="96" t="str">
        <x:f>IF($A123="","",$G123-$H123)</x:f>
      </x:c>
      <x:c r="J123" s="19"/>
      <x:c r="K123" s="19"/>
      <x:c r="L123" s="19"/>
      <x:c r="M123" s="26"/>
    </x:row>
    <x:row r="124">
      <x:c r="A124" s="19"/>
      <x:c r="B124" s="19"/>
      <x:c r="C124" s="19"/>
      <x:c r="D124" s="19"/>
      <x:c r="E124" s="26"/>
      <x:c r="F124" s="24"/>
      <x:c r="G124" s="96" t="str">
        <x:f>IF($A124="","",SUMIFS('QuotationItems'!$I$2:$I$500,'QuotationItems'!$B$2:$B$500,$A124))</x:f>
      </x:c>
      <x:c r="H124" s="25"/>
      <x:c r="I124" s="96" t="str">
        <x:f>IF($A124="","",$G124-$H124)</x:f>
      </x:c>
      <x:c r="J124" s="19"/>
      <x:c r="K124" s="19"/>
      <x:c r="L124" s="19"/>
      <x:c r="M124" s="26"/>
    </x:row>
    <x:row r="125">
      <x:c r="A125" s="19"/>
      <x:c r="B125" s="19"/>
      <x:c r="C125" s="19"/>
      <x:c r="D125" s="19"/>
      <x:c r="E125" s="26"/>
      <x:c r="F125" s="24"/>
      <x:c r="G125" s="96" t="str">
        <x:f>IF($A125="","",SUMIFS('QuotationItems'!$I$2:$I$500,'QuotationItems'!$B$2:$B$500,$A125))</x:f>
      </x:c>
      <x:c r="H125" s="25"/>
      <x:c r="I125" s="96" t="str">
        <x:f>IF($A125="","",$G125-$H125)</x:f>
      </x:c>
      <x:c r="J125" s="19"/>
      <x:c r="K125" s="19"/>
      <x:c r="L125" s="19"/>
      <x:c r="M125" s="26"/>
    </x:row>
    <x:row r="126">
      <x:c r="A126" s="19"/>
      <x:c r="B126" s="19"/>
      <x:c r="C126" s="19"/>
      <x:c r="D126" s="19"/>
      <x:c r="E126" s="26"/>
      <x:c r="F126" s="24"/>
      <x:c r="G126" s="96" t="str">
        <x:f>IF($A126="","",SUMIFS('QuotationItems'!$I$2:$I$500,'QuotationItems'!$B$2:$B$500,$A126))</x:f>
      </x:c>
      <x:c r="H126" s="25"/>
      <x:c r="I126" s="96" t="str">
        <x:f>IF($A126="","",$G126-$H126)</x:f>
      </x:c>
      <x:c r="J126" s="19"/>
      <x:c r="K126" s="19"/>
      <x:c r="L126" s="19"/>
      <x:c r="M126" s="26"/>
    </x:row>
    <x:row r="127">
      <x:c r="A127" s="19"/>
      <x:c r="B127" s="19"/>
      <x:c r="C127" s="19"/>
      <x:c r="D127" s="19"/>
      <x:c r="E127" s="26"/>
      <x:c r="F127" s="24"/>
      <x:c r="G127" s="96" t="str">
        <x:f>IF($A127="","",SUMIFS('QuotationItems'!$I$2:$I$500,'QuotationItems'!$B$2:$B$500,$A127))</x:f>
      </x:c>
      <x:c r="H127" s="25"/>
      <x:c r="I127" s="96" t="str">
        <x:f>IF($A127="","",$G127-$H127)</x:f>
      </x:c>
      <x:c r="J127" s="19"/>
      <x:c r="K127" s="19"/>
      <x:c r="L127" s="19"/>
      <x:c r="M127" s="26"/>
    </x:row>
    <x:row r="128">
      <x:c r="A128" s="19"/>
      <x:c r="B128" s="19"/>
      <x:c r="C128" s="19"/>
      <x:c r="D128" s="19"/>
      <x:c r="E128" s="26"/>
      <x:c r="F128" s="24"/>
      <x:c r="G128" s="96" t="str">
        <x:f>IF($A128="","",SUMIFS('QuotationItems'!$I$2:$I$500,'QuotationItems'!$B$2:$B$500,$A128))</x:f>
      </x:c>
      <x:c r="H128" s="25"/>
      <x:c r="I128" s="96" t="str">
        <x:f>IF($A128="","",$G128-$H128)</x:f>
      </x:c>
      <x:c r="J128" s="19"/>
      <x:c r="K128" s="19"/>
      <x:c r="L128" s="19"/>
      <x:c r="M128" s="26"/>
    </x:row>
    <x:row r="129">
      <x:c r="A129" s="19"/>
      <x:c r="B129" s="19"/>
      <x:c r="C129" s="19"/>
      <x:c r="D129" s="19"/>
      <x:c r="E129" s="26"/>
      <x:c r="F129" s="24"/>
      <x:c r="G129" s="96" t="str">
        <x:f>IF($A129="","",SUMIFS('QuotationItems'!$I$2:$I$500,'QuotationItems'!$B$2:$B$500,$A129))</x:f>
      </x:c>
      <x:c r="H129" s="25"/>
      <x:c r="I129" s="96" t="str">
        <x:f>IF($A129="","",$G129-$H129)</x:f>
      </x:c>
      <x:c r="J129" s="19"/>
      <x:c r="K129" s="19"/>
      <x:c r="L129" s="19"/>
      <x:c r="M129" s="26"/>
    </x:row>
    <x:row r="130">
      <x:c r="A130" s="19"/>
      <x:c r="B130" s="19"/>
      <x:c r="C130" s="19"/>
      <x:c r="D130" s="19"/>
      <x:c r="E130" s="26"/>
      <x:c r="F130" s="24"/>
      <x:c r="G130" s="96" t="str">
        <x:f>IF($A130="","",SUMIFS('QuotationItems'!$I$2:$I$500,'QuotationItems'!$B$2:$B$500,$A130))</x:f>
      </x:c>
      <x:c r="H130" s="25"/>
      <x:c r="I130" s="96" t="str">
        <x:f>IF($A130="","",$G130-$H130)</x:f>
      </x:c>
      <x:c r="J130" s="19"/>
      <x:c r="K130" s="19"/>
      <x:c r="L130" s="19"/>
      <x:c r="M130" s="26"/>
    </x:row>
    <x:row r="131">
      <x:c r="A131" s="19"/>
      <x:c r="B131" s="19"/>
      <x:c r="C131" s="19"/>
      <x:c r="D131" s="19"/>
      <x:c r="E131" s="26"/>
      <x:c r="F131" s="24"/>
      <x:c r="G131" s="96" t="str">
        <x:f>IF($A131="","",SUMIFS('QuotationItems'!$I$2:$I$500,'QuotationItems'!$B$2:$B$500,$A131))</x:f>
      </x:c>
      <x:c r="H131" s="25"/>
      <x:c r="I131" s="96" t="str">
        <x:f>IF($A131="","",$G131-$H131)</x:f>
      </x:c>
      <x:c r="J131" s="19"/>
      <x:c r="K131" s="19"/>
      <x:c r="L131" s="19"/>
      <x:c r="M131" s="26"/>
    </x:row>
    <x:row r="132">
      <x:c r="A132" s="19"/>
      <x:c r="B132" s="19"/>
      <x:c r="C132" s="19"/>
      <x:c r="D132" s="19"/>
      <x:c r="E132" s="26"/>
      <x:c r="F132" s="24"/>
      <x:c r="G132" s="96" t="str">
        <x:f>IF($A132="","",SUMIFS('QuotationItems'!$I$2:$I$500,'QuotationItems'!$B$2:$B$500,$A132))</x:f>
      </x:c>
      <x:c r="H132" s="25"/>
      <x:c r="I132" s="96" t="str">
        <x:f>IF($A132="","",$G132-$H132)</x:f>
      </x:c>
      <x:c r="J132" s="19"/>
      <x:c r="K132" s="19"/>
      <x:c r="L132" s="19"/>
      <x:c r="M132" s="26"/>
    </x:row>
    <x:row r="133">
      <x:c r="A133" s="19"/>
      <x:c r="B133" s="19"/>
      <x:c r="C133" s="19"/>
      <x:c r="D133" s="19"/>
      <x:c r="E133" s="26"/>
      <x:c r="F133" s="24"/>
      <x:c r="G133" s="96" t="str">
        <x:f>IF($A133="","",SUMIFS('QuotationItems'!$I$2:$I$500,'QuotationItems'!$B$2:$B$500,$A133))</x:f>
      </x:c>
      <x:c r="H133" s="25"/>
      <x:c r="I133" s="96" t="str">
        <x:f>IF($A133="","",$G133-$H133)</x:f>
      </x:c>
      <x:c r="J133" s="19"/>
      <x:c r="K133" s="19"/>
      <x:c r="L133" s="19"/>
      <x:c r="M133" s="26"/>
    </x:row>
    <x:row r="134">
      <x:c r="A134" s="19"/>
      <x:c r="B134" s="19"/>
      <x:c r="C134" s="19"/>
      <x:c r="D134" s="19"/>
      <x:c r="E134" s="26"/>
      <x:c r="F134" s="24"/>
      <x:c r="G134" s="96" t="str">
        <x:f>IF($A134="","",SUMIFS('QuotationItems'!$I$2:$I$500,'QuotationItems'!$B$2:$B$500,$A134))</x:f>
      </x:c>
      <x:c r="H134" s="25"/>
      <x:c r="I134" s="96" t="str">
        <x:f>IF($A134="","",$G134-$H134)</x:f>
      </x:c>
      <x:c r="J134" s="19"/>
      <x:c r="K134" s="19"/>
      <x:c r="L134" s="19"/>
      <x:c r="M134" s="26"/>
    </x:row>
    <x:row r="135">
      <x:c r="A135" s="19"/>
      <x:c r="B135" s="19"/>
      <x:c r="C135" s="19"/>
      <x:c r="D135" s="19"/>
      <x:c r="E135" s="26"/>
      <x:c r="F135" s="24"/>
      <x:c r="G135" s="96" t="str">
        <x:f>IF($A135="","",SUMIFS('QuotationItems'!$I$2:$I$500,'QuotationItems'!$B$2:$B$500,$A135))</x:f>
      </x:c>
      <x:c r="H135" s="25"/>
      <x:c r="I135" s="96" t="str">
        <x:f>IF($A135="","",$G135-$H135)</x:f>
      </x:c>
      <x:c r="J135" s="19"/>
      <x:c r="K135" s="19"/>
      <x:c r="L135" s="19"/>
      <x:c r="M135" s="26"/>
    </x:row>
    <x:row r="136">
      <x:c r="A136" s="19"/>
      <x:c r="B136" s="19"/>
      <x:c r="C136" s="19"/>
      <x:c r="D136" s="19"/>
      <x:c r="E136" s="26"/>
      <x:c r="F136" s="24"/>
      <x:c r="G136" s="96" t="str">
        <x:f>IF($A136="","",SUMIFS('QuotationItems'!$I$2:$I$500,'QuotationItems'!$B$2:$B$500,$A136))</x:f>
      </x:c>
      <x:c r="H136" s="25"/>
      <x:c r="I136" s="96" t="str">
        <x:f>IF($A136="","",$G136-$H136)</x:f>
      </x:c>
      <x:c r="J136" s="19"/>
      <x:c r="K136" s="19"/>
      <x:c r="L136" s="19"/>
      <x:c r="M136" s="26"/>
    </x:row>
    <x:row r="137">
      <x:c r="A137" s="19"/>
      <x:c r="B137" s="19"/>
      <x:c r="C137" s="19"/>
      <x:c r="D137" s="19"/>
      <x:c r="E137" s="26"/>
      <x:c r="F137" s="24"/>
      <x:c r="G137" s="96" t="str">
        <x:f>IF($A137="","",SUMIFS('QuotationItems'!$I$2:$I$500,'QuotationItems'!$B$2:$B$500,$A137))</x:f>
      </x:c>
      <x:c r="H137" s="25"/>
      <x:c r="I137" s="96" t="str">
        <x:f>IF($A137="","",$G137-$H137)</x:f>
      </x:c>
      <x:c r="J137" s="19"/>
      <x:c r="K137" s="19"/>
      <x:c r="L137" s="19"/>
      <x:c r="M137" s="26"/>
    </x:row>
    <x:row r="138">
      <x:c r="A138" s="19"/>
      <x:c r="B138" s="19"/>
      <x:c r="C138" s="19"/>
      <x:c r="D138" s="19"/>
      <x:c r="E138" s="26"/>
      <x:c r="F138" s="24"/>
      <x:c r="G138" s="96" t="str">
        <x:f>IF($A138="","",SUMIFS('QuotationItems'!$I$2:$I$500,'QuotationItems'!$B$2:$B$500,$A138))</x:f>
      </x:c>
      <x:c r="H138" s="25"/>
      <x:c r="I138" s="96" t="str">
        <x:f>IF($A138="","",$G138-$H138)</x:f>
      </x:c>
      <x:c r="J138" s="19"/>
      <x:c r="K138" s="19"/>
      <x:c r="L138" s="19"/>
      <x:c r="M138" s="26"/>
    </x:row>
    <x:row r="139">
      <x:c r="A139" s="19"/>
      <x:c r="B139" s="19"/>
      <x:c r="C139" s="19"/>
      <x:c r="D139" s="19"/>
      <x:c r="E139" s="26"/>
      <x:c r="F139" s="24"/>
      <x:c r="G139" s="96" t="str">
        <x:f>IF($A139="","",SUMIFS('QuotationItems'!$I$2:$I$500,'QuotationItems'!$B$2:$B$500,$A139))</x:f>
      </x:c>
      <x:c r="H139" s="25"/>
      <x:c r="I139" s="96" t="str">
        <x:f>IF($A139="","",$G139-$H139)</x:f>
      </x:c>
      <x:c r="J139" s="19"/>
      <x:c r="K139" s="19"/>
      <x:c r="L139" s="19"/>
      <x:c r="M139" s="26"/>
    </x:row>
    <x:row r="140">
      <x:c r="A140" s="19"/>
      <x:c r="B140" s="19"/>
      <x:c r="C140" s="19"/>
      <x:c r="D140" s="19"/>
      <x:c r="E140" s="26"/>
      <x:c r="F140" s="24"/>
      <x:c r="G140" s="96" t="str">
        <x:f>IF($A140="","",SUMIFS('QuotationItems'!$I$2:$I$500,'QuotationItems'!$B$2:$B$500,$A140))</x:f>
      </x:c>
      <x:c r="H140" s="25"/>
      <x:c r="I140" s="96" t="str">
        <x:f>IF($A140="","",$G140-$H140)</x:f>
      </x:c>
      <x:c r="J140" s="19"/>
      <x:c r="K140" s="19"/>
      <x:c r="L140" s="19"/>
      <x:c r="M140" s="26"/>
    </x:row>
    <x:row r="141">
      <x:c r="A141" s="19"/>
      <x:c r="B141" s="19"/>
      <x:c r="C141" s="19"/>
      <x:c r="D141" s="19"/>
      <x:c r="E141" s="26"/>
      <x:c r="F141" s="24"/>
      <x:c r="G141" s="96" t="str">
        <x:f>IF($A141="","",SUMIFS('QuotationItems'!$I$2:$I$500,'QuotationItems'!$B$2:$B$500,$A141))</x:f>
      </x:c>
      <x:c r="H141" s="25"/>
      <x:c r="I141" s="96" t="str">
        <x:f>IF($A141="","",$G141-$H141)</x:f>
      </x:c>
      <x:c r="J141" s="19"/>
      <x:c r="K141" s="19"/>
      <x:c r="L141" s="19"/>
      <x:c r="M141" s="26"/>
    </x:row>
    <x:row r="142">
      <x:c r="A142" s="19"/>
      <x:c r="B142" s="19"/>
      <x:c r="C142" s="19"/>
      <x:c r="D142" s="19"/>
      <x:c r="E142" s="26"/>
      <x:c r="F142" s="24"/>
      <x:c r="G142" s="96" t="str">
        <x:f>IF($A142="","",SUMIFS('QuotationItems'!$I$2:$I$500,'QuotationItems'!$B$2:$B$500,$A142))</x:f>
      </x:c>
      <x:c r="H142" s="25"/>
      <x:c r="I142" s="96" t="str">
        <x:f>IF($A142="","",$G142-$H142)</x:f>
      </x:c>
      <x:c r="J142" s="19"/>
      <x:c r="K142" s="19"/>
      <x:c r="L142" s="19"/>
      <x:c r="M142" s="26"/>
    </x:row>
    <x:row r="143">
      <x:c r="A143" s="19"/>
      <x:c r="B143" s="19"/>
      <x:c r="C143" s="19"/>
      <x:c r="D143" s="19"/>
      <x:c r="E143" s="26"/>
      <x:c r="F143" s="24"/>
      <x:c r="G143" s="96" t="str">
        <x:f>IF($A143="","",SUMIFS('QuotationItems'!$I$2:$I$500,'QuotationItems'!$B$2:$B$500,$A143))</x:f>
      </x:c>
      <x:c r="H143" s="25"/>
      <x:c r="I143" s="96" t="str">
        <x:f>IF($A143="","",$G143-$H143)</x:f>
      </x:c>
      <x:c r="J143" s="19"/>
      <x:c r="K143" s="19"/>
      <x:c r="L143" s="19"/>
      <x:c r="M143" s="26"/>
    </x:row>
    <x:row r="144">
      <x:c r="A144" s="19"/>
      <x:c r="B144" s="19"/>
      <x:c r="C144" s="19"/>
      <x:c r="D144" s="19"/>
      <x:c r="E144" s="26"/>
      <x:c r="F144" s="24"/>
      <x:c r="G144" s="96" t="str">
        <x:f>IF($A144="","",SUMIFS('QuotationItems'!$I$2:$I$500,'QuotationItems'!$B$2:$B$500,$A144))</x:f>
      </x:c>
      <x:c r="H144" s="25"/>
      <x:c r="I144" s="96" t="str">
        <x:f>IF($A144="","",$G144-$H144)</x:f>
      </x:c>
      <x:c r="J144" s="19"/>
      <x:c r="K144" s="19"/>
      <x:c r="L144" s="19"/>
      <x:c r="M144" s="26"/>
    </x:row>
    <x:row r="145">
      <x:c r="A145" s="19"/>
      <x:c r="B145" s="19"/>
      <x:c r="C145" s="19"/>
      <x:c r="D145" s="19"/>
      <x:c r="E145" s="26"/>
      <x:c r="F145" s="24"/>
      <x:c r="G145" s="96" t="str">
        <x:f>IF($A145="","",SUMIFS('QuotationItems'!$I$2:$I$500,'QuotationItems'!$B$2:$B$500,$A145))</x:f>
      </x:c>
      <x:c r="H145" s="25"/>
      <x:c r="I145" s="96" t="str">
        <x:f>IF($A145="","",$G145-$H145)</x:f>
      </x:c>
      <x:c r="J145" s="19"/>
      <x:c r="K145" s="19"/>
      <x:c r="L145" s="19"/>
      <x:c r="M145" s="26"/>
    </x:row>
    <x:row r="146">
      <x:c r="A146" s="19"/>
      <x:c r="B146" s="19"/>
      <x:c r="C146" s="19"/>
      <x:c r="D146" s="19"/>
      <x:c r="E146" s="26"/>
      <x:c r="F146" s="24"/>
      <x:c r="G146" s="96" t="str">
        <x:f>IF($A146="","",SUMIFS('QuotationItems'!$I$2:$I$500,'QuotationItems'!$B$2:$B$500,$A146))</x:f>
      </x:c>
      <x:c r="H146" s="25"/>
      <x:c r="I146" s="96" t="str">
        <x:f>IF($A146="","",$G146-$H146)</x:f>
      </x:c>
      <x:c r="J146" s="19"/>
      <x:c r="K146" s="19"/>
      <x:c r="L146" s="19"/>
      <x:c r="M146" s="26"/>
    </x:row>
    <x:row r="147">
      <x:c r="A147" s="19"/>
      <x:c r="B147" s="19"/>
      <x:c r="C147" s="19"/>
      <x:c r="D147" s="19"/>
      <x:c r="E147" s="26"/>
      <x:c r="F147" s="24"/>
      <x:c r="G147" s="96" t="str">
        <x:f>IF($A147="","",SUMIFS('QuotationItems'!$I$2:$I$500,'QuotationItems'!$B$2:$B$500,$A147))</x:f>
      </x:c>
      <x:c r="H147" s="25"/>
      <x:c r="I147" s="96" t="str">
        <x:f>IF($A147="","",$G147-$H147)</x:f>
      </x:c>
      <x:c r="J147" s="19"/>
      <x:c r="K147" s="19"/>
      <x:c r="L147" s="19"/>
      <x:c r="M147" s="26"/>
    </x:row>
    <x:row r="148">
      <x:c r="A148" s="19"/>
      <x:c r="B148" s="19"/>
      <x:c r="C148" s="19"/>
      <x:c r="D148" s="19"/>
      <x:c r="E148" s="26"/>
      <x:c r="F148" s="24"/>
      <x:c r="G148" s="96" t="str">
        <x:f>IF($A148="","",SUMIFS('QuotationItems'!$I$2:$I$500,'QuotationItems'!$B$2:$B$500,$A148))</x:f>
      </x:c>
      <x:c r="H148" s="25"/>
      <x:c r="I148" s="96" t="str">
        <x:f>IF($A148="","",$G148-$H148)</x:f>
      </x:c>
      <x:c r="J148" s="19"/>
      <x:c r="K148" s="19"/>
      <x:c r="L148" s="19"/>
      <x:c r="M148" s="26"/>
    </x:row>
    <x:row r="149">
      <x:c r="A149" s="19"/>
      <x:c r="B149" s="19"/>
      <x:c r="C149" s="19"/>
      <x:c r="D149" s="19"/>
      <x:c r="E149" s="26"/>
      <x:c r="F149" s="24"/>
      <x:c r="G149" s="96" t="str">
        <x:f>IF($A149="","",SUMIFS('QuotationItems'!$I$2:$I$500,'QuotationItems'!$B$2:$B$500,$A149))</x:f>
      </x:c>
      <x:c r="H149" s="25"/>
      <x:c r="I149" s="96" t="str">
        <x:f>IF($A149="","",$G149-$H149)</x:f>
      </x:c>
      <x:c r="J149" s="19"/>
      <x:c r="K149" s="19"/>
      <x:c r="L149" s="19"/>
      <x:c r="M149" s="26"/>
    </x:row>
    <x:row r="150">
      <x:c r="A150" s="19"/>
      <x:c r="B150" s="19"/>
      <x:c r="C150" s="19"/>
      <x:c r="D150" s="19"/>
      <x:c r="E150" s="26"/>
      <x:c r="F150" s="24"/>
      <x:c r="G150" s="96" t="str">
        <x:f>IF($A150="","",SUMIFS('QuotationItems'!$I$2:$I$500,'QuotationItems'!$B$2:$B$500,$A150))</x:f>
      </x:c>
      <x:c r="H150" s="25"/>
      <x:c r="I150" s="96" t="str">
        <x:f>IF($A150="","",$G150-$H150)</x:f>
      </x:c>
      <x:c r="J150" s="19"/>
      <x:c r="K150" s="19"/>
      <x:c r="L150" s="19"/>
      <x:c r="M150" s="26"/>
    </x:row>
    <x:row r="151">
      <x:c r="A151" s="19"/>
      <x:c r="B151" s="19"/>
      <x:c r="C151" s="19"/>
      <x:c r="D151" s="19"/>
      <x:c r="E151" s="26"/>
      <x:c r="F151" s="24"/>
      <x:c r="G151" s="96" t="str">
        <x:f>IF($A151="","",SUMIFS('QuotationItems'!$I$2:$I$500,'QuotationItems'!$B$2:$B$500,$A151))</x:f>
      </x:c>
      <x:c r="H151" s="25"/>
      <x:c r="I151" s="96" t="str">
        <x:f>IF($A151="","",$G151-$H151)</x:f>
      </x:c>
      <x:c r="J151" s="19"/>
      <x:c r="K151" s="19"/>
      <x:c r="L151" s="19"/>
      <x:c r="M151" s="26"/>
    </x:row>
    <x:row r="152">
      <x:c r="A152" s="19"/>
      <x:c r="B152" s="19"/>
      <x:c r="C152" s="19"/>
      <x:c r="D152" s="19"/>
      <x:c r="E152" s="26"/>
      <x:c r="F152" s="24"/>
      <x:c r="G152" s="96" t="str">
        <x:f>IF($A152="","",SUMIFS('QuotationItems'!$I$2:$I$500,'QuotationItems'!$B$2:$B$500,$A152))</x:f>
      </x:c>
      <x:c r="H152" s="25"/>
      <x:c r="I152" s="96" t="str">
        <x:f>IF($A152="","",$G152-$H152)</x:f>
      </x:c>
      <x:c r="J152" s="19"/>
      <x:c r="K152" s="19"/>
      <x:c r="L152" s="19"/>
      <x:c r="M152" s="26"/>
    </x:row>
    <x:row r="153">
      <x:c r="A153" s="19"/>
      <x:c r="B153" s="19"/>
      <x:c r="C153" s="19"/>
      <x:c r="D153" s="19"/>
      <x:c r="E153" s="26"/>
      <x:c r="F153" s="24"/>
      <x:c r="G153" s="96" t="str">
        <x:f>IF($A153="","",SUMIFS('QuotationItems'!$I$2:$I$500,'QuotationItems'!$B$2:$B$500,$A153))</x:f>
      </x:c>
      <x:c r="H153" s="25"/>
      <x:c r="I153" s="96" t="str">
        <x:f>IF($A153="","",$G153-$H153)</x:f>
      </x:c>
      <x:c r="J153" s="19"/>
      <x:c r="K153" s="19"/>
      <x:c r="L153" s="19"/>
      <x:c r="M153" s="26"/>
    </x:row>
    <x:row r="154">
      <x:c r="A154" s="19"/>
      <x:c r="B154" s="19"/>
      <x:c r="C154" s="19"/>
      <x:c r="D154" s="19"/>
      <x:c r="E154" s="26"/>
      <x:c r="F154" s="24"/>
      <x:c r="G154" s="96" t="str">
        <x:f>IF($A154="","",SUMIFS('QuotationItems'!$I$2:$I$500,'QuotationItems'!$B$2:$B$500,$A154))</x:f>
      </x:c>
      <x:c r="H154" s="25"/>
      <x:c r="I154" s="96" t="str">
        <x:f>IF($A154="","",$G154-$H154)</x:f>
      </x:c>
      <x:c r="J154" s="19"/>
      <x:c r="K154" s="19"/>
      <x:c r="L154" s="19"/>
      <x:c r="M154" s="26"/>
    </x:row>
    <x:row r="155">
      <x:c r="A155" s="19"/>
      <x:c r="B155" s="19"/>
      <x:c r="C155" s="19"/>
      <x:c r="D155" s="19"/>
      <x:c r="E155" s="26"/>
      <x:c r="F155" s="24"/>
      <x:c r="G155" s="96" t="str">
        <x:f>IF($A155="","",SUMIFS('QuotationItems'!$I$2:$I$500,'QuotationItems'!$B$2:$B$500,$A155))</x:f>
      </x:c>
      <x:c r="H155" s="25"/>
      <x:c r="I155" s="96" t="str">
        <x:f>IF($A155="","",$G155-$H155)</x:f>
      </x:c>
      <x:c r="J155" s="19"/>
      <x:c r="K155" s="19"/>
      <x:c r="L155" s="19"/>
      <x:c r="M155" s="26"/>
    </x:row>
    <x:row r="156">
      <x:c r="A156" s="19"/>
      <x:c r="B156" s="19"/>
      <x:c r="C156" s="19"/>
      <x:c r="D156" s="19"/>
      <x:c r="E156" s="26"/>
      <x:c r="F156" s="24"/>
      <x:c r="G156" s="96" t="str">
        <x:f>IF($A156="","",SUMIFS('QuotationItems'!$I$2:$I$500,'QuotationItems'!$B$2:$B$500,$A156))</x:f>
      </x:c>
      <x:c r="H156" s="25"/>
      <x:c r="I156" s="96" t="str">
        <x:f>IF($A156="","",$G156-$H156)</x:f>
      </x:c>
      <x:c r="J156" s="19"/>
      <x:c r="K156" s="19"/>
      <x:c r="L156" s="19"/>
      <x:c r="M156" s="26"/>
    </x:row>
    <x:row r="157">
      <x:c r="A157" s="19"/>
      <x:c r="B157" s="19"/>
      <x:c r="C157" s="19"/>
      <x:c r="D157" s="19"/>
      <x:c r="E157" s="26"/>
      <x:c r="F157" s="24"/>
      <x:c r="G157" s="96" t="str">
        <x:f>IF($A157="","",SUMIFS('QuotationItems'!$I$2:$I$500,'QuotationItems'!$B$2:$B$500,$A157))</x:f>
      </x:c>
      <x:c r="H157" s="25"/>
      <x:c r="I157" s="96" t="str">
        <x:f>IF($A157="","",$G157-$H157)</x:f>
      </x:c>
      <x:c r="J157" s="19"/>
      <x:c r="K157" s="19"/>
      <x:c r="L157" s="19"/>
      <x:c r="M157" s="26"/>
    </x:row>
    <x:row r="158">
      <x:c r="A158" s="19"/>
      <x:c r="B158" s="19"/>
      <x:c r="C158" s="19"/>
      <x:c r="D158" s="19"/>
      <x:c r="E158" s="26"/>
      <x:c r="F158" s="24"/>
      <x:c r="G158" s="96" t="str">
        <x:f>IF($A158="","",SUMIFS('QuotationItems'!$I$2:$I$500,'QuotationItems'!$B$2:$B$500,$A158))</x:f>
      </x:c>
      <x:c r="H158" s="25"/>
      <x:c r="I158" s="96" t="str">
        <x:f>IF($A158="","",$G158-$H158)</x:f>
      </x:c>
      <x:c r="J158" s="19"/>
      <x:c r="K158" s="19"/>
      <x:c r="L158" s="19"/>
      <x:c r="M158" s="26"/>
    </x:row>
    <x:row r="159">
      <x:c r="A159" s="19"/>
      <x:c r="B159" s="19"/>
      <x:c r="C159" s="19"/>
      <x:c r="D159" s="19"/>
      <x:c r="E159" s="26"/>
      <x:c r="F159" s="24"/>
      <x:c r="G159" s="96" t="str">
        <x:f>IF($A159="","",SUMIFS('QuotationItems'!$I$2:$I$500,'QuotationItems'!$B$2:$B$500,$A159))</x:f>
      </x:c>
      <x:c r="H159" s="25"/>
      <x:c r="I159" s="96" t="str">
        <x:f>IF($A159="","",$G159-$H159)</x:f>
      </x:c>
      <x:c r="J159" s="19"/>
      <x:c r="K159" s="19"/>
      <x:c r="L159" s="19"/>
      <x:c r="M159" s="26"/>
    </x:row>
    <x:row r="160">
      <x:c r="A160" s="19"/>
      <x:c r="B160" s="19"/>
      <x:c r="C160" s="19"/>
      <x:c r="D160" s="19"/>
      <x:c r="E160" s="26"/>
      <x:c r="F160" s="24"/>
      <x:c r="G160" s="96" t="str">
        <x:f>IF($A160="","",SUMIFS('QuotationItems'!$I$2:$I$500,'QuotationItems'!$B$2:$B$500,$A160))</x:f>
      </x:c>
      <x:c r="H160" s="25"/>
      <x:c r="I160" s="96" t="str">
        <x:f>IF($A160="","",$G160-$H160)</x:f>
      </x:c>
      <x:c r="J160" s="19"/>
      <x:c r="K160" s="19"/>
      <x:c r="L160" s="19"/>
      <x:c r="M160" s="26"/>
    </x:row>
    <x:row r="161">
      <x:c r="A161" s="19"/>
      <x:c r="B161" s="19"/>
      <x:c r="C161" s="19"/>
      <x:c r="D161" s="19"/>
      <x:c r="E161" s="26"/>
      <x:c r="F161" s="24"/>
      <x:c r="G161" s="96" t="str">
        <x:f>IF($A161="","",SUMIFS('QuotationItems'!$I$2:$I$500,'QuotationItems'!$B$2:$B$500,$A161))</x:f>
      </x:c>
      <x:c r="H161" s="25"/>
      <x:c r="I161" s="96" t="str">
        <x:f>IF($A161="","",$G161-$H161)</x:f>
      </x:c>
      <x:c r="J161" s="19"/>
      <x:c r="K161" s="19"/>
      <x:c r="L161" s="19"/>
      <x:c r="M161" s="26"/>
    </x:row>
    <x:row r="162">
      <x:c r="A162" s="19"/>
      <x:c r="B162" s="19"/>
      <x:c r="C162" s="19"/>
      <x:c r="D162" s="19"/>
      <x:c r="E162" s="26"/>
      <x:c r="F162" s="24"/>
      <x:c r="G162" s="96" t="str">
        <x:f>IF($A162="","",SUMIFS('QuotationItems'!$I$2:$I$500,'QuotationItems'!$B$2:$B$500,$A162))</x:f>
      </x:c>
      <x:c r="H162" s="25"/>
      <x:c r="I162" s="96" t="str">
        <x:f>IF($A162="","",$G162-$H162)</x:f>
      </x:c>
      <x:c r="J162" s="19"/>
      <x:c r="K162" s="19"/>
      <x:c r="L162" s="19"/>
      <x:c r="M162" s="26"/>
    </x:row>
    <x:row r="163">
      <x:c r="A163" s="19"/>
      <x:c r="B163" s="19"/>
      <x:c r="C163" s="19"/>
      <x:c r="D163" s="19"/>
      <x:c r="E163" s="26"/>
      <x:c r="F163" s="24"/>
      <x:c r="G163" s="96" t="str">
        <x:f>IF($A163="","",SUMIFS('QuotationItems'!$I$2:$I$500,'QuotationItems'!$B$2:$B$500,$A163))</x:f>
      </x:c>
      <x:c r="H163" s="25"/>
      <x:c r="I163" s="96" t="str">
        <x:f>IF($A163="","",$G163-$H163)</x:f>
      </x:c>
      <x:c r="J163" s="19"/>
      <x:c r="K163" s="19"/>
      <x:c r="L163" s="19"/>
      <x:c r="M163" s="26"/>
    </x:row>
    <x:row r="164">
      <x:c r="A164" s="19"/>
      <x:c r="B164" s="19"/>
      <x:c r="C164" s="19"/>
      <x:c r="D164" s="19"/>
      <x:c r="E164" s="26"/>
      <x:c r="F164" s="24"/>
      <x:c r="G164" s="96" t="str">
        <x:f>IF($A164="","",SUMIFS('QuotationItems'!$I$2:$I$500,'QuotationItems'!$B$2:$B$500,$A164))</x:f>
      </x:c>
      <x:c r="H164" s="25"/>
      <x:c r="I164" s="96" t="str">
        <x:f>IF($A164="","",$G164-$H164)</x:f>
      </x:c>
      <x:c r="J164" s="19"/>
      <x:c r="K164" s="19"/>
      <x:c r="L164" s="19"/>
      <x:c r="M164" s="26"/>
    </x:row>
    <x:row r="165">
      <x:c r="A165" s="19"/>
      <x:c r="B165" s="19"/>
      <x:c r="C165" s="19"/>
      <x:c r="D165" s="19"/>
      <x:c r="E165" s="26"/>
      <x:c r="F165" s="24"/>
      <x:c r="G165" s="96" t="str">
        <x:f>IF($A165="","",SUMIFS('QuotationItems'!$I$2:$I$500,'QuotationItems'!$B$2:$B$500,$A165))</x:f>
      </x:c>
      <x:c r="H165" s="25"/>
      <x:c r="I165" s="96" t="str">
        <x:f>IF($A165="","",$G165-$H165)</x:f>
      </x:c>
      <x:c r="J165" s="19"/>
      <x:c r="K165" s="19"/>
      <x:c r="L165" s="19"/>
      <x:c r="M165" s="26"/>
    </x:row>
    <x:row r="166">
      <x:c r="A166" s="19"/>
      <x:c r="B166" s="19"/>
      <x:c r="C166" s="19"/>
      <x:c r="D166" s="19"/>
      <x:c r="E166" s="26"/>
      <x:c r="F166" s="24"/>
      <x:c r="G166" s="96" t="str">
        <x:f>IF($A166="","",SUMIFS('QuotationItems'!$I$2:$I$500,'QuotationItems'!$B$2:$B$500,$A166))</x:f>
      </x:c>
      <x:c r="H166" s="25"/>
      <x:c r="I166" s="96" t="str">
        <x:f>IF($A166="","",$G166-$H166)</x:f>
      </x:c>
      <x:c r="J166" s="19"/>
      <x:c r="K166" s="19"/>
      <x:c r="L166" s="19"/>
      <x:c r="M166" s="26"/>
    </x:row>
    <x:row r="167">
      <x:c r="A167" s="19"/>
      <x:c r="B167" s="19"/>
      <x:c r="C167" s="19"/>
      <x:c r="D167" s="19"/>
      <x:c r="E167" s="26"/>
      <x:c r="F167" s="24"/>
      <x:c r="G167" s="96" t="str">
        <x:f>IF($A167="","",SUMIFS('QuotationItems'!$I$2:$I$500,'QuotationItems'!$B$2:$B$500,$A167))</x:f>
      </x:c>
      <x:c r="H167" s="25"/>
      <x:c r="I167" s="96" t="str">
        <x:f>IF($A167="","",$G167-$H167)</x:f>
      </x:c>
      <x:c r="J167" s="19"/>
      <x:c r="K167" s="19"/>
      <x:c r="L167" s="19"/>
      <x:c r="M167" s="26"/>
    </x:row>
    <x:row r="168">
      <x:c r="A168" s="19"/>
      <x:c r="B168" s="19"/>
      <x:c r="C168" s="19"/>
      <x:c r="D168" s="19"/>
      <x:c r="E168" s="26"/>
      <x:c r="F168" s="24"/>
      <x:c r="G168" s="96" t="str">
        <x:f>IF($A168="","",SUMIFS('QuotationItems'!$I$2:$I$500,'QuotationItems'!$B$2:$B$500,$A168))</x:f>
      </x:c>
      <x:c r="H168" s="25"/>
      <x:c r="I168" s="96" t="str">
        <x:f>IF($A168="","",$G168-$H168)</x:f>
      </x:c>
      <x:c r="J168" s="19"/>
      <x:c r="K168" s="19"/>
      <x:c r="L168" s="19"/>
      <x:c r="M168" s="26"/>
    </x:row>
    <x:row r="169">
      <x:c r="A169" s="19"/>
      <x:c r="B169" s="19"/>
      <x:c r="C169" s="19"/>
      <x:c r="D169" s="19"/>
      <x:c r="E169" s="26"/>
      <x:c r="F169" s="24"/>
      <x:c r="G169" s="96" t="str">
        <x:f>IF($A169="","",SUMIFS('QuotationItems'!$I$2:$I$500,'QuotationItems'!$B$2:$B$500,$A169))</x:f>
      </x:c>
      <x:c r="H169" s="25"/>
      <x:c r="I169" s="96" t="str">
        <x:f>IF($A169="","",$G169-$H169)</x:f>
      </x:c>
      <x:c r="J169" s="19"/>
      <x:c r="K169" s="19"/>
      <x:c r="L169" s="19"/>
      <x:c r="M169" s="26"/>
    </x:row>
    <x:row r="170">
      <x:c r="A170" s="19"/>
      <x:c r="B170" s="19"/>
      <x:c r="C170" s="19"/>
      <x:c r="D170" s="19"/>
      <x:c r="E170" s="26"/>
      <x:c r="F170" s="24"/>
      <x:c r="G170" s="96" t="str">
        <x:f>IF($A170="","",SUMIFS('QuotationItems'!$I$2:$I$500,'QuotationItems'!$B$2:$B$500,$A170))</x:f>
      </x:c>
      <x:c r="H170" s="25"/>
      <x:c r="I170" s="96" t="str">
        <x:f>IF($A170="","",$G170-$H170)</x:f>
      </x:c>
      <x:c r="J170" s="19"/>
      <x:c r="K170" s="19"/>
      <x:c r="L170" s="19"/>
      <x:c r="M170" s="26"/>
    </x:row>
    <x:row r="171">
      <x:c r="A171" s="19"/>
      <x:c r="B171" s="19"/>
      <x:c r="C171" s="19"/>
      <x:c r="D171" s="19"/>
      <x:c r="E171" s="26"/>
      <x:c r="F171" s="24"/>
      <x:c r="G171" s="96" t="str">
        <x:f>IF($A171="","",SUMIFS('QuotationItems'!$I$2:$I$500,'QuotationItems'!$B$2:$B$500,$A171))</x:f>
      </x:c>
      <x:c r="H171" s="25"/>
      <x:c r="I171" s="96" t="str">
        <x:f>IF($A171="","",$G171-$H171)</x:f>
      </x:c>
      <x:c r="J171" s="19"/>
      <x:c r="K171" s="19"/>
      <x:c r="L171" s="19"/>
      <x:c r="M171" s="26"/>
    </x:row>
    <x:row r="172">
      <x:c r="A172" s="19"/>
      <x:c r="B172" s="19"/>
      <x:c r="C172" s="19"/>
      <x:c r="D172" s="19"/>
      <x:c r="E172" s="26"/>
      <x:c r="F172" s="24"/>
      <x:c r="G172" s="96" t="str">
        <x:f>IF($A172="","",SUMIFS('QuotationItems'!$I$2:$I$500,'QuotationItems'!$B$2:$B$500,$A172))</x:f>
      </x:c>
      <x:c r="H172" s="25"/>
      <x:c r="I172" s="96" t="str">
        <x:f>IF($A172="","",$G172-$H172)</x:f>
      </x:c>
      <x:c r="J172" s="19"/>
      <x:c r="K172" s="19"/>
      <x:c r="L172" s="19"/>
      <x:c r="M172" s="26"/>
    </x:row>
    <x:row r="173">
      <x:c r="A173" s="19"/>
      <x:c r="B173" s="19"/>
      <x:c r="C173" s="19"/>
      <x:c r="D173" s="19"/>
      <x:c r="E173" s="26"/>
      <x:c r="F173" s="24"/>
      <x:c r="G173" s="96" t="str">
        <x:f>IF($A173="","",SUMIFS('QuotationItems'!$I$2:$I$500,'QuotationItems'!$B$2:$B$500,$A173))</x:f>
      </x:c>
      <x:c r="H173" s="25"/>
      <x:c r="I173" s="96" t="str">
        <x:f>IF($A173="","",$G173-$H173)</x:f>
      </x:c>
      <x:c r="J173" s="19"/>
      <x:c r="K173" s="19"/>
      <x:c r="L173" s="19"/>
      <x:c r="M173" s="26"/>
    </x:row>
    <x:row r="174">
      <x:c r="A174" s="19"/>
      <x:c r="B174" s="19"/>
      <x:c r="C174" s="19"/>
      <x:c r="D174" s="19"/>
      <x:c r="E174" s="26"/>
      <x:c r="F174" s="24"/>
      <x:c r="G174" s="96" t="str">
        <x:f>IF($A174="","",SUMIFS('QuotationItems'!$I$2:$I$500,'QuotationItems'!$B$2:$B$500,$A174))</x:f>
      </x:c>
      <x:c r="H174" s="25"/>
      <x:c r="I174" s="96" t="str">
        <x:f>IF($A174="","",$G174-$H174)</x:f>
      </x:c>
      <x:c r="J174" s="19"/>
      <x:c r="K174" s="19"/>
      <x:c r="L174" s="19"/>
      <x:c r="M174" s="26"/>
    </x:row>
    <x:row r="175">
      <x:c r="A175" s="19"/>
      <x:c r="B175" s="19"/>
      <x:c r="C175" s="19"/>
      <x:c r="D175" s="19"/>
      <x:c r="E175" s="26"/>
      <x:c r="F175" s="24"/>
      <x:c r="G175" s="96" t="str">
        <x:f>IF($A175="","",SUMIFS('QuotationItems'!$I$2:$I$500,'QuotationItems'!$B$2:$B$500,$A175))</x:f>
      </x:c>
      <x:c r="H175" s="25"/>
      <x:c r="I175" s="96" t="str">
        <x:f>IF($A175="","",$G175-$H175)</x:f>
      </x:c>
      <x:c r="J175" s="19"/>
      <x:c r="K175" s="19"/>
      <x:c r="L175" s="19"/>
      <x:c r="M175" s="26"/>
    </x:row>
    <x:row r="176">
      <x:c r="A176" s="19"/>
      <x:c r="B176" s="19"/>
      <x:c r="C176" s="19"/>
      <x:c r="D176" s="19"/>
      <x:c r="E176" s="26"/>
      <x:c r="F176" s="24"/>
      <x:c r="G176" s="96" t="str">
        <x:f>IF($A176="","",SUMIFS('QuotationItems'!$I$2:$I$500,'QuotationItems'!$B$2:$B$500,$A176))</x:f>
      </x:c>
      <x:c r="H176" s="25"/>
      <x:c r="I176" s="96" t="str">
        <x:f>IF($A176="","",$G176-$H176)</x:f>
      </x:c>
      <x:c r="J176" s="19"/>
      <x:c r="K176" s="19"/>
      <x:c r="L176" s="19"/>
      <x:c r="M176" s="26"/>
    </x:row>
    <x:row r="177">
      <x:c r="A177" s="19"/>
      <x:c r="B177" s="19"/>
      <x:c r="C177" s="19"/>
      <x:c r="D177" s="19"/>
      <x:c r="E177" s="26"/>
      <x:c r="F177" s="24"/>
      <x:c r="G177" s="96" t="str">
        <x:f>IF($A177="","",SUMIFS('QuotationItems'!$I$2:$I$500,'QuotationItems'!$B$2:$B$500,$A177))</x:f>
      </x:c>
      <x:c r="H177" s="25"/>
      <x:c r="I177" s="96" t="str">
        <x:f>IF($A177="","",$G177-$H177)</x:f>
      </x:c>
      <x:c r="J177" s="19"/>
      <x:c r="K177" s="19"/>
      <x:c r="L177" s="19"/>
      <x:c r="M177" s="26"/>
    </x:row>
    <x:row r="178">
      <x:c r="A178" s="19"/>
      <x:c r="B178" s="19"/>
      <x:c r="C178" s="19"/>
      <x:c r="D178" s="19"/>
      <x:c r="E178" s="26"/>
      <x:c r="F178" s="24"/>
      <x:c r="G178" s="96" t="str">
        <x:f>IF($A178="","",SUMIFS('QuotationItems'!$I$2:$I$500,'QuotationItems'!$B$2:$B$500,$A178))</x:f>
      </x:c>
      <x:c r="H178" s="25"/>
      <x:c r="I178" s="96" t="str">
        <x:f>IF($A178="","",$G178-$H178)</x:f>
      </x:c>
      <x:c r="J178" s="19"/>
      <x:c r="K178" s="19"/>
      <x:c r="L178" s="19"/>
      <x:c r="M178" s="26"/>
    </x:row>
    <x:row r="179">
      <x:c r="A179" s="19"/>
      <x:c r="B179" s="19"/>
      <x:c r="C179" s="19"/>
      <x:c r="D179" s="19"/>
      <x:c r="E179" s="26"/>
      <x:c r="F179" s="24"/>
      <x:c r="G179" s="96" t="str">
        <x:f>IF($A179="","",SUMIFS('QuotationItems'!$I$2:$I$500,'QuotationItems'!$B$2:$B$500,$A179))</x:f>
      </x:c>
      <x:c r="H179" s="25"/>
      <x:c r="I179" s="96" t="str">
        <x:f>IF($A179="","",$G179-$H179)</x:f>
      </x:c>
      <x:c r="J179" s="19"/>
      <x:c r="K179" s="19"/>
      <x:c r="L179" s="19"/>
      <x:c r="M179" s="26"/>
    </x:row>
    <x:row r="180">
      <x:c r="A180" s="19"/>
      <x:c r="B180" s="19"/>
      <x:c r="C180" s="19"/>
      <x:c r="D180" s="19"/>
      <x:c r="E180" s="26"/>
      <x:c r="F180" s="24"/>
      <x:c r="G180" s="96" t="str">
        <x:f>IF($A180="","",SUMIFS('QuotationItems'!$I$2:$I$500,'QuotationItems'!$B$2:$B$500,$A180))</x:f>
      </x:c>
      <x:c r="H180" s="25"/>
      <x:c r="I180" s="96" t="str">
        <x:f>IF($A180="","",$G180-$H180)</x:f>
      </x:c>
      <x:c r="J180" s="19"/>
      <x:c r="K180" s="19"/>
      <x:c r="L180" s="19"/>
      <x:c r="M180" s="26"/>
    </x:row>
    <x:row r="181">
      <x:c r="A181" s="19"/>
      <x:c r="B181" s="19"/>
      <x:c r="C181" s="19"/>
      <x:c r="D181" s="19"/>
      <x:c r="E181" s="26"/>
      <x:c r="F181" s="24"/>
      <x:c r="G181" s="96" t="str">
        <x:f>IF($A181="","",SUMIFS('QuotationItems'!$I$2:$I$500,'QuotationItems'!$B$2:$B$500,$A181))</x:f>
      </x:c>
      <x:c r="H181" s="25"/>
      <x:c r="I181" s="96" t="str">
        <x:f>IF($A181="","",$G181-$H181)</x:f>
      </x:c>
      <x:c r="J181" s="19"/>
      <x:c r="K181" s="19"/>
      <x:c r="L181" s="19"/>
      <x:c r="M181" s="26"/>
    </x:row>
    <x:row r="182">
      <x:c r="A182" s="19"/>
      <x:c r="B182" s="19"/>
      <x:c r="C182" s="19"/>
      <x:c r="D182" s="19"/>
      <x:c r="E182" s="26"/>
      <x:c r="F182" s="24"/>
      <x:c r="G182" s="96" t="str">
        <x:f>IF($A182="","",SUMIFS('QuotationItems'!$I$2:$I$500,'QuotationItems'!$B$2:$B$500,$A182))</x:f>
      </x:c>
      <x:c r="H182" s="25"/>
      <x:c r="I182" s="96" t="str">
        <x:f>IF($A182="","",$G182-$H182)</x:f>
      </x:c>
      <x:c r="J182" s="19"/>
      <x:c r="K182" s="19"/>
      <x:c r="L182" s="19"/>
      <x:c r="M182" s="26"/>
    </x:row>
    <x:row r="183">
      <x:c r="A183" s="19"/>
      <x:c r="B183" s="19"/>
      <x:c r="C183" s="19"/>
      <x:c r="D183" s="19"/>
      <x:c r="E183" s="26"/>
      <x:c r="F183" s="24"/>
      <x:c r="G183" s="96" t="str">
        <x:f>IF($A183="","",SUMIFS('QuotationItems'!$I$2:$I$500,'QuotationItems'!$B$2:$B$500,$A183))</x:f>
      </x:c>
      <x:c r="H183" s="25"/>
      <x:c r="I183" s="96" t="str">
        <x:f>IF($A183="","",$G183-$H183)</x:f>
      </x:c>
      <x:c r="J183" s="19"/>
      <x:c r="K183" s="19"/>
      <x:c r="L183" s="19"/>
      <x:c r="M183" s="26"/>
    </x:row>
    <x:row r="184">
      <x:c r="A184" s="19"/>
      <x:c r="B184" s="19"/>
      <x:c r="C184" s="19"/>
      <x:c r="D184" s="19"/>
      <x:c r="E184" s="26"/>
      <x:c r="F184" s="24"/>
      <x:c r="G184" s="96" t="str">
        <x:f>IF($A184="","",SUMIFS('QuotationItems'!$I$2:$I$500,'QuotationItems'!$B$2:$B$500,$A184))</x:f>
      </x:c>
      <x:c r="H184" s="25"/>
      <x:c r="I184" s="96" t="str">
        <x:f>IF($A184="","",$G184-$H184)</x:f>
      </x:c>
      <x:c r="J184" s="19"/>
      <x:c r="K184" s="19"/>
      <x:c r="L184" s="19"/>
      <x:c r="M184" s="26"/>
    </x:row>
    <x:row r="185">
      <x:c r="A185" s="19"/>
      <x:c r="B185" s="19"/>
      <x:c r="C185" s="19"/>
      <x:c r="D185" s="19"/>
      <x:c r="E185" s="26"/>
      <x:c r="F185" s="24"/>
      <x:c r="G185" s="96" t="str">
        <x:f>IF($A185="","",SUMIFS('QuotationItems'!$I$2:$I$500,'QuotationItems'!$B$2:$B$500,$A185))</x:f>
      </x:c>
      <x:c r="H185" s="25"/>
      <x:c r="I185" s="96" t="str">
        <x:f>IF($A185="","",$G185-$H185)</x:f>
      </x:c>
      <x:c r="J185" s="19"/>
      <x:c r="K185" s="19"/>
      <x:c r="L185" s="19"/>
      <x:c r="M185" s="26"/>
    </x:row>
    <x:row r="186">
      <x:c r="A186" s="19"/>
      <x:c r="B186" s="19"/>
      <x:c r="C186" s="19"/>
      <x:c r="D186" s="19"/>
      <x:c r="E186" s="26"/>
      <x:c r="F186" s="24"/>
      <x:c r="G186" s="96" t="str">
        <x:f>IF($A186="","",SUMIFS('QuotationItems'!$I$2:$I$500,'QuotationItems'!$B$2:$B$500,$A186))</x:f>
      </x:c>
      <x:c r="H186" s="25"/>
      <x:c r="I186" s="96" t="str">
        <x:f>IF($A186="","",$G186-$H186)</x:f>
      </x:c>
      <x:c r="J186" s="19"/>
      <x:c r="K186" s="19"/>
      <x:c r="L186" s="19"/>
      <x:c r="M186" s="26"/>
    </x:row>
    <x:row r="187">
      <x:c r="A187" s="19"/>
      <x:c r="B187" s="19"/>
      <x:c r="C187" s="19"/>
      <x:c r="D187" s="19"/>
      <x:c r="E187" s="26"/>
      <x:c r="F187" s="24"/>
      <x:c r="G187" s="96" t="str">
        <x:f>IF($A187="","",SUMIFS('QuotationItems'!$I$2:$I$500,'QuotationItems'!$B$2:$B$500,$A187))</x:f>
      </x:c>
      <x:c r="H187" s="25"/>
      <x:c r="I187" s="96" t="str">
        <x:f>IF($A187="","",$G187-$H187)</x:f>
      </x:c>
      <x:c r="J187" s="19"/>
      <x:c r="K187" s="19"/>
      <x:c r="L187" s="19"/>
      <x:c r="M187" s="26"/>
    </x:row>
    <x:row r="188">
      <x:c r="A188" s="19"/>
      <x:c r="B188" s="19"/>
      <x:c r="C188" s="19"/>
      <x:c r="D188" s="19"/>
      <x:c r="E188" s="26"/>
      <x:c r="F188" s="24"/>
      <x:c r="G188" s="96" t="str">
        <x:f>IF($A188="","",SUMIFS('QuotationItems'!$I$2:$I$500,'QuotationItems'!$B$2:$B$500,$A188))</x:f>
      </x:c>
      <x:c r="H188" s="25"/>
      <x:c r="I188" s="96" t="str">
        <x:f>IF($A188="","",$G188-$H188)</x:f>
      </x:c>
      <x:c r="J188" s="19"/>
      <x:c r="K188" s="19"/>
      <x:c r="L188" s="19"/>
      <x:c r="M188" s="26"/>
    </x:row>
    <x:row r="189">
      <x:c r="A189" s="19"/>
      <x:c r="B189" s="19"/>
      <x:c r="C189" s="19"/>
      <x:c r="D189" s="19"/>
      <x:c r="E189" s="26"/>
      <x:c r="F189" s="24"/>
      <x:c r="G189" s="96" t="str">
        <x:f>IF($A189="","",SUMIFS('QuotationItems'!$I$2:$I$500,'QuotationItems'!$B$2:$B$500,$A189))</x:f>
      </x:c>
      <x:c r="H189" s="25"/>
      <x:c r="I189" s="96" t="str">
        <x:f>IF($A189="","",$G189-$H189)</x:f>
      </x:c>
      <x:c r="J189" s="19"/>
      <x:c r="K189" s="19"/>
      <x:c r="L189" s="19"/>
      <x:c r="M189" s="26"/>
    </x:row>
    <x:row r="190">
      <x:c r="A190" s="19"/>
      <x:c r="B190" s="19"/>
      <x:c r="C190" s="19"/>
      <x:c r="D190" s="19"/>
      <x:c r="E190" s="26"/>
      <x:c r="F190" s="24"/>
      <x:c r="G190" s="96" t="str">
        <x:f>IF($A190="","",SUMIFS('QuotationItems'!$I$2:$I$500,'QuotationItems'!$B$2:$B$500,$A190))</x:f>
      </x:c>
      <x:c r="H190" s="25"/>
      <x:c r="I190" s="96" t="str">
        <x:f>IF($A190="","",$G190-$H190)</x:f>
      </x:c>
      <x:c r="J190" s="19"/>
      <x:c r="K190" s="19"/>
      <x:c r="L190" s="19"/>
      <x:c r="M190" s="26"/>
    </x:row>
    <x:row r="191">
      <x:c r="A191" s="19"/>
      <x:c r="B191" s="19"/>
      <x:c r="C191" s="19"/>
      <x:c r="D191" s="19"/>
      <x:c r="E191" s="26"/>
      <x:c r="F191" s="24"/>
      <x:c r="G191" s="96" t="str">
        <x:f>IF($A191="","",SUMIFS('QuotationItems'!$I$2:$I$500,'QuotationItems'!$B$2:$B$500,$A191))</x:f>
      </x:c>
      <x:c r="H191" s="25"/>
      <x:c r="I191" s="96" t="str">
        <x:f>IF($A191="","",$G191-$H191)</x:f>
      </x:c>
      <x:c r="J191" s="19"/>
      <x:c r="K191" s="19"/>
      <x:c r="L191" s="19"/>
      <x:c r="M191" s="26"/>
    </x:row>
    <x:row r="192">
      <x:c r="A192" s="19"/>
      <x:c r="B192" s="19"/>
      <x:c r="C192" s="19"/>
      <x:c r="D192" s="19"/>
      <x:c r="E192" s="26"/>
      <x:c r="F192" s="24"/>
      <x:c r="G192" s="96" t="str">
        <x:f>IF($A192="","",SUMIFS('QuotationItems'!$I$2:$I$500,'QuotationItems'!$B$2:$B$500,$A192))</x:f>
      </x:c>
      <x:c r="H192" s="25"/>
      <x:c r="I192" s="96" t="str">
        <x:f>IF($A192="","",$G192-$H192)</x:f>
      </x:c>
      <x:c r="J192" s="19"/>
      <x:c r="K192" s="19"/>
      <x:c r="L192" s="19"/>
      <x:c r="M192" s="26"/>
    </x:row>
    <x:row r="193">
      <x:c r="A193" s="19"/>
      <x:c r="B193" s="19"/>
      <x:c r="C193" s="19"/>
      <x:c r="D193" s="19"/>
      <x:c r="E193" s="26"/>
      <x:c r="F193" s="24"/>
      <x:c r="G193" s="96" t="str">
        <x:f>IF($A193="","",SUMIFS('QuotationItems'!$I$2:$I$500,'QuotationItems'!$B$2:$B$500,$A193))</x:f>
      </x:c>
      <x:c r="H193" s="25"/>
      <x:c r="I193" s="96" t="str">
        <x:f>IF($A193="","",$G193-$H193)</x:f>
      </x:c>
      <x:c r="J193" s="19"/>
      <x:c r="K193" s="19"/>
      <x:c r="L193" s="19"/>
      <x:c r="M193" s="26"/>
    </x:row>
    <x:row r="194">
      <x:c r="A194" s="19"/>
      <x:c r="B194" s="19"/>
      <x:c r="C194" s="19"/>
      <x:c r="D194" s="19"/>
      <x:c r="E194" s="26"/>
      <x:c r="F194" s="24"/>
      <x:c r="G194" s="96" t="str">
        <x:f>IF($A194="","",SUMIFS('QuotationItems'!$I$2:$I$500,'QuotationItems'!$B$2:$B$500,$A194))</x:f>
      </x:c>
      <x:c r="H194" s="25"/>
      <x:c r="I194" s="96" t="str">
        <x:f>IF($A194="","",$G194-$H194)</x:f>
      </x:c>
      <x:c r="J194" s="19"/>
      <x:c r="K194" s="19"/>
      <x:c r="L194" s="19"/>
      <x:c r="M194" s="26"/>
    </x:row>
    <x:row r="195">
      <x:c r="A195" s="19"/>
      <x:c r="B195" s="19"/>
      <x:c r="C195" s="19"/>
      <x:c r="D195" s="19"/>
      <x:c r="E195" s="26"/>
      <x:c r="F195" s="24"/>
      <x:c r="G195" s="96" t="str">
        <x:f>IF($A195="","",SUMIFS('QuotationItems'!$I$2:$I$500,'QuotationItems'!$B$2:$B$500,$A195))</x:f>
      </x:c>
      <x:c r="H195" s="25"/>
      <x:c r="I195" s="96" t="str">
        <x:f>IF($A195="","",$G195-$H195)</x:f>
      </x:c>
      <x:c r="J195" s="19"/>
      <x:c r="K195" s="19"/>
      <x:c r="L195" s="19"/>
      <x:c r="M195" s="26"/>
    </x:row>
    <x:row r="196">
      <x:c r="A196" s="19"/>
      <x:c r="B196" s="19"/>
      <x:c r="C196" s="19"/>
      <x:c r="D196" s="19"/>
      <x:c r="E196" s="26"/>
      <x:c r="F196" s="24"/>
      <x:c r="G196" s="96" t="str">
        <x:f>IF($A196="","",SUMIFS('QuotationItems'!$I$2:$I$500,'QuotationItems'!$B$2:$B$500,$A196))</x:f>
      </x:c>
      <x:c r="H196" s="25"/>
      <x:c r="I196" s="96" t="str">
        <x:f>IF($A196="","",$G196-$H196)</x:f>
      </x:c>
      <x:c r="J196" s="19"/>
      <x:c r="K196" s="19"/>
      <x:c r="L196" s="19"/>
      <x:c r="M196" s="26"/>
    </x:row>
    <x:row r="197">
      <x:c r="A197" s="19"/>
      <x:c r="B197" s="19"/>
      <x:c r="C197" s="19"/>
      <x:c r="D197" s="19"/>
      <x:c r="E197" s="26"/>
      <x:c r="F197" s="24"/>
      <x:c r="G197" s="96" t="str">
        <x:f>IF($A197="","",SUMIFS('QuotationItems'!$I$2:$I$500,'QuotationItems'!$B$2:$B$500,$A197))</x:f>
      </x:c>
      <x:c r="H197" s="25"/>
      <x:c r="I197" s="96" t="str">
        <x:f>IF($A197="","",$G197-$H197)</x:f>
      </x:c>
      <x:c r="J197" s="19"/>
      <x:c r="K197" s="19"/>
      <x:c r="L197" s="19"/>
      <x:c r="M197" s="26"/>
    </x:row>
    <x:row r="198">
      <x:c r="A198" s="19"/>
      <x:c r="B198" s="19"/>
      <x:c r="C198" s="19"/>
      <x:c r="D198" s="19"/>
      <x:c r="E198" s="26"/>
      <x:c r="F198" s="24"/>
      <x:c r="G198" s="96" t="str">
        <x:f>IF($A198="","",SUMIFS('QuotationItems'!$I$2:$I$500,'QuotationItems'!$B$2:$B$500,$A198))</x:f>
      </x:c>
      <x:c r="H198" s="25"/>
      <x:c r="I198" s="96" t="str">
        <x:f>IF($A198="","",$G198-$H198)</x:f>
      </x:c>
      <x:c r="J198" s="19"/>
      <x:c r="K198" s="19"/>
      <x:c r="L198" s="19"/>
      <x:c r="M198" s="26"/>
    </x:row>
    <x:row r="199">
      <x:c r="A199" s="19"/>
      <x:c r="B199" s="19"/>
      <x:c r="C199" s="19"/>
      <x:c r="D199" s="19"/>
      <x:c r="E199" s="26"/>
      <x:c r="F199" s="24"/>
      <x:c r="G199" s="96" t="str">
        <x:f>IF($A199="","",SUMIFS('QuotationItems'!$I$2:$I$500,'QuotationItems'!$B$2:$B$500,$A199))</x:f>
      </x:c>
      <x:c r="H199" s="25"/>
      <x:c r="I199" s="96" t="str">
        <x:f>IF($A199="","",$G199-$H199)</x:f>
      </x:c>
      <x:c r="J199" s="19"/>
      <x:c r="K199" s="19"/>
      <x:c r="L199" s="19"/>
      <x:c r="M199" s="26"/>
    </x:row>
    <x:row r="200">
      <x:c r="A200" s="19"/>
      <x:c r="B200" s="19"/>
      <x:c r="C200" s="19"/>
      <x:c r="D200" s="19"/>
      <x:c r="E200" s="26"/>
      <x:c r="F200" s="24"/>
      <x:c r="G200" s="96" t="str">
        <x:f>IF($A200="","",SUMIFS('QuotationItems'!$I$2:$I$500,'QuotationItems'!$B$2:$B$500,$A200))</x:f>
      </x:c>
      <x:c r="H200" s="25"/>
      <x:c r="I200" s="96" t="str">
        <x:f>IF($A200="","",$G200-$H200)</x:f>
      </x:c>
      <x:c r="J200" s="19"/>
      <x:c r="K200" s="19"/>
      <x:c r="L200" s="19"/>
      <x:c r="M200" s="26"/>
    </x:row>
    <x:row r="201">
      <x:c r="A201" s="19"/>
      <x:c r="B201" s="19"/>
      <x:c r="C201" s="19"/>
      <x:c r="D201" s="19"/>
      <x:c r="E201" s="26"/>
      <x:c r="F201" s="24"/>
      <x:c r="G201" s="96" t="str">
        <x:f>IF($A201="","",SUMIFS('QuotationItems'!$I$2:$I$500,'QuotationItems'!$B$2:$B$500,$A201))</x:f>
      </x:c>
      <x:c r="H201" s="25"/>
      <x:c r="I201" s="96" t="str">
        <x:f>IF($A201="","",$G201-$H201)</x:f>
      </x:c>
      <x:c r="J201" s="19"/>
      <x:c r="K201" s="19"/>
      <x:c r="L201" s="19"/>
      <x:c r="M201" s="26"/>
    </x:row>
    <x:row r="202">
      <x:c r="A202" s="19"/>
      <x:c r="B202" s="19"/>
      <x:c r="C202" s="19"/>
      <x:c r="D202" s="19"/>
      <x:c r="E202" s="26"/>
      <x:c r="F202" s="24"/>
      <x:c r="G202" s="96" t="str">
        <x:f>IF($A202="","",SUMIFS('QuotationItems'!$I$2:$I$500,'QuotationItems'!$B$2:$B$500,$A202))</x:f>
      </x:c>
      <x:c r="H202" s="25"/>
      <x:c r="I202" s="96" t="str">
        <x:f>IF($A202="","",$G202-$H202)</x:f>
      </x:c>
      <x:c r="J202" s="19"/>
      <x:c r="K202" s="19"/>
      <x:c r="L202" s="19"/>
      <x:c r="M202" s="26"/>
    </x:row>
    <x:row r="203">
      <x:c r="A203" s="19"/>
      <x:c r="B203" s="19"/>
      <x:c r="C203" s="19"/>
      <x:c r="D203" s="19"/>
      <x:c r="E203" s="26"/>
      <x:c r="F203" s="24"/>
      <x:c r="G203" s="96" t="str">
        <x:f>IF($A203="","",SUMIFS('QuotationItems'!$I$2:$I$500,'QuotationItems'!$B$2:$B$500,$A203))</x:f>
      </x:c>
      <x:c r="H203" s="25"/>
      <x:c r="I203" s="96" t="str">
        <x:f>IF($A203="","",$G203-$H203)</x:f>
      </x:c>
      <x:c r="J203" s="19"/>
      <x:c r="K203" s="19"/>
      <x:c r="L203" s="19"/>
      <x:c r="M203" s="26"/>
    </x:row>
    <x:row r="204">
      <x:c r="A204" s="19"/>
      <x:c r="B204" s="19"/>
      <x:c r="C204" s="19"/>
      <x:c r="D204" s="19"/>
      <x:c r="E204" s="26"/>
      <x:c r="F204" s="24"/>
      <x:c r="G204" s="96" t="str">
        <x:f>IF($A204="","",SUMIFS('QuotationItems'!$I$2:$I$500,'QuotationItems'!$B$2:$B$500,$A204))</x:f>
      </x:c>
      <x:c r="H204" s="25"/>
      <x:c r="I204" s="96" t="str">
        <x:f>IF($A204="","",$G204-$H204)</x:f>
      </x:c>
      <x:c r="J204" s="19"/>
      <x:c r="K204" s="19"/>
      <x:c r="L204" s="19"/>
      <x:c r="M204" s="26"/>
    </x:row>
    <x:row r="205">
      <x:c r="A205" s="19"/>
      <x:c r="B205" s="19"/>
      <x:c r="C205" s="19"/>
      <x:c r="D205" s="19"/>
      <x:c r="E205" s="26"/>
      <x:c r="F205" s="24"/>
      <x:c r="G205" s="96" t="str">
        <x:f>IF($A205="","",SUMIFS('QuotationItems'!$I$2:$I$500,'QuotationItems'!$B$2:$B$500,$A205))</x:f>
      </x:c>
      <x:c r="H205" s="25"/>
      <x:c r="I205" s="96" t="str">
        <x:f>IF($A205="","",$G205-$H205)</x:f>
      </x:c>
      <x:c r="J205" s="19"/>
      <x:c r="K205" s="19"/>
      <x:c r="L205" s="19"/>
      <x:c r="M205" s="26"/>
    </x:row>
    <x:row r="206">
      <x:c r="A206" s="19"/>
      <x:c r="B206" s="19"/>
      <x:c r="C206" s="19"/>
      <x:c r="D206" s="19"/>
      <x:c r="E206" s="26"/>
      <x:c r="F206" s="24"/>
      <x:c r="G206" s="96" t="str">
        <x:f>IF($A206="","",SUMIFS('QuotationItems'!$I$2:$I$500,'QuotationItems'!$B$2:$B$500,$A206))</x:f>
      </x:c>
      <x:c r="H206" s="25"/>
      <x:c r="I206" s="96" t="str">
        <x:f>IF($A206="","",$G206-$H206)</x:f>
      </x:c>
      <x:c r="J206" s="19"/>
      <x:c r="K206" s="19"/>
      <x:c r="L206" s="19"/>
      <x:c r="M206" s="26"/>
    </x:row>
    <x:row r="207">
      <x:c r="A207" s="19"/>
      <x:c r="B207" s="19"/>
      <x:c r="C207" s="19"/>
      <x:c r="D207" s="19"/>
      <x:c r="E207" s="26"/>
      <x:c r="F207" s="24"/>
      <x:c r="G207" s="96" t="str">
        <x:f>IF($A207="","",SUMIFS('QuotationItems'!$I$2:$I$500,'QuotationItems'!$B$2:$B$500,$A207))</x:f>
      </x:c>
      <x:c r="H207" s="25"/>
      <x:c r="I207" s="96" t="str">
        <x:f>IF($A207="","",$G207-$H207)</x:f>
      </x:c>
      <x:c r="J207" s="19"/>
      <x:c r="K207" s="19"/>
      <x:c r="L207" s="19"/>
      <x:c r="M207" s="26"/>
    </x:row>
    <x:row r="208">
      <x:c r="A208" s="19"/>
      <x:c r="B208" s="19"/>
      <x:c r="C208" s="19"/>
      <x:c r="D208" s="19"/>
      <x:c r="E208" s="26"/>
      <x:c r="F208" s="24"/>
      <x:c r="G208" s="96" t="str">
        <x:f>IF($A208="","",SUMIFS('QuotationItems'!$I$2:$I$500,'QuotationItems'!$B$2:$B$500,$A208))</x:f>
      </x:c>
      <x:c r="H208" s="25"/>
      <x:c r="I208" s="96" t="str">
        <x:f>IF($A208="","",$G208-$H208)</x:f>
      </x:c>
      <x:c r="J208" s="19"/>
      <x:c r="K208" s="19"/>
      <x:c r="L208" s="19"/>
      <x:c r="M208" s="26"/>
    </x:row>
    <x:row r="209">
      <x:c r="A209" s="19"/>
      <x:c r="B209" s="19"/>
      <x:c r="C209" s="19"/>
      <x:c r="D209" s="19"/>
      <x:c r="E209" s="26"/>
      <x:c r="F209" s="24"/>
      <x:c r="G209" s="96" t="str">
        <x:f>IF($A209="","",SUMIFS('QuotationItems'!$I$2:$I$500,'QuotationItems'!$B$2:$B$500,$A209))</x:f>
      </x:c>
      <x:c r="H209" s="25"/>
      <x:c r="I209" s="96" t="str">
        <x:f>IF($A209="","",$G209-$H209)</x:f>
      </x:c>
      <x:c r="J209" s="19"/>
      <x:c r="K209" s="19"/>
      <x:c r="L209" s="19"/>
      <x:c r="M209" s="26"/>
    </x:row>
    <x:row r="210">
      <x:c r="A210" s="19"/>
      <x:c r="B210" s="19"/>
      <x:c r="C210" s="19"/>
      <x:c r="D210" s="19"/>
      <x:c r="E210" s="26"/>
      <x:c r="F210" s="24"/>
      <x:c r="G210" s="96" t="str">
        <x:f>IF($A210="","",SUMIFS('QuotationItems'!$I$2:$I$500,'QuotationItems'!$B$2:$B$500,$A210))</x:f>
      </x:c>
      <x:c r="H210" s="25"/>
      <x:c r="I210" s="96" t="str">
        <x:f>IF($A210="","",$G210-$H210)</x:f>
      </x:c>
      <x:c r="J210" s="19"/>
      <x:c r="K210" s="19"/>
      <x:c r="L210" s="19"/>
      <x:c r="M210" s="26"/>
    </x:row>
    <x:row r="211">
      <x:c r="A211" s="19"/>
      <x:c r="B211" s="19"/>
      <x:c r="C211" s="19"/>
      <x:c r="D211" s="19"/>
      <x:c r="E211" s="26"/>
      <x:c r="F211" s="24"/>
      <x:c r="G211" s="96" t="str">
        <x:f>IF($A211="","",SUMIFS('QuotationItems'!$I$2:$I$500,'QuotationItems'!$B$2:$B$500,$A211))</x:f>
      </x:c>
      <x:c r="H211" s="25"/>
      <x:c r="I211" s="96" t="str">
        <x:f>IF($A211="","",$G211-$H211)</x:f>
      </x:c>
      <x:c r="J211" s="19"/>
      <x:c r="K211" s="19"/>
      <x:c r="L211" s="19"/>
      <x:c r="M211" s="26"/>
    </x:row>
    <x:row r="212">
      <x:c r="A212" s="19"/>
      <x:c r="B212" s="19"/>
      <x:c r="C212" s="19"/>
      <x:c r="D212" s="19"/>
      <x:c r="E212" s="26"/>
      <x:c r="F212" s="24"/>
      <x:c r="G212" s="96" t="str">
        <x:f>IF($A212="","",SUMIFS('QuotationItems'!$I$2:$I$500,'QuotationItems'!$B$2:$B$500,$A212))</x:f>
      </x:c>
      <x:c r="H212" s="25"/>
      <x:c r="I212" s="96" t="str">
        <x:f>IF($A212="","",$G212-$H212)</x:f>
      </x:c>
      <x:c r="J212" s="19"/>
      <x:c r="K212" s="19"/>
      <x:c r="L212" s="19"/>
      <x:c r="M212" s="26"/>
    </x:row>
    <x:row r="213">
      <x:c r="A213" s="19"/>
      <x:c r="B213" s="19"/>
      <x:c r="C213" s="19"/>
      <x:c r="D213" s="19"/>
      <x:c r="E213" s="26"/>
      <x:c r="F213" s="24"/>
      <x:c r="G213" s="96" t="str">
        <x:f>IF($A213="","",SUMIFS('QuotationItems'!$I$2:$I$500,'QuotationItems'!$B$2:$B$500,$A213))</x:f>
      </x:c>
      <x:c r="H213" s="25"/>
      <x:c r="I213" s="96" t="str">
        <x:f>IF($A213="","",$G213-$H213)</x:f>
      </x:c>
      <x:c r="J213" s="19"/>
      <x:c r="K213" s="19"/>
      <x:c r="L213" s="19"/>
      <x:c r="M213" s="26"/>
    </x:row>
    <x:row r="214">
      <x:c r="A214" s="19"/>
      <x:c r="B214" s="19"/>
      <x:c r="C214" s="19"/>
      <x:c r="D214" s="19"/>
      <x:c r="E214" s="26"/>
      <x:c r="F214" s="24"/>
      <x:c r="G214" s="96" t="str">
        <x:f>IF($A214="","",SUMIFS('QuotationItems'!$I$2:$I$500,'QuotationItems'!$B$2:$B$500,$A214))</x:f>
      </x:c>
      <x:c r="H214" s="25"/>
      <x:c r="I214" s="96" t="str">
        <x:f>IF($A214="","",$G214-$H214)</x:f>
      </x:c>
      <x:c r="J214" s="19"/>
      <x:c r="K214" s="19"/>
      <x:c r="L214" s="19"/>
      <x:c r="M214" s="26"/>
    </x:row>
    <x:row r="215">
      <x:c r="A215" s="19"/>
      <x:c r="B215" s="19"/>
      <x:c r="C215" s="19"/>
      <x:c r="D215" s="19"/>
      <x:c r="E215" s="26"/>
      <x:c r="F215" s="24"/>
      <x:c r="G215" s="96" t="str">
        <x:f>IF($A215="","",SUMIFS('QuotationItems'!$I$2:$I$500,'QuotationItems'!$B$2:$B$500,$A215))</x:f>
      </x:c>
      <x:c r="H215" s="25"/>
      <x:c r="I215" s="96" t="str">
        <x:f>IF($A215="","",$G215-$H215)</x:f>
      </x:c>
      <x:c r="J215" s="19"/>
      <x:c r="K215" s="19"/>
      <x:c r="L215" s="19"/>
      <x:c r="M215" s="26"/>
    </x:row>
    <x:row r="216">
      <x:c r="A216" s="19"/>
      <x:c r="B216" s="19"/>
      <x:c r="C216" s="19"/>
      <x:c r="D216" s="19"/>
      <x:c r="E216" s="26"/>
      <x:c r="F216" s="24"/>
      <x:c r="G216" s="96" t="str">
        <x:f>IF($A216="","",SUMIFS('QuotationItems'!$I$2:$I$500,'QuotationItems'!$B$2:$B$500,$A216))</x:f>
      </x:c>
      <x:c r="H216" s="25"/>
      <x:c r="I216" s="96" t="str">
        <x:f>IF($A216="","",$G216-$H216)</x:f>
      </x:c>
      <x:c r="J216" s="19"/>
      <x:c r="K216" s="19"/>
      <x:c r="L216" s="19"/>
      <x:c r="M216" s="26"/>
    </x:row>
    <x:row r="217">
      <x:c r="A217" s="19"/>
      <x:c r="B217" s="19"/>
      <x:c r="C217" s="19"/>
      <x:c r="D217" s="19"/>
      <x:c r="E217" s="26"/>
      <x:c r="F217" s="24"/>
      <x:c r="G217" s="96" t="str">
        <x:f>IF($A217="","",SUMIFS('QuotationItems'!$I$2:$I$500,'QuotationItems'!$B$2:$B$500,$A217))</x:f>
      </x:c>
      <x:c r="H217" s="25"/>
      <x:c r="I217" s="96" t="str">
        <x:f>IF($A217="","",$G217-$H217)</x:f>
      </x:c>
      <x:c r="J217" s="19"/>
      <x:c r="K217" s="19"/>
      <x:c r="L217" s="19"/>
      <x:c r="M217" s="26"/>
    </x:row>
    <x:row r="218">
      <x:c r="A218" s="19"/>
      <x:c r="B218" s="19"/>
      <x:c r="C218" s="19"/>
      <x:c r="D218" s="19"/>
      <x:c r="E218" s="26"/>
      <x:c r="F218" s="24"/>
      <x:c r="G218" s="96" t="str">
        <x:f>IF($A218="","",SUMIFS('QuotationItems'!$I$2:$I$500,'QuotationItems'!$B$2:$B$500,$A218))</x:f>
      </x:c>
      <x:c r="H218" s="25"/>
      <x:c r="I218" s="96" t="str">
        <x:f>IF($A218="","",$G218-$H218)</x:f>
      </x:c>
      <x:c r="J218" s="19"/>
      <x:c r="K218" s="19"/>
      <x:c r="L218" s="19"/>
      <x:c r="M218" s="26"/>
    </x:row>
    <x:row r="219">
      <x:c r="A219" s="19"/>
      <x:c r="B219" s="19"/>
      <x:c r="C219" s="19"/>
      <x:c r="D219" s="19"/>
      <x:c r="E219" s="26"/>
      <x:c r="F219" s="24"/>
      <x:c r="G219" s="96" t="str">
        <x:f>IF($A219="","",SUMIFS('QuotationItems'!$I$2:$I$500,'QuotationItems'!$B$2:$B$500,$A219))</x:f>
      </x:c>
      <x:c r="H219" s="25"/>
      <x:c r="I219" s="96" t="str">
        <x:f>IF($A219="","",$G219-$H219)</x:f>
      </x:c>
      <x:c r="J219" s="19"/>
      <x:c r="K219" s="19"/>
      <x:c r="L219" s="19"/>
      <x:c r="M219" s="26"/>
    </x:row>
    <x:row r="220">
      <x:c r="A220" s="19"/>
      <x:c r="B220" s="19"/>
      <x:c r="C220" s="19"/>
      <x:c r="D220" s="19"/>
      <x:c r="E220" s="26"/>
      <x:c r="F220" s="24"/>
      <x:c r="G220" s="96" t="str">
        <x:f>IF($A220="","",SUMIFS('QuotationItems'!$I$2:$I$500,'QuotationItems'!$B$2:$B$500,$A220))</x:f>
      </x:c>
      <x:c r="H220" s="25"/>
      <x:c r="I220" s="96" t="str">
        <x:f>IF($A220="","",$G220-$H220)</x:f>
      </x:c>
      <x:c r="J220" s="19"/>
      <x:c r="K220" s="19"/>
      <x:c r="L220" s="19"/>
      <x:c r="M220" s="26"/>
    </x:row>
    <x:row r="221">
      <x:c r="A221" s="19"/>
      <x:c r="B221" s="19"/>
      <x:c r="C221" s="19"/>
      <x:c r="D221" s="19"/>
      <x:c r="E221" s="26"/>
      <x:c r="F221" s="24"/>
      <x:c r="G221" s="96" t="str">
        <x:f>IF($A221="","",SUMIFS('QuotationItems'!$I$2:$I$500,'QuotationItems'!$B$2:$B$500,$A221))</x:f>
      </x:c>
      <x:c r="H221" s="25"/>
      <x:c r="I221" s="96" t="str">
        <x:f>IF($A221="","",$G221-$H221)</x:f>
      </x:c>
      <x:c r="J221" s="19"/>
      <x:c r="K221" s="19"/>
      <x:c r="L221" s="19"/>
      <x:c r="M221" s="26"/>
    </x:row>
    <x:row r="222">
      <x:c r="A222" s="19"/>
      <x:c r="B222" s="19"/>
      <x:c r="C222" s="19"/>
      <x:c r="D222" s="19"/>
      <x:c r="E222" s="26"/>
      <x:c r="F222" s="24"/>
      <x:c r="G222" s="96" t="str">
        <x:f>IF($A222="","",SUMIFS('QuotationItems'!$I$2:$I$500,'QuotationItems'!$B$2:$B$500,$A222))</x:f>
      </x:c>
      <x:c r="H222" s="25"/>
      <x:c r="I222" s="96" t="str">
        <x:f>IF($A222="","",$G222-$H222)</x:f>
      </x:c>
      <x:c r="J222" s="19"/>
      <x:c r="K222" s="19"/>
      <x:c r="L222" s="19"/>
      <x:c r="M222" s="26"/>
    </x:row>
    <x:row r="223">
      <x:c r="A223" s="19"/>
      <x:c r="B223" s="19"/>
      <x:c r="C223" s="19"/>
      <x:c r="D223" s="19"/>
      <x:c r="E223" s="26"/>
      <x:c r="F223" s="24"/>
      <x:c r="G223" s="96" t="str">
        <x:f>IF($A223="","",SUMIFS('QuotationItems'!$I$2:$I$500,'QuotationItems'!$B$2:$B$500,$A223))</x:f>
      </x:c>
      <x:c r="H223" s="25"/>
      <x:c r="I223" s="96" t="str">
        <x:f>IF($A223="","",$G223-$H223)</x:f>
      </x:c>
      <x:c r="J223" s="19"/>
      <x:c r="K223" s="19"/>
      <x:c r="L223" s="19"/>
      <x:c r="M223" s="26"/>
    </x:row>
    <x:row r="224">
      <x:c r="A224" s="19"/>
      <x:c r="B224" s="19"/>
      <x:c r="C224" s="19"/>
      <x:c r="D224" s="19"/>
      <x:c r="E224" s="26"/>
      <x:c r="F224" s="24"/>
      <x:c r="G224" s="96" t="str">
        <x:f>IF($A224="","",SUMIFS('QuotationItems'!$I$2:$I$500,'QuotationItems'!$B$2:$B$500,$A224))</x:f>
      </x:c>
      <x:c r="H224" s="25"/>
      <x:c r="I224" s="96" t="str">
        <x:f>IF($A224="","",$G224-$H224)</x:f>
      </x:c>
      <x:c r="J224" s="19"/>
      <x:c r="K224" s="19"/>
      <x:c r="L224" s="19"/>
      <x:c r="M224" s="26"/>
    </x:row>
    <x:row r="225">
      <x:c r="A225" s="19"/>
      <x:c r="B225" s="19"/>
      <x:c r="C225" s="19"/>
      <x:c r="D225" s="19"/>
      <x:c r="E225" s="26"/>
      <x:c r="F225" s="24"/>
      <x:c r="G225" s="96" t="str">
        <x:f>IF($A225="","",SUMIFS('QuotationItems'!$I$2:$I$500,'QuotationItems'!$B$2:$B$500,$A225))</x:f>
      </x:c>
      <x:c r="H225" s="25"/>
      <x:c r="I225" s="96" t="str">
        <x:f>IF($A225="","",$G225-$H225)</x:f>
      </x:c>
      <x:c r="J225" s="19"/>
      <x:c r="K225" s="19"/>
      <x:c r="L225" s="19"/>
      <x:c r="M225" s="26"/>
    </x:row>
    <x:row r="226">
      <x:c r="A226" s="19"/>
      <x:c r="B226" s="19"/>
      <x:c r="C226" s="19"/>
      <x:c r="D226" s="19"/>
      <x:c r="E226" s="26"/>
      <x:c r="F226" s="24"/>
      <x:c r="G226" s="96" t="str">
        <x:f>IF($A226="","",SUMIFS('QuotationItems'!$I$2:$I$500,'QuotationItems'!$B$2:$B$500,$A226))</x:f>
      </x:c>
      <x:c r="H226" s="25"/>
      <x:c r="I226" s="96" t="str">
        <x:f>IF($A226="","",$G226-$H226)</x:f>
      </x:c>
      <x:c r="J226" s="19"/>
      <x:c r="K226" s="19"/>
      <x:c r="L226" s="19"/>
      <x:c r="M226" s="26"/>
    </x:row>
    <x:row r="227">
      <x:c r="A227" s="19"/>
      <x:c r="B227" s="19"/>
      <x:c r="C227" s="19"/>
      <x:c r="D227" s="19"/>
      <x:c r="E227" s="26"/>
      <x:c r="F227" s="24"/>
      <x:c r="G227" s="96" t="str">
        <x:f>IF($A227="","",SUMIFS('QuotationItems'!$I$2:$I$500,'QuotationItems'!$B$2:$B$500,$A227))</x:f>
      </x:c>
      <x:c r="H227" s="25"/>
      <x:c r="I227" s="96" t="str">
        <x:f>IF($A227="","",$G227-$H227)</x:f>
      </x:c>
      <x:c r="J227" s="19"/>
      <x:c r="K227" s="19"/>
      <x:c r="L227" s="19"/>
      <x:c r="M227" s="26"/>
    </x:row>
    <x:row r="228">
      <x:c r="A228" s="19"/>
      <x:c r="B228" s="19"/>
      <x:c r="C228" s="19"/>
      <x:c r="D228" s="19"/>
      <x:c r="E228" s="26"/>
      <x:c r="F228" s="24"/>
      <x:c r="G228" s="96" t="str">
        <x:f>IF($A228="","",SUMIFS('QuotationItems'!$I$2:$I$500,'QuotationItems'!$B$2:$B$500,$A228))</x:f>
      </x:c>
      <x:c r="H228" s="25"/>
      <x:c r="I228" s="96" t="str">
        <x:f>IF($A228="","",$G228-$H228)</x:f>
      </x:c>
      <x:c r="J228" s="19"/>
      <x:c r="K228" s="19"/>
      <x:c r="L228" s="19"/>
      <x:c r="M228" s="26"/>
    </x:row>
    <x:row r="229">
      <x:c r="A229" s="19"/>
      <x:c r="B229" s="19"/>
      <x:c r="C229" s="19"/>
      <x:c r="D229" s="19"/>
      <x:c r="E229" s="26"/>
      <x:c r="F229" s="24"/>
      <x:c r="G229" s="96" t="str">
        <x:f>IF($A229="","",SUMIFS('QuotationItems'!$I$2:$I$500,'QuotationItems'!$B$2:$B$500,$A229))</x:f>
      </x:c>
      <x:c r="H229" s="25"/>
      <x:c r="I229" s="96" t="str">
        <x:f>IF($A229="","",$G229-$H229)</x:f>
      </x:c>
      <x:c r="J229" s="19"/>
      <x:c r="K229" s="19"/>
      <x:c r="L229" s="19"/>
      <x:c r="M229" s="26"/>
    </x:row>
    <x:row r="230">
      <x:c r="A230" s="19"/>
      <x:c r="B230" s="19"/>
      <x:c r="C230" s="19"/>
      <x:c r="D230" s="19"/>
      <x:c r="E230" s="26"/>
      <x:c r="F230" s="24"/>
      <x:c r="G230" s="96" t="str">
        <x:f>IF($A230="","",SUMIFS('QuotationItems'!$I$2:$I$500,'QuotationItems'!$B$2:$B$500,$A230))</x:f>
      </x:c>
      <x:c r="H230" s="25"/>
      <x:c r="I230" s="96" t="str">
        <x:f>IF($A230="","",$G230-$H230)</x:f>
      </x:c>
      <x:c r="J230" s="19"/>
      <x:c r="K230" s="19"/>
      <x:c r="L230" s="19"/>
      <x:c r="M230" s="26"/>
    </x:row>
    <x:row r="231">
      <x:c r="A231" s="19"/>
      <x:c r="B231" s="19"/>
      <x:c r="C231" s="19"/>
      <x:c r="D231" s="19"/>
      <x:c r="E231" s="26"/>
      <x:c r="F231" s="24"/>
      <x:c r="G231" s="96" t="str">
        <x:f>IF($A231="","",SUMIFS('QuotationItems'!$I$2:$I$500,'QuotationItems'!$B$2:$B$500,$A231))</x:f>
      </x:c>
      <x:c r="H231" s="25"/>
      <x:c r="I231" s="96" t="str">
        <x:f>IF($A231="","",$G231-$H231)</x:f>
      </x:c>
      <x:c r="J231" s="19"/>
      <x:c r="K231" s="19"/>
      <x:c r="L231" s="19"/>
      <x:c r="M231" s="26"/>
    </x:row>
    <x:row r="232">
      <x:c r="A232" s="19"/>
      <x:c r="B232" s="19"/>
      <x:c r="C232" s="19"/>
      <x:c r="D232" s="19"/>
      <x:c r="E232" s="26"/>
      <x:c r="F232" s="24"/>
      <x:c r="G232" s="96" t="str">
        <x:f>IF($A232="","",SUMIFS('QuotationItems'!$I$2:$I$500,'QuotationItems'!$B$2:$B$500,$A232))</x:f>
      </x:c>
      <x:c r="H232" s="25"/>
      <x:c r="I232" s="96" t="str">
        <x:f>IF($A232="","",$G232-$H232)</x:f>
      </x:c>
      <x:c r="J232" s="19"/>
      <x:c r="K232" s="19"/>
      <x:c r="L232" s="19"/>
      <x:c r="M232" s="26"/>
    </x:row>
    <x:row r="233">
      <x:c r="A233" s="19"/>
      <x:c r="B233" s="19"/>
      <x:c r="C233" s="19"/>
      <x:c r="D233" s="19"/>
      <x:c r="E233" s="26"/>
      <x:c r="F233" s="24"/>
      <x:c r="G233" s="96" t="str">
        <x:f>IF($A233="","",SUMIFS('QuotationItems'!$I$2:$I$500,'QuotationItems'!$B$2:$B$500,$A233))</x:f>
      </x:c>
      <x:c r="H233" s="25"/>
      <x:c r="I233" s="96" t="str">
        <x:f>IF($A233="","",$G233-$H233)</x:f>
      </x:c>
      <x:c r="J233" s="19"/>
      <x:c r="K233" s="19"/>
      <x:c r="L233" s="19"/>
      <x:c r="M233" s="26"/>
    </x:row>
    <x:row r="234">
      <x:c r="A234" s="19"/>
      <x:c r="B234" s="19"/>
      <x:c r="C234" s="19"/>
      <x:c r="D234" s="19"/>
      <x:c r="E234" s="26"/>
      <x:c r="F234" s="24"/>
      <x:c r="G234" s="96" t="str">
        <x:f>IF($A234="","",SUMIFS('QuotationItems'!$I$2:$I$500,'QuotationItems'!$B$2:$B$500,$A234))</x:f>
      </x:c>
      <x:c r="H234" s="25"/>
      <x:c r="I234" s="96" t="str">
        <x:f>IF($A234="","",$G234-$H234)</x:f>
      </x:c>
      <x:c r="J234" s="19"/>
      <x:c r="K234" s="19"/>
      <x:c r="L234" s="19"/>
      <x:c r="M234" s="26"/>
    </x:row>
    <x:row r="235">
      <x:c r="A235" s="19"/>
      <x:c r="B235" s="19"/>
      <x:c r="C235" s="19"/>
      <x:c r="D235" s="19"/>
      <x:c r="E235" s="26"/>
      <x:c r="F235" s="24"/>
      <x:c r="G235" s="96" t="str">
        <x:f>IF($A235="","",SUMIFS('QuotationItems'!$I$2:$I$500,'QuotationItems'!$B$2:$B$500,$A235))</x:f>
      </x:c>
      <x:c r="H235" s="25"/>
      <x:c r="I235" s="96" t="str">
        <x:f>IF($A235="","",$G235-$H235)</x:f>
      </x:c>
      <x:c r="J235" s="19"/>
      <x:c r="K235" s="19"/>
      <x:c r="L235" s="19"/>
      <x:c r="M235" s="26"/>
    </x:row>
    <x:row r="236">
      <x:c r="A236" s="19"/>
      <x:c r="B236" s="19"/>
      <x:c r="C236" s="19"/>
      <x:c r="D236" s="19"/>
      <x:c r="E236" s="26"/>
      <x:c r="F236" s="24"/>
      <x:c r="G236" s="96" t="str">
        <x:f>IF($A236="","",SUMIFS('QuotationItems'!$I$2:$I$500,'QuotationItems'!$B$2:$B$500,$A236))</x:f>
      </x:c>
      <x:c r="H236" s="25"/>
      <x:c r="I236" s="96" t="str">
        <x:f>IF($A236="","",$G236-$H236)</x:f>
      </x:c>
      <x:c r="J236" s="19"/>
      <x:c r="K236" s="19"/>
      <x:c r="L236" s="19"/>
      <x:c r="M236" s="26"/>
    </x:row>
    <x:row r="237">
      <x:c r="A237" s="19"/>
      <x:c r="B237" s="19"/>
      <x:c r="C237" s="19"/>
      <x:c r="D237" s="19"/>
      <x:c r="E237" s="26"/>
      <x:c r="F237" s="24"/>
      <x:c r="G237" s="96" t="str">
        <x:f>IF($A237="","",SUMIFS('QuotationItems'!$I$2:$I$500,'QuotationItems'!$B$2:$B$500,$A237))</x:f>
      </x:c>
      <x:c r="H237" s="25"/>
      <x:c r="I237" s="96" t="str">
        <x:f>IF($A237="","",$G237-$H237)</x:f>
      </x:c>
      <x:c r="J237" s="19"/>
      <x:c r="K237" s="19"/>
      <x:c r="L237" s="19"/>
      <x:c r="M237" s="26"/>
    </x:row>
    <x:row r="238">
      <x:c r="A238" s="19"/>
      <x:c r="B238" s="19"/>
      <x:c r="C238" s="19"/>
      <x:c r="D238" s="19"/>
      <x:c r="E238" s="26"/>
      <x:c r="F238" s="24"/>
      <x:c r="G238" s="96" t="str">
        <x:f>IF($A238="","",SUMIFS('QuotationItems'!$I$2:$I$500,'QuotationItems'!$B$2:$B$500,$A238))</x:f>
      </x:c>
      <x:c r="H238" s="25"/>
      <x:c r="I238" s="96" t="str">
        <x:f>IF($A238="","",$G238-$H238)</x:f>
      </x:c>
      <x:c r="J238" s="19"/>
      <x:c r="K238" s="19"/>
      <x:c r="L238" s="19"/>
      <x:c r="M238" s="26"/>
    </x:row>
    <x:row r="239">
      <x:c r="A239" s="19"/>
      <x:c r="B239" s="19"/>
      <x:c r="C239" s="19"/>
      <x:c r="D239" s="19"/>
      <x:c r="E239" s="26"/>
      <x:c r="F239" s="24"/>
      <x:c r="G239" s="96" t="str">
        <x:f>IF($A239="","",SUMIFS('QuotationItems'!$I$2:$I$500,'QuotationItems'!$B$2:$B$500,$A239))</x:f>
      </x:c>
      <x:c r="H239" s="25"/>
      <x:c r="I239" s="96" t="str">
        <x:f>IF($A239="","",$G239-$H239)</x:f>
      </x:c>
      <x:c r="J239" s="19"/>
      <x:c r="K239" s="19"/>
      <x:c r="L239" s="19"/>
      <x:c r="M239" s="26"/>
    </x:row>
    <x:row r="240">
      <x:c r="A240" s="19"/>
      <x:c r="B240" s="19"/>
      <x:c r="C240" s="19"/>
      <x:c r="D240" s="19"/>
      <x:c r="E240" s="26"/>
      <x:c r="F240" s="24"/>
      <x:c r="G240" s="96" t="str">
        <x:f>IF($A240="","",SUMIFS('QuotationItems'!$I$2:$I$500,'QuotationItems'!$B$2:$B$500,$A240))</x:f>
      </x:c>
      <x:c r="H240" s="25"/>
      <x:c r="I240" s="96" t="str">
        <x:f>IF($A240="","",$G240-$H240)</x:f>
      </x:c>
      <x:c r="J240" s="19"/>
      <x:c r="K240" s="19"/>
      <x:c r="L240" s="19"/>
      <x:c r="M240" s="26"/>
    </x:row>
    <x:row r="241">
      <x:c r="A241" s="19"/>
      <x:c r="B241" s="19"/>
      <x:c r="C241" s="19"/>
      <x:c r="D241" s="19"/>
      <x:c r="E241" s="26"/>
      <x:c r="F241" s="24"/>
      <x:c r="G241" s="96" t="str">
        <x:f>IF($A241="","",SUMIFS('QuotationItems'!$I$2:$I$500,'QuotationItems'!$B$2:$B$500,$A241))</x:f>
      </x:c>
      <x:c r="H241" s="25"/>
      <x:c r="I241" s="96" t="str">
        <x:f>IF($A241="","",$G241-$H241)</x:f>
      </x:c>
      <x:c r="J241" s="19"/>
      <x:c r="K241" s="19"/>
      <x:c r="L241" s="19"/>
      <x:c r="M241" s="26"/>
    </x:row>
    <x:row r="242">
      <x:c r="A242" s="19"/>
      <x:c r="B242" s="19"/>
      <x:c r="C242" s="19"/>
      <x:c r="D242" s="19"/>
      <x:c r="E242" s="26"/>
      <x:c r="F242" s="24"/>
      <x:c r="G242" s="96" t="str">
        <x:f>IF($A242="","",SUMIFS('QuotationItems'!$I$2:$I$500,'QuotationItems'!$B$2:$B$500,$A242))</x:f>
      </x:c>
      <x:c r="H242" s="25"/>
      <x:c r="I242" s="96" t="str">
        <x:f>IF($A242="","",$G242-$H242)</x:f>
      </x:c>
      <x:c r="J242" s="19"/>
      <x:c r="K242" s="19"/>
      <x:c r="L242" s="19"/>
      <x:c r="M242" s="26"/>
    </x:row>
    <x:row r="243">
      <x:c r="A243" s="19"/>
      <x:c r="B243" s="19"/>
      <x:c r="C243" s="19"/>
      <x:c r="D243" s="19"/>
      <x:c r="E243" s="26"/>
      <x:c r="F243" s="24"/>
      <x:c r="G243" s="96" t="str">
        <x:f>IF($A243="","",SUMIFS('QuotationItems'!$I$2:$I$500,'QuotationItems'!$B$2:$B$500,$A243))</x:f>
      </x:c>
      <x:c r="H243" s="25"/>
      <x:c r="I243" s="96" t="str">
        <x:f>IF($A243="","",$G243-$H243)</x:f>
      </x:c>
      <x:c r="J243" s="19"/>
      <x:c r="K243" s="19"/>
      <x:c r="L243" s="19"/>
      <x:c r="M243" s="26"/>
    </x:row>
    <x:row r="244">
      <x:c r="A244" s="19"/>
      <x:c r="B244" s="19"/>
      <x:c r="C244" s="19"/>
      <x:c r="D244" s="19"/>
      <x:c r="E244" s="26"/>
      <x:c r="F244" s="24"/>
      <x:c r="G244" s="96" t="str">
        <x:f>IF($A244="","",SUMIFS('QuotationItems'!$I$2:$I$500,'QuotationItems'!$B$2:$B$500,$A244))</x:f>
      </x:c>
      <x:c r="H244" s="25"/>
      <x:c r="I244" s="96" t="str">
        <x:f>IF($A244="","",$G244-$H244)</x:f>
      </x:c>
      <x:c r="J244" s="19"/>
      <x:c r="K244" s="19"/>
      <x:c r="L244" s="19"/>
      <x:c r="M244" s="26"/>
    </x:row>
    <x:row r="245">
      <x:c r="A245" s="19"/>
      <x:c r="B245" s="19"/>
      <x:c r="C245" s="19"/>
      <x:c r="D245" s="19"/>
      <x:c r="E245" s="26"/>
      <x:c r="F245" s="24"/>
      <x:c r="G245" s="96" t="str">
        <x:f>IF($A245="","",SUMIFS('QuotationItems'!$I$2:$I$500,'QuotationItems'!$B$2:$B$500,$A245))</x:f>
      </x:c>
      <x:c r="H245" s="25"/>
      <x:c r="I245" s="96" t="str">
        <x:f>IF($A245="","",$G245-$H245)</x:f>
      </x:c>
      <x:c r="J245" s="19"/>
      <x:c r="K245" s="19"/>
      <x:c r="L245" s="19"/>
      <x:c r="M245" s="26"/>
    </x:row>
    <x:row r="246">
      <x:c r="A246" s="19"/>
      <x:c r="B246" s="19"/>
      <x:c r="C246" s="19"/>
      <x:c r="D246" s="19"/>
      <x:c r="E246" s="26"/>
      <x:c r="F246" s="24"/>
      <x:c r="G246" s="96" t="str">
        <x:f>IF($A246="","",SUMIFS('QuotationItems'!$I$2:$I$500,'QuotationItems'!$B$2:$B$500,$A246))</x:f>
      </x:c>
      <x:c r="H246" s="25"/>
      <x:c r="I246" s="96" t="str">
        <x:f>IF($A246="","",$G246-$H246)</x:f>
      </x:c>
      <x:c r="J246" s="19"/>
      <x:c r="K246" s="19"/>
      <x:c r="L246" s="19"/>
      <x:c r="M246" s="26"/>
    </x:row>
    <x:row r="247">
      <x:c r="A247" s="19"/>
      <x:c r="B247" s="19"/>
      <x:c r="C247" s="19"/>
      <x:c r="D247" s="19"/>
      <x:c r="E247" s="26"/>
      <x:c r="F247" s="24"/>
      <x:c r="G247" s="96" t="str">
        <x:f>IF($A247="","",SUMIFS('QuotationItems'!$I$2:$I$500,'QuotationItems'!$B$2:$B$500,$A247))</x:f>
      </x:c>
      <x:c r="H247" s="25"/>
      <x:c r="I247" s="96" t="str">
        <x:f>IF($A247="","",$G247-$H247)</x:f>
      </x:c>
      <x:c r="J247" s="19"/>
      <x:c r="K247" s="19"/>
      <x:c r="L247" s="19"/>
      <x:c r="M247" s="26"/>
    </x:row>
    <x:row r="248">
      <x:c r="A248" s="19"/>
      <x:c r="B248" s="19"/>
      <x:c r="C248" s="19"/>
      <x:c r="D248" s="19"/>
      <x:c r="E248" s="26"/>
      <x:c r="F248" s="24"/>
      <x:c r="G248" s="96" t="str">
        <x:f>IF($A248="","",SUMIFS('QuotationItems'!$I$2:$I$500,'QuotationItems'!$B$2:$B$500,$A248))</x:f>
      </x:c>
      <x:c r="H248" s="25"/>
      <x:c r="I248" s="96" t="str">
        <x:f>IF($A248="","",$G248-$H248)</x:f>
      </x:c>
      <x:c r="J248" s="19"/>
      <x:c r="K248" s="19"/>
      <x:c r="L248" s="19"/>
      <x:c r="M248" s="26"/>
    </x:row>
    <x:row r="249">
      <x:c r="A249" s="19"/>
      <x:c r="B249" s="19"/>
      <x:c r="C249" s="19"/>
      <x:c r="D249" s="19"/>
      <x:c r="E249" s="26"/>
      <x:c r="F249" s="24"/>
      <x:c r="G249" s="96" t="str">
        <x:f>IF($A249="","",SUMIFS('QuotationItems'!$I$2:$I$500,'QuotationItems'!$B$2:$B$500,$A249))</x:f>
      </x:c>
      <x:c r="H249" s="25"/>
      <x:c r="I249" s="96" t="str">
        <x:f>IF($A249="","",$G249-$H249)</x:f>
      </x:c>
      <x:c r="J249" s="19"/>
      <x:c r="K249" s="19"/>
      <x:c r="L249" s="19"/>
      <x:c r="M249" s="26"/>
    </x:row>
    <x:row r="250">
      <x:c r="A250" s="19"/>
      <x:c r="B250" s="19"/>
      <x:c r="C250" s="19"/>
      <x:c r="D250" s="19"/>
      <x:c r="E250" s="26"/>
      <x:c r="F250" s="24"/>
      <x:c r="G250" s="96" t="str">
        <x:f>IF($A250="","",SUMIFS('QuotationItems'!$I$2:$I$500,'QuotationItems'!$B$2:$B$500,$A250))</x:f>
      </x:c>
      <x:c r="H250" s="25"/>
      <x:c r="I250" s="96" t="str">
        <x:f>IF($A250="","",$G250-$H250)</x:f>
      </x:c>
      <x:c r="J250" s="19"/>
      <x:c r="K250" s="19"/>
      <x:c r="L250" s="19"/>
      <x:c r="M250" s="26"/>
    </x:row>
    <x:row r="251">
      <x:c r="A251" s="19"/>
      <x:c r="B251" s="19"/>
      <x:c r="C251" s="19"/>
      <x:c r="D251" s="19"/>
      <x:c r="E251" s="26"/>
      <x:c r="F251" s="24"/>
      <x:c r="G251" s="96" t="str">
        <x:f>IF($A251="","",SUMIFS('QuotationItems'!$I$2:$I$500,'QuotationItems'!$B$2:$B$500,$A251))</x:f>
      </x:c>
      <x:c r="H251" s="25"/>
      <x:c r="I251" s="96" t="str">
        <x:f>IF($A251="","",$G251-$H251)</x:f>
      </x:c>
      <x:c r="J251" s="19"/>
      <x:c r="K251" s="19"/>
      <x:c r="L251" s="19"/>
      <x:c r="M251" s="26"/>
    </x:row>
    <x:row r="252">
      <x:c r="A252" s="19"/>
      <x:c r="B252" s="19"/>
      <x:c r="C252" s="19"/>
      <x:c r="D252" s="19"/>
      <x:c r="E252" s="26"/>
      <x:c r="F252" s="24"/>
      <x:c r="G252" s="96" t="str">
        <x:f>IF($A252="","",SUMIFS('QuotationItems'!$I$2:$I$500,'QuotationItems'!$B$2:$B$500,$A252))</x:f>
      </x:c>
      <x:c r="H252" s="25"/>
      <x:c r="I252" s="96" t="str">
        <x:f>IF($A252="","",$G252-$H252)</x:f>
      </x:c>
      <x:c r="J252" s="19"/>
      <x:c r="K252" s="19"/>
      <x:c r="L252" s="19"/>
      <x:c r="M252" s="26"/>
    </x:row>
    <x:row r="253">
      <x:c r="A253" s="19"/>
      <x:c r="B253" s="19"/>
      <x:c r="C253" s="19"/>
      <x:c r="D253" s="19"/>
      <x:c r="E253" s="26"/>
      <x:c r="F253" s="24"/>
      <x:c r="G253" s="96" t="str">
        <x:f>IF($A253="","",SUMIFS('QuotationItems'!$I$2:$I$500,'QuotationItems'!$B$2:$B$500,$A253))</x:f>
      </x:c>
      <x:c r="H253" s="25"/>
      <x:c r="I253" s="96" t="str">
        <x:f>IF($A253="","",$G253-$H253)</x:f>
      </x:c>
      <x:c r="J253" s="19"/>
      <x:c r="K253" s="19"/>
      <x:c r="L253" s="19"/>
      <x:c r="M253" s="26"/>
    </x:row>
    <x:row r="254">
      <x:c r="A254" s="19"/>
      <x:c r="B254" s="19"/>
      <x:c r="C254" s="19"/>
      <x:c r="D254" s="19"/>
      <x:c r="E254" s="26"/>
      <x:c r="F254" s="24"/>
      <x:c r="G254" s="96" t="str">
        <x:f>IF($A254="","",SUMIFS('QuotationItems'!$I$2:$I$500,'QuotationItems'!$B$2:$B$500,$A254))</x:f>
      </x:c>
      <x:c r="H254" s="25"/>
      <x:c r="I254" s="96" t="str">
        <x:f>IF($A254="","",$G254-$H254)</x:f>
      </x:c>
      <x:c r="J254" s="19"/>
      <x:c r="K254" s="19"/>
      <x:c r="L254" s="19"/>
      <x:c r="M254" s="26"/>
    </x:row>
    <x:row r="255">
      <x:c r="A255" s="19"/>
      <x:c r="B255" s="19"/>
      <x:c r="C255" s="19"/>
      <x:c r="D255" s="19"/>
      <x:c r="E255" s="26"/>
      <x:c r="F255" s="24"/>
      <x:c r="G255" s="96" t="str">
        <x:f>IF($A255="","",SUMIFS('QuotationItems'!$I$2:$I$500,'QuotationItems'!$B$2:$B$500,$A255))</x:f>
      </x:c>
      <x:c r="H255" s="25"/>
      <x:c r="I255" s="96" t="str">
        <x:f>IF($A255="","",$G255-$H255)</x:f>
      </x:c>
      <x:c r="J255" s="19"/>
      <x:c r="K255" s="19"/>
      <x:c r="L255" s="19"/>
      <x:c r="M255" s="26"/>
    </x:row>
    <x:row r="256">
      <x:c r="A256" s="19"/>
      <x:c r="B256" s="19"/>
      <x:c r="C256" s="19"/>
      <x:c r="D256" s="19"/>
      <x:c r="E256" s="26"/>
      <x:c r="F256" s="24"/>
      <x:c r="G256" s="96" t="str">
        <x:f>IF($A256="","",SUMIFS('QuotationItems'!$I$2:$I$500,'QuotationItems'!$B$2:$B$500,$A256))</x:f>
      </x:c>
      <x:c r="H256" s="25"/>
      <x:c r="I256" s="96" t="str">
        <x:f>IF($A256="","",$G256-$H256)</x:f>
      </x:c>
      <x:c r="J256" s="19"/>
      <x:c r="K256" s="19"/>
      <x:c r="L256" s="19"/>
      <x:c r="M256" s="26"/>
    </x:row>
    <x:row r="257">
      <x:c r="A257" s="19"/>
      <x:c r="B257" s="19"/>
      <x:c r="C257" s="19"/>
      <x:c r="D257" s="19"/>
      <x:c r="E257" s="26"/>
      <x:c r="F257" s="24"/>
      <x:c r="G257" s="96" t="str">
        <x:f>IF($A257="","",SUMIFS('QuotationItems'!$I$2:$I$500,'QuotationItems'!$B$2:$B$500,$A257))</x:f>
      </x:c>
      <x:c r="H257" s="25"/>
      <x:c r="I257" s="96" t="str">
        <x:f>IF($A257="","",$G257-$H257)</x:f>
      </x:c>
      <x:c r="J257" s="19"/>
      <x:c r="K257" s="19"/>
      <x:c r="L257" s="19"/>
      <x:c r="M257" s="26"/>
    </x:row>
    <x:row r="258">
      <x:c r="A258" s="19"/>
      <x:c r="B258" s="19"/>
      <x:c r="C258" s="19"/>
      <x:c r="D258" s="19"/>
      <x:c r="E258" s="26"/>
      <x:c r="F258" s="24"/>
      <x:c r="G258" s="96" t="str">
        <x:f>IF($A258="","",SUMIFS('QuotationItems'!$I$2:$I$500,'QuotationItems'!$B$2:$B$500,$A258))</x:f>
      </x:c>
      <x:c r="H258" s="25"/>
      <x:c r="I258" s="96" t="str">
        <x:f>IF($A258="","",$G258-$H258)</x:f>
      </x:c>
      <x:c r="J258" s="19"/>
      <x:c r="K258" s="19"/>
      <x:c r="L258" s="19"/>
      <x:c r="M258" s="26"/>
    </x:row>
    <x:row r="259">
      <x:c r="A259" s="19"/>
      <x:c r="B259" s="19"/>
      <x:c r="C259" s="19"/>
      <x:c r="D259" s="19"/>
      <x:c r="E259" s="26"/>
      <x:c r="F259" s="24"/>
      <x:c r="G259" s="96" t="str">
        <x:f>IF($A259="","",SUMIFS('QuotationItems'!$I$2:$I$500,'QuotationItems'!$B$2:$B$500,$A259))</x:f>
      </x:c>
      <x:c r="H259" s="25"/>
      <x:c r="I259" s="96" t="str">
        <x:f>IF($A259="","",$G259-$H259)</x:f>
      </x:c>
      <x:c r="J259" s="19"/>
      <x:c r="K259" s="19"/>
      <x:c r="L259" s="19"/>
      <x:c r="M259" s="26"/>
    </x:row>
    <x:row r="260">
      <x:c r="A260" s="19"/>
      <x:c r="B260" s="19"/>
      <x:c r="C260" s="19"/>
      <x:c r="D260" s="19"/>
      <x:c r="E260" s="26"/>
      <x:c r="F260" s="24"/>
      <x:c r="G260" s="96" t="str">
        <x:f>IF($A260="","",SUMIFS('QuotationItems'!$I$2:$I$500,'QuotationItems'!$B$2:$B$500,$A260))</x:f>
      </x:c>
      <x:c r="H260" s="25"/>
      <x:c r="I260" s="96" t="str">
        <x:f>IF($A260="","",$G260-$H260)</x:f>
      </x:c>
      <x:c r="J260" s="19"/>
      <x:c r="K260" s="19"/>
      <x:c r="L260" s="19"/>
      <x:c r="M260" s="26"/>
    </x:row>
    <x:row r="261">
      <x:c r="A261" s="19"/>
      <x:c r="B261" s="19"/>
      <x:c r="C261" s="19"/>
      <x:c r="D261" s="19"/>
      <x:c r="E261" s="26"/>
      <x:c r="F261" s="24"/>
      <x:c r="G261" s="96" t="str">
        <x:f>IF($A261="","",SUMIFS('QuotationItems'!$I$2:$I$500,'QuotationItems'!$B$2:$B$500,$A261))</x:f>
      </x:c>
      <x:c r="H261" s="25"/>
      <x:c r="I261" s="96" t="str">
        <x:f>IF($A261="","",$G261-$H261)</x:f>
      </x:c>
      <x:c r="J261" s="19"/>
      <x:c r="K261" s="19"/>
      <x:c r="L261" s="19"/>
      <x:c r="M261" s="26"/>
    </x:row>
    <x:row r="262">
      <x:c r="A262" s="19"/>
      <x:c r="B262" s="19"/>
      <x:c r="C262" s="19"/>
      <x:c r="D262" s="19"/>
      <x:c r="E262" s="26"/>
      <x:c r="F262" s="24"/>
      <x:c r="G262" s="96" t="str">
        <x:f>IF($A262="","",SUMIFS('QuotationItems'!$I$2:$I$500,'QuotationItems'!$B$2:$B$500,$A262))</x:f>
      </x:c>
      <x:c r="H262" s="25"/>
      <x:c r="I262" s="96" t="str">
        <x:f>IF($A262="","",$G262-$H262)</x:f>
      </x:c>
      <x:c r="J262" s="19"/>
      <x:c r="K262" s="19"/>
      <x:c r="L262" s="19"/>
      <x:c r="M262" s="26"/>
    </x:row>
    <x:row r="263">
      <x:c r="A263" s="19"/>
      <x:c r="B263" s="19"/>
      <x:c r="C263" s="19"/>
      <x:c r="D263" s="19"/>
      <x:c r="E263" s="26"/>
      <x:c r="F263" s="24"/>
      <x:c r="G263" s="96" t="str">
        <x:f>IF($A263="","",SUMIFS('QuotationItems'!$I$2:$I$500,'QuotationItems'!$B$2:$B$500,$A263))</x:f>
      </x:c>
      <x:c r="H263" s="25"/>
      <x:c r="I263" s="96" t="str">
        <x:f>IF($A263="","",$G263-$H263)</x:f>
      </x:c>
      <x:c r="J263" s="19"/>
      <x:c r="K263" s="19"/>
      <x:c r="L263" s="19"/>
      <x:c r="M263" s="26"/>
    </x:row>
    <x:row r="264">
      <x:c r="A264" s="19"/>
      <x:c r="B264" s="19"/>
      <x:c r="C264" s="19"/>
      <x:c r="D264" s="19"/>
      <x:c r="E264" s="26"/>
      <x:c r="F264" s="24"/>
      <x:c r="G264" s="96" t="str">
        <x:f>IF($A264="","",SUMIFS('QuotationItems'!$I$2:$I$500,'QuotationItems'!$B$2:$B$500,$A264))</x:f>
      </x:c>
      <x:c r="H264" s="25"/>
      <x:c r="I264" s="96" t="str">
        <x:f>IF($A264="","",$G264-$H264)</x:f>
      </x:c>
      <x:c r="J264" s="19"/>
      <x:c r="K264" s="19"/>
      <x:c r="L264" s="19"/>
      <x:c r="M264" s="26"/>
    </x:row>
    <x:row r="265">
      <x:c r="A265" s="19"/>
      <x:c r="B265" s="19"/>
      <x:c r="C265" s="19"/>
      <x:c r="D265" s="19"/>
      <x:c r="E265" s="26"/>
      <x:c r="F265" s="24"/>
      <x:c r="G265" s="96" t="str">
        <x:f>IF($A265="","",SUMIFS('QuotationItems'!$I$2:$I$500,'QuotationItems'!$B$2:$B$500,$A265))</x:f>
      </x:c>
      <x:c r="H265" s="25"/>
      <x:c r="I265" s="96" t="str">
        <x:f>IF($A265="","",$G265-$H265)</x:f>
      </x:c>
      <x:c r="J265" s="19"/>
      <x:c r="K265" s="19"/>
      <x:c r="L265" s="19"/>
      <x:c r="M265" s="26"/>
    </x:row>
    <x:row r="266">
      <x:c r="A266" s="19"/>
      <x:c r="B266" s="19"/>
      <x:c r="C266" s="19"/>
      <x:c r="D266" s="19"/>
      <x:c r="E266" s="26"/>
      <x:c r="F266" s="24"/>
      <x:c r="G266" s="96" t="str">
        <x:f>IF($A266="","",SUMIFS('QuotationItems'!$I$2:$I$500,'QuotationItems'!$B$2:$B$500,$A266))</x:f>
      </x:c>
      <x:c r="H266" s="25"/>
      <x:c r="I266" s="96" t="str">
        <x:f>IF($A266="","",$G266-$H266)</x:f>
      </x:c>
      <x:c r="J266" s="19"/>
      <x:c r="K266" s="19"/>
      <x:c r="L266" s="19"/>
      <x:c r="M266" s="26"/>
    </x:row>
    <x:row r="267">
      <x:c r="A267" s="19"/>
      <x:c r="B267" s="19"/>
      <x:c r="C267" s="19"/>
      <x:c r="D267" s="19"/>
      <x:c r="E267" s="26"/>
      <x:c r="F267" s="24"/>
      <x:c r="G267" s="96" t="str">
        <x:f>IF($A267="","",SUMIFS('QuotationItems'!$I$2:$I$500,'QuotationItems'!$B$2:$B$500,$A267))</x:f>
      </x:c>
      <x:c r="H267" s="25"/>
      <x:c r="I267" s="96" t="str">
        <x:f>IF($A267="","",$G267-$H267)</x:f>
      </x:c>
      <x:c r="J267" s="19"/>
      <x:c r="K267" s="19"/>
      <x:c r="L267" s="19"/>
      <x:c r="M267" s="26"/>
    </x:row>
    <x:row r="268">
      <x:c r="A268" s="19"/>
      <x:c r="B268" s="19"/>
      <x:c r="C268" s="19"/>
      <x:c r="D268" s="19"/>
      <x:c r="E268" s="26"/>
      <x:c r="F268" s="24"/>
      <x:c r="G268" s="96" t="str">
        <x:f>IF($A268="","",SUMIFS('QuotationItems'!$I$2:$I$500,'QuotationItems'!$B$2:$B$500,$A268))</x:f>
      </x:c>
      <x:c r="H268" s="25"/>
      <x:c r="I268" s="96" t="str">
        <x:f>IF($A268="","",$G268-$H268)</x:f>
      </x:c>
      <x:c r="J268" s="19"/>
      <x:c r="K268" s="19"/>
      <x:c r="L268" s="19"/>
      <x:c r="M268" s="26"/>
    </x:row>
    <x:row r="269">
      <x:c r="A269" s="19"/>
      <x:c r="B269" s="19"/>
      <x:c r="C269" s="19"/>
      <x:c r="D269" s="19"/>
      <x:c r="E269" s="26"/>
      <x:c r="F269" s="24"/>
      <x:c r="G269" s="96" t="str">
        <x:f>IF($A269="","",SUMIFS('QuotationItems'!$I$2:$I$500,'QuotationItems'!$B$2:$B$500,$A269))</x:f>
      </x:c>
      <x:c r="H269" s="25"/>
      <x:c r="I269" s="96" t="str">
        <x:f>IF($A269="","",$G269-$H269)</x:f>
      </x:c>
      <x:c r="J269" s="19"/>
      <x:c r="K269" s="19"/>
      <x:c r="L269" s="19"/>
      <x:c r="M269" s="26"/>
    </x:row>
    <x:row r="270">
      <x:c r="A270" s="19"/>
      <x:c r="B270" s="19"/>
      <x:c r="C270" s="19"/>
      <x:c r="D270" s="19"/>
      <x:c r="E270" s="26"/>
      <x:c r="F270" s="24"/>
      <x:c r="G270" s="96" t="str">
        <x:f>IF($A270="","",SUMIFS('QuotationItems'!$I$2:$I$500,'QuotationItems'!$B$2:$B$500,$A270))</x:f>
      </x:c>
      <x:c r="H270" s="25"/>
      <x:c r="I270" s="96" t="str">
        <x:f>IF($A270="","",$G270-$H270)</x:f>
      </x:c>
      <x:c r="J270" s="19"/>
      <x:c r="K270" s="19"/>
      <x:c r="L270" s="19"/>
      <x:c r="M270" s="26"/>
    </x:row>
    <x:row r="271">
      <x:c r="A271" s="19"/>
      <x:c r="B271" s="19"/>
      <x:c r="C271" s="19"/>
      <x:c r="D271" s="19"/>
      <x:c r="E271" s="26"/>
      <x:c r="F271" s="24"/>
      <x:c r="G271" s="96" t="str">
        <x:f>IF($A271="","",SUMIFS('QuotationItems'!$I$2:$I$500,'QuotationItems'!$B$2:$B$500,$A271))</x:f>
      </x:c>
      <x:c r="H271" s="25"/>
      <x:c r="I271" s="96" t="str">
        <x:f>IF($A271="","",$G271-$H271)</x:f>
      </x:c>
      <x:c r="J271" s="19"/>
      <x:c r="K271" s="19"/>
      <x:c r="L271" s="19"/>
      <x:c r="M271" s="26"/>
    </x:row>
    <x:row r="272">
      <x:c r="A272" s="19"/>
      <x:c r="B272" s="19"/>
      <x:c r="C272" s="19"/>
      <x:c r="D272" s="19"/>
      <x:c r="E272" s="26"/>
      <x:c r="F272" s="24"/>
      <x:c r="G272" s="96" t="str">
        <x:f>IF($A272="","",SUMIFS('QuotationItems'!$I$2:$I$500,'QuotationItems'!$B$2:$B$500,$A272))</x:f>
      </x:c>
      <x:c r="H272" s="25"/>
      <x:c r="I272" s="96" t="str">
        <x:f>IF($A272="","",$G272-$H272)</x:f>
      </x:c>
      <x:c r="J272" s="19"/>
      <x:c r="K272" s="19"/>
      <x:c r="L272" s="19"/>
      <x:c r="M272" s="26"/>
    </x:row>
    <x:row r="273">
      <x:c r="A273" s="19"/>
      <x:c r="B273" s="19"/>
      <x:c r="C273" s="19"/>
      <x:c r="D273" s="19"/>
      <x:c r="E273" s="26"/>
      <x:c r="F273" s="24"/>
      <x:c r="G273" s="96" t="str">
        <x:f>IF($A273="","",SUMIFS('QuotationItems'!$I$2:$I$500,'QuotationItems'!$B$2:$B$500,$A273))</x:f>
      </x:c>
      <x:c r="H273" s="25"/>
      <x:c r="I273" s="96" t="str">
        <x:f>IF($A273="","",$G273-$H273)</x:f>
      </x:c>
      <x:c r="J273" s="19"/>
      <x:c r="K273" s="19"/>
      <x:c r="L273" s="19"/>
      <x:c r="M273" s="26"/>
    </x:row>
    <x:row r="274">
      <x:c r="A274" s="19"/>
      <x:c r="B274" s="19"/>
      <x:c r="C274" s="19"/>
      <x:c r="D274" s="19"/>
      <x:c r="E274" s="26"/>
      <x:c r="F274" s="24"/>
      <x:c r="G274" s="96" t="str">
        <x:f>IF($A274="","",SUMIFS('QuotationItems'!$I$2:$I$500,'QuotationItems'!$B$2:$B$500,$A274))</x:f>
      </x:c>
      <x:c r="H274" s="25"/>
      <x:c r="I274" s="96" t="str">
        <x:f>IF($A274="","",$G274-$H274)</x:f>
      </x:c>
      <x:c r="J274" s="19"/>
      <x:c r="K274" s="19"/>
      <x:c r="L274" s="19"/>
      <x:c r="M274" s="26"/>
    </x:row>
    <x:row r="275">
      <x:c r="A275" s="19"/>
      <x:c r="B275" s="19"/>
      <x:c r="C275" s="19"/>
      <x:c r="D275" s="19"/>
      <x:c r="E275" s="26"/>
      <x:c r="F275" s="24"/>
      <x:c r="G275" s="96" t="str">
        <x:f>IF($A275="","",SUMIFS('QuotationItems'!$I$2:$I$500,'QuotationItems'!$B$2:$B$500,$A275))</x:f>
      </x:c>
      <x:c r="H275" s="25"/>
      <x:c r="I275" s="96" t="str">
        <x:f>IF($A275="","",$G275-$H275)</x:f>
      </x:c>
      <x:c r="J275" s="19"/>
      <x:c r="K275" s="19"/>
      <x:c r="L275" s="19"/>
      <x:c r="M275" s="26"/>
    </x:row>
    <x:row r="276">
      <x:c r="A276" s="19"/>
      <x:c r="B276" s="19"/>
      <x:c r="C276" s="19"/>
      <x:c r="D276" s="19"/>
      <x:c r="E276" s="26"/>
      <x:c r="F276" s="24"/>
      <x:c r="G276" s="96" t="str">
        <x:f>IF($A276="","",SUMIFS('QuotationItems'!$I$2:$I$500,'QuotationItems'!$B$2:$B$500,$A276))</x:f>
      </x:c>
      <x:c r="H276" s="25"/>
      <x:c r="I276" s="96" t="str">
        <x:f>IF($A276="","",$G276-$H276)</x:f>
      </x:c>
      <x:c r="J276" s="19"/>
      <x:c r="K276" s="19"/>
      <x:c r="L276" s="19"/>
      <x:c r="M276" s="26"/>
    </x:row>
    <x:row r="277">
      <x:c r="A277" s="19"/>
      <x:c r="B277" s="19"/>
      <x:c r="C277" s="19"/>
      <x:c r="D277" s="19"/>
      <x:c r="E277" s="26"/>
      <x:c r="F277" s="24"/>
      <x:c r="G277" s="96" t="str">
        <x:f>IF($A277="","",SUMIFS('QuotationItems'!$I$2:$I$500,'QuotationItems'!$B$2:$B$500,$A277))</x:f>
      </x:c>
      <x:c r="H277" s="25"/>
      <x:c r="I277" s="96" t="str">
        <x:f>IF($A277="","",$G277-$H277)</x:f>
      </x:c>
      <x:c r="J277" s="19"/>
      <x:c r="K277" s="19"/>
      <x:c r="L277" s="19"/>
      <x:c r="M277" s="26"/>
    </x:row>
    <x:row r="278">
      <x:c r="A278" s="19"/>
      <x:c r="B278" s="19"/>
      <x:c r="C278" s="19"/>
      <x:c r="D278" s="19"/>
      <x:c r="E278" s="26"/>
      <x:c r="F278" s="24"/>
      <x:c r="G278" s="96" t="str">
        <x:f>IF($A278="","",SUMIFS('QuotationItems'!$I$2:$I$500,'QuotationItems'!$B$2:$B$500,$A278))</x:f>
      </x:c>
      <x:c r="H278" s="25"/>
      <x:c r="I278" s="96" t="str">
        <x:f>IF($A278="","",$G278-$H278)</x:f>
      </x:c>
      <x:c r="J278" s="19"/>
      <x:c r="K278" s="19"/>
      <x:c r="L278" s="19"/>
      <x:c r="M278" s="26"/>
    </x:row>
    <x:row r="279">
      <x:c r="A279" s="19"/>
      <x:c r="B279" s="19"/>
      <x:c r="C279" s="19"/>
      <x:c r="D279" s="19"/>
      <x:c r="E279" s="26"/>
      <x:c r="F279" s="24"/>
      <x:c r="G279" s="96" t="str">
        <x:f>IF($A279="","",SUMIFS('QuotationItems'!$I$2:$I$500,'QuotationItems'!$B$2:$B$500,$A279))</x:f>
      </x:c>
      <x:c r="H279" s="25"/>
      <x:c r="I279" s="96" t="str">
        <x:f>IF($A279="","",$G279-$H279)</x:f>
      </x:c>
      <x:c r="J279" s="19"/>
      <x:c r="K279" s="19"/>
      <x:c r="L279" s="19"/>
      <x:c r="M279" s="26"/>
    </x:row>
    <x:row r="280">
      <x:c r="A280" s="19"/>
      <x:c r="B280" s="19"/>
      <x:c r="C280" s="19"/>
      <x:c r="D280" s="19"/>
      <x:c r="E280" s="26"/>
      <x:c r="F280" s="24"/>
      <x:c r="G280" s="96" t="str">
        <x:f>IF($A280="","",SUMIFS('QuotationItems'!$I$2:$I$500,'QuotationItems'!$B$2:$B$500,$A280))</x:f>
      </x:c>
      <x:c r="H280" s="25"/>
      <x:c r="I280" s="96" t="str">
        <x:f>IF($A280="","",$G280-$H280)</x:f>
      </x:c>
      <x:c r="J280" s="19"/>
      <x:c r="K280" s="19"/>
      <x:c r="L280" s="19"/>
      <x:c r="M280" s="26"/>
    </x:row>
    <x:row r="281">
      <x:c r="A281" s="19"/>
      <x:c r="B281" s="19"/>
      <x:c r="C281" s="19"/>
      <x:c r="D281" s="19"/>
      <x:c r="E281" s="26"/>
      <x:c r="F281" s="24"/>
      <x:c r="G281" s="96" t="str">
        <x:f>IF($A281="","",SUMIFS('QuotationItems'!$I$2:$I$500,'QuotationItems'!$B$2:$B$500,$A281))</x:f>
      </x:c>
      <x:c r="H281" s="25"/>
      <x:c r="I281" s="96" t="str">
        <x:f>IF($A281="","",$G281-$H281)</x:f>
      </x:c>
      <x:c r="J281" s="19"/>
      <x:c r="K281" s="19"/>
      <x:c r="L281" s="19"/>
      <x:c r="M281" s="26"/>
    </x:row>
    <x:row r="282">
      <x:c r="A282" s="19"/>
      <x:c r="B282" s="19"/>
      <x:c r="C282" s="19"/>
      <x:c r="D282" s="19"/>
      <x:c r="E282" s="26"/>
      <x:c r="F282" s="24"/>
      <x:c r="G282" s="96" t="str">
        <x:f>IF($A282="","",SUMIFS('QuotationItems'!$I$2:$I$500,'QuotationItems'!$B$2:$B$500,$A282))</x:f>
      </x:c>
      <x:c r="H282" s="25"/>
      <x:c r="I282" s="96" t="str">
        <x:f>IF($A282="","",$G282-$H282)</x:f>
      </x:c>
      <x:c r="J282" s="19"/>
      <x:c r="K282" s="19"/>
      <x:c r="L282" s="19"/>
      <x:c r="M282" s="26"/>
    </x:row>
    <x:row r="283">
      <x:c r="A283" s="19"/>
      <x:c r="B283" s="19"/>
      <x:c r="C283" s="19"/>
      <x:c r="D283" s="19"/>
      <x:c r="E283" s="26"/>
      <x:c r="F283" s="24"/>
      <x:c r="G283" s="96" t="str">
        <x:f>IF($A283="","",SUMIFS('QuotationItems'!$I$2:$I$500,'QuotationItems'!$B$2:$B$500,$A283))</x:f>
      </x:c>
      <x:c r="H283" s="25"/>
      <x:c r="I283" s="96" t="str">
        <x:f>IF($A283="","",$G283-$H283)</x:f>
      </x:c>
      <x:c r="J283" s="19"/>
      <x:c r="K283" s="19"/>
      <x:c r="L283" s="19"/>
      <x:c r="M283" s="26"/>
    </x:row>
    <x:row r="284">
      <x:c r="A284" s="19"/>
      <x:c r="B284" s="19"/>
      <x:c r="C284" s="19"/>
      <x:c r="D284" s="19"/>
      <x:c r="E284" s="26"/>
      <x:c r="F284" s="24"/>
      <x:c r="G284" s="96" t="str">
        <x:f>IF($A284="","",SUMIFS('QuotationItems'!$I$2:$I$500,'QuotationItems'!$B$2:$B$500,$A284))</x:f>
      </x:c>
      <x:c r="H284" s="25"/>
      <x:c r="I284" s="96" t="str">
        <x:f>IF($A284="","",$G284-$H284)</x:f>
      </x:c>
      <x:c r="J284" s="19"/>
      <x:c r="K284" s="19"/>
      <x:c r="L284" s="19"/>
      <x:c r="M284" s="26"/>
    </x:row>
    <x:row r="285">
      <x:c r="A285" s="19"/>
      <x:c r="B285" s="19"/>
      <x:c r="C285" s="19"/>
      <x:c r="D285" s="19"/>
      <x:c r="E285" s="26"/>
      <x:c r="F285" s="24"/>
      <x:c r="G285" s="96" t="str">
        <x:f>IF($A285="","",SUMIFS('QuotationItems'!$I$2:$I$500,'QuotationItems'!$B$2:$B$500,$A285))</x:f>
      </x:c>
      <x:c r="H285" s="25"/>
      <x:c r="I285" s="96" t="str">
        <x:f>IF($A285="","",$G285-$H285)</x:f>
      </x:c>
      <x:c r="J285" s="19"/>
      <x:c r="K285" s="19"/>
      <x:c r="L285" s="19"/>
      <x:c r="M285" s="26"/>
    </x:row>
    <x:row r="286">
      <x:c r="A286" s="19"/>
      <x:c r="B286" s="19"/>
      <x:c r="C286" s="19"/>
      <x:c r="D286" s="19"/>
      <x:c r="E286" s="26"/>
      <x:c r="F286" s="24"/>
      <x:c r="G286" s="96" t="str">
        <x:f>IF($A286="","",SUMIFS('QuotationItems'!$I$2:$I$500,'QuotationItems'!$B$2:$B$500,$A286))</x:f>
      </x:c>
      <x:c r="H286" s="25"/>
      <x:c r="I286" s="96" t="str">
        <x:f>IF($A286="","",$G286-$H286)</x:f>
      </x:c>
      <x:c r="J286" s="19"/>
      <x:c r="K286" s="19"/>
      <x:c r="L286" s="19"/>
      <x:c r="M286" s="26"/>
    </x:row>
    <x:row r="287">
      <x:c r="A287" s="19"/>
      <x:c r="B287" s="19"/>
      <x:c r="C287" s="19"/>
      <x:c r="D287" s="19"/>
      <x:c r="E287" s="26"/>
      <x:c r="F287" s="24"/>
      <x:c r="G287" s="96" t="str">
        <x:f>IF($A287="","",SUMIFS('QuotationItems'!$I$2:$I$500,'QuotationItems'!$B$2:$B$500,$A287))</x:f>
      </x:c>
      <x:c r="H287" s="25"/>
      <x:c r="I287" s="96" t="str">
        <x:f>IF($A287="","",$G287-$H287)</x:f>
      </x:c>
      <x:c r="J287" s="19"/>
      <x:c r="K287" s="19"/>
      <x:c r="L287" s="19"/>
      <x:c r="M287" s="26"/>
    </x:row>
    <x:row r="288">
      <x:c r="A288" s="19"/>
      <x:c r="B288" s="19"/>
      <x:c r="C288" s="19"/>
      <x:c r="D288" s="19"/>
      <x:c r="E288" s="26"/>
      <x:c r="F288" s="24"/>
      <x:c r="G288" s="96" t="str">
        <x:f>IF($A288="","",SUMIFS('QuotationItems'!$I$2:$I$500,'QuotationItems'!$B$2:$B$500,$A288))</x:f>
      </x:c>
      <x:c r="H288" s="25"/>
      <x:c r="I288" s="96" t="str">
        <x:f>IF($A288="","",$G288-$H288)</x:f>
      </x:c>
      <x:c r="J288" s="19"/>
      <x:c r="K288" s="19"/>
      <x:c r="L288" s="19"/>
      <x:c r="M288" s="26"/>
    </x:row>
    <x:row r="289">
      <x:c r="A289" s="19"/>
      <x:c r="B289" s="19"/>
      <x:c r="C289" s="19"/>
      <x:c r="D289" s="19"/>
      <x:c r="E289" s="26"/>
      <x:c r="F289" s="24"/>
      <x:c r="G289" s="96" t="str">
        <x:f>IF($A289="","",SUMIFS('QuotationItems'!$I$2:$I$500,'QuotationItems'!$B$2:$B$500,$A289))</x:f>
      </x:c>
      <x:c r="H289" s="25"/>
      <x:c r="I289" s="96" t="str">
        <x:f>IF($A289="","",$G289-$H289)</x:f>
      </x:c>
      <x:c r="J289" s="19"/>
      <x:c r="K289" s="19"/>
      <x:c r="L289" s="19"/>
      <x:c r="M289" s="26"/>
    </x:row>
    <x:row r="290">
      <x:c r="A290" s="19"/>
      <x:c r="B290" s="19"/>
      <x:c r="C290" s="19"/>
      <x:c r="D290" s="19"/>
      <x:c r="E290" s="26"/>
      <x:c r="F290" s="24"/>
      <x:c r="G290" s="96" t="str">
        <x:f>IF($A290="","",SUMIFS('QuotationItems'!$I$2:$I$500,'QuotationItems'!$B$2:$B$500,$A290))</x:f>
      </x:c>
      <x:c r="H290" s="25"/>
      <x:c r="I290" s="96" t="str">
        <x:f>IF($A290="","",$G290-$H290)</x:f>
      </x:c>
      <x:c r="J290" s="19"/>
      <x:c r="K290" s="19"/>
      <x:c r="L290" s="19"/>
      <x:c r="M290" s="26"/>
    </x:row>
    <x:row r="291">
      <x:c r="A291" s="19"/>
      <x:c r="B291" s="19"/>
      <x:c r="C291" s="19"/>
      <x:c r="D291" s="19"/>
      <x:c r="E291" s="26"/>
      <x:c r="F291" s="24"/>
      <x:c r="G291" s="96" t="str">
        <x:f>IF($A291="","",SUMIFS('QuotationItems'!$I$2:$I$500,'QuotationItems'!$B$2:$B$500,$A291))</x:f>
      </x:c>
      <x:c r="H291" s="25"/>
      <x:c r="I291" s="96" t="str">
        <x:f>IF($A291="","",$G291-$H291)</x:f>
      </x:c>
      <x:c r="J291" s="19"/>
      <x:c r="K291" s="19"/>
      <x:c r="L291" s="19"/>
      <x:c r="M291" s="26"/>
    </x:row>
    <x:row r="292">
      <x:c r="A292" s="19"/>
      <x:c r="B292" s="19"/>
      <x:c r="C292" s="19"/>
      <x:c r="D292" s="19"/>
      <x:c r="E292" s="26"/>
      <x:c r="F292" s="24"/>
      <x:c r="G292" s="96" t="str">
        <x:f>IF($A292="","",SUMIFS('QuotationItems'!$I$2:$I$500,'QuotationItems'!$B$2:$B$500,$A292))</x:f>
      </x:c>
      <x:c r="H292" s="25"/>
      <x:c r="I292" s="96" t="str">
        <x:f>IF($A292="","",$G292-$H292)</x:f>
      </x:c>
      <x:c r="J292" s="19"/>
      <x:c r="K292" s="19"/>
      <x:c r="L292" s="19"/>
      <x:c r="M292" s="26"/>
    </x:row>
    <x:row r="293">
      <x:c r="A293" s="19"/>
      <x:c r="B293" s="19"/>
      <x:c r="C293" s="19"/>
      <x:c r="D293" s="19"/>
      <x:c r="E293" s="26"/>
      <x:c r="F293" s="24"/>
      <x:c r="G293" s="96" t="str">
        <x:f>IF($A293="","",SUMIFS('QuotationItems'!$I$2:$I$500,'QuotationItems'!$B$2:$B$500,$A293))</x:f>
      </x:c>
      <x:c r="H293" s="25"/>
      <x:c r="I293" s="96" t="str">
        <x:f>IF($A293="","",$G293-$H293)</x:f>
      </x:c>
      <x:c r="J293" s="19"/>
      <x:c r="K293" s="19"/>
      <x:c r="L293" s="19"/>
      <x:c r="M293" s="26"/>
    </x:row>
    <x:row r="294">
      <x:c r="A294" s="19"/>
      <x:c r="B294" s="19"/>
      <x:c r="C294" s="19"/>
      <x:c r="D294" s="19"/>
      <x:c r="E294" s="26"/>
      <x:c r="F294" s="24"/>
      <x:c r="G294" s="96" t="str">
        <x:f>IF($A294="","",SUMIFS('QuotationItems'!$I$2:$I$500,'QuotationItems'!$B$2:$B$500,$A294))</x:f>
      </x:c>
      <x:c r="H294" s="25"/>
      <x:c r="I294" s="96" t="str">
        <x:f>IF($A294="","",$G294-$H294)</x:f>
      </x:c>
      <x:c r="J294" s="19"/>
      <x:c r="K294" s="19"/>
      <x:c r="L294" s="19"/>
      <x:c r="M294" s="26"/>
    </x:row>
    <x:row r="295">
      <x:c r="A295" s="19"/>
      <x:c r="B295" s="19"/>
      <x:c r="C295" s="19"/>
      <x:c r="D295" s="19"/>
      <x:c r="E295" s="26"/>
      <x:c r="F295" s="24"/>
      <x:c r="G295" s="96" t="str">
        <x:f>IF($A295="","",SUMIFS('QuotationItems'!$I$2:$I$500,'QuotationItems'!$B$2:$B$500,$A295))</x:f>
      </x:c>
      <x:c r="H295" s="25"/>
      <x:c r="I295" s="96" t="str">
        <x:f>IF($A295="","",$G295-$H295)</x:f>
      </x:c>
      <x:c r="J295" s="19"/>
      <x:c r="K295" s="19"/>
      <x:c r="L295" s="19"/>
      <x:c r="M295" s="26"/>
    </x:row>
    <x:row r="296">
      <x:c r="A296" s="19"/>
      <x:c r="B296" s="19"/>
      <x:c r="C296" s="19"/>
      <x:c r="D296" s="19"/>
      <x:c r="E296" s="26"/>
      <x:c r="F296" s="24"/>
      <x:c r="G296" s="96" t="str">
        <x:f>IF($A296="","",SUMIFS('QuotationItems'!$I$2:$I$500,'QuotationItems'!$B$2:$B$500,$A296))</x:f>
      </x:c>
      <x:c r="H296" s="25"/>
      <x:c r="I296" s="96" t="str">
        <x:f>IF($A296="","",$G296-$H296)</x:f>
      </x:c>
      <x:c r="J296" s="19"/>
      <x:c r="K296" s="19"/>
      <x:c r="L296" s="19"/>
      <x:c r="M296" s="26"/>
    </x:row>
    <x:row r="297">
      <x:c r="A297" s="19"/>
      <x:c r="B297" s="19"/>
      <x:c r="C297" s="19"/>
      <x:c r="D297" s="19"/>
      <x:c r="E297" s="26"/>
      <x:c r="F297" s="24"/>
      <x:c r="G297" s="96" t="str">
        <x:f>IF($A297="","",SUMIFS('QuotationItems'!$I$2:$I$500,'QuotationItems'!$B$2:$B$500,$A297))</x:f>
      </x:c>
      <x:c r="H297" s="25"/>
      <x:c r="I297" s="96" t="str">
        <x:f>IF($A297="","",$G297-$H297)</x:f>
      </x:c>
      <x:c r="J297" s="19"/>
      <x:c r="K297" s="19"/>
      <x:c r="L297" s="19"/>
      <x:c r="M297" s="26"/>
    </x:row>
    <x:row r="298">
      <x:c r="A298" s="19"/>
      <x:c r="B298" s="19"/>
      <x:c r="C298" s="19"/>
      <x:c r="D298" s="19"/>
      <x:c r="E298" s="26"/>
      <x:c r="F298" s="24"/>
      <x:c r="G298" s="96" t="str">
        <x:f>IF($A298="","",SUMIFS('QuotationItems'!$I$2:$I$500,'QuotationItems'!$B$2:$B$500,$A298))</x:f>
      </x:c>
      <x:c r="H298" s="25"/>
      <x:c r="I298" s="96" t="str">
        <x:f>IF($A298="","",$G298-$H298)</x:f>
      </x:c>
      <x:c r="J298" s="19"/>
      <x:c r="K298" s="19"/>
      <x:c r="L298" s="19"/>
      <x:c r="M298" s="26"/>
    </x:row>
    <x:row r="299">
      <x:c r="A299" s="19"/>
      <x:c r="B299" s="19"/>
      <x:c r="C299" s="19"/>
      <x:c r="D299" s="19"/>
      <x:c r="E299" s="26"/>
      <x:c r="F299" s="24"/>
      <x:c r="G299" s="96" t="str">
        <x:f>IF($A299="","",SUMIFS('QuotationItems'!$I$2:$I$500,'QuotationItems'!$B$2:$B$500,$A299))</x:f>
      </x:c>
      <x:c r="H299" s="25"/>
      <x:c r="I299" s="96" t="str">
        <x:f>IF($A299="","",$G299-$H299)</x:f>
      </x:c>
      <x:c r="J299" s="19"/>
      <x:c r="K299" s="19"/>
      <x:c r="L299" s="19"/>
      <x:c r="M299" s="26"/>
    </x:row>
    <x:row r="300">
      <x:c r="A300" s="19"/>
      <x:c r="B300" s="19"/>
      <x:c r="C300" s="19"/>
      <x:c r="D300" s="19"/>
      <x:c r="E300" s="26"/>
      <x:c r="F300" s="24"/>
      <x:c r="G300" s="96" t="str">
        <x:f>IF($A300="","",SUMIFS('QuotationItems'!$I$2:$I$500,'QuotationItems'!$B$2:$B$500,$A300))</x:f>
      </x:c>
      <x:c r="H300" s="25"/>
      <x:c r="I300" s="96" t="str">
        <x:f>IF($A300="","",$G300-$H300)</x:f>
      </x:c>
      <x:c r="J300" s="19"/>
      <x:c r="K300" s="19"/>
      <x:c r="L300" s="19"/>
      <x:c r="M300" s="26"/>
    </x:row>
    <x:row r="301">
      <x:c r="A301" s="19"/>
      <x:c r="B301" s="19"/>
      <x:c r="C301" s="19"/>
      <x:c r="D301" s="19"/>
      <x:c r="E301" s="26"/>
      <x:c r="F301" s="24"/>
      <x:c r="G301" s="96" t="str">
        <x:f>IF($A301="","",SUMIFS('QuotationItems'!$I$2:$I$500,'QuotationItems'!$B$2:$B$500,$A301))</x:f>
      </x:c>
      <x:c r="H301" s="25"/>
      <x:c r="I301" s="96" t="str">
        <x:f>IF($A301="","",$G301-$H301)</x:f>
      </x:c>
      <x:c r="J301" s="19"/>
      <x:c r="K301" s="19"/>
      <x:c r="L301" s="19"/>
      <x:c r="M301" s="26"/>
    </x:row>
    <x:row r="302">
      <x:c r="A302" s="19"/>
      <x:c r="B302" s="19"/>
      <x:c r="C302" s="19"/>
      <x:c r="D302" s="19"/>
      <x:c r="E302" s="26"/>
      <x:c r="F302" s="24"/>
      <x:c r="G302" s="96" t="str">
        <x:f>IF($A302="","",SUMIFS('QuotationItems'!$I$2:$I$500,'QuotationItems'!$B$2:$B$500,$A302))</x:f>
      </x:c>
      <x:c r="H302" s="25"/>
      <x:c r="I302" s="96" t="str">
        <x:f>IF($A302="","",$G302-$H302)</x:f>
      </x:c>
      <x:c r="J302" s="19"/>
      <x:c r="K302" s="19"/>
      <x:c r="L302" s="19"/>
      <x:c r="M302" s="26"/>
    </x:row>
    <x:row r="303">
      <x:c r="A303" s="19"/>
      <x:c r="B303" s="19"/>
      <x:c r="C303" s="19"/>
      <x:c r="D303" s="19"/>
      <x:c r="E303" s="26"/>
      <x:c r="F303" s="24"/>
      <x:c r="G303" s="96" t="str">
        <x:f>IF($A303="","",SUMIFS('QuotationItems'!$I$2:$I$500,'QuotationItems'!$B$2:$B$500,$A303))</x:f>
      </x:c>
      <x:c r="H303" s="25"/>
      <x:c r="I303" s="96" t="str">
        <x:f>IF($A303="","",$G303-$H303)</x:f>
      </x:c>
      <x:c r="J303" s="19"/>
      <x:c r="K303" s="19"/>
      <x:c r="L303" s="19"/>
      <x:c r="M303" s="26"/>
    </x:row>
    <x:row r="304">
      <x:c r="A304" s="19"/>
      <x:c r="B304" s="19"/>
      <x:c r="C304" s="19"/>
      <x:c r="D304" s="19"/>
      <x:c r="E304" s="26"/>
      <x:c r="F304" s="24"/>
      <x:c r="G304" s="96" t="str">
        <x:f>IF($A304="","",SUMIFS('QuotationItems'!$I$2:$I$500,'QuotationItems'!$B$2:$B$500,$A304))</x:f>
      </x:c>
      <x:c r="H304" s="25"/>
      <x:c r="I304" s="96" t="str">
        <x:f>IF($A304="","",$G304-$H304)</x:f>
      </x:c>
      <x:c r="J304" s="19"/>
      <x:c r="K304" s="19"/>
      <x:c r="L304" s="19"/>
      <x:c r="M304" s="26"/>
    </x:row>
    <x:row r="305">
      <x:c r="A305" s="19"/>
      <x:c r="B305" s="19"/>
      <x:c r="C305" s="19"/>
      <x:c r="D305" s="19"/>
      <x:c r="E305" s="26"/>
      <x:c r="F305" s="24"/>
      <x:c r="G305" s="96" t="str">
        <x:f>IF($A305="","",SUMIFS('QuotationItems'!$I$2:$I$500,'QuotationItems'!$B$2:$B$500,$A305))</x:f>
      </x:c>
      <x:c r="H305" s="25"/>
      <x:c r="I305" s="96" t="str">
        <x:f>IF($A305="","",$G305-$H305)</x:f>
      </x:c>
      <x:c r="J305" s="19"/>
      <x:c r="K305" s="19"/>
      <x:c r="L305" s="19"/>
      <x:c r="M305" s="26"/>
    </x:row>
    <x:row r="306">
      <x:c r="A306" s="19"/>
      <x:c r="B306" s="19"/>
      <x:c r="C306" s="19"/>
      <x:c r="D306" s="19"/>
      <x:c r="E306" s="26"/>
      <x:c r="F306" s="24"/>
      <x:c r="G306" s="96" t="str">
        <x:f>IF($A306="","",SUMIFS('QuotationItems'!$I$2:$I$500,'QuotationItems'!$B$2:$B$500,$A306))</x:f>
      </x:c>
      <x:c r="H306" s="25"/>
      <x:c r="I306" s="96" t="str">
        <x:f>IF($A306="","",$G306-$H306)</x:f>
      </x:c>
      <x:c r="J306" s="19"/>
      <x:c r="K306" s="19"/>
      <x:c r="L306" s="19"/>
      <x:c r="M306" s="26"/>
    </x:row>
    <x:row r="307">
      <x:c r="A307" s="19"/>
      <x:c r="B307" s="19"/>
      <x:c r="C307" s="19"/>
      <x:c r="D307" s="19"/>
      <x:c r="E307" s="26"/>
      <x:c r="F307" s="24"/>
      <x:c r="G307" s="96" t="str">
        <x:f>IF($A307="","",SUMIFS('QuotationItems'!$I$2:$I$500,'QuotationItems'!$B$2:$B$500,$A307))</x:f>
      </x:c>
      <x:c r="H307" s="25"/>
      <x:c r="I307" s="96" t="str">
        <x:f>IF($A307="","",$G307-$H307)</x:f>
      </x:c>
      <x:c r="J307" s="19"/>
      <x:c r="K307" s="19"/>
      <x:c r="L307" s="19"/>
      <x:c r="M307" s="26"/>
    </x:row>
    <x:row r="308">
      <x:c r="A308" s="19"/>
      <x:c r="B308" s="19"/>
      <x:c r="C308" s="19"/>
      <x:c r="D308" s="19"/>
      <x:c r="E308" s="26"/>
      <x:c r="F308" s="24"/>
      <x:c r="G308" s="96" t="str">
        <x:f>IF($A308="","",SUMIFS('QuotationItems'!$I$2:$I$500,'QuotationItems'!$B$2:$B$500,$A308))</x:f>
      </x:c>
      <x:c r="H308" s="25"/>
      <x:c r="I308" s="96" t="str">
        <x:f>IF($A308="","",$G308-$H308)</x:f>
      </x:c>
      <x:c r="J308" s="19"/>
      <x:c r="K308" s="19"/>
      <x:c r="L308" s="19"/>
      <x:c r="M308" s="26"/>
    </x:row>
    <x:row r="309">
      <x:c r="A309" s="19"/>
      <x:c r="B309" s="19"/>
      <x:c r="C309" s="19"/>
      <x:c r="D309" s="19"/>
      <x:c r="E309" s="26"/>
      <x:c r="F309" s="24"/>
      <x:c r="G309" s="96" t="str">
        <x:f>IF($A309="","",SUMIFS('QuotationItems'!$I$2:$I$500,'QuotationItems'!$B$2:$B$500,$A309))</x:f>
      </x:c>
      <x:c r="H309" s="25"/>
      <x:c r="I309" s="96" t="str">
        <x:f>IF($A309="","",$G309-$H309)</x:f>
      </x:c>
      <x:c r="J309" s="19"/>
      <x:c r="K309" s="19"/>
      <x:c r="L309" s="19"/>
      <x:c r="M309" s="26"/>
    </x:row>
    <x:row r="310">
      <x:c r="A310" s="19"/>
      <x:c r="B310" s="19"/>
      <x:c r="C310" s="19"/>
      <x:c r="D310" s="19"/>
      <x:c r="E310" s="26"/>
      <x:c r="F310" s="24"/>
      <x:c r="G310" s="96" t="str">
        <x:f>IF($A310="","",SUMIFS('QuotationItems'!$I$2:$I$500,'QuotationItems'!$B$2:$B$500,$A310))</x:f>
      </x:c>
      <x:c r="H310" s="25"/>
      <x:c r="I310" s="96" t="str">
        <x:f>IF($A310="","",$G310-$H310)</x:f>
      </x:c>
      <x:c r="J310" s="19"/>
      <x:c r="K310" s="19"/>
      <x:c r="L310" s="19"/>
      <x:c r="M310" s="26"/>
    </x:row>
    <x:row r="311">
      <x:c r="A311" s="19"/>
      <x:c r="B311" s="19"/>
      <x:c r="C311" s="19"/>
      <x:c r="D311" s="19"/>
      <x:c r="E311" s="26"/>
      <x:c r="F311" s="24"/>
      <x:c r="G311" s="96" t="str">
        <x:f>IF($A311="","",SUMIFS('QuotationItems'!$I$2:$I$500,'QuotationItems'!$B$2:$B$500,$A311))</x:f>
      </x:c>
      <x:c r="H311" s="25"/>
      <x:c r="I311" s="96" t="str">
        <x:f>IF($A311="","",$G311-$H311)</x:f>
      </x:c>
      <x:c r="J311" s="19"/>
      <x:c r="K311" s="19"/>
      <x:c r="L311" s="19"/>
      <x:c r="M311" s="26"/>
    </x:row>
    <x:row r="312">
      <x:c r="A312" s="19"/>
      <x:c r="B312" s="19"/>
      <x:c r="C312" s="19"/>
      <x:c r="D312" s="19"/>
      <x:c r="E312" s="26"/>
      <x:c r="F312" s="24"/>
      <x:c r="G312" s="96" t="str">
        <x:f>IF($A312="","",SUMIFS('QuotationItems'!$I$2:$I$500,'QuotationItems'!$B$2:$B$500,$A312))</x:f>
      </x:c>
      <x:c r="H312" s="25"/>
      <x:c r="I312" s="96" t="str">
        <x:f>IF($A312="","",$G312-$H312)</x:f>
      </x:c>
      <x:c r="J312" s="19"/>
      <x:c r="K312" s="19"/>
      <x:c r="L312" s="19"/>
      <x:c r="M312" s="26"/>
    </x:row>
    <x:row r="313">
      <x:c r="A313" s="19"/>
      <x:c r="B313" s="19"/>
      <x:c r="C313" s="19"/>
      <x:c r="D313" s="19"/>
      <x:c r="E313" s="26"/>
      <x:c r="F313" s="24"/>
      <x:c r="G313" s="96" t="str">
        <x:f>IF($A313="","",SUMIFS('QuotationItems'!$I$2:$I$500,'QuotationItems'!$B$2:$B$500,$A313))</x:f>
      </x:c>
      <x:c r="H313" s="25"/>
      <x:c r="I313" s="96" t="str">
        <x:f>IF($A313="","",$G313-$H313)</x:f>
      </x:c>
      <x:c r="J313" s="19"/>
      <x:c r="K313" s="19"/>
      <x:c r="L313" s="19"/>
      <x:c r="M313" s="26"/>
    </x:row>
    <x:row r="314">
      <x:c r="A314" s="19"/>
      <x:c r="B314" s="19"/>
      <x:c r="C314" s="19"/>
      <x:c r="D314" s="19"/>
      <x:c r="E314" s="26"/>
      <x:c r="F314" s="24"/>
      <x:c r="G314" s="96" t="str">
        <x:f>IF($A314="","",SUMIFS('QuotationItems'!$I$2:$I$500,'QuotationItems'!$B$2:$B$500,$A314))</x:f>
      </x:c>
      <x:c r="H314" s="25"/>
      <x:c r="I314" s="96" t="str">
        <x:f>IF($A314="","",$G314-$H314)</x:f>
      </x:c>
      <x:c r="J314" s="19"/>
      <x:c r="K314" s="19"/>
      <x:c r="L314" s="19"/>
      <x:c r="M314" s="26"/>
    </x:row>
    <x:row r="315">
      <x:c r="A315" s="19"/>
      <x:c r="B315" s="19"/>
      <x:c r="C315" s="19"/>
      <x:c r="D315" s="19"/>
      <x:c r="E315" s="26"/>
      <x:c r="F315" s="24"/>
      <x:c r="G315" s="96" t="str">
        <x:f>IF($A315="","",SUMIFS('QuotationItems'!$I$2:$I$500,'QuotationItems'!$B$2:$B$500,$A315))</x:f>
      </x:c>
      <x:c r="H315" s="25"/>
      <x:c r="I315" s="96" t="str">
        <x:f>IF($A315="","",$G315-$H315)</x:f>
      </x:c>
      <x:c r="J315" s="19"/>
      <x:c r="K315" s="19"/>
      <x:c r="L315" s="19"/>
      <x:c r="M315" s="26"/>
    </x:row>
    <x:row r="316">
      <x:c r="A316" s="19"/>
      <x:c r="B316" s="19"/>
      <x:c r="C316" s="19"/>
      <x:c r="D316" s="19"/>
      <x:c r="E316" s="26"/>
      <x:c r="F316" s="24"/>
      <x:c r="G316" s="96" t="str">
        <x:f>IF($A316="","",SUMIFS('QuotationItems'!$I$2:$I$500,'QuotationItems'!$B$2:$B$500,$A316))</x:f>
      </x:c>
      <x:c r="H316" s="25"/>
      <x:c r="I316" s="96" t="str">
        <x:f>IF($A316="","",$G316-$H316)</x:f>
      </x:c>
      <x:c r="J316" s="19"/>
      <x:c r="K316" s="19"/>
      <x:c r="L316" s="19"/>
      <x:c r="M316" s="26"/>
    </x:row>
    <x:row r="317">
      <x:c r="A317" s="19"/>
      <x:c r="B317" s="19"/>
      <x:c r="C317" s="19"/>
      <x:c r="D317" s="19"/>
      <x:c r="E317" s="26"/>
      <x:c r="F317" s="24"/>
      <x:c r="G317" s="96" t="str">
        <x:f>IF($A317="","",SUMIFS('QuotationItems'!$I$2:$I$500,'QuotationItems'!$B$2:$B$500,$A317))</x:f>
      </x:c>
      <x:c r="H317" s="25"/>
      <x:c r="I317" s="96" t="str">
        <x:f>IF($A317="","",$G317-$H317)</x:f>
      </x:c>
      <x:c r="J317" s="19"/>
      <x:c r="K317" s="19"/>
      <x:c r="L317" s="19"/>
      <x:c r="M317" s="26"/>
    </x:row>
    <x:row r="318">
      <x:c r="A318" s="19"/>
      <x:c r="B318" s="19"/>
      <x:c r="C318" s="19"/>
      <x:c r="D318" s="19"/>
      <x:c r="E318" s="26"/>
      <x:c r="F318" s="24"/>
      <x:c r="G318" s="96" t="str">
        <x:f>IF($A318="","",SUMIFS('QuotationItems'!$I$2:$I$500,'QuotationItems'!$B$2:$B$500,$A318))</x:f>
      </x:c>
      <x:c r="H318" s="25"/>
      <x:c r="I318" s="96" t="str">
        <x:f>IF($A318="","",$G318-$H318)</x:f>
      </x:c>
      <x:c r="J318" s="19"/>
      <x:c r="K318" s="19"/>
      <x:c r="L318" s="19"/>
      <x:c r="M318" s="26"/>
    </x:row>
    <x:row r="319">
      <x:c r="A319" s="19"/>
      <x:c r="B319" s="19"/>
      <x:c r="C319" s="19"/>
      <x:c r="D319" s="19"/>
      <x:c r="E319" s="26"/>
      <x:c r="F319" s="24"/>
      <x:c r="G319" s="96" t="str">
        <x:f>IF($A319="","",SUMIFS('QuotationItems'!$I$2:$I$500,'QuotationItems'!$B$2:$B$500,$A319))</x:f>
      </x:c>
      <x:c r="H319" s="25"/>
      <x:c r="I319" s="96" t="str">
        <x:f>IF($A319="","",$G319-$H319)</x:f>
      </x:c>
      <x:c r="J319" s="19"/>
      <x:c r="K319" s="19"/>
      <x:c r="L319" s="19"/>
      <x:c r="M319" s="26"/>
    </x:row>
    <x:row r="320">
      <x:c r="A320" s="19"/>
      <x:c r="B320" s="19"/>
      <x:c r="C320" s="19"/>
      <x:c r="D320" s="19"/>
      <x:c r="E320" s="26"/>
      <x:c r="F320" s="24"/>
      <x:c r="G320" s="96" t="str">
        <x:f>IF($A320="","",SUMIFS('QuotationItems'!$I$2:$I$500,'QuotationItems'!$B$2:$B$500,$A320))</x:f>
      </x:c>
      <x:c r="H320" s="25"/>
      <x:c r="I320" s="96" t="str">
        <x:f>IF($A320="","",$G320-$H320)</x:f>
      </x:c>
      <x:c r="J320" s="19"/>
      <x:c r="K320" s="19"/>
      <x:c r="L320" s="19"/>
      <x:c r="M320" s="26"/>
    </x:row>
    <x:row r="321">
      <x:c r="A321" s="19"/>
      <x:c r="B321" s="19"/>
      <x:c r="C321" s="19"/>
      <x:c r="D321" s="19"/>
      <x:c r="E321" s="26"/>
      <x:c r="F321" s="24"/>
      <x:c r="G321" s="96" t="str">
        <x:f>IF($A321="","",SUMIFS('QuotationItems'!$I$2:$I$500,'QuotationItems'!$B$2:$B$500,$A321))</x:f>
      </x:c>
      <x:c r="H321" s="25"/>
      <x:c r="I321" s="96" t="str">
        <x:f>IF($A321="","",$G321-$H321)</x:f>
      </x:c>
      <x:c r="J321" s="19"/>
      <x:c r="K321" s="19"/>
      <x:c r="L321" s="19"/>
      <x:c r="M321" s="26"/>
    </x:row>
    <x:row r="322">
      <x:c r="A322" s="19"/>
      <x:c r="B322" s="19"/>
      <x:c r="C322" s="19"/>
      <x:c r="D322" s="19"/>
      <x:c r="E322" s="26"/>
      <x:c r="F322" s="24"/>
      <x:c r="G322" s="96" t="str">
        <x:f>IF($A322="","",SUMIFS('QuotationItems'!$I$2:$I$500,'QuotationItems'!$B$2:$B$500,$A322))</x:f>
      </x:c>
      <x:c r="H322" s="25"/>
      <x:c r="I322" s="96" t="str">
        <x:f>IF($A322="","",$G322-$H322)</x:f>
      </x:c>
      <x:c r="J322" s="19"/>
      <x:c r="K322" s="19"/>
      <x:c r="L322" s="19"/>
      <x:c r="M322" s="26"/>
    </x:row>
    <x:row r="323">
      <x:c r="A323" s="19"/>
      <x:c r="B323" s="19"/>
      <x:c r="C323" s="19"/>
      <x:c r="D323" s="19"/>
      <x:c r="E323" s="26"/>
      <x:c r="F323" s="24"/>
      <x:c r="G323" s="96" t="str">
        <x:f>IF($A323="","",SUMIFS('QuotationItems'!$I$2:$I$500,'QuotationItems'!$B$2:$B$500,$A323))</x:f>
      </x:c>
      <x:c r="H323" s="25"/>
      <x:c r="I323" s="96" t="str">
        <x:f>IF($A323="","",$G323-$H323)</x:f>
      </x:c>
      <x:c r="J323" s="19"/>
      <x:c r="K323" s="19"/>
      <x:c r="L323" s="19"/>
      <x:c r="M323" s="26"/>
    </x:row>
    <x:row r="324">
      <x:c r="A324" s="19"/>
      <x:c r="B324" s="19"/>
      <x:c r="C324" s="19"/>
      <x:c r="D324" s="19"/>
      <x:c r="E324" s="26"/>
      <x:c r="F324" s="24"/>
      <x:c r="G324" s="96" t="str">
        <x:f>IF($A324="","",SUMIFS('QuotationItems'!$I$2:$I$500,'QuotationItems'!$B$2:$B$500,$A324))</x:f>
      </x:c>
      <x:c r="H324" s="25"/>
      <x:c r="I324" s="96" t="str">
        <x:f>IF($A324="","",$G324-$H324)</x:f>
      </x:c>
      <x:c r="J324" s="19"/>
      <x:c r="K324" s="19"/>
      <x:c r="L324" s="19"/>
      <x:c r="M324" s="26"/>
    </x:row>
    <x:row r="325">
      <x:c r="A325" s="19"/>
      <x:c r="B325" s="19"/>
      <x:c r="C325" s="19"/>
      <x:c r="D325" s="19"/>
      <x:c r="E325" s="26"/>
      <x:c r="F325" s="24"/>
      <x:c r="G325" s="96" t="str">
        <x:f>IF($A325="","",SUMIFS('QuotationItems'!$I$2:$I$500,'QuotationItems'!$B$2:$B$500,$A325))</x:f>
      </x:c>
      <x:c r="H325" s="25"/>
      <x:c r="I325" s="96" t="str">
        <x:f>IF($A325="","",$G325-$H325)</x:f>
      </x:c>
      <x:c r="J325" s="19"/>
      <x:c r="K325" s="19"/>
      <x:c r="L325" s="19"/>
      <x:c r="M325" s="26"/>
    </x:row>
    <x:row r="326">
      <x:c r="A326" s="19"/>
      <x:c r="B326" s="19"/>
      <x:c r="C326" s="19"/>
      <x:c r="D326" s="19"/>
      <x:c r="E326" s="26"/>
      <x:c r="F326" s="24"/>
      <x:c r="G326" s="96" t="str">
        <x:f>IF($A326="","",SUMIFS('QuotationItems'!$I$2:$I$500,'QuotationItems'!$B$2:$B$500,$A326))</x:f>
      </x:c>
      <x:c r="H326" s="25"/>
      <x:c r="I326" s="96" t="str">
        <x:f>IF($A326="","",$G326-$H326)</x:f>
      </x:c>
      <x:c r="J326" s="19"/>
      <x:c r="K326" s="19"/>
      <x:c r="L326" s="19"/>
      <x:c r="M326" s="26"/>
    </x:row>
    <x:row r="327">
      <x:c r="A327" s="19"/>
      <x:c r="B327" s="19"/>
      <x:c r="C327" s="19"/>
      <x:c r="D327" s="19"/>
      <x:c r="E327" s="26"/>
      <x:c r="F327" s="24"/>
      <x:c r="G327" s="96" t="str">
        <x:f>IF($A327="","",SUMIFS('QuotationItems'!$I$2:$I$500,'QuotationItems'!$B$2:$B$500,$A327))</x:f>
      </x:c>
      <x:c r="H327" s="25"/>
      <x:c r="I327" s="96" t="str">
        <x:f>IF($A327="","",$G327-$H327)</x:f>
      </x:c>
      <x:c r="J327" s="19"/>
      <x:c r="K327" s="19"/>
      <x:c r="L327" s="19"/>
      <x:c r="M327" s="26"/>
    </x:row>
    <x:row r="328">
      <x:c r="A328" s="19"/>
      <x:c r="B328" s="19"/>
      <x:c r="C328" s="19"/>
      <x:c r="D328" s="19"/>
      <x:c r="E328" s="26"/>
      <x:c r="F328" s="24"/>
      <x:c r="G328" s="96" t="str">
        <x:f>IF($A328="","",SUMIFS('QuotationItems'!$I$2:$I$500,'QuotationItems'!$B$2:$B$500,$A328))</x:f>
      </x:c>
      <x:c r="H328" s="25"/>
      <x:c r="I328" s="96" t="str">
        <x:f>IF($A328="","",$G328-$H328)</x:f>
      </x:c>
      <x:c r="J328" s="19"/>
      <x:c r="K328" s="19"/>
      <x:c r="L328" s="19"/>
      <x:c r="M328" s="26"/>
    </x:row>
    <x:row r="329">
      <x:c r="A329" s="19"/>
      <x:c r="B329" s="19"/>
      <x:c r="C329" s="19"/>
      <x:c r="D329" s="19"/>
      <x:c r="E329" s="26"/>
      <x:c r="F329" s="24"/>
      <x:c r="G329" s="96" t="str">
        <x:f>IF($A329="","",SUMIFS('QuotationItems'!$I$2:$I$500,'QuotationItems'!$B$2:$B$500,$A329))</x:f>
      </x:c>
      <x:c r="H329" s="25"/>
      <x:c r="I329" s="96" t="str">
        <x:f>IF($A329="","",$G329-$H329)</x:f>
      </x:c>
      <x:c r="J329" s="19"/>
      <x:c r="K329" s="19"/>
      <x:c r="L329" s="19"/>
      <x:c r="M329" s="26"/>
    </x:row>
    <x:row r="330">
      <x:c r="A330" s="19"/>
      <x:c r="B330" s="19"/>
      <x:c r="C330" s="19"/>
      <x:c r="D330" s="19"/>
      <x:c r="E330" s="26"/>
      <x:c r="F330" s="24"/>
      <x:c r="G330" s="96" t="str">
        <x:f>IF($A330="","",SUMIFS('QuotationItems'!$I$2:$I$500,'QuotationItems'!$B$2:$B$500,$A330))</x:f>
      </x:c>
      <x:c r="H330" s="25"/>
      <x:c r="I330" s="96" t="str">
        <x:f>IF($A330="","",$G330-$H330)</x:f>
      </x:c>
      <x:c r="J330" s="19"/>
      <x:c r="K330" s="19"/>
      <x:c r="L330" s="19"/>
      <x:c r="M330" s="26"/>
    </x:row>
    <x:row r="331">
      <x:c r="A331" s="19"/>
      <x:c r="B331" s="19"/>
      <x:c r="C331" s="19"/>
      <x:c r="D331" s="19"/>
      <x:c r="E331" s="26"/>
      <x:c r="F331" s="24"/>
      <x:c r="G331" s="96" t="str">
        <x:f>IF($A331="","",SUMIFS('QuotationItems'!$I$2:$I$500,'QuotationItems'!$B$2:$B$500,$A331))</x:f>
      </x:c>
      <x:c r="H331" s="25"/>
      <x:c r="I331" s="96" t="str">
        <x:f>IF($A331="","",$G331-$H331)</x:f>
      </x:c>
      <x:c r="J331" s="19"/>
      <x:c r="K331" s="19"/>
      <x:c r="L331" s="19"/>
      <x:c r="M331" s="26"/>
    </x:row>
    <x:row r="332">
      <x:c r="A332" s="19"/>
      <x:c r="B332" s="19"/>
      <x:c r="C332" s="19"/>
      <x:c r="D332" s="19"/>
      <x:c r="E332" s="26"/>
      <x:c r="F332" s="24"/>
      <x:c r="G332" s="96" t="str">
        <x:f>IF($A332="","",SUMIFS('QuotationItems'!$I$2:$I$500,'QuotationItems'!$B$2:$B$500,$A332))</x:f>
      </x:c>
      <x:c r="H332" s="25"/>
      <x:c r="I332" s="96" t="str">
        <x:f>IF($A332="","",$G332-$H332)</x:f>
      </x:c>
      <x:c r="J332" s="19"/>
      <x:c r="K332" s="19"/>
      <x:c r="L332" s="19"/>
      <x:c r="M332" s="26"/>
    </x:row>
    <x:row r="333">
      <x:c r="A333" s="19"/>
      <x:c r="B333" s="19"/>
      <x:c r="C333" s="19"/>
      <x:c r="D333" s="19"/>
      <x:c r="E333" s="26"/>
      <x:c r="F333" s="24"/>
      <x:c r="G333" s="96" t="str">
        <x:f>IF($A333="","",SUMIFS('QuotationItems'!$I$2:$I$500,'QuotationItems'!$B$2:$B$500,$A333))</x:f>
      </x:c>
      <x:c r="H333" s="25"/>
      <x:c r="I333" s="96" t="str">
        <x:f>IF($A333="","",$G333-$H333)</x:f>
      </x:c>
      <x:c r="J333" s="19"/>
      <x:c r="K333" s="19"/>
      <x:c r="L333" s="19"/>
      <x:c r="M333" s="26"/>
    </x:row>
    <x:row r="334">
      <x:c r="A334" s="19"/>
      <x:c r="B334" s="19"/>
      <x:c r="C334" s="19"/>
      <x:c r="D334" s="19"/>
      <x:c r="E334" s="26"/>
      <x:c r="F334" s="24"/>
      <x:c r="G334" s="96" t="str">
        <x:f>IF($A334="","",SUMIFS('QuotationItems'!$I$2:$I$500,'QuotationItems'!$B$2:$B$500,$A334))</x:f>
      </x:c>
      <x:c r="H334" s="25"/>
      <x:c r="I334" s="96" t="str">
        <x:f>IF($A334="","",$G334-$H334)</x:f>
      </x:c>
      <x:c r="J334" s="19"/>
      <x:c r="K334" s="19"/>
      <x:c r="L334" s="19"/>
      <x:c r="M334" s="26"/>
    </x:row>
    <x:row r="335">
      <x:c r="A335" s="19"/>
      <x:c r="B335" s="19"/>
      <x:c r="C335" s="19"/>
      <x:c r="D335" s="19"/>
      <x:c r="E335" s="26"/>
      <x:c r="F335" s="24"/>
      <x:c r="G335" s="96" t="str">
        <x:f>IF($A335="","",SUMIFS('QuotationItems'!$I$2:$I$500,'QuotationItems'!$B$2:$B$500,$A335))</x:f>
      </x:c>
      <x:c r="H335" s="25"/>
      <x:c r="I335" s="96" t="str">
        <x:f>IF($A335="","",$G335-$H335)</x:f>
      </x:c>
      <x:c r="J335" s="19"/>
      <x:c r="K335" s="19"/>
      <x:c r="L335" s="19"/>
      <x:c r="M335" s="26"/>
    </x:row>
    <x:row r="336">
      <x:c r="A336" s="19"/>
      <x:c r="B336" s="19"/>
      <x:c r="C336" s="19"/>
      <x:c r="D336" s="19"/>
      <x:c r="E336" s="26"/>
      <x:c r="F336" s="24"/>
      <x:c r="G336" s="96" t="str">
        <x:f>IF($A336="","",SUMIFS('QuotationItems'!$I$2:$I$500,'QuotationItems'!$B$2:$B$500,$A336))</x:f>
      </x:c>
      <x:c r="H336" s="25"/>
      <x:c r="I336" s="96" t="str">
        <x:f>IF($A336="","",$G336-$H336)</x:f>
      </x:c>
      <x:c r="J336" s="19"/>
      <x:c r="K336" s="19"/>
      <x:c r="L336" s="19"/>
      <x:c r="M336" s="26"/>
    </x:row>
    <x:row r="337">
      <x:c r="A337" s="19"/>
      <x:c r="B337" s="19"/>
      <x:c r="C337" s="19"/>
      <x:c r="D337" s="19"/>
      <x:c r="E337" s="26"/>
      <x:c r="F337" s="24"/>
      <x:c r="G337" s="96" t="str">
        <x:f>IF($A337="","",SUMIFS('QuotationItems'!$I$2:$I$500,'QuotationItems'!$B$2:$B$500,$A337))</x:f>
      </x:c>
      <x:c r="H337" s="25"/>
      <x:c r="I337" s="96" t="str">
        <x:f>IF($A337="","",$G337-$H337)</x:f>
      </x:c>
      <x:c r="J337" s="19"/>
      <x:c r="K337" s="19"/>
      <x:c r="L337" s="19"/>
      <x:c r="M337" s="26"/>
    </x:row>
    <x:row r="338">
      <x:c r="A338" s="19"/>
      <x:c r="B338" s="19"/>
      <x:c r="C338" s="19"/>
      <x:c r="D338" s="19"/>
      <x:c r="E338" s="26"/>
      <x:c r="F338" s="24"/>
      <x:c r="G338" s="96" t="str">
        <x:f>IF($A338="","",SUMIFS('QuotationItems'!$I$2:$I$500,'QuotationItems'!$B$2:$B$500,$A338))</x:f>
      </x:c>
      <x:c r="H338" s="25"/>
      <x:c r="I338" s="96" t="str">
        <x:f>IF($A338="","",$G338-$H338)</x:f>
      </x:c>
      <x:c r="J338" s="19"/>
      <x:c r="K338" s="19"/>
      <x:c r="L338" s="19"/>
      <x:c r="M338" s="26"/>
    </x:row>
    <x:row r="339">
      <x:c r="A339" s="19"/>
      <x:c r="B339" s="19"/>
      <x:c r="C339" s="19"/>
      <x:c r="D339" s="19"/>
      <x:c r="E339" s="26"/>
      <x:c r="F339" s="24"/>
      <x:c r="G339" s="96" t="str">
        <x:f>IF($A339="","",SUMIFS('QuotationItems'!$I$2:$I$500,'QuotationItems'!$B$2:$B$500,$A339))</x:f>
      </x:c>
      <x:c r="H339" s="25"/>
      <x:c r="I339" s="96" t="str">
        <x:f>IF($A339="","",$G339-$H339)</x:f>
      </x:c>
      <x:c r="J339" s="19"/>
      <x:c r="K339" s="19"/>
      <x:c r="L339" s="19"/>
      <x:c r="M339" s="26"/>
    </x:row>
    <x:row r="340">
      <x:c r="A340" s="19"/>
      <x:c r="B340" s="19"/>
      <x:c r="C340" s="19"/>
      <x:c r="D340" s="19"/>
      <x:c r="E340" s="26"/>
      <x:c r="F340" s="24"/>
      <x:c r="G340" s="96" t="str">
        <x:f>IF($A340="","",SUMIFS('QuotationItems'!$I$2:$I$500,'QuotationItems'!$B$2:$B$500,$A340))</x:f>
      </x:c>
      <x:c r="H340" s="25"/>
      <x:c r="I340" s="96" t="str">
        <x:f>IF($A340="","",$G340-$H340)</x:f>
      </x:c>
      <x:c r="J340" s="19"/>
      <x:c r="K340" s="19"/>
      <x:c r="L340" s="19"/>
      <x:c r="M340" s="26"/>
    </x:row>
    <x:row r="341">
      <x:c r="A341" s="19"/>
      <x:c r="B341" s="19"/>
      <x:c r="C341" s="19"/>
      <x:c r="D341" s="19"/>
      <x:c r="E341" s="26"/>
      <x:c r="F341" s="24"/>
      <x:c r="G341" s="96" t="str">
        <x:f>IF($A341="","",SUMIFS('QuotationItems'!$I$2:$I$500,'QuotationItems'!$B$2:$B$500,$A341))</x:f>
      </x:c>
      <x:c r="H341" s="25"/>
      <x:c r="I341" s="96" t="str">
        <x:f>IF($A341="","",$G341-$H341)</x:f>
      </x:c>
      <x:c r="J341" s="19"/>
      <x:c r="K341" s="19"/>
      <x:c r="L341" s="19"/>
      <x:c r="M341" s="26"/>
    </x:row>
    <x:row r="342">
      <x:c r="A342" s="19"/>
      <x:c r="B342" s="19"/>
      <x:c r="C342" s="19"/>
      <x:c r="D342" s="19"/>
      <x:c r="E342" s="26"/>
      <x:c r="F342" s="24"/>
      <x:c r="G342" s="96" t="str">
        <x:f>IF($A342="","",SUMIFS('QuotationItems'!$I$2:$I$500,'QuotationItems'!$B$2:$B$500,$A342))</x:f>
      </x:c>
      <x:c r="H342" s="25"/>
      <x:c r="I342" s="96" t="str">
        <x:f>IF($A342="","",$G342-$H342)</x:f>
      </x:c>
      <x:c r="J342" s="19"/>
      <x:c r="K342" s="19"/>
      <x:c r="L342" s="19"/>
      <x:c r="M342" s="26"/>
    </x:row>
    <x:row r="343">
      <x:c r="A343" s="19"/>
      <x:c r="B343" s="19"/>
      <x:c r="C343" s="19"/>
      <x:c r="D343" s="19"/>
      <x:c r="E343" s="26"/>
      <x:c r="F343" s="24"/>
      <x:c r="G343" s="96" t="str">
        <x:f>IF($A343="","",SUMIFS('QuotationItems'!$I$2:$I$500,'QuotationItems'!$B$2:$B$500,$A343))</x:f>
      </x:c>
      <x:c r="H343" s="25"/>
      <x:c r="I343" s="96" t="str">
        <x:f>IF($A343="","",$G343-$H343)</x:f>
      </x:c>
      <x:c r="J343" s="19"/>
      <x:c r="K343" s="19"/>
      <x:c r="L343" s="19"/>
      <x:c r="M343" s="26"/>
    </x:row>
    <x:row r="344">
      <x:c r="A344" s="19"/>
      <x:c r="B344" s="19"/>
      <x:c r="C344" s="19"/>
      <x:c r="D344" s="19"/>
      <x:c r="E344" s="26"/>
      <x:c r="F344" s="24"/>
      <x:c r="G344" s="96" t="str">
        <x:f>IF($A344="","",SUMIFS('QuotationItems'!$I$2:$I$500,'QuotationItems'!$B$2:$B$500,$A344))</x:f>
      </x:c>
      <x:c r="H344" s="25"/>
      <x:c r="I344" s="96" t="str">
        <x:f>IF($A344="","",$G344-$H344)</x:f>
      </x:c>
      <x:c r="J344" s="19"/>
      <x:c r="K344" s="19"/>
      <x:c r="L344" s="19"/>
      <x:c r="M344" s="26"/>
    </x:row>
    <x:row r="345">
      <x:c r="A345" s="19"/>
      <x:c r="B345" s="19"/>
      <x:c r="C345" s="19"/>
      <x:c r="D345" s="19"/>
      <x:c r="E345" s="26"/>
      <x:c r="F345" s="24"/>
      <x:c r="G345" s="96" t="str">
        <x:f>IF($A345="","",SUMIFS('QuotationItems'!$I$2:$I$500,'QuotationItems'!$B$2:$B$500,$A345))</x:f>
      </x:c>
      <x:c r="H345" s="25"/>
      <x:c r="I345" s="96" t="str">
        <x:f>IF($A345="","",$G345-$H345)</x:f>
      </x:c>
      <x:c r="J345" s="19"/>
      <x:c r="K345" s="19"/>
      <x:c r="L345" s="19"/>
      <x:c r="M345" s="26"/>
    </x:row>
    <x:row r="346">
      <x:c r="A346" s="19"/>
      <x:c r="B346" s="19"/>
      <x:c r="C346" s="19"/>
      <x:c r="D346" s="19"/>
      <x:c r="E346" s="26"/>
      <x:c r="F346" s="24"/>
      <x:c r="G346" s="96" t="str">
        <x:f>IF($A346="","",SUMIFS('QuotationItems'!$I$2:$I$500,'QuotationItems'!$B$2:$B$500,$A346))</x:f>
      </x:c>
      <x:c r="H346" s="25"/>
      <x:c r="I346" s="96" t="str">
        <x:f>IF($A346="","",$G346-$H346)</x:f>
      </x:c>
      <x:c r="J346" s="19"/>
      <x:c r="K346" s="19"/>
      <x:c r="L346" s="19"/>
      <x:c r="M346" s="26"/>
    </x:row>
    <x:row r="347">
      <x:c r="A347" s="19"/>
      <x:c r="B347" s="19"/>
      <x:c r="C347" s="19"/>
      <x:c r="D347" s="19"/>
      <x:c r="E347" s="26"/>
      <x:c r="F347" s="24"/>
      <x:c r="G347" s="96" t="str">
        <x:f>IF($A347="","",SUMIFS('QuotationItems'!$I$2:$I$500,'QuotationItems'!$B$2:$B$500,$A347))</x:f>
      </x:c>
      <x:c r="H347" s="25"/>
      <x:c r="I347" s="96" t="str">
        <x:f>IF($A347="","",$G347-$H347)</x:f>
      </x:c>
      <x:c r="J347" s="19"/>
      <x:c r="K347" s="19"/>
      <x:c r="L347" s="19"/>
      <x:c r="M347" s="26"/>
    </x:row>
    <x:row r="348">
      <x:c r="A348" s="19"/>
      <x:c r="B348" s="19"/>
      <x:c r="C348" s="19"/>
      <x:c r="D348" s="19"/>
      <x:c r="E348" s="26"/>
      <x:c r="F348" s="24"/>
      <x:c r="G348" s="96" t="str">
        <x:f>IF($A348="","",SUMIFS('QuotationItems'!$I$2:$I$500,'QuotationItems'!$B$2:$B$500,$A348))</x:f>
      </x:c>
      <x:c r="H348" s="25"/>
      <x:c r="I348" s="96" t="str">
        <x:f>IF($A348="","",$G348-$H348)</x:f>
      </x:c>
      <x:c r="J348" s="19"/>
      <x:c r="K348" s="19"/>
      <x:c r="L348" s="19"/>
      <x:c r="M348" s="26"/>
    </x:row>
    <x:row r="349">
      <x:c r="A349" s="19"/>
      <x:c r="B349" s="19"/>
      <x:c r="C349" s="19"/>
      <x:c r="D349" s="19"/>
      <x:c r="E349" s="26"/>
      <x:c r="F349" s="24"/>
      <x:c r="G349" s="96" t="str">
        <x:f>IF($A349="","",SUMIFS('QuotationItems'!$I$2:$I$500,'QuotationItems'!$B$2:$B$500,$A349))</x:f>
      </x:c>
      <x:c r="H349" s="25"/>
      <x:c r="I349" s="96" t="str">
        <x:f>IF($A349="","",$G349-$H349)</x:f>
      </x:c>
      <x:c r="J349" s="19"/>
      <x:c r="K349" s="19"/>
      <x:c r="L349" s="19"/>
      <x:c r="M349" s="26"/>
    </x:row>
    <x:row r="350">
      <x:c r="A350" s="19"/>
      <x:c r="B350" s="19"/>
      <x:c r="C350" s="19"/>
      <x:c r="D350" s="19"/>
      <x:c r="E350" s="26"/>
      <x:c r="F350" s="24"/>
      <x:c r="G350" s="96" t="str">
        <x:f>IF($A350="","",SUMIFS('QuotationItems'!$I$2:$I$500,'QuotationItems'!$B$2:$B$500,$A350))</x:f>
      </x:c>
      <x:c r="H350" s="25"/>
      <x:c r="I350" s="96" t="str">
        <x:f>IF($A350="","",$G350-$H350)</x:f>
      </x:c>
      <x:c r="J350" s="19"/>
      <x:c r="K350" s="19"/>
      <x:c r="L350" s="19"/>
      <x:c r="M350" s="26"/>
    </x:row>
    <x:row r="351">
      <x:c r="A351" s="19"/>
      <x:c r="B351" s="19"/>
      <x:c r="C351" s="19"/>
      <x:c r="D351" s="19"/>
      <x:c r="E351" s="26"/>
      <x:c r="F351" s="24"/>
      <x:c r="G351" s="96" t="str">
        <x:f>IF($A351="","",SUMIFS('QuotationItems'!$I$2:$I$500,'QuotationItems'!$B$2:$B$500,$A351))</x:f>
      </x:c>
      <x:c r="H351" s="25"/>
      <x:c r="I351" s="96" t="str">
        <x:f>IF($A351="","",$G351-$H351)</x:f>
      </x:c>
      <x:c r="J351" s="19"/>
      <x:c r="K351" s="19"/>
      <x:c r="L351" s="19"/>
      <x:c r="M351" s="26"/>
    </x:row>
    <x:row r="352">
      <x:c r="A352" s="19"/>
      <x:c r="B352" s="19"/>
      <x:c r="C352" s="19"/>
      <x:c r="D352" s="19"/>
      <x:c r="E352" s="26"/>
      <x:c r="F352" s="24"/>
      <x:c r="G352" s="96" t="str">
        <x:f>IF($A352="","",SUMIFS('QuotationItems'!$I$2:$I$500,'QuotationItems'!$B$2:$B$500,$A352))</x:f>
      </x:c>
      <x:c r="H352" s="25"/>
      <x:c r="I352" s="96" t="str">
        <x:f>IF($A352="","",$G352-$H352)</x:f>
      </x:c>
      <x:c r="J352" s="19"/>
      <x:c r="K352" s="19"/>
      <x:c r="L352" s="19"/>
      <x:c r="M352" s="26"/>
    </x:row>
    <x:row r="353">
      <x:c r="A353" s="19"/>
      <x:c r="B353" s="19"/>
      <x:c r="C353" s="19"/>
      <x:c r="D353" s="19"/>
      <x:c r="E353" s="26"/>
      <x:c r="F353" s="24"/>
      <x:c r="G353" s="96" t="str">
        <x:f>IF($A353="","",SUMIFS('QuotationItems'!$I$2:$I$500,'QuotationItems'!$B$2:$B$500,$A353))</x:f>
      </x:c>
      <x:c r="H353" s="25"/>
      <x:c r="I353" s="96" t="str">
        <x:f>IF($A353="","",$G353-$H353)</x:f>
      </x:c>
      <x:c r="J353" s="19"/>
      <x:c r="K353" s="19"/>
      <x:c r="L353" s="19"/>
      <x:c r="M353" s="26"/>
    </x:row>
    <x:row r="354">
      <x:c r="A354" s="19"/>
      <x:c r="B354" s="19"/>
      <x:c r="C354" s="19"/>
      <x:c r="D354" s="19"/>
      <x:c r="E354" s="26"/>
      <x:c r="F354" s="24"/>
      <x:c r="G354" s="96" t="str">
        <x:f>IF($A354="","",SUMIFS('QuotationItems'!$I$2:$I$500,'QuotationItems'!$B$2:$B$500,$A354))</x:f>
      </x:c>
      <x:c r="H354" s="25"/>
      <x:c r="I354" s="96" t="str">
        <x:f>IF($A354="","",$G354-$H354)</x:f>
      </x:c>
      <x:c r="J354" s="19"/>
      <x:c r="K354" s="19"/>
      <x:c r="L354" s="19"/>
      <x:c r="M354" s="26"/>
    </x:row>
    <x:row r="355">
      <x:c r="A355" s="19"/>
      <x:c r="B355" s="19"/>
      <x:c r="C355" s="19"/>
      <x:c r="D355" s="19"/>
      <x:c r="E355" s="26"/>
      <x:c r="F355" s="24"/>
      <x:c r="G355" s="96" t="str">
        <x:f>IF($A355="","",SUMIFS('QuotationItems'!$I$2:$I$500,'QuotationItems'!$B$2:$B$500,$A355))</x:f>
      </x:c>
      <x:c r="H355" s="25"/>
      <x:c r="I355" s="96" t="str">
        <x:f>IF($A355="","",$G355-$H355)</x:f>
      </x:c>
      <x:c r="J355" s="19"/>
      <x:c r="K355" s="19"/>
      <x:c r="L355" s="19"/>
      <x:c r="M355" s="26"/>
    </x:row>
    <x:row r="356">
      <x:c r="A356" s="19"/>
      <x:c r="B356" s="19"/>
      <x:c r="C356" s="19"/>
      <x:c r="D356" s="19"/>
      <x:c r="E356" s="26"/>
      <x:c r="F356" s="24"/>
      <x:c r="G356" s="96" t="str">
        <x:f>IF($A356="","",SUMIFS('QuotationItems'!$I$2:$I$500,'QuotationItems'!$B$2:$B$500,$A356))</x:f>
      </x:c>
      <x:c r="H356" s="25"/>
      <x:c r="I356" s="96" t="str">
        <x:f>IF($A356="","",$G356-$H356)</x:f>
      </x:c>
      <x:c r="J356" s="19"/>
      <x:c r="K356" s="19"/>
      <x:c r="L356" s="19"/>
      <x:c r="M356" s="26"/>
    </x:row>
    <x:row r="357">
      <x:c r="A357" s="19"/>
      <x:c r="B357" s="19"/>
      <x:c r="C357" s="19"/>
      <x:c r="D357" s="19"/>
      <x:c r="E357" s="26"/>
      <x:c r="F357" s="24"/>
      <x:c r="G357" s="96" t="str">
        <x:f>IF($A357="","",SUMIFS('QuotationItems'!$I$2:$I$500,'QuotationItems'!$B$2:$B$500,$A357))</x:f>
      </x:c>
      <x:c r="H357" s="25"/>
      <x:c r="I357" s="96" t="str">
        <x:f>IF($A357="","",$G357-$H357)</x:f>
      </x:c>
      <x:c r="J357" s="19"/>
      <x:c r="K357" s="19"/>
      <x:c r="L357" s="19"/>
      <x:c r="M357" s="26"/>
    </x:row>
    <x:row r="358">
      <x:c r="A358" s="19"/>
      <x:c r="B358" s="19"/>
      <x:c r="C358" s="19"/>
      <x:c r="D358" s="19"/>
      <x:c r="E358" s="26"/>
      <x:c r="F358" s="24"/>
      <x:c r="G358" s="96" t="str">
        <x:f>IF($A358="","",SUMIFS('QuotationItems'!$I$2:$I$500,'QuotationItems'!$B$2:$B$500,$A358))</x:f>
      </x:c>
      <x:c r="H358" s="25"/>
      <x:c r="I358" s="96" t="str">
        <x:f>IF($A358="","",$G358-$H358)</x:f>
      </x:c>
      <x:c r="J358" s="19"/>
      <x:c r="K358" s="19"/>
      <x:c r="L358" s="19"/>
      <x:c r="M358" s="26"/>
    </x:row>
    <x:row r="359">
      <x:c r="A359" s="19"/>
      <x:c r="B359" s="19"/>
      <x:c r="C359" s="19"/>
      <x:c r="D359" s="19"/>
      <x:c r="E359" s="26"/>
      <x:c r="F359" s="24"/>
      <x:c r="G359" s="96" t="str">
        <x:f>IF($A359="","",SUMIFS('QuotationItems'!$I$2:$I$500,'QuotationItems'!$B$2:$B$500,$A359))</x:f>
      </x:c>
      <x:c r="H359" s="25"/>
      <x:c r="I359" s="96" t="str">
        <x:f>IF($A359="","",$G359-$H359)</x:f>
      </x:c>
      <x:c r="J359" s="19"/>
      <x:c r="K359" s="19"/>
      <x:c r="L359" s="19"/>
      <x:c r="M359" s="26"/>
    </x:row>
    <x:row r="360">
      <x:c r="A360" s="19"/>
      <x:c r="B360" s="19"/>
      <x:c r="C360" s="19"/>
      <x:c r="D360" s="19"/>
      <x:c r="E360" s="26"/>
      <x:c r="F360" s="24"/>
      <x:c r="G360" s="96" t="str">
        <x:f>IF($A360="","",SUMIFS('QuotationItems'!$I$2:$I$500,'QuotationItems'!$B$2:$B$500,$A360))</x:f>
      </x:c>
      <x:c r="H360" s="25"/>
      <x:c r="I360" s="96" t="str">
        <x:f>IF($A360="","",$G360-$H360)</x:f>
      </x:c>
      <x:c r="J360" s="19"/>
      <x:c r="K360" s="19"/>
      <x:c r="L360" s="19"/>
      <x:c r="M360" s="26"/>
    </x:row>
    <x:row r="361">
      <x:c r="A361" s="19"/>
      <x:c r="B361" s="19"/>
      <x:c r="C361" s="19"/>
      <x:c r="D361" s="19"/>
      <x:c r="E361" s="26"/>
      <x:c r="F361" s="24"/>
      <x:c r="G361" s="96" t="str">
        <x:f>IF($A361="","",SUMIFS('QuotationItems'!$I$2:$I$500,'QuotationItems'!$B$2:$B$500,$A361))</x:f>
      </x:c>
      <x:c r="H361" s="25"/>
      <x:c r="I361" s="96" t="str">
        <x:f>IF($A361="","",$G361-$H361)</x:f>
      </x:c>
      <x:c r="J361" s="19"/>
      <x:c r="K361" s="19"/>
      <x:c r="L361" s="19"/>
      <x:c r="M361" s="26"/>
    </x:row>
    <x:row r="362">
      <x:c r="A362" s="19"/>
      <x:c r="B362" s="19"/>
      <x:c r="C362" s="19"/>
      <x:c r="D362" s="19"/>
      <x:c r="E362" s="26"/>
      <x:c r="F362" s="24"/>
      <x:c r="G362" s="96" t="str">
        <x:f>IF($A362="","",SUMIFS('QuotationItems'!$I$2:$I$500,'QuotationItems'!$B$2:$B$500,$A362))</x:f>
      </x:c>
      <x:c r="H362" s="25"/>
      <x:c r="I362" s="96" t="str">
        <x:f>IF($A362="","",$G362-$H362)</x:f>
      </x:c>
      <x:c r="J362" s="19"/>
      <x:c r="K362" s="19"/>
      <x:c r="L362" s="19"/>
      <x:c r="M362" s="26"/>
    </x:row>
    <x:row r="363">
      <x:c r="A363" s="19"/>
      <x:c r="B363" s="19"/>
      <x:c r="C363" s="19"/>
      <x:c r="D363" s="19"/>
      <x:c r="E363" s="26"/>
      <x:c r="F363" s="24"/>
      <x:c r="G363" s="96" t="str">
        <x:f>IF($A363="","",SUMIFS('QuotationItems'!$I$2:$I$500,'QuotationItems'!$B$2:$B$500,$A363))</x:f>
      </x:c>
      <x:c r="H363" s="25"/>
      <x:c r="I363" s="96" t="str">
        <x:f>IF($A363="","",$G363-$H363)</x:f>
      </x:c>
      <x:c r="J363" s="19"/>
      <x:c r="K363" s="19"/>
      <x:c r="L363" s="19"/>
      <x:c r="M363" s="26"/>
    </x:row>
    <x:row r="364">
      <x:c r="A364" s="19"/>
      <x:c r="B364" s="19"/>
      <x:c r="C364" s="19"/>
      <x:c r="D364" s="19"/>
      <x:c r="E364" s="26"/>
      <x:c r="F364" s="24"/>
      <x:c r="G364" s="96" t="str">
        <x:f>IF($A364="","",SUMIFS('QuotationItems'!$I$2:$I$500,'QuotationItems'!$B$2:$B$500,$A364))</x:f>
      </x:c>
      <x:c r="H364" s="25"/>
      <x:c r="I364" s="96" t="str">
        <x:f>IF($A364="","",$G364-$H364)</x:f>
      </x:c>
      <x:c r="J364" s="19"/>
      <x:c r="K364" s="19"/>
      <x:c r="L364" s="19"/>
      <x:c r="M364" s="26"/>
    </x:row>
    <x:row r="365">
      <x:c r="A365" s="19"/>
      <x:c r="B365" s="19"/>
      <x:c r="C365" s="19"/>
      <x:c r="D365" s="19"/>
      <x:c r="E365" s="26"/>
      <x:c r="F365" s="24"/>
      <x:c r="G365" s="96" t="str">
        <x:f>IF($A365="","",SUMIFS('QuotationItems'!$I$2:$I$500,'QuotationItems'!$B$2:$B$500,$A365))</x:f>
      </x:c>
      <x:c r="H365" s="25"/>
      <x:c r="I365" s="96" t="str">
        <x:f>IF($A365="","",$G365-$H365)</x:f>
      </x:c>
      <x:c r="J365" s="19"/>
      <x:c r="K365" s="19"/>
      <x:c r="L365" s="19"/>
      <x:c r="M365" s="26"/>
    </x:row>
    <x:row r="366">
      <x:c r="A366" s="19"/>
      <x:c r="B366" s="19"/>
      <x:c r="C366" s="19"/>
      <x:c r="D366" s="19"/>
      <x:c r="E366" s="26"/>
      <x:c r="F366" s="24"/>
      <x:c r="G366" s="96" t="str">
        <x:f>IF($A366="","",SUMIFS('QuotationItems'!$I$2:$I$500,'QuotationItems'!$B$2:$B$500,$A366))</x:f>
      </x:c>
      <x:c r="H366" s="25"/>
      <x:c r="I366" s="96" t="str">
        <x:f>IF($A366="","",$G366-$H366)</x:f>
      </x:c>
      <x:c r="J366" s="19"/>
      <x:c r="K366" s="19"/>
      <x:c r="L366" s="19"/>
      <x:c r="M366" s="26"/>
    </x:row>
    <x:row r="367">
      <x:c r="A367" s="19"/>
      <x:c r="B367" s="19"/>
      <x:c r="C367" s="19"/>
      <x:c r="D367" s="19"/>
      <x:c r="E367" s="26"/>
      <x:c r="F367" s="24"/>
      <x:c r="G367" s="96" t="str">
        <x:f>IF($A367="","",SUMIFS('QuotationItems'!$I$2:$I$500,'QuotationItems'!$B$2:$B$500,$A367))</x:f>
      </x:c>
      <x:c r="H367" s="25"/>
      <x:c r="I367" s="96" t="str">
        <x:f>IF($A367="","",$G367-$H367)</x:f>
      </x:c>
      <x:c r="J367" s="19"/>
      <x:c r="K367" s="19"/>
      <x:c r="L367" s="19"/>
      <x:c r="M367" s="26"/>
    </x:row>
    <x:row r="368">
      <x:c r="A368" s="19"/>
      <x:c r="B368" s="19"/>
      <x:c r="C368" s="19"/>
      <x:c r="D368" s="19"/>
      <x:c r="E368" s="26"/>
      <x:c r="F368" s="24"/>
      <x:c r="G368" s="96" t="str">
        <x:f>IF($A368="","",SUMIFS('QuotationItems'!$I$2:$I$500,'QuotationItems'!$B$2:$B$500,$A368))</x:f>
      </x:c>
      <x:c r="H368" s="25"/>
      <x:c r="I368" s="96" t="str">
        <x:f>IF($A368="","",$G368-$H368)</x:f>
      </x:c>
      <x:c r="J368" s="19"/>
      <x:c r="K368" s="19"/>
      <x:c r="L368" s="19"/>
      <x:c r="M368" s="26"/>
    </x:row>
    <x:row r="369">
      <x:c r="A369" s="19"/>
      <x:c r="B369" s="19"/>
      <x:c r="C369" s="19"/>
      <x:c r="D369" s="19"/>
      <x:c r="E369" s="26"/>
      <x:c r="F369" s="24"/>
      <x:c r="G369" s="96" t="str">
        <x:f>IF($A369="","",SUMIFS('QuotationItems'!$I$2:$I$500,'QuotationItems'!$B$2:$B$500,$A369))</x:f>
      </x:c>
      <x:c r="H369" s="25"/>
      <x:c r="I369" s="96" t="str">
        <x:f>IF($A369="","",$G369-$H369)</x:f>
      </x:c>
      <x:c r="J369" s="19"/>
      <x:c r="K369" s="19"/>
      <x:c r="L369" s="19"/>
      <x:c r="M369" s="26"/>
    </x:row>
    <x:row r="370">
      <x:c r="A370" s="19"/>
      <x:c r="B370" s="19"/>
      <x:c r="C370" s="19"/>
      <x:c r="D370" s="19"/>
      <x:c r="E370" s="26"/>
      <x:c r="F370" s="24"/>
      <x:c r="G370" s="96" t="str">
        <x:f>IF($A370="","",SUMIFS('QuotationItems'!$I$2:$I$500,'QuotationItems'!$B$2:$B$500,$A370))</x:f>
      </x:c>
      <x:c r="H370" s="25"/>
      <x:c r="I370" s="96" t="str">
        <x:f>IF($A370="","",$G370-$H370)</x:f>
      </x:c>
      <x:c r="J370" s="19"/>
      <x:c r="K370" s="19"/>
      <x:c r="L370" s="19"/>
      <x:c r="M370" s="26"/>
    </x:row>
    <x:row r="371">
      <x:c r="A371" s="19"/>
      <x:c r="B371" s="19"/>
      <x:c r="C371" s="19"/>
      <x:c r="D371" s="19"/>
      <x:c r="E371" s="26"/>
      <x:c r="F371" s="24"/>
      <x:c r="G371" s="96" t="str">
        <x:f>IF($A371="","",SUMIFS('QuotationItems'!$I$2:$I$500,'QuotationItems'!$B$2:$B$500,$A371))</x:f>
      </x:c>
      <x:c r="H371" s="25"/>
      <x:c r="I371" s="96" t="str">
        <x:f>IF($A371="","",$G371-$H371)</x:f>
      </x:c>
      <x:c r="J371" s="19"/>
      <x:c r="K371" s="19"/>
      <x:c r="L371" s="19"/>
      <x:c r="M371" s="26"/>
    </x:row>
    <x:row r="372">
      <x:c r="A372" s="19"/>
      <x:c r="B372" s="19"/>
      <x:c r="C372" s="19"/>
      <x:c r="D372" s="19"/>
      <x:c r="E372" s="26"/>
      <x:c r="F372" s="24"/>
      <x:c r="G372" s="96" t="str">
        <x:f>IF($A372="","",SUMIFS('QuotationItems'!$I$2:$I$500,'QuotationItems'!$B$2:$B$500,$A372))</x:f>
      </x:c>
      <x:c r="H372" s="25"/>
      <x:c r="I372" s="96" t="str">
        <x:f>IF($A372="","",$G372-$H372)</x:f>
      </x:c>
      <x:c r="J372" s="19"/>
      <x:c r="K372" s="19"/>
      <x:c r="L372" s="19"/>
      <x:c r="M372" s="26"/>
    </x:row>
    <x:row r="373">
      <x:c r="A373" s="19"/>
      <x:c r="B373" s="19"/>
      <x:c r="C373" s="19"/>
      <x:c r="D373" s="19"/>
      <x:c r="E373" s="26"/>
      <x:c r="F373" s="24"/>
      <x:c r="G373" s="96" t="str">
        <x:f>IF($A373="","",SUMIFS('QuotationItems'!$I$2:$I$500,'QuotationItems'!$B$2:$B$500,$A373))</x:f>
      </x:c>
      <x:c r="H373" s="25"/>
      <x:c r="I373" s="96" t="str">
        <x:f>IF($A373="","",$G373-$H373)</x:f>
      </x:c>
      <x:c r="J373" s="19"/>
      <x:c r="K373" s="19"/>
      <x:c r="L373" s="19"/>
      <x:c r="M373" s="26"/>
    </x:row>
    <x:row r="374">
      <x:c r="A374" s="19"/>
      <x:c r="B374" s="19"/>
      <x:c r="C374" s="19"/>
      <x:c r="D374" s="19"/>
      <x:c r="E374" s="26"/>
      <x:c r="F374" s="24"/>
      <x:c r="G374" s="96" t="str">
        <x:f>IF($A374="","",SUMIFS('QuotationItems'!$I$2:$I$500,'QuotationItems'!$B$2:$B$500,$A374))</x:f>
      </x:c>
      <x:c r="H374" s="25"/>
      <x:c r="I374" s="96" t="str">
        <x:f>IF($A374="","",$G374-$H374)</x:f>
      </x:c>
      <x:c r="J374" s="19"/>
      <x:c r="K374" s="19"/>
      <x:c r="L374" s="19"/>
      <x:c r="M374" s="26"/>
    </x:row>
    <x:row r="375">
      <x:c r="A375" s="19"/>
      <x:c r="B375" s="19"/>
      <x:c r="C375" s="19"/>
      <x:c r="D375" s="19"/>
      <x:c r="E375" s="26"/>
      <x:c r="F375" s="24"/>
      <x:c r="G375" s="96" t="str">
        <x:f>IF($A375="","",SUMIFS('QuotationItems'!$I$2:$I$500,'QuotationItems'!$B$2:$B$500,$A375))</x:f>
      </x:c>
      <x:c r="H375" s="25"/>
      <x:c r="I375" s="96" t="str">
        <x:f>IF($A375="","",$G375-$H375)</x:f>
      </x:c>
      <x:c r="J375" s="19"/>
      <x:c r="K375" s="19"/>
      <x:c r="L375" s="19"/>
      <x:c r="M375" s="26"/>
    </x:row>
    <x:row r="376">
      <x:c r="A376" s="19"/>
      <x:c r="B376" s="19"/>
      <x:c r="C376" s="19"/>
      <x:c r="D376" s="19"/>
      <x:c r="E376" s="26"/>
      <x:c r="F376" s="24"/>
      <x:c r="G376" s="96" t="str">
        <x:f>IF($A376="","",SUMIFS('QuotationItems'!$I$2:$I$500,'QuotationItems'!$B$2:$B$500,$A376))</x:f>
      </x:c>
      <x:c r="H376" s="25"/>
      <x:c r="I376" s="96" t="str">
        <x:f>IF($A376="","",$G376-$H376)</x:f>
      </x:c>
      <x:c r="J376" s="19"/>
      <x:c r="K376" s="19"/>
      <x:c r="L376" s="19"/>
      <x:c r="M376" s="26"/>
    </x:row>
    <x:row r="377">
      <x:c r="A377" s="19"/>
      <x:c r="B377" s="19"/>
      <x:c r="C377" s="19"/>
      <x:c r="D377" s="19"/>
      <x:c r="E377" s="26"/>
      <x:c r="F377" s="24"/>
      <x:c r="G377" s="96" t="str">
        <x:f>IF($A377="","",SUMIFS('QuotationItems'!$I$2:$I$500,'QuotationItems'!$B$2:$B$500,$A377))</x:f>
      </x:c>
      <x:c r="H377" s="25"/>
      <x:c r="I377" s="96" t="str">
        <x:f>IF($A377="","",$G377-$H377)</x:f>
      </x:c>
      <x:c r="J377" s="19"/>
      <x:c r="K377" s="19"/>
      <x:c r="L377" s="19"/>
      <x:c r="M377" s="26"/>
    </x:row>
    <x:row r="378">
      <x:c r="A378" s="19"/>
      <x:c r="B378" s="19"/>
      <x:c r="C378" s="19"/>
      <x:c r="D378" s="19"/>
      <x:c r="E378" s="26"/>
      <x:c r="F378" s="24"/>
      <x:c r="G378" s="96" t="str">
        <x:f>IF($A378="","",SUMIFS('QuotationItems'!$I$2:$I$500,'QuotationItems'!$B$2:$B$500,$A378))</x:f>
      </x:c>
      <x:c r="H378" s="25"/>
      <x:c r="I378" s="96" t="str">
        <x:f>IF($A378="","",$G378-$H378)</x:f>
      </x:c>
      <x:c r="J378" s="19"/>
      <x:c r="K378" s="19"/>
      <x:c r="L378" s="19"/>
      <x:c r="M378" s="26"/>
    </x:row>
    <x:row r="379">
      <x:c r="A379" s="19"/>
      <x:c r="B379" s="19"/>
      <x:c r="C379" s="19"/>
      <x:c r="D379" s="19"/>
      <x:c r="E379" s="26"/>
      <x:c r="F379" s="24"/>
      <x:c r="G379" s="96" t="str">
        <x:f>IF($A379="","",SUMIFS('QuotationItems'!$I$2:$I$500,'QuotationItems'!$B$2:$B$500,$A379))</x:f>
      </x:c>
      <x:c r="H379" s="25"/>
      <x:c r="I379" s="96" t="str">
        <x:f>IF($A379="","",$G379-$H379)</x:f>
      </x:c>
      <x:c r="J379" s="19"/>
      <x:c r="K379" s="19"/>
      <x:c r="L379" s="19"/>
      <x:c r="M379" s="26"/>
    </x:row>
    <x:row r="380">
      <x:c r="A380" s="19"/>
      <x:c r="B380" s="19"/>
      <x:c r="C380" s="19"/>
      <x:c r="D380" s="19"/>
      <x:c r="E380" s="26"/>
      <x:c r="F380" s="24"/>
      <x:c r="G380" s="96" t="str">
        <x:f>IF($A380="","",SUMIFS('QuotationItems'!$I$2:$I$500,'QuotationItems'!$B$2:$B$500,$A380))</x:f>
      </x:c>
      <x:c r="H380" s="25"/>
      <x:c r="I380" s="96" t="str">
        <x:f>IF($A380="","",$G380-$H380)</x:f>
      </x:c>
      <x:c r="J380" s="19"/>
      <x:c r="K380" s="19"/>
      <x:c r="L380" s="19"/>
      <x:c r="M380" s="26"/>
    </x:row>
    <x:row r="381">
      <x:c r="A381" s="19"/>
      <x:c r="B381" s="19"/>
      <x:c r="C381" s="19"/>
      <x:c r="D381" s="19"/>
      <x:c r="E381" s="26"/>
      <x:c r="F381" s="24"/>
      <x:c r="G381" s="96" t="str">
        <x:f>IF($A381="","",SUMIFS('QuotationItems'!$I$2:$I$500,'QuotationItems'!$B$2:$B$500,$A381))</x:f>
      </x:c>
      <x:c r="H381" s="25"/>
      <x:c r="I381" s="96" t="str">
        <x:f>IF($A381="","",$G381-$H381)</x:f>
      </x:c>
      <x:c r="J381" s="19"/>
      <x:c r="K381" s="19"/>
      <x:c r="L381" s="19"/>
      <x:c r="M381" s="26"/>
    </x:row>
    <x:row r="382">
      <x:c r="A382" s="19"/>
      <x:c r="B382" s="19"/>
      <x:c r="C382" s="19"/>
      <x:c r="D382" s="19"/>
      <x:c r="E382" s="26"/>
      <x:c r="F382" s="24"/>
      <x:c r="G382" s="96" t="str">
        <x:f>IF($A382="","",SUMIFS('QuotationItems'!$I$2:$I$500,'QuotationItems'!$B$2:$B$500,$A382))</x:f>
      </x:c>
      <x:c r="H382" s="25"/>
      <x:c r="I382" s="96" t="str">
        <x:f>IF($A382="","",$G382-$H382)</x:f>
      </x:c>
      <x:c r="J382" s="19"/>
      <x:c r="K382" s="19"/>
      <x:c r="L382" s="19"/>
      <x:c r="M382" s="26"/>
    </x:row>
    <x:row r="383">
      <x:c r="A383" s="19"/>
      <x:c r="B383" s="19"/>
      <x:c r="C383" s="19"/>
      <x:c r="D383" s="19"/>
      <x:c r="E383" s="26"/>
      <x:c r="F383" s="24"/>
      <x:c r="G383" s="96" t="str">
        <x:f>IF($A383="","",SUMIFS('QuotationItems'!$I$2:$I$500,'QuotationItems'!$B$2:$B$500,$A383))</x:f>
      </x:c>
      <x:c r="H383" s="25"/>
      <x:c r="I383" s="96" t="str">
        <x:f>IF($A383="","",$G383-$H383)</x:f>
      </x:c>
      <x:c r="J383" s="19"/>
      <x:c r="K383" s="19"/>
      <x:c r="L383" s="19"/>
      <x:c r="M383" s="26"/>
    </x:row>
    <x:row r="384">
      <x:c r="A384" s="19"/>
      <x:c r="B384" s="19"/>
      <x:c r="C384" s="19"/>
      <x:c r="D384" s="19"/>
      <x:c r="E384" s="26"/>
      <x:c r="F384" s="24"/>
      <x:c r="G384" s="96" t="str">
        <x:f>IF($A384="","",SUMIFS('QuotationItems'!$I$2:$I$500,'QuotationItems'!$B$2:$B$500,$A384))</x:f>
      </x:c>
      <x:c r="H384" s="25"/>
      <x:c r="I384" s="96" t="str">
        <x:f>IF($A384="","",$G384-$H384)</x:f>
      </x:c>
      <x:c r="J384" s="19"/>
      <x:c r="K384" s="19"/>
      <x:c r="L384" s="19"/>
      <x:c r="M384" s="26"/>
    </x:row>
    <x:row r="385">
      <x:c r="A385" s="19"/>
      <x:c r="B385" s="19"/>
      <x:c r="C385" s="19"/>
      <x:c r="D385" s="19"/>
      <x:c r="E385" s="26"/>
      <x:c r="F385" s="24"/>
      <x:c r="G385" s="96" t="str">
        <x:f>IF($A385="","",SUMIFS('QuotationItems'!$I$2:$I$500,'QuotationItems'!$B$2:$B$500,$A385))</x:f>
      </x:c>
      <x:c r="H385" s="25"/>
      <x:c r="I385" s="96" t="str">
        <x:f>IF($A385="","",$G385-$H385)</x:f>
      </x:c>
      <x:c r="J385" s="19"/>
      <x:c r="K385" s="19"/>
      <x:c r="L385" s="19"/>
      <x:c r="M385" s="26"/>
    </x:row>
    <x:row r="386">
      <x:c r="A386" s="19"/>
      <x:c r="B386" s="19"/>
      <x:c r="C386" s="19"/>
      <x:c r="D386" s="19"/>
      <x:c r="E386" s="26"/>
      <x:c r="F386" s="24"/>
      <x:c r="G386" s="96" t="str">
        <x:f>IF($A386="","",SUMIFS('QuotationItems'!$I$2:$I$500,'QuotationItems'!$B$2:$B$500,$A386))</x:f>
      </x:c>
      <x:c r="H386" s="25"/>
      <x:c r="I386" s="96" t="str">
        <x:f>IF($A386="","",$G386-$H386)</x:f>
      </x:c>
      <x:c r="J386" s="19"/>
      <x:c r="K386" s="19"/>
      <x:c r="L386" s="19"/>
      <x:c r="M386" s="26"/>
    </x:row>
    <x:row r="387">
      <x:c r="A387" s="19"/>
      <x:c r="B387" s="19"/>
      <x:c r="C387" s="19"/>
      <x:c r="D387" s="19"/>
      <x:c r="E387" s="26"/>
      <x:c r="F387" s="24"/>
      <x:c r="G387" s="96" t="str">
        <x:f>IF($A387="","",SUMIFS('QuotationItems'!$I$2:$I$500,'QuotationItems'!$B$2:$B$500,$A387))</x:f>
      </x:c>
      <x:c r="H387" s="25"/>
      <x:c r="I387" s="96" t="str">
        <x:f>IF($A387="","",$G387-$H387)</x:f>
      </x:c>
      <x:c r="J387" s="19"/>
      <x:c r="K387" s="19"/>
      <x:c r="L387" s="19"/>
      <x:c r="M387" s="26"/>
    </x:row>
    <x:row r="388">
      <x:c r="A388" s="19"/>
      <x:c r="B388" s="19"/>
      <x:c r="C388" s="19"/>
      <x:c r="D388" s="19"/>
      <x:c r="E388" s="26"/>
      <x:c r="F388" s="24"/>
      <x:c r="G388" s="96" t="str">
        <x:f>IF($A388="","",SUMIFS('QuotationItems'!$I$2:$I$500,'QuotationItems'!$B$2:$B$500,$A388))</x:f>
      </x:c>
      <x:c r="H388" s="25"/>
      <x:c r="I388" s="96" t="str">
        <x:f>IF($A388="","",$G388-$H388)</x:f>
      </x:c>
      <x:c r="J388" s="19"/>
      <x:c r="K388" s="19"/>
      <x:c r="L388" s="19"/>
      <x:c r="M388" s="26"/>
    </x:row>
    <x:row r="389">
      <x:c r="A389" s="19"/>
      <x:c r="B389" s="19"/>
      <x:c r="C389" s="19"/>
      <x:c r="D389" s="19"/>
      <x:c r="E389" s="26"/>
      <x:c r="F389" s="24"/>
      <x:c r="G389" s="96" t="str">
        <x:f>IF($A389="","",SUMIFS('QuotationItems'!$I$2:$I$500,'QuotationItems'!$B$2:$B$500,$A389))</x:f>
      </x:c>
      <x:c r="H389" s="25"/>
      <x:c r="I389" s="96" t="str">
        <x:f>IF($A389="","",$G389-$H389)</x:f>
      </x:c>
      <x:c r="J389" s="19"/>
      <x:c r="K389" s="19"/>
      <x:c r="L389" s="19"/>
      <x:c r="M389" s="26"/>
    </x:row>
    <x:row r="390">
      <x:c r="A390" s="19"/>
      <x:c r="B390" s="19"/>
      <x:c r="C390" s="19"/>
      <x:c r="D390" s="19"/>
      <x:c r="E390" s="26"/>
      <x:c r="F390" s="24"/>
      <x:c r="G390" s="96" t="str">
        <x:f>IF($A390="","",SUMIFS('QuotationItems'!$I$2:$I$500,'QuotationItems'!$B$2:$B$500,$A390))</x:f>
      </x:c>
      <x:c r="H390" s="25"/>
      <x:c r="I390" s="96" t="str">
        <x:f>IF($A390="","",$G390-$H390)</x:f>
      </x:c>
      <x:c r="J390" s="19"/>
      <x:c r="K390" s="19"/>
      <x:c r="L390" s="19"/>
      <x:c r="M390" s="26"/>
    </x:row>
    <x:row r="391">
      <x:c r="A391" s="19"/>
      <x:c r="B391" s="19"/>
      <x:c r="C391" s="19"/>
      <x:c r="D391" s="19"/>
      <x:c r="E391" s="26"/>
      <x:c r="F391" s="24"/>
      <x:c r="G391" s="96" t="str">
        <x:f>IF($A391="","",SUMIFS('QuotationItems'!$I$2:$I$500,'QuotationItems'!$B$2:$B$500,$A391))</x:f>
      </x:c>
      <x:c r="H391" s="25"/>
      <x:c r="I391" s="96" t="str">
        <x:f>IF($A391="","",$G391-$H391)</x:f>
      </x:c>
      <x:c r="J391" s="19"/>
      <x:c r="K391" s="19"/>
      <x:c r="L391" s="19"/>
      <x:c r="M391" s="26"/>
    </x:row>
    <x:row r="392">
      <x:c r="A392" s="19"/>
      <x:c r="B392" s="19"/>
      <x:c r="C392" s="19"/>
      <x:c r="D392" s="19"/>
      <x:c r="E392" s="26"/>
      <x:c r="F392" s="24"/>
      <x:c r="G392" s="96" t="str">
        <x:f>IF($A392="","",SUMIFS('QuotationItems'!$I$2:$I$500,'QuotationItems'!$B$2:$B$500,$A392))</x:f>
      </x:c>
      <x:c r="H392" s="25"/>
      <x:c r="I392" s="96" t="str">
        <x:f>IF($A392="","",$G392-$H392)</x:f>
      </x:c>
      <x:c r="J392" s="19"/>
      <x:c r="K392" s="19"/>
      <x:c r="L392" s="19"/>
      <x:c r="M392" s="26"/>
    </x:row>
    <x:row r="393">
      <x:c r="A393" s="19"/>
      <x:c r="B393" s="19"/>
      <x:c r="C393" s="19"/>
      <x:c r="D393" s="19"/>
      <x:c r="E393" s="26"/>
      <x:c r="F393" s="24"/>
      <x:c r="G393" s="96" t="str">
        <x:f>IF($A393="","",SUMIFS('QuotationItems'!$I$2:$I$500,'QuotationItems'!$B$2:$B$500,$A393))</x:f>
      </x:c>
      <x:c r="H393" s="25"/>
      <x:c r="I393" s="96" t="str">
        <x:f>IF($A393="","",$G393-$H393)</x:f>
      </x:c>
      <x:c r="J393" s="19"/>
      <x:c r="K393" s="19"/>
      <x:c r="L393" s="19"/>
      <x:c r="M393" s="26"/>
    </x:row>
    <x:row r="394">
      <x:c r="A394" s="19"/>
      <x:c r="B394" s="19"/>
      <x:c r="C394" s="19"/>
      <x:c r="D394" s="19"/>
      <x:c r="E394" s="26"/>
      <x:c r="F394" s="24"/>
      <x:c r="G394" s="96" t="str">
        <x:f>IF($A394="","",SUMIFS('QuotationItems'!$I$2:$I$500,'QuotationItems'!$B$2:$B$500,$A394))</x:f>
      </x:c>
      <x:c r="H394" s="25"/>
      <x:c r="I394" s="96" t="str">
        <x:f>IF($A394="","",$G394-$H394)</x:f>
      </x:c>
      <x:c r="J394" s="19"/>
      <x:c r="K394" s="19"/>
      <x:c r="L394" s="19"/>
      <x:c r="M394" s="26"/>
    </x:row>
    <x:row r="395">
      <x:c r="A395" s="19"/>
      <x:c r="B395" s="19"/>
      <x:c r="C395" s="19"/>
      <x:c r="D395" s="19"/>
      <x:c r="E395" s="26"/>
      <x:c r="F395" s="24"/>
      <x:c r="G395" s="96" t="str">
        <x:f>IF($A395="","",SUMIFS('QuotationItems'!$I$2:$I$500,'QuotationItems'!$B$2:$B$500,$A395))</x:f>
      </x:c>
      <x:c r="H395" s="25"/>
      <x:c r="I395" s="96" t="str">
        <x:f>IF($A395="","",$G395-$H395)</x:f>
      </x:c>
      <x:c r="J395" s="19"/>
      <x:c r="K395" s="19"/>
      <x:c r="L395" s="19"/>
      <x:c r="M395" s="26"/>
    </x:row>
    <x:row r="396">
      <x:c r="A396" s="19"/>
      <x:c r="B396" s="19"/>
      <x:c r="C396" s="19"/>
      <x:c r="D396" s="19"/>
      <x:c r="E396" s="26"/>
      <x:c r="F396" s="24"/>
      <x:c r="G396" s="96" t="str">
        <x:f>IF($A396="","",SUMIFS('QuotationItems'!$I$2:$I$500,'QuotationItems'!$B$2:$B$500,$A396))</x:f>
      </x:c>
      <x:c r="H396" s="25"/>
      <x:c r="I396" s="96" t="str">
        <x:f>IF($A396="","",$G396-$H396)</x:f>
      </x:c>
      <x:c r="J396" s="19"/>
      <x:c r="K396" s="19"/>
      <x:c r="L396" s="19"/>
      <x:c r="M396" s="26"/>
    </x:row>
    <x:row r="397">
      <x:c r="A397" s="19"/>
      <x:c r="B397" s="19"/>
      <x:c r="C397" s="19"/>
      <x:c r="D397" s="19"/>
      <x:c r="E397" s="26"/>
      <x:c r="F397" s="24"/>
      <x:c r="G397" s="96" t="str">
        <x:f>IF($A397="","",SUMIFS('QuotationItems'!$I$2:$I$500,'QuotationItems'!$B$2:$B$500,$A397))</x:f>
      </x:c>
      <x:c r="H397" s="25"/>
      <x:c r="I397" s="96" t="str">
        <x:f>IF($A397="","",$G397-$H397)</x:f>
      </x:c>
      <x:c r="J397" s="19"/>
      <x:c r="K397" s="19"/>
      <x:c r="L397" s="19"/>
      <x:c r="M397" s="26"/>
    </x:row>
    <x:row r="398">
      <x:c r="A398" s="19"/>
      <x:c r="B398" s="19"/>
      <x:c r="C398" s="19"/>
      <x:c r="D398" s="19"/>
      <x:c r="E398" s="26"/>
      <x:c r="F398" s="24"/>
      <x:c r="G398" s="96" t="str">
        <x:f>IF($A398="","",SUMIFS('QuotationItems'!$I$2:$I$500,'QuotationItems'!$B$2:$B$500,$A398))</x:f>
      </x:c>
      <x:c r="H398" s="25"/>
      <x:c r="I398" s="96" t="str">
        <x:f>IF($A398="","",$G398-$H398)</x:f>
      </x:c>
      <x:c r="J398" s="19"/>
      <x:c r="K398" s="19"/>
      <x:c r="L398" s="19"/>
      <x:c r="M398" s="26"/>
    </x:row>
    <x:row r="399">
      <x:c r="A399" s="19"/>
      <x:c r="B399" s="19"/>
      <x:c r="C399" s="19"/>
      <x:c r="D399" s="19"/>
      <x:c r="E399" s="26"/>
      <x:c r="F399" s="24"/>
      <x:c r="G399" s="96" t="str">
        <x:f>IF($A399="","",SUMIFS('QuotationItems'!$I$2:$I$500,'QuotationItems'!$B$2:$B$500,$A399))</x:f>
      </x:c>
      <x:c r="H399" s="25"/>
      <x:c r="I399" s="96" t="str">
        <x:f>IF($A399="","",$G399-$H399)</x:f>
      </x:c>
      <x:c r="J399" s="19"/>
      <x:c r="K399" s="19"/>
      <x:c r="L399" s="19"/>
      <x:c r="M399" s="26"/>
    </x:row>
    <x:row r="400">
      <x:c r="A400" s="19"/>
      <x:c r="B400" s="19"/>
      <x:c r="C400" s="19"/>
      <x:c r="D400" s="19"/>
      <x:c r="E400" s="26"/>
      <x:c r="F400" s="24"/>
      <x:c r="G400" s="96" t="str">
        <x:f>IF($A400="","",SUMIFS('QuotationItems'!$I$2:$I$500,'QuotationItems'!$B$2:$B$500,$A400))</x:f>
      </x:c>
      <x:c r="H400" s="25"/>
      <x:c r="I400" s="96" t="str">
        <x:f>IF($A400="","",$G400-$H400)</x:f>
      </x:c>
      <x:c r="J400" s="19"/>
      <x:c r="K400" s="19"/>
      <x:c r="L400" s="19"/>
      <x:c r="M400" s="26"/>
    </x:row>
    <x:row r="401">
      <x:c r="A401" s="19"/>
      <x:c r="B401" s="19"/>
      <x:c r="C401" s="19"/>
      <x:c r="D401" s="19"/>
      <x:c r="E401" s="26"/>
      <x:c r="F401" s="24"/>
      <x:c r="G401" s="96" t="str">
        <x:f>IF($A401="","",SUMIFS('QuotationItems'!$I$2:$I$500,'QuotationItems'!$B$2:$B$500,$A401))</x:f>
      </x:c>
      <x:c r="H401" s="25"/>
      <x:c r="I401" s="96" t="str">
        <x:f>IF($A401="","",$G401-$H401)</x:f>
      </x:c>
      <x:c r="J401" s="19"/>
      <x:c r="K401" s="19"/>
      <x:c r="L401" s="19"/>
      <x:c r="M401" s="26"/>
    </x:row>
    <x:row r="402">
      <x:c r="A402" s="19"/>
      <x:c r="B402" s="19"/>
      <x:c r="C402" s="19"/>
      <x:c r="D402" s="19"/>
      <x:c r="E402" s="26"/>
      <x:c r="F402" s="24"/>
      <x:c r="G402" s="96" t="str">
        <x:f>IF($A402="","",SUMIFS('QuotationItems'!$I$2:$I$500,'QuotationItems'!$B$2:$B$500,$A402))</x:f>
      </x:c>
      <x:c r="H402" s="25"/>
      <x:c r="I402" s="96" t="str">
        <x:f>IF($A402="","",$G402-$H402)</x:f>
      </x:c>
      <x:c r="J402" s="19"/>
      <x:c r="K402" s="19"/>
      <x:c r="L402" s="19"/>
      <x:c r="M402" s="26"/>
    </x:row>
    <x:row r="403">
      <x:c r="A403" s="19"/>
      <x:c r="B403" s="19"/>
      <x:c r="C403" s="19"/>
      <x:c r="D403" s="19"/>
      <x:c r="E403" s="26"/>
      <x:c r="F403" s="24"/>
      <x:c r="G403" s="96" t="str">
        <x:f>IF($A403="","",SUMIFS('QuotationItems'!$I$2:$I$500,'QuotationItems'!$B$2:$B$500,$A403))</x:f>
      </x:c>
      <x:c r="H403" s="25"/>
      <x:c r="I403" s="96" t="str">
        <x:f>IF($A403="","",$G403-$H403)</x:f>
      </x:c>
      <x:c r="J403" s="19"/>
      <x:c r="K403" s="19"/>
      <x:c r="L403" s="19"/>
      <x:c r="M403" s="26"/>
    </x:row>
    <x:row r="404">
      <x:c r="A404" s="19"/>
      <x:c r="B404" s="19"/>
      <x:c r="C404" s="19"/>
      <x:c r="D404" s="19"/>
      <x:c r="E404" s="26"/>
      <x:c r="F404" s="24"/>
      <x:c r="G404" s="96" t="str">
        <x:f>IF($A404="","",SUMIFS('QuotationItems'!$I$2:$I$500,'QuotationItems'!$B$2:$B$500,$A404))</x:f>
      </x:c>
      <x:c r="H404" s="25"/>
      <x:c r="I404" s="96" t="str">
        <x:f>IF($A404="","",$G404-$H404)</x:f>
      </x:c>
      <x:c r="J404" s="19"/>
      <x:c r="K404" s="19"/>
      <x:c r="L404" s="19"/>
      <x:c r="M404" s="26"/>
    </x:row>
    <x:row r="405">
      <x:c r="A405" s="19"/>
      <x:c r="B405" s="19"/>
      <x:c r="C405" s="19"/>
      <x:c r="D405" s="19"/>
      <x:c r="E405" s="26"/>
      <x:c r="F405" s="24"/>
      <x:c r="G405" s="96" t="str">
        <x:f>IF($A405="","",SUMIFS('QuotationItems'!$I$2:$I$500,'QuotationItems'!$B$2:$B$500,$A405))</x:f>
      </x:c>
      <x:c r="H405" s="25"/>
      <x:c r="I405" s="96" t="str">
        <x:f>IF($A405="","",$G405-$H405)</x:f>
      </x:c>
      <x:c r="J405" s="19"/>
      <x:c r="K405" s="19"/>
      <x:c r="L405" s="19"/>
      <x:c r="M405" s="26"/>
    </x:row>
    <x:row r="406">
      <x:c r="A406" s="19"/>
      <x:c r="B406" s="19"/>
      <x:c r="C406" s="19"/>
      <x:c r="D406" s="19"/>
      <x:c r="E406" s="26"/>
      <x:c r="F406" s="24"/>
      <x:c r="G406" s="96" t="str">
        <x:f>IF($A406="","",SUMIFS('QuotationItems'!$I$2:$I$500,'QuotationItems'!$B$2:$B$500,$A406))</x:f>
      </x:c>
      <x:c r="H406" s="25"/>
      <x:c r="I406" s="96" t="str">
        <x:f>IF($A406="","",$G406-$H406)</x:f>
      </x:c>
      <x:c r="J406" s="19"/>
      <x:c r="K406" s="19"/>
      <x:c r="L406" s="19"/>
      <x:c r="M406" s="26"/>
    </x:row>
    <x:row r="407">
      <x:c r="A407" s="19"/>
      <x:c r="B407" s="19"/>
      <x:c r="C407" s="19"/>
      <x:c r="D407" s="19"/>
      <x:c r="E407" s="26"/>
      <x:c r="F407" s="24"/>
      <x:c r="G407" s="96" t="str">
        <x:f>IF($A407="","",SUMIFS('QuotationItems'!$I$2:$I$500,'QuotationItems'!$B$2:$B$500,$A407))</x:f>
      </x:c>
      <x:c r="H407" s="25"/>
      <x:c r="I407" s="96" t="str">
        <x:f>IF($A407="","",$G407-$H407)</x:f>
      </x:c>
      <x:c r="J407" s="19"/>
      <x:c r="K407" s="19"/>
      <x:c r="L407" s="19"/>
      <x:c r="M407" s="26"/>
    </x:row>
    <x:row r="408">
      <x:c r="A408" s="19"/>
      <x:c r="B408" s="19"/>
      <x:c r="C408" s="19"/>
      <x:c r="D408" s="19"/>
      <x:c r="E408" s="26"/>
      <x:c r="F408" s="24"/>
      <x:c r="G408" s="96" t="str">
        <x:f>IF($A408="","",SUMIFS('QuotationItems'!$I$2:$I$500,'QuotationItems'!$B$2:$B$500,$A408))</x:f>
      </x:c>
      <x:c r="H408" s="25"/>
      <x:c r="I408" s="96" t="str">
        <x:f>IF($A408="","",$G408-$H408)</x:f>
      </x:c>
      <x:c r="J408" s="19"/>
      <x:c r="K408" s="19"/>
      <x:c r="L408" s="19"/>
      <x:c r="M408" s="26"/>
    </x:row>
    <x:row r="409">
      <x:c r="A409" s="19"/>
      <x:c r="B409" s="19"/>
      <x:c r="C409" s="19"/>
      <x:c r="D409" s="19"/>
      <x:c r="E409" s="26"/>
      <x:c r="F409" s="24"/>
      <x:c r="G409" s="96" t="str">
        <x:f>IF($A409="","",SUMIFS('QuotationItems'!$I$2:$I$500,'QuotationItems'!$B$2:$B$500,$A409))</x:f>
      </x:c>
      <x:c r="H409" s="25"/>
      <x:c r="I409" s="96" t="str">
        <x:f>IF($A409="","",$G409-$H409)</x:f>
      </x:c>
      <x:c r="J409" s="19"/>
      <x:c r="K409" s="19"/>
      <x:c r="L409" s="19"/>
      <x:c r="M409" s="26"/>
    </x:row>
    <x:row r="410">
      <x:c r="A410" s="19"/>
      <x:c r="B410" s="19"/>
      <x:c r="C410" s="19"/>
      <x:c r="D410" s="19"/>
      <x:c r="E410" s="26"/>
      <x:c r="F410" s="24"/>
      <x:c r="G410" s="96" t="str">
        <x:f>IF($A410="","",SUMIFS('QuotationItems'!$I$2:$I$500,'QuotationItems'!$B$2:$B$500,$A410))</x:f>
      </x:c>
      <x:c r="H410" s="25"/>
      <x:c r="I410" s="96" t="str">
        <x:f>IF($A410="","",$G410-$H410)</x:f>
      </x:c>
      <x:c r="J410" s="19"/>
      <x:c r="K410" s="19"/>
      <x:c r="L410" s="19"/>
      <x:c r="M410" s="26"/>
    </x:row>
    <x:row r="411">
      <x:c r="A411" s="19"/>
      <x:c r="B411" s="19"/>
      <x:c r="C411" s="19"/>
      <x:c r="D411" s="19"/>
      <x:c r="E411" s="26"/>
      <x:c r="F411" s="24"/>
      <x:c r="G411" s="96" t="str">
        <x:f>IF($A411="","",SUMIFS('QuotationItems'!$I$2:$I$500,'QuotationItems'!$B$2:$B$500,$A411))</x:f>
      </x:c>
      <x:c r="H411" s="25"/>
      <x:c r="I411" s="96" t="str">
        <x:f>IF($A411="","",$G411-$H411)</x:f>
      </x:c>
      <x:c r="J411" s="19"/>
      <x:c r="K411" s="19"/>
      <x:c r="L411" s="19"/>
      <x:c r="M411" s="26"/>
    </x:row>
    <x:row r="412">
      <x:c r="A412" s="19"/>
      <x:c r="B412" s="19"/>
      <x:c r="C412" s="19"/>
      <x:c r="D412" s="19"/>
      <x:c r="E412" s="26"/>
      <x:c r="F412" s="24"/>
      <x:c r="G412" s="96" t="str">
        <x:f>IF($A412="","",SUMIFS('QuotationItems'!$I$2:$I$500,'QuotationItems'!$B$2:$B$500,$A412))</x:f>
      </x:c>
      <x:c r="H412" s="25"/>
      <x:c r="I412" s="96" t="str">
        <x:f>IF($A412="","",$G412-$H412)</x:f>
      </x:c>
      <x:c r="J412" s="19"/>
      <x:c r="K412" s="19"/>
      <x:c r="L412" s="19"/>
      <x:c r="M412" s="26"/>
    </x:row>
    <x:row r="413">
      <x:c r="A413" s="19"/>
      <x:c r="B413" s="19"/>
      <x:c r="C413" s="19"/>
      <x:c r="D413" s="19"/>
      <x:c r="E413" s="26"/>
      <x:c r="F413" s="24"/>
      <x:c r="G413" s="96" t="str">
        <x:f>IF($A413="","",SUMIFS('QuotationItems'!$I$2:$I$500,'QuotationItems'!$B$2:$B$500,$A413))</x:f>
      </x:c>
      <x:c r="H413" s="25"/>
      <x:c r="I413" s="96" t="str">
        <x:f>IF($A413="","",$G413-$H413)</x:f>
      </x:c>
      <x:c r="J413" s="19"/>
      <x:c r="K413" s="19"/>
      <x:c r="L413" s="19"/>
      <x:c r="M413" s="26"/>
    </x:row>
    <x:row r="414">
      <x:c r="A414" s="19"/>
      <x:c r="B414" s="19"/>
      <x:c r="C414" s="19"/>
      <x:c r="D414" s="19"/>
      <x:c r="E414" s="26"/>
      <x:c r="F414" s="24"/>
      <x:c r="G414" s="96" t="str">
        <x:f>IF($A414="","",SUMIFS('QuotationItems'!$I$2:$I$500,'QuotationItems'!$B$2:$B$500,$A414))</x:f>
      </x:c>
      <x:c r="H414" s="25"/>
      <x:c r="I414" s="96" t="str">
        <x:f>IF($A414="","",$G414-$H414)</x:f>
      </x:c>
      <x:c r="J414" s="19"/>
      <x:c r="K414" s="19"/>
      <x:c r="L414" s="19"/>
      <x:c r="M414" s="26"/>
    </x:row>
    <x:row r="415">
      <x:c r="A415" s="19"/>
      <x:c r="B415" s="19"/>
      <x:c r="C415" s="19"/>
      <x:c r="D415" s="19"/>
      <x:c r="E415" s="26"/>
      <x:c r="F415" s="24"/>
      <x:c r="G415" s="96" t="str">
        <x:f>IF($A415="","",SUMIFS('QuotationItems'!$I$2:$I$500,'QuotationItems'!$B$2:$B$500,$A415))</x:f>
      </x:c>
      <x:c r="H415" s="25"/>
      <x:c r="I415" s="96" t="str">
        <x:f>IF($A415="","",$G415-$H415)</x:f>
      </x:c>
      <x:c r="J415" s="19"/>
      <x:c r="K415" s="19"/>
      <x:c r="L415" s="19"/>
      <x:c r="M415" s="26"/>
    </x:row>
    <x:row r="416">
      <x:c r="A416" s="19"/>
      <x:c r="B416" s="19"/>
      <x:c r="C416" s="19"/>
      <x:c r="D416" s="19"/>
      <x:c r="E416" s="26"/>
      <x:c r="F416" s="24"/>
      <x:c r="G416" s="96" t="str">
        <x:f>IF($A416="","",SUMIFS('QuotationItems'!$I$2:$I$500,'QuotationItems'!$B$2:$B$500,$A416))</x:f>
      </x:c>
      <x:c r="H416" s="25"/>
      <x:c r="I416" s="96" t="str">
        <x:f>IF($A416="","",$G416-$H416)</x:f>
      </x:c>
      <x:c r="J416" s="19"/>
      <x:c r="K416" s="19"/>
      <x:c r="L416" s="19"/>
      <x:c r="M416" s="26"/>
    </x:row>
    <x:row r="417">
      <x:c r="A417" s="19"/>
      <x:c r="B417" s="19"/>
      <x:c r="C417" s="19"/>
      <x:c r="D417" s="19"/>
      <x:c r="E417" s="26"/>
      <x:c r="F417" s="24"/>
      <x:c r="G417" s="96" t="str">
        <x:f>IF($A417="","",SUMIFS('QuotationItems'!$I$2:$I$500,'QuotationItems'!$B$2:$B$500,$A417))</x:f>
      </x:c>
      <x:c r="H417" s="25"/>
      <x:c r="I417" s="96" t="str">
        <x:f>IF($A417="","",$G417-$H417)</x:f>
      </x:c>
      <x:c r="J417" s="19"/>
      <x:c r="K417" s="19"/>
      <x:c r="L417" s="19"/>
      <x:c r="M417" s="26"/>
    </x:row>
    <x:row r="418">
      <x:c r="A418" s="19"/>
      <x:c r="B418" s="19"/>
      <x:c r="C418" s="19"/>
      <x:c r="D418" s="19"/>
      <x:c r="E418" s="26"/>
      <x:c r="F418" s="24"/>
      <x:c r="G418" s="96" t="str">
        <x:f>IF($A418="","",SUMIFS('QuotationItems'!$I$2:$I$500,'QuotationItems'!$B$2:$B$500,$A418))</x:f>
      </x:c>
      <x:c r="H418" s="25"/>
      <x:c r="I418" s="96" t="str">
        <x:f>IF($A418="","",$G418-$H418)</x:f>
      </x:c>
      <x:c r="J418" s="19"/>
      <x:c r="K418" s="19"/>
      <x:c r="L418" s="19"/>
      <x:c r="M418" s="26"/>
    </x:row>
    <x:row r="419">
      <x:c r="A419" s="19"/>
      <x:c r="B419" s="19"/>
      <x:c r="C419" s="19"/>
      <x:c r="D419" s="19"/>
      <x:c r="E419" s="26"/>
      <x:c r="F419" s="24"/>
      <x:c r="G419" s="96" t="str">
        <x:f>IF($A419="","",SUMIFS('QuotationItems'!$I$2:$I$500,'QuotationItems'!$B$2:$B$500,$A419))</x:f>
      </x:c>
      <x:c r="H419" s="25"/>
      <x:c r="I419" s="96" t="str">
        <x:f>IF($A419="","",$G419-$H419)</x:f>
      </x:c>
      <x:c r="J419" s="19"/>
      <x:c r="K419" s="19"/>
      <x:c r="L419" s="19"/>
      <x:c r="M419" s="26"/>
    </x:row>
    <x:row r="420">
      <x:c r="A420" s="19"/>
      <x:c r="B420" s="19"/>
      <x:c r="C420" s="19"/>
      <x:c r="D420" s="19"/>
      <x:c r="E420" s="26"/>
      <x:c r="F420" s="24"/>
      <x:c r="G420" s="96" t="str">
        <x:f>IF($A420="","",SUMIFS('QuotationItems'!$I$2:$I$500,'QuotationItems'!$B$2:$B$500,$A420))</x:f>
      </x:c>
      <x:c r="H420" s="25"/>
      <x:c r="I420" s="96" t="str">
        <x:f>IF($A420="","",$G420-$H420)</x:f>
      </x:c>
      <x:c r="J420" s="19"/>
      <x:c r="K420" s="19"/>
      <x:c r="L420" s="19"/>
      <x:c r="M420" s="26"/>
    </x:row>
    <x:row r="421">
      <x:c r="A421" s="19"/>
      <x:c r="B421" s="19"/>
      <x:c r="C421" s="19"/>
      <x:c r="D421" s="19"/>
      <x:c r="E421" s="26"/>
      <x:c r="F421" s="24"/>
      <x:c r="G421" s="96" t="str">
        <x:f>IF($A421="","",SUMIFS('QuotationItems'!$I$2:$I$500,'QuotationItems'!$B$2:$B$500,$A421))</x:f>
      </x:c>
      <x:c r="H421" s="25"/>
      <x:c r="I421" s="96" t="str">
        <x:f>IF($A421="","",$G421-$H421)</x:f>
      </x:c>
      <x:c r="J421" s="19"/>
      <x:c r="K421" s="19"/>
      <x:c r="L421" s="19"/>
      <x:c r="M421" s="26"/>
    </x:row>
    <x:row r="422">
      <x:c r="A422" s="19"/>
      <x:c r="B422" s="19"/>
      <x:c r="C422" s="19"/>
      <x:c r="D422" s="19"/>
      <x:c r="E422" s="26"/>
      <x:c r="F422" s="24"/>
      <x:c r="G422" s="96" t="str">
        <x:f>IF($A422="","",SUMIFS('QuotationItems'!$I$2:$I$500,'QuotationItems'!$B$2:$B$500,$A422))</x:f>
      </x:c>
      <x:c r="H422" s="25"/>
      <x:c r="I422" s="96" t="str">
        <x:f>IF($A422="","",$G422-$H422)</x:f>
      </x:c>
      <x:c r="J422" s="19"/>
      <x:c r="K422" s="19"/>
      <x:c r="L422" s="19"/>
      <x:c r="M422" s="26"/>
    </x:row>
    <x:row r="423">
      <x:c r="A423" s="19"/>
      <x:c r="B423" s="19"/>
      <x:c r="C423" s="19"/>
      <x:c r="D423" s="19"/>
      <x:c r="E423" s="26"/>
      <x:c r="F423" s="24"/>
      <x:c r="G423" s="96" t="str">
        <x:f>IF($A423="","",SUMIFS('QuotationItems'!$I$2:$I$500,'QuotationItems'!$B$2:$B$500,$A423))</x:f>
      </x:c>
      <x:c r="H423" s="25"/>
      <x:c r="I423" s="96" t="str">
        <x:f>IF($A423="","",$G423-$H423)</x:f>
      </x:c>
      <x:c r="J423" s="19"/>
      <x:c r="K423" s="19"/>
      <x:c r="L423" s="19"/>
      <x:c r="M423" s="26"/>
    </x:row>
    <x:row r="424">
      <x:c r="A424" s="19"/>
      <x:c r="B424" s="19"/>
      <x:c r="C424" s="19"/>
      <x:c r="D424" s="19"/>
      <x:c r="E424" s="26"/>
      <x:c r="F424" s="24"/>
      <x:c r="G424" s="96" t="str">
        <x:f>IF($A424="","",SUMIFS('QuotationItems'!$I$2:$I$500,'QuotationItems'!$B$2:$B$500,$A424))</x:f>
      </x:c>
      <x:c r="H424" s="25"/>
      <x:c r="I424" s="96" t="str">
        <x:f>IF($A424="","",$G424-$H424)</x:f>
      </x:c>
      <x:c r="J424" s="19"/>
      <x:c r="K424" s="19"/>
      <x:c r="L424" s="19"/>
      <x:c r="M424" s="26"/>
    </x:row>
    <x:row r="425">
      <x:c r="A425" s="19"/>
      <x:c r="B425" s="19"/>
      <x:c r="C425" s="19"/>
      <x:c r="D425" s="19"/>
      <x:c r="E425" s="26"/>
      <x:c r="F425" s="24"/>
      <x:c r="G425" s="96" t="str">
        <x:f>IF($A425="","",SUMIFS('QuotationItems'!$I$2:$I$500,'QuotationItems'!$B$2:$B$500,$A425))</x:f>
      </x:c>
      <x:c r="H425" s="25"/>
      <x:c r="I425" s="96" t="str">
        <x:f>IF($A425="","",$G425-$H425)</x:f>
      </x:c>
      <x:c r="J425" s="19"/>
      <x:c r="K425" s="19"/>
      <x:c r="L425" s="19"/>
      <x:c r="M425" s="26"/>
    </x:row>
    <x:row r="426">
      <x:c r="A426" s="19"/>
      <x:c r="B426" s="19"/>
      <x:c r="C426" s="19"/>
      <x:c r="D426" s="19"/>
      <x:c r="E426" s="26"/>
      <x:c r="F426" s="24"/>
      <x:c r="G426" s="96" t="str">
        <x:f>IF($A426="","",SUMIFS('QuotationItems'!$I$2:$I$500,'QuotationItems'!$B$2:$B$500,$A426))</x:f>
      </x:c>
      <x:c r="H426" s="25"/>
      <x:c r="I426" s="96" t="str">
        <x:f>IF($A426="","",$G426-$H426)</x:f>
      </x:c>
      <x:c r="J426" s="19"/>
      <x:c r="K426" s="19"/>
      <x:c r="L426" s="19"/>
      <x:c r="M426" s="26"/>
    </x:row>
    <x:row r="427">
      <x:c r="A427" s="19"/>
      <x:c r="B427" s="19"/>
      <x:c r="C427" s="19"/>
      <x:c r="D427" s="19"/>
      <x:c r="E427" s="26"/>
      <x:c r="F427" s="24"/>
      <x:c r="G427" s="96" t="str">
        <x:f>IF($A427="","",SUMIFS('QuotationItems'!$I$2:$I$500,'QuotationItems'!$B$2:$B$500,$A427))</x:f>
      </x:c>
      <x:c r="H427" s="25"/>
      <x:c r="I427" s="96" t="str">
        <x:f>IF($A427="","",$G427-$H427)</x:f>
      </x:c>
      <x:c r="J427" s="19"/>
      <x:c r="K427" s="19"/>
      <x:c r="L427" s="19"/>
      <x:c r="M427" s="26"/>
    </x:row>
    <x:row r="428">
      <x:c r="A428" s="19"/>
      <x:c r="B428" s="19"/>
      <x:c r="C428" s="19"/>
      <x:c r="D428" s="19"/>
      <x:c r="E428" s="26"/>
      <x:c r="F428" s="24"/>
      <x:c r="G428" s="96" t="str">
        <x:f>IF($A428="","",SUMIFS('QuotationItems'!$I$2:$I$500,'QuotationItems'!$B$2:$B$500,$A428))</x:f>
      </x:c>
      <x:c r="H428" s="25"/>
      <x:c r="I428" s="96" t="str">
        <x:f>IF($A428="","",$G428-$H428)</x:f>
      </x:c>
      <x:c r="J428" s="19"/>
      <x:c r="K428" s="19"/>
      <x:c r="L428" s="19"/>
      <x:c r="M428" s="26"/>
    </x:row>
    <x:row r="429">
      <x:c r="A429" s="19"/>
      <x:c r="B429" s="19"/>
      <x:c r="C429" s="19"/>
      <x:c r="D429" s="19"/>
      <x:c r="E429" s="26"/>
      <x:c r="F429" s="24"/>
      <x:c r="G429" s="96" t="str">
        <x:f>IF($A429="","",SUMIFS('QuotationItems'!$I$2:$I$500,'QuotationItems'!$B$2:$B$500,$A429))</x:f>
      </x:c>
      <x:c r="H429" s="25"/>
      <x:c r="I429" s="96" t="str">
        <x:f>IF($A429="","",$G429-$H429)</x:f>
      </x:c>
      <x:c r="J429" s="19"/>
      <x:c r="K429" s="19"/>
      <x:c r="L429" s="19"/>
      <x:c r="M429" s="26"/>
    </x:row>
    <x:row r="430">
      <x:c r="A430" s="19"/>
      <x:c r="B430" s="19"/>
      <x:c r="C430" s="19"/>
      <x:c r="D430" s="19"/>
      <x:c r="E430" s="26"/>
      <x:c r="F430" s="24"/>
      <x:c r="G430" s="96" t="str">
        <x:f>IF($A430="","",SUMIFS('QuotationItems'!$I$2:$I$500,'QuotationItems'!$B$2:$B$500,$A430))</x:f>
      </x:c>
      <x:c r="H430" s="25"/>
      <x:c r="I430" s="96" t="str">
        <x:f>IF($A430="","",$G430-$H430)</x:f>
      </x:c>
      <x:c r="J430" s="19"/>
      <x:c r="K430" s="19"/>
      <x:c r="L430" s="19"/>
      <x:c r="M430" s="26"/>
    </x:row>
    <x:row r="431">
      <x:c r="A431" s="19"/>
      <x:c r="B431" s="19"/>
      <x:c r="C431" s="19"/>
      <x:c r="D431" s="19"/>
      <x:c r="E431" s="26"/>
      <x:c r="F431" s="24"/>
      <x:c r="G431" s="96" t="str">
        <x:f>IF($A431="","",SUMIFS('QuotationItems'!$I$2:$I$500,'QuotationItems'!$B$2:$B$500,$A431))</x:f>
      </x:c>
      <x:c r="H431" s="25"/>
      <x:c r="I431" s="96" t="str">
        <x:f>IF($A431="","",$G431-$H431)</x:f>
      </x:c>
      <x:c r="J431" s="19"/>
      <x:c r="K431" s="19"/>
      <x:c r="L431" s="19"/>
      <x:c r="M431" s="26"/>
    </x:row>
    <x:row r="432">
      <x:c r="A432" s="19"/>
      <x:c r="B432" s="19"/>
      <x:c r="C432" s="19"/>
      <x:c r="D432" s="19"/>
      <x:c r="E432" s="26"/>
      <x:c r="F432" s="24"/>
      <x:c r="G432" s="96" t="str">
        <x:f>IF($A432="","",SUMIFS('QuotationItems'!$I$2:$I$500,'QuotationItems'!$B$2:$B$500,$A432))</x:f>
      </x:c>
      <x:c r="H432" s="25"/>
      <x:c r="I432" s="96" t="str">
        <x:f>IF($A432="","",$G432-$H432)</x:f>
      </x:c>
      <x:c r="J432" s="19"/>
      <x:c r="K432" s="19"/>
      <x:c r="L432" s="19"/>
      <x:c r="M432" s="26"/>
    </x:row>
    <x:row r="433">
      <x:c r="A433" s="19"/>
      <x:c r="B433" s="19"/>
      <x:c r="C433" s="19"/>
      <x:c r="D433" s="19"/>
      <x:c r="E433" s="26"/>
      <x:c r="F433" s="24"/>
      <x:c r="G433" s="96" t="str">
        <x:f>IF($A433="","",SUMIFS('QuotationItems'!$I$2:$I$500,'QuotationItems'!$B$2:$B$500,$A433))</x:f>
      </x:c>
      <x:c r="H433" s="25"/>
      <x:c r="I433" s="96" t="str">
        <x:f>IF($A433="","",$G433-$H433)</x:f>
      </x:c>
      <x:c r="J433" s="19"/>
      <x:c r="K433" s="19"/>
      <x:c r="L433" s="19"/>
      <x:c r="M433" s="26"/>
    </x:row>
    <x:row r="434">
      <x:c r="A434" s="19"/>
      <x:c r="B434" s="19"/>
      <x:c r="C434" s="19"/>
      <x:c r="D434" s="19"/>
      <x:c r="E434" s="26"/>
      <x:c r="F434" s="24"/>
      <x:c r="G434" s="96" t="str">
        <x:f>IF($A434="","",SUMIFS('QuotationItems'!$I$2:$I$500,'QuotationItems'!$B$2:$B$500,$A434))</x:f>
      </x:c>
      <x:c r="H434" s="25"/>
      <x:c r="I434" s="96" t="str">
        <x:f>IF($A434="","",$G434-$H434)</x:f>
      </x:c>
      <x:c r="J434" s="19"/>
      <x:c r="K434" s="19"/>
      <x:c r="L434" s="19"/>
      <x:c r="M434" s="26"/>
    </x:row>
    <x:row r="435">
      <x:c r="A435" s="19"/>
      <x:c r="B435" s="19"/>
      <x:c r="C435" s="19"/>
      <x:c r="D435" s="19"/>
      <x:c r="E435" s="26"/>
      <x:c r="F435" s="24"/>
      <x:c r="G435" s="96" t="str">
        <x:f>IF($A435="","",SUMIFS('QuotationItems'!$I$2:$I$500,'QuotationItems'!$B$2:$B$500,$A435))</x:f>
      </x:c>
      <x:c r="H435" s="25"/>
      <x:c r="I435" s="96" t="str">
        <x:f>IF($A435="","",$G435-$H435)</x:f>
      </x:c>
      <x:c r="J435" s="19"/>
      <x:c r="K435" s="19"/>
      <x:c r="L435" s="19"/>
      <x:c r="M435" s="26"/>
    </x:row>
    <x:row r="436">
      <x:c r="A436" s="19"/>
      <x:c r="B436" s="19"/>
      <x:c r="C436" s="19"/>
      <x:c r="D436" s="19"/>
      <x:c r="E436" s="26"/>
      <x:c r="F436" s="24"/>
      <x:c r="G436" s="96" t="str">
        <x:f>IF($A436="","",SUMIFS('QuotationItems'!$I$2:$I$500,'QuotationItems'!$B$2:$B$500,$A436))</x:f>
      </x:c>
      <x:c r="H436" s="25"/>
      <x:c r="I436" s="96" t="str">
        <x:f>IF($A436="","",$G436-$H436)</x:f>
      </x:c>
      <x:c r="J436" s="19"/>
      <x:c r="K436" s="19"/>
      <x:c r="L436" s="19"/>
      <x:c r="M436" s="26"/>
    </x:row>
    <x:row r="437">
      <x:c r="A437" s="19"/>
      <x:c r="B437" s="19"/>
      <x:c r="C437" s="19"/>
      <x:c r="D437" s="19"/>
      <x:c r="E437" s="26"/>
      <x:c r="F437" s="24"/>
      <x:c r="G437" s="96" t="str">
        <x:f>IF($A437="","",SUMIFS('QuotationItems'!$I$2:$I$500,'QuotationItems'!$B$2:$B$500,$A437))</x:f>
      </x:c>
      <x:c r="H437" s="25"/>
      <x:c r="I437" s="96" t="str">
        <x:f>IF($A437="","",$G437-$H437)</x:f>
      </x:c>
      <x:c r="J437" s="19"/>
      <x:c r="K437" s="19"/>
      <x:c r="L437" s="19"/>
      <x:c r="M437" s="26"/>
    </x:row>
    <x:row r="438">
      <x:c r="A438" s="19"/>
      <x:c r="B438" s="19"/>
      <x:c r="C438" s="19"/>
      <x:c r="D438" s="19"/>
      <x:c r="E438" s="26"/>
      <x:c r="F438" s="24"/>
      <x:c r="G438" s="96" t="str">
        <x:f>IF($A438="","",SUMIFS('QuotationItems'!$I$2:$I$500,'QuotationItems'!$B$2:$B$500,$A438))</x:f>
      </x:c>
      <x:c r="H438" s="25"/>
      <x:c r="I438" s="96" t="str">
        <x:f>IF($A438="","",$G438-$H438)</x:f>
      </x:c>
      <x:c r="J438" s="19"/>
      <x:c r="K438" s="19"/>
      <x:c r="L438" s="19"/>
      <x:c r="M438" s="26"/>
    </x:row>
    <x:row r="439">
      <x:c r="A439" s="19"/>
      <x:c r="B439" s="19"/>
      <x:c r="C439" s="19"/>
      <x:c r="D439" s="19"/>
      <x:c r="E439" s="26"/>
      <x:c r="F439" s="24"/>
      <x:c r="G439" s="96" t="str">
        <x:f>IF($A439="","",SUMIFS('QuotationItems'!$I$2:$I$500,'QuotationItems'!$B$2:$B$500,$A439))</x:f>
      </x:c>
      <x:c r="H439" s="25"/>
      <x:c r="I439" s="96" t="str">
        <x:f>IF($A439="","",$G439-$H439)</x:f>
      </x:c>
      <x:c r="J439" s="19"/>
      <x:c r="K439" s="19"/>
      <x:c r="L439" s="19"/>
      <x:c r="M439" s="26"/>
    </x:row>
    <x:row r="440">
      <x:c r="A440" s="19"/>
      <x:c r="B440" s="19"/>
      <x:c r="C440" s="19"/>
      <x:c r="D440" s="19"/>
      <x:c r="E440" s="26"/>
      <x:c r="F440" s="24"/>
      <x:c r="G440" s="96" t="str">
        <x:f>IF($A440="","",SUMIFS('QuotationItems'!$I$2:$I$500,'QuotationItems'!$B$2:$B$500,$A440))</x:f>
      </x:c>
      <x:c r="H440" s="25"/>
      <x:c r="I440" s="96" t="str">
        <x:f>IF($A440="","",$G440-$H440)</x:f>
      </x:c>
      <x:c r="J440" s="19"/>
      <x:c r="K440" s="19"/>
      <x:c r="L440" s="19"/>
      <x:c r="M440" s="26"/>
    </x:row>
    <x:row r="441">
      <x:c r="A441" s="19"/>
      <x:c r="B441" s="19"/>
      <x:c r="C441" s="19"/>
      <x:c r="D441" s="19"/>
      <x:c r="E441" s="26"/>
      <x:c r="F441" s="24"/>
      <x:c r="G441" s="96" t="str">
        <x:f>IF($A441="","",SUMIFS('QuotationItems'!$I$2:$I$500,'QuotationItems'!$B$2:$B$500,$A441))</x:f>
      </x:c>
      <x:c r="H441" s="25"/>
      <x:c r="I441" s="96" t="str">
        <x:f>IF($A441="","",$G441-$H441)</x:f>
      </x:c>
      <x:c r="J441" s="19"/>
      <x:c r="K441" s="19"/>
      <x:c r="L441" s="19"/>
      <x:c r="M441" s="26"/>
    </x:row>
    <x:row r="442">
      <x:c r="A442" s="19"/>
      <x:c r="B442" s="19"/>
      <x:c r="C442" s="19"/>
      <x:c r="D442" s="19"/>
      <x:c r="E442" s="26"/>
      <x:c r="F442" s="24"/>
      <x:c r="G442" s="96" t="str">
        <x:f>IF($A442="","",SUMIFS('QuotationItems'!$I$2:$I$500,'QuotationItems'!$B$2:$B$500,$A442))</x:f>
      </x:c>
      <x:c r="H442" s="25"/>
      <x:c r="I442" s="96" t="str">
        <x:f>IF($A442="","",$G442-$H442)</x:f>
      </x:c>
      <x:c r="J442" s="19"/>
      <x:c r="K442" s="19"/>
      <x:c r="L442" s="19"/>
      <x:c r="M442" s="26"/>
    </x:row>
    <x:row r="443">
      <x:c r="A443" s="19"/>
      <x:c r="B443" s="19"/>
      <x:c r="C443" s="19"/>
      <x:c r="D443" s="19"/>
      <x:c r="E443" s="26"/>
      <x:c r="F443" s="24"/>
      <x:c r="G443" s="96" t="str">
        <x:f>IF($A443="","",SUMIFS('QuotationItems'!$I$2:$I$500,'QuotationItems'!$B$2:$B$500,$A443))</x:f>
      </x:c>
      <x:c r="H443" s="25"/>
      <x:c r="I443" s="96" t="str">
        <x:f>IF($A443="","",$G443-$H443)</x:f>
      </x:c>
      <x:c r="J443" s="19"/>
      <x:c r="K443" s="19"/>
      <x:c r="L443" s="19"/>
      <x:c r="M443" s="26"/>
    </x:row>
    <x:row r="444">
      <x:c r="A444" s="19"/>
      <x:c r="B444" s="19"/>
      <x:c r="C444" s="19"/>
      <x:c r="D444" s="19"/>
      <x:c r="E444" s="26"/>
      <x:c r="F444" s="24"/>
      <x:c r="G444" s="96" t="str">
        <x:f>IF($A444="","",SUMIFS('QuotationItems'!$I$2:$I$500,'QuotationItems'!$B$2:$B$500,$A444))</x:f>
      </x:c>
      <x:c r="H444" s="25"/>
      <x:c r="I444" s="96" t="str">
        <x:f>IF($A444="","",$G444-$H444)</x:f>
      </x:c>
      <x:c r="J444" s="19"/>
      <x:c r="K444" s="19"/>
      <x:c r="L444" s="19"/>
      <x:c r="M444" s="26"/>
    </x:row>
    <x:row r="445">
      <x:c r="A445" s="19"/>
      <x:c r="B445" s="19"/>
      <x:c r="C445" s="19"/>
      <x:c r="D445" s="19"/>
      <x:c r="E445" s="26"/>
      <x:c r="F445" s="24"/>
      <x:c r="G445" s="96" t="str">
        <x:f>IF($A445="","",SUMIFS('QuotationItems'!$I$2:$I$500,'QuotationItems'!$B$2:$B$500,$A445))</x:f>
      </x:c>
      <x:c r="H445" s="25"/>
      <x:c r="I445" s="96" t="str">
        <x:f>IF($A445="","",$G445-$H445)</x:f>
      </x:c>
      <x:c r="J445" s="19"/>
      <x:c r="K445" s="19"/>
      <x:c r="L445" s="19"/>
      <x:c r="M445" s="26"/>
    </x:row>
    <x:row r="446">
      <x:c r="A446" s="19"/>
      <x:c r="B446" s="19"/>
      <x:c r="C446" s="19"/>
      <x:c r="D446" s="19"/>
      <x:c r="E446" s="26"/>
      <x:c r="F446" s="24"/>
      <x:c r="G446" s="96" t="str">
        <x:f>IF($A446="","",SUMIFS('QuotationItems'!$I$2:$I$500,'QuotationItems'!$B$2:$B$500,$A446))</x:f>
      </x:c>
      <x:c r="H446" s="25"/>
      <x:c r="I446" s="96" t="str">
        <x:f>IF($A446="","",$G446-$H446)</x:f>
      </x:c>
      <x:c r="J446" s="19"/>
      <x:c r="K446" s="19"/>
      <x:c r="L446" s="19"/>
      <x:c r="M446" s="26"/>
    </x:row>
    <x:row r="447">
      <x:c r="A447" s="19"/>
      <x:c r="B447" s="19"/>
      <x:c r="C447" s="19"/>
      <x:c r="D447" s="19"/>
      <x:c r="E447" s="26"/>
      <x:c r="F447" s="24"/>
      <x:c r="G447" s="96" t="str">
        <x:f>IF($A447="","",SUMIFS('QuotationItems'!$I$2:$I$500,'QuotationItems'!$B$2:$B$500,$A447))</x:f>
      </x:c>
      <x:c r="H447" s="25"/>
      <x:c r="I447" s="96" t="str">
        <x:f>IF($A447="","",$G447-$H447)</x:f>
      </x:c>
      <x:c r="J447" s="19"/>
      <x:c r="K447" s="19"/>
      <x:c r="L447" s="19"/>
      <x:c r="M447" s="26"/>
    </x:row>
    <x:row r="448">
      <x:c r="A448" s="19"/>
      <x:c r="B448" s="19"/>
      <x:c r="C448" s="19"/>
      <x:c r="D448" s="19"/>
      <x:c r="E448" s="26"/>
      <x:c r="F448" s="24"/>
      <x:c r="G448" s="96" t="str">
        <x:f>IF($A448="","",SUMIFS('QuotationItems'!$I$2:$I$500,'QuotationItems'!$B$2:$B$500,$A448))</x:f>
      </x:c>
      <x:c r="H448" s="25"/>
      <x:c r="I448" s="96" t="str">
        <x:f>IF($A448="","",$G448-$H448)</x:f>
      </x:c>
      <x:c r="J448" s="19"/>
      <x:c r="K448" s="19"/>
      <x:c r="L448" s="19"/>
      <x:c r="M448" s="26"/>
    </x:row>
    <x:row r="449">
      <x:c r="A449" s="19"/>
      <x:c r="B449" s="19"/>
      <x:c r="C449" s="19"/>
      <x:c r="D449" s="19"/>
      <x:c r="E449" s="26"/>
      <x:c r="F449" s="24"/>
      <x:c r="G449" s="96" t="str">
        <x:f>IF($A449="","",SUMIFS('QuotationItems'!$I$2:$I$500,'QuotationItems'!$B$2:$B$500,$A449))</x:f>
      </x:c>
      <x:c r="H449" s="25"/>
      <x:c r="I449" s="96" t="str">
        <x:f>IF($A449="","",$G449-$H449)</x:f>
      </x:c>
      <x:c r="J449" s="19"/>
      <x:c r="K449" s="19"/>
      <x:c r="L449" s="19"/>
      <x:c r="M449" s="26"/>
    </x:row>
    <x:row r="450">
      <x:c r="A450" s="19"/>
      <x:c r="B450" s="19"/>
      <x:c r="C450" s="19"/>
      <x:c r="D450" s="19"/>
      <x:c r="E450" s="26"/>
      <x:c r="F450" s="24"/>
      <x:c r="G450" s="96" t="str">
        <x:f>IF($A450="","",SUMIFS('QuotationItems'!$I$2:$I$500,'QuotationItems'!$B$2:$B$500,$A450))</x:f>
      </x:c>
      <x:c r="H450" s="25"/>
      <x:c r="I450" s="96" t="str">
        <x:f>IF($A450="","",$G450-$H450)</x:f>
      </x:c>
      <x:c r="J450" s="19"/>
      <x:c r="K450" s="19"/>
      <x:c r="L450" s="19"/>
      <x:c r="M450" s="26"/>
    </x:row>
    <x:row r="451">
      <x:c r="A451" s="19"/>
      <x:c r="B451" s="19"/>
      <x:c r="C451" s="19"/>
      <x:c r="D451" s="19"/>
      <x:c r="E451" s="26"/>
      <x:c r="F451" s="24"/>
      <x:c r="G451" s="96" t="str">
        <x:f>IF($A451="","",SUMIFS('QuotationItems'!$I$2:$I$500,'QuotationItems'!$B$2:$B$500,$A451))</x:f>
      </x:c>
      <x:c r="H451" s="25"/>
      <x:c r="I451" s="96" t="str">
        <x:f>IF($A451="","",$G451-$H451)</x:f>
      </x:c>
      <x:c r="J451" s="19"/>
      <x:c r="K451" s="19"/>
      <x:c r="L451" s="19"/>
      <x:c r="M451" s="26"/>
    </x:row>
    <x:row r="452">
      <x:c r="A452" s="19"/>
      <x:c r="B452" s="19"/>
      <x:c r="C452" s="19"/>
      <x:c r="D452" s="19"/>
      <x:c r="E452" s="26"/>
      <x:c r="F452" s="24"/>
      <x:c r="G452" s="96" t="str">
        <x:f>IF($A452="","",SUMIFS('QuotationItems'!$I$2:$I$500,'QuotationItems'!$B$2:$B$500,$A452))</x:f>
      </x:c>
      <x:c r="H452" s="25"/>
      <x:c r="I452" s="96" t="str">
        <x:f>IF($A452="","",$G452-$H452)</x:f>
      </x:c>
      <x:c r="J452" s="19"/>
      <x:c r="K452" s="19"/>
      <x:c r="L452" s="19"/>
      <x:c r="M452" s="26"/>
    </x:row>
    <x:row r="453">
      <x:c r="A453" s="19"/>
      <x:c r="B453" s="19"/>
      <x:c r="C453" s="19"/>
      <x:c r="D453" s="19"/>
      <x:c r="E453" s="26"/>
      <x:c r="F453" s="24"/>
      <x:c r="G453" s="96" t="str">
        <x:f>IF($A453="","",SUMIFS('QuotationItems'!$I$2:$I$500,'QuotationItems'!$B$2:$B$500,$A453))</x:f>
      </x:c>
      <x:c r="H453" s="25"/>
      <x:c r="I453" s="96" t="str">
        <x:f>IF($A453="","",$G453-$H453)</x:f>
      </x:c>
      <x:c r="J453" s="19"/>
      <x:c r="K453" s="19"/>
      <x:c r="L453" s="19"/>
      <x:c r="M453" s="26"/>
    </x:row>
    <x:row r="454">
      <x:c r="A454" s="19"/>
      <x:c r="B454" s="19"/>
      <x:c r="C454" s="19"/>
      <x:c r="D454" s="19"/>
      <x:c r="E454" s="26"/>
      <x:c r="F454" s="24"/>
      <x:c r="G454" s="96" t="str">
        <x:f>IF($A454="","",SUMIFS('QuotationItems'!$I$2:$I$500,'QuotationItems'!$B$2:$B$500,$A454))</x:f>
      </x:c>
      <x:c r="H454" s="25"/>
      <x:c r="I454" s="96" t="str">
        <x:f>IF($A454="","",$G454-$H454)</x:f>
      </x:c>
      <x:c r="J454" s="19"/>
      <x:c r="K454" s="19"/>
      <x:c r="L454" s="19"/>
      <x:c r="M454" s="26"/>
    </x:row>
    <x:row r="455">
      <x:c r="A455" s="19"/>
      <x:c r="B455" s="19"/>
      <x:c r="C455" s="19"/>
      <x:c r="D455" s="19"/>
      <x:c r="E455" s="26"/>
      <x:c r="F455" s="24"/>
      <x:c r="G455" s="96" t="str">
        <x:f>IF($A455="","",SUMIFS('QuotationItems'!$I$2:$I$500,'QuotationItems'!$B$2:$B$500,$A455))</x:f>
      </x:c>
      <x:c r="H455" s="25"/>
      <x:c r="I455" s="96" t="str">
        <x:f>IF($A455="","",$G455-$H455)</x:f>
      </x:c>
      <x:c r="J455" s="19"/>
      <x:c r="K455" s="19"/>
      <x:c r="L455" s="19"/>
      <x:c r="M455" s="26"/>
    </x:row>
    <x:row r="456">
      <x:c r="A456" s="19"/>
      <x:c r="B456" s="19"/>
      <x:c r="C456" s="19"/>
      <x:c r="D456" s="19"/>
      <x:c r="E456" s="26"/>
      <x:c r="F456" s="24"/>
      <x:c r="G456" s="96" t="str">
        <x:f>IF($A456="","",SUMIFS('QuotationItems'!$I$2:$I$500,'QuotationItems'!$B$2:$B$500,$A456))</x:f>
      </x:c>
      <x:c r="H456" s="25"/>
      <x:c r="I456" s="96" t="str">
        <x:f>IF($A456="","",$G456-$H456)</x:f>
      </x:c>
      <x:c r="J456" s="19"/>
      <x:c r="K456" s="19"/>
      <x:c r="L456" s="19"/>
      <x:c r="M456" s="26"/>
    </x:row>
    <x:row r="457">
      <x:c r="A457" s="19"/>
      <x:c r="B457" s="19"/>
      <x:c r="C457" s="19"/>
      <x:c r="D457" s="19"/>
      <x:c r="E457" s="26"/>
      <x:c r="F457" s="24"/>
      <x:c r="G457" s="96" t="str">
        <x:f>IF($A457="","",SUMIFS('QuotationItems'!$I$2:$I$500,'QuotationItems'!$B$2:$B$500,$A457))</x:f>
      </x:c>
      <x:c r="H457" s="25"/>
      <x:c r="I457" s="96" t="str">
        <x:f>IF($A457="","",$G457-$H457)</x:f>
      </x:c>
      <x:c r="J457" s="19"/>
      <x:c r="K457" s="19"/>
      <x:c r="L457" s="19"/>
      <x:c r="M457" s="26"/>
    </x:row>
    <x:row r="458">
      <x:c r="A458" s="19"/>
      <x:c r="B458" s="19"/>
      <x:c r="C458" s="19"/>
      <x:c r="D458" s="19"/>
      <x:c r="E458" s="26"/>
      <x:c r="F458" s="24"/>
      <x:c r="G458" s="96" t="str">
        <x:f>IF($A458="","",SUMIFS('QuotationItems'!$I$2:$I$500,'QuotationItems'!$B$2:$B$500,$A458))</x:f>
      </x:c>
      <x:c r="H458" s="25"/>
      <x:c r="I458" s="96" t="str">
        <x:f>IF($A458="","",$G458-$H458)</x:f>
      </x:c>
      <x:c r="J458" s="19"/>
      <x:c r="K458" s="19"/>
      <x:c r="L458" s="19"/>
      <x:c r="M458" s="26"/>
    </x:row>
    <x:row r="459">
      <x:c r="A459" s="19"/>
      <x:c r="B459" s="19"/>
      <x:c r="C459" s="19"/>
      <x:c r="D459" s="19"/>
      <x:c r="E459" s="26"/>
      <x:c r="F459" s="24"/>
      <x:c r="G459" s="96" t="str">
        <x:f>IF($A459="","",SUMIFS('QuotationItems'!$I$2:$I$500,'QuotationItems'!$B$2:$B$500,$A459))</x:f>
      </x:c>
      <x:c r="H459" s="25"/>
      <x:c r="I459" s="96" t="str">
        <x:f>IF($A459="","",$G459-$H459)</x:f>
      </x:c>
      <x:c r="J459" s="19"/>
      <x:c r="K459" s="19"/>
      <x:c r="L459" s="19"/>
      <x:c r="M459" s="26"/>
    </x:row>
    <x:row r="460">
      <x:c r="A460" s="19"/>
      <x:c r="B460" s="19"/>
      <x:c r="C460" s="19"/>
      <x:c r="D460" s="19"/>
      <x:c r="E460" s="26"/>
      <x:c r="F460" s="24"/>
      <x:c r="G460" s="96" t="str">
        <x:f>IF($A460="","",SUMIFS('QuotationItems'!$I$2:$I$500,'QuotationItems'!$B$2:$B$500,$A460))</x:f>
      </x:c>
      <x:c r="H460" s="25"/>
      <x:c r="I460" s="96" t="str">
        <x:f>IF($A460="","",$G460-$H460)</x:f>
      </x:c>
      <x:c r="J460" s="19"/>
      <x:c r="K460" s="19"/>
      <x:c r="L460" s="19"/>
      <x:c r="M460" s="26"/>
    </x:row>
    <x:row r="461">
      <x:c r="A461" s="19"/>
      <x:c r="B461" s="19"/>
      <x:c r="C461" s="19"/>
      <x:c r="D461" s="19"/>
      <x:c r="E461" s="26"/>
      <x:c r="F461" s="24"/>
      <x:c r="G461" s="96" t="str">
        <x:f>IF($A461="","",SUMIFS('QuotationItems'!$I$2:$I$500,'QuotationItems'!$B$2:$B$500,$A461))</x:f>
      </x:c>
      <x:c r="H461" s="25"/>
      <x:c r="I461" s="96" t="str">
        <x:f>IF($A461="","",$G461-$H461)</x:f>
      </x:c>
      <x:c r="J461" s="19"/>
      <x:c r="K461" s="19"/>
      <x:c r="L461" s="19"/>
      <x:c r="M461" s="26"/>
    </x:row>
    <x:row r="462">
      <x:c r="A462" s="19"/>
      <x:c r="B462" s="19"/>
      <x:c r="C462" s="19"/>
      <x:c r="D462" s="19"/>
      <x:c r="E462" s="26"/>
      <x:c r="F462" s="24"/>
      <x:c r="G462" s="96" t="str">
        <x:f>IF($A462="","",SUMIFS('QuotationItems'!$I$2:$I$500,'QuotationItems'!$B$2:$B$500,$A462))</x:f>
      </x:c>
      <x:c r="H462" s="25"/>
      <x:c r="I462" s="96" t="str">
        <x:f>IF($A462="","",$G462-$H462)</x:f>
      </x:c>
      <x:c r="J462" s="19"/>
      <x:c r="K462" s="19"/>
      <x:c r="L462" s="19"/>
      <x:c r="M462" s="26"/>
    </x:row>
    <x:row r="463">
      <x:c r="A463" s="19"/>
      <x:c r="B463" s="19"/>
      <x:c r="C463" s="19"/>
      <x:c r="D463" s="19"/>
      <x:c r="E463" s="26"/>
      <x:c r="F463" s="24"/>
      <x:c r="G463" s="96" t="str">
        <x:f>IF($A463="","",SUMIFS('QuotationItems'!$I$2:$I$500,'QuotationItems'!$B$2:$B$500,$A463))</x:f>
      </x:c>
      <x:c r="H463" s="25"/>
      <x:c r="I463" s="96" t="str">
        <x:f>IF($A463="","",$G463-$H463)</x:f>
      </x:c>
      <x:c r="J463" s="19"/>
      <x:c r="K463" s="19"/>
      <x:c r="L463" s="19"/>
      <x:c r="M463" s="26"/>
    </x:row>
    <x:row r="464">
      <x:c r="A464" s="19"/>
      <x:c r="B464" s="19"/>
      <x:c r="C464" s="19"/>
      <x:c r="D464" s="19"/>
      <x:c r="E464" s="26"/>
      <x:c r="F464" s="24"/>
      <x:c r="G464" s="96" t="str">
        <x:f>IF($A464="","",SUMIFS('QuotationItems'!$I$2:$I$500,'QuotationItems'!$B$2:$B$500,$A464))</x:f>
      </x:c>
      <x:c r="H464" s="25"/>
      <x:c r="I464" s="96" t="str">
        <x:f>IF($A464="","",$G464-$H464)</x:f>
      </x:c>
      <x:c r="J464" s="19"/>
      <x:c r="K464" s="19"/>
      <x:c r="L464" s="19"/>
      <x:c r="M464" s="26"/>
    </x:row>
    <x:row r="465">
      <x:c r="A465" s="19"/>
      <x:c r="B465" s="19"/>
      <x:c r="C465" s="19"/>
      <x:c r="D465" s="19"/>
      <x:c r="E465" s="26"/>
      <x:c r="F465" s="24"/>
      <x:c r="G465" s="96" t="str">
        <x:f>IF($A465="","",SUMIFS('QuotationItems'!$I$2:$I$500,'QuotationItems'!$B$2:$B$500,$A465))</x:f>
      </x:c>
      <x:c r="H465" s="25"/>
      <x:c r="I465" s="96" t="str">
        <x:f>IF($A465="","",$G465-$H465)</x:f>
      </x:c>
      <x:c r="J465" s="19"/>
      <x:c r="K465" s="19"/>
      <x:c r="L465" s="19"/>
      <x:c r="M465" s="26"/>
    </x:row>
    <x:row r="466">
      <x:c r="A466" s="19"/>
      <x:c r="B466" s="19"/>
      <x:c r="C466" s="19"/>
      <x:c r="D466" s="19"/>
      <x:c r="E466" s="26"/>
      <x:c r="F466" s="24"/>
      <x:c r="G466" s="96" t="str">
        <x:f>IF($A466="","",SUMIFS('QuotationItems'!$I$2:$I$500,'QuotationItems'!$B$2:$B$500,$A466))</x:f>
      </x:c>
      <x:c r="H466" s="25"/>
      <x:c r="I466" s="96" t="str">
        <x:f>IF($A466="","",$G466-$H466)</x:f>
      </x:c>
      <x:c r="J466" s="19"/>
      <x:c r="K466" s="19"/>
      <x:c r="L466" s="19"/>
      <x:c r="M466" s="26"/>
    </x:row>
    <x:row r="467">
      <x:c r="A467" s="19"/>
      <x:c r="B467" s="19"/>
      <x:c r="C467" s="19"/>
      <x:c r="D467" s="19"/>
      <x:c r="E467" s="26"/>
      <x:c r="F467" s="24"/>
      <x:c r="G467" s="96" t="str">
        <x:f>IF($A467="","",SUMIFS('QuotationItems'!$I$2:$I$500,'QuotationItems'!$B$2:$B$500,$A467))</x:f>
      </x:c>
      <x:c r="H467" s="25"/>
      <x:c r="I467" s="96" t="str">
        <x:f>IF($A467="","",$G467-$H467)</x:f>
      </x:c>
      <x:c r="J467" s="19"/>
      <x:c r="K467" s="19"/>
      <x:c r="L467" s="19"/>
      <x:c r="M467" s="26"/>
    </x:row>
    <x:row r="468">
      <x:c r="A468" s="19"/>
      <x:c r="B468" s="19"/>
      <x:c r="C468" s="19"/>
      <x:c r="D468" s="19"/>
      <x:c r="E468" s="26"/>
      <x:c r="F468" s="24"/>
      <x:c r="G468" s="96" t="str">
        <x:f>IF($A468="","",SUMIFS('QuotationItems'!$I$2:$I$500,'QuotationItems'!$B$2:$B$500,$A468))</x:f>
      </x:c>
      <x:c r="H468" s="25"/>
      <x:c r="I468" s="96" t="str">
        <x:f>IF($A468="","",$G468-$H468)</x:f>
      </x:c>
      <x:c r="J468" s="19"/>
      <x:c r="K468" s="19"/>
      <x:c r="L468" s="19"/>
      <x:c r="M468" s="26"/>
    </x:row>
    <x:row r="469">
      <x:c r="A469" s="19"/>
      <x:c r="B469" s="19"/>
      <x:c r="C469" s="19"/>
      <x:c r="D469" s="19"/>
      <x:c r="E469" s="26"/>
      <x:c r="F469" s="24"/>
      <x:c r="G469" s="96" t="str">
        <x:f>IF($A469="","",SUMIFS('QuotationItems'!$I$2:$I$500,'QuotationItems'!$B$2:$B$500,$A469))</x:f>
      </x:c>
      <x:c r="H469" s="25"/>
      <x:c r="I469" s="96" t="str">
        <x:f>IF($A469="","",$G469-$H469)</x:f>
      </x:c>
      <x:c r="J469" s="19"/>
      <x:c r="K469" s="19"/>
      <x:c r="L469" s="19"/>
      <x:c r="M469" s="26"/>
    </x:row>
    <x:row r="470">
      <x:c r="A470" s="19"/>
      <x:c r="B470" s="19"/>
      <x:c r="C470" s="19"/>
      <x:c r="D470" s="19"/>
      <x:c r="E470" s="26"/>
      <x:c r="F470" s="24"/>
      <x:c r="G470" s="96" t="str">
        <x:f>IF($A470="","",SUMIFS('QuotationItems'!$I$2:$I$500,'QuotationItems'!$B$2:$B$500,$A470))</x:f>
      </x:c>
      <x:c r="H470" s="25"/>
      <x:c r="I470" s="96" t="str">
        <x:f>IF($A470="","",$G470-$H470)</x:f>
      </x:c>
      <x:c r="J470" s="19"/>
      <x:c r="K470" s="19"/>
      <x:c r="L470" s="19"/>
      <x:c r="M470" s="26"/>
    </x:row>
    <x:row r="471">
      <x:c r="A471" s="19"/>
      <x:c r="B471" s="19"/>
      <x:c r="C471" s="19"/>
      <x:c r="D471" s="19"/>
      <x:c r="E471" s="26"/>
      <x:c r="F471" s="24"/>
      <x:c r="G471" s="96" t="str">
        <x:f>IF($A471="","",SUMIFS('QuotationItems'!$I$2:$I$500,'QuotationItems'!$B$2:$B$500,$A471))</x:f>
      </x:c>
      <x:c r="H471" s="25"/>
      <x:c r="I471" s="96" t="str">
        <x:f>IF($A471="","",$G471-$H471)</x:f>
      </x:c>
      <x:c r="J471" s="19"/>
      <x:c r="K471" s="19"/>
      <x:c r="L471" s="19"/>
      <x:c r="M471" s="26"/>
    </x:row>
    <x:row r="472">
      <x:c r="A472" s="19"/>
      <x:c r="B472" s="19"/>
      <x:c r="C472" s="19"/>
      <x:c r="D472" s="19"/>
      <x:c r="E472" s="26"/>
      <x:c r="F472" s="24"/>
      <x:c r="G472" s="96" t="str">
        <x:f>IF($A472="","",SUMIFS('QuotationItems'!$I$2:$I$500,'QuotationItems'!$B$2:$B$500,$A472))</x:f>
      </x:c>
      <x:c r="H472" s="25"/>
      <x:c r="I472" s="96" t="str">
        <x:f>IF($A472="","",$G472-$H472)</x:f>
      </x:c>
      <x:c r="J472" s="19"/>
      <x:c r="K472" s="19"/>
      <x:c r="L472" s="19"/>
      <x:c r="M472" s="26"/>
    </x:row>
    <x:row r="473">
      <x:c r="A473" s="19"/>
      <x:c r="B473" s="19"/>
      <x:c r="C473" s="19"/>
      <x:c r="D473" s="19"/>
      <x:c r="E473" s="26"/>
      <x:c r="F473" s="24"/>
      <x:c r="G473" s="96" t="str">
        <x:f>IF($A473="","",SUMIFS('QuotationItems'!$I$2:$I$500,'QuotationItems'!$B$2:$B$500,$A473))</x:f>
      </x:c>
      <x:c r="H473" s="25"/>
      <x:c r="I473" s="96" t="str">
        <x:f>IF($A473="","",$G473-$H473)</x:f>
      </x:c>
      <x:c r="J473" s="19"/>
      <x:c r="K473" s="19"/>
      <x:c r="L473" s="19"/>
      <x:c r="M473" s="26"/>
    </x:row>
    <x:row r="474">
      <x:c r="A474" s="19"/>
      <x:c r="B474" s="19"/>
      <x:c r="C474" s="19"/>
      <x:c r="D474" s="19"/>
      <x:c r="E474" s="26"/>
      <x:c r="F474" s="24"/>
      <x:c r="G474" s="96" t="str">
        <x:f>IF($A474="","",SUMIFS('QuotationItems'!$I$2:$I$500,'QuotationItems'!$B$2:$B$500,$A474))</x:f>
      </x:c>
      <x:c r="H474" s="25"/>
      <x:c r="I474" s="96" t="str">
        <x:f>IF($A474="","",$G474-$H474)</x:f>
      </x:c>
      <x:c r="J474" s="19"/>
      <x:c r="K474" s="19"/>
      <x:c r="L474" s="19"/>
      <x:c r="M474" s="26"/>
    </x:row>
    <x:row r="475">
      <x:c r="A475" s="19"/>
      <x:c r="B475" s="19"/>
      <x:c r="C475" s="19"/>
      <x:c r="D475" s="19"/>
      <x:c r="E475" s="26"/>
      <x:c r="F475" s="24"/>
      <x:c r="G475" s="96" t="str">
        <x:f>IF($A475="","",SUMIFS('QuotationItems'!$I$2:$I$500,'QuotationItems'!$B$2:$B$500,$A475))</x:f>
      </x:c>
      <x:c r="H475" s="25"/>
      <x:c r="I475" s="96" t="str">
        <x:f>IF($A475="","",$G475-$H475)</x:f>
      </x:c>
      <x:c r="J475" s="19"/>
      <x:c r="K475" s="19"/>
      <x:c r="L475" s="19"/>
      <x:c r="M475" s="26"/>
    </x:row>
    <x:row r="476">
      <x:c r="A476" s="19"/>
      <x:c r="B476" s="19"/>
      <x:c r="C476" s="19"/>
      <x:c r="D476" s="19"/>
      <x:c r="E476" s="26"/>
      <x:c r="F476" s="24"/>
      <x:c r="G476" s="96" t="str">
        <x:f>IF($A476="","",SUMIFS('QuotationItems'!$I$2:$I$500,'QuotationItems'!$B$2:$B$500,$A476))</x:f>
      </x:c>
      <x:c r="H476" s="25"/>
      <x:c r="I476" s="96" t="str">
        <x:f>IF($A476="","",$G476-$H476)</x:f>
      </x:c>
      <x:c r="J476" s="19"/>
      <x:c r="K476" s="19"/>
      <x:c r="L476" s="19"/>
      <x:c r="M476" s="26"/>
    </x:row>
    <x:row r="477">
      <x:c r="A477" s="19"/>
      <x:c r="B477" s="19"/>
      <x:c r="C477" s="19"/>
      <x:c r="D477" s="19"/>
      <x:c r="E477" s="26"/>
      <x:c r="F477" s="24"/>
      <x:c r="G477" s="96" t="str">
        <x:f>IF($A477="","",SUMIFS('QuotationItems'!$I$2:$I$500,'QuotationItems'!$B$2:$B$500,$A477))</x:f>
      </x:c>
      <x:c r="H477" s="25"/>
      <x:c r="I477" s="96" t="str">
        <x:f>IF($A477="","",$G477-$H477)</x:f>
      </x:c>
      <x:c r="J477" s="19"/>
      <x:c r="K477" s="19"/>
      <x:c r="L477" s="19"/>
      <x:c r="M477" s="26"/>
    </x:row>
    <x:row r="478">
      <x:c r="A478" s="19"/>
      <x:c r="B478" s="19"/>
      <x:c r="C478" s="19"/>
      <x:c r="D478" s="19"/>
      <x:c r="E478" s="26"/>
      <x:c r="F478" s="24"/>
      <x:c r="G478" s="96" t="str">
        <x:f>IF($A478="","",SUMIFS('QuotationItems'!$I$2:$I$500,'QuotationItems'!$B$2:$B$500,$A478))</x:f>
      </x:c>
      <x:c r="H478" s="25"/>
      <x:c r="I478" s="96" t="str">
        <x:f>IF($A478="","",$G478-$H478)</x:f>
      </x:c>
      <x:c r="J478" s="19"/>
      <x:c r="K478" s="19"/>
      <x:c r="L478" s="19"/>
      <x:c r="M478" s="26"/>
    </x:row>
    <x:row r="479">
      <x:c r="A479" s="19"/>
      <x:c r="B479" s="19"/>
      <x:c r="C479" s="19"/>
      <x:c r="D479" s="19"/>
      <x:c r="E479" s="26"/>
      <x:c r="F479" s="24"/>
      <x:c r="G479" s="96" t="str">
        <x:f>IF($A479="","",SUMIFS('QuotationItems'!$I$2:$I$500,'QuotationItems'!$B$2:$B$500,$A479))</x:f>
      </x:c>
      <x:c r="H479" s="25"/>
      <x:c r="I479" s="96" t="str">
        <x:f>IF($A479="","",$G479-$H479)</x:f>
      </x:c>
      <x:c r="J479" s="19"/>
      <x:c r="K479" s="19"/>
      <x:c r="L479" s="19"/>
      <x:c r="M479" s="26"/>
    </x:row>
    <x:row r="480">
      <x:c r="A480" s="19"/>
      <x:c r="B480" s="19"/>
      <x:c r="C480" s="19"/>
      <x:c r="D480" s="19"/>
      <x:c r="E480" s="26"/>
      <x:c r="F480" s="24"/>
      <x:c r="G480" s="96" t="str">
        <x:f>IF($A480="","",SUMIFS('QuotationItems'!$I$2:$I$500,'QuotationItems'!$B$2:$B$500,$A480))</x:f>
      </x:c>
      <x:c r="H480" s="25"/>
      <x:c r="I480" s="96" t="str">
        <x:f>IF($A480="","",$G480-$H480)</x:f>
      </x:c>
      <x:c r="J480" s="19"/>
      <x:c r="K480" s="19"/>
      <x:c r="L480" s="19"/>
      <x:c r="M480" s="26"/>
    </x:row>
    <x:row r="481">
      <x:c r="A481" s="19"/>
      <x:c r="B481" s="19"/>
      <x:c r="C481" s="19"/>
      <x:c r="D481" s="19"/>
      <x:c r="E481" s="26"/>
      <x:c r="F481" s="24"/>
      <x:c r="G481" s="96" t="str">
        <x:f>IF($A481="","",SUMIFS('QuotationItems'!$I$2:$I$500,'QuotationItems'!$B$2:$B$500,$A481))</x:f>
      </x:c>
      <x:c r="H481" s="25"/>
      <x:c r="I481" s="96" t="str">
        <x:f>IF($A481="","",$G481-$H481)</x:f>
      </x:c>
      <x:c r="J481" s="19"/>
      <x:c r="K481" s="19"/>
      <x:c r="L481" s="19"/>
      <x:c r="M481" s="26"/>
    </x:row>
    <x:row r="482">
      <x:c r="A482" s="19"/>
      <x:c r="B482" s="19"/>
      <x:c r="C482" s="19"/>
      <x:c r="D482" s="19"/>
      <x:c r="E482" s="26"/>
      <x:c r="F482" s="24"/>
      <x:c r="G482" s="96" t="str">
        <x:f>IF($A482="","",SUMIFS('QuotationItems'!$I$2:$I$500,'QuotationItems'!$B$2:$B$500,$A482))</x:f>
      </x:c>
      <x:c r="H482" s="25"/>
      <x:c r="I482" s="96" t="str">
        <x:f>IF($A482="","",$G482-$H482)</x:f>
      </x:c>
      <x:c r="J482" s="19"/>
      <x:c r="K482" s="19"/>
      <x:c r="L482" s="19"/>
      <x:c r="M482" s="26"/>
    </x:row>
    <x:row r="483">
      <x:c r="A483" s="19"/>
      <x:c r="B483" s="19"/>
      <x:c r="C483" s="19"/>
      <x:c r="D483" s="19"/>
      <x:c r="E483" s="26"/>
      <x:c r="F483" s="24"/>
      <x:c r="G483" s="96" t="str">
        <x:f>IF($A483="","",SUMIFS('QuotationItems'!$I$2:$I$500,'QuotationItems'!$B$2:$B$500,$A483))</x:f>
      </x:c>
      <x:c r="H483" s="25"/>
      <x:c r="I483" s="96" t="str">
        <x:f>IF($A483="","",$G483-$H483)</x:f>
      </x:c>
      <x:c r="J483" s="19"/>
      <x:c r="K483" s="19"/>
      <x:c r="L483" s="19"/>
      <x:c r="M483" s="26"/>
    </x:row>
    <x:row r="484">
      <x:c r="A484" s="19"/>
      <x:c r="B484" s="19"/>
      <x:c r="C484" s="19"/>
      <x:c r="D484" s="19"/>
      <x:c r="E484" s="26"/>
      <x:c r="F484" s="24"/>
      <x:c r="G484" s="96" t="str">
        <x:f>IF($A484="","",SUMIFS('QuotationItems'!$I$2:$I$500,'QuotationItems'!$B$2:$B$500,$A484))</x:f>
      </x:c>
      <x:c r="H484" s="25"/>
      <x:c r="I484" s="96" t="str">
        <x:f>IF($A484="","",$G484-$H484)</x:f>
      </x:c>
      <x:c r="J484" s="19"/>
      <x:c r="K484" s="19"/>
      <x:c r="L484" s="19"/>
      <x:c r="M484" s="26"/>
    </x:row>
    <x:row r="485">
      <x:c r="A485" s="19"/>
      <x:c r="B485" s="19"/>
      <x:c r="C485" s="19"/>
      <x:c r="D485" s="19"/>
      <x:c r="E485" s="26"/>
      <x:c r="F485" s="24"/>
      <x:c r="G485" s="96" t="str">
        <x:f>IF($A485="","",SUMIFS('QuotationItems'!$I$2:$I$500,'QuotationItems'!$B$2:$B$500,$A485))</x:f>
      </x:c>
      <x:c r="H485" s="25"/>
      <x:c r="I485" s="96" t="str">
        <x:f>IF($A485="","",$G485-$H485)</x:f>
      </x:c>
      <x:c r="J485" s="19"/>
      <x:c r="K485" s="19"/>
      <x:c r="L485" s="19"/>
      <x:c r="M485" s="26"/>
    </x:row>
    <x:row r="486">
      <x:c r="A486" s="19"/>
      <x:c r="B486" s="19"/>
      <x:c r="C486" s="19"/>
      <x:c r="D486" s="19"/>
      <x:c r="E486" s="26"/>
      <x:c r="F486" s="24"/>
      <x:c r="G486" s="96" t="str">
        <x:f>IF($A486="","",SUMIFS('QuotationItems'!$I$2:$I$500,'QuotationItems'!$B$2:$B$500,$A486))</x:f>
      </x:c>
      <x:c r="H486" s="25"/>
      <x:c r="I486" s="96" t="str">
        <x:f>IF($A486="","",$G486-$H486)</x:f>
      </x:c>
      <x:c r="J486" s="19"/>
      <x:c r="K486" s="19"/>
      <x:c r="L486" s="19"/>
      <x:c r="M486" s="26"/>
    </x:row>
    <x:row r="487">
      <x:c r="A487" s="19"/>
      <x:c r="B487" s="19"/>
      <x:c r="C487" s="19"/>
      <x:c r="D487" s="19"/>
      <x:c r="E487" s="26"/>
      <x:c r="F487" s="24"/>
      <x:c r="G487" s="96" t="str">
        <x:f>IF($A487="","",SUMIFS('QuotationItems'!$I$2:$I$500,'QuotationItems'!$B$2:$B$500,$A487))</x:f>
      </x:c>
      <x:c r="H487" s="25"/>
      <x:c r="I487" s="96" t="str">
        <x:f>IF($A487="","",$G487-$H487)</x:f>
      </x:c>
      <x:c r="J487" s="19"/>
      <x:c r="K487" s="19"/>
      <x:c r="L487" s="19"/>
      <x:c r="M487" s="26"/>
    </x:row>
    <x:row r="488">
      <x:c r="A488" s="19"/>
      <x:c r="B488" s="19"/>
      <x:c r="C488" s="19"/>
      <x:c r="D488" s="19"/>
      <x:c r="E488" s="26"/>
      <x:c r="F488" s="24"/>
      <x:c r="G488" s="96" t="str">
        <x:f>IF($A488="","",SUMIFS('QuotationItems'!$I$2:$I$500,'QuotationItems'!$B$2:$B$500,$A488))</x:f>
      </x:c>
      <x:c r="H488" s="25"/>
      <x:c r="I488" s="96" t="str">
        <x:f>IF($A488="","",$G488-$H488)</x:f>
      </x:c>
      <x:c r="J488" s="19"/>
      <x:c r="K488" s="19"/>
      <x:c r="L488" s="19"/>
      <x:c r="M488" s="26"/>
    </x:row>
    <x:row r="489">
      <x:c r="A489" s="19"/>
      <x:c r="B489" s="19"/>
      <x:c r="C489" s="19"/>
      <x:c r="D489" s="19"/>
      <x:c r="E489" s="26"/>
      <x:c r="F489" s="24"/>
      <x:c r="G489" s="96" t="str">
        <x:f>IF($A489="","",SUMIFS('QuotationItems'!$I$2:$I$500,'QuotationItems'!$B$2:$B$500,$A489))</x:f>
      </x:c>
      <x:c r="H489" s="25"/>
      <x:c r="I489" s="96" t="str">
        <x:f>IF($A489="","",$G489-$H489)</x:f>
      </x:c>
      <x:c r="J489" s="19"/>
      <x:c r="K489" s="19"/>
      <x:c r="L489" s="19"/>
      <x:c r="M489" s="26"/>
    </x:row>
    <x:row r="490">
      <x:c r="A490" s="19"/>
      <x:c r="B490" s="19"/>
      <x:c r="C490" s="19"/>
      <x:c r="D490" s="19"/>
      <x:c r="E490" s="26"/>
      <x:c r="F490" s="24"/>
      <x:c r="G490" s="96" t="str">
        <x:f>IF($A490="","",SUMIFS('QuotationItems'!$I$2:$I$500,'QuotationItems'!$B$2:$B$500,$A490))</x:f>
      </x:c>
      <x:c r="H490" s="25"/>
      <x:c r="I490" s="96" t="str">
        <x:f>IF($A490="","",$G490-$H490)</x:f>
      </x:c>
      <x:c r="J490" s="19"/>
      <x:c r="K490" s="19"/>
      <x:c r="L490" s="19"/>
      <x:c r="M490" s="26"/>
    </x:row>
    <x:row r="491">
      <x:c r="A491" s="19"/>
      <x:c r="B491" s="19"/>
      <x:c r="C491" s="19"/>
      <x:c r="D491" s="19"/>
      <x:c r="E491" s="26"/>
      <x:c r="F491" s="24"/>
      <x:c r="G491" s="96" t="str">
        <x:f>IF($A491="","",SUMIFS('QuotationItems'!$I$2:$I$500,'QuotationItems'!$B$2:$B$500,$A491))</x:f>
      </x:c>
      <x:c r="H491" s="25"/>
      <x:c r="I491" s="96" t="str">
        <x:f>IF($A491="","",$G491-$H491)</x:f>
      </x:c>
      <x:c r="J491" s="19"/>
      <x:c r="K491" s="19"/>
      <x:c r="L491" s="19"/>
      <x:c r="M491" s="26"/>
    </x:row>
    <x:row r="492">
      <x:c r="A492" s="19"/>
      <x:c r="B492" s="19"/>
      <x:c r="C492" s="19"/>
      <x:c r="D492" s="19"/>
      <x:c r="E492" s="26"/>
      <x:c r="F492" s="24"/>
      <x:c r="G492" s="96" t="str">
        <x:f>IF($A492="","",SUMIFS('QuotationItems'!$I$2:$I$500,'QuotationItems'!$B$2:$B$500,$A492))</x:f>
      </x:c>
      <x:c r="H492" s="25"/>
      <x:c r="I492" s="96" t="str">
        <x:f>IF($A492="","",$G492-$H492)</x:f>
      </x:c>
      <x:c r="J492" s="19"/>
      <x:c r="K492" s="19"/>
      <x:c r="L492" s="19"/>
      <x:c r="M492" s="26"/>
    </x:row>
    <x:row r="493">
      <x:c r="A493" s="19"/>
      <x:c r="B493" s="19"/>
      <x:c r="C493" s="19"/>
      <x:c r="D493" s="19"/>
      <x:c r="E493" s="26"/>
      <x:c r="F493" s="24"/>
      <x:c r="G493" s="96" t="str">
        <x:f>IF($A493="","",SUMIFS('QuotationItems'!$I$2:$I$500,'QuotationItems'!$B$2:$B$500,$A493))</x:f>
      </x:c>
      <x:c r="H493" s="25"/>
      <x:c r="I493" s="96" t="str">
        <x:f>IF($A493="","",$G493-$H493)</x:f>
      </x:c>
      <x:c r="J493" s="19"/>
      <x:c r="K493" s="19"/>
      <x:c r="L493" s="19"/>
      <x:c r="M493" s="26"/>
    </x:row>
    <x:row r="494">
      <x:c r="A494" s="19"/>
      <x:c r="B494" s="19"/>
      <x:c r="C494" s="19"/>
      <x:c r="D494" s="19"/>
      <x:c r="E494" s="26"/>
      <x:c r="F494" s="24"/>
      <x:c r="G494" s="96" t="str">
        <x:f>IF($A494="","",SUMIFS('QuotationItems'!$I$2:$I$500,'QuotationItems'!$B$2:$B$500,$A494))</x:f>
      </x:c>
      <x:c r="H494" s="25"/>
      <x:c r="I494" s="96" t="str">
        <x:f>IF($A494="","",$G494-$H494)</x:f>
      </x:c>
      <x:c r="J494" s="19"/>
      <x:c r="K494" s="19"/>
      <x:c r="L494" s="19"/>
      <x:c r="M494" s="26"/>
    </x:row>
    <x:row r="495">
      <x:c r="A495" s="19"/>
      <x:c r="B495" s="19"/>
      <x:c r="C495" s="19"/>
      <x:c r="D495" s="19"/>
      <x:c r="E495" s="26"/>
      <x:c r="F495" s="24"/>
      <x:c r="G495" s="96" t="str">
        <x:f>IF($A495="","",SUMIFS('QuotationItems'!$I$2:$I$500,'QuotationItems'!$B$2:$B$500,$A495))</x:f>
      </x:c>
      <x:c r="H495" s="25"/>
      <x:c r="I495" s="96" t="str">
        <x:f>IF($A495="","",$G495-$H495)</x:f>
      </x:c>
      <x:c r="J495" s="19"/>
      <x:c r="K495" s="19"/>
      <x:c r="L495" s="19"/>
      <x:c r="M495" s="26"/>
    </x:row>
    <x:row r="496">
      <x:c r="A496" s="19"/>
      <x:c r="B496" s="19"/>
      <x:c r="C496" s="19"/>
      <x:c r="D496" s="19"/>
      <x:c r="E496" s="26"/>
      <x:c r="F496" s="24"/>
      <x:c r="G496" s="96" t="str">
        <x:f>IF($A496="","",SUMIFS('QuotationItems'!$I$2:$I$500,'QuotationItems'!$B$2:$B$500,$A496))</x:f>
      </x:c>
      <x:c r="H496" s="25"/>
      <x:c r="I496" s="96" t="str">
        <x:f>IF($A496="","",$G496-$H496)</x:f>
      </x:c>
      <x:c r="J496" s="19"/>
      <x:c r="K496" s="19"/>
      <x:c r="L496" s="19"/>
      <x:c r="M496" s="26"/>
    </x:row>
    <x:row r="497">
      <x:c r="A497" s="19"/>
      <x:c r="B497" s="19"/>
      <x:c r="C497" s="19"/>
      <x:c r="D497" s="19"/>
      <x:c r="E497" s="26"/>
      <x:c r="F497" s="24"/>
      <x:c r="G497" s="96" t="str">
        <x:f>IF($A497="","",SUMIFS('QuotationItems'!$I$2:$I$500,'QuotationItems'!$B$2:$B$500,$A497))</x:f>
      </x:c>
      <x:c r="H497" s="25"/>
      <x:c r="I497" s="96" t="str">
        <x:f>IF($A497="","",$G497-$H497)</x:f>
      </x:c>
      <x:c r="J497" s="19"/>
      <x:c r="K497" s="19"/>
      <x:c r="L497" s="19"/>
      <x:c r="M497" s="26"/>
    </x:row>
    <x:row r="498">
      <x:c r="A498" s="19"/>
      <x:c r="B498" s="19"/>
      <x:c r="C498" s="19"/>
      <x:c r="D498" s="19"/>
      <x:c r="E498" s="26"/>
      <x:c r="F498" s="24"/>
      <x:c r="G498" s="96" t="str">
        <x:f>IF($A498="","",SUMIFS('QuotationItems'!$I$2:$I$500,'QuotationItems'!$B$2:$B$500,$A498))</x:f>
      </x:c>
      <x:c r="H498" s="25"/>
      <x:c r="I498" s="96" t="str">
        <x:f>IF($A498="","",$G498-$H498)</x:f>
      </x:c>
      <x:c r="J498" s="19"/>
      <x:c r="K498" s="19"/>
      <x:c r="L498" s="19"/>
      <x:c r="M498" s="26"/>
    </x:row>
    <x:row r="499">
      <x:c r="A499" s="19"/>
      <x:c r="B499" s="19"/>
      <x:c r="C499" s="19"/>
      <x:c r="D499" s="19"/>
      <x:c r="E499" s="26"/>
      <x:c r="F499" s="24"/>
      <x:c r="G499" s="96" t="str">
        <x:f>IF($A499="","",SUMIFS('QuotationItems'!$I$2:$I$500,'QuotationItems'!$B$2:$B$500,$A499))</x:f>
      </x:c>
      <x:c r="H499" s="25"/>
      <x:c r="I499" s="96" t="str">
        <x:f>IF($A499="","",$G499-$H499)</x:f>
      </x:c>
      <x:c r="J499" s="19"/>
      <x:c r="K499" s="19"/>
      <x:c r="L499" s="19"/>
      <x:c r="M499" s="26"/>
    </x:row>
    <x:row r="500">
      <x:c r="A500" s="19"/>
      <x:c r="B500" s="19"/>
      <x:c r="C500" s="19"/>
      <x:c r="D500" s="19"/>
      <x:c r="E500" s="26"/>
      <x:c r="F500" s="24"/>
      <x:c r="G500" s="96" t="str">
        <x:f>IF($A500="","",SUMIFS('QuotationItems'!$I$2:$I$500,'QuotationItems'!$B$2:$B$500,$A500))</x:f>
      </x:c>
      <x:c r="H500" s="25"/>
      <x:c r="I500" s="96" t="str">
        <x:f>IF($A500="","",$G500-$H500)</x:f>
      </x:c>
      <x:c r="J500" s="19"/>
      <x:c r="K500" s="19"/>
      <x:c r="L500" s="19"/>
      <x:c r="M500" s="26"/>
    </x:row>
  </x:sheetData>
  <x:conditionalFormatting sqref="B2:B500">
    <x:cfRule type="expression" dxfId="183" priority="1">
      <x:formula>AND($A2&lt;&gt;"",B2="")</x:formula>
    </x:cfRule>
  </x:conditionalFormatting>
  <x:conditionalFormatting sqref="C2:C500">
    <x:cfRule type="expression" dxfId="184" priority="2">
      <x:formula>AND($A2&lt;&gt;"",C2="")</x:formula>
    </x:cfRule>
  </x:conditionalFormatting>
  <x:conditionalFormatting sqref="D2:D500">
    <x:cfRule type="expression" dxfId="185" priority="3">
      <x:formula>AND($A2&lt;&gt;"",D2="")</x:formula>
    </x:cfRule>
  </x:conditionalFormatting>
  <x:conditionalFormatting sqref="E2:E500">
    <x:cfRule type="expression" dxfId="186" priority="4">
      <x:formula>AND($A2&lt;&gt;"",E2="")</x:formula>
    </x:cfRule>
  </x:conditionalFormatting>
  <x:conditionalFormatting sqref="F2:F500">
    <x:cfRule type="expression" dxfId="187" priority="5">
      <x:formula>AND($A2&lt;&gt;"",F2="")</x:formula>
    </x:cfRule>
  </x:conditionalFormatting>
  <x:conditionalFormatting sqref="H2:H500">
    <x:cfRule type="expression" dxfId="188" priority="6">
      <x:formula>AND($A2&lt;&gt;"",H2="")</x:formula>
    </x:cfRule>
  </x:conditionalFormatting>
  <x:conditionalFormatting sqref="J2:J500">
    <x:cfRule type="expression" dxfId="189" priority="7">
      <x:formula>AND($A2&lt;&gt;"",J2="")</x:formula>
    </x:cfRule>
  </x:conditionalFormatting>
  <x:conditionalFormatting sqref="L2:L500">
    <x:cfRule type="expression" dxfId="190" priority="8">
      <x:formula>AND($A2&lt;&gt;"",L2="")</x:formula>
    </x:cfRule>
  </x:conditionalFormatting>
  <x:conditionalFormatting sqref="M2:M500">
    <x:cfRule type="expression" dxfId="191" priority="9">
      <x:formula>AND($A2&lt;&gt;"",M2="")</x:formula>
    </x:cfRule>
  </x:conditionalFormatting>
  <x:dataValidations count="1">
    <x:dataValidation type="list" sqref="J2:J500">
      <x:formula1>"draft,sent,accepted,rejected,expired"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10c92aacee48fc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12" hidden="0" customWidth="1"/>
    <x:col min="6" max="6" width="12" hidden="0" customWidth="1"/>
    <x:col min="7" max="7" width="19" hidden="0" customWidth="1"/>
    <x:col min="8" max="8" width="17" hidden="0" customWidth="1"/>
    <x:col min="9" max="9" width="17" hidden="0" customWidth="1"/>
  </x:cols>
  <x:sheetData>
    <x:row r="1" ht="46" customHeight="1">
      <x:c r="A1" s="12" t="str">
        <x:v>شناسه قلم *
(item_id)</x:v>
      </x:c>
      <x:c r="B1" s="13" t="str">
        <x:v>پیش‌فاکتور *
(quotation_id)</x:v>
      </x:c>
      <x:c r="C1" s="13" t="str">
        <x:v>محصول *
(product_id)</x:v>
      </x:c>
      <x:c r="D1" s="13" t="str">
        <x:v>شرح
(description)</x:v>
      </x:c>
      <x:c r="E1" s="13" t="str">
        <x:v>تعداد *
(qty)</x:v>
      </x:c>
      <x:c r="F1" s="13" t="str">
        <x:v>واحد *
(unit)</x:v>
      </x:c>
      <x:c r="G1" s="13" t="str">
        <x:v>قیمت واحد (ریال) *
(unit_price)</x:v>
      </x:c>
      <x:c r="H1" s="13" t="str">
        <x:v>تخفیف (ریال) *
(discount_amount)</x:v>
      </x:c>
      <x:c r="I1" s="14" t="str">
        <x:v>جمع (ریال)
(total)</x:v>
      </x:c>
    </x:row>
    <x:row r="2">
      <x:c r="A2" s="28" t="str">
        <x:v>qitem_001</x:v>
      </x:c>
      <x:c r="B2" s="29" t="str">
        <x:v>quo_001</x:v>
      </x:c>
      <x:c r="C2" s="29" t="str">
        <x:v>prd_001</x:v>
      </x:c>
      <x:c r="D2" s="29" t="str">
        <x:v>محصول A</x:v>
      </x:c>
      <x:c r="E2" s="63" t="n">
        <x:v>20</x:v>
      </x:c>
      <x:c r="F2" s="29" t="str">
        <x:v>عدد</x:v>
      </x:c>
      <x:c r="G2" s="32" t="n">
        <x:v>26000000</x:v>
      </x:c>
      <x:c r="H2" s="32" t="n">
        <x:v>0</x:v>
      </x:c>
      <x:c r="I2" s="121" t="n">
        <x:f>IF($A2="","",$E2*$G2-$H2)</x:f>
        <x:v>520000000</x:v>
      </x:c>
    </x:row>
    <x:row r="3">
      <x:c r="A3" s="37" t="str">
        <x:v>qitem_002</x:v>
      </x:c>
      <x:c r="B3" s="38" t="str">
        <x:v>quo_002</x:v>
      </x:c>
      <x:c r="C3" s="38" t="str">
        <x:v>prd_001</x:v>
      </x:c>
      <x:c r="D3" s="38" t="str">
        <x:v>محصول A</x:v>
      </x:c>
      <x:c r="E3" s="64" t="n">
        <x:v>30</x:v>
      </x:c>
      <x:c r="F3" s="38" t="str">
        <x:v>عدد</x:v>
      </x:c>
      <x:c r="G3" s="41" t="n">
        <x:v>26000000</x:v>
      </x:c>
      <x:c r="H3" s="41" t="n">
        <x:v>0</x:v>
      </x:c>
      <x:c r="I3" s="122" t="n">
        <x:f>IF($A3="","",$E3*$G3-$H3)</x:f>
        <x:v>780000000</x:v>
      </x:c>
    </x:row>
    <x:row r="4">
      <x:c r="A4" s="37" t="str">
        <x:v>qitem_003</x:v>
      </x:c>
      <x:c r="B4" s="38" t="str">
        <x:v>quo_002</x:v>
      </x:c>
      <x:c r="C4" s="38" t="str">
        <x:v>prd_004</x:v>
      </x:c>
      <x:c r="D4" s="38" t="str">
        <x:v>خدمت نصب</x:v>
      </x:c>
      <x:c r="E4" s="64" t="n">
        <x:v>8</x:v>
      </x:c>
      <x:c r="F4" s="38" t="str">
        <x:v>خدمت</x:v>
      </x:c>
      <x:c r="G4" s="41" t="n">
        <x:v>15000000</x:v>
      </x:c>
      <x:c r="H4" s="41" t="n">
        <x:v>0</x:v>
      </x:c>
      <x:c r="I4" s="122" t="n">
        <x:f>IF($A4="","",$E4*$G4-$H4)</x:f>
        <x:v>120000000</x:v>
      </x:c>
    </x:row>
    <x:row r="5">
      <x:c r="A5" s="46" t="str">
        <x:v>qitem_004</x:v>
      </x:c>
      <x:c r="B5" s="47" t="str">
        <x:v>quo_003</x:v>
      </x:c>
      <x:c r="C5" s="47" t="str">
        <x:v>prd_003</x:v>
      </x:c>
      <x:c r="D5" s="47" t="str">
        <x:v>محصول C</x:v>
      </x:c>
      <x:c r="E5" s="65" t="n">
        <x:v>2</x:v>
      </x:c>
      <x:c r="F5" s="47" t="str">
        <x:v>عدد</x:v>
      </x:c>
      <x:c r="G5" s="50" t="n">
        <x:v>60000000</x:v>
      </x:c>
      <x:c r="H5" s="50" t="n">
        <x:v>0</x:v>
      </x:c>
      <x:c r="I5" s="123" t="n">
        <x:f>IF($A5="","",$E5*$G5-$H5)</x:f>
        <x:v>120000000</x:v>
      </x:c>
    </x:row>
    <x:row r="6">
      <x:c r="A6" s="19"/>
      <x:c r="B6" s="19"/>
      <x:c r="C6" s="19"/>
      <x:c r="D6" s="19"/>
      <x:c r="E6" s="62"/>
      <x:c r="F6" s="19"/>
      <x:c r="G6" s="25"/>
      <x:c r="H6" s="25"/>
      <x:c r="I6" s="96" t="str">
        <x:f>IF($A6="","",$E6*$G6-$H6)</x:f>
      </x:c>
    </x:row>
    <x:row r="7">
      <x:c r="A7" s="19"/>
      <x:c r="B7" s="19"/>
      <x:c r="C7" s="19"/>
      <x:c r="D7" s="19"/>
      <x:c r="E7" s="62"/>
      <x:c r="F7" s="19"/>
      <x:c r="G7" s="25"/>
      <x:c r="H7" s="25"/>
      <x:c r="I7" s="96" t="str">
        <x:f>IF($A7="","",$E7*$G7-$H7)</x:f>
      </x:c>
    </x:row>
    <x:row r="8">
      <x:c r="A8" s="19"/>
      <x:c r="B8" s="19"/>
      <x:c r="C8" s="19"/>
      <x:c r="D8" s="19"/>
      <x:c r="E8" s="62"/>
      <x:c r="F8" s="19"/>
      <x:c r="G8" s="25"/>
      <x:c r="H8" s="25"/>
      <x:c r="I8" s="96" t="str">
        <x:f>IF($A8="","",$E8*$G8-$H8)</x:f>
      </x:c>
    </x:row>
    <x:row r="9">
      <x:c r="A9" s="19"/>
      <x:c r="B9" s="19"/>
      <x:c r="C9" s="19"/>
      <x:c r="D9" s="19"/>
      <x:c r="E9" s="62"/>
      <x:c r="F9" s="19"/>
      <x:c r="G9" s="25"/>
      <x:c r="H9" s="25"/>
      <x:c r="I9" s="96" t="str">
        <x:f>IF($A9="","",$E9*$G9-$H9)</x:f>
      </x:c>
    </x:row>
    <x:row r="10">
      <x:c r="A10" s="19"/>
      <x:c r="B10" s="19"/>
      <x:c r="C10" s="19"/>
      <x:c r="D10" s="19"/>
      <x:c r="E10" s="62"/>
      <x:c r="F10" s="19"/>
      <x:c r="G10" s="25"/>
      <x:c r="H10" s="25"/>
      <x:c r="I10" s="96" t="str">
        <x:f>IF($A10="","",$E10*$G10-$H10)</x:f>
      </x:c>
    </x:row>
    <x:row r="11">
      <x:c r="A11" s="19"/>
      <x:c r="B11" s="19"/>
      <x:c r="C11" s="19"/>
      <x:c r="D11" s="19"/>
      <x:c r="E11" s="62"/>
      <x:c r="F11" s="19"/>
      <x:c r="G11" s="25"/>
      <x:c r="H11" s="25"/>
      <x:c r="I11" s="96" t="str">
        <x:f>IF($A11="","",$E11*$G11-$H11)</x:f>
      </x:c>
    </x:row>
    <x:row r="12">
      <x:c r="A12" s="19"/>
      <x:c r="B12" s="19"/>
      <x:c r="C12" s="19"/>
      <x:c r="D12" s="19"/>
      <x:c r="E12" s="62"/>
      <x:c r="F12" s="19"/>
      <x:c r="G12" s="25"/>
      <x:c r="H12" s="25"/>
      <x:c r="I12" s="96" t="str">
        <x:f>IF($A12="","",$E12*$G12-$H12)</x:f>
      </x:c>
    </x:row>
    <x:row r="13">
      <x:c r="A13" s="19"/>
      <x:c r="B13" s="19"/>
      <x:c r="C13" s="19"/>
      <x:c r="D13" s="19"/>
      <x:c r="E13" s="62"/>
      <x:c r="F13" s="19"/>
      <x:c r="G13" s="25"/>
      <x:c r="H13" s="25"/>
      <x:c r="I13" s="96" t="str">
        <x:f>IF($A13="","",$E13*$G13-$H13)</x:f>
      </x:c>
    </x:row>
    <x:row r="14">
      <x:c r="A14" s="19"/>
      <x:c r="B14" s="19"/>
      <x:c r="C14" s="19"/>
      <x:c r="D14" s="19"/>
      <x:c r="E14" s="62"/>
      <x:c r="F14" s="19"/>
      <x:c r="G14" s="25"/>
      <x:c r="H14" s="25"/>
      <x:c r="I14" s="96" t="str">
        <x:f>IF($A14="","",$E14*$G14-$H14)</x:f>
      </x:c>
    </x:row>
    <x:row r="15">
      <x:c r="A15" s="19"/>
      <x:c r="B15" s="19"/>
      <x:c r="C15" s="19"/>
      <x:c r="D15" s="19"/>
      <x:c r="E15" s="62"/>
      <x:c r="F15" s="19"/>
      <x:c r="G15" s="25"/>
      <x:c r="H15" s="25"/>
      <x:c r="I15" s="96" t="str">
        <x:f>IF($A15="","",$E15*$G15-$H15)</x:f>
      </x:c>
    </x:row>
    <x:row r="16">
      <x:c r="A16" s="19"/>
      <x:c r="B16" s="19"/>
      <x:c r="C16" s="19"/>
      <x:c r="D16" s="19"/>
      <x:c r="E16" s="62"/>
      <x:c r="F16" s="19"/>
      <x:c r="G16" s="25"/>
      <x:c r="H16" s="25"/>
      <x:c r="I16" s="96" t="str">
        <x:f>IF($A16="","",$E16*$G16-$H16)</x:f>
      </x:c>
    </x:row>
    <x:row r="17">
      <x:c r="A17" s="19"/>
      <x:c r="B17" s="19"/>
      <x:c r="C17" s="19"/>
      <x:c r="D17" s="19"/>
      <x:c r="E17" s="62"/>
      <x:c r="F17" s="19"/>
      <x:c r="G17" s="25"/>
      <x:c r="H17" s="25"/>
      <x:c r="I17" s="96" t="str">
        <x:f>IF($A17="","",$E17*$G17-$H17)</x:f>
      </x:c>
    </x:row>
    <x:row r="18">
      <x:c r="A18" s="19"/>
      <x:c r="B18" s="19"/>
      <x:c r="C18" s="19"/>
      <x:c r="D18" s="19"/>
      <x:c r="E18" s="62"/>
      <x:c r="F18" s="19"/>
      <x:c r="G18" s="25"/>
      <x:c r="H18" s="25"/>
      <x:c r="I18" s="96" t="str">
        <x:f>IF($A18="","",$E18*$G18-$H18)</x:f>
      </x:c>
    </x:row>
    <x:row r="19">
      <x:c r="A19" s="19"/>
      <x:c r="B19" s="19"/>
      <x:c r="C19" s="19"/>
      <x:c r="D19" s="19"/>
      <x:c r="E19" s="62"/>
      <x:c r="F19" s="19"/>
      <x:c r="G19" s="25"/>
      <x:c r="H19" s="25"/>
      <x:c r="I19" s="96" t="str">
        <x:f>IF($A19="","",$E19*$G19-$H19)</x:f>
      </x:c>
    </x:row>
    <x:row r="20">
      <x:c r="A20" s="19"/>
      <x:c r="B20" s="19"/>
      <x:c r="C20" s="19"/>
      <x:c r="D20" s="19"/>
      <x:c r="E20" s="62"/>
      <x:c r="F20" s="19"/>
      <x:c r="G20" s="25"/>
      <x:c r="H20" s="25"/>
      <x:c r="I20" s="96" t="str">
        <x:f>IF($A20="","",$E20*$G20-$H20)</x:f>
      </x:c>
    </x:row>
    <x:row r="21">
      <x:c r="A21" s="19"/>
      <x:c r="B21" s="19"/>
      <x:c r="C21" s="19"/>
      <x:c r="D21" s="19"/>
      <x:c r="E21" s="62"/>
      <x:c r="F21" s="19"/>
      <x:c r="G21" s="25"/>
      <x:c r="H21" s="25"/>
      <x:c r="I21" s="96" t="str">
        <x:f>IF($A21="","",$E21*$G21-$H21)</x:f>
      </x:c>
    </x:row>
    <x:row r="22">
      <x:c r="A22" s="19"/>
      <x:c r="B22" s="19"/>
      <x:c r="C22" s="19"/>
      <x:c r="D22" s="19"/>
      <x:c r="E22" s="62"/>
      <x:c r="F22" s="19"/>
      <x:c r="G22" s="25"/>
      <x:c r="H22" s="25"/>
      <x:c r="I22" s="96" t="str">
        <x:f>IF($A22="","",$E22*$G22-$H22)</x:f>
      </x:c>
    </x:row>
    <x:row r="23">
      <x:c r="A23" s="19"/>
      <x:c r="B23" s="19"/>
      <x:c r="C23" s="19"/>
      <x:c r="D23" s="19"/>
      <x:c r="E23" s="62"/>
      <x:c r="F23" s="19"/>
      <x:c r="G23" s="25"/>
      <x:c r="H23" s="25"/>
      <x:c r="I23" s="96" t="str">
        <x:f>IF($A23="","",$E23*$G23-$H23)</x:f>
      </x:c>
    </x:row>
    <x:row r="24">
      <x:c r="A24" s="19"/>
      <x:c r="B24" s="19"/>
      <x:c r="C24" s="19"/>
      <x:c r="D24" s="19"/>
      <x:c r="E24" s="62"/>
      <x:c r="F24" s="19"/>
      <x:c r="G24" s="25"/>
      <x:c r="H24" s="25"/>
      <x:c r="I24" s="96" t="str">
        <x:f>IF($A24="","",$E24*$G24-$H24)</x:f>
      </x:c>
    </x:row>
    <x:row r="25">
      <x:c r="A25" s="19"/>
      <x:c r="B25" s="19"/>
      <x:c r="C25" s="19"/>
      <x:c r="D25" s="19"/>
      <x:c r="E25" s="62"/>
      <x:c r="F25" s="19"/>
      <x:c r="G25" s="25"/>
      <x:c r="H25" s="25"/>
      <x:c r="I25" s="96" t="str">
        <x:f>IF($A25="","",$E25*$G25-$H25)</x:f>
      </x:c>
    </x:row>
    <x:row r="26">
      <x:c r="A26" s="19"/>
      <x:c r="B26" s="19"/>
      <x:c r="C26" s="19"/>
      <x:c r="D26" s="19"/>
      <x:c r="E26" s="62"/>
      <x:c r="F26" s="19"/>
      <x:c r="G26" s="25"/>
      <x:c r="H26" s="25"/>
      <x:c r="I26" s="96" t="str">
        <x:f>IF($A26="","",$E26*$G26-$H26)</x:f>
      </x:c>
    </x:row>
    <x:row r="27">
      <x:c r="A27" s="19"/>
      <x:c r="B27" s="19"/>
      <x:c r="C27" s="19"/>
      <x:c r="D27" s="19"/>
      <x:c r="E27" s="62"/>
      <x:c r="F27" s="19"/>
      <x:c r="G27" s="25"/>
      <x:c r="H27" s="25"/>
      <x:c r="I27" s="96" t="str">
        <x:f>IF($A27="","",$E27*$G27-$H27)</x:f>
      </x:c>
    </x:row>
    <x:row r="28">
      <x:c r="A28" s="19"/>
      <x:c r="B28" s="19"/>
      <x:c r="C28" s="19"/>
      <x:c r="D28" s="19"/>
      <x:c r="E28" s="62"/>
      <x:c r="F28" s="19"/>
      <x:c r="G28" s="25"/>
      <x:c r="H28" s="25"/>
      <x:c r="I28" s="96" t="str">
        <x:f>IF($A28="","",$E28*$G28-$H28)</x:f>
      </x:c>
    </x:row>
    <x:row r="29">
      <x:c r="A29" s="19"/>
      <x:c r="B29" s="19"/>
      <x:c r="C29" s="19"/>
      <x:c r="D29" s="19"/>
      <x:c r="E29" s="62"/>
      <x:c r="F29" s="19"/>
      <x:c r="G29" s="25"/>
      <x:c r="H29" s="25"/>
      <x:c r="I29" s="96" t="str">
        <x:f>IF($A29="","",$E29*$G29-$H29)</x:f>
      </x:c>
    </x:row>
    <x:row r="30">
      <x:c r="A30" s="19"/>
      <x:c r="B30" s="19"/>
      <x:c r="C30" s="19"/>
      <x:c r="D30" s="19"/>
      <x:c r="E30" s="62"/>
      <x:c r="F30" s="19"/>
      <x:c r="G30" s="25"/>
      <x:c r="H30" s="25"/>
      <x:c r="I30" s="96" t="str">
        <x:f>IF($A30="","",$E30*$G30-$H30)</x:f>
      </x:c>
    </x:row>
    <x:row r="31">
      <x:c r="A31" s="19"/>
      <x:c r="B31" s="19"/>
      <x:c r="C31" s="19"/>
      <x:c r="D31" s="19"/>
      <x:c r="E31" s="62"/>
      <x:c r="F31" s="19"/>
      <x:c r="G31" s="25"/>
      <x:c r="H31" s="25"/>
      <x:c r="I31" s="96" t="str">
        <x:f>IF($A31="","",$E31*$G31-$H31)</x:f>
      </x:c>
    </x:row>
    <x:row r="32">
      <x:c r="A32" s="19"/>
      <x:c r="B32" s="19"/>
      <x:c r="C32" s="19"/>
      <x:c r="D32" s="19"/>
      <x:c r="E32" s="62"/>
      <x:c r="F32" s="19"/>
      <x:c r="G32" s="25"/>
      <x:c r="H32" s="25"/>
      <x:c r="I32" s="96" t="str">
        <x:f>IF($A32="","",$E32*$G32-$H32)</x:f>
      </x:c>
    </x:row>
    <x:row r="33">
      <x:c r="A33" s="19"/>
      <x:c r="B33" s="19"/>
      <x:c r="C33" s="19"/>
      <x:c r="D33" s="19"/>
      <x:c r="E33" s="62"/>
      <x:c r="F33" s="19"/>
      <x:c r="G33" s="25"/>
      <x:c r="H33" s="25"/>
      <x:c r="I33" s="96" t="str">
        <x:f>IF($A33="","",$E33*$G33-$H33)</x:f>
      </x:c>
    </x:row>
    <x:row r="34">
      <x:c r="A34" s="19"/>
      <x:c r="B34" s="19"/>
      <x:c r="C34" s="19"/>
      <x:c r="D34" s="19"/>
      <x:c r="E34" s="62"/>
      <x:c r="F34" s="19"/>
      <x:c r="G34" s="25"/>
      <x:c r="H34" s="25"/>
      <x:c r="I34" s="96" t="str">
        <x:f>IF($A34="","",$E34*$G34-$H34)</x:f>
      </x:c>
    </x:row>
    <x:row r="35">
      <x:c r="A35" s="19"/>
      <x:c r="B35" s="19"/>
      <x:c r="C35" s="19"/>
      <x:c r="D35" s="19"/>
      <x:c r="E35" s="62"/>
      <x:c r="F35" s="19"/>
      <x:c r="G35" s="25"/>
      <x:c r="H35" s="25"/>
      <x:c r="I35" s="96" t="str">
        <x:f>IF($A35="","",$E35*$G35-$H35)</x:f>
      </x:c>
    </x:row>
    <x:row r="36">
      <x:c r="A36" s="19"/>
      <x:c r="B36" s="19"/>
      <x:c r="C36" s="19"/>
      <x:c r="D36" s="19"/>
      <x:c r="E36" s="62"/>
      <x:c r="F36" s="19"/>
      <x:c r="G36" s="25"/>
      <x:c r="H36" s="25"/>
      <x:c r="I36" s="96" t="str">
        <x:f>IF($A36="","",$E36*$G36-$H36)</x:f>
      </x:c>
    </x:row>
    <x:row r="37">
      <x:c r="A37" s="19"/>
      <x:c r="B37" s="19"/>
      <x:c r="C37" s="19"/>
      <x:c r="D37" s="19"/>
      <x:c r="E37" s="62"/>
      <x:c r="F37" s="19"/>
      <x:c r="G37" s="25"/>
      <x:c r="H37" s="25"/>
      <x:c r="I37" s="96" t="str">
        <x:f>IF($A37="","",$E37*$G37-$H37)</x:f>
      </x:c>
    </x:row>
    <x:row r="38">
      <x:c r="A38" s="19"/>
      <x:c r="B38" s="19"/>
      <x:c r="C38" s="19"/>
      <x:c r="D38" s="19"/>
      <x:c r="E38" s="62"/>
      <x:c r="F38" s="19"/>
      <x:c r="G38" s="25"/>
      <x:c r="H38" s="25"/>
      <x:c r="I38" s="96" t="str">
        <x:f>IF($A38="","",$E38*$G38-$H38)</x:f>
      </x:c>
    </x:row>
    <x:row r="39">
      <x:c r="A39" s="19"/>
      <x:c r="B39" s="19"/>
      <x:c r="C39" s="19"/>
      <x:c r="D39" s="19"/>
      <x:c r="E39" s="62"/>
      <x:c r="F39" s="19"/>
      <x:c r="G39" s="25"/>
      <x:c r="H39" s="25"/>
      <x:c r="I39" s="96" t="str">
        <x:f>IF($A39="","",$E39*$G39-$H39)</x:f>
      </x:c>
    </x:row>
    <x:row r="40">
      <x:c r="A40" s="19"/>
      <x:c r="B40" s="19"/>
      <x:c r="C40" s="19"/>
      <x:c r="D40" s="19"/>
      <x:c r="E40" s="62"/>
      <x:c r="F40" s="19"/>
      <x:c r="G40" s="25"/>
      <x:c r="H40" s="25"/>
      <x:c r="I40" s="96" t="str">
        <x:f>IF($A40="","",$E40*$G40-$H40)</x:f>
      </x:c>
    </x:row>
    <x:row r="41">
      <x:c r="A41" s="19"/>
      <x:c r="B41" s="19"/>
      <x:c r="C41" s="19"/>
      <x:c r="D41" s="19"/>
      <x:c r="E41" s="62"/>
      <x:c r="F41" s="19"/>
      <x:c r="G41" s="25"/>
      <x:c r="H41" s="25"/>
      <x:c r="I41" s="96" t="str">
        <x:f>IF($A41="","",$E41*$G41-$H41)</x:f>
      </x:c>
    </x:row>
    <x:row r="42">
      <x:c r="A42" s="19"/>
      <x:c r="B42" s="19"/>
      <x:c r="C42" s="19"/>
      <x:c r="D42" s="19"/>
      <x:c r="E42" s="62"/>
      <x:c r="F42" s="19"/>
      <x:c r="G42" s="25"/>
      <x:c r="H42" s="25"/>
      <x:c r="I42" s="96" t="str">
        <x:f>IF($A42="","",$E42*$G42-$H42)</x:f>
      </x:c>
    </x:row>
    <x:row r="43">
      <x:c r="A43" s="19"/>
      <x:c r="B43" s="19"/>
      <x:c r="C43" s="19"/>
      <x:c r="D43" s="19"/>
      <x:c r="E43" s="62"/>
      <x:c r="F43" s="19"/>
      <x:c r="G43" s="25"/>
      <x:c r="H43" s="25"/>
      <x:c r="I43" s="96" t="str">
        <x:f>IF($A43="","",$E43*$G43-$H43)</x:f>
      </x:c>
    </x:row>
    <x:row r="44">
      <x:c r="A44" s="19"/>
      <x:c r="B44" s="19"/>
      <x:c r="C44" s="19"/>
      <x:c r="D44" s="19"/>
      <x:c r="E44" s="62"/>
      <x:c r="F44" s="19"/>
      <x:c r="G44" s="25"/>
      <x:c r="H44" s="25"/>
      <x:c r="I44" s="96" t="str">
        <x:f>IF($A44="","",$E44*$G44-$H44)</x:f>
      </x:c>
    </x:row>
    <x:row r="45">
      <x:c r="A45" s="19"/>
      <x:c r="B45" s="19"/>
      <x:c r="C45" s="19"/>
      <x:c r="D45" s="19"/>
      <x:c r="E45" s="62"/>
      <x:c r="F45" s="19"/>
      <x:c r="G45" s="25"/>
      <x:c r="H45" s="25"/>
      <x:c r="I45" s="96" t="str">
        <x:f>IF($A45="","",$E45*$G45-$H45)</x:f>
      </x:c>
    </x:row>
    <x:row r="46">
      <x:c r="A46" s="19"/>
      <x:c r="B46" s="19"/>
      <x:c r="C46" s="19"/>
      <x:c r="D46" s="19"/>
      <x:c r="E46" s="62"/>
      <x:c r="F46" s="19"/>
      <x:c r="G46" s="25"/>
      <x:c r="H46" s="25"/>
      <x:c r="I46" s="96" t="str">
        <x:f>IF($A46="","",$E46*$G46-$H46)</x:f>
      </x:c>
    </x:row>
    <x:row r="47">
      <x:c r="A47" s="19"/>
      <x:c r="B47" s="19"/>
      <x:c r="C47" s="19"/>
      <x:c r="D47" s="19"/>
      <x:c r="E47" s="62"/>
      <x:c r="F47" s="19"/>
      <x:c r="G47" s="25"/>
      <x:c r="H47" s="25"/>
      <x:c r="I47" s="96" t="str">
        <x:f>IF($A47="","",$E47*$G47-$H47)</x:f>
      </x:c>
    </x:row>
    <x:row r="48">
      <x:c r="A48" s="19"/>
      <x:c r="B48" s="19"/>
      <x:c r="C48" s="19"/>
      <x:c r="D48" s="19"/>
      <x:c r="E48" s="62"/>
      <x:c r="F48" s="19"/>
      <x:c r="G48" s="25"/>
      <x:c r="H48" s="25"/>
      <x:c r="I48" s="96" t="str">
        <x:f>IF($A48="","",$E48*$G48-$H48)</x:f>
      </x:c>
    </x:row>
    <x:row r="49">
      <x:c r="A49" s="19"/>
      <x:c r="B49" s="19"/>
      <x:c r="C49" s="19"/>
      <x:c r="D49" s="19"/>
      <x:c r="E49" s="62"/>
      <x:c r="F49" s="19"/>
      <x:c r="G49" s="25"/>
      <x:c r="H49" s="25"/>
      <x:c r="I49" s="96" t="str">
        <x:f>IF($A49="","",$E49*$G49-$H49)</x:f>
      </x:c>
    </x:row>
    <x:row r="50">
      <x:c r="A50" s="19"/>
      <x:c r="B50" s="19"/>
      <x:c r="C50" s="19"/>
      <x:c r="D50" s="19"/>
      <x:c r="E50" s="62"/>
      <x:c r="F50" s="19"/>
      <x:c r="G50" s="25"/>
      <x:c r="H50" s="25"/>
      <x:c r="I50" s="96" t="str">
        <x:f>IF($A50="","",$E50*$G50-$H50)</x:f>
      </x:c>
    </x:row>
    <x:row r="51">
      <x:c r="A51" s="19"/>
      <x:c r="B51" s="19"/>
      <x:c r="C51" s="19"/>
      <x:c r="D51" s="19"/>
      <x:c r="E51" s="62"/>
      <x:c r="F51" s="19"/>
      <x:c r="G51" s="25"/>
      <x:c r="H51" s="25"/>
      <x:c r="I51" s="96" t="str">
        <x:f>IF($A51="","",$E51*$G51-$H51)</x:f>
      </x:c>
    </x:row>
    <x:row r="52">
      <x:c r="A52" s="19"/>
      <x:c r="B52" s="19"/>
      <x:c r="C52" s="19"/>
      <x:c r="D52" s="19"/>
      <x:c r="E52" s="62"/>
      <x:c r="F52" s="19"/>
      <x:c r="G52" s="25"/>
      <x:c r="H52" s="25"/>
      <x:c r="I52" s="96" t="str">
        <x:f>IF($A52="","",$E52*$G52-$H52)</x:f>
      </x:c>
    </x:row>
    <x:row r="53">
      <x:c r="A53" s="19"/>
      <x:c r="B53" s="19"/>
      <x:c r="C53" s="19"/>
      <x:c r="D53" s="19"/>
      <x:c r="E53" s="62"/>
      <x:c r="F53" s="19"/>
      <x:c r="G53" s="25"/>
      <x:c r="H53" s="25"/>
      <x:c r="I53" s="96" t="str">
        <x:f>IF($A53="","",$E53*$G53-$H53)</x:f>
      </x:c>
    </x:row>
    <x:row r="54">
      <x:c r="A54" s="19"/>
      <x:c r="B54" s="19"/>
      <x:c r="C54" s="19"/>
      <x:c r="D54" s="19"/>
      <x:c r="E54" s="62"/>
      <x:c r="F54" s="19"/>
      <x:c r="G54" s="25"/>
      <x:c r="H54" s="25"/>
      <x:c r="I54" s="96" t="str">
        <x:f>IF($A54="","",$E54*$G54-$H54)</x:f>
      </x:c>
    </x:row>
    <x:row r="55">
      <x:c r="A55" s="19"/>
      <x:c r="B55" s="19"/>
      <x:c r="C55" s="19"/>
      <x:c r="D55" s="19"/>
      <x:c r="E55" s="62"/>
      <x:c r="F55" s="19"/>
      <x:c r="G55" s="25"/>
      <x:c r="H55" s="25"/>
      <x:c r="I55" s="96" t="str">
        <x:f>IF($A55="","",$E55*$G55-$H55)</x:f>
      </x:c>
    </x:row>
    <x:row r="56">
      <x:c r="A56" s="19"/>
      <x:c r="B56" s="19"/>
      <x:c r="C56" s="19"/>
      <x:c r="D56" s="19"/>
      <x:c r="E56" s="62"/>
      <x:c r="F56" s="19"/>
      <x:c r="G56" s="25"/>
      <x:c r="H56" s="25"/>
      <x:c r="I56" s="96" t="str">
        <x:f>IF($A56="","",$E56*$G56-$H56)</x:f>
      </x:c>
    </x:row>
    <x:row r="57">
      <x:c r="A57" s="19"/>
      <x:c r="B57" s="19"/>
      <x:c r="C57" s="19"/>
      <x:c r="D57" s="19"/>
      <x:c r="E57" s="62"/>
      <x:c r="F57" s="19"/>
      <x:c r="G57" s="25"/>
      <x:c r="H57" s="25"/>
      <x:c r="I57" s="96" t="str">
        <x:f>IF($A57="","",$E57*$G57-$H57)</x:f>
      </x:c>
    </x:row>
    <x:row r="58">
      <x:c r="A58" s="19"/>
      <x:c r="B58" s="19"/>
      <x:c r="C58" s="19"/>
      <x:c r="D58" s="19"/>
      <x:c r="E58" s="62"/>
      <x:c r="F58" s="19"/>
      <x:c r="G58" s="25"/>
      <x:c r="H58" s="25"/>
      <x:c r="I58" s="96" t="str">
        <x:f>IF($A58="","",$E58*$G58-$H58)</x:f>
      </x:c>
    </x:row>
    <x:row r="59">
      <x:c r="A59" s="19"/>
      <x:c r="B59" s="19"/>
      <x:c r="C59" s="19"/>
      <x:c r="D59" s="19"/>
      <x:c r="E59" s="62"/>
      <x:c r="F59" s="19"/>
      <x:c r="G59" s="25"/>
      <x:c r="H59" s="25"/>
      <x:c r="I59" s="96" t="str">
        <x:f>IF($A59="","",$E59*$G59-$H59)</x:f>
      </x:c>
    </x:row>
    <x:row r="60">
      <x:c r="A60" s="19"/>
      <x:c r="B60" s="19"/>
      <x:c r="C60" s="19"/>
      <x:c r="D60" s="19"/>
      <x:c r="E60" s="62"/>
      <x:c r="F60" s="19"/>
      <x:c r="G60" s="25"/>
      <x:c r="H60" s="25"/>
      <x:c r="I60" s="96" t="str">
        <x:f>IF($A60="","",$E60*$G60-$H60)</x:f>
      </x:c>
    </x:row>
    <x:row r="61">
      <x:c r="A61" s="19"/>
      <x:c r="B61" s="19"/>
      <x:c r="C61" s="19"/>
      <x:c r="D61" s="19"/>
      <x:c r="E61" s="62"/>
      <x:c r="F61" s="19"/>
      <x:c r="G61" s="25"/>
      <x:c r="H61" s="25"/>
      <x:c r="I61" s="96" t="str">
        <x:f>IF($A61="","",$E61*$G61-$H61)</x:f>
      </x:c>
    </x:row>
    <x:row r="62">
      <x:c r="A62" s="19"/>
      <x:c r="B62" s="19"/>
      <x:c r="C62" s="19"/>
      <x:c r="D62" s="19"/>
      <x:c r="E62" s="62"/>
      <x:c r="F62" s="19"/>
      <x:c r="G62" s="25"/>
      <x:c r="H62" s="25"/>
      <x:c r="I62" s="96" t="str">
        <x:f>IF($A62="","",$E62*$G62-$H62)</x:f>
      </x:c>
    </x:row>
    <x:row r="63">
      <x:c r="A63" s="19"/>
      <x:c r="B63" s="19"/>
      <x:c r="C63" s="19"/>
      <x:c r="D63" s="19"/>
      <x:c r="E63" s="62"/>
      <x:c r="F63" s="19"/>
      <x:c r="G63" s="25"/>
      <x:c r="H63" s="25"/>
      <x:c r="I63" s="96" t="str">
        <x:f>IF($A63="","",$E63*$G63-$H63)</x:f>
      </x:c>
    </x:row>
    <x:row r="64">
      <x:c r="A64" s="19"/>
      <x:c r="B64" s="19"/>
      <x:c r="C64" s="19"/>
      <x:c r="D64" s="19"/>
      <x:c r="E64" s="62"/>
      <x:c r="F64" s="19"/>
      <x:c r="G64" s="25"/>
      <x:c r="H64" s="25"/>
      <x:c r="I64" s="96" t="str">
        <x:f>IF($A64="","",$E64*$G64-$H64)</x:f>
      </x:c>
    </x:row>
    <x:row r="65">
      <x:c r="A65" s="19"/>
      <x:c r="B65" s="19"/>
      <x:c r="C65" s="19"/>
      <x:c r="D65" s="19"/>
      <x:c r="E65" s="62"/>
      <x:c r="F65" s="19"/>
      <x:c r="G65" s="25"/>
      <x:c r="H65" s="25"/>
      <x:c r="I65" s="96" t="str">
        <x:f>IF($A65="","",$E65*$G65-$H65)</x:f>
      </x:c>
    </x:row>
    <x:row r="66">
      <x:c r="A66" s="19"/>
      <x:c r="B66" s="19"/>
      <x:c r="C66" s="19"/>
      <x:c r="D66" s="19"/>
      <x:c r="E66" s="62"/>
      <x:c r="F66" s="19"/>
      <x:c r="G66" s="25"/>
      <x:c r="H66" s="25"/>
      <x:c r="I66" s="96" t="str">
        <x:f>IF($A66="","",$E66*$G66-$H66)</x:f>
      </x:c>
    </x:row>
    <x:row r="67">
      <x:c r="A67" s="19"/>
      <x:c r="B67" s="19"/>
      <x:c r="C67" s="19"/>
      <x:c r="D67" s="19"/>
      <x:c r="E67" s="62"/>
      <x:c r="F67" s="19"/>
      <x:c r="G67" s="25"/>
      <x:c r="H67" s="25"/>
      <x:c r="I67" s="96" t="str">
        <x:f>IF($A67="","",$E67*$G67-$H67)</x:f>
      </x:c>
    </x:row>
    <x:row r="68">
      <x:c r="A68" s="19"/>
      <x:c r="B68" s="19"/>
      <x:c r="C68" s="19"/>
      <x:c r="D68" s="19"/>
      <x:c r="E68" s="62"/>
      <x:c r="F68" s="19"/>
      <x:c r="G68" s="25"/>
      <x:c r="H68" s="25"/>
      <x:c r="I68" s="96" t="str">
        <x:f>IF($A68="","",$E68*$G68-$H68)</x:f>
      </x:c>
    </x:row>
    <x:row r="69">
      <x:c r="A69" s="19"/>
      <x:c r="B69" s="19"/>
      <x:c r="C69" s="19"/>
      <x:c r="D69" s="19"/>
      <x:c r="E69" s="62"/>
      <x:c r="F69" s="19"/>
      <x:c r="G69" s="25"/>
      <x:c r="H69" s="25"/>
      <x:c r="I69" s="96" t="str">
        <x:f>IF($A69="","",$E69*$G69-$H69)</x:f>
      </x:c>
    </x:row>
    <x:row r="70">
      <x:c r="A70" s="19"/>
      <x:c r="B70" s="19"/>
      <x:c r="C70" s="19"/>
      <x:c r="D70" s="19"/>
      <x:c r="E70" s="62"/>
      <x:c r="F70" s="19"/>
      <x:c r="G70" s="25"/>
      <x:c r="H70" s="25"/>
      <x:c r="I70" s="96" t="str">
        <x:f>IF($A70="","",$E70*$G70-$H70)</x:f>
      </x:c>
    </x:row>
    <x:row r="71">
      <x:c r="A71" s="19"/>
      <x:c r="B71" s="19"/>
      <x:c r="C71" s="19"/>
      <x:c r="D71" s="19"/>
      <x:c r="E71" s="62"/>
      <x:c r="F71" s="19"/>
      <x:c r="G71" s="25"/>
      <x:c r="H71" s="25"/>
      <x:c r="I71" s="96" t="str">
        <x:f>IF($A71="","",$E71*$G71-$H71)</x:f>
      </x:c>
    </x:row>
    <x:row r="72">
      <x:c r="A72" s="19"/>
      <x:c r="B72" s="19"/>
      <x:c r="C72" s="19"/>
      <x:c r="D72" s="19"/>
      <x:c r="E72" s="62"/>
      <x:c r="F72" s="19"/>
      <x:c r="G72" s="25"/>
      <x:c r="H72" s="25"/>
      <x:c r="I72" s="96" t="str">
        <x:f>IF($A72="","",$E72*$G72-$H72)</x:f>
      </x:c>
    </x:row>
    <x:row r="73">
      <x:c r="A73" s="19"/>
      <x:c r="B73" s="19"/>
      <x:c r="C73" s="19"/>
      <x:c r="D73" s="19"/>
      <x:c r="E73" s="62"/>
      <x:c r="F73" s="19"/>
      <x:c r="G73" s="25"/>
      <x:c r="H73" s="25"/>
      <x:c r="I73" s="96" t="str">
        <x:f>IF($A73="","",$E73*$G73-$H73)</x:f>
      </x:c>
    </x:row>
    <x:row r="74">
      <x:c r="A74" s="19"/>
      <x:c r="B74" s="19"/>
      <x:c r="C74" s="19"/>
      <x:c r="D74" s="19"/>
      <x:c r="E74" s="62"/>
      <x:c r="F74" s="19"/>
      <x:c r="G74" s="25"/>
      <x:c r="H74" s="25"/>
      <x:c r="I74" s="96" t="str">
        <x:f>IF($A74="","",$E74*$G74-$H74)</x:f>
      </x:c>
    </x:row>
    <x:row r="75">
      <x:c r="A75" s="19"/>
      <x:c r="B75" s="19"/>
      <x:c r="C75" s="19"/>
      <x:c r="D75" s="19"/>
      <x:c r="E75" s="62"/>
      <x:c r="F75" s="19"/>
      <x:c r="G75" s="25"/>
      <x:c r="H75" s="25"/>
      <x:c r="I75" s="96" t="str">
        <x:f>IF($A75="","",$E75*$G75-$H75)</x:f>
      </x:c>
    </x:row>
    <x:row r="76">
      <x:c r="A76" s="19"/>
      <x:c r="B76" s="19"/>
      <x:c r="C76" s="19"/>
      <x:c r="D76" s="19"/>
      <x:c r="E76" s="62"/>
      <x:c r="F76" s="19"/>
      <x:c r="G76" s="25"/>
      <x:c r="H76" s="25"/>
      <x:c r="I76" s="96" t="str">
        <x:f>IF($A76="","",$E76*$G76-$H76)</x:f>
      </x:c>
    </x:row>
    <x:row r="77">
      <x:c r="A77" s="19"/>
      <x:c r="B77" s="19"/>
      <x:c r="C77" s="19"/>
      <x:c r="D77" s="19"/>
      <x:c r="E77" s="62"/>
      <x:c r="F77" s="19"/>
      <x:c r="G77" s="25"/>
      <x:c r="H77" s="25"/>
      <x:c r="I77" s="96" t="str">
        <x:f>IF($A77="","",$E77*$G77-$H77)</x:f>
      </x:c>
    </x:row>
    <x:row r="78">
      <x:c r="A78" s="19"/>
      <x:c r="B78" s="19"/>
      <x:c r="C78" s="19"/>
      <x:c r="D78" s="19"/>
      <x:c r="E78" s="62"/>
      <x:c r="F78" s="19"/>
      <x:c r="G78" s="25"/>
      <x:c r="H78" s="25"/>
      <x:c r="I78" s="96" t="str">
        <x:f>IF($A78="","",$E78*$G78-$H78)</x:f>
      </x:c>
    </x:row>
    <x:row r="79">
      <x:c r="A79" s="19"/>
      <x:c r="B79" s="19"/>
      <x:c r="C79" s="19"/>
      <x:c r="D79" s="19"/>
      <x:c r="E79" s="62"/>
      <x:c r="F79" s="19"/>
      <x:c r="G79" s="25"/>
      <x:c r="H79" s="25"/>
      <x:c r="I79" s="96" t="str">
        <x:f>IF($A79="","",$E79*$G79-$H79)</x:f>
      </x:c>
    </x:row>
    <x:row r="80">
      <x:c r="A80" s="19"/>
      <x:c r="B80" s="19"/>
      <x:c r="C80" s="19"/>
      <x:c r="D80" s="19"/>
      <x:c r="E80" s="62"/>
      <x:c r="F80" s="19"/>
      <x:c r="G80" s="25"/>
      <x:c r="H80" s="25"/>
      <x:c r="I80" s="96" t="str">
        <x:f>IF($A80="","",$E80*$G80-$H80)</x:f>
      </x:c>
    </x:row>
    <x:row r="81">
      <x:c r="A81" s="19"/>
      <x:c r="B81" s="19"/>
      <x:c r="C81" s="19"/>
      <x:c r="D81" s="19"/>
      <x:c r="E81" s="62"/>
      <x:c r="F81" s="19"/>
      <x:c r="G81" s="25"/>
      <x:c r="H81" s="25"/>
      <x:c r="I81" s="96" t="str">
        <x:f>IF($A81="","",$E81*$G81-$H81)</x:f>
      </x:c>
    </x:row>
    <x:row r="82">
      <x:c r="A82" s="19"/>
      <x:c r="B82" s="19"/>
      <x:c r="C82" s="19"/>
      <x:c r="D82" s="19"/>
      <x:c r="E82" s="62"/>
      <x:c r="F82" s="19"/>
      <x:c r="G82" s="25"/>
      <x:c r="H82" s="25"/>
      <x:c r="I82" s="96" t="str">
        <x:f>IF($A82="","",$E82*$G82-$H82)</x:f>
      </x:c>
    </x:row>
    <x:row r="83">
      <x:c r="A83" s="19"/>
      <x:c r="B83" s="19"/>
      <x:c r="C83" s="19"/>
      <x:c r="D83" s="19"/>
      <x:c r="E83" s="62"/>
      <x:c r="F83" s="19"/>
      <x:c r="G83" s="25"/>
      <x:c r="H83" s="25"/>
      <x:c r="I83" s="96" t="str">
        <x:f>IF($A83="","",$E83*$G83-$H83)</x:f>
      </x:c>
    </x:row>
    <x:row r="84">
      <x:c r="A84" s="19"/>
      <x:c r="B84" s="19"/>
      <x:c r="C84" s="19"/>
      <x:c r="D84" s="19"/>
      <x:c r="E84" s="62"/>
      <x:c r="F84" s="19"/>
      <x:c r="G84" s="25"/>
      <x:c r="H84" s="25"/>
      <x:c r="I84" s="96" t="str">
        <x:f>IF($A84="","",$E84*$G84-$H84)</x:f>
      </x:c>
    </x:row>
    <x:row r="85">
      <x:c r="A85" s="19"/>
      <x:c r="B85" s="19"/>
      <x:c r="C85" s="19"/>
      <x:c r="D85" s="19"/>
      <x:c r="E85" s="62"/>
      <x:c r="F85" s="19"/>
      <x:c r="G85" s="25"/>
      <x:c r="H85" s="25"/>
      <x:c r="I85" s="96" t="str">
        <x:f>IF($A85="","",$E85*$G85-$H85)</x:f>
      </x:c>
    </x:row>
    <x:row r="86">
      <x:c r="A86" s="19"/>
      <x:c r="B86" s="19"/>
      <x:c r="C86" s="19"/>
      <x:c r="D86" s="19"/>
      <x:c r="E86" s="62"/>
      <x:c r="F86" s="19"/>
      <x:c r="G86" s="25"/>
      <x:c r="H86" s="25"/>
      <x:c r="I86" s="96" t="str">
        <x:f>IF($A86="","",$E86*$G86-$H86)</x:f>
      </x:c>
    </x:row>
    <x:row r="87">
      <x:c r="A87" s="19"/>
      <x:c r="B87" s="19"/>
      <x:c r="C87" s="19"/>
      <x:c r="D87" s="19"/>
      <x:c r="E87" s="62"/>
      <x:c r="F87" s="19"/>
      <x:c r="G87" s="25"/>
      <x:c r="H87" s="25"/>
      <x:c r="I87" s="96" t="str">
        <x:f>IF($A87="","",$E87*$G87-$H87)</x:f>
      </x:c>
    </x:row>
    <x:row r="88">
      <x:c r="A88" s="19"/>
      <x:c r="B88" s="19"/>
      <x:c r="C88" s="19"/>
      <x:c r="D88" s="19"/>
      <x:c r="E88" s="62"/>
      <x:c r="F88" s="19"/>
      <x:c r="G88" s="25"/>
      <x:c r="H88" s="25"/>
      <x:c r="I88" s="96" t="str">
        <x:f>IF($A88="","",$E88*$G88-$H88)</x:f>
      </x:c>
    </x:row>
    <x:row r="89">
      <x:c r="A89" s="19"/>
      <x:c r="B89" s="19"/>
      <x:c r="C89" s="19"/>
      <x:c r="D89" s="19"/>
      <x:c r="E89" s="62"/>
      <x:c r="F89" s="19"/>
      <x:c r="G89" s="25"/>
      <x:c r="H89" s="25"/>
      <x:c r="I89" s="96" t="str">
        <x:f>IF($A89="","",$E89*$G89-$H89)</x:f>
      </x:c>
    </x:row>
    <x:row r="90">
      <x:c r="A90" s="19"/>
      <x:c r="B90" s="19"/>
      <x:c r="C90" s="19"/>
      <x:c r="D90" s="19"/>
      <x:c r="E90" s="62"/>
      <x:c r="F90" s="19"/>
      <x:c r="G90" s="25"/>
      <x:c r="H90" s="25"/>
      <x:c r="I90" s="96" t="str">
        <x:f>IF($A90="","",$E90*$G90-$H90)</x:f>
      </x:c>
    </x:row>
    <x:row r="91">
      <x:c r="A91" s="19"/>
      <x:c r="B91" s="19"/>
      <x:c r="C91" s="19"/>
      <x:c r="D91" s="19"/>
      <x:c r="E91" s="62"/>
      <x:c r="F91" s="19"/>
      <x:c r="G91" s="25"/>
      <x:c r="H91" s="25"/>
      <x:c r="I91" s="96" t="str">
        <x:f>IF($A91="","",$E91*$G91-$H91)</x:f>
      </x:c>
    </x:row>
    <x:row r="92">
      <x:c r="A92" s="19"/>
      <x:c r="B92" s="19"/>
      <x:c r="C92" s="19"/>
      <x:c r="D92" s="19"/>
      <x:c r="E92" s="62"/>
      <x:c r="F92" s="19"/>
      <x:c r="G92" s="25"/>
      <x:c r="H92" s="25"/>
      <x:c r="I92" s="96" t="str">
        <x:f>IF($A92="","",$E92*$G92-$H92)</x:f>
      </x:c>
    </x:row>
    <x:row r="93">
      <x:c r="A93" s="19"/>
      <x:c r="B93" s="19"/>
      <x:c r="C93" s="19"/>
      <x:c r="D93" s="19"/>
      <x:c r="E93" s="62"/>
      <x:c r="F93" s="19"/>
      <x:c r="G93" s="25"/>
      <x:c r="H93" s="25"/>
      <x:c r="I93" s="96" t="str">
        <x:f>IF($A93="","",$E93*$G93-$H93)</x:f>
      </x:c>
    </x:row>
    <x:row r="94">
      <x:c r="A94" s="19"/>
      <x:c r="B94" s="19"/>
      <x:c r="C94" s="19"/>
      <x:c r="D94" s="19"/>
      <x:c r="E94" s="62"/>
      <x:c r="F94" s="19"/>
      <x:c r="G94" s="25"/>
      <x:c r="H94" s="25"/>
      <x:c r="I94" s="96" t="str">
        <x:f>IF($A94="","",$E94*$G94-$H94)</x:f>
      </x:c>
    </x:row>
    <x:row r="95">
      <x:c r="A95" s="19"/>
      <x:c r="B95" s="19"/>
      <x:c r="C95" s="19"/>
      <x:c r="D95" s="19"/>
      <x:c r="E95" s="62"/>
      <x:c r="F95" s="19"/>
      <x:c r="G95" s="25"/>
      <x:c r="H95" s="25"/>
      <x:c r="I95" s="96" t="str">
        <x:f>IF($A95="","",$E95*$G95-$H95)</x:f>
      </x:c>
    </x:row>
    <x:row r="96">
      <x:c r="A96" s="19"/>
      <x:c r="B96" s="19"/>
      <x:c r="C96" s="19"/>
      <x:c r="D96" s="19"/>
      <x:c r="E96" s="62"/>
      <x:c r="F96" s="19"/>
      <x:c r="G96" s="25"/>
      <x:c r="H96" s="25"/>
      <x:c r="I96" s="96" t="str">
        <x:f>IF($A96="","",$E96*$G96-$H96)</x:f>
      </x:c>
    </x:row>
    <x:row r="97">
      <x:c r="A97" s="19"/>
      <x:c r="B97" s="19"/>
      <x:c r="C97" s="19"/>
      <x:c r="D97" s="19"/>
      <x:c r="E97" s="62"/>
      <x:c r="F97" s="19"/>
      <x:c r="G97" s="25"/>
      <x:c r="H97" s="25"/>
      <x:c r="I97" s="96" t="str">
        <x:f>IF($A97="","",$E97*$G97-$H97)</x:f>
      </x:c>
    </x:row>
    <x:row r="98">
      <x:c r="A98" s="19"/>
      <x:c r="B98" s="19"/>
      <x:c r="C98" s="19"/>
      <x:c r="D98" s="19"/>
      <x:c r="E98" s="62"/>
      <x:c r="F98" s="19"/>
      <x:c r="G98" s="25"/>
      <x:c r="H98" s="25"/>
      <x:c r="I98" s="96" t="str">
        <x:f>IF($A98="","",$E98*$G98-$H98)</x:f>
      </x:c>
    </x:row>
    <x:row r="99">
      <x:c r="A99" s="19"/>
      <x:c r="B99" s="19"/>
      <x:c r="C99" s="19"/>
      <x:c r="D99" s="19"/>
      <x:c r="E99" s="62"/>
      <x:c r="F99" s="19"/>
      <x:c r="G99" s="25"/>
      <x:c r="H99" s="25"/>
      <x:c r="I99" s="96" t="str">
        <x:f>IF($A99="","",$E99*$G99-$H99)</x:f>
      </x:c>
    </x:row>
    <x:row r="100">
      <x:c r="A100" s="19"/>
      <x:c r="B100" s="19"/>
      <x:c r="C100" s="19"/>
      <x:c r="D100" s="19"/>
      <x:c r="E100" s="62"/>
      <x:c r="F100" s="19"/>
      <x:c r="G100" s="25"/>
      <x:c r="H100" s="25"/>
      <x:c r="I100" s="96" t="str">
        <x:f>IF($A100="","",$E100*$G100-$H100)</x:f>
      </x:c>
    </x:row>
    <x:row r="101">
      <x:c r="A101" s="19"/>
      <x:c r="B101" s="19"/>
      <x:c r="C101" s="19"/>
      <x:c r="D101" s="19"/>
      <x:c r="E101" s="62"/>
      <x:c r="F101" s="19"/>
      <x:c r="G101" s="25"/>
      <x:c r="H101" s="25"/>
      <x:c r="I101" s="96" t="str">
        <x:f>IF($A101="","",$E101*$G101-$H101)</x:f>
      </x:c>
    </x:row>
    <x:row r="102">
      <x:c r="A102" s="19"/>
      <x:c r="B102" s="19"/>
      <x:c r="C102" s="19"/>
      <x:c r="D102" s="19"/>
      <x:c r="E102" s="62"/>
      <x:c r="F102" s="19"/>
      <x:c r="G102" s="25"/>
      <x:c r="H102" s="25"/>
      <x:c r="I102" s="96" t="str">
        <x:f>IF($A102="","",$E102*$G102-$H102)</x:f>
      </x:c>
    </x:row>
    <x:row r="103">
      <x:c r="A103" s="19"/>
      <x:c r="B103" s="19"/>
      <x:c r="C103" s="19"/>
      <x:c r="D103" s="19"/>
      <x:c r="E103" s="62"/>
      <x:c r="F103" s="19"/>
      <x:c r="G103" s="25"/>
      <x:c r="H103" s="25"/>
      <x:c r="I103" s="96" t="str">
        <x:f>IF($A103="","",$E103*$G103-$H103)</x:f>
      </x:c>
    </x:row>
    <x:row r="104">
      <x:c r="A104" s="19"/>
      <x:c r="B104" s="19"/>
      <x:c r="C104" s="19"/>
      <x:c r="D104" s="19"/>
      <x:c r="E104" s="62"/>
      <x:c r="F104" s="19"/>
      <x:c r="G104" s="25"/>
      <x:c r="H104" s="25"/>
      <x:c r="I104" s="96" t="str">
        <x:f>IF($A104="","",$E104*$G104-$H104)</x:f>
      </x:c>
    </x:row>
    <x:row r="105">
      <x:c r="A105" s="19"/>
      <x:c r="B105" s="19"/>
      <x:c r="C105" s="19"/>
      <x:c r="D105" s="19"/>
      <x:c r="E105" s="62"/>
      <x:c r="F105" s="19"/>
      <x:c r="G105" s="25"/>
      <x:c r="H105" s="25"/>
      <x:c r="I105" s="96" t="str">
        <x:f>IF($A105="","",$E105*$G105-$H105)</x:f>
      </x:c>
    </x:row>
    <x:row r="106">
      <x:c r="A106" s="19"/>
      <x:c r="B106" s="19"/>
      <x:c r="C106" s="19"/>
      <x:c r="D106" s="19"/>
      <x:c r="E106" s="62"/>
      <x:c r="F106" s="19"/>
      <x:c r="G106" s="25"/>
      <x:c r="H106" s="25"/>
      <x:c r="I106" s="96" t="str">
        <x:f>IF($A106="","",$E106*$G106-$H106)</x:f>
      </x:c>
    </x:row>
    <x:row r="107">
      <x:c r="A107" s="19"/>
      <x:c r="B107" s="19"/>
      <x:c r="C107" s="19"/>
      <x:c r="D107" s="19"/>
      <x:c r="E107" s="62"/>
      <x:c r="F107" s="19"/>
      <x:c r="G107" s="25"/>
      <x:c r="H107" s="25"/>
      <x:c r="I107" s="96" t="str">
        <x:f>IF($A107="","",$E107*$G107-$H107)</x:f>
      </x:c>
    </x:row>
    <x:row r="108">
      <x:c r="A108" s="19"/>
      <x:c r="B108" s="19"/>
      <x:c r="C108" s="19"/>
      <x:c r="D108" s="19"/>
      <x:c r="E108" s="62"/>
      <x:c r="F108" s="19"/>
      <x:c r="G108" s="25"/>
      <x:c r="H108" s="25"/>
      <x:c r="I108" s="96" t="str">
        <x:f>IF($A108="","",$E108*$G108-$H108)</x:f>
      </x:c>
    </x:row>
    <x:row r="109">
      <x:c r="A109" s="19"/>
      <x:c r="B109" s="19"/>
      <x:c r="C109" s="19"/>
      <x:c r="D109" s="19"/>
      <x:c r="E109" s="62"/>
      <x:c r="F109" s="19"/>
      <x:c r="G109" s="25"/>
      <x:c r="H109" s="25"/>
      <x:c r="I109" s="96" t="str">
        <x:f>IF($A109="","",$E109*$G109-$H109)</x:f>
      </x:c>
    </x:row>
    <x:row r="110">
      <x:c r="A110" s="19"/>
      <x:c r="B110" s="19"/>
      <x:c r="C110" s="19"/>
      <x:c r="D110" s="19"/>
      <x:c r="E110" s="62"/>
      <x:c r="F110" s="19"/>
      <x:c r="G110" s="25"/>
      <x:c r="H110" s="25"/>
      <x:c r="I110" s="96" t="str">
        <x:f>IF($A110="","",$E110*$G110-$H110)</x:f>
      </x:c>
    </x:row>
    <x:row r="111">
      <x:c r="A111" s="19"/>
      <x:c r="B111" s="19"/>
      <x:c r="C111" s="19"/>
      <x:c r="D111" s="19"/>
      <x:c r="E111" s="62"/>
      <x:c r="F111" s="19"/>
      <x:c r="G111" s="25"/>
      <x:c r="H111" s="25"/>
      <x:c r="I111" s="96" t="str">
        <x:f>IF($A111="","",$E111*$G111-$H111)</x:f>
      </x:c>
    </x:row>
    <x:row r="112">
      <x:c r="A112" s="19"/>
      <x:c r="B112" s="19"/>
      <x:c r="C112" s="19"/>
      <x:c r="D112" s="19"/>
      <x:c r="E112" s="62"/>
      <x:c r="F112" s="19"/>
      <x:c r="G112" s="25"/>
      <x:c r="H112" s="25"/>
      <x:c r="I112" s="96" t="str">
        <x:f>IF($A112="","",$E112*$G112-$H112)</x:f>
      </x:c>
    </x:row>
    <x:row r="113">
      <x:c r="A113" s="19"/>
      <x:c r="B113" s="19"/>
      <x:c r="C113" s="19"/>
      <x:c r="D113" s="19"/>
      <x:c r="E113" s="62"/>
      <x:c r="F113" s="19"/>
      <x:c r="G113" s="25"/>
      <x:c r="H113" s="25"/>
      <x:c r="I113" s="96" t="str">
        <x:f>IF($A113="","",$E113*$G113-$H113)</x:f>
      </x:c>
    </x:row>
    <x:row r="114">
      <x:c r="A114" s="19"/>
      <x:c r="B114" s="19"/>
      <x:c r="C114" s="19"/>
      <x:c r="D114" s="19"/>
      <x:c r="E114" s="62"/>
      <x:c r="F114" s="19"/>
      <x:c r="G114" s="25"/>
      <x:c r="H114" s="25"/>
      <x:c r="I114" s="96" t="str">
        <x:f>IF($A114="","",$E114*$G114-$H114)</x:f>
      </x:c>
    </x:row>
    <x:row r="115">
      <x:c r="A115" s="19"/>
      <x:c r="B115" s="19"/>
      <x:c r="C115" s="19"/>
      <x:c r="D115" s="19"/>
      <x:c r="E115" s="62"/>
      <x:c r="F115" s="19"/>
      <x:c r="G115" s="25"/>
      <x:c r="H115" s="25"/>
      <x:c r="I115" s="96" t="str">
        <x:f>IF($A115="","",$E115*$G115-$H115)</x:f>
      </x:c>
    </x:row>
    <x:row r="116">
      <x:c r="A116" s="19"/>
      <x:c r="B116" s="19"/>
      <x:c r="C116" s="19"/>
      <x:c r="D116" s="19"/>
      <x:c r="E116" s="62"/>
      <x:c r="F116" s="19"/>
      <x:c r="G116" s="25"/>
      <x:c r="H116" s="25"/>
      <x:c r="I116" s="96" t="str">
        <x:f>IF($A116="","",$E116*$G116-$H116)</x:f>
      </x:c>
    </x:row>
    <x:row r="117">
      <x:c r="A117" s="19"/>
      <x:c r="B117" s="19"/>
      <x:c r="C117" s="19"/>
      <x:c r="D117" s="19"/>
      <x:c r="E117" s="62"/>
      <x:c r="F117" s="19"/>
      <x:c r="G117" s="25"/>
      <x:c r="H117" s="25"/>
      <x:c r="I117" s="96" t="str">
        <x:f>IF($A117="","",$E117*$G117-$H117)</x:f>
      </x:c>
    </x:row>
    <x:row r="118">
      <x:c r="A118" s="19"/>
      <x:c r="B118" s="19"/>
      <x:c r="C118" s="19"/>
      <x:c r="D118" s="19"/>
      <x:c r="E118" s="62"/>
      <x:c r="F118" s="19"/>
      <x:c r="G118" s="25"/>
      <x:c r="H118" s="25"/>
      <x:c r="I118" s="96" t="str">
        <x:f>IF($A118="","",$E118*$G118-$H118)</x:f>
      </x:c>
    </x:row>
    <x:row r="119">
      <x:c r="A119" s="19"/>
      <x:c r="B119" s="19"/>
      <x:c r="C119" s="19"/>
      <x:c r="D119" s="19"/>
      <x:c r="E119" s="62"/>
      <x:c r="F119" s="19"/>
      <x:c r="G119" s="25"/>
      <x:c r="H119" s="25"/>
      <x:c r="I119" s="96" t="str">
        <x:f>IF($A119="","",$E119*$G119-$H119)</x:f>
      </x:c>
    </x:row>
    <x:row r="120">
      <x:c r="A120" s="19"/>
      <x:c r="B120" s="19"/>
      <x:c r="C120" s="19"/>
      <x:c r="D120" s="19"/>
      <x:c r="E120" s="62"/>
      <x:c r="F120" s="19"/>
      <x:c r="G120" s="25"/>
      <x:c r="H120" s="25"/>
      <x:c r="I120" s="96" t="str">
        <x:f>IF($A120="","",$E120*$G120-$H120)</x:f>
      </x:c>
    </x:row>
    <x:row r="121">
      <x:c r="A121" s="19"/>
      <x:c r="B121" s="19"/>
      <x:c r="C121" s="19"/>
      <x:c r="D121" s="19"/>
      <x:c r="E121" s="62"/>
      <x:c r="F121" s="19"/>
      <x:c r="G121" s="25"/>
      <x:c r="H121" s="25"/>
      <x:c r="I121" s="96" t="str">
        <x:f>IF($A121="","",$E121*$G121-$H121)</x:f>
      </x:c>
    </x:row>
    <x:row r="122">
      <x:c r="A122" s="19"/>
      <x:c r="B122" s="19"/>
      <x:c r="C122" s="19"/>
      <x:c r="D122" s="19"/>
      <x:c r="E122" s="62"/>
      <x:c r="F122" s="19"/>
      <x:c r="G122" s="25"/>
      <x:c r="H122" s="25"/>
      <x:c r="I122" s="96" t="str">
        <x:f>IF($A122="","",$E122*$G122-$H122)</x:f>
      </x:c>
    </x:row>
    <x:row r="123">
      <x:c r="A123" s="19"/>
      <x:c r="B123" s="19"/>
      <x:c r="C123" s="19"/>
      <x:c r="D123" s="19"/>
      <x:c r="E123" s="62"/>
      <x:c r="F123" s="19"/>
      <x:c r="G123" s="25"/>
      <x:c r="H123" s="25"/>
      <x:c r="I123" s="96" t="str">
        <x:f>IF($A123="","",$E123*$G123-$H123)</x:f>
      </x:c>
    </x:row>
    <x:row r="124">
      <x:c r="A124" s="19"/>
      <x:c r="B124" s="19"/>
      <x:c r="C124" s="19"/>
      <x:c r="D124" s="19"/>
      <x:c r="E124" s="62"/>
      <x:c r="F124" s="19"/>
      <x:c r="G124" s="25"/>
      <x:c r="H124" s="25"/>
      <x:c r="I124" s="96" t="str">
        <x:f>IF($A124="","",$E124*$G124-$H124)</x:f>
      </x:c>
    </x:row>
    <x:row r="125">
      <x:c r="A125" s="19"/>
      <x:c r="B125" s="19"/>
      <x:c r="C125" s="19"/>
      <x:c r="D125" s="19"/>
      <x:c r="E125" s="62"/>
      <x:c r="F125" s="19"/>
      <x:c r="G125" s="25"/>
      <x:c r="H125" s="25"/>
      <x:c r="I125" s="96" t="str">
        <x:f>IF($A125="","",$E125*$G125-$H125)</x:f>
      </x:c>
    </x:row>
    <x:row r="126">
      <x:c r="A126" s="19"/>
      <x:c r="B126" s="19"/>
      <x:c r="C126" s="19"/>
      <x:c r="D126" s="19"/>
      <x:c r="E126" s="62"/>
      <x:c r="F126" s="19"/>
      <x:c r="G126" s="25"/>
      <x:c r="H126" s="25"/>
      <x:c r="I126" s="96" t="str">
        <x:f>IF($A126="","",$E126*$G126-$H126)</x:f>
      </x:c>
    </x:row>
    <x:row r="127">
      <x:c r="A127" s="19"/>
      <x:c r="B127" s="19"/>
      <x:c r="C127" s="19"/>
      <x:c r="D127" s="19"/>
      <x:c r="E127" s="62"/>
      <x:c r="F127" s="19"/>
      <x:c r="G127" s="25"/>
      <x:c r="H127" s="25"/>
      <x:c r="I127" s="96" t="str">
        <x:f>IF($A127="","",$E127*$G127-$H127)</x:f>
      </x:c>
    </x:row>
    <x:row r="128">
      <x:c r="A128" s="19"/>
      <x:c r="B128" s="19"/>
      <x:c r="C128" s="19"/>
      <x:c r="D128" s="19"/>
      <x:c r="E128" s="62"/>
      <x:c r="F128" s="19"/>
      <x:c r="G128" s="25"/>
      <x:c r="H128" s="25"/>
      <x:c r="I128" s="96" t="str">
        <x:f>IF($A128="","",$E128*$G128-$H128)</x:f>
      </x:c>
    </x:row>
    <x:row r="129">
      <x:c r="A129" s="19"/>
      <x:c r="B129" s="19"/>
      <x:c r="C129" s="19"/>
      <x:c r="D129" s="19"/>
      <x:c r="E129" s="62"/>
      <x:c r="F129" s="19"/>
      <x:c r="G129" s="25"/>
      <x:c r="H129" s="25"/>
      <x:c r="I129" s="96" t="str">
        <x:f>IF($A129="","",$E129*$G129-$H129)</x:f>
      </x:c>
    </x:row>
    <x:row r="130">
      <x:c r="A130" s="19"/>
      <x:c r="B130" s="19"/>
      <x:c r="C130" s="19"/>
      <x:c r="D130" s="19"/>
      <x:c r="E130" s="62"/>
      <x:c r="F130" s="19"/>
      <x:c r="G130" s="25"/>
      <x:c r="H130" s="25"/>
      <x:c r="I130" s="96" t="str">
        <x:f>IF($A130="","",$E130*$G130-$H130)</x:f>
      </x:c>
    </x:row>
    <x:row r="131">
      <x:c r="A131" s="19"/>
      <x:c r="B131" s="19"/>
      <x:c r="C131" s="19"/>
      <x:c r="D131" s="19"/>
      <x:c r="E131" s="62"/>
      <x:c r="F131" s="19"/>
      <x:c r="G131" s="25"/>
      <x:c r="H131" s="25"/>
      <x:c r="I131" s="96" t="str">
        <x:f>IF($A131="","",$E131*$G131-$H131)</x:f>
      </x:c>
    </x:row>
    <x:row r="132">
      <x:c r="A132" s="19"/>
      <x:c r="B132" s="19"/>
      <x:c r="C132" s="19"/>
      <x:c r="D132" s="19"/>
      <x:c r="E132" s="62"/>
      <x:c r="F132" s="19"/>
      <x:c r="G132" s="25"/>
      <x:c r="H132" s="25"/>
      <x:c r="I132" s="96" t="str">
        <x:f>IF($A132="","",$E132*$G132-$H132)</x:f>
      </x:c>
    </x:row>
    <x:row r="133">
      <x:c r="A133" s="19"/>
      <x:c r="B133" s="19"/>
      <x:c r="C133" s="19"/>
      <x:c r="D133" s="19"/>
      <x:c r="E133" s="62"/>
      <x:c r="F133" s="19"/>
      <x:c r="G133" s="25"/>
      <x:c r="H133" s="25"/>
      <x:c r="I133" s="96" t="str">
        <x:f>IF($A133="","",$E133*$G133-$H133)</x:f>
      </x:c>
    </x:row>
    <x:row r="134">
      <x:c r="A134" s="19"/>
      <x:c r="B134" s="19"/>
      <x:c r="C134" s="19"/>
      <x:c r="D134" s="19"/>
      <x:c r="E134" s="62"/>
      <x:c r="F134" s="19"/>
      <x:c r="G134" s="25"/>
      <x:c r="H134" s="25"/>
      <x:c r="I134" s="96" t="str">
        <x:f>IF($A134="","",$E134*$G134-$H134)</x:f>
      </x:c>
    </x:row>
    <x:row r="135">
      <x:c r="A135" s="19"/>
      <x:c r="B135" s="19"/>
      <x:c r="C135" s="19"/>
      <x:c r="D135" s="19"/>
      <x:c r="E135" s="62"/>
      <x:c r="F135" s="19"/>
      <x:c r="G135" s="25"/>
      <x:c r="H135" s="25"/>
      <x:c r="I135" s="96" t="str">
        <x:f>IF($A135="","",$E135*$G135-$H135)</x:f>
      </x:c>
    </x:row>
    <x:row r="136">
      <x:c r="A136" s="19"/>
      <x:c r="B136" s="19"/>
      <x:c r="C136" s="19"/>
      <x:c r="D136" s="19"/>
      <x:c r="E136" s="62"/>
      <x:c r="F136" s="19"/>
      <x:c r="G136" s="25"/>
      <x:c r="H136" s="25"/>
      <x:c r="I136" s="96" t="str">
        <x:f>IF($A136="","",$E136*$G136-$H136)</x:f>
      </x:c>
    </x:row>
    <x:row r="137">
      <x:c r="A137" s="19"/>
      <x:c r="B137" s="19"/>
      <x:c r="C137" s="19"/>
      <x:c r="D137" s="19"/>
      <x:c r="E137" s="62"/>
      <x:c r="F137" s="19"/>
      <x:c r="G137" s="25"/>
      <x:c r="H137" s="25"/>
      <x:c r="I137" s="96" t="str">
        <x:f>IF($A137="","",$E137*$G137-$H137)</x:f>
      </x:c>
    </x:row>
    <x:row r="138">
      <x:c r="A138" s="19"/>
      <x:c r="B138" s="19"/>
      <x:c r="C138" s="19"/>
      <x:c r="D138" s="19"/>
      <x:c r="E138" s="62"/>
      <x:c r="F138" s="19"/>
      <x:c r="G138" s="25"/>
      <x:c r="H138" s="25"/>
      <x:c r="I138" s="96" t="str">
        <x:f>IF($A138="","",$E138*$G138-$H138)</x:f>
      </x:c>
    </x:row>
    <x:row r="139">
      <x:c r="A139" s="19"/>
      <x:c r="B139" s="19"/>
      <x:c r="C139" s="19"/>
      <x:c r="D139" s="19"/>
      <x:c r="E139" s="62"/>
      <x:c r="F139" s="19"/>
      <x:c r="G139" s="25"/>
      <x:c r="H139" s="25"/>
      <x:c r="I139" s="96" t="str">
        <x:f>IF($A139="","",$E139*$G139-$H139)</x:f>
      </x:c>
    </x:row>
    <x:row r="140">
      <x:c r="A140" s="19"/>
      <x:c r="B140" s="19"/>
      <x:c r="C140" s="19"/>
      <x:c r="D140" s="19"/>
      <x:c r="E140" s="62"/>
      <x:c r="F140" s="19"/>
      <x:c r="G140" s="25"/>
      <x:c r="H140" s="25"/>
      <x:c r="I140" s="96" t="str">
        <x:f>IF($A140="","",$E140*$G140-$H140)</x:f>
      </x:c>
    </x:row>
    <x:row r="141">
      <x:c r="A141" s="19"/>
      <x:c r="B141" s="19"/>
      <x:c r="C141" s="19"/>
      <x:c r="D141" s="19"/>
      <x:c r="E141" s="62"/>
      <x:c r="F141" s="19"/>
      <x:c r="G141" s="25"/>
      <x:c r="H141" s="25"/>
      <x:c r="I141" s="96" t="str">
        <x:f>IF($A141="","",$E141*$G141-$H141)</x:f>
      </x:c>
    </x:row>
    <x:row r="142">
      <x:c r="A142" s="19"/>
      <x:c r="B142" s="19"/>
      <x:c r="C142" s="19"/>
      <x:c r="D142" s="19"/>
      <x:c r="E142" s="62"/>
      <x:c r="F142" s="19"/>
      <x:c r="G142" s="25"/>
      <x:c r="H142" s="25"/>
      <x:c r="I142" s="96" t="str">
        <x:f>IF($A142="","",$E142*$G142-$H142)</x:f>
      </x:c>
    </x:row>
    <x:row r="143">
      <x:c r="A143" s="19"/>
      <x:c r="B143" s="19"/>
      <x:c r="C143" s="19"/>
      <x:c r="D143" s="19"/>
      <x:c r="E143" s="62"/>
      <x:c r="F143" s="19"/>
      <x:c r="G143" s="25"/>
      <x:c r="H143" s="25"/>
      <x:c r="I143" s="96" t="str">
        <x:f>IF($A143="","",$E143*$G143-$H143)</x:f>
      </x:c>
    </x:row>
    <x:row r="144">
      <x:c r="A144" s="19"/>
      <x:c r="B144" s="19"/>
      <x:c r="C144" s="19"/>
      <x:c r="D144" s="19"/>
      <x:c r="E144" s="62"/>
      <x:c r="F144" s="19"/>
      <x:c r="G144" s="25"/>
      <x:c r="H144" s="25"/>
      <x:c r="I144" s="96" t="str">
        <x:f>IF($A144="","",$E144*$G144-$H144)</x:f>
      </x:c>
    </x:row>
    <x:row r="145">
      <x:c r="A145" s="19"/>
      <x:c r="B145" s="19"/>
      <x:c r="C145" s="19"/>
      <x:c r="D145" s="19"/>
      <x:c r="E145" s="62"/>
      <x:c r="F145" s="19"/>
      <x:c r="G145" s="25"/>
      <x:c r="H145" s="25"/>
      <x:c r="I145" s="96" t="str">
        <x:f>IF($A145="","",$E145*$G145-$H145)</x:f>
      </x:c>
    </x:row>
    <x:row r="146">
      <x:c r="A146" s="19"/>
      <x:c r="B146" s="19"/>
      <x:c r="C146" s="19"/>
      <x:c r="D146" s="19"/>
      <x:c r="E146" s="62"/>
      <x:c r="F146" s="19"/>
      <x:c r="G146" s="25"/>
      <x:c r="H146" s="25"/>
      <x:c r="I146" s="96" t="str">
        <x:f>IF($A146="","",$E146*$G146-$H146)</x:f>
      </x:c>
    </x:row>
    <x:row r="147">
      <x:c r="A147" s="19"/>
      <x:c r="B147" s="19"/>
      <x:c r="C147" s="19"/>
      <x:c r="D147" s="19"/>
      <x:c r="E147" s="62"/>
      <x:c r="F147" s="19"/>
      <x:c r="G147" s="25"/>
      <x:c r="H147" s="25"/>
      <x:c r="I147" s="96" t="str">
        <x:f>IF($A147="","",$E147*$G147-$H147)</x:f>
      </x:c>
    </x:row>
    <x:row r="148">
      <x:c r="A148" s="19"/>
      <x:c r="B148" s="19"/>
      <x:c r="C148" s="19"/>
      <x:c r="D148" s="19"/>
      <x:c r="E148" s="62"/>
      <x:c r="F148" s="19"/>
      <x:c r="G148" s="25"/>
      <x:c r="H148" s="25"/>
      <x:c r="I148" s="96" t="str">
        <x:f>IF($A148="","",$E148*$G148-$H148)</x:f>
      </x:c>
    </x:row>
    <x:row r="149">
      <x:c r="A149" s="19"/>
      <x:c r="B149" s="19"/>
      <x:c r="C149" s="19"/>
      <x:c r="D149" s="19"/>
      <x:c r="E149" s="62"/>
      <x:c r="F149" s="19"/>
      <x:c r="G149" s="25"/>
      <x:c r="H149" s="25"/>
      <x:c r="I149" s="96" t="str">
        <x:f>IF($A149="","",$E149*$G149-$H149)</x:f>
      </x:c>
    </x:row>
    <x:row r="150">
      <x:c r="A150" s="19"/>
      <x:c r="B150" s="19"/>
      <x:c r="C150" s="19"/>
      <x:c r="D150" s="19"/>
      <x:c r="E150" s="62"/>
      <x:c r="F150" s="19"/>
      <x:c r="G150" s="25"/>
      <x:c r="H150" s="25"/>
      <x:c r="I150" s="96" t="str">
        <x:f>IF($A150="","",$E150*$G150-$H150)</x:f>
      </x:c>
    </x:row>
    <x:row r="151">
      <x:c r="A151" s="19"/>
      <x:c r="B151" s="19"/>
      <x:c r="C151" s="19"/>
      <x:c r="D151" s="19"/>
      <x:c r="E151" s="62"/>
      <x:c r="F151" s="19"/>
      <x:c r="G151" s="25"/>
      <x:c r="H151" s="25"/>
      <x:c r="I151" s="96" t="str">
        <x:f>IF($A151="","",$E151*$G151-$H151)</x:f>
      </x:c>
    </x:row>
    <x:row r="152">
      <x:c r="A152" s="19"/>
      <x:c r="B152" s="19"/>
      <x:c r="C152" s="19"/>
      <x:c r="D152" s="19"/>
      <x:c r="E152" s="62"/>
      <x:c r="F152" s="19"/>
      <x:c r="G152" s="25"/>
      <x:c r="H152" s="25"/>
      <x:c r="I152" s="96" t="str">
        <x:f>IF($A152="","",$E152*$G152-$H152)</x:f>
      </x:c>
    </x:row>
    <x:row r="153">
      <x:c r="A153" s="19"/>
      <x:c r="B153" s="19"/>
      <x:c r="C153" s="19"/>
      <x:c r="D153" s="19"/>
      <x:c r="E153" s="62"/>
      <x:c r="F153" s="19"/>
      <x:c r="G153" s="25"/>
      <x:c r="H153" s="25"/>
      <x:c r="I153" s="96" t="str">
        <x:f>IF($A153="","",$E153*$G153-$H153)</x:f>
      </x:c>
    </x:row>
    <x:row r="154">
      <x:c r="A154" s="19"/>
      <x:c r="B154" s="19"/>
      <x:c r="C154" s="19"/>
      <x:c r="D154" s="19"/>
      <x:c r="E154" s="62"/>
      <x:c r="F154" s="19"/>
      <x:c r="G154" s="25"/>
      <x:c r="H154" s="25"/>
      <x:c r="I154" s="96" t="str">
        <x:f>IF($A154="","",$E154*$G154-$H154)</x:f>
      </x:c>
    </x:row>
    <x:row r="155">
      <x:c r="A155" s="19"/>
      <x:c r="B155" s="19"/>
      <x:c r="C155" s="19"/>
      <x:c r="D155" s="19"/>
      <x:c r="E155" s="62"/>
      <x:c r="F155" s="19"/>
      <x:c r="G155" s="25"/>
      <x:c r="H155" s="25"/>
      <x:c r="I155" s="96" t="str">
        <x:f>IF($A155="","",$E155*$G155-$H155)</x:f>
      </x:c>
    </x:row>
    <x:row r="156">
      <x:c r="A156" s="19"/>
      <x:c r="B156" s="19"/>
      <x:c r="C156" s="19"/>
      <x:c r="D156" s="19"/>
      <x:c r="E156" s="62"/>
      <x:c r="F156" s="19"/>
      <x:c r="G156" s="25"/>
      <x:c r="H156" s="25"/>
      <x:c r="I156" s="96" t="str">
        <x:f>IF($A156="","",$E156*$G156-$H156)</x:f>
      </x:c>
    </x:row>
    <x:row r="157">
      <x:c r="A157" s="19"/>
      <x:c r="B157" s="19"/>
      <x:c r="C157" s="19"/>
      <x:c r="D157" s="19"/>
      <x:c r="E157" s="62"/>
      <x:c r="F157" s="19"/>
      <x:c r="G157" s="25"/>
      <x:c r="H157" s="25"/>
      <x:c r="I157" s="96" t="str">
        <x:f>IF($A157="","",$E157*$G157-$H157)</x:f>
      </x:c>
    </x:row>
    <x:row r="158">
      <x:c r="A158" s="19"/>
      <x:c r="B158" s="19"/>
      <x:c r="C158" s="19"/>
      <x:c r="D158" s="19"/>
      <x:c r="E158" s="62"/>
      <x:c r="F158" s="19"/>
      <x:c r="G158" s="25"/>
      <x:c r="H158" s="25"/>
      <x:c r="I158" s="96" t="str">
        <x:f>IF($A158="","",$E158*$G158-$H158)</x:f>
      </x:c>
    </x:row>
    <x:row r="159">
      <x:c r="A159" s="19"/>
      <x:c r="B159" s="19"/>
      <x:c r="C159" s="19"/>
      <x:c r="D159" s="19"/>
      <x:c r="E159" s="62"/>
      <x:c r="F159" s="19"/>
      <x:c r="G159" s="25"/>
      <x:c r="H159" s="25"/>
      <x:c r="I159" s="96" t="str">
        <x:f>IF($A159="","",$E159*$G159-$H159)</x:f>
      </x:c>
    </x:row>
    <x:row r="160">
      <x:c r="A160" s="19"/>
      <x:c r="B160" s="19"/>
      <x:c r="C160" s="19"/>
      <x:c r="D160" s="19"/>
      <x:c r="E160" s="62"/>
      <x:c r="F160" s="19"/>
      <x:c r="G160" s="25"/>
      <x:c r="H160" s="25"/>
      <x:c r="I160" s="96" t="str">
        <x:f>IF($A160="","",$E160*$G160-$H160)</x:f>
      </x:c>
    </x:row>
    <x:row r="161">
      <x:c r="A161" s="19"/>
      <x:c r="B161" s="19"/>
      <x:c r="C161" s="19"/>
      <x:c r="D161" s="19"/>
      <x:c r="E161" s="62"/>
      <x:c r="F161" s="19"/>
      <x:c r="G161" s="25"/>
      <x:c r="H161" s="25"/>
      <x:c r="I161" s="96" t="str">
        <x:f>IF($A161="","",$E161*$G161-$H161)</x:f>
      </x:c>
    </x:row>
    <x:row r="162">
      <x:c r="A162" s="19"/>
      <x:c r="B162" s="19"/>
      <x:c r="C162" s="19"/>
      <x:c r="D162" s="19"/>
      <x:c r="E162" s="62"/>
      <x:c r="F162" s="19"/>
      <x:c r="G162" s="25"/>
      <x:c r="H162" s="25"/>
      <x:c r="I162" s="96" t="str">
        <x:f>IF($A162="","",$E162*$G162-$H162)</x:f>
      </x:c>
    </x:row>
    <x:row r="163">
      <x:c r="A163" s="19"/>
      <x:c r="B163" s="19"/>
      <x:c r="C163" s="19"/>
      <x:c r="D163" s="19"/>
      <x:c r="E163" s="62"/>
      <x:c r="F163" s="19"/>
      <x:c r="G163" s="25"/>
      <x:c r="H163" s="25"/>
      <x:c r="I163" s="96" t="str">
        <x:f>IF($A163="","",$E163*$G163-$H163)</x:f>
      </x:c>
    </x:row>
    <x:row r="164">
      <x:c r="A164" s="19"/>
      <x:c r="B164" s="19"/>
      <x:c r="C164" s="19"/>
      <x:c r="D164" s="19"/>
      <x:c r="E164" s="62"/>
      <x:c r="F164" s="19"/>
      <x:c r="G164" s="25"/>
      <x:c r="H164" s="25"/>
      <x:c r="I164" s="96" t="str">
        <x:f>IF($A164="","",$E164*$G164-$H164)</x:f>
      </x:c>
    </x:row>
    <x:row r="165">
      <x:c r="A165" s="19"/>
      <x:c r="B165" s="19"/>
      <x:c r="C165" s="19"/>
      <x:c r="D165" s="19"/>
      <x:c r="E165" s="62"/>
      <x:c r="F165" s="19"/>
      <x:c r="G165" s="25"/>
      <x:c r="H165" s="25"/>
      <x:c r="I165" s="96" t="str">
        <x:f>IF($A165="","",$E165*$G165-$H165)</x:f>
      </x:c>
    </x:row>
    <x:row r="166">
      <x:c r="A166" s="19"/>
      <x:c r="B166" s="19"/>
      <x:c r="C166" s="19"/>
      <x:c r="D166" s="19"/>
      <x:c r="E166" s="62"/>
      <x:c r="F166" s="19"/>
      <x:c r="G166" s="25"/>
      <x:c r="H166" s="25"/>
      <x:c r="I166" s="96" t="str">
        <x:f>IF($A166="","",$E166*$G166-$H166)</x:f>
      </x:c>
    </x:row>
    <x:row r="167">
      <x:c r="A167" s="19"/>
      <x:c r="B167" s="19"/>
      <x:c r="C167" s="19"/>
      <x:c r="D167" s="19"/>
      <x:c r="E167" s="62"/>
      <x:c r="F167" s="19"/>
      <x:c r="G167" s="25"/>
      <x:c r="H167" s="25"/>
      <x:c r="I167" s="96" t="str">
        <x:f>IF($A167="","",$E167*$G167-$H167)</x:f>
      </x:c>
    </x:row>
    <x:row r="168">
      <x:c r="A168" s="19"/>
      <x:c r="B168" s="19"/>
      <x:c r="C168" s="19"/>
      <x:c r="D168" s="19"/>
      <x:c r="E168" s="62"/>
      <x:c r="F168" s="19"/>
      <x:c r="G168" s="25"/>
      <x:c r="H168" s="25"/>
      <x:c r="I168" s="96" t="str">
        <x:f>IF($A168="","",$E168*$G168-$H168)</x:f>
      </x:c>
    </x:row>
    <x:row r="169">
      <x:c r="A169" s="19"/>
      <x:c r="B169" s="19"/>
      <x:c r="C169" s="19"/>
      <x:c r="D169" s="19"/>
      <x:c r="E169" s="62"/>
      <x:c r="F169" s="19"/>
      <x:c r="G169" s="25"/>
      <x:c r="H169" s="25"/>
      <x:c r="I169" s="96" t="str">
        <x:f>IF($A169="","",$E169*$G169-$H169)</x:f>
      </x:c>
    </x:row>
    <x:row r="170">
      <x:c r="A170" s="19"/>
      <x:c r="B170" s="19"/>
      <x:c r="C170" s="19"/>
      <x:c r="D170" s="19"/>
      <x:c r="E170" s="62"/>
      <x:c r="F170" s="19"/>
      <x:c r="G170" s="25"/>
      <x:c r="H170" s="25"/>
      <x:c r="I170" s="96" t="str">
        <x:f>IF($A170="","",$E170*$G170-$H170)</x:f>
      </x:c>
    </x:row>
    <x:row r="171">
      <x:c r="A171" s="19"/>
      <x:c r="B171" s="19"/>
      <x:c r="C171" s="19"/>
      <x:c r="D171" s="19"/>
      <x:c r="E171" s="62"/>
      <x:c r="F171" s="19"/>
      <x:c r="G171" s="25"/>
      <x:c r="H171" s="25"/>
      <x:c r="I171" s="96" t="str">
        <x:f>IF($A171="","",$E171*$G171-$H171)</x:f>
      </x:c>
    </x:row>
    <x:row r="172">
      <x:c r="A172" s="19"/>
      <x:c r="B172" s="19"/>
      <x:c r="C172" s="19"/>
      <x:c r="D172" s="19"/>
      <x:c r="E172" s="62"/>
      <x:c r="F172" s="19"/>
      <x:c r="G172" s="25"/>
      <x:c r="H172" s="25"/>
      <x:c r="I172" s="96" t="str">
        <x:f>IF($A172="","",$E172*$G172-$H172)</x:f>
      </x:c>
    </x:row>
    <x:row r="173">
      <x:c r="A173" s="19"/>
      <x:c r="B173" s="19"/>
      <x:c r="C173" s="19"/>
      <x:c r="D173" s="19"/>
      <x:c r="E173" s="62"/>
      <x:c r="F173" s="19"/>
      <x:c r="G173" s="25"/>
      <x:c r="H173" s="25"/>
      <x:c r="I173" s="96" t="str">
        <x:f>IF($A173="","",$E173*$G173-$H173)</x:f>
      </x:c>
    </x:row>
    <x:row r="174">
      <x:c r="A174" s="19"/>
      <x:c r="B174" s="19"/>
      <x:c r="C174" s="19"/>
      <x:c r="D174" s="19"/>
      <x:c r="E174" s="62"/>
      <x:c r="F174" s="19"/>
      <x:c r="G174" s="25"/>
      <x:c r="H174" s="25"/>
      <x:c r="I174" s="96" t="str">
        <x:f>IF($A174="","",$E174*$G174-$H174)</x:f>
      </x:c>
    </x:row>
    <x:row r="175">
      <x:c r="A175" s="19"/>
      <x:c r="B175" s="19"/>
      <x:c r="C175" s="19"/>
      <x:c r="D175" s="19"/>
      <x:c r="E175" s="62"/>
      <x:c r="F175" s="19"/>
      <x:c r="G175" s="25"/>
      <x:c r="H175" s="25"/>
      <x:c r="I175" s="96" t="str">
        <x:f>IF($A175="","",$E175*$G175-$H175)</x:f>
      </x:c>
    </x:row>
    <x:row r="176">
      <x:c r="A176" s="19"/>
      <x:c r="B176" s="19"/>
      <x:c r="C176" s="19"/>
      <x:c r="D176" s="19"/>
      <x:c r="E176" s="62"/>
      <x:c r="F176" s="19"/>
      <x:c r="G176" s="25"/>
      <x:c r="H176" s="25"/>
      <x:c r="I176" s="96" t="str">
        <x:f>IF($A176="","",$E176*$G176-$H176)</x:f>
      </x:c>
    </x:row>
    <x:row r="177">
      <x:c r="A177" s="19"/>
      <x:c r="B177" s="19"/>
      <x:c r="C177" s="19"/>
      <x:c r="D177" s="19"/>
      <x:c r="E177" s="62"/>
      <x:c r="F177" s="19"/>
      <x:c r="G177" s="25"/>
      <x:c r="H177" s="25"/>
      <x:c r="I177" s="96" t="str">
        <x:f>IF($A177="","",$E177*$G177-$H177)</x:f>
      </x:c>
    </x:row>
    <x:row r="178">
      <x:c r="A178" s="19"/>
      <x:c r="B178" s="19"/>
      <x:c r="C178" s="19"/>
      <x:c r="D178" s="19"/>
      <x:c r="E178" s="62"/>
      <x:c r="F178" s="19"/>
      <x:c r="G178" s="25"/>
      <x:c r="H178" s="25"/>
      <x:c r="I178" s="96" t="str">
        <x:f>IF($A178="","",$E178*$G178-$H178)</x:f>
      </x:c>
    </x:row>
    <x:row r="179">
      <x:c r="A179" s="19"/>
      <x:c r="B179" s="19"/>
      <x:c r="C179" s="19"/>
      <x:c r="D179" s="19"/>
      <x:c r="E179" s="62"/>
      <x:c r="F179" s="19"/>
      <x:c r="G179" s="25"/>
      <x:c r="H179" s="25"/>
      <x:c r="I179" s="96" t="str">
        <x:f>IF($A179="","",$E179*$G179-$H179)</x:f>
      </x:c>
    </x:row>
    <x:row r="180">
      <x:c r="A180" s="19"/>
      <x:c r="B180" s="19"/>
      <x:c r="C180" s="19"/>
      <x:c r="D180" s="19"/>
      <x:c r="E180" s="62"/>
      <x:c r="F180" s="19"/>
      <x:c r="G180" s="25"/>
      <x:c r="H180" s="25"/>
      <x:c r="I180" s="96" t="str">
        <x:f>IF($A180="","",$E180*$G180-$H180)</x:f>
      </x:c>
    </x:row>
    <x:row r="181">
      <x:c r="A181" s="19"/>
      <x:c r="B181" s="19"/>
      <x:c r="C181" s="19"/>
      <x:c r="D181" s="19"/>
      <x:c r="E181" s="62"/>
      <x:c r="F181" s="19"/>
      <x:c r="G181" s="25"/>
      <x:c r="H181" s="25"/>
      <x:c r="I181" s="96" t="str">
        <x:f>IF($A181="","",$E181*$G181-$H181)</x:f>
      </x:c>
    </x:row>
    <x:row r="182">
      <x:c r="A182" s="19"/>
      <x:c r="B182" s="19"/>
      <x:c r="C182" s="19"/>
      <x:c r="D182" s="19"/>
      <x:c r="E182" s="62"/>
      <x:c r="F182" s="19"/>
      <x:c r="G182" s="25"/>
      <x:c r="H182" s="25"/>
      <x:c r="I182" s="96" t="str">
        <x:f>IF($A182="","",$E182*$G182-$H182)</x:f>
      </x:c>
    </x:row>
    <x:row r="183">
      <x:c r="A183" s="19"/>
      <x:c r="B183" s="19"/>
      <x:c r="C183" s="19"/>
      <x:c r="D183" s="19"/>
      <x:c r="E183" s="62"/>
      <x:c r="F183" s="19"/>
      <x:c r="G183" s="25"/>
      <x:c r="H183" s="25"/>
      <x:c r="I183" s="96" t="str">
        <x:f>IF($A183="","",$E183*$G183-$H183)</x:f>
      </x:c>
    </x:row>
    <x:row r="184">
      <x:c r="A184" s="19"/>
      <x:c r="B184" s="19"/>
      <x:c r="C184" s="19"/>
      <x:c r="D184" s="19"/>
      <x:c r="E184" s="62"/>
      <x:c r="F184" s="19"/>
      <x:c r="G184" s="25"/>
      <x:c r="H184" s="25"/>
      <x:c r="I184" s="96" t="str">
        <x:f>IF($A184="","",$E184*$G184-$H184)</x:f>
      </x:c>
    </x:row>
    <x:row r="185">
      <x:c r="A185" s="19"/>
      <x:c r="B185" s="19"/>
      <x:c r="C185" s="19"/>
      <x:c r="D185" s="19"/>
      <x:c r="E185" s="62"/>
      <x:c r="F185" s="19"/>
      <x:c r="G185" s="25"/>
      <x:c r="H185" s="25"/>
      <x:c r="I185" s="96" t="str">
        <x:f>IF($A185="","",$E185*$G185-$H185)</x:f>
      </x:c>
    </x:row>
    <x:row r="186">
      <x:c r="A186" s="19"/>
      <x:c r="B186" s="19"/>
      <x:c r="C186" s="19"/>
      <x:c r="D186" s="19"/>
      <x:c r="E186" s="62"/>
      <x:c r="F186" s="19"/>
      <x:c r="G186" s="25"/>
      <x:c r="H186" s="25"/>
      <x:c r="I186" s="96" t="str">
        <x:f>IF($A186="","",$E186*$G186-$H186)</x:f>
      </x:c>
    </x:row>
    <x:row r="187">
      <x:c r="A187" s="19"/>
      <x:c r="B187" s="19"/>
      <x:c r="C187" s="19"/>
      <x:c r="D187" s="19"/>
      <x:c r="E187" s="62"/>
      <x:c r="F187" s="19"/>
      <x:c r="G187" s="25"/>
      <x:c r="H187" s="25"/>
      <x:c r="I187" s="96" t="str">
        <x:f>IF($A187="","",$E187*$G187-$H187)</x:f>
      </x:c>
    </x:row>
    <x:row r="188">
      <x:c r="A188" s="19"/>
      <x:c r="B188" s="19"/>
      <x:c r="C188" s="19"/>
      <x:c r="D188" s="19"/>
      <x:c r="E188" s="62"/>
      <x:c r="F188" s="19"/>
      <x:c r="G188" s="25"/>
      <x:c r="H188" s="25"/>
      <x:c r="I188" s="96" t="str">
        <x:f>IF($A188="","",$E188*$G188-$H188)</x:f>
      </x:c>
    </x:row>
    <x:row r="189">
      <x:c r="A189" s="19"/>
      <x:c r="B189" s="19"/>
      <x:c r="C189" s="19"/>
      <x:c r="D189" s="19"/>
      <x:c r="E189" s="62"/>
      <x:c r="F189" s="19"/>
      <x:c r="G189" s="25"/>
      <x:c r="H189" s="25"/>
      <x:c r="I189" s="96" t="str">
        <x:f>IF($A189="","",$E189*$G189-$H189)</x:f>
      </x:c>
    </x:row>
    <x:row r="190">
      <x:c r="A190" s="19"/>
      <x:c r="B190" s="19"/>
      <x:c r="C190" s="19"/>
      <x:c r="D190" s="19"/>
      <x:c r="E190" s="62"/>
      <x:c r="F190" s="19"/>
      <x:c r="G190" s="25"/>
      <x:c r="H190" s="25"/>
      <x:c r="I190" s="96" t="str">
        <x:f>IF($A190="","",$E190*$G190-$H190)</x:f>
      </x:c>
    </x:row>
    <x:row r="191">
      <x:c r="A191" s="19"/>
      <x:c r="B191" s="19"/>
      <x:c r="C191" s="19"/>
      <x:c r="D191" s="19"/>
      <x:c r="E191" s="62"/>
      <x:c r="F191" s="19"/>
      <x:c r="G191" s="25"/>
      <x:c r="H191" s="25"/>
      <x:c r="I191" s="96" t="str">
        <x:f>IF($A191="","",$E191*$G191-$H191)</x:f>
      </x:c>
    </x:row>
    <x:row r="192">
      <x:c r="A192" s="19"/>
      <x:c r="B192" s="19"/>
      <x:c r="C192" s="19"/>
      <x:c r="D192" s="19"/>
      <x:c r="E192" s="62"/>
      <x:c r="F192" s="19"/>
      <x:c r="G192" s="25"/>
      <x:c r="H192" s="25"/>
      <x:c r="I192" s="96" t="str">
        <x:f>IF($A192="","",$E192*$G192-$H192)</x:f>
      </x:c>
    </x:row>
    <x:row r="193">
      <x:c r="A193" s="19"/>
      <x:c r="B193" s="19"/>
      <x:c r="C193" s="19"/>
      <x:c r="D193" s="19"/>
      <x:c r="E193" s="62"/>
      <x:c r="F193" s="19"/>
      <x:c r="G193" s="25"/>
      <x:c r="H193" s="25"/>
      <x:c r="I193" s="96" t="str">
        <x:f>IF($A193="","",$E193*$G193-$H193)</x:f>
      </x:c>
    </x:row>
    <x:row r="194">
      <x:c r="A194" s="19"/>
      <x:c r="B194" s="19"/>
      <x:c r="C194" s="19"/>
      <x:c r="D194" s="19"/>
      <x:c r="E194" s="62"/>
      <x:c r="F194" s="19"/>
      <x:c r="G194" s="25"/>
      <x:c r="H194" s="25"/>
      <x:c r="I194" s="96" t="str">
        <x:f>IF($A194="","",$E194*$G194-$H194)</x:f>
      </x:c>
    </x:row>
    <x:row r="195">
      <x:c r="A195" s="19"/>
      <x:c r="B195" s="19"/>
      <x:c r="C195" s="19"/>
      <x:c r="D195" s="19"/>
      <x:c r="E195" s="62"/>
      <x:c r="F195" s="19"/>
      <x:c r="G195" s="25"/>
      <x:c r="H195" s="25"/>
      <x:c r="I195" s="96" t="str">
        <x:f>IF($A195="","",$E195*$G195-$H195)</x:f>
      </x:c>
    </x:row>
    <x:row r="196">
      <x:c r="A196" s="19"/>
      <x:c r="B196" s="19"/>
      <x:c r="C196" s="19"/>
      <x:c r="D196" s="19"/>
      <x:c r="E196" s="62"/>
      <x:c r="F196" s="19"/>
      <x:c r="G196" s="25"/>
      <x:c r="H196" s="25"/>
      <x:c r="I196" s="96" t="str">
        <x:f>IF($A196="","",$E196*$G196-$H196)</x:f>
      </x:c>
    </x:row>
    <x:row r="197">
      <x:c r="A197" s="19"/>
      <x:c r="B197" s="19"/>
      <x:c r="C197" s="19"/>
      <x:c r="D197" s="19"/>
      <x:c r="E197" s="62"/>
      <x:c r="F197" s="19"/>
      <x:c r="G197" s="25"/>
      <x:c r="H197" s="25"/>
      <x:c r="I197" s="96" t="str">
        <x:f>IF($A197="","",$E197*$G197-$H197)</x:f>
      </x:c>
    </x:row>
    <x:row r="198">
      <x:c r="A198" s="19"/>
      <x:c r="B198" s="19"/>
      <x:c r="C198" s="19"/>
      <x:c r="D198" s="19"/>
      <x:c r="E198" s="62"/>
      <x:c r="F198" s="19"/>
      <x:c r="G198" s="25"/>
      <x:c r="H198" s="25"/>
      <x:c r="I198" s="96" t="str">
        <x:f>IF($A198="","",$E198*$G198-$H198)</x:f>
      </x:c>
    </x:row>
    <x:row r="199">
      <x:c r="A199" s="19"/>
      <x:c r="B199" s="19"/>
      <x:c r="C199" s="19"/>
      <x:c r="D199" s="19"/>
      <x:c r="E199" s="62"/>
      <x:c r="F199" s="19"/>
      <x:c r="G199" s="25"/>
      <x:c r="H199" s="25"/>
      <x:c r="I199" s="96" t="str">
        <x:f>IF($A199="","",$E199*$G199-$H199)</x:f>
      </x:c>
    </x:row>
    <x:row r="200">
      <x:c r="A200" s="19"/>
      <x:c r="B200" s="19"/>
      <x:c r="C200" s="19"/>
      <x:c r="D200" s="19"/>
      <x:c r="E200" s="62"/>
      <x:c r="F200" s="19"/>
      <x:c r="G200" s="25"/>
      <x:c r="H200" s="25"/>
      <x:c r="I200" s="96" t="str">
        <x:f>IF($A200="","",$E200*$G200-$H200)</x:f>
      </x:c>
    </x:row>
    <x:row r="201">
      <x:c r="A201" s="19"/>
      <x:c r="B201" s="19"/>
      <x:c r="C201" s="19"/>
      <x:c r="D201" s="19"/>
      <x:c r="E201" s="62"/>
      <x:c r="F201" s="19"/>
      <x:c r="G201" s="25"/>
      <x:c r="H201" s="25"/>
      <x:c r="I201" s="96" t="str">
        <x:f>IF($A201="","",$E201*$G201-$H201)</x:f>
      </x:c>
    </x:row>
    <x:row r="202">
      <x:c r="A202" s="19"/>
      <x:c r="B202" s="19"/>
      <x:c r="C202" s="19"/>
      <x:c r="D202" s="19"/>
      <x:c r="E202" s="62"/>
      <x:c r="F202" s="19"/>
      <x:c r="G202" s="25"/>
      <x:c r="H202" s="25"/>
      <x:c r="I202" s="96" t="str">
        <x:f>IF($A202="","",$E202*$G202-$H202)</x:f>
      </x:c>
    </x:row>
    <x:row r="203">
      <x:c r="A203" s="19"/>
      <x:c r="B203" s="19"/>
      <x:c r="C203" s="19"/>
      <x:c r="D203" s="19"/>
      <x:c r="E203" s="62"/>
      <x:c r="F203" s="19"/>
      <x:c r="G203" s="25"/>
      <x:c r="H203" s="25"/>
      <x:c r="I203" s="96" t="str">
        <x:f>IF($A203="","",$E203*$G203-$H203)</x:f>
      </x:c>
    </x:row>
    <x:row r="204">
      <x:c r="A204" s="19"/>
      <x:c r="B204" s="19"/>
      <x:c r="C204" s="19"/>
      <x:c r="D204" s="19"/>
      <x:c r="E204" s="62"/>
      <x:c r="F204" s="19"/>
      <x:c r="G204" s="25"/>
      <x:c r="H204" s="25"/>
      <x:c r="I204" s="96" t="str">
        <x:f>IF($A204="","",$E204*$G204-$H204)</x:f>
      </x:c>
    </x:row>
    <x:row r="205">
      <x:c r="A205" s="19"/>
      <x:c r="B205" s="19"/>
      <x:c r="C205" s="19"/>
      <x:c r="D205" s="19"/>
      <x:c r="E205" s="62"/>
      <x:c r="F205" s="19"/>
      <x:c r="G205" s="25"/>
      <x:c r="H205" s="25"/>
      <x:c r="I205" s="96" t="str">
        <x:f>IF($A205="","",$E205*$G205-$H205)</x:f>
      </x:c>
    </x:row>
    <x:row r="206">
      <x:c r="A206" s="19"/>
      <x:c r="B206" s="19"/>
      <x:c r="C206" s="19"/>
      <x:c r="D206" s="19"/>
      <x:c r="E206" s="62"/>
      <x:c r="F206" s="19"/>
      <x:c r="G206" s="25"/>
      <x:c r="H206" s="25"/>
      <x:c r="I206" s="96" t="str">
        <x:f>IF($A206="","",$E206*$G206-$H206)</x:f>
      </x:c>
    </x:row>
    <x:row r="207">
      <x:c r="A207" s="19"/>
      <x:c r="B207" s="19"/>
      <x:c r="C207" s="19"/>
      <x:c r="D207" s="19"/>
      <x:c r="E207" s="62"/>
      <x:c r="F207" s="19"/>
      <x:c r="G207" s="25"/>
      <x:c r="H207" s="25"/>
      <x:c r="I207" s="96" t="str">
        <x:f>IF($A207="","",$E207*$G207-$H207)</x:f>
      </x:c>
    </x:row>
    <x:row r="208">
      <x:c r="A208" s="19"/>
      <x:c r="B208" s="19"/>
      <x:c r="C208" s="19"/>
      <x:c r="D208" s="19"/>
      <x:c r="E208" s="62"/>
      <x:c r="F208" s="19"/>
      <x:c r="G208" s="25"/>
      <x:c r="H208" s="25"/>
      <x:c r="I208" s="96" t="str">
        <x:f>IF($A208="","",$E208*$G208-$H208)</x:f>
      </x:c>
    </x:row>
    <x:row r="209">
      <x:c r="A209" s="19"/>
      <x:c r="B209" s="19"/>
      <x:c r="C209" s="19"/>
      <x:c r="D209" s="19"/>
      <x:c r="E209" s="62"/>
      <x:c r="F209" s="19"/>
      <x:c r="G209" s="25"/>
      <x:c r="H209" s="25"/>
      <x:c r="I209" s="96" t="str">
        <x:f>IF($A209="","",$E209*$G209-$H209)</x:f>
      </x:c>
    </x:row>
    <x:row r="210">
      <x:c r="A210" s="19"/>
      <x:c r="B210" s="19"/>
      <x:c r="C210" s="19"/>
      <x:c r="D210" s="19"/>
      <x:c r="E210" s="62"/>
      <x:c r="F210" s="19"/>
      <x:c r="G210" s="25"/>
      <x:c r="H210" s="25"/>
      <x:c r="I210" s="96" t="str">
        <x:f>IF($A210="","",$E210*$G210-$H210)</x:f>
      </x:c>
    </x:row>
    <x:row r="211">
      <x:c r="A211" s="19"/>
      <x:c r="B211" s="19"/>
      <x:c r="C211" s="19"/>
      <x:c r="D211" s="19"/>
      <x:c r="E211" s="62"/>
      <x:c r="F211" s="19"/>
      <x:c r="G211" s="25"/>
      <x:c r="H211" s="25"/>
      <x:c r="I211" s="96" t="str">
        <x:f>IF($A211="","",$E211*$G211-$H211)</x:f>
      </x:c>
    </x:row>
    <x:row r="212">
      <x:c r="A212" s="19"/>
      <x:c r="B212" s="19"/>
      <x:c r="C212" s="19"/>
      <x:c r="D212" s="19"/>
      <x:c r="E212" s="62"/>
      <x:c r="F212" s="19"/>
      <x:c r="G212" s="25"/>
      <x:c r="H212" s="25"/>
      <x:c r="I212" s="96" t="str">
        <x:f>IF($A212="","",$E212*$G212-$H212)</x:f>
      </x:c>
    </x:row>
    <x:row r="213">
      <x:c r="A213" s="19"/>
      <x:c r="B213" s="19"/>
      <x:c r="C213" s="19"/>
      <x:c r="D213" s="19"/>
      <x:c r="E213" s="62"/>
      <x:c r="F213" s="19"/>
      <x:c r="G213" s="25"/>
      <x:c r="H213" s="25"/>
      <x:c r="I213" s="96" t="str">
        <x:f>IF($A213="","",$E213*$G213-$H213)</x:f>
      </x:c>
    </x:row>
    <x:row r="214">
      <x:c r="A214" s="19"/>
      <x:c r="B214" s="19"/>
      <x:c r="C214" s="19"/>
      <x:c r="D214" s="19"/>
      <x:c r="E214" s="62"/>
      <x:c r="F214" s="19"/>
      <x:c r="G214" s="25"/>
      <x:c r="H214" s="25"/>
      <x:c r="I214" s="96" t="str">
        <x:f>IF($A214="","",$E214*$G214-$H214)</x:f>
      </x:c>
    </x:row>
    <x:row r="215">
      <x:c r="A215" s="19"/>
      <x:c r="B215" s="19"/>
      <x:c r="C215" s="19"/>
      <x:c r="D215" s="19"/>
      <x:c r="E215" s="62"/>
      <x:c r="F215" s="19"/>
      <x:c r="G215" s="25"/>
      <x:c r="H215" s="25"/>
      <x:c r="I215" s="96" t="str">
        <x:f>IF($A215="","",$E215*$G215-$H215)</x:f>
      </x:c>
    </x:row>
    <x:row r="216">
      <x:c r="A216" s="19"/>
      <x:c r="B216" s="19"/>
      <x:c r="C216" s="19"/>
      <x:c r="D216" s="19"/>
      <x:c r="E216" s="62"/>
      <x:c r="F216" s="19"/>
      <x:c r="G216" s="25"/>
      <x:c r="H216" s="25"/>
      <x:c r="I216" s="96" t="str">
        <x:f>IF($A216="","",$E216*$G216-$H216)</x:f>
      </x:c>
    </x:row>
    <x:row r="217">
      <x:c r="A217" s="19"/>
      <x:c r="B217" s="19"/>
      <x:c r="C217" s="19"/>
      <x:c r="D217" s="19"/>
      <x:c r="E217" s="62"/>
      <x:c r="F217" s="19"/>
      <x:c r="G217" s="25"/>
      <x:c r="H217" s="25"/>
      <x:c r="I217" s="96" t="str">
        <x:f>IF($A217="","",$E217*$G217-$H217)</x:f>
      </x:c>
    </x:row>
    <x:row r="218">
      <x:c r="A218" s="19"/>
      <x:c r="B218" s="19"/>
      <x:c r="C218" s="19"/>
      <x:c r="D218" s="19"/>
      <x:c r="E218" s="62"/>
      <x:c r="F218" s="19"/>
      <x:c r="G218" s="25"/>
      <x:c r="H218" s="25"/>
      <x:c r="I218" s="96" t="str">
        <x:f>IF($A218="","",$E218*$G218-$H218)</x:f>
      </x:c>
    </x:row>
    <x:row r="219">
      <x:c r="A219" s="19"/>
      <x:c r="B219" s="19"/>
      <x:c r="C219" s="19"/>
      <x:c r="D219" s="19"/>
      <x:c r="E219" s="62"/>
      <x:c r="F219" s="19"/>
      <x:c r="G219" s="25"/>
      <x:c r="H219" s="25"/>
      <x:c r="I219" s="96" t="str">
        <x:f>IF($A219="","",$E219*$G219-$H219)</x:f>
      </x:c>
    </x:row>
    <x:row r="220">
      <x:c r="A220" s="19"/>
      <x:c r="B220" s="19"/>
      <x:c r="C220" s="19"/>
      <x:c r="D220" s="19"/>
      <x:c r="E220" s="62"/>
      <x:c r="F220" s="19"/>
      <x:c r="G220" s="25"/>
      <x:c r="H220" s="25"/>
      <x:c r="I220" s="96" t="str">
        <x:f>IF($A220="","",$E220*$G220-$H220)</x:f>
      </x:c>
    </x:row>
    <x:row r="221">
      <x:c r="A221" s="19"/>
      <x:c r="B221" s="19"/>
      <x:c r="C221" s="19"/>
      <x:c r="D221" s="19"/>
      <x:c r="E221" s="62"/>
      <x:c r="F221" s="19"/>
      <x:c r="G221" s="25"/>
      <x:c r="H221" s="25"/>
      <x:c r="I221" s="96" t="str">
        <x:f>IF($A221="","",$E221*$G221-$H221)</x:f>
      </x:c>
    </x:row>
    <x:row r="222">
      <x:c r="A222" s="19"/>
      <x:c r="B222" s="19"/>
      <x:c r="C222" s="19"/>
      <x:c r="D222" s="19"/>
      <x:c r="E222" s="62"/>
      <x:c r="F222" s="19"/>
      <x:c r="G222" s="25"/>
      <x:c r="H222" s="25"/>
      <x:c r="I222" s="96" t="str">
        <x:f>IF($A222="","",$E222*$G222-$H222)</x:f>
      </x:c>
    </x:row>
    <x:row r="223">
      <x:c r="A223" s="19"/>
      <x:c r="B223" s="19"/>
      <x:c r="C223" s="19"/>
      <x:c r="D223" s="19"/>
      <x:c r="E223" s="62"/>
      <x:c r="F223" s="19"/>
      <x:c r="G223" s="25"/>
      <x:c r="H223" s="25"/>
      <x:c r="I223" s="96" t="str">
        <x:f>IF($A223="","",$E223*$G223-$H223)</x:f>
      </x:c>
    </x:row>
    <x:row r="224">
      <x:c r="A224" s="19"/>
      <x:c r="B224" s="19"/>
      <x:c r="C224" s="19"/>
      <x:c r="D224" s="19"/>
      <x:c r="E224" s="62"/>
      <x:c r="F224" s="19"/>
      <x:c r="G224" s="25"/>
      <x:c r="H224" s="25"/>
      <x:c r="I224" s="96" t="str">
        <x:f>IF($A224="","",$E224*$G224-$H224)</x:f>
      </x:c>
    </x:row>
    <x:row r="225">
      <x:c r="A225" s="19"/>
      <x:c r="B225" s="19"/>
      <x:c r="C225" s="19"/>
      <x:c r="D225" s="19"/>
      <x:c r="E225" s="62"/>
      <x:c r="F225" s="19"/>
      <x:c r="G225" s="25"/>
      <x:c r="H225" s="25"/>
      <x:c r="I225" s="96" t="str">
        <x:f>IF($A225="","",$E225*$G225-$H225)</x:f>
      </x:c>
    </x:row>
    <x:row r="226">
      <x:c r="A226" s="19"/>
      <x:c r="B226" s="19"/>
      <x:c r="C226" s="19"/>
      <x:c r="D226" s="19"/>
      <x:c r="E226" s="62"/>
      <x:c r="F226" s="19"/>
      <x:c r="G226" s="25"/>
      <x:c r="H226" s="25"/>
      <x:c r="I226" s="96" t="str">
        <x:f>IF($A226="","",$E226*$G226-$H226)</x:f>
      </x:c>
    </x:row>
    <x:row r="227">
      <x:c r="A227" s="19"/>
      <x:c r="B227" s="19"/>
      <x:c r="C227" s="19"/>
      <x:c r="D227" s="19"/>
      <x:c r="E227" s="62"/>
      <x:c r="F227" s="19"/>
      <x:c r="G227" s="25"/>
      <x:c r="H227" s="25"/>
      <x:c r="I227" s="96" t="str">
        <x:f>IF($A227="","",$E227*$G227-$H227)</x:f>
      </x:c>
    </x:row>
    <x:row r="228">
      <x:c r="A228" s="19"/>
      <x:c r="B228" s="19"/>
      <x:c r="C228" s="19"/>
      <x:c r="D228" s="19"/>
      <x:c r="E228" s="62"/>
      <x:c r="F228" s="19"/>
      <x:c r="G228" s="25"/>
      <x:c r="H228" s="25"/>
      <x:c r="I228" s="96" t="str">
        <x:f>IF($A228="","",$E228*$G228-$H228)</x:f>
      </x:c>
    </x:row>
    <x:row r="229">
      <x:c r="A229" s="19"/>
      <x:c r="B229" s="19"/>
      <x:c r="C229" s="19"/>
      <x:c r="D229" s="19"/>
      <x:c r="E229" s="62"/>
      <x:c r="F229" s="19"/>
      <x:c r="G229" s="25"/>
      <x:c r="H229" s="25"/>
      <x:c r="I229" s="96" t="str">
        <x:f>IF($A229="","",$E229*$G229-$H229)</x:f>
      </x:c>
    </x:row>
    <x:row r="230">
      <x:c r="A230" s="19"/>
      <x:c r="B230" s="19"/>
      <x:c r="C230" s="19"/>
      <x:c r="D230" s="19"/>
      <x:c r="E230" s="62"/>
      <x:c r="F230" s="19"/>
      <x:c r="G230" s="25"/>
      <x:c r="H230" s="25"/>
      <x:c r="I230" s="96" t="str">
        <x:f>IF($A230="","",$E230*$G230-$H230)</x:f>
      </x:c>
    </x:row>
    <x:row r="231">
      <x:c r="A231" s="19"/>
      <x:c r="B231" s="19"/>
      <x:c r="C231" s="19"/>
      <x:c r="D231" s="19"/>
      <x:c r="E231" s="62"/>
      <x:c r="F231" s="19"/>
      <x:c r="G231" s="25"/>
      <x:c r="H231" s="25"/>
      <x:c r="I231" s="96" t="str">
        <x:f>IF($A231="","",$E231*$G231-$H231)</x:f>
      </x:c>
    </x:row>
    <x:row r="232">
      <x:c r="A232" s="19"/>
      <x:c r="B232" s="19"/>
      <x:c r="C232" s="19"/>
      <x:c r="D232" s="19"/>
      <x:c r="E232" s="62"/>
      <x:c r="F232" s="19"/>
      <x:c r="G232" s="25"/>
      <x:c r="H232" s="25"/>
      <x:c r="I232" s="96" t="str">
        <x:f>IF($A232="","",$E232*$G232-$H232)</x:f>
      </x:c>
    </x:row>
    <x:row r="233">
      <x:c r="A233" s="19"/>
      <x:c r="B233" s="19"/>
      <x:c r="C233" s="19"/>
      <x:c r="D233" s="19"/>
      <x:c r="E233" s="62"/>
      <x:c r="F233" s="19"/>
      <x:c r="G233" s="25"/>
      <x:c r="H233" s="25"/>
      <x:c r="I233" s="96" t="str">
        <x:f>IF($A233="","",$E233*$G233-$H233)</x:f>
      </x:c>
    </x:row>
    <x:row r="234">
      <x:c r="A234" s="19"/>
      <x:c r="B234" s="19"/>
      <x:c r="C234" s="19"/>
      <x:c r="D234" s="19"/>
      <x:c r="E234" s="62"/>
      <x:c r="F234" s="19"/>
      <x:c r="G234" s="25"/>
      <x:c r="H234" s="25"/>
      <x:c r="I234" s="96" t="str">
        <x:f>IF($A234="","",$E234*$G234-$H234)</x:f>
      </x:c>
    </x:row>
    <x:row r="235">
      <x:c r="A235" s="19"/>
      <x:c r="B235" s="19"/>
      <x:c r="C235" s="19"/>
      <x:c r="D235" s="19"/>
      <x:c r="E235" s="62"/>
      <x:c r="F235" s="19"/>
      <x:c r="G235" s="25"/>
      <x:c r="H235" s="25"/>
      <x:c r="I235" s="96" t="str">
        <x:f>IF($A235="","",$E235*$G235-$H235)</x:f>
      </x:c>
    </x:row>
    <x:row r="236">
      <x:c r="A236" s="19"/>
      <x:c r="B236" s="19"/>
      <x:c r="C236" s="19"/>
      <x:c r="D236" s="19"/>
      <x:c r="E236" s="62"/>
      <x:c r="F236" s="19"/>
      <x:c r="G236" s="25"/>
      <x:c r="H236" s="25"/>
      <x:c r="I236" s="96" t="str">
        <x:f>IF($A236="","",$E236*$G236-$H236)</x:f>
      </x:c>
    </x:row>
    <x:row r="237">
      <x:c r="A237" s="19"/>
      <x:c r="B237" s="19"/>
      <x:c r="C237" s="19"/>
      <x:c r="D237" s="19"/>
      <x:c r="E237" s="62"/>
      <x:c r="F237" s="19"/>
      <x:c r="G237" s="25"/>
      <x:c r="H237" s="25"/>
      <x:c r="I237" s="96" t="str">
        <x:f>IF($A237="","",$E237*$G237-$H237)</x:f>
      </x:c>
    </x:row>
    <x:row r="238">
      <x:c r="A238" s="19"/>
      <x:c r="B238" s="19"/>
      <x:c r="C238" s="19"/>
      <x:c r="D238" s="19"/>
      <x:c r="E238" s="62"/>
      <x:c r="F238" s="19"/>
      <x:c r="G238" s="25"/>
      <x:c r="H238" s="25"/>
      <x:c r="I238" s="96" t="str">
        <x:f>IF($A238="","",$E238*$G238-$H238)</x:f>
      </x:c>
    </x:row>
    <x:row r="239">
      <x:c r="A239" s="19"/>
      <x:c r="B239" s="19"/>
      <x:c r="C239" s="19"/>
      <x:c r="D239" s="19"/>
      <x:c r="E239" s="62"/>
      <x:c r="F239" s="19"/>
      <x:c r="G239" s="25"/>
      <x:c r="H239" s="25"/>
      <x:c r="I239" s="96" t="str">
        <x:f>IF($A239="","",$E239*$G239-$H239)</x:f>
      </x:c>
    </x:row>
    <x:row r="240">
      <x:c r="A240" s="19"/>
      <x:c r="B240" s="19"/>
      <x:c r="C240" s="19"/>
      <x:c r="D240" s="19"/>
      <x:c r="E240" s="62"/>
      <x:c r="F240" s="19"/>
      <x:c r="G240" s="25"/>
      <x:c r="H240" s="25"/>
      <x:c r="I240" s="96" t="str">
        <x:f>IF($A240="","",$E240*$G240-$H240)</x:f>
      </x:c>
    </x:row>
    <x:row r="241">
      <x:c r="A241" s="19"/>
      <x:c r="B241" s="19"/>
      <x:c r="C241" s="19"/>
      <x:c r="D241" s="19"/>
      <x:c r="E241" s="62"/>
      <x:c r="F241" s="19"/>
      <x:c r="G241" s="25"/>
      <x:c r="H241" s="25"/>
      <x:c r="I241" s="96" t="str">
        <x:f>IF($A241="","",$E241*$G241-$H241)</x:f>
      </x:c>
    </x:row>
    <x:row r="242">
      <x:c r="A242" s="19"/>
      <x:c r="B242" s="19"/>
      <x:c r="C242" s="19"/>
      <x:c r="D242" s="19"/>
      <x:c r="E242" s="62"/>
      <x:c r="F242" s="19"/>
      <x:c r="G242" s="25"/>
      <x:c r="H242" s="25"/>
      <x:c r="I242" s="96" t="str">
        <x:f>IF($A242="","",$E242*$G242-$H242)</x:f>
      </x:c>
    </x:row>
    <x:row r="243">
      <x:c r="A243" s="19"/>
      <x:c r="B243" s="19"/>
      <x:c r="C243" s="19"/>
      <x:c r="D243" s="19"/>
      <x:c r="E243" s="62"/>
      <x:c r="F243" s="19"/>
      <x:c r="G243" s="25"/>
      <x:c r="H243" s="25"/>
      <x:c r="I243" s="96" t="str">
        <x:f>IF($A243="","",$E243*$G243-$H243)</x:f>
      </x:c>
    </x:row>
    <x:row r="244">
      <x:c r="A244" s="19"/>
      <x:c r="B244" s="19"/>
      <x:c r="C244" s="19"/>
      <x:c r="D244" s="19"/>
      <x:c r="E244" s="62"/>
      <x:c r="F244" s="19"/>
      <x:c r="G244" s="25"/>
      <x:c r="H244" s="25"/>
      <x:c r="I244" s="96" t="str">
        <x:f>IF($A244="","",$E244*$G244-$H244)</x:f>
      </x:c>
    </x:row>
    <x:row r="245">
      <x:c r="A245" s="19"/>
      <x:c r="B245" s="19"/>
      <x:c r="C245" s="19"/>
      <x:c r="D245" s="19"/>
      <x:c r="E245" s="62"/>
      <x:c r="F245" s="19"/>
      <x:c r="G245" s="25"/>
      <x:c r="H245" s="25"/>
      <x:c r="I245" s="96" t="str">
        <x:f>IF($A245="","",$E245*$G245-$H245)</x:f>
      </x:c>
    </x:row>
    <x:row r="246">
      <x:c r="A246" s="19"/>
      <x:c r="B246" s="19"/>
      <x:c r="C246" s="19"/>
      <x:c r="D246" s="19"/>
      <x:c r="E246" s="62"/>
      <x:c r="F246" s="19"/>
      <x:c r="G246" s="25"/>
      <x:c r="H246" s="25"/>
      <x:c r="I246" s="96" t="str">
        <x:f>IF($A246="","",$E246*$G246-$H246)</x:f>
      </x:c>
    </x:row>
    <x:row r="247">
      <x:c r="A247" s="19"/>
      <x:c r="B247" s="19"/>
      <x:c r="C247" s="19"/>
      <x:c r="D247" s="19"/>
      <x:c r="E247" s="62"/>
      <x:c r="F247" s="19"/>
      <x:c r="G247" s="25"/>
      <x:c r="H247" s="25"/>
      <x:c r="I247" s="96" t="str">
        <x:f>IF($A247="","",$E247*$G247-$H247)</x:f>
      </x:c>
    </x:row>
    <x:row r="248">
      <x:c r="A248" s="19"/>
      <x:c r="B248" s="19"/>
      <x:c r="C248" s="19"/>
      <x:c r="D248" s="19"/>
      <x:c r="E248" s="62"/>
      <x:c r="F248" s="19"/>
      <x:c r="G248" s="25"/>
      <x:c r="H248" s="25"/>
      <x:c r="I248" s="96" t="str">
        <x:f>IF($A248="","",$E248*$G248-$H248)</x:f>
      </x:c>
    </x:row>
    <x:row r="249">
      <x:c r="A249" s="19"/>
      <x:c r="B249" s="19"/>
      <x:c r="C249" s="19"/>
      <x:c r="D249" s="19"/>
      <x:c r="E249" s="62"/>
      <x:c r="F249" s="19"/>
      <x:c r="G249" s="25"/>
      <x:c r="H249" s="25"/>
      <x:c r="I249" s="96" t="str">
        <x:f>IF($A249="","",$E249*$G249-$H249)</x:f>
      </x:c>
    </x:row>
    <x:row r="250">
      <x:c r="A250" s="19"/>
      <x:c r="B250" s="19"/>
      <x:c r="C250" s="19"/>
      <x:c r="D250" s="19"/>
      <x:c r="E250" s="62"/>
      <x:c r="F250" s="19"/>
      <x:c r="G250" s="25"/>
      <x:c r="H250" s="25"/>
      <x:c r="I250" s="96" t="str">
        <x:f>IF($A250="","",$E250*$G250-$H250)</x:f>
      </x:c>
    </x:row>
    <x:row r="251">
      <x:c r="A251" s="19"/>
      <x:c r="B251" s="19"/>
      <x:c r="C251" s="19"/>
      <x:c r="D251" s="19"/>
      <x:c r="E251" s="62"/>
      <x:c r="F251" s="19"/>
      <x:c r="G251" s="25"/>
      <x:c r="H251" s="25"/>
      <x:c r="I251" s="96" t="str">
        <x:f>IF($A251="","",$E251*$G251-$H251)</x:f>
      </x:c>
    </x:row>
    <x:row r="252">
      <x:c r="A252" s="19"/>
      <x:c r="B252" s="19"/>
      <x:c r="C252" s="19"/>
      <x:c r="D252" s="19"/>
      <x:c r="E252" s="62"/>
      <x:c r="F252" s="19"/>
      <x:c r="G252" s="25"/>
      <x:c r="H252" s="25"/>
      <x:c r="I252" s="96" t="str">
        <x:f>IF($A252="","",$E252*$G252-$H252)</x:f>
      </x:c>
    </x:row>
    <x:row r="253">
      <x:c r="A253" s="19"/>
      <x:c r="B253" s="19"/>
      <x:c r="C253" s="19"/>
      <x:c r="D253" s="19"/>
      <x:c r="E253" s="62"/>
      <x:c r="F253" s="19"/>
      <x:c r="G253" s="25"/>
      <x:c r="H253" s="25"/>
      <x:c r="I253" s="96" t="str">
        <x:f>IF($A253="","",$E253*$G253-$H253)</x:f>
      </x:c>
    </x:row>
    <x:row r="254">
      <x:c r="A254" s="19"/>
      <x:c r="B254" s="19"/>
      <x:c r="C254" s="19"/>
      <x:c r="D254" s="19"/>
      <x:c r="E254" s="62"/>
      <x:c r="F254" s="19"/>
      <x:c r="G254" s="25"/>
      <x:c r="H254" s="25"/>
      <x:c r="I254" s="96" t="str">
        <x:f>IF($A254="","",$E254*$G254-$H254)</x:f>
      </x:c>
    </x:row>
    <x:row r="255">
      <x:c r="A255" s="19"/>
      <x:c r="B255" s="19"/>
      <x:c r="C255" s="19"/>
      <x:c r="D255" s="19"/>
      <x:c r="E255" s="62"/>
      <x:c r="F255" s="19"/>
      <x:c r="G255" s="25"/>
      <x:c r="H255" s="25"/>
      <x:c r="I255" s="96" t="str">
        <x:f>IF($A255="","",$E255*$G255-$H255)</x:f>
      </x:c>
    </x:row>
    <x:row r="256">
      <x:c r="A256" s="19"/>
      <x:c r="B256" s="19"/>
      <x:c r="C256" s="19"/>
      <x:c r="D256" s="19"/>
      <x:c r="E256" s="62"/>
      <x:c r="F256" s="19"/>
      <x:c r="G256" s="25"/>
      <x:c r="H256" s="25"/>
      <x:c r="I256" s="96" t="str">
        <x:f>IF($A256="","",$E256*$G256-$H256)</x:f>
      </x:c>
    </x:row>
    <x:row r="257">
      <x:c r="A257" s="19"/>
      <x:c r="B257" s="19"/>
      <x:c r="C257" s="19"/>
      <x:c r="D257" s="19"/>
      <x:c r="E257" s="62"/>
      <x:c r="F257" s="19"/>
      <x:c r="G257" s="25"/>
      <x:c r="H257" s="25"/>
      <x:c r="I257" s="96" t="str">
        <x:f>IF($A257="","",$E257*$G257-$H257)</x:f>
      </x:c>
    </x:row>
    <x:row r="258">
      <x:c r="A258" s="19"/>
      <x:c r="B258" s="19"/>
      <x:c r="C258" s="19"/>
      <x:c r="D258" s="19"/>
      <x:c r="E258" s="62"/>
      <x:c r="F258" s="19"/>
      <x:c r="G258" s="25"/>
      <x:c r="H258" s="25"/>
      <x:c r="I258" s="96" t="str">
        <x:f>IF($A258="","",$E258*$G258-$H258)</x:f>
      </x:c>
    </x:row>
    <x:row r="259">
      <x:c r="A259" s="19"/>
      <x:c r="B259" s="19"/>
      <x:c r="C259" s="19"/>
      <x:c r="D259" s="19"/>
      <x:c r="E259" s="62"/>
      <x:c r="F259" s="19"/>
      <x:c r="G259" s="25"/>
      <x:c r="H259" s="25"/>
      <x:c r="I259" s="96" t="str">
        <x:f>IF($A259="","",$E259*$G259-$H259)</x:f>
      </x:c>
    </x:row>
    <x:row r="260">
      <x:c r="A260" s="19"/>
      <x:c r="B260" s="19"/>
      <x:c r="C260" s="19"/>
      <x:c r="D260" s="19"/>
      <x:c r="E260" s="62"/>
      <x:c r="F260" s="19"/>
      <x:c r="G260" s="25"/>
      <x:c r="H260" s="25"/>
      <x:c r="I260" s="96" t="str">
        <x:f>IF($A260="","",$E260*$G260-$H260)</x:f>
      </x:c>
    </x:row>
    <x:row r="261">
      <x:c r="A261" s="19"/>
      <x:c r="B261" s="19"/>
      <x:c r="C261" s="19"/>
      <x:c r="D261" s="19"/>
      <x:c r="E261" s="62"/>
      <x:c r="F261" s="19"/>
      <x:c r="G261" s="25"/>
      <x:c r="H261" s="25"/>
      <x:c r="I261" s="96" t="str">
        <x:f>IF($A261="","",$E261*$G261-$H261)</x:f>
      </x:c>
    </x:row>
    <x:row r="262">
      <x:c r="A262" s="19"/>
      <x:c r="B262" s="19"/>
      <x:c r="C262" s="19"/>
      <x:c r="D262" s="19"/>
      <x:c r="E262" s="62"/>
      <x:c r="F262" s="19"/>
      <x:c r="G262" s="25"/>
      <x:c r="H262" s="25"/>
      <x:c r="I262" s="96" t="str">
        <x:f>IF($A262="","",$E262*$G262-$H262)</x:f>
      </x:c>
    </x:row>
    <x:row r="263">
      <x:c r="A263" s="19"/>
      <x:c r="B263" s="19"/>
      <x:c r="C263" s="19"/>
      <x:c r="D263" s="19"/>
      <x:c r="E263" s="62"/>
      <x:c r="F263" s="19"/>
      <x:c r="G263" s="25"/>
      <x:c r="H263" s="25"/>
      <x:c r="I263" s="96" t="str">
        <x:f>IF($A263="","",$E263*$G263-$H263)</x:f>
      </x:c>
    </x:row>
    <x:row r="264">
      <x:c r="A264" s="19"/>
      <x:c r="B264" s="19"/>
      <x:c r="C264" s="19"/>
      <x:c r="D264" s="19"/>
      <x:c r="E264" s="62"/>
      <x:c r="F264" s="19"/>
      <x:c r="G264" s="25"/>
      <x:c r="H264" s="25"/>
      <x:c r="I264" s="96" t="str">
        <x:f>IF($A264="","",$E264*$G264-$H264)</x:f>
      </x:c>
    </x:row>
    <x:row r="265">
      <x:c r="A265" s="19"/>
      <x:c r="B265" s="19"/>
      <x:c r="C265" s="19"/>
      <x:c r="D265" s="19"/>
      <x:c r="E265" s="62"/>
      <x:c r="F265" s="19"/>
      <x:c r="G265" s="25"/>
      <x:c r="H265" s="25"/>
      <x:c r="I265" s="96" t="str">
        <x:f>IF($A265="","",$E265*$G265-$H265)</x:f>
      </x:c>
    </x:row>
    <x:row r="266">
      <x:c r="A266" s="19"/>
      <x:c r="B266" s="19"/>
      <x:c r="C266" s="19"/>
      <x:c r="D266" s="19"/>
      <x:c r="E266" s="62"/>
      <x:c r="F266" s="19"/>
      <x:c r="G266" s="25"/>
      <x:c r="H266" s="25"/>
      <x:c r="I266" s="96" t="str">
        <x:f>IF($A266="","",$E266*$G266-$H266)</x:f>
      </x:c>
    </x:row>
    <x:row r="267">
      <x:c r="A267" s="19"/>
      <x:c r="B267" s="19"/>
      <x:c r="C267" s="19"/>
      <x:c r="D267" s="19"/>
      <x:c r="E267" s="62"/>
      <x:c r="F267" s="19"/>
      <x:c r="G267" s="25"/>
      <x:c r="H267" s="25"/>
      <x:c r="I267" s="96" t="str">
        <x:f>IF($A267="","",$E267*$G267-$H267)</x:f>
      </x:c>
    </x:row>
    <x:row r="268">
      <x:c r="A268" s="19"/>
      <x:c r="B268" s="19"/>
      <x:c r="C268" s="19"/>
      <x:c r="D268" s="19"/>
      <x:c r="E268" s="62"/>
      <x:c r="F268" s="19"/>
      <x:c r="G268" s="25"/>
      <x:c r="H268" s="25"/>
      <x:c r="I268" s="96" t="str">
        <x:f>IF($A268="","",$E268*$G268-$H268)</x:f>
      </x:c>
    </x:row>
    <x:row r="269">
      <x:c r="A269" s="19"/>
      <x:c r="B269" s="19"/>
      <x:c r="C269" s="19"/>
      <x:c r="D269" s="19"/>
      <x:c r="E269" s="62"/>
      <x:c r="F269" s="19"/>
      <x:c r="G269" s="25"/>
      <x:c r="H269" s="25"/>
      <x:c r="I269" s="96" t="str">
        <x:f>IF($A269="","",$E269*$G269-$H269)</x:f>
      </x:c>
    </x:row>
    <x:row r="270">
      <x:c r="A270" s="19"/>
      <x:c r="B270" s="19"/>
      <x:c r="C270" s="19"/>
      <x:c r="D270" s="19"/>
      <x:c r="E270" s="62"/>
      <x:c r="F270" s="19"/>
      <x:c r="G270" s="25"/>
      <x:c r="H270" s="25"/>
      <x:c r="I270" s="96" t="str">
        <x:f>IF($A270="","",$E270*$G270-$H270)</x:f>
      </x:c>
    </x:row>
    <x:row r="271">
      <x:c r="A271" s="19"/>
      <x:c r="B271" s="19"/>
      <x:c r="C271" s="19"/>
      <x:c r="D271" s="19"/>
      <x:c r="E271" s="62"/>
      <x:c r="F271" s="19"/>
      <x:c r="G271" s="25"/>
      <x:c r="H271" s="25"/>
      <x:c r="I271" s="96" t="str">
        <x:f>IF($A271="","",$E271*$G271-$H271)</x:f>
      </x:c>
    </x:row>
    <x:row r="272">
      <x:c r="A272" s="19"/>
      <x:c r="B272" s="19"/>
      <x:c r="C272" s="19"/>
      <x:c r="D272" s="19"/>
      <x:c r="E272" s="62"/>
      <x:c r="F272" s="19"/>
      <x:c r="G272" s="25"/>
      <x:c r="H272" s="25"/>
      <x:c r="I272" s="96" t="str">
        <x:f>IF($A272="","",$E272*$G272-$H272)</x:f>
      </x:c>
    </x:row>
    <x:row r="273">
      <x:c r="A273" s="19"/>
      <x:c r="B273" s="19"/>
      <x:c r="C273" s="19"/>
      <x:c r="D273" s="19"/>
      <x:c r="E273" s="62"/>
      <x:c r="F273" s="19"/>
      <x:c r="G273" s="25"/>
      <x:c r="H273" s="25"/>
      <x:c r="I273" s="96" t="str">
        <x:f>IF($A273="","",$E273*$G273-$H273)</x:f>
      </x:c>
    </x:row>
    <x:row r="274">
      <x:c r="A274" s="19"/>
      <x:c r="B274" s="19"/>
      <x:c r="C274" s="19"/>
      <x:c r="D274" s="19"/>
      <x:c r="E274" s="62"/>
      <x:c r="F274" s="19"/>
      <x:c r="G274" s="25"/>
      <x:c r="H274" s="25"/>
      <x:c r="I274" s="96" t="str">
        <x:f>IF($A274="","",$E274*$G274-$H274)</x:f>
      </x:c>
    </x:row>
    <x:row r="275">
      <x:c r="A275" s="19"/>
      <x:c r="B275" s="19"/>
      <x:c r="C275" s="19"/>
      <x:c r="D275" s="19"/>
      <x:c r="E275" s="62"/>
      <x:c r="F275" s="19"/>
      <x:c r="G275" s="25"/>
      <x:c r="H275" s="25"/>
      <x:c r="I275" s="96" t="str">
        <x:f>IF($A275="","",$E275*$G275-$H275)</x:f>
      </x:c>
    </x:row>
    <x:row r="276">
      <x:c r="A276" s="19"/>
      <x:c r="B276" s="19"/>
      <x:c r="C276" s="19"/>
      <x:c r="D276" s="19"/>
      <x:c r="E276" s="62"/>
      <x:c r="F276" s="19"/>
      <x:c r="G276" s="25"/>
      <x:c r="H276" s="25"/>
      <x:c r="I276" s="96" t="str">
        <x:f>IF($A276="","",$E276*$G276-$H276)</x:f>
      </x:c>
    </x:row>
    <x:row r="277">
      <x:c r="A277" s="19"/>
      <x:c r="B277" s="19"/>
      <x:c r="C277" s="19"/>
      <x:c r="D277" s="19"/>
      <x:c r="E277" s="62"/>
      <x:c r="F277" s="19"/>
      <x:c r="G277" s="25"/>
      <x:c r="H277" s="25"/>
      <x:c r="I277" s="96" t="str">
        <x:f>IF($A277="","",$E277*$G277-$H277)</x:f>
      </x:c>
    </x:row>
    <x:row r="278">
      <x:c r="A278" s="19"/>
      <x:c r="B278" s="19"/>
      <x:c r="C278" s="19"/>
      <x:c r="D278" s="19"/>
      <x:c r="E278" s="62"/>
      <x:c r="F278" s="19"/>
      <x:c r="G278" s="25"/>
      <x:c r="H278" s="25"/>
      <x:c r="I278" s="96" t="str">
        <x:f>IF($A278="","",$E278*$G278-$H278)</x:f>
      </x:c>
    </x:row>
    <x:row r="279">
      <x:c r="A279" s="19"/>
      <x:c r="B279" s="19"/>
      <x:c r="C279" s="19"/>
      <x:c r="D279" s="19"/>
      <x:c r="E279" s="62"/>
      <x:c r="F279" s="19"/>
      <x:c r="G279" s="25"/>
      <x:c r="H279" s="25"/>
      <x:c r="I279" s="96" t="str">
        <x:f>IF($A279="","",$E279*$G279-$H279)</x:f>
      </x:c>
    </x:row>
    <x:row r="280">
      <x:c r="A280" s="19"/>
      <x:c r="B280" s="19"/>
      <x:c r="C280" s="19"/>
      <x:c r="D280" s="19"/>
      <x:c r="E280" s="62"/>
      <x:c r="F280" s="19"/>
      <x:c r="G280" s="25"/>
      <x:c r="H280" s="25"/>
      <x:c r="I280" s="96" t="str">
        <x:f>IF($A280="","",$E280*$G280-$H280)</x:f>
      </x:c>
    </x:row>
    <x:row r="281">
      <x:c r="A281" s="19"/>
      <x:c r="B281" s="19"/>
      <x:c r="C281" s="19"/>
      <x:c r="D281" s="19"/>
      <x:c r="E281" s="62"/>
      <x:c r="F281" s="19"/>
      <x:c r="G281" s="25"/>
      <x:c r="H281" s="25"/>
      <x:c r="I281" s="96" t="str">
        <x:f>IF($A281="","",$E281*$G281-$H281)</x:f>
      </x:c>
    </x:row>
    <x:row r="282">
      <x:c r="A282" s="19"/>
      <x:c r="B282" s="19"/>
      <x:c r="C282" s="19"/>
      <x:c r="D282" s="19"/>
      <x:c r="E282" s="62"/>
      <x:c r="F282" s="19"/>
      <x:c r="G282" s="25"/>
      <x:c r="H282" s="25"/>
      <x:c r="I282" s="96" t="str">
        <x:f>IF($A282="","",$E282*$G282-$H282)</x:f>
      </x:c>
    </x:row>
    <x:row r="283">
      <x:c r="A283" s="19"/>
      <x:c r="B283" s="19"/>
      <x:c r="C283" s="19"/>
      <x:c r="D283" s="19"/>
      <x:c r="E283" s="62"/>
      <x:c r="F283" s="19"/>
      <x:c r="G283" s="25"/>
      <x:c r="H283" s="25"/>
      <x:c r="I283" s="96" t="str">
        <x:f>IF($A283="","",$E283*$G283-$H283)</x:f>
      </x:c>
    </x:row>
    <x:row r="284">
      <x:c r="A284" s="19"/>
      <x:c r="B284" s="19"/>
      <x:c r="C284" s="19"/>
      <x:c r="D284" s="19"/>
      <x:c r="E284" s="62"/>
      <x:c r="F284" s="19"/>
      <x:c r="G284" s="25"/>
      <x:c r="H284" s="25"/>
      <x:c r="I284" s="96" t="str">
        <x:f>IF($A284="","",$E284*$G284-$H284)</x:f>
      </x:c>
    </x:row>
    <x:row r="285">
      <x:c r="A285" s="19"/>
      <x:c r="B285" s="19"/>
      <x:c r="C285" s="19"/>
      <x:c r="D285" s="19"/>
      <x:c r="E285" s="62"/>
      <x:c r="F285" s="19"/>
      <x:c r="G285" s="25"/>
      <x:c r="H285" s="25"/>
      <x:c r="I285" s="96" t="str">
        <x:f>IF($A285="","",$E285*$G285-$H285)</x:f>
      </x:c>
    </x:row>
    <x:row r="286">
      <x:c r="A286" s="19"/>
      <x:c r="B286" s="19"/>
      <x:c r="C286" s="19"/>
      <x:c r="D286" s="19"/>
      <x:c r="E286" s="62"/>
      <x:c r="F286" s="19"/>
      <x:c r="G286" s="25"/>
      <x:c r="H286" s="25"/>
      <x:c r="I286" s="96" t="str">
        <x:f>IF($A286="","",$E286*$G286-$H286)</x:f>
      </x:c>
    </x:row>
    <x:row r="287">
      <x:c r="A287" s="19"/>
      <x:c r="B287" s="19"/>
      <x:c r="C287" s="19"/>
      <x:c r="D287" s="19"/>
      <x:c r="E287" s="62"/>
      <x:c r="F287" s="19"/>
      <x:c r="G287" s="25"/>
      <x:c r="H287" s="25"/>
      <x:c r="I287" s="96" t="str">
        <x:f>IF($A287="","",$E287*$G287-$H287)</x:f>
      </x:c>
    </x:row>
    <x:row r="288">
      <x:c r="A288" s="19"/>
      <x:c r="B288" s="19"/>
      <x:c r="C288" s="19"/>
      <x:c r="D288" s="19"/>
      <x:c r="E288" s="62"/>
      <x:c r="F288" s="19"/>
      <x:c r="G288" s="25"/>
      <x:c r="H288" s="25"/>
      <x:c r="I288" s="96" t="str">
        <x:f>IF($A288="","",$E288*$G288-$H288)</x:f>
      </x:c>
    </x:row>
    <x:row r="289">
      <x:c r="A289" s="19"/>
      <x:c r="B289" s="19"/>
      <x:c r="C289" s="19"/>
      <x:c r="D289" s="19"/>
      <x:c r="E289" s="62"/>
      <x:c r="F289" s="19"/>
      <x:c r="G289" s="25"/>
      <x:c r="H289" s="25"/>
      <x:c r="I289" s="96" t="str">
        <x:f>IF($A289="","",$E289*$G289-$H289)</x:f>
      </x:c>
    </x:row>
    <x:row r="290">
      <x:c r="A290" s="19"/>
      <x:c r="B290" s="19"/>
      <x:c r="C290" s="19"/>
      <x:c r="D290" s="19"/>
      <x:c r="E290" s="62"/>
      <x:c r="F290" s="19"/>
      <x:c r="G290" s="25"/>
      <x:c r="H290" s="25"/>
      <x:c r="I290" s="96" t="str">
        <x:f>IF($A290="","",$E290*$G290-$H290)</x:f>
      </x:c>
    </x:row>
    <x:row r="291">
      <x:c r="A291" s="19"/>
      <x:c r="B291" s="19"/>
      <x:c r="C291" s="19"/>
      <x:c r="D291" s="19"/>
      <x:c r="E291" s="62"/>
      <x:c r="F291" s="19"/>
      <x:c r="G291" s="25"/>
      <x:c r="H291" s="25"/>
      <x:c r="I291" s="96" t="str">
        <x:f>IF($A291="","",$E291*$G291-$H291)</x:f>
      </x:c>
    </x:row>
    <x:row r="292">
      <x:c r="A292" s="19"/>
      <x:c r="B292" s="19"/>
      <x:c r="C292" s="19"/>
      <x:c r="D292" s="19"/>
      <x:c r="E292" s="62"/>
      <x:c r="F292" s="19"/>
      <x:c r="G292" s="25"/>
      <x:c r="H292" s="25"/>
      <x:c r="I292" s="96" t="str">
        <x:f>IF($A292="","",$E292*$G292-$H292)</x:f>
      </x:c>
    </x:row>
    <x:row r="293">
      <x:c r="A293" s="19"/>
      <x:c r="B293" s="19"/>
      <x:c r="C293" s="19"/>
      <x:c r="D293" s="19"/>
      <x:c r="E293" s="62"/>
      <x:c r="F293" s="19"/>
      <x:c r="G293" s="25"/>
      <x:c r="H293" s="25"/>
      <x:c r="I293" s="96" t="str">
        <x:f>IF($A293="","",$E293*$G293-$H293)</x:f>
      </x:c>
    </x:row>
    <x:row r="294">
      <x:c r="A294" s="19"/>
      <x:c r="B294" s="19"/>
      <x:c r="C294" s="19"/>
      <x:c r="D294" s="19"/>
      <x:c r="E294" s="62"/>
      <x:c r="F294" s="19"/>
      <x:c r="G294" s="25"/>
      <x:c r="H294" s="25"/>
      <x:c r="I294" s="96" t="str">
        <x:f>IF($A294="","",$E294*$G294-$H294)</x:f>
      </x:c>
    </x:row>
    <x:row r="295">
      <x:c r="A295" s="19"/>
      <x:c r="B295" s="19"/>
      <x:c r="C295" s="19"/>
      <x:c r="D295" s="19"/>
      <x:c r="E295" s="62"/>
      <x:c r="F295" s="19"/>
      <x:c r="G295" s="25"/>
      <x:c r="H295" s="25"/>
      <x:c r="I295" s="96" t="str">
        <x:f>IF($A295="","",$E295*$G295-$H295)</x:f>
      </x:c>
    </x:row>
    <x:row r="296">
      <x:c r="A296" s="19"/>
      <x:c r="B296" s="19"/>
      <x:c r="C296" s="19"/>
      <x:c r="D296" s="19"/>
      <x:c r="E296" s="62"/>
      <x:c r="F296" s="19"/>
      <x:c r="G296" s="25"/>
      <x:c r="H296" s="25"/>
      <x:c r="I296" s="96" t="str">
        <x:f>IF($A296="","",$E296*$G296-$H296)</x:f>
      </x:c>
    </x:row>
    <x:row r="297">
      <x:c r="A297" s="19"/>
      <x:c r="B297" s="19"/>
      <x:c r="C297" s="19"/>
      <x:c r="D297" s="19"/>
      <x:c r="E297" s="62"/>
      <x:c r="F297" s="19"/>
      <x:c r="G297" s="25"/>
      <x:c r="H297" s="25"/>
      <x:c r="I297" s="96" t="str">
        <x:f>IF($A297="","",$E297*$G297-$H297)</x:f>
      </x:c>
    </x:row>
    <x:row r="298">
      <x:c r="A298" s="19"/>
      <x:c r="B298" s="19"/>
      <x:c r="C298" s="19"/>
      <x:c r="D298" s="19"/>
      <x:c r="E298" s="62"/>
      <x:c r="F298" s="19"/>
      <x:c r="G298" s="25"/>
      <x:c r="H298" s="25"/>
      <x:c r="I298" s="96" t="str">
        <x:f>IF($A298="","",$E298*$G298-$H298)</x:f>
      </x:c>
    </x:row>
    <x:row r="299">
      <x:c r="A299" s="19"/>
      <x:c r="B299" s="19"/>
      <x:c r="C299" s="19"/>
      <x:c r="D299" s="19"/>
      <x:c r="E299" s="62"/>
      <x:c r="F299" s="19"/>
      <x:c r="G299" s="25"/>
      <x:c r="H299" s="25"/>
      <x:c r="I299" s="96" t="str">
        <x:f>IF($A299="","",$E299*$G299-$H299)</x:f>
      </x:c>
    </x:row>
    <x:row r="300">
      <x:c r="A300" s="19"/>
      <x:c r="B300" s="19"/>
      <x:c r="C300" s="19"/>
      <x:c r="D300" s="19"/>
      <x:c r="E300" s="62"/>
      <x:c r="F300" s="19"/>
      <x:c r="G300" s="25"/>
      <x:c r="H300" s="25"/>
      <x:c r="I300" s="96" t="str">
        <x:f>IF($A300="","",$E300*$G300-$H300)</x:f>
      </x:c>
    </x:row>
    <x:row r="301">
      <x:c r="A301" s="19"/>
      <x:c r="B301" s="19"/>
      <x:c r="C301" s="19"/>
      <x:c r="D301" s="19"/>
      <x:c r="E301" s="62"/>
      <x:c r="F301" s="19"/>
      <x:c r="G301" s="25"/>
      <x:c r="H301" s="25"/>
      <x:c r="I301" s="96" t="str">
        <x:f>IF($A301="","",$E301*$G301-$H301)</x:f>
      </x:c>
    </x:row>
    <x:row r="302">
      <x:c r="A302" s="19"/>
      <x:c r="B302" s="19"/>
      <x:c r="C302" s="19"/>
      <x:c r="D302" s="19"/>
      <x:c r="E302" s="62"/>
      <x:c r="F302" s="19"/>
      <x:c r="G302" s="25"/>
      <x:c r="H302" s="25"/>
      <x:c r="I302" s="96" t="str">
        <x:f>IF($A302="","",$E302*$G302-$H302)</x:f>
      </x:c>
    </x:row>
    <x:row r="303">
      <x:c r="A303" s="19"/>
      <x:c r="B303" s="19"/>
      <x:c r="C303" s="19"/>
      <x:c r="D303" s="19"/>
      <x:c r="E303" s="62"/>
      <x:c r="F303" s="19"/>
      <x:c r="G303" s="25"/>
      <x:c r="H303" s="25"/>
      <x:c r="I303" s="96" t="str">
        <x:f>IF($A303="","",$E303*$G303-$H303)</x:f>
      </x:c>
    </x:row>
    <x:row r="304">
      <x:c r="A304" s="19"/>
      <x:c r="B304" s="19"/>
      <x:c r="C304" s="19"/>
      <x:c r="D304" s="19"/>
      <x:c r="E304" s="62"/>
      <x:c r="F304" s="19"/>
      <x:c r="G304" s="25"/>
      <x:c r="H304" s="25"/>
      <x:c r="I304" s="96" t="str">
        <x:f>IF($A304="","",$E304*$G304-$H304)</x:f>
      </x:c>
    </x:row>
    <x:row r="305">
      <x:c r="A305" s="19"/>
      <x:c r="B305" s="19"/>
      <x:c r="C305" s="19"/>
      <x:c r="D305" s="19"/>
      <x:c r="E305" s="62"/>
      <x:c r="F305" s="19"/>
      <x:c r="G305" s="25"/>
      <x:c r="H305" s="25"/>
      <x:c r="I305" s="96" t="str">
        <x:f>IF($A305="","",$E305*$G305-$H305)</x:f>
      </x:c>
    </x:row>
    <x:row r="306">
      <x:c r="A306" s="19"/>
      <x:c r="B306" s="19"/>
      <x:c r="C306" s="19"/>
      <x:c r="D306" s="19"/>
      <x:c r="E306" s="62"/>
      <x:c r="F306" s="19"/>
      <x:c r="G306" s="25"/>
      <x:c r="H306" s="25"/>
      <x:c r="I306" s="96" t="str">
        <x:f>IF($A306="","",$E306*$G306-$H306)</x:f>
      </x:c>
    </x:row>
    <x:row r="307">
      <x:c r="A307" s="19"/>
      <x:c r="B307" s="19"/>
      <x:c r="C307" s="19"/>
      <x:c r="D307" s="19"/>
      <x:c r="E307" s="62"/>
      <x:c r="F307" s="19"/>
      <x:c r="G307" s="25"/>
      <x:c r="H307" s="25"/>
      <x:c r="I307" s="96" t="str">
        <x:f>IF($A307="","",$E307*$G307-$H307)</x:f>
      </x:c>
    </x:row>
    <x:row r="308">
      <x:c r="A308" s="19"/>
      <x:c r="B308" s="19"/>
      <x:c r="C308" s="19"/>
      <x:c r="D308" s="19"/>
      <x:c r="E308" s="62"/>
      <x:c r="F308" s="19"/>
      <x:c r="G308" s="25"/>
      <x:c r="H308" s="25"/>
      <x:c r="I308" s="96" t="str">
        <x:f>IF($A308="","",$E308*$G308-$H308)</x:f>
      </x:c>
    </x:row>
    <x:row r="309">
      <x:c r="A309" s="19"/>
      <x:c r="B309" s="19"/>
      <x:c r="C309" s="19"/>
      <x:c r="D309" s="19"/>
      <x:c r="E309" s="62"/>
      <x:c r="F309" s="19"/>
      <x:c r="G309" s="25"/>
      <x:c r="H309" s="25"/>
      <x:c r="I309" s="96" t="str">
        <x:f>IF($A309="","",$E309*$G309-$H309)</x:f>
      </x:c>
    </x:row>
    <x:row r="310">
      <x:c r="A310" s="19"/>
      <x:c r="B310" s="19"/>
      <x:c r="C310" s="19"/>
      <x:c r="D310" s="19"/>
      <x:c r="E310" s="62"/>
      <x:c r="F310" s="19"/>
      <x:c r="G310" s="25"/>
      <x:c r="H310" s="25"/>
      <x:c r="I310" s="96" t="str">
        <x:f>IF($A310="","",$E310*$G310-$H310)</x:f>
      </x:c>
    </x:row>
    <x:row r="311">
      <x:c r="A311" s="19"/>
      <x:c r="B311" s="19"/>
      <x:c r="C311" s="19"/>
      <x:c r="D311" s="19"/>
      <x:c r="E311" s="62"/>
      <x:c r="F311" s="19"/>
      <x:c r="G311" s="25"/>
      <x:c r="H311" s="25"/>
      <x:c r="I311" s="96" t="str">
        <x:f>IF($A311="","",$E311*$G311-$H311)</x:f>
      </x:c>
    </x:row>
    <x:row r="312">
      <x:c r="A312" s="19"/>
      <x:c r="B312" s="19"/>
      <x:c r="C312" s="19"/>
      <x:c r="D312" s="19"/>
      <x:c r="E312" s="62"/>
      <x:c r="F312" s="19"/>
      <x:c r="G312" s="25"/>
      <x:c r="H312" s="25"/>
      <x:c r="I312" s="96" t="str">
        <x:f>IF($A312="","",$E312*$G312-$H312)</x:f>
      </x:c>
    </x:row>
    <x:row r="313">
      <x:c r="A313" s="19"/>
      <x:c r="B313" s="19"/>
      <x:c r="C313" s="19"/>
      <x:c r="D313" s="19"/>
      <x:c r="E313" s="62"/>
      <x:c r="F313" s="19"/>
      <x:c r="G313" s="25"/>
      <x:c r="H313" s="25"/>
      <x:c r="I313" s="96" t="str">
        <x:f>IF($A313="","",$E313*$G313-$H313)</x:f>
      </x:c>
    </x:row>
    <x:row r="314">
      <x:c r="A314" s="19"/>
      <x:c r="B314" s="19"/>
      <x:c r="C314" s="19"/>
      <x:c r="D314" s="19"/>
      <x:c r="E314" s="62"/>
      <x:c r="F314" s="19"/>
      <x:c r="G314" s="25"/>
      <x:c r="H314" s="25"/>
      <x:c r="I314" s="96" t="str">
        <x:f>IF($A314="","",$E314*$G314-$H314)</x:f>
      </x:c>
    </x:row>
    <x:row r="315">
      <x:c r="A315" s="19"/>
      <x:c r="B315" s="19"/>
      <x:c r="C315" s="19"/>
      <x:c r="D315" s="19"/>
      <x:c r="E315" s="62"/>
      <x:c r="F315" s="19"/>
      <x:c r="G315" s="25"/>
      <x:c r="H315" s="25"/>
      <x:c r="I315" s="96" t="str">
        <x:f>IF($A315="","",$E315*$G315-$H315)</x:f>
      </x:c>
    </x:row>
    <x:row r="316">
      <x:c r="A316" s="19"/>
      <x:c r="B316" s="19"/>
      <x:c r="C316" s="19"/>
      <x:c r="D316" s="19"/>
      <x:c r="E316" s="62"/>
      <x:c r="F316" s="19"/>
      <x:c r="G316" s="25"/>
      <x:c r="H316" s="25"/>
      <x:c r="I316" s="96" t="str">
        <x:f>IF($A316="","",$E316*$G316-$H316)</x:f>
      </x:c>
    </x:row>
    <x:row r="317">
      <x:c r="A317" s="19"/>
      <x:c r="B317" s="19"/>
      <x:c r="C317" s="19"/>
      <x:c r="D317" s="19"/>
      <x:c r="E317" s="62"/>
      <x:c r="F317" s="19"/>
      <x:c r="G317" s="25"/>
      <x:c r="H317" s="25"/>
      <x:c r="I317" s="96" t="str">
        <x:f>IF($A317="","",$E317*$G317-$H317)</x:f>
      </x:c>
    </x:row>
    <x:row r="318">
      <x:c r="A318" s="19"/>
      <x:c r="B318" s="19"/>
      <x:c r="C318" s="19"/>
      <x:c r="D318" s="19"/>
      <x:c r="E318" s="62"/>
      <x:c r="F318" s="19"/>
      <x:c r="G318" s="25"/>
      <x:c r="H318" s="25"/>
      <x:c r="I318" s="96" t="str">
        <x:f>IF($A318="","",$E318*$G318-$H318)</x:f>
      </x:c>
    </x:row>
    <x:row r="319">
      <x:c r="A319" s="19"/>
      <x:c r="B319" s="19"/>
      <x:c r="C319" s="19"/>
      <x:c r="D319" s="19"/>
      <x:c r="E319" s="62"/>
      <x:c r="F319" s="19"/>
      <x:c r="G319" s="25"/>
      <x:c r="H319" s="25"/>
      <x:c r="I319" s="96" t="str">
        <x:f>IF($A319="","",$E319*$G319-$H319)</x:f>
      </x:c>
    </x:row>
    <x:row r="320">
      <x:c r="A320" s="19"/>
      <x:c r="B320" s="19"/>
      <x:c r="C320" s="19"/>
      <x:c r="D320" s="19"/>
      <x:c r="E320" s="62"/>
      <x:c r="F320" s="19"/>
      <x:c r="G320" s="25"/>
      <x:c r="H320" s="25"/>
      <x:c r="I320" s="96" t="str">
        <x:f>IF($A320="","",$E320*$G320-$H320)</x:f>
      </x:c>
    </x:row>
    <x:row r="321">
      <x:c r="A321" s="19"/>
      <x:c r="B321" s="19"/>
      <x:c r="C321" s="19"/>
      <x:c r="D321" s="19"/>
      <x:c r="E321" s="62"/>
      <x:c r="F321" s="19"/>
      <x:c r="G321" s="25"/>
      <x:c r="H321" s="25"/>
      <x:c r="I321" s="96" t="str">
        <x:f>IF($A321="","",$E321*$G321-$H321)</x:f>
      </x:c>
    </x:row>
    <x:row r="322">
      <x:c r="A322" s="19"/>
      <x:c r="B322" s="19"/>
      <x:c r="C322" s="19"/>
      <x:c r="D322" s="19"/>
      <x:c r="E322" s="62"/>
      <x:c r="F322" s="19"/>
      <x:c r="G322" s="25"/>
      <x:c r="H322" s="25"/>
      <x:c r="I322" s="96" t="str">
        <x:f>IF($A322="","",$E322*$G322-$H322)</x:f>
      </x:c>
    </x:row>
    <x:row r="323">
      <x:c r="A323" s="19"/>
      <x:c r="B323" s="19"/>
      <x:c r="C323" s="19"/>
      <x:c r="D323" s="19"/>
      <x:c r="E323" s="62"/>
      <x:c r="F323" s="19"/>
      <x:c r="G323" s="25"/>
      <x:c r="H323" s="25"/>
      <x:c r="I323" s="96" t="str">
        <x:f>IF($A323="","",$E323*$G323-$H323)</x:f>
      </x:c>
    </x:row>
    <x:row r="324">
      <x:c r="A324" s="19"/>
      <x:c r="B324" s="19"/>
      <x:c r="C324" s="19"/>
      <x:c r="D324" s="19"/>
      <x:c r="E324" s="62"/>
      <x:c r="F324" s="19"/>
      <x:c r="G324" s="25"/>
      <x:c r="H324" s="25"/>
      <x:c r="I324" s="96" t="str">
        <x:f>IF($A324="","",$E324*$G324-$H324)</x:f>
      </x:c>
    </x:row>
    <x:row r="325">
      <x:c r="A325" s="19"/>
      <x:c r="B325" s="19"/>
      <x:c r="C325" s="19"/>
      <x:c r="D325" s="19"/>
      <x:c r="E325" s="62"/>
      <x:c r="F325" s="19"/>
      <x:c r="G325" s="25"/>
      <x:c r="H325" s="25"/>
      <x:c r="I325" s="96" t="str">
        <x:f>IF($A325="","",$E325*$G325-$H325)</x:f>
      </x:c>
    </x:row>
    <x:row r="326">
      <x:c r="A326" s="19"/>
      <x:c r="B326" s="19"/>
      <x:c r="C326" s="19"/>
      <x:c r="D326" s="19"/>
      <x:c r="E326" s="62"/>
      <x:c r="F326" s="19"/>
      <x:c r="G326" s="25"/>
      <x:c r="H326" s="25"/>
      <x:c r="I326" s="96" t="str">
        <x:f>IF($A326="","",$E326*$G326-$H326)</x:f>
      </x:c>
    </x:row>
    <x:row r="327">
      <x:c r="A327" s="19"/>
      <x:c r="B327" s="19"/>
      <x:c r="C327" s="19"/>
      <x:c r="D327" s="19"/>
      <x:c r="E327" s="62"/>
      <x:c r="F327" s="19"/>
      <x:c r="G327" s="25"/>
      <x:c r="H327" s="25"/>
      <x:c r="I327" s="96" t="str">
        <x:f>IF($A327="","",$E327*$G327-$H327)</x:f>
      </x:c>
    </x:row>
    <x:row r="328">
      <x:c r="A328" s="19"/>
      <x:c r="B328" s="19"/>
      <x:c r="C328" s="19"/>
      <x:c r="D328" s="19"/>
      <x:c r="E328" s="62"/>
      <x:c r="F328" s="19"/>
      <x:c r="G328" s="25"/>
      <x:c r="H328" s="25"/>
      <x:c r="I328" s="96" t="str">
        <x:f>IF($A328="","",$E328*$G328-$H328)</x:f>
      </x:c>
    </x:row>
    <x:row r="329">
      <x:c r="A329" s="19"/>
      <x:c r="B329" s="19"/>
      <x:c r="C329" s="19"/>
      <x:c r="D329" s="19"/>
      <x:c r="E329" s="62"/>
      <x:c r="F329" s="19"/>
      <x:c r="G329" s="25"/>
      <x:c r="H329" s="25"/>
      <x:c r="I329" s="96" t="str">
        <x:f>IF($A329="","",$E329*$G329-$H329)</x:f>
      </x:c>
    </x:row>
    <x:row r="330">
      <x:c r="A330" s="19"/>
      <x:c r="B330" s="19"/>
      <x:c r="C330" s="19"/>
      <x:c r="D330" s="19"/>
      <x:c r="E330" s="62"/>
      <x:c r="F330" s="19"/>
      <x:c r="G330" s="25"/>
      <x:c r="H330" s="25"/>
      <x:c r="I330" s="96" t="str">
        <x:f>IF($A330="","",$E330*$G330-$H330)</x:f>
      </x:c>
    </x:row>
    <x:row r="331">
      <x:c r="A331" s="19"/>
      <x:c r="B331" s="19"/>
      <x:c r="C331" s="19"/>
      <x:c r="D331" s="19"/>
      <x:c r="E331" s="62"/>
      <x:c r="F331" s="19"/>
      <x:c r="G331" s="25"/>
      <x:c r="H331" s="25"/>
      <x:c r="I331" s="96" t="str">
        <x:f>IF($A331="","",$E331*$G331-$H331)</x:f>
      </x:c>
    </x:row>
    <x:row r="332">
      <x:c r="A332" s="19"/>
      <x:c r="B332" s="19"/>
      <x:c r="C332" s="19"/>
      <x:c r="D332" s="19"/>
      <x:c r="E332" s="62"/>
      <x:c r="F332" s="19"/>
      <x:c r="G332" s="25"/>
      <x:c r="H332" s="25"/>
      <x:c r="I332" s="96" t="str">
        <x:f>IF($A332="","",$E332*$G332-$H332)</x:f>
      </x:c>
    </x:row>
    <x:row r="333">
      <x:c r="A333" s="19"/>
      <x:c r="B333" s="19"/>
      <x:c r="C333" s="19"/>
      <x:c r="D333" s="19"/>
      <x:c r="E333" s="62"/>
      <x:c r="F333" s="19"/>
      <x:c r="G333" s="25"/>
      <x:c r="H333" s="25"/>
      <x:c r="I333" s="96" t="str">
        <x:f>IF($A333="","",$E333*$G333-$H333)</x:f>
      </x:c>
    </x:row>
    <x:row r="334">
      <x:c r="A334" s="19"/>
      <x:c r="B334" s="19"/>
      <x:c r="C334" s="19"/>
      <x:c r="D334" s="19"/>
      <x:c r="E334" s="62"/>
      <x:c r="F334" s="19"/>
      <x:c r="G334" s="25"/>
      <x:c r="H334" s="25"/>
      <x:c r="I334" s="96" t="str">
        <x:f>IF($A334="","",$E334*$G334-$H334)</x:f>
      </x:c>
    </x:row>
    <x:row r="335">
      <x:c r="A335" s="19"/>
      <x:c r="B335" s="19"/>
      <x:c r="C335" s="19"/>
      <x:c r="D335" s="19"/>
      <x:c r="E335" s="62"/>
      <x:c r="F335" s="19"/>
      <x:c r="G335" s="25"/>
      <x:c r="H335" s="25"/>
      <x:c r="I335" s="96" t="str">
        <x:f>IF($A335="","",$E335*$G335-$H335)</x:f>
      </x:c>
    </x:row>
    <x:row r="336">
      <x:c r="A336" s="19"/>
      <x:c r="B336" s="19"/>
      <x:c r="C336" s="19"/>
      <x:c r="D336" s="19"/>
      <x:c r="E336" s="62"/>
      <x:c r="F336" s="19"/>
      <x:c r="G336" s="25"/>
      <x:c r="H336" s="25"/>
      <x:c r="I336" s="96" t="str">
        <x:f>IF($A336="","",$E336*$G336-$H336)</x:f>
      </x:c>
    </x:row>
    <x:row r="337">
      <x:c r="A337" s="19"/>
      <x:c r="B337" s="19"/>
      <x:c r="C337" s="19"/>
      <x:c r="D337" s="19"/>
      <x:c r="E337" s="62"/>
      <x:c r="F337" s="19"/>
      <x:c r="G337" s="25"/>
      <x:c r="H337" s="25"/>
      <x:c r="I337" s="96" t="str">
        <x:f>IF($A337="","",$E337*$G337-$H337)</x:f>
      </x:c>
    </x:row>
    <x:row r="338">
      <x:c r="A338" s="19"/>
      <x:c r="B338" s="19"/>
      <x:c r="C338" s="19"/>
      <x:c r="D338" s="19"/>
      <x:c r="E338" s="62"/>
      <x:c r="F338" s="19"/>
      <x:c r="G338" s="25"/>
      <x:c r="H338" s="25"/>
      <x:c r="I338" s="96" t="str">
        <x:f>IF($A338="","",$E338*$G338-$H338)</x:f>
      </x:c>
    </x:row>
    <x:row r="339">
      <x:c r="A339" s="19"/>
      <x:c r="B339" s="19"/>
      <x:c r="C339" s="19"/>
      <x:c r="D339" s="19"/>
      <x:c r="E339" s="62"/>
      <x:c r="F339" s="19"/>
      <x:c r="G339" s="25"/>
      <x:c r="H339" s="25"/>
      <x:c r="I339" s="96" t="str">
        <x:f>IF($A339="","",$E339*$G339-$H339)</x:f>
      </x:c>
    </x:row>
    <x:row r="340">
      <x:c r="A340" s="19"/>
      <x:c r="B340" s="19"/>
      <x:c r="C340" s="19"/>
      <x:c r="D340" s="19"/>
      <x:c r="E340" s="62"/>
      <x:c r="F340" s="19"/>
      <x:c r="G340" s="25"/>
      <x:c r="H340" s="25"/>
      <x:c r="I340" s="96" t="str">
        <x:f>IF($A340="","",$E340*$G340-$H340)</x:f>
      </x:c>
    </x:row>
    <x:row r="341">
      <x:c r="A341" s="19"/>
      <x:c r="B341" s="19"/>
      <x:c r="C341" s="19"/>
      <x:c r="D341" s="19"/>
      <x:c r="E341" s="62"/>
      <x:c r="F341" s="19"/>
      <x:c r="G341" s="25"/>
      <x:c r="H341" s="25"/>
      <x:c r="I341" s="96" t="str">
        <x:f>IF($A341="","",$E341*$G341-$H341)</x:f>
      </x:c>
    </x:row>
    <x:row r="342">
      <x:c r="A342" s="19"/>
      <x:c r="B342" s="19"/>
      <x:c r="C342" s="19"/>
      <x:c r="D342" s="19"/>
      <x:c r="E342" s="62"/>
      <x:c r="F342" s="19"/>
      <x:c r="G342" s="25"/>
      <x:c r="H342" s="25"/>
      <x:c r="I342" s="96" t="str">
        <x:f>IF($A342="","",$E342*$G342-$H342)</x:f>
      </x:c>
    </x:row>
    <x:row r="343">
      <x:c r="A343" s="19"/>
      <x:c r="B343" s="19"/>
      <x:c r="C343" s="19"/>
      <x:c r="D343" s="19"/>
      <x:c r="E343" s="62"/>
      <x:c r="F343" s="19"/>
      <x:c r="G343" s="25"/>
      <x:c r="H343" s="25"/>
      <x:c r="I343" s="96" t="str">
        <x:f>IF($A343="","",$E343*$G343-$H343)</x:f>
      </x:c>
    </x:row>
    <x:row r="344">
      <x:c r="A344" s="19"/>
      <x:c r="B344" s="19"/>
      <x:c r="C344" s="19"/>
      <x:c r="D344" s="19"/>
      <x:c r="E344" s="62"/>
      <x:c r="F344" s="19"/>
      <x:c r="G344" s="25"/>
      <x:c r="H344" s="25"/>
      <x:c r="I344" s="96" t="str">
        <x:f>IF($A344="","",$E344*$G344-$H344)</x:f>
      </x:c>
    </x:row>
    <x:row r="345">
      <x:c r="A345" s="19"/>
      <x:c r="B345" s="19"/>
      <x:c r="C345" s="19"/>
      <x:c r="D345" s="19"/>
      <x:c r="E345" s="62"/>
      <x:c r="F345" s="19"/>
      <x:c r="G345" s="25"/>
      <x:c r="H345" s="25"/>
      <x:c r="I345" s="96" t="str">
        <x:f>IF($A345="","",$E345*$G345-$H345)</x:f>
      </x:c>
    </x:row>
    <x:row r="346">
      <x:c r="A346" s="19"/>
      <x:c r="B346" s="19"/>
      <x:c r="C346" s="19"/>
      <x:c r="D346" s="19"/>
      <x:c r="E346" s="62"/>
      <x:c r="F346" s="19"/>
      <x:c r="G346" s="25"/>
      <x:c r="H346" s="25"/>
      <x:c r="I346" s="96" t="str">
        <x:f>IF($A346="","",$E346*$G346-$H346)</x:f>
      </x:c>
    </x:row>
    <x:row r="347">
      <x:c r="A347" s="19"/>
      <x:c r="B347" s="19"/>
      <x:c r="C347" s="19"/>
      <x:c r="D347" s="19"/>
      <x:c r="E347" s="62"/>
      <x:c r="F347" s="19"/>
      <x:c r="G347" s="25"/>
      <x:c r="H347" s="25"/>
      <x:c r="I347" s="96" t="str">
        <x:f>IF($A347="","",$E347*$G347-$H347)</x:f>
      </x:c>
    </x:row>
    <x:row r="348">
      <x:c r="A348" s="19"/>
      <x:c r="B348" s="19"/>
      <x:c r="C348" s="19"/>
      <x:c r="D348" s="19"/>
      <x:c r="E348" s="62"/>
      <x:c r="F348" s="19"/>
      <x:c r="G348" s="25"/>
      <x:c r="H348" s="25"/>
      <x:c r="I348" s="96" t="str">
        <x:f>IF($A348="","",$E348*$G348-$H348)</x:f>
      </x:c>
    </x:row>
    <x:row r="349">
      <x:c r="A349" s="19"/>
      <x:c r="B349" s="19"/>
      <x:c r="C349" s="19"/>
      <x:c r="D349" s="19"/>
      <x:c r="E349" s="62"/>
      <x:c r="F349" s="19"/>
      <x:c r="G349" s="25"/>
      <x:c r="H349" s="25"/>
      <x:c r="I349" s="96" t="str">
        <x:f>IF($A349="","",$E349*$G349-$H349)</x:f>
      </x:c>
    </x:row>
    <x:row r="350">
      <x:c r="A350" s="19"/>
      <x:c r="B350" s="19"/>
      <x:c r="C350" s="19"/>
      <x:c r="D350" s="19"/>
      <x:c r="E350" s="62"/>
      <x:c r="F350" s="19"/>
      <x:c r="G350" s="25"/>
      <x:c r="H350" s="25"/>
      <x:c r="I350" s="96" t="str">
        <x:f>IF($A350="","",$E350*$G350-$H350)</x:f>
      </x:c>
    </x:row>
    <x:row r="351">
      <x:c r="A351" s="19"/>
      <x:c r="B351" s="19"/>
      <x:c r="C351" s="19"/>
      <x:c r="D351" s="19"/>
      <x:c r="E351" s="62"/>
      <x:c r="F351" s="19"/>
      <x:c r="G351" s="25"/>
      <x:c r="H351" s="25"/>
      <x:c r="I351" s="96" t="str">
        <x:f>IF($A351="","",$E351*$G351-$H351)</x:f>
      </x:c>
    </x:row>
    <x:row r="352">
      <x:c r="A352" s="19"/>
      <x:c r="B352" s="19"/>
      <x:c r="C352" s="19"/>
      <x:c r="D352" s="19"/>
      <x:c r="E352" s="62"/>
      <x:c r="F352" s="19"/>
      <x:c r="G352" s="25"/>
      <x:c r="H352" s="25"/>
      <x:c r="I352" s="96" t="str">
        <x:f>IF($A352="","",$E352*$G352-$H352)</x:f>
      </x:c>
    </x:row>
    <x:row r="353">
      <x:c r="A353" s="19"/>
      <x:c r="B353" s="19"/>
      <x:c r="C353" s="19"/>
      <x:c r="D353" s="19"/>
      <x:c r="E353" s="62"/>
      <x:c r="F353" s="19"/>
      <x:c r="G353" s="25"/>
      <x:c r="H353" s="25"/>
      <x:c r="I353" s="96" t="str">
        <x:f>IF($A353="","",$E353*$G353-$H353)</x:f>
      </x:c>
    </x:row>
    <x:row r="354">
      <x:c r="A354" s="19"/>
      <x:c r="B354" s="19"/>
      <x:c r="C354" s="19"/>
      <x:c r="D354" s="19"/>
      <x:c r="E354" s="62"/>
      <x:c r="F354" s="19"/>
      <x:c r="G354" s="25"/>
      <x:c r="H354" s="25"/>
      <x:c r="I354" s="96" t="str">
        <x:f>IF($A354="","",$E354*$G354-$H354)</x:f>
      </x:c>
    </x:row>
    <x:row r="355">
      <x:c r="A355" s="19"/>
      <x:c r="B355" s="19"/>
      <x:c r="C355" s="19"/>
      <x:c r="D355" s="19"/>
      <x:c r="E355" s="62"/>
      <x:c r="F355" s="19"/>
      <x:c r="G355" s="25"/>
      <x:c r="H355" s="25"/>
      <x:c r="I355" s="96" t="str">
        <x:f>IF($A355="","",$E355*$G355-$H355)</x:f>
      </x:c>
    </x:row>
    <x:row r="356">
      <x:c r="A356" s="19"/>
      <x:c r="B356" s="19"/>
      <x:c r="C356" s="19"/>
      <x:c r="D356" s="19"/>
      <x:c r="E356" s="62"/>
      <x:c r="F356" s="19"/>
      <x:c r="G356" s="25"/>
      <x:c r="H356" s="25"/>
      <x:c r="I356" s="96" t="str">
        <x:f>IF($A356="","",$E356*$G356-$H356)</x:f>
      </x:c>
    </x:row>
    <x:row r="357">
      <x:c r="A357" s="19"/>
      <x:c r="B357" s="19"/>
      <x:c r="C357" s="19"/>
      <x:c r="D357" s="19"/>
      <x:c r="E357" s="62"/>
      <x:c r="F357" s="19"/>
      <x:c r="G357" s="25"/>
      <x:c r="H357" s="25"/>
      <x:c r="I357" s="96" t="str">
        <x:f>IF($A357="","",$E357*$G357-$H357)</x:f>
      </x:c>
    </x:row>
    <x:row r="358">
      <x:c r="A358" s="19"/>
      <x:c r="B358" s="19"/>
      <x:c r="C358" s="19"/>
      <x:c r="D358" s="19"/>
      <x:c r="E358" s="62"/>
      <x:c r="F358" s="19"/>
      <x:c r="G358" s="25"/>
      <x:c r="H358" s="25"/>
      <x:c r="I358" s="96" t="str">
        <x:f>IF($A358="","",$E358*$G358-$H358)</x:f>
      </x:c>
    </x:row>
    <x:row r="359">
      <x:c r="A359" s="19"/>
      <x:c r="B359" s="19"/>
      <x:c r="C359" s="19"/>
      <x:c r="D359" s="19"/>
      <x:c r="E359" s="62"/>
      <x:c r="F359" s="19"/>
      <x:c r="G359" s="25"/>
      <x:c r="H359" s="25"/>
      <x:c r="I359" s="96" t="str">
        <x:f>IF($A359="","",$E359*$G359-$H359)</x:f>
      </x:c>
    </x:row>
    <x:row r="360">
      <x:c r="A360" s="19"/>
      <x:c r="B360" s="19"/>
      <x:c r="C360" s="19"/>
      <x:c r="D360" s="19"/>
      <x:c r="E360" s="62"/>
      <x:c r="F360" s="19"/>
      <x:c r="G360" s="25"/>
      <x:c r="H360" s="25"/>
      <x:c r="I360" s="96" t="str">
        <x:f>IF($A360="","",$E360*$G360-$H360)</x:f>
      </x:c>
    </x:row>
    <x:row r="361">
      <x:c r="A361" s="19"/>
      <x:c r="B361" s="19"/>
      <x:c r="C361" s="19"/>
      <x:c r="D361" s="19"/>
      <x:c r="E361" s="62"/>
      <x:c r="F361" s="19"/>
      <x:c r="G361" s="25"/>
      <x:c r="H361" s="25"/>
      <x:c r="I361" s="96" t="str">
        <x:f>IF($A361="","",$E361*$G361-$H361)</x:f>
      </x:c>
    </x:row>
    <x:row r="362">
      <x:c r="A362" s="19"/>
      <x:c r="B362" s="19"/>
      <x:c r="C362" s="19"/>
      <x:c r="D362" s="19"/>
      <x:c r="E362" s="62"/>
      <x:c r="F362" s="19"/>
      <x:c r="G362" s="25"/>
      <x:c r="H362" s="25"/>
      <x:c r="I362" s="96" t="str">
        <x:f>IF($A362="","",$E362*$G362-$H362)</x:f>
      </x:c>
    </x:row>
    <x:row r="363">
      <x:c r="A363" s="19"/>
      <x:c r="B363" s="19"/>
      <x:c r="C363" s="19"/>
      <x:c r="D363" s="19"/>
      <x:c r="E363" s="62"/>
      <x:c r="F363" s="19"/>
      <x:c r="G363" s="25"/>
      <x:c r="H363" s="25"/>
      <x:c r="I363" s="96" t="str">
        <x:f>IF($A363="","",$E363*$G363-$H363)</x:f>
      </x:c>
    </x:row>
    <x:row r="364">
      <x:c r="A364" s="19"/>
      <x:c r="B364" s="19"/>
      <x:c r="C364" s="19"/>
      <x:c r="D364" s="19"/>
      <x:c r="E364" s="62"/>
      <x:c r="F364" s="19"/>
      <x:c r="G364" s="25"/>
      <x:c r="H364" s="25"/>
      <x:c r="I364" s="96" t="str">
        <x:f>IF($A364="","",$E364*$G364-$H364)</x:f>
      </x:c>
    </x:row>
    <x:row r="365">
      <x:c r="A365" s="19"/>
      <x:c r="B365" s="19"/>
      <x:c r="C365" s="19"/>
      <x:c r="D365" s="19"/>
      <x:c r="E365" s="62"/>
      <x:c r="F365" s="19"/>
      <x:c r="G365" s="25"/>
      <x:c r="H365" s="25"/>
      <x:c r="I365" s="96" t="str">
        <x:f>IF($A365="","",$E365*$G365-$H365)</x:f>
      </x:c>
    </x:row>
    <x:row r="366">
      <x:c r="A366" s="19"/>
      <x:c r="B366" s="19"/>
      <x:c r="C366" s="19"/>
      <x:c r="D366" s="19"/>
      <x:c r="E366" s="62"/>
      <x:c r="F366" s="19"/>
      <x:c r="G366" s="25"/>
      <x:c r="H366" s="25"/>
      <x:c r="I366" s="96" t="str">
        <x:f>IF($A366="","",$E366*$G366-$H366)</x:f>
      </x:c>
    </x:row>
    <x:row r="367">
      <x:c r="A367" s="19"/>
      <x:c r="B367" s="19"/>
      <x:c r="C367" s="19"/>
      <x:c r="D367" s="19"/>
      <x:c r="E367" s="62"/>
      <x:c r="F367" s="19"/>
      <x:c r="G367" s="25"/>
      <x:c r="H367" s="25"/>
      <x:c r="I367" s="96" t="str">
        <x:f>IF($A367="","",$E367*$G367-$H367)</x:f>
      </x:c>
    </x:row>
    <x:row r="368">
      <x:c r="A368" s="19"/>
      <x:c r="B368" s="19"/>
      <x:c r="C368" s="19"/>
      <x:c r="D368" s="19"/>
      <x:c r="E368" s="62"/>
      <x:c r="F368" s="19"/>
      <x:c r="G368" s="25"/>
      <x:c r="H368" s="25"/>
      <x:c r="I368" s="96" t="str">
        <x:f>IF($A368="","",$E368*$G368-$H368)</x:f>
      </x:c>
    </x:row>
    <x:row r="369">
      <x:c r="A369" s="19"/>
      <x:c r="B369" s="19"/>
      <x:c r="C369" s="19"/>
      <x:c r="D369" s="19"/>
      <x:c r="E369" s="62"/>
      <x:c r="F369" s="19"/>
      <x:c r="G369" s="25"/>
      <x:c r="H369" s="25"/>
      <x:c r="I369" s="96" t="str">
        <x:f>IF($A369="","",$E369*$G369-$H369)</x:f>
      </x:c>
    </x:row>
    <x:row r="370">
      <x:c r="A370" s="19"/>
      <x:c r="B370" s="19"/>
      <x:c r="C370" s="19"/>
      <x:c r="D370" s="19"/>
      <x:c r="E370" s="62"/>
      <x:c r="F370" s="19"/>
      <x:c r="G370" s="25"/>
      <x:c r="H370" s="25"/>
      <x:c r="I370" s="96" t="str">
        <x:f>IF($A370="","",$E370*$G370-$H370)</x:f>
      </x:c>
    </x:row>
    <x:row r="371">
      <x:c r="A371" s="19"/>
      <x:c r="B371" s="19"/>
      <x:c r="C371" s="19"/>
      <x:c r="D371" s="19"/>
      <x:c r="E371" s="62"/>
      <x:c r="F371" s="19"/>
      <x:c r="G371" s="25"/>
      <x:c r="H371" s="25"/>
      <x:c r="I371" s="96" t="str">
        <x:f>IF($A371="","",$E371*$G371-$H371)</x:f>
      </x:c>
    </x:row>
    <x:row r="372">
      <x:c r="A372" s="19"/>
      <x:c r="B372" s="19"/>
      <x:c r="C372" s="19"/>
      <x:c r="D372" s="19"/>
      <x:c r="E372" s="62"/>
      <x:c r="F372" s="19"/>
      <x:c r="G372" s="25"/>
      <x:c r="H372" s="25"/>
      <x:c r="I372" s="96" t="str">
        <x:f>IF($A372="","",$E372*$G372-$H372)</x:f>
      </x:c>
    </x:row>
    <x:row r="373">
      <x:c r="A373" s="19"/>
      <x:c r="B373" s="19"/>
      <x:c r="C373" s="19"/>
      <x:c r="D373" s="19"/>
      <x:c r="E373" s="62"/>
      <x:c r="F373" s="19"/>
      <x:c r="G373" s="25"/>
      <x:c r="H373" s="25"/>
      <x:c r="I373" s="96" t="str">
        <x:f>IF($A373="","",$E373*$G373-$H373)</x:f>
      </x:c>
    </x:row>
    <x:row r="374">
      <x:c r="A374" s="19"/>
      <x:c r="B374" s="19"/>
      <x:c r="C374" s="19"/>
      <x:c r="D374" s="19"/>
      <x:c r="E374" s="62"/>
      <x:c r="F374" s="19"/>
      <x:c r="G374" s="25"/>
      <x:c r="H374" s="25"/>
      <x:c r="I374" s="96" t="str">
        <x:f>IF($A374="","",$E374*$G374-$H374)</x:f>
      </x:c>
    </x:row>
    <x:row r="375">
      <x:c r="A375" s="19"/>
      <x:c r="B375" s="19"/>
      <x:c r="C375" s="19"/>
      <x:c r="D375" s="19"/>
      <x:c r="E375" s="62"/>
      <x:c r="F375" s="19"/>
      <x:c r="G375" s="25"/>
      <x:c r="H375" s="25"/>
      <x:c r="I375" s="96" t="str">
        <x:f>IF($A375="","",$E375*$G375-$H375)</x:f>
      </x:c>
    </x:row>
    <x:row r="376">
      <x:c r="A376" s="19"/>
      <x:c r="B376" s="19"/>
      <x:c r="C376" s="19"/>
      <x:c r="D376" s="19"/>
      <x:c r="E376" s="62"/>
      <x:c r="F376" s="19"/>
      <x:c r="G376" s="25"/>
      <x:c r="H376" s="25"/>
      <x:c r="I376" s="96" t="str">
        <x:f>IF($A376="","",$E376*$G376-$H376)</x:f>
      </x:c>
    </x:row>
    <x:row r="377">
      <x:c r="A377" s="19"/>
      <x:c r="B377" s="19"/>
      <x:c r="C377" s="19"/>
      <x:c r="D377" s="19"/>
      <x:c r="E377" s="62"/>
      <x:c r="F377" s="19"/>
      <x:c r="G377" s="25"/>
      <x:c r="H377" s="25"/>
      <x:c r="I377" s="96" t="str">
        <x:f>IF($A377="","",$E377*$G377-$H377)</x:f>
      </x:c>
    </x:row>
    <x:row r="378">
      <x:c r="A378" s="19"/>
      <x:c r="B378" s="19"/>
      <x:c r="C378" s="19"/>
      <x:c r="D378" s="19"/>
      <x:c r="E378" s="62"/>
      <x:c r="F378" s="19"/>
      <x:c r="G378" s="25"/>
      <x:c r="H378" s="25"/>
      <x:c r="I378" s="96" t="str">
        <x:f>IF($A378="","",$E378*$G378-$H378)</x:f>
      </x:c>
    </x:row>
    <x:row r="379">
      <x:c r="A379" s="19"/>
      <x:c r="B379" s="19"/>
      <x:c r="C379" s="19"/>
      <x:c r="D379" s="19"/>
      <x:c r="E379" s="62"/>
      <x:c r="F379" s="19"/>
      <x:c r="G379" s="25"/>
      <x:c r="H379" s="25"/>
      <x:c r="I379" s="96" t="str">
        <x:f>IF($A379="","",$E379*$G379-$H379)</x:f>
      </x:c>
    </x:row>
    <x:row r="380">
      <x:c r="A380" s="19"/>
      <x:c r="B380" s="19"/>
      <x:c r="C380" s="19"/>
      <x:c r="D380" s="19"/>
      <x:c r="E380" s="62"/>
      <x:c r="F380" s="19"/>
      <x:c r="G380" s="25"/>
      <x:c r="H380" s="25"/>
      <x:c r="I380" s="96" t="str">
        <x:f>IF($A380="","",$E380*$G380-$H380)</x:f>
      </x:c>
    </x:row>
    <x:row r="381">
      <x:c r="A381" s="19"/>
      <x:c r="B381" s="19"/>
      <x:c r="C381" s="19"/>
      <x:c r="D381" s="19"/>
      <x:c r="E381" s="62"/>
      <x:c r="F381" s="19"/>
      <x:c r="G381" s="25"/>
      <x:c r="H381" s="25"/>
      <x:c r="I381" s="96" t="str">
        <x:f>IF($A381="","",$E381*$G381-$H381)</x:f>
      </x:c>
    </x:row>
    <x:row r="382">
      <x:c r="A382" s="19"/>
      <x:c r="B382" s="19"/>
      <x:c r="C382" s="19"/>
      <x:c r="D382" s="19"/>
      <x:c r="E382" s="62"/>
      <x:c r="F382" s="19"/>
      <x:c r="G382" s="25"/>
      <x:c r="H382" s="25"/>
      <x:c r="I382" s="96" t="str">
        <x:f>IF($A382="","",$E382*$G382-$H382)</x:f>
      </x:c>
    </x:row>
    <x:row r="383">
      <x:c r="A383" s="19"/>
      <x:c r="B383" s="19"/>
      <x:c r="C383" s="19"/>
      <x:c r="D383" s="19"/>
      <x:c r="E383" s="62"/>
      <x:c r="F383" s="19"/>
      <x:c r="G383" s="25"/>
      <x:c r="H383" s="25"/>
      <x:c r="I383" s="96" t="str">
        <x:f>IF($A383="","",$E383*$G383-$H383)</x:f>
      </x:c>
    </x:row>
    <x:row r="384">
      <x:c r="A384" s="19"/>
      <x:c r="B384" s="19"/>
      <x:c r="C384" s="19"/>
      <x:c r="D384" s="19"/>
      <x:c r="E384" s="62"/>
      <x:c r="F384" s="19"/>
      <x:c r="G384" s="25"/>
      <x:c r="H384" s="25"/>
      <x:c r="I384" s="96" t="str">
        <x:f>IF($A384="","",$E384*$G384-$H384)</x:f>
      </x:c>
    </x:row>
    <x:row r="385">
      <x:c r="A385" s="19"/>
      <x:c r="B385" s="19"/>
      <x:c r="C385" s="19"/>
      <x:c r="D385" s="19"/>
      <x:c r="E385" s="62"/>
      <x:c r="F385" s="19"/>
      <x:c r="G385" s="25"/>
      <x:c r="H385" s="25"/>
      <x:c r="I385" s="96" t="str">
        <x:f>IF($A385="","",$E385*$G385-$H385)</x:f>
      </x:c>
    </x:row>
    <x:row r="386">
      <x:c r="A386" s="19"/>
      <x:c r="B386" s="19"/>
      <x:c r="C386" s="19"/>
      <x:c r="D386" s="19"/>
      <x:c r="E386" s="62"/>
      <x:c r="F386" s="19"/>
      <x:c r="G386" s="25"/>
      <x:c r="H386" s="25"/>
      <x:c r="I386" s="96" t="str">
        <x:f>IF($A386="","",$E386*$G386-$H386)</x:f>
      </x:c>
    </x:row>
    <x:row r="387">
      <x:c r="A387" s="19"/>
      <x:c r="B387" s="19"/>
      <x:c r="C387" s="19"/>
      <x:c r="D387" s="19"/>
      <x:c r="E387" s="62"/>
      <x:c r="F387" s="19"/>
      <x:c r="G387" s="25"/>
      <x:c r="H387" s="25"/>
      <x:c r="I387" s="96" t="str">
        <x:f>IF($A387="","",$E387*$G387-$H387)</x:f>
      </x:c>
    </x:row>
    <x:row r="388">
      <x:c r="A388" s="19"/>
      <x:c r="B388" s="19"/>
      <x:c r="C388" s="19"/>
      <x:c r="D388" s="19"/>
      <x:c r="E388" s="62"/>
      <x:c r="F388" s="19"/>
      <x:c r="G388" s="25"/>
      <x:c r="H388" s="25"/>
      <x:c r="I388" s="96" t="str">
        <x:f>IF($A388="","",$E388*$G388-$H388)</x:f>
      </x:c>
    </x:row>
    <x:row r="389">
      <x:c r="A389" s="19"/>
      <x:c r="B389" s="19"/>
      <x:c r="C389" s="19"/>
      <x:c r="D389" s="19"/>
      <x:c r="E389" s="62"/>
      <x:c r="F389" s="19"/>
      <x:c r="G389" s="25"/>
      <x:c r="H389" s="25"/>
      <x:c r="I389" s="96" t="str">
        <x:f>IF($A389="","",$E389*$G389-$H389)</x:f>
      </x:c>
    </x:row>
    <x:row r="390">
      <x:c r="A390" s="19"/>
      <x:c r="B390" s="19"/>
      <x:c r="C390" s="19"/>
      <x:c r="D390" s="19"/>
      <x:c r="E390" s="62"/>
      <x:c r="F390" s="19"/>
      <x:c r="G390" s="25"/>
      <x:c r="H390" s="25"/>
      <x:c r="I390" s="96" t="str">
        <x:f>IF($A390="","",$E390*$G390-$H390)</x:f>
      </x:c>
    </x:row>
    <x:row r="391">
      <x:c r="A391" s="19"/>
      <x:c r="B391" s="19"/>
      <x:c r="C391" s="19"/>
      <x:c r="D391" s="19"/>
      <x:c r="E391" s="62"/>
      <x:c r="F391" s="19"/>
      <x:c r="G391" s="25"/>
      <x:c r="H391" s="25"/>
      <x:c r="I391" s="96" t="str">
        <x:f>IF($A391="","",$E391*$G391-$H391)</x:f>
      </x:c>
    </x:row>
    <x:row r="392">
      <x:c r="A392" s="19"/>
      <x:c r="B392" s="19"/>
      <x:c r="C392" s="19"/>
      <x:c r="D392" s="19"/>
      <x:c r="E392" s="62"/>
      <x:c r="F392" s="19"/>
      <x:c r="G392" s="25"/>
      <x:c r="H392" s="25"/>
      <x:c r="I392" s="96" t="str">
        <x:f>IF($A392="","",$E392*$G392-$H392)</x:f>
      </x:c>
    </x:row>
    <x:row r="393">
      <x:c r="A393" s="19"/>
      <x:c r="B393" s="19"/>
      <x:c r="C393" s="19"/>
      <x:c r="D393" s="19"/>
      <x:c r="E393" s="62"/>
      <x:c r="F393" s="19"/>
      <x:c r="G393" s="25"/>
      <x:c r="H393" s="25"/>
      <x:c r="I393" s="96" t="str">
        <x:f>IF($A393="","",$E393*$G393-$H393)</x:f>
      </x:c>
    </x:row>
    <x:row r="394">
      <x:c r="A394" s="19"/>
      <x:c r="B394" s="19"/>
      <x:c r="C394" s="19"/>
      <x:c r="D394" s="19"/>
      <x:c r="E394" s="62"/>
      <x:c r="F394" s="19"/>
      <x:c r="G394" s="25"/>
      <x:c r="H394" s="25"/>
      <x:c r="I394" s="96" t="str">
        <x:f>IF($A394="","",$E394*$G394-$H394)</x:f>
      </x:c>
    </x:row>
    <x:row r="395">
      <x:c r="A395" s="19"/>
      <x:c r="B395" s="19"/>
      <x:c r="C395" s="19"/>
      <x:c r="D395" s="19"/>
      <x:c r="E395" s="62"/>
      <x:c r="F395" s="19"/>
      <x:c r="G395" s="25"/>
      <x:c r="H395" s="25"/>
      <x:c r="I395" s="96" t="str">
        <x:f>IF($A395="","",$E395*$G395-$H395)</x:f>
      </x:c>
    </x:row>
    <x:row r="396">
      <x:c r="A396" s="19"/>
      <x:c r="B396" s="19"/>
      <x:c r="C396" s="19"/>
      <x:c r="D396" s="19"/>
      <x:c r="E396" s="62"/>
      <x:c r="F396" s="19"/>
      <x:c r="G396" s="25"/>
      <x:c r="H396" s="25"/>
      <x:c r="I396" s="96" t="str">
        <x:f>IF($A396="","",$E396*$G396-$H396)</x:f>
      </x:c>
    </x:row>
    <x:row r="397">
      <x:c r="A397" s="19"/>
      <x:c r="B397" s="19"/>
      <x:c r="C397" s="19"/>
      <x:c r="D397" s="19"/>
      <x:c r="E397" s="62"/>
      <x:c r="F397" s="19"/>
      <x:c r="G397" s="25"/>
      <x:c r="H397" s="25"/>
      <x:c r="I397" s="96" t="str">
        <x:f>IF($A397="","",$E397*$G397-$H397)</x:f>
      </x:c>
    </x:row>
    <x:row r="398">
      <x:c r="A398" s="19"/>
      <x:c r="B398" s="19"/>
      <x:c r="C398" s="19"/>
      <x:c r="D398" s="19"/>
      <x:c r="E398" s="62"/>
      <x:c r="F398" s="19"/>
      <x:c r="G398" s="25"/>
      <x:c r="H398" s="25"/>
      <x:c r="I398" s="96" t="str">
        <x:f>IF($A398="","",$E398*$G398-$H398)</x:f>
      </x:c>
    </x:row>
    <x:row r="399">
      <x:c r="A399" s="19"/>
      <x:c r="B399" s="19"/>
      <x:c r="C399" s="19"/>
      <x:c r="D399" s="19"/>
      <x:c r="E399" s="62"/>
      <x:c r="F399" s="19"/>
      <x:c r="G399" s="25"/>
      <x:c r="H399" s="25"/>
      <x:c r="I399" s="96" t="str">
        <x:f>IF($A399="","",$E399*$G399-$H399)</x:f>
      </x:c>
    </x:row>
    <x:row r="400">
      <x:c r="A400" s="19"/>
      <x:c r="B400" s="19"/>
      <x:c r="C400" s="19"/>
      <x:c r="D400" s="19"/>
      <x:c r="E400" s="62"/>
      <x:c r="F400" s="19"/>
      <x:c r="G400" s="25"/>
      <x:c r="H400" s="25"/>
      <x:c r="I400" s="96" t="str">
        <x:f>IF($A400="","",$E400*$G400-$H400)</x:f>
      </x:c>
    </x:row>
    <x:row r="401">
      <x:c r="A401" s="19"/>
      <x:c r="B401" s="19"/>
      <x:c r="C401" s="19"/>
      <x:c r="D401" s="19"/>
      <x:c r="E401" s="62"/>
      <x:c r="F401" s="19"/>
      <x:c r="G401" s="25"/>
      <x:c r="H401" s="25"/>
      <x:c r="I401" s="96" t="str">
        <x:f>IF($A401="","",$E401*$G401-$H401)</x:f>
      </x:c>
    </x:row>
    <x:row r="402">
      <x:c r="A402" s="19"/>
      <x:c r="B402" s="19"/>
      <x:c r="C402" s="19"/>
      <x:c r="D402" s="19"/>
      <x:c r="E402" s="62"/>
      <x:c r="F402" s="19"/>
      <x:c r="G402" s="25"/>
      <x:c r="H402" s="25"/>
      <x:c r="I402" s="96" t="str">
        <x:f>IF($A402="","",$E402*$G402-$H402)</x:f>
      </x:c>
    </x:row>
    <x:row r="403">
      <x:c r="A403" s="19"/>
      <x:c r="B403" s="19"/>
      <x:c r="C403" s="19"/>
      <x:c r="D403" s="19"/>
      <x:c r="E403" s="62"/>
      <x:c r="F403" s="19"/>
      <x:c r="G403" s="25"/>
      <x:c r="H403" s="25"/>
      <x:c r="I403" s="96" t="str">
        <x:f>IF($A403="","",$E403*$G403-$H403)</x:f>
      </x:c>
    </x:row>
    <x:row r="404">
      <x:c r="A404" s="19"/>
      <x:c r="B404" s="19"/>
      <x:c r="C404" s="19"/>
      <x:c r="D404" s="19"/>
      <x:c r="E404" s="62"/>
      <x:c r="F404" s="19"/>
      <x:c r="G404" s="25"/>
      <x:c r="H404" s="25"/>
      <x:c r="I404" s="96" t="str">
        <x:f>IF($A404="","",$E404*$G404-$H404)</x:f>
      </x:c>
    </x:row>
    <x:row r="405">
      <x:c r="A405" s="19"/>
      <x:c r="B405" s="19"/>
      <x:c r="C405" s="19"/>
      <x:c r="D405" s="19"/>
      <x:c r="E405" s="62"/>
      <x:c r="F405" s="19"/>
      <x:c r="G405" s="25"/>
      <x:c r="H405" s="25"/>
      <x:c r="I405" s="96" t="str">
        <x:f>IF($A405="","",$E405*$G405-$H405)</x:f>
      </x:c>
    </x:row>
    <x:row r="406">
      <x:c r="A406" s="19"/>
      <x:c r="B406" s="19"/>
      <x:c r="C406" s="19"/>
      <x:c r="D406" s="19"/>
      <x:c r="E406" s="62"/>
      <x:c r="F406" s="19"/>
      <x:c r="G406" s="25"/>
      <x:c r="H406" s="25"/>
      <x:c r="I406" s="96" t="str">
        <x:f>IF($A406="","",$E406*$G406-$H406)</x:f>
      </x:c>
    </x:row>
    <x:row r="407">
      <x:c r="A407" s="19"/>
      <x:c r="B407" s="19"/>
      <x:c r="C407" s="19"/>
      <x:c r="D407" s="19"/>
      <x:c r="E407" s="62"/>
      <x:c r="F407" s="19"/>
      <x:c r="G407" s="25"/>
      <x:c r="H407" s="25"/>
      <x:c r="I407" s="96" t="str">
        <x:f>IF($A407="","",$E407*$G407-$H407)</x:f>
      </x:c>
    </x:row>
    <x:row r="408">
      <x:c r="A408" s="19"/>
      <x:c r="B408" s="19"/>
      <x:c r="C408" s="19"/>
      <x:c r="D408" s="19"/>
      <x:c r="E408" s="62"/>
      <x:c r="F408" s="19"/>
      <x:c r="G408" s="25"/>
      <x:c r="H408" s="25"/>
      <x:c r="I408" s="96" t="str">
        <x:f>IF($A408="","",$E408*$G408-$H408)</x:f>
      </x:c>
    </x:row>
    <x:row r="409">
      <x:c r="A409" s="19"/>
      <x:c r="B409" s="19"/>
      <x:c r="C409" s="19"/>
      <x:c r="D409" s="19"/>
      <x:c r="E409" s="62"/>
      <x:c r="F409" s="19"/>
      <x:c r="G409" s="25"/>
      <x:c r="H409" s="25"/>
      <x:c r="I409" s="96" t="str">
        <x:f>IF($A409="","",$E409*$G409-$H409)</x:f>
      </x:c>
    </x:row>
    <x:row r="410">
      <x:c r="A410" s="19"/>
      <x:c r="B410" s="19"/>
      <x:c r="C410" s="19"/>
      <x:c r="D410" s="19"/>
      <x:c r="E410" s="62"/>
      <x:c r="F410" s="19"/>
      <x:c r="G410" s="25"/>
      <x:c r="H410" s="25"/>
      <x:c r="I410" s="96" t="str">
        <x:f>IF($A410="","",$E410*$G410-$H410)</x:f>
      </x:c>
    </x:row>
    <x:row r="411">
      <x:c r="A411" s="19"/>
      <x:c r="B411" s="19"/>
      <x:c r="C411" s="19"/>
      <x:c r="D411" s="19"/>
      <x:c r="E411" s="62"/>
      <x:c r="F411" s="19"/>
      <x:c r="G411" s="25"/>
      <x:c r="H411" s="25"/>
      <x:c r="I411" s="96" t="str">
        <x:f>IF($A411="","",$E411*$G411-$H411)</x:f>
      </x:c>
    </x:row>
    <x:row r="412">
      <x:c r="A412" s="19"/>
      <x:c r="B412" s="19"/>
      <x:c r="C412" s="19"/>
      <x:c r="D412" s="19"/>
      <x:c r="E412" s="62"/>
      <x:c r="F412" s="19"/>
      <x:c r="G412" s="25"/>
      <x:c r="H412" s="25"/>
      <x:c r="I412" s="96" t="str">
        <x:f>IF($A412="","",$E412*$G412-$H412)</x:f>
      </x:c>
    </x:row>
    <x:row r="413">
      <x:c r="A413" s="19"/>
      <x:c r="B413" s="19"/>
      <x:c r="C413" s="19"/>
      <x:c r="D413" s="19"/>
      <x:c r="E413" s="62"/>
      <x:c r="F413" s="19"/>
      <x:c r="G413" s="25"/>
      <x:c r="H413" s="25"/>
      <x:c r="I413" s="96" t="str">
        <x:f>IF($A413="","",$E413*$G413-$H413)</x:f>
      </x:c>
    </x:row>
    <x:row r="414">
      <x:c r="A414" s="19"/>
      <x:c r="B414" s="19"/>
      <x:c r="C414" s="19"/>
      <x:c r="D414" s="19"/>
      <x:c r="E414" s="62"/>
      <x:c r="F414" s="19"/>
      <x:c r="G414" s="25"/>
      <x:c r="H414" s="25"/>
      <x:c r="I414" s="96" t="str">
        <x:f>IF($A414="","",$E414*$G414-$H414)</x:f>
      </x:c>
    </x:row>
    <x:row r="415">
      <x:c r="A415" s="19"/>
      <x:c r="B415" s="19"/>
      <x:c r="C415" s="19"/>
      <x:c r="D415" s="19"/>
      <x:c r="E415" s="62"/>
      <x:c r="F415" s="19"/>
      <x:c r="G415" s="25"/>
      <x:c r="H415" s="25"/>
      <x:c r="I415" s="96" t="str">
        <x:f>IF($A415="","",$E415*$G415-$H415)</x:f>
      </x:c>
    </x:row>
    <x:row r="416">
      <x:c r="A416" s="19"/>
      <x:c r="B416" s="19"/>
      <x:c r="C416" s="19"/>
      <x:c r="D416" s="19"/>
      <x:c r="E416" s="62"/>
      <x:c r="F416" s="19"/>
      <x:c r="G416" s="25"/>
      <x:c r="H416" s="25"/>
      <x:c r="I416" s="96" t="str">
        <x:f>IF($A416="","",$E416*$G416-$H416)</x:f>
      </x:c>
    </x:row>
    <x:row r="417">
      <x:c r="A417" s="19"/>
      <x:c r="B417" s="19"/>
      <x:c r="C417" s="19"/>
      <x:c r="D417" s="19"/>
      <x:c r="E417" s="62"/>
      <x:c r="F417" s="19"/>
      <x:c r="G417" s="25"/>
      <x:c r="H417" s="25"/>
      <x:c r="I417" s="96" t="str">
        <x:f>IF($A417="","",$E417*$G417-$H417)</x:f>
      </x:c>
    </x:row>
    <x:row r="418">
      <x:c r="A418" s="19"/>
      <x:c r="B418" s="19"/>
      <x:c r="C418" s="19"/>
      <x:c r="D418" s="19"/>
      <x:c r="E418" s="62"/>
      <x:c r="F418" s="19"/>
      <x:c r="G418" s="25"/>
      <x:c r="H418" s="25"/>
      <x:c r="I418" s="96" t="str">
        <x:f>IF($A418="","",$E418*$G418-$H418)</x:f>
      </x:c>
    </x:row>
    <x:row r="419">
      <x:c r="A419" s="19"/>
      <x:c r="B419" s="19"/>
      <x:c r="C419" s="19"/>
      <x:c r="D419" s="19"/>
      <x:c r="E419" s="62"/>
      <x:c r="F419" s="19"/>
      <x:c r="G419" s="25"/>
      <x:c r="H419" s="25"/>
      <x:c r="I419" s="96" t="str">
        <x:f>IF($A419="","",$E419*$G419-$H419)</x:f>
      </x:c>
    </x:row>
    <x:row r="420">
      <x:c r="A420" s="19"/>
      <x:c r="B420" s="19"/>
      <x:c r="C420" s="19"/>
      <x:c r="D420" s="19"/>
      <x:c r="E420" s="62"/>
      <x:c r="F420" s="19"/>
      <x:c r="G420" s="25"/>
      <x:c r="H420" s="25"/>
      <x:c r="I420" s="96" t="str">
        <x:f>IF($A420="","",$E420*$G420-$H420)</x:f>
      </x:c>
    </x:row>
    <x:row r="421">
      <x:c r="A421" s="19"/>
      <x:c r="B421" s="19"/>
      <x:c r="C421" s="19"/>
      <x:c r="D421" s="19"/>
      <x:c r="E421" s="62"/>
      <x:c r="F421" s="19"/>
      <x:c r="G421" s="25"/>
      <x:c r="H421" s="25"/>
      <x:c r="I421" s="96" t="str">
        <x:f>IF($A421="","",$E421*$G421-$H421)</x:f>
      </x:c>
    </x:row>
    <x:row r="422">
      <x:c r="A422" s="19"/>
      <x:c r="B422" s="19"/>
      <x:c r="C422" s="19"/>
      <x:c r="D422" s="19"/>
      <x:c r="E422" s="62"/>
      <x:c r="F422" s="19"/>
      <x:c r="G422" s="25"/>
      <x:c r="H422" s="25"/>
      <x:c r="I422" s="96" t="str">
        <x:f>IF($A422="","",$E422*$G422-$H422)</x:f>
      </x:c>
    </x:row>
    <x:row r="423">
      <x:c r="A423" s="19"/>
      <x:c r="B423" s="19"/>
      <x:c r="C423" s="19"/>
      <x:c r="D423" s="19"/>
      <x:c r="E423" s="62"/>
      <x:c r="F423" s="19"/>
      <x:c r="G423" s="25"/>
      <x:c r="H423" s="25"/>
      <x:c r="I423" s="96" t="str">
        <x:f>IF($A423="","",$E423*$G423-$H423)</x:f>
      </x:c>
    </x:row>
    <x:row r="424">
      <x:c r="A424" s="19"/>
      <x:c r="B424" s="19"/>
      <x:c r="C424" s="19"/>
      <x:c r="D424" s="19"/>
      <x:c r="E424" s="62"/>
      <x:c r="F424" s="19"/>
      <x:c r="G424" s="25"/>
      <x:c r="H424" s="25"/>
      <x:c r="I424" s="96" t="str">
        <x:f>IF($A424="","",$E424*$G424-$H424)</x:f>
      </x:c>
    </x:row>
    <x:row r="425">
      <x:c r="A425" s="19"/>
      <x:c r="B425" s="19"/>
      <x:c r="C425" s="19"/>
      <x:c r="D425" s="19"/>
      <x:c r="E425" s="62"/>
      <x:c r="F425" s="19"/>
      <x:c r="G425" s="25"/>
      <x:c r="H425" s="25"/>
      <x:c r="I425" s="96" t="str">
        <x:f>IF($A425="","",$E425*$G425-$H425)</x:f>
      </x:c>
    </x:row>
    <x:row r="426">
      <x:c r="A426" s="19"/>
      <x:c r="B426" s="19"/>
      <x:c r="C426" s="19"/>
      <x:c r="D426" s="19"/>
      <x:c r="E426" s="62"/>
      <x:c r="F426" s="19"/>
      <x:c r="G426" s="25"/>
      <x:c r="H426" s="25"/>
      <x:c r="I426" s="96" t="str">
        <x:f>IF($A426="","",$E426*$G426-$H426)</x:f>
      </x:c>
    </x:row>
    <x:row r="427">
      <x:c r="A427" s="19"/>
      <x:c r="B427" s="19"/>
      <x:c r="C427" s="19"/>
      <x:c r="D427" s="19"/>
      <x:c r="E427" s="62"/>
      <x:c r="F427" s="19"/>
      <x:c r="G427" s="25"/>
      <x:c r="H427" s="25"/>
      <x:c r="I427" s="96" t="str">
        <x:f>IF($A427="","",$E427*$G427-$H427)</x:f>
      </x:c>
    </x:row>
    <x:row r="428">
      <x:c r="A428" s="19"/>
      <x:c r="B428" s="19"/>
      <x:c r="C428" s="19"/>
      <x:c r="D428" s="19"/>
      <x:c r="E428" s="62"/>
      <x:c r="F428" s="19"/>
      <x:c r="G428" s="25"/>
      <x:c r="H428" s="25"/>
      <x:c r="I428" s="96" t="str">
        <x:f>IF($A428="","",$E428*$G428-$H428)</x:f>
      </x:c>
    </x:row>
    <x:row r="429">
      <x:c r="A429" s="19"/>
      <x:c r="B429" s="19"/>
      <x:c r="C429" s="19"/>
      <x:c r="D429" s="19"/>
      <x:c r="E429" s="62"/>
      <x:c r="F429" s="19"/>
      <x:c r="G429" s="25"/>
      <x:c r="H429" s="25"/>
      <x:c r="I429" s="96" t="str">
        <x:f>IF($A429="","",$E429*$G429-$H429)</x:f>
      </x:c>
    </x:row>
    <x:row r="430">
      <x:c r="A430" s="19"/>
      <x:c r="B430" s="19"/>
      <x:c r="C430" s="19"/>
      <x:c r="D430" s="19"/>
      <x:c r="E430" s="62"/>
      <x:c r="F430" s="19"/>
      <x:c r="G430" s="25"/>
      <x:c r="H430" s="25"/>
      <x:c r="I430" s="96" t="str">
        <x:f>IF($A430="","",$E430*$G430-$H430)</x:f>
      </x:c>
    </x:row>
    <x:row r="431">
      <x:c r="A431" s="19"/>
      <x:c r="B431" s="19"/>
      <x:c r="C431" s="19"/>
      <x:c r="D431" s="19"/>
      <x:c r="E431" s="62"/>
      <x:c r="F431" s="19"/>
      <x:c r="G431" s="25"/>
      <x:c r="H431" s="25"/>
      <x:c r="I431" s="96" t="str">
        <x:f>IF($A431="","",$E431*$G431-$H431)</x:f>
      </x:c>
    </x:row>
    <x:row r="432">
      <x:c r="A432" s="19"/>
      <x:c r="B432" s="19"/>
      <x:c r="C432" s="19"/>
      <x:c r="D432" s="19"/>
      <x:c r="E432" s="62"/>
      <x:c r="F432" s="19"/>
      <x:c r="G432" s="25"/>
      <x:c r="H432" s="25"/>
      <x:c r="I432" s="96" t="str">
        <x:f>IF($A432="","",$E432*$G432-$H432)</x:f>
      </x:c>
    </x:row>
    <x:row r="433">
      <x:c r="A433" s="19"/>
      <x:c r="B433" s="19"/>
      <x:c r="C433" s="19"/>
      <x:c r="D433" s="19"/>
      <x:c r="E433" s="62"/>
      <x:c r="F433" s="19"/>
      <x:c r="G433" s="25"/>
      <x:c r="H433" s="25"/>
      <x:c r="I433" s="96" t="str">
        <x:f>IF($A433="","",$E433*$G433-$H433)</x:f>
      </x:c>
    </x:row>
    <x:row r="434">
      <x:c r="A434" s="19"/>
      <x:c r="B434" s="19"/>
      <x:c r="C434" s="19"/>
      <x:c r="D434" s="19"/>
      <x:c r="E434" s="62"/>
      <x:c r="F434" s="19"/>
      <x:c r="G434" s="25"/>
      <x:c r="H434" s="25"/>
      <x:c r="I434" s="96" t="str">
        <x:f>IF($A434="","",$E434*$G434-$H434)</x:f>
      </x:c>
    </x:row>
    <x:row r="435">
      <x:c r="A435" s="19"/>
      <x:c r="B435" s="19"/>
      <x:c r="C435" s="19"/>
      <x:c r="D435" s="19"/>
      <x:c r="E435" s="62"/>
      <x:c r="F435" s="19"/>
      <x:c r="G435" s="25"/>
      <x:c r="H435" s="25"/>
      <x:c r="I435" s="96" t="str">
        <x:f>IF($A435="","",$E435*$G435-$H435)</x:f>
      </x:c>
    </x:row>
    <x:row r="436">
      <x:c r="A436" s="19"/>
      <x:c r="B436" s="19"/>
      <x:c r="C436" s="19"/>
      <x:c r="D436" s="19"/>
      <x:c r="E436" s="62"/>
      <x:c r="F436" s="19"/>
      <x:c r="G436" s="25"/>
      <x:c r="H436" s="25"/>
      <x:c r="I436" s="96" t="str">
        <x:f>IF($A436="","",$E436*$G436-$H436)</x:f>
      </x:c>
    </x:row>
    <x:row r="437">
      <x:c r="A437" s="19"/>
      <x:c r="B437" s="19"/>
      <x:c r="C437" s="19"/>
      <x:c r="D437" s="19"/>
      <x:c r="E437" s="62"/>
      <x:c r="F437" s="19"/>
      <x:c r="G437" s="25"/>
      <x:c r="H437" s="25"/>
      <x:c r="I437" s="96" t="str">
        <x:f>IF($A437="","",$E437*$G437-$H437)</x:f>
      </x:c>
    </x:row>
    <x:row r="438">
      <x:c r="A438" s="19"/>
      <x:c r="B438" s="19"/>
      <x:c r="C438" s="19"/>
      <x:c r="D438" s="19"/>
      <x:c r="E438" s="62"/>
      <x:c r="F438" s="19"/>
      <x:c r="G438" s="25"/>
      <x:c r="H438" s="25"/>
      <x:c r="I438" s="96" t="str">
        <x:f>IF($A438="","",$E438*$G438-$H438)</x:f>
      </x:c>
    </x:row>
    <x:row r="439">
      <x:c r="A439" s="19"/>
      <x:c r="B439" s="19"/>
      <x:c r="C439" s="19"/>
      <x:c r="D439" s="19"/>
      <x:c r="E439" s="62"/>
      <x:c r="F439" s="19"/>
      <x:c r="G439" s="25"/>
      <x:c r="H439" s="25"/>
      <x:c r="I439" s="96" t="str">
        <x:f>IF($A439="","",$E439*$G439-$H439)</x:f>
      </x:c>
    </x:row>
    <x:row r="440">
      <x:c r="A440" s="19"/>
      <x:c r="B440" s="19"/>
      <x:c r="C440" s="19"/>
      <x:c r="D440" s="19"/>
      <x:c r="E440" s="62"/>
      <x:c r="F440" s="19"/>
      <x:c r="G440" s="25"/>
      <x:c r="H440" s="25"/>
      <x:c r="I440" s="96" t="str">
        <x:f>IF($A440="","",$E440*$G440-$H440)</x:f>
      </x:c>
    </x:row>
    <x:row r="441">
      <x:c r="A441" s="19"/>
      <x:c r="B441" s="19"/>
      <x:c r="C441" s="19"/>
      <x:c r="D441" s="19"/>
      <x:c r="E441" s="62"/>
      <x:c r="F441" s="19"/>
      <x:c r="G441" s="25"/>
      <x:c r="H441" s="25"/>
      <x:c r="I441" s="96" t="str">
        <x:f>IF($A441="","",$E441*$G441-$H441)</x:f>
      </x:c>
    </x:row>
    <x:row r="442">
      <x:c r="A442" s="19"/>
      <x:c r="B442" s="19"/>
      <x:c r="C442" s="19"/>
      <x:c r="D442" s="19"/>
      <x:c r="E442" s="62"/>
      <x:c r="F442" s="19"/>
      <x:c r="G442" s="25"/>
      <x:c r="H442" s="25"/>
      <x:c r="I442" s="96" t="str">
        <x:f>IF($A442="","",$E442*$G442-$H442)</x:f>
      </x:c>
    </x:row>
    <x:row r="443">
      <x:c r="A443" s="19"/>
      <x:c r="B443" s="19"/>
      <x:c r="C443" s="19"/>
      <x:c r="D443" s="19"/>
      <x:c r="E443" s="62"/>
      <x:c r="F443" s="19"/>
      <x:c r="G443" s="25"/>
      <x:c r="H443" s="25"/>
      <x:c r="I443" s="96" t="str">
        <x:f>IF($A443="","",$E443*$G443-$H443)</x:f>
      </x:c>
    </x:row>
    <x:row r="444">
      <x:c r="A444" s="19"/>
      <x:c r="B444" s="19"/>
      <x:c r="C444" s="19"/>
      <x:c r="D444" s="19"/>
      <x:c r="E444" s="62"/>
      <x:c r="F444" s="19"/>
      <x:c r="G444" s="25"/>
      <x:c r="H444" s="25"/>
      <x:c r="I444" s="96" t="str">
        <x:f>IF($A444="","",$E444*$G444-$H444)</x:f>
      </x:c>
    </x:row>
    <x:row r="445">
      <x:c r="A445" s="19"/>
      <x:c r="B445" s="19"/>
      <x:c r="C445" s="19"/>
      <x:c r="D445" s="19"/>
      <x:c r="E445" s="62"/>
      <x:c r="F445" s="19"/>
      <x:c r="G445" s="25"/>
      <x:c r="H445" s="25"/>
      <x:c r="I445" s="96" t="str">
        <x:f>IF($A445="","",$E445*$G445-$H445)</x:f>
      </x:c>
    </x:row>
    <x:row r="446">
      <x:c r="A446" s="19"/>
      <x:c r="B446" s="19"/>
      <x:c r="C446" s="19"/>
      <x:c r="D446" s="19"/>
      <x:c r="E446" s="62"/>
      <x:c r="F446" s="19"/>
      <x:c r="G446" s="25"/>
      <x:c r="H446" s="25"/>
      <x:c r="I446" s="96" t="str">
        <x:f>IF($A446="","",$E446*$G446-$H446)</x:f>
      </x:c>
    </x:row>
    <x:row r="447">
      <x:c r="A447" s="19"/>
      <x:c r="B447" s="19"/>
      <x:c r="C447" s="19"/>
      <x:c r="D447" s="19"/>
      <x:c r="E447" s="62"/>
      <x:c r="F447" s="19"/>
      <x:c r="G447" s="25"/>
      <x:c r="H447" s="25"/>
      <x:c r="I447" s="96" t="str">
        <x:f>IF($A447="","",$E447*$G447-$H447)</x:f>
      </x:c>
    </x:row>
    <x:row r="448">
      <x:c r="A448" s="19"/>
      <x:c r="B448" s="19"/>
      <x:c r="C448" s="19"/>
      <x:c r="D448" s="19"/>
      <x:c r="E448" s="62"/>
      <x:c r="F448" s="19"/>
      <x:c r="G448" s="25"/>
      <x:c r="H448" s="25"/>
      <x:c r="I448" s="96" t="str">
        <x:f>IF($A448="","",$E448*$G448-$H448)</x:f>
      </x:c>
    </x:row>
    <x:row r="449">
      <x:c r="A449" s="19"/>
      <x:c r="B449" s="19"/>
      <x:c r="C449" s="19"/>
      <x:c r="D449" s="19"/>
      <x:c r="E449" s="62"/>
      <x:c r="F449" s="19"/>
      <x:c r="G449" s="25"/>
      <x:c r="H449" s="25"/>
      <x:c r="I449" s="96" t="str">
        <x:f>IF($A449="","",$E449*$G449-$H449)</x:f>
      </x:c>
    </x:row>
    <x:row r="450">
      <x:c r="A450" s="19"/>
      <x:c r="B450" s="19"/>
      <x:c r="C450" s="19"/>
      <x:c r="D450" s="19"/>
      <x:c r="E450" s="62"/>
      <x:c r="F450" s="19"/>
      <x:c r="G450" s="25"/>
      <x:c r="H450" s="25"/>
      <x:c r="I450" s="96" t="str">
        <x:f>IF($A450="","",$E450*$G450-$H450)</x:f>
      </x:c>
    </x:row>
    <x:row r="451">
      <x:c r="A451" s="19"/>
      <x:c r="B451" s="19"/>
      <x:c r="C451" s="19"/>
      <x:c r="D451" s="19"/>
      <x:c r="E451" s="62"/>
      <x:c r="F451" s="19"/>
      <x:c r="G451" s="25"/>
      <x:c r="H451" s="25"/>
      <x:c r="I451" s="96" t="str">
        <x:f>IF($A451="","",$E451*$G451-$H451)</x:f>
      </x:c>
    </x:row>
    <x:row r="452">
      <x:c r="A452" s="19"/>
      <x:c r="B452" s="19"/>
      <x:c r="C452" s="19"/>
      <x:c r="D452" s="19"/>
      <x:c r="E452" s="62"/>
      <x:c r="F452" s="19"/>
      <x:c r="G452" s="25"/>
      <x:c r="H452" s="25"/>
      <x:c r="I452" s="96" t="str">
        <x:f>IF($A452="","",$E452*$G452-$H452)</x:f>
      </x:c>
    </x:row>
    <x:row r="453">
      <x:c r="A453" s="19"/>
      <x:c r="B453" s="19"/>
      <x:c r="C453" s="19"/>
      <x:c r="D453" s="19"/>
      <x:c r="E453" s="62"/>
      <x:c r="F453" s="19"/>
      <x:c r="G453" s="25"/>
      <x:c r="H453" s="25"/>
      <x:c r="I453" s="96" t="str">
        <x:f>IF($A453="","",$E453*$G453-$H453)</x:f>
      </x:c>
    </x:row>
    <x:row r="454">
      <x:c r="A454" s="19"/>
      <x:c r="B454" s="19"/>
      <x:c r="C454" s="19"/>
      <x:c r="D454" s="19"/>
      <x:c r="E454" s="62"/>
      <x:c r="F454" s="19"/>
      <x:c r="G454" s="25"/>
      <x:c r="H454" s="25"/>
      <x:c r="I454" s="96" t="str">
        <x:f>IF($A454="","",$E454*$G454-$H454)</x:f>
      </x:c>
    </x:row>
    <x:row r="455">
      <x:c r="A455" s="19"/>
      <x:c r="B455" s="19"/>
      <x:c r="C455" s="19"/>
      <x:c r="D455" s="19"/>
      <x:c r="E455" s="62"/>
      <x:c r="F455" s="19"/>
      <x:c r="G455" s="25"/>
      <x:c r="H455" s="25"/>
      <x:c r="I455" s="96" t="str">
        <x:f>IF($A455="","",$E455*$G455-$H455)</x:f>
      </x:c>
    </x:row>
    <x:row r="456">
      <x:c r="A456" s="19"/>
      <x:c r="B456" s="19"/>
      <x:c r="C456" s="19"/>
      <x:c r="D456" s="19"/>
      <x:c r="E456" s="62"/>
      <x:c r="F456" s="19"/>
      <x:c r="G456" s="25"/>
      <x:c r="H456" s="25"/>
      <x:c r="I456" s="96" t="str">
        <x:f>IF($A456="","",$E456*$G456-$H456)</x:f>
      </x:c>
    </x:row>
    <x:row r="457">
      <x:c r="A457" s="19"/>
      <x:c r="B457" s="19"/>
      <x:c r="C457" s="19"/>
      <x:c r="D457" s="19"/>
      <x:c r="E457" s="62"/>
      <x:c r="F457" s="19"/>
      <x:c r="G457" s="25"/>
      <x:c r="H457" s="25"/>
      <x:c r="I457" s="96" t="str">
        <x:f>IF($A457="","",$E457*$G457-$H457)</x:f>
      </x:c>
    </x:row>
    <x:row r="458">
      <x:c r="A458" s="19"/>
      <x:c r="B458" s="19"/>
      <x:c r="C458" s="19"/>
      <x:c r="D458" s="19"/>
      <x:c r="E458" s="62"/>
      <x:c r="F458" s="19"/>
      <x:c r="G458" s="25"/>
      <x:c r="H458" s="25"/>
      <x:c r="I458" s="96" t="str">
        <x:f>IF($A458="","",$E458*$G458-$H458)</x:f>
      </x:c>
    </x:row>
    <x:row r="459">
      <x:c r="A459" s="19"/>
      <x:c r="B459" s="19"/>
      <x:c r="C459" s="19"/>
      <x:c r="D459" s="19"/>
      <x:c r="E459" s="62"/>
      <x:c r="F459" s="19"/>
      <x:c r="G459" s="25"/>
      <x:c r="H459" s="25"/>
      <x:c r="I459" s="96" t="str">
        <x:f>IF($A459="","",$E459*$G459-$H459)</x:f>
      </x:c>
    </x:row>
    <x:row r="460">
      <x:c r="A460" s="19"/>
      <x:c r="B460" s="19"/>
      <x:c r="C460" s="19"/>
      <x:c r="D460" s="19"/>
      <x:c r="E460" s="62"/>
      <x:c r="F460" s="19"/>
      <x:c r="G460" s="25"/>
      <x:c r="H460" s="25"/>
      <x:c r="I460" s="96" t="str">
        <x:f>IF($A460="","",$E460*$G460-$H460)</x:f>
      </x:c>
    </x:row>
    <x:row r="461">
      <x:c r="A461" s="19"/>
      <x:c r="B461" s="19"/>
      <x:c r="C461" s="19"/>
      <x:c r="D461" s="19"/>
      <x:c r="E461" s="62"/>
      <x:c r="F461" s="19"/>
      <x:c r="G461" s="25"/>
      <x:c r="H461" s="25"/>
      <x:c r="I461" s="96" t="str">
        <x:f>IF($A461="","",$E461*$G461-$H461)</x:f>
      </x:c>
    </x:row>
    <x:row r="462">
      <x:c r="A462" s="19"/>
      <x:c r="B462" s="19"/>
      <x:c r="C462" s="19"/>
      <x:c r="D462" s="19"/>
      <x:c r="E462" s="62"/>
      <x:c r="F462" s="19"/>
      <x:c r="G462" s="25"/>
      <x:c r="H462" s="25"/>
      <x:c r="I462" s="96" t="str">
        <x:f>IF($A462="","",$E462*$G462-$H462)</x:f>
      </x:c>
    </x:row>
    <x:row r="463">
      <x:c r="A463" s="19"/>
      <x:c r="B463" s="19"/>
      <x:c r="C463" s="19"/>
      <x:c r="D463" s="19"/>
      <x:c r="E463" s="62"/>
      <x:c r="F463" s="19"/>
      <x:c r="G463" s="25"/>
      <x:c r="H463" s="25"/>
      <x:c r="I463" s="96" t="str">
        <x:f>IF($A463="","",$E463*$G463-$H463)</x:f>
      </x:c>
    </x:row>
    <x:row r="464">
      <x:c r="A464" s="19"/>
      <x:c r="B464" s="19"/>
      <x:c r="C464" s="19"/>
      <x:c r="D464" s="19"/>
      <x:c r="E464" s="62"/>
      <x:c r="F464" s="19"/>
      <x:c r="G464" s="25"/>
      <x:c r="H464" s="25"/>
      <x:c r="I464" s="96" t="str">
        <x:f>IF($A464="","",$E464*$G464-$H464)</x:f>
      </x:c>
    </x:row>
    <x:row r="465">
      <x:c r="A465" s="19"/>
      <x:c r="B465" s="19"/>
      <x:c r="C465" s="19"/>
      <x:c r="D465" s="19"/>
      <x:c r="E465" s="62"/>
      <x:c r="F465" s="19"/>
      <x:c r="G465" s="25"/>
      <x:c r="H465" s="25"/>
      <x:c r="I465" s="96" t="str">
        <x:f>IF($A465="","",$E465*$G465-$H465)</x:f>
      </x:c>
    </x:row>
    <x:row r="466">
      <x:c r="A466" s="19"/>
      <x:c r="B466" s="19"/>
      <x:c r="C466" s="19"/>
      <x:c r="D466" s="19"/>
      <x:c r="E466" s="62"/>
      <x:c r="F466" s="19"/>
      <x:c r="G466" s="25"/>
      <x:c r="H466" s="25"/>
      <x:c r="I466" s="96" t="str">
        <x:f>IF($A466="","",$E466*$G466-$H466)</x:f>
      </x:c>
    </x:row>
    <x:row r="467">
      <x:c r="A467" s="19"/>
      <x:c r="B467" s="19"/>
      <x:c r="C467" s="19"/>
      <x:c r="D467" s="19"/>
      <x:c r="E467" s="62"/>
      <x:c r="F467" s="19"/>
      <x:c r="G467" s="25"/>
      <x:c r="H467" s="25"/>
      <x:c r="I467" s="96" t="str">
        <x:f>IF($A467="","",$E467*$G467-$H467)</x:f>
      </x:c>
    </x:row>
    <x:row r="468">
      <x:c r="A468" s="19"/>
      <x:c r="B468" s="19"/>
      <x:c r="C468" s="19"/>
      <x:c r="D468" s="19"/>
      <x:c r="E468" s="62"/>
      <x:c r="F468" s="19"/>
      <x:c r="G468" s="25"/>
      <x:c r="H468" s="25"/>
      <x:c r="I468" s="96" t="str">
        <x:f>IF($A468="","",$E468*$G468-$H468)</x:f>
      </x:c>
    </x:row>
    <x:row r="469">
      <x:c r="A469" s="19"/>
      <x:c r="B469" s="19"/>
      <x:c r="C469" s="19"/>
      <x:c r="D469" s="19"/>
      <x:c r="E469" s="62"/>
      <x:c r="F469" s="19"/>
      <x:c r="G469" s="25"/>
      <x:c r="H469" s="25"/>
      <x:c r="I469" s="96" t="str">
        <x:f>IF($A469="","",$E469*$G469-$H469)</x:f>
      </x:c>
    </x:row>
    <x:row r="470">
      <x:c r="A470" s="19"/>
      <x:c r="B470" s="19"/>
      <x:c r="C470" s="19"/>
      <x:c r="D470" s="19"/>
      <x:c r="E470" s="62"/>
      <x:c r="F470" s="19"/>
      <x:c r="G470" s="25"/>
      <x:c r="H470" s="25"/>
      <x:c r="I470" s="96" t="str">
        <x:f>IF($A470="","",$E470*$G470-$H470)</x:f>
      </x:c>
    </x:row>
    <x:row r="471">
      <x:c r="A471" s="19"/>
      <x:c r="B471" s="19"/>
      <x:c r="C471" s="19"/>
      <x:c r="D471" s="19"/>
      <x:c r="E471" s="62"/>
      <x:c r="F471" s="19"/>
      <x:c r="G471" s="25"/>
      <x:c r="H471" s="25"/>
      <x:c r="I471" s="96" t="str">
        <x:f>IF($A471="","",$E471*$G471-$H471)</x:f>
      </x:c>
    </x:row>
    <x:row r="472">
      <x:c r="A472" s="19"/>
      <x:c r="B472" s="19"/>
      <x:c r="C472" s="19"/>
      <x:c r="D472" s="19"/>
      <x:c r="E472" s="62"/>
      <x:c r="F472" s="19"/>
      <x:c r="G472" s="25"/>
      <x:c r="H472" s="25"/>
      <x:c r="I472" s="96" t="str">
        <x:f>IF($A472="","",$E472*$G472-$H472)</x:f>
      </x:c>
    </x:row>
    <x:row r="473">
      <x:c r="A473" s="19"/>
      <x:c r="B473" s="19"/>
      <x:c r="C473" s="19"/>
      <x:c r="D473" s="19"/>
      <x:c r="E473" s="62"/>
      <x:c r="F473" s="19"/>
      <x:c r="G473" s="25"/>
      <x:c r="H473" s="25"/>
      <x:c r="I473" s="96" t="str">
        <x:f>IF($A473="","",$E473*$G473-$H473)</x:f>
      </x:c>
    </x:row>
    <x:row r="474">
      <x:c r="A474" s="19"/>
      <x:c r="B474" s="19"/>
      <x:c r="C474" s="19"/>
      <x:c r="D474" s="19"/>
      <x:c r="E474" s="62"/>
      <x:c r="F474" s="19"/>
      <x:c r="G474" s="25"/>
      <x:c r="H474" s="25"/>
      <x:c r="I474" s="96" t="str">
        <x:f>IF($A474="","",$E474*$G474-$H474)</x:f>
      </x:c>
    </x:row>
    <x:row r="475">
      <x:c r="A475" s="19"/>
      <x:c r="B475" s="19"/>
      <x:c r="C475" s="19"/>
      <x:c r="D475" s="19"/>
      <x:c r="E475" s="62"/>
      <x:c r="F475" s="19"/>
      <x:c r="G475" s="25"/>
      <x:c r="H475" s="25"/>
      <x:c r="I475" s="96" t="str">
        <x:f>IF($A475="","",$E475*$G475-$H475)</x:f>
      </x:c>
    </x:row>
    <x:row r="476">
      <x:c r="A476" s="19"/>
      <x:c r="B476" s="19"/>
      <x:c r="C476" s="19"/>
      <x:c r="D476" s="19"/>
      <x:c r="E476" s="62"/>
      <x:c r="F476" s="19"/>
      <x:c r="G476" s="25"/>
      <x:c r="H476" s="25"/>
      <x:c r="I476" s="96" t="str">
        <x:f>IF($A476="","",$E476*$G476-$H476)</x:f>
      </x:c>
    </x:row>
    <x:row r="477">
      <x:c r="A477" s="19"/>
      <x:c r="B477" s="19"/>
      <x:c r="C477" s="19"/>
      <x:c r="D477" s="19"/>
      <x:c r="E477" s="62"/>
      <x:c r="F477" s="19"/>
      <x:c r="G477" s="25"/>
      <x:c r="H477" s="25"/>
      <x:c r="I477" s="96" t="str">
        <x:f>IF($A477="","",$E477*$G477-$H477)</x:f>
      </x:c>
    </x:row>
    <x:row r="478">
      <x:c r="A478" s="19"/>
      <x:c r="B478" s="19"/>
      <x:c r="C478" s="19"/>
      <x:c r="D478" s="19"/>
      <x:c r="E478" s="62"/>
      <x:c r="F478" s="19"/>
      <x:c r="G478" s="25"/>
      <x:c r="H478" s="25"/>
      <x:c r="I478" s="96" t="str">
        <x:f>IF($A478="","",$E478*$G478-$H478)</x:f>
      </x:c>
    </x:row>
    <x:row r="479">
      <x:c r="A479" s="19"/>
      <x:c r="B479" s="19"/>
      <x:c r="C479" s="19"/>
      <x:c r="D479" s="19"/>
      <x:c r="E479" s="62"/>
      <x:c r="F479" s="19"/>
      <x:c r="G479" s="25"/>
      <x:c r="H479" s="25"/>
      <x:c r="I479" s="96" t="str">
        <x:f>IF($A479="","",$E479*$G479-$H479)</x:f>
      </x:c>
    </x:row>
    <x:row r="480">
      <x:c r="A480" s="19"/>
      <x:c r="B480" s="19"/>
      <x:c r="C480" s="19"/>
      <x:c r="D480" s="19"/>
      <x:c r="E480" s="62"/>
      <x:c r="F480" s="19"/>
      <x:c r="G480" s="25"/>
      <x:c r="H480" s="25"/>
      <x:c r="I480" s="96" t="str">
        <x:f>IF($A480="","",$E480*$G480-$H480)</x:f>
      </x:c>
    </x:row>
    <x:row r="481">
      <x:c r="A481" s="19"/>
      <x:c r="B481" s="19"/>
      <x:c r="C481" s="19"/>
      <x:c r="D481" s="19"/>
      <x:c r="E481" s="62"/>
      <x:c r="F481" s="19"/>
      <x:c r="G481" s="25"/>
      <x:c r="H481" s="25"/>
      <x:c r="I481" s="96" t="str">
        <x:f>IF($A481="","",$E481*$G481-$H481)</x:f>
      </x:c>
    </x:row>
    <x:row r="482">
      <x:c r="A482" s="19"/>
      <x:c r="B482" s="19"/>
      <x:c r="C482" s="19"/>
      <x:c r="D482" s="19"/>
      <x:c r="E482" s="62"/>
      <x:c r="F482" s="19"/>
      <x:c r="G482" s="25"/>
      <x:c r="H482" s="25"/>
      <x:c r="I482" s="96" t="str">
        <x:f>IF($A482="","",$E482*$G482-$H482)</x:f>
      </x:c>
    </x:row>
    <x:row r="483">
      <x:c r="A483" s="19"/>
      <x:c r="B483" s="19"/>
      <x:c r="C483" s="19"/>
      <x:c r="D483" s="19"/>
      <x:c r="E483" s="62"/>
      <x:c r="F483" s="19"/>
      <x:c r="G483" s="25"/>
      <x:c r="H483" s="25"/>
      <x:c r="I483" s="96" t="str">
        <x:f>IF($A483="","",$E483*$G483-$H483)</x:f>
      </x:c>
    </x:row>
    <x:row r="484">
      <x:c r="A484" s="19"/>
      <x:c r="B484" s="19"/>
      <x:c r="C484" s="19"/>
      <x:c r="D484" s="19"/>
      <x:c r="E484" s="62"/>
      <x:c r="F484" s="19"/>
      <x:c r="G484" s="25"/>
      <x:c r="H484" s="25"/>
      <x:c r="I484" s="96" t="str">
        <x:f>IF($A484="","",$E484*$G484-$H484)</x:f>
      </x:c>
    </x:row>
    <x:row r="485">
      <x:c r="A485" s="19"/>
      <x:c r="B485" s="19"/>
      <x:c r="C485" s="19"/>
      <x:c r="D485" s="19"/>
      <x:c r="E485" s="62"/>
      <x:c r="F485" s="19"/>
      <x:c r="G485" s="25"/>
      <x:c r="H485" s="25"/>
      <x:c r="I485" s="96" t="str">
        <x:f>IF($A485="","",$E485*$G485-$H485)</x:f>
      </x:c>
    </x:row>
    <x:row r="486">
      <x:c r="A486" s="19"/>
      <x:c r="B486" s="19"/>
      <x:c r="C486" s="19"/>
      <x:c r="D486" s="19"/>
      <x:c r="E486" s="62"/>
      <x:c r="F486" s="19"/>
      <x:c r="G486" s="25"/>
      <x:c r="H486" s="25"/>
      <x:c r="I486" s="96" t="str">
        <x:f>IF($A486="","",$E486*$G486-$H486)</x:f>
      </x:c>
    </x:row>
    <x:row r="487">
      <x:c r="A487" s="19"/>
      <x:c r="B487" s="19"/>
      <x:c r="C487" s="19"/>
      <x:c r="D487" s="19"/>
      <x:c r="E487" s="62"/>
      <x:c r="F487" s="19"/>
      <x:c r="G487" s="25"/>
      <x:c r="H487" s="25"/>
      <x:c r="I487" s="96" t="str">
        <x:f>IF($A487="","",$E487*$G487-$H487)</x:f>
      </x:c>
    </x:row>
    <x:row r="488">
      <x:c r="A488" s="19"/>
      <x:c r="B488" s="19"/>
      <x:c r="C488" s="19"/>
      <x:c r="D488" s="19"/>
      <x:c r="E488" s="62"/>
      <x:c r="F488" s="19"/>
      <x:c r="G488" s="25"/>
      <x:c r="H488" s="25"/>
      <x:c r="I488" s="96" t="str">
        <x:f>IF($A488="","",$E488*$G488-$H488)</x:f>
      </x:c>
    </x:row>
    <x:row r="489">
      <x:c r="A489" s="19"/>
      <x:c r="B489" s="19"/>
      <x:c r="C489" s="19"/>
      <x:c r="D489" s="19"/>
      <x:c r="E489" s="62"/>
      <x:c r="F489" s="19"/>
      <x:c r="G489" s="25"/>
      <x:c r="H489" s="25"/>
      <x:c r="I489" s="96" t="str">
        <x:f>IF($A489="","",$E489*$G489-$H489)</x:f>
      </x:c>
    </x:row>
    <x:row r="490">
      <x:c r="A490" s="19"/>
      <x:c r="B490" s="19"/>
      <x:c r="C490" s="19"/>
      <x:c r="D490" s="19"/>
      <x:c r="E490" s="62"/>
      <x:c r="F490" s="19"/>
      <x:c r="G490" s="25"/>
      <x:c r="H490" s="25"/>
      <x:c r="I490" s="96" t="str">
        <x:f>IF($A490="","",$E490*$G490-$H490)</x:f>
      </x:c>
    </x:row>
    <x:row r="491">
      <x:c r="A491" s="19"/>
      <x:c r="B491" s="19"/>
      <x:c r="C491" s="19"/>
      <x:c r="D491" s="19"/>
      <x:c r="E491" s="62"/>
      <x:c r="F491" s="19"/>
      <x:c r="G491" s="25"/>
      <x:c r="H491" s="25"/>
      <x:c r="I491" s="96" t="str">
        <x:f>IF($A491="","",$E491*$G491-$H491)</x:f>
      </x:c>
    </x:row>
    <x:row r="492">
      <x:c r="A492" s="19"/>
      <x:c r="B492" s="19"/>
      <x:c r="C492" s="19"/>
      <x:c r="D492" s="19"/>
      <x:c r="E492" s="62"/>
      <x:c r="F492" s="19"/>
      <x:c r="G492" s="25"/>
      <x:c r="H492" s="25"/>
      <x:c r="I492" s="96" t="str">
        <x:f>IF($A492="","",$E492*$G492-$H492)</x:f>
      </x:c>
    </x:row>
    <x:row r="493">
      <x:c r="A493" s="19"/>
      <x:c r="B493" s="19"/>
      <x:c r="C493" s="19"/>
      <x:c r="D493" s="19"/>
      <x:c r="E493" s="62"/>
      <x:c r="F493" s="19"/>
      <x:c r="G493" s="25"/>
      <x:c r="H493" s="25"/>
      <x:c r="I493" s="96" t="str">
        <x:f>IF($A493="","",$E493*$G493-$H493)</x:f>
      </x:c>
    </x:row>
    <x:row r="494">
      <x:c r="A494" s="19"/>
      <x:c r="B494" s="19"/>
      <x:c r="C494" s="19"/>
      <x:c r="D494" s="19"/>
      <x:c r="E494" s="62"/>
      <x:c r="F494" s="19"/>
      <x:c r="G494" s="25"/>
      <x:c r="H494" s="25"/>
      <x:c r="I494" s="96" t="str">
        <x:f>IF($A494="","",$E494*$G494-$H494)</x:f>
      </x:c>
    </x:row>
    <x:row r="495">
      <x:c r="A495" s="19"/>
      <x:c r="B495" s="19"/>
      <x:c r="C495" s="19"/>
      <x:c r="D495" s="19"/>
      <x:c r="E495" s="62"/>
      <x:c r="F495" s="19"/>
      <x:c r="G495" s="25"/>
      <x:c r="H495" s="25"/>
      <x:c r="I495" s="96" t="str">
        <x:f>IF($A495="","",$E495*$G495-$H495)</x:f>
      </x:c>
    </x:row>
    <x:row r="496">
      <x:c r="A496" s="19"/>
      <x:c r="B496" s="19"/>
      <x:c r="C496" s="19"/>
      <x:c r="D496" s="19"/>
      <x:c r="E496" s="62"/>
      <x:c r="F496" s="19"/>
      <x:c r="G496" s="25"/>
      <x:c r="H496" s="25"/>
      <x:c r="I496" s="96" t="str">
        <x:f>IF($A496="","",$E496*$G496-$H496)</x:f>
      </x:c>
    </x:row>
    <x:row r="497">
      <x:c r="A497" s="19"/>
      <x:c r="B497" s="19"/>
      <x:c r="C497" s="19"/>
      <x:c r="D497" s="19"/>
      <x:c r="E497" s="62"/>
      <x:c r="F497" s="19"/>
      <x:c r="G497" s="25"/>
      <x:c r="H497" s="25"/>
      <x:c r="I497" s="96" t="str">
        <x:f>IF($A497="","",$E497*$G497-$H497)</x:f>
      </x:c>
    </x:row>
    <x:row r="498">
      <x:c r="A498" s="19"/>
      <x:c r="B498" s="19"/>
      <x:c r="C498" s="19"/>
      <x:c r="D498" s="19"/>
      <x:c r="E498" s="62"/>
      <x:c r="F498" s="19"/>
      <x:c r="G498" s="25"/>
      <x:c r="H498" s="25"/>
      <x:c r="I498" s="96" t="str">
        <x:f>IF($A498="","",$E498*$G498-$H498)</x:f>
      </x:c>
    </x:row>
    <x:row r="499">
      <x:c r="A499" s="19"/>
      <x:c r="B499" s="19"/>
      <x:c r="C499" s="19"/>
      <x:c r="D499" s="19"/>
      <x:c r="E499" s="62"/>
      <x:c r="F499" s="19"/>
      <x:c r="G499" s="25"/>
      <x:c r="H499" s="25"/>
      <x:c r="I499" s="96" t="str">
        <x:f>IF($A499="","",$E499*$G499-$H499)</x:f>
      </x:c>
    </x:row>
    <x:row r="500">
      <x:c r="A500" s="19"/>
      <x:c r="B500" s="19"/>
      <x:c r="C500" s="19"/>
      <x:c r="D500" s="19"/>
      <x:c r="E500" s="62"/>
      <x:c r="F500" s="19"/>
      <x:c r="G500" s="25"/>
      <x:c r="H500" s="25"/>
      <x:c r="I500" s="96" t="str">
        <x:f>IF($A500="","",$E500*$G500-$H500)</x:f>
      </x:c>
    </x:row>
  </x:sheetData>
  <x:conditionalFormatting sqref="B2:B500">
    <x:cfRule type="expression" dxfId="192" priority="1">
      <x:formula>AND($A2&lt;&gt;"",B2="")</x:formula>
    </x:cfRule>
  </x:conditionalFormatting>
  <x:conditionalFormatting sqref="C2:C500">
    <x:cfRule type="expression" dxfId="193" priority="2">
      <x:formula>AND($A2&lt;&gt;"",C2="")</x:formula>
    </x:cfRule>
  </x:conditionalFormatting>
  <x:conditionalFormatting sqref="E2:E500">
    <x:cfRule type="expression" dxfId="194" priority="3">
      <x:formula>AND($A2&lt;&gt;"",E2="")</x:formula>
    </x:cfRule>
  </x:conditionalFormatting>
  <x:conditionalFormatting sqref="F2:F500">
    <x:cfRule type="expression" dxfId="195" priority="4">
      <x:formula>AND($A2&lt;&gt;"",F2="")</x:formula>
    </x:cfRule>
  </x:conditionalFormatting>
  <x:conditionalFormatting sqref="G2:G500">
    <x:cfRule type="expression" dxfId="196" priority="5">
      <x:formula>AND($A2&lt;&gt;"",G2="")</x:formula>
    </x:cfRule>
  </x:conditionalFormatting>
  <x:conditionalFormatting sqref="H2:H500">
    <x:cfRule type="expression" dxfId="197" priority="6">
      <x:formula>AND($A2&lt;&gt;"",H2="")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5c5dd6c8d346fd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12" hidden="0" customWidth="1"/>
    <x:col min="6" max="6" width="12" hidden="0" customWidth="1"/>
    <x:col min="7" max="7" width="19" hidden="0" customWidth="1"/>
    <x:col min="8" max="8" width="17" hidden="0" customWidth="1"/>
    <x:col min="9" max="9" width="17" hidden="0" customWidth="1"/>
  </x:cols>
  <x:sheetData>
    <x:row r="1" ht="46" customHeight="1">
      <x:c r="A1" s="12" t="str">
        <x:v>شناسه قلم *
(item_id)</x:v>
      </x:c>
      <x:c r="B1" s="13" t="str">
        <x:v>سفارش *
(order_id)</x:v>
      </x:c>
      <x:c r="C1" s="13" t="str">
        <x:v>محصول *
(product_id)</x:v>
      </x:c>
      <x:c r="D1" s="13" t="str">
        <x:v>شرح
(description)</x:v>
      </x:c>
      <x:c r="E1" s="13" t="str">
        <x:v>تعداد *
(qty)</x:v>
      </x:c>
      <x:c r="F1" s="13" t="str">
        <x:v>واحد *
(unit)</x:v>
      </x:c>
      <x:c r="G1" s="13" t="str">
        <x:v>قیمت واحد (ریال) *
(unit_price)</x:v>
      </x:c>
      <x:c r="H1" s="13" t="str">
        <x:v>تخفیف (ریال) *
(discount_amount)</x:v>
      </x:c>
      <x:c r="I1" s="14" t="str">
        <x:v>جمع (ریال)
(total)</x:v>
      </x:c>
    </x:row>
    <x:row r="2">
      <x:c r="A2" s="28" t="str">
        <x:v>oitem_001</x:v>
      </x:c>
      <x:c r="B2" s="29" t="str">
        <x:v>ord_001</x:v>
      </x:c>
      <x:c r="C2" s="29" t="str">
        <x:v>prd_003</x:v>
      </x:c>
      <x:c r="D2" s="29" t="str">
        <x:v>محصول C</x:v>
      </x:c>
      <x:c r="E2" s="63" t="n">
        <x:v>2</x:v>
      </x:c>
      <x:c r="F2" s="29" t="str">
        <x:v>عدد</x:v>
      </x:c>
      <x:c r="G2" s="32" t="n">
        <x:v>60000000</x:v>
      </x:c>
      <x:c r="H2" s="32" t="n">
        <x:v>0</x:v>
      </x:c>
      <x:c r="I2" s="121" t="n">
        <x:f>IF($A2="","",$E2*$G2-$H2)</x:f>
        <x:v>120000000</x:v>
      </x:c>
    </x:row>
    <x:row r="3">
      <x:c r="A3" s="37" t="str">
        <x:v>oitem_002</x:v>
      </x:c>
      <x:c r="B3" s="38" t="str">
        <x:v>ord_002</x:v>
      </x:c>
      <x:c r="C3" s="38" t="str">
        <x:v>prd_001</x:v>
      </x:c>
      <x:c r="D3" s="38" t="str">
        <x:v>محصول A</x:v>
      </x:c>
      <x:c r="E3" s="64" t="n">
        <x:v>30</x:v>
      </x:c>
      <x:c r="F3" s="38" t="str">
        <x:v>عدد</x:v>
      </x:c>
      <x:c r="G3" s="41" t="n">
        <x:v>26000000</x:v>
      </x:c>
      <x:c r="H3" s="41" t="n">
        <x:v>0</x:v>
      </x:c>
      <x:c r="I3" s="122" t="n">
        <x:f>IF($A3="","",$E3*$G3-$H3)</x:f>
        <x:v>780000000</x:v>
      </x:c>
    </x:row>
    <x:row r="4">
      <x:c r="A4" s="37" t="str">
        <x:v>oitem_003</x:v>
      </x:c>
      <x:c r="B4" s="38" t="str">
        <x:v>ord_002</x:v>
      </x:c>
      <x:c r="C4" s="38" t="str">
        <x:v>prd_004</x:v>
      </x:c>
      <x:c r="D4" s="38" t="str">
        <x:v>خدمت نصب</x:v>
      </x:c>
      <x:c r="E4" s="64" t="n">
        <x:v>8</x:v>
      </x:c>
      <x:c r="F4" s="38" t="str">
        <x:v>خدمت</x:v>
      </x:c>
      <x:c r="G4" s="41" t="n">
        <x:v>15000000</x:v>
      </x:c>
      <x:c r="H4" s="41" t="n">
        <x:v>0</x:v>
      </x:c>
      <x:c r="I4" s="122" t="n">
        <x:f>IF($A4="","",$E4*$G4-$H4)</x:f>
        <x:v>120000000</x:v>
      </x:c>
    </x:row>
    <x:row r="5">
      <x:c r="A5" s="46" t="str">
        <x:v>oitem_004</x:v>
      </x:c>
      <x:c r="B5" s="47" t="str">
        <x:v>ord_003</x:v>
      </x:c>
      <x:c r="C5" s="47" t="str">
        <x:v>prd_002</x:v>
      </x:c>
      <x:c r="D5" s="47" t="str">
        <x:v>محصول B</x:v>
      </x:c>
      <x:c r="E5" s="65" t="n">
        <x:v>5</x:v>
      </x:c>
      <x:c r="F5" s="47" t="str">
        <x:v>عدد</x:v>
      </x:c>
      <x:c r="G5" s="50" t="n">
        <x:v>40000000</x:v>
      </x:c>
      <x:c r="H5" s="50" t="n">
        <x:v>0</x:v>
      </x:c>
      <x:c r="I5" s="123" t="n">
        <x:f>IF($A5="","",$E5*$G5-$H5)</x:f>
        <x:v>200000000</x:v>
      </x:c>
    </x:row>
    <x:row r="6">
      <x:c r="A6" s="19"/>
      <x:c r="B6" s="19"/>
      <x:c r="C6" s="19"/>
      <x:c r="D6" s="19"/>
      <x:c r="E6" s="62"/>
      <x:c r="F6" s="19"/>
      <x:c r="G6" s="25"/>
      <x:c r="H6" s="25"/>
      <x:c r="I6" s="96" t="str">
        <x:f>IF($A6="","",$E6*$G6-$H6)</x:f>
      </x:c>
    </x:row>
    <x:row r="7">
      <x:c r="A7" s="19"/>
      <x:c r="B7" s="19"/>
      <x:c r="C7" s="19"/>
      <x:c r="D7" s="19"/>
      <x:c r="E7" s="62"/>
      <x:c r="F7" s="19"/>
      <x:c r="G7" s="25"/>
      <x:c r="H7" s="25"/>
      <x:c r="I7" s="96" t="str">
        <x:f>IF($A7="","",$E7*$G7-$H7)</x:f>
      </x:c>
    </x:row>
    <x:row r="8">
      <x:c r="A8" s="19"/>
      <x:c r="B8" s="19"/>
      <x:c r="C8" s="19"/>
      <x:c r="D8" s="19"/>
      <x:c r="E8" s="62"/>
      <x:c r="F8" s="19"/>
      <x:c r="G8" s="25"/>
      <x:c r="H8" s="25"/>
      <x:c r="I8" s="96" t="str">
        <x:f>IF($A8="","",$E8*$G8-$H8)</x:f>
      </x:c>
    </x:row>
    <x:row r="9">
      <x:c r="A9" s="19"/>
      <x:c r="B9" s="19"/>
      <x:c r="C9" s="19"/>
      <x:c r="D9" s="19"/>
      <x:c r="E9" s="62"/>
      <x:c r="F9" s="19"/>
      <x:c r="G9" s="25"/>
      <x:c r="H9" s="25"/>
      <x:c r="I9" s="96" t="str">
        <x:f>IF($A9="","",$E9*$G9-$H9)</x:f>
      </x:c>
    </x:row>
    <x:row r="10">
      <x:c r="A10" s="19"/>
      <x:c r="B10" s="19"/>
      <x:c r="C10" s="19"/>
      <x:c r="D10" s="19"/>
      <x:c r="E10" s="62"/>
      <x:c r="F10" s="19"/>
      <x:c r="G10" s="25"/>
      <x:c r="H10" s="25"/>
      <x:c r="I10" s="96" t="str">
        <x:f>IF($A10="","",$E10*$G10-$H10)</x:f>
      </x:c>
    </x:row>
    <x:row r="11">
      <x:c r="A11" s="19"/>
      <x:c r="B11" s="19"/>
      <x:c r="C11" s="19"/>
      <x:c r="D11" s="19"/>
      <x:c r="E11" s="62"/>
      <x:c r="F11" s="19"/>
      <x:c r="G11" s="25"/>
      <x:c r="H11" s="25"/>
      <x:c r="I11" s="96" t="str">
        <x:f>IF($A11="","",$E11*$G11-$H11)</x:f>
      </x:c>
    </x:row>
    <x:row r="12">
      <x:c r="A12" s="19"/>
      <x:c r="B12" s="19"/>
      <x:c r="C12" s="19"/>
      <x:c r="D12" s="19"/>
      <x:c r="E12" s="62"/>
      <x:c r="F12" s="19"/>
      <x:c r="G12" s="25"/>
      <x:c r="H12" s="25"/>
      <x:c r="I12" s="96" t="str">
        <x:f>IF($A12="","",$E12*$G12-$H12)</x:f>
      </x:c>
    </x:row>
    <x:row r="13">
      <x:c r="A13" s="19"/>
      <x:c r="B13" s="19"/>
      <x:c r="C13" s="19"/>
      <x:c r="D13" s="19"/>
      <x:c r="E13" s="62"/>
      <x:c r="F13" s="19"/>
      <x:c r="G13" s="25"/>
      <x:c r="H13" s="25"/>
      <x:c r="I13" s="96" t="str">
        <x:f>IF($A13="","",$E13*$G13-$H13)</x:f>
      </x:c>
    </x:row>
    <x:row r="14">
      <x:c r="A14" s="19"/>
      <x:c r="B14" s="19"/>
      <x:c r="C14" s="19"/>
      <x:c r="D14" s="19"/>
      <x:c r="E14" s="62"/>
      <x:c r="F14" s="19"/>
      <x:c r="G14" s="25"/>
      <x:c r="H14" s="25"/>
      <x:c r="I14" s="96" t="str">
        <x:f>IF($A14="","",$E14*$G14-$H14)</x:f>
      </x:c>
    </x:row>
    <x:row r="15">
      <x:c r="A15" s="19"/>
      <x:c r="B15" s="19"/>
      <x:c r="C15" s="19"/>
      <x:c r="D15" s="19"/>
      <x:c r="E15" s="62"/>
      <x:c r="F15" s="19"/>
      <x:c r="G15" s="25"/>
      <x:c r="H15" s="25"/>
      <x:c r="I15" s="96" t="str">
        <x:f>IF($A15="","",$E15*$G15-$H15)</x:f>
      </x:c>
    </x:row>
    <x:row r="16">
      <x:c r="A16" s="19"/>
      <x:c r="B16" s="19"/>
      <x:c r="C16" s="19"/>
      <x:c r="D16" s="19"/>
      <x:c r="E16" s="62"/>
      <x:c r="F16" s="19"/>
      <x:c r="G16" s="25"/>
      <x:c r="H16" s="25"/>
      <x:c r="I16" s="96" t="str">
        <x:f>IF($A16="","",$E16*$G16-$H16)</x:f>
      </x:c>
    </x:row>
    <x:row r="17">
      <x:c r="A17" s="19"/>
      <x:c r="B17" s="19"/>
      <x:c r="C17" s="19"/>
      <x:c r="D17" s="19"/>
      <x:c r="E17" s="62"/>
      <x:c r="F17" s="19"/>
      <x:c r="G17" s="25"/>
      <x:c r="H17" s="25"/>
      <x:c r="I17" s="96" t="str">
        <x:f>IF($A17="","",$E17*$G17-$H17)</x:f>
      </x:c>
    </x:row>
    <x:row r="18">
      <x:c r="A18" s="19"/>
      <x:c r="B18" s="19"/>
      <x:c r="C18" s="19"/>
      <x:c r="D18" s="19"/>
      <x:c r="E18" s="62"/>
      <x:c r="F18" s="19"/>
      <x:c r="G18" s="25"/>
      <x:c r="H18" s="25"/>
      <x:c r="I18" s="96" t="str">
        <x:f>IF($A18="","",$E18*$G18-$H18)</x:f>
      </x:c>
    </x:row>
    <x:row r="19">
      <x:c r="A19" s="19"/>
      <x:c r="B19" s="19"/>
      <x:c r="C19" s="19"/>
      <x:c r="D19" s="19"/>
      <x:c r="E19" s="62"/>
      <x:c r="F19" s="19"/>
      <x:c r="G19" s="25"/>
      <x:c r="H19" s="25"/>
      <x:c r="I19" s="96" t="str">
        <x:f>IF($A19="","",$E19*$G19-$H19)</x:f>
      </x:c>
    </x:row>
    <x:row r="20">
      <x:c r="A20" s="19"/>
      <x:c r="B20" s="19"/>
      <x:c r="C20" s="19"/>
      <x:c r="D20" s="19"/>
      <x:c r="E20" s="62"/>
      <x:c r="F20" s="19"/>
      <x:c r="G20" s="25"/>
      <x:c r="H20" s="25"/>
      <x:c r="I20" s="96" t="str">
        <x:f>IF($A20="","",$E20*$G20-$H20)</x:f>
      </x:c>
    </x:row>
    <x:row r="21">
      <x:c r="A21" s="19"/>
      <x:c r="B21" s="19"/>
      <x:c r="C21" s="19"/>
      <x:c r="D21" s="19"/>
      <x:c r="E21" s="62"/>
      <x:c r="F21" s="19"/>
      <x:c r="G21" s="25"/>
      <x:c r="H21" s="25"/>
      <x:c r="I21" s="96" t="str">
        <x:f>IF($A21="","",$E21*$G21-$H21)</x:f>
      </x:c>
    </x:row>
    <x:row r="22">
      <x:c r="A22" s="19"/>
      <x:c r="B22" s="19"/>
      <x:c r="C22" s="19"/>
      <x:c r="D22" s="19"/>
      <x:c r="E22" s="62"/>
      <x:c r="F22" s="19"/>
      <x:c r="G22" s="25"/>
      <x:c r="H22" s="25"/>
      <x:c r="I22" s="96" t="str">
        <x:f>IF($A22="","",$E22*$G22-$H22)</x:f>
      </x:c>
    </x:row>
    <x:row r="23">
      <x:c r="A23" s="19"/>
      <x:c r="B23" s="19"/>
      <x:c r="C23" s="19"/>
      <x:c r="D23" s="19"/>
      <x:c r="E23" s="62"/>
      <x:c r="F23" s="19"/>
      <x:c r="G23" s="25"/>
      <x:c r="H23" s="25"/>
      <x:c r="I23" s="96" t="str">
        <x:f>IF($A23="","",$E23*$G23-$H23)</x:f>
      </x:c>
    </x:row>
    <x:row r="24">
      <x:c r="A24" s="19"/>
      <x:c r="B24" s="19"/>
      <x:c r="C24" s="19"/>
      <x:c r="D24" s="19"/>
      <x:c r="E24" s="62"/>
      <x:c r="F24" s="19"/>
      <x:c r="G24" s="25"/>
      <x:c r="H24" s="25"/>
      <x:c r="I24" s="96" t="str">
        <x:f>IF($A24="","",$E24*$G24-$H24)</x:f>
      </x:c>
    </x:row>
    <x:row r="25">
      <x:c r="A25" s="19"/>
      <x:c r="B25" s="19"/>
      <x:c r="C25" s="19"/>
      <x:c r="D25" s="19"/>
      <x:c r="E25" s="62"/>
      <x:c r="F25" s="19"/>
      <x:c r="G25" s="25"/>
      <x:c r="H25" s="25"/>
      <x:c r="I25" s="96" t="str">
        <x:f>IF($A25="","",$E25*$G25-$H25)</x:f>
      </x:c>
    </x:row>
    <x:row r="26">
      <x:c r="A26" s="19"/>
      <x:c r="B26" s="19"/>
      <x:c r="C26" s="19"/>
      <x:c r="D26" s="19"/>
      <x:c r="E26" s="62"/>
      <x:c r="F26" s="19"/>
      <x:c r="G26" s="25"/>
      <x:c r="H26" s="25"/>
      <x:c r="I26" s="96" t="str">
        <x:f>IF($A26="","",$E26*$G26-$H26)</x:f>
      </x:c>
    </x:row>
    <x:row r="27">
      <x:c r="A27" s="19"/>
      <x:c r="B27" s="19"/>
      <x:c r="C27" s="19"/>
      <x:c r="D27" s="19"/>
      <x:c r="E27" s="62"/>
      <x:c r="F27" s="19"/>
      <x:c r="G27" s="25"/>
      <x:c r="H27" s="25"/>
      <x:c r="I27" s="96" t="str">
        <x:f>IF($A27="","",$E27*$G27-$H27)</x:f>
      </x:c>
    </x:row>
    <x:row r="28">
      <x:c r="A28" s="19"/>
      <x:c r="B28" s="19"/>
      <x:c r="C28" s="19"/>
      <x:c r="D28" s="19"/>
      <x:c r="E28" s="62"/>
      <x:c r="F28" s="19"/>
      <x:c r="G28" s="25"/>
      <x:c r="H28" s="25"/>
      <x:c r="I28" s="96" t="str">
        <x:f>IF($A28="","",$E28*$G28-$H28)</x:f>
      </x:c>
    </x:row>
    <x:row r="29">
      <x:c r="A29" s="19"/>
      <x:c r="B29" s="19"/>
      <x:c r="C29" s="19"/>
      <x:c r="D29" s="19"/>
      <x:c r="E29" s="62"/>
      <x:c r="F29" s="19"/>
      <x:c r="G29" s="25"/>
      <x:c r="H29" s="25"/>
      <x:c r="I29" s="96" t="str">
        <x:f>IF($A29="","",$E29*$G29-$H29)</x:f>
      </x:c>
    </x:row>
    <x:row r="30">
      <x:c r="A30" s="19"/>
      <x:c r="B30" s="19"/>
      <x:c r="C30" s="19"/>
      <x:c r="D30" s="19"/>
      <x:c r="E30" s="62"/>
      <x:c r="F30" s="19"/>
      <x:c r="G30" s="25"/>
      <x:c r="H30" s="25"/>
      <x:c r="I30" s="96" t="str">
        <x:f>IF($A30="","",$E30*$G30-$H30)</x:f>
      </x:c>
    </x:row>
    <x:row r="31">
      <x:c r="A31" s="19"/>
      <x:c r="B31" s="19"/>
      <x:c r="C31" s="19"/>
      <x:c r="D31" s="19"/>
      <x:c r="E31" s="62"/>
      <x:c r="F31" s="19"/>
      <x:c r="G31" s="25"/>
      <x:c r="H31" s="25"/>
      <x:c r="I31" s="96" t="str">
        <x:f>IF($A31="","",$E31*$G31-$H31)</x:f>
      </x:c>
    </x:row>
    <x:row r="32">
      <x:c r="A32" s="19"/>
      <x:c r="B32" s="19"/>
      <x:c r="C32" s="19"/>
      <x:c r="D32" s="19"/>
      <x:c r="E32" s="62"/>
      <x:c r="F32" s="19"/>
      <x:c r="G32" s="25"/>
      <x:c r="H32" s="25"/>
      <x:c r="I32" s="96" t="str">
        <x:f>IF($A32="","",$E32*$G32-$H32)</x:f>
      </x:c>
    </x:row>
    <x:row r="33">
      <x:c r="A33" s="19"/>
      <x:c r="B33" s="19"/>
      <x:c r="C33" s="19"/>
      <x:c r="D33" s="19"/>
      <x:c r="E33" s="62"/>
      <x:c r="F33" s="19"/>
      <x:c r="G33" s="25"/>
      <x:c r="H33" s="25"/>
      <x:c r="I33" s="96" t="str">
        <x:f>IF($A33="","",$E33*$G33-$H33)</x:f>
      </x:c>
    </x:row>
    <x:row r="34">
      <x:c r="A34" s="19"/>
      <x:c r="B34" s="19"/>
      <x:c r="C34" s="19"/>
      <x:c r="D34" s="19"/>
      <x:c r="E34" s="62"/>
      <x:c r="F34" s="19"/>
      <x:c r="G34" s="25"/>
      <x:c r="H34" s="25"/>
      <x:c r="I34" s="96" t="str">
        <x:f>IF($A34="","",$E34*$G34-$H34)</x:f>
      </x:c>
    </x:row>
    <x:row r="35">
      <x:c r="A35" s="19"/>
      <x:c r="B35" s="19"/>
      <x:c r="C35" s="19"/>
      <x:c r="D35" s="19"/>
      <x:c r="E35" s="62"/>
      <x:c r="F35" s="19"/>
      <x:c r="G35" s="25"/>
      <x:c r="H35" s="25"/>
      <x:c r="I35" s="96" t="str">
        <x:f>IF($A35="","",$E35*$G35-$H35)</x:f>
      </x:c>
    </x:row>
    <x:row r="36">
      <x:c r="A36" s="19"/>
      <x:c r="B36" s="19"/>
      <x:c r="C36" s="19"/>
      <x:c r="D36" s="19"/>
      <x:c r="E36" s="62"/>
      <x:c r="F36" s="19"/>
      <x:c r="G36" s="25"/>
      <x:c r="H36" s="25"/>
      <x:c r="I36" s="96" t="str">
        <x:f>IF($A36="","",$E36*$G36-$H36)</x:f>
      </x:c>
    </x:row>
    <x:row r="37">
      <x:c r="A37" s="19"/>
      <x:c r="B37" s="19"/>
      <x:c r="C37" s="19"/>
      <x:c r="D37" s="19"/>
      <x:c r="E37" s="62"/>
      <x:c r="F37" s="19"/>
      <x:c r="G37" s="25"/>
      <x:c r="H37" s="25"/>
      <x:c r="I37" s="96" t="str">
        <x:f>IF($A37="","",$E37*$G37-$H37)</x:f>
      </x:c>
    </x:row>
    <x:row r="38">
      <x:c r="A38" s="19"/>
      <x:c r="B38" s="19"/>
      <x:c r="C38" s="19"/>
      <x:c r="D38" s="19"/>
      <x:c r="E38" s="62"/>
      <x:c r="F38" s="19"/>
      <x:c r="G38" s="25"/>
      <x:c r="H38" s="25"/>
      <x:c r="I38" s="96" t="str">
        <x:f>IF($A38="","",$E38*$G38-$H38)</x:f>
      </x:c>
    </x:row>
    <x:row r="39">
      <x:c r="A39" s="19"/>
      <x:c r="B39" s="19"/>
      <x:c r="C39" s="19"/>
      <x:c r="D39" s="19"/>
      <x:c r="E39" s="62"/>
      <x:c r="F39" s="19"/>
      <x:c r="G39" s="25"/>
      <x:c r="H39" s="25"/>
      <x:c r="I39" s="96" t="str">
        <x:f>IF($A39="","",$E39*$G39-$H39)</x:f>
      </x:c>
    </x:row>
    <x:row r="40">
      <x:c r="A40" s="19"/>
      <x:c r="B40" s="19"/>
      <x:c r="C40" s="19"/>
      <x:c r="D40" s="19"/>
      <x:c r="E40" s="62"/>
      <x:c r="F40" s="19"/>
      <x:c r="G40" s="25"/>
      <x:c r="H40" s="25"/>
      <x:c r="I40" s="96" t="str">
        <x:f>IF($A40="","",$E40*$G40-$H40)</x:f>
      </x:c>
    </x:row>
    <x:row r="41">
      <x:c r="A41" s="19"/>
      <x:c r="B41" s="19"/>
      <x:c r="C41" s="19"/>
      <x:c r="D41" s="19"/>
      <x:c r="E41" s="62"/>
      <x:c r="F41" s="19"/>
      <x:c r="G41" s="25"/>
      <x:c r="H41" s="25"/>
      <x:c r="I41" s="96" t="str">
        <x:f>IF($A41="","",$E41*$G41-$H41)</x:f>
      </x:c>
    </x:row>
    <x:row r="42">
      <x:c r="A42" s="19"/>
      <x:c r="B42" s="19"/>
      <x:c r="C42" s="19"/>
      <x:c r="D42" s="19"/>
      <x:c r="E42" s="62"/>
      <x:c r="F42" s="19"/>
      <x:c r="G42" s="25"/>
      <x:c r="H42" s="25"/>
      <x:c r="I42" s="96" t="str">
        <x:f>IF($A42="","",$E42*$G42-$H42)</x:f>
      </x:c>
    </x:row>
    <x:row r="43">
      <x:c r="A43" s="19"/>
      <x:c r="B43" s="19"/>
      <x:c r="C43" s="19"/>
      <x:c r="D43" s="19"/>
      <x:c r="E43" s="62"/>
      <x:c r="F43" s="19"/>
      <x:c r="G43" s="25"/>
      <x:c r="H43" s="25"/>
      <x:c r="I43" s="96" t="str">
        <x:f>IF($A43="","",$E43*$G43-$H43)</x:f>
      </x:c>
    </x:row>
    <x:row r="44">
      <x:c r="A44" s="19"/>
      <x:c r="B44" s="19"/>
      <x:c r="C44" s="19"/>
      <x:c r="D44" s="19"/>
      <x:c r="E44" s="62"/>
      <x:c r="F44" s="19"/>
      <x:c r="G44" s="25"/>
      <x:c r="H44" s="25"/>
      <x:c r="I44" s="96" t="str">
        <x:f>IF($A44="","",$E44*$G44-$H44)</x:f>
      </x:c>
    </x:row>
    <x:row r="45">
      <x:c r="A45" s="19"/>
      <x:c r="B45" s="19"/>
      <x:c r="C45" s="19"/>
      <x:c r="D45" s="19"/>
      <x:c r="E45" s="62"/>
      <x:c r="F45" s="19"/>
      <x:c r="G45" s="25"/>
      <x:c r="H45" s="25"/>
      <x:c r="I45" s="96" t="str">
        <x:f>IF($A45="","",$E45*$G45-$H45)</x:f>
      </x:c>
    </x:row>
    <x:row r="46">
      <x:c r="A46" s="19"/>
      <x:c r="B46" s="19"/>
      <x:c r="C46" s="19"/>
      <x:c r="D46" s="19"/>
      <x:c r="E46" s="62"/>
      <x:c r="F46" s="19"/>
      <x:c r="G46" s="25"/>
      <x:c r="H46" s="25"/>
      <x:c r="I46" s="96" t="str">
        <x:f>IF($A46="","",$E46*$G46-$H46)</x:f>
      </x:c>
    </x:row>
    <x:row r="47">
      <x:c r="A47" s="19"/>
      <x:c r="B47" s="19"/>
      <x:c r="C47" s="19"/>
      <x:c r="D47" s="19"/>
      <x:c r="E47" s="62"/>
      <x:c r="F47" s="19"/>
      <x:c r="G47" s="25"/>
      <x:c r="H47" s="25"/>
      <x:c r="I47" s="96" t="str">
        <x:f>IF($A47="","",$E47*$G47-$H47)</x:f>
      </x:c>
    </x:row>
    <x:row r="48">
      <x:c r="A48" s="19"/>
      <x:c r="B48" s="19"/>
      <x:c r="C48" s="19"/>
      <x:c r="D48" s="19"/>
      <x:c r="E48" s="62"/>
      <x:c r="F48" s="19"/>
      <x:c r="G48" s="25"/>
      <x:c r="H48" s="25"/>
      <x:c r="I48" s="96" t="str">
        <x:f>IF($A48="","",$E48*$G48-$H48)</x:f>
      </x:c>
    </x:row>
    <x:row r="49">
      <x:c r="A49" s="19"/>
      <x:c r="B49" s="19"/>
      <x:c r="C49" s="19"/>
      <x:c r="D49" s="19"/>
      <x:c r="E49" s="62"/>
      <x:c r="F49" s="19"/>
      <x:c r="G49" s="25"/>
      <x:c r="H49" s="25"/>
      <x:c r="I49" s="96" t="str">
        <x:f>IF($A49="","",$E49*$G49-$H49)</x:f>
      </x:c>
    </x:row>
    <x:row r="50">
      <x:c r="A50" s="19"/>
      <x:c r="B50" s="19"/>
      <x:c r="C50" s="19"/>
      <x:c r="D50" s="19"/>
      <x:c r="E50" s="62"/>
      <x:c r="F50" s="19"/>
      <x:c r="G50" s="25"/>
      <x:c r="H50" s="25"/>
      <x:c r="I50" s="96" t="str">
        <x:f>IF($A50="","",$E50*$G50-$H50)</x:f>
      </x:c>
    </x:row>
    <x:row r="51">
      <x:c r="A51" s="19"/>
      <x:c r="B51" s="19"/>
      <x:c r="C51" s="19"/>
      <x:c r="D51" s="19"/>
      <x:c r="E51" s="62"/>
      <x:c r="F51" s="19"/>
      <x:c r="G51" s="25"/>
      <x:c r="H51" s="25"/>
      <x:c r="I51" s="96" t="str">
        <x:f>IF($A51="","",$E51*$G51-$H51)</x:f>
      </x:c>
    </x:row>
    <x:row r="52">
      <x:c r="A52" s="19"/>
      <x:c r="B52" s="19"/>
      <x:c r="C52" s="19"/>
      <x:c r="D52" s="19"/>
      <x:c r="E52" s="62"/>
      <x:c r="F52" s="19"/>
      <x:c r="G52" s="25"/>
      <x:c r="H52" s="25"/>
      <x:c r="I52" s="96" t="str">
        <x:f>IF($A52="","",$E52*$G52-$H52)</x:f>
      </x:c>
    </x:row>
    <x:row r="53">
      <x:c r="A53" s="19"/>
      <x:c r="B53" s="19"/>
      <x:c r="C53" s="19"/>
      <x:c r="D53" s="19"/>
      <x:c r="E53" s="62"/>
      <x:c r="F53" s="19"/>
      <x:c r="G53" s="25"/>
      <x:c r="H53" s="25"/>
      <x:c r="I53" s="96" t="str">
        <x:f>IF($A53="","",$E53*$G53-$H53)</x:f>
      </x:c>
    </x:row>
    <x:row r="54">
      <x:c r="A54" s="19"/>
      <x:c r="B54" s="19"/>
      <x:c r="C54" s="19"/>
      <x:c r="D54" s="19"/>
      <x:c r="E54" s="62"/>
      <x:c r="F54" s="19"/>
      <x:c r="G54" s="25"/>
      <x:c r="H54" s="25"/>
      <x:c r="I54" s="96" t="str">
        <x:f>IF($A54="","",$E54*$G54-$H54)</x:f>
      </x:c>
    </x:row>
    <x:row r="55">
      <x:c r="A55" s="19"/>
      <x:c r="B55" s="19"/>
      <x:c r="C55" s="19"/>
      <x:c r="D55" s="19"/>
      <x:c r="E55" s="62"/>
      <x:c r="F55" s="19"/>
      <x:c r="G55" s="25"/>
      <x:c r="H55" s="25"/>
      <x:c r="I55" s="96" t="str">
        <x:f>IF($A55="","",$E55*$G55-$H55)</x:f>
      </x:c>
    </x:row>
    <x:row r="56">
      <x:c r="A56" s="19"/>
      <x:c r="B56" s="19"/>
      <x:c r="C56" s="19"/>
      <x:c r="D56" s="19"/>
      <x:c r="E56" s="62"/>
      <x:c r="F56" s="19"/>
      <x:c r="G56" s="25"/>
      <x:c r="H56" s="25"/>
      <x:c r="I56" s="96" t="str">
        <x:f>IF($A56="","",$E56*$G56-$H56)</x:f>
      </x:c>
    </x:row>
    <x:row r="57">
      <x:c r="A57" s="19"/>
      <x:c r="B57" s="19"/>
      <x:c r="C57" s="19"/>
      <x:c r="D57" s="19"/>
      <x:c r="E57" s="62"/>
      <x:c r="F57" s="19"/>
      <x:c r="G57" s="25"/>
      <x:c r="H57" s="25"/>
      <x:c r="I57" s="96" t="str">
        <x:f>IF($A57="","",$E57*$G57-$H57)</x:f>
      </x:c>
    </x:row>
    <x:row r="58">
      <x:c r="A58" s="19"/>
      <x:c r="B58" s="19"/>
      <x:c r="C58" s="19"/>
      <x:c r="D58" s="19"/>
      <x:c r="E58" s="62"/>
      <x:c r="F58" s="19"/>
      <x:c r="G58" s="25"/>
      <x:c r="H58" s="25"/>
      <x:c r="I58" s="96" t="str">
        <x:f>IF($A58="","",$E58*$G58-$H58)</x:f>
      </x:c>
    </x:row>
    <x:row r="59">
      <x:c r="A59" s="19"/>
      <x:c r="B59" s="19"/>
      <x:c r="C59" s="19"/>
      <x:c r="D59" s="19"/>
      <x:c r="E59" s="62"/>
      <x:c r="F59" s="19"/>
      <x:c r="G59" s="25"/>
      <x:c r="H59" s="25"/>
      <x:c r="I59" s="96" t="str">
        <x:f>IF($A59="","",$E59*$G59-$H59)</x:f>
      </x:c>
    </x:row>
    <x:row r="60">
      <x:c r="A60" s="19"/>
      <x:c r="B60" s="19"/>
      <x:c r="C60" s="19"/>
      <x:c r="D60" s="19"/>
      <x:c r="E60" s="62"/>
      <x:c r="F60" s="19"/>
      <x:c r="G60" s="25"/>
      <x:c r="H60" s="25"/>
      <x:c r="I60" s="96" t="str">
        <x:f>IF($A60="","",$E60*$G60-$H60)</x:f>
      </x:c>
    </x:row>
    <x:row r="61">
      <x:c r="A61" s="19"/>
      <x:c r="B61" s="19"/>
      <x:c r="C61" s="19"/>
      <x:c r="D61" s="19"/>
      <x:c r="E61" s="62"/>
      <x:c r="F61" s="19"/>
      <x:c r="G61" s="25"/>
      <x:c r="H61" s="25"/>
      <x:c r="I61" s="96" t="str">
        <x:f>IF($A61="","",$E61*$G61-$H61)</x:f>
      </x:c>
    </x:row>
    <x:row r="62">
      <x:c r="A62" s="19"/>
      <x:c r="B62" s="19"/>
      <x:c r="C62" s="19"/>
      <x:c r="D62" s="19"/>
      <x:c r="E62" s="62"/>
      <x:c r="F62" s="19"/>
      <x:c r="G62" s="25"/>
      <x:c r="H62" s="25"/>
      <x:c r="I62" s="96" t="str">
        <x:f>IF($A62="","",$E62*$G62-$H62)</x:f>
      </x:c>
    </x:row>
    <x:row r="63">
      <x:c r="A63" s="19"/>
      <x:c r="B63" s="19"/>
      <x:c r="C63" s="19"/>
      <x:c r="D63" s="19"/>
      <x:c r="E63" s="62"/>
      <x:c r="F63" s="19"/>
      <x:c r="G63" s="25"/>
      <x:c r="H63" s="25"/>
      <x:c r="I63" s="96" t="str">
        <x:f>IF($A63="","",$E63*$G63-$H63)</x:f>
      </x:c>
    </x:row>
    <x:row r="64">
      <x:c r="A64" s="19"/>
      <x:c r="B64" s="19"/>
      <x:c r="C64" s="19"/>
      <x:c r="D64" s="19"/>
      <x:c r="E64" s="62"/>
      <x:c r="F64" s="19"/>
      <x:c r="G64" s="25"/>
      <x:c r="H64" s="25"/>
      <x:c r="I64" s="96" t="str">
        <x:f>IF($A64="","",$E64*$G64-$H64)</x:f>
      </x:c>
    </x:row>
    <x:row r="65">
      <x:c r="A65" s="19"/>
      <x:c r="B65" s="19"/>
      <x:c r="C65" s="19"/>
      <x:c r="D65" s="19"/>
      <x:c r="E65" s="62"/>
      <x:c r="F65" s="19"/>
      <x:c r="G65" s="25"/>
      <x:c r="H65" s="25"/>
      <x:c r="I65" s="96" t="str">
        <x:f>IF($A65="","",$E65*$G65-$H65)</x:f>
      </x:c>
    </x:row>
    <x:row r="66">
      <x:c r="A66" s="19"/>
      <x:c r="B66" s="19"/>
      <x:c r="C66" s="19"/>
      <x:c r="D66" s="19"/>
      <x:c r="E66" s="62"/>
      <x:c r="F66" s="19"/>
      <x:c r="G66" s="25"/>
      <x:c r="H66" s="25"/>
      <x:c r="I66" s="96" t="str">
        <x:f>IF($A66="","",$E66*$G66-$H66)</x:f>
      </x:c>
    </x:row>
    <x:row r="67">
      <x:c r="A67" s="19"/>
      <x:c r="B67" s="19"/>
      <x:c r="C67" s="19"/>
      <x:c r="D67" s="19"/>
      <x:c r="E67" s="62"/>
      <x:c r="F67" s="19"/>
      <x:c r="G67" s="25"/>
      <x:c r="H67" s="25"/>
      <x:c r="I67" s="96" t="str">
        <x:f>IF($A67="","",$E67*$G67-$H67)</x:f>
      </x:c>
    </x:row>
    <x:row r="68">
      <x:c r="A68" s="19"/>
      <x:c r="B68" s="19"/>
      <x:c r="C68" s="19"/>
      <x:c r="D68" s="19"/>
      <x:c r="E68" s="62"/>
      <x:c r="F68" s="19"/>
      <x:c r="G68" s="25"/>
      <x:c r="H68" s="25"/>
      <x:c r="I68" s="96" t="str">
        <x:f>IF($A68="","",$E68*$G68-$H68)</x:f>
      </x:c>
    </x:row>
    <x:row r="69">
      <x:c r="A69" s="19"/>
      <x:c r="B69" s="19"/>
      <x:c r="C69" s="19"/>
      <x:c r="D69" s="19"/>
      <x:c r="E69" s="62"/>
      <x:c r="F69" s="19"/>
      <x:c r="G69" s="25"/>
      <x:c r="H69" s="25"/>
      <x:c r="I69" s="96" t="str">
        <x:f>IF($A69="","",$E69*$G69-$H69)</x:f>
      </x:c>
    </x:row>
    <x:row r="70">
      <x:c r="A70" s="19"/>
      <x:c r="B70" s="19"/>
      <x:c r="C70" s="19"/>
      <x:c r="D70" s="19"/>
      <x:c r="E70" s="62"/>
      <x:c r="F70" s="19"/>
      <x:c r="G70" s="25"/>
      <x:c r="H70" s="25"/>
      <x:c r="I70" s="96" t="str">
        <x:f>IF($A70="","",$E70*$G70-$H70)</x:f>
      </x:c>
    </x:row>
    <x:row r="71">
      <x:c r="A71" s="19"/>
      <x:c r="B71" s="19"/>
      <x:c r="C71" s="19"/>
      <x:c r="D71" s="19"/>
      <x:c r="E71" s="62"/>
      <x:c r="F71" s="19"/>
      <x:c r="G71" s="25"/>
      <x:c r="H71" s="25"/>
      <x:c r="I71" s="96" t="str">
        <x:f>IF($A71="","",$E71*$G71-$H71)</x:f>
      </x:c>
    </x:row>
    <x:row r="72">
      <x:c r="A72" s="19"/>
      <x:c r="B72" s="19"/>
      <x:c r="C72" s="19"/>
      <x:c r="D72" s="19"/>
      <x:c r="E72" s="62"/>
      <x:c r="F72" s="19"/>
      <x:c r="G72" s="25"/>
      <x:c r="H72" s="25"/>
      <x:c r="I72" s="96" t="str">
        <x:f>IF($A72="","",$E72*$G72-$H72)</x:f>
      </x:c>
    </x:row>
    <x:row r="73">
      <x:c r="A73" s="19"/>
      <x:c r="B73" s="19"/>
      <x:c r="C73" s="19"/>
      <x:c r="D73" s="19"/>
      <x:c r="E73" s="62"/>
      <x:c r="F73" s="19"/>
      <x:c r="G73" s="25"/>
      <x:c r="H73" s="25"/>
      <x:c r="I73" s="96" t="str">
        <x:f>IF($A73="","",$E73*$G73-$H73)</x:f>
      </x:c>
    </x:row>
    <x:row r="74">
      <x:c r="A74" s="19"/>
      <x:c r="B74" s="19"/>
      <x:c r="C74" s="19"/>
      <x:c r="D74" s="19"/>
      <x:c r="E74" s="62"/>
      <x:c r="F74" s="19"/>
      <x:c r="G74" s="25"/>
      <x:c r="H74" s="25"/>
      <x:c r="I74" s="96" t="str">
        <x:f>IF($A74="","",$E74*$G74-$H74)</x:f>
      </x:c>
    </x:row>
    <x:row r="75">
      <x:c r="A75" s="19"/>
      <x:c r="B75" s="19"/>
      <x:c r="C75" s="19"/>
      <x:c r="D75" s="19"/>
      <x:c r="E75" s="62"/>
      <x:c r="F75" s="19"/>
      <x:c r="G75" s="25"/>
      <x:c r="H75" s="25"/>
      <x:c r="I75" s="96" t="str">
        <x:f>IF($A75="","",$E75*$G75-$H75)</x:f>
      </x:c>
    </x:row>
    <x:row r="76">
      <x:c r="A76" s="19"/>
      <x:c r="B76" s="19"/>
      <x:c r="C76" s="19"/>
      <x:c r="D76" s="19"/>
      <x:c r="E76" s="62"/>
      <x:c r="F76" s="19"/>
      <x:c r="G76" s="25"/>
      <x:c r="H76" s="25"/>
      <x:c r="I76" s="96" t="str">
        <x:f>IF($A76="","",$E76*$G76-$H76)</x:f>
      </x:c>
    </x:row>
    <x:row r="77">
      <x:c r="A77" s="19"/>
      <x:c r="B77" s="19"/>
      <x:c r="C77" s="19"/>
      <x:c r="D77" s="19"/>
      <x:c r="E77" s="62"/>
      <x:c r="F77" s="19"/>
      <x:c r="G77" s="25"/>
      <x:c r="H77" s="25"/>
      <x:c r="I77" s="96" t="str">
        <x:f>IF($A77="","",$E77*$G77-$H77)</x:f>
      </x:c>
    </x:row>
    <x:row r="78">
      <x:c r="A78" s="19"/>
      <x:c r="B78" s="19"/>
      <x:c r="C78" s="19"/>
      <x:c r="D78" s="19"/>
      <x:c r="E78" s="62"/>
      <x:c r="F78" s="19"/>
      <x:c r="G78" s="25"/>
      <x:c r="H78" s="25"/>
      <x:c r="I78" s="96" t="str">
        <x:f>IF($A78="","",$E78*$G78-$H78)</x:f>
      </x:c>
    </x:row>
    <x:row r="79">
      <x:c r="A79" s="19"/>
      <x:c r="B79" s="19"/>
      <x:c r="C79" s="19"/>
      <x:c r="D79" s="19"/>
      <x:c r="E79" s="62"/>
      <x:c r="F79" s="19"/>
      <x:c r="G79" s="25"/>
      <x:c r="H79" s="25"/>
      <x:c r="I79" s="96" t="str">
        <x:f>IF($A79="","",$E79*$G79-$H79)</x:f>
      </x:c>
    </x:row>
    <x:row r="80">
      <x:c r="A80" s="19"/>
      <x:c r="B80" s="19"/>
      <x:c r="C80" s="19"/>
      <x:c r="D80" s="19"/>
      <x:c r="E80" s="62"/>
      <x:c r="F80" s="19"/>
      <x:c r="G80" s="25"/>
      <x:c r="H80" s="25"/>
      <x:c r="I80" s="96" t="str">
        <x:f>IF($A80="","",$E80*$G80-$H80)</x:f>
      </x:c>
    </x:row>
    <x:row r="81">
      <x:c r="A81" s="19"/>
      <x:c r="B81" s="19"/>
      <x:c r="C81" s="19"/>
      <x:c r="D81" s="19"/>
      <x:c r="E81" s="62"/>
      <x:c r="F81" s="19"/>
      <x:c r="G81" s="25"/>
      <x:c r="H81" s="25"/>
      <x:c r="I81" s="96" t="str">
        <x:f>IF($A81="","",$E81*$G81-$H81)</x:f>
      </x:c>
    </x:row>
    <x:row r="82">
      <x:c r="A82" s="19"/>
      <x:c r="B82" s="19"/>
      <x:c r="C82" s="19"/>
      <x:c r="D82" s="19"/>
      <x:c r="E82" s="62"/>
      <x:c r="F82" s="19"/>
      <x:c r="G82" s="25"/>
      <x:c r="H82" s="25"/>
      <x:c r="I82" s="96" t="str">
        <x:f>IF($A82="","",$E82*$G82-$H82)</x:f>
      </x:c>
    </x:row>
    <x:row r="83">
      <x:c r="A83" s="19"/>
      <x:c r="B83" s="19"/>
      <x:c r="C83" s="19"/>
      <x:c r="D83" s="19"/>
      <x:c r="E83" s="62"/>
      <x:c r="F83" s="19"/>
      <x:c r="G83" s="25"/>
      <x:c r="H83" s="25"/>
      <x:c r="I83" s="96" t="str">
        <x:f>IF($A83="","",$E83*$G83-$H83)</x:f>
      </x:c>
    </x:row>
    <x:row r="84">
      <x:c r="A84" s="19"/>
      <x:c r="B84" s="19"/>
      <x:c r="C84" s="19"/>
      <x:c r="D84" s="19"/>
      <x:c r="E84" s="62"/>
      <x:c r="F84" s="19"/>
      <x:c r="G84" s="25"/>
      <x:c r="H84" s="25"/>
      <x:c r="I84" s="96" t="str">
        <x:f>IF($A84="","",$E84*$G84-$H84)</x:f>
      </x:c>
    </x:row>
    <x:row r="85">
      <x:c r="A85" s="19"/>
      <x:c r="B85" s="19"/>
      <x:c r="C85" s="19"/>
      <x:c r="D85" s="19"/>
      <x:c r="E85" s="62"/>
      <x:c r="F85" s="19"/>
      <x:c r="G85" s="25"/>
      <x:c r="H85" s="25"/>
      <x:c r="I85" s="96" t="str">
        <x:f>IF($A85="","",$E85*$G85-$H85)</x:f>
      </x:c>
    </x:row>
    <x:row r="86">
      <x:c r="A86" s="19"/>
      <x:c r="B86" s="19"/>
      <x:c r="C86" s="19"/>
      <x:c r="D86" s="19"/>
      <x:c r="E86" s="62"/>
      <x:c r="F86" s="19"/>
      <x:c r="G86" s="25"/>
      <x:c r="H86" s="25"/>
      <x:c r="I86" s="96" t="str">
        <x:f>IF($A86="","",$E86*$G86-$H86)</x:f>
      </x:c>
    </x:row>
    <x:row r="87">
      <x:c r="A87" s="19"/>
      <x:c r="B87" s="19"/>
      <x:c r="C87" s="19"/>
      <x:c r="D87" s="19"/>
      <x:c r="E87" s="62"/>
      <x:c r="F87" s="19"/>
      <x:c r="G87" s="25"/>
      <x:c r="H87" s="25"/>
      <x:c r="I87" s="96" t="str">
        <x:f>IF($A87="","",$E87*$G87-$H87)</x:f>
      </x:c>
    </x:row>
    <x:row r="88">
      <x:c r="A88" s="19"/>
      <x:c r="B88" s="19"/>
      <x:c r="C88" s="19"/>
      <x:c r="D88" s="19"/>
      <x:c r="E88" s="62"/>
      <x:c r="F88" s="19"/>
      <x:c r="G88" s="25"/>
      <x:c r="H88" s="25"/>
      <x:c r="I88" s="96" t="str">
        <x:f>IF($A88="","",$E88*$G88-$H88)</x:f>
      </x:c>
    </x:row>
    <x:row r="89">
      <x:c r="A89" s="19"/>
      <x:c r="B89" s="19"/>
      <x:c r="C89" s="19"/>
      <x:c r="D89" s="19"/>
      <x:c r="E89" s="62"/>
      <x:c r="F89" s="19"/>
      <x:c r="G89" s="25"/>
      <x:c r="H89" s="25"/>
      <x:c r="I89" s="96" t="str">
        <x:f>IF($A89="","",$E89*$G89-$H89)</x:f>
      </x:c>
    </x:row>
    <x:row r="90">
      <x:c r="A90" s="19"/>
      <x:c r="B90" s="19"/>
      <x:c r="C90" s="19"/>
      <x:c r="D90" s="19"/>
      <x:c r="E90" s="62"/>
      <x:c r="F90" s="19"/>
      <x:c r="G90" s="25"/>
      <x:c r="H90" s="25"/>
      <x:c r="I90" s="96" t="str">
        <x:f>IF($A90="","",$E90*$G90-$H90)</x:f>
      </x:c>
    </x:row>
    <x:row r="91">
      <x:c r="A91" s="19"/>
      <x:c r="B91" s="19"/>
      <x:c r="C91" s="19"/>
      <x:c r="D91" s="19"/>
      <x:c r="E91" s="62"/>
      <x:c r="F91" s="19"/>
      <x:c r="G91" s="25"/>
      <x:c r="H91" s="25"/>
      <x:c r="I91" s="96" t="str">
        <x:f>IF($A91="","",$E91*$G91-$H91)</x:f>
      </x:c>
    </x:row>
    <x:row r="92">
      <x:c r="A92" s="19"/>
      <x:c r="B92" s="19"/>
      <x:c r="C92" s="19"/>
      <x:c r="D92" s="19"/>
      <x:c r="E92" s="62"/>
      <x:c r="F92" s="19"/>
      <x:c r="G92" s="25"/>
      <x:c r="H92" s="25"/>
      <x:c r="I92" s="96" t="str">
        <x:f>IF($A92="","",$E92*$G92-$H92)</x:f>
      </x:c>
    </x:row>
    <x:row r="93">
      <x:c r="A93" s="19"/>
      <x:c r="B93" s="19"/>
      <x:c r="C93" s="19"/>
      <x:c r="D93" s="19"/>
      <x:c r="E93" s="62"/>
      <x:c r="F93" s="19"/>
      <x:c r="G93" s="25"/>
      <x:c r="H93" s="25"/>
      <x:c r="I93" s="96" t="str">
        <x:f>IF($A93="","",$E93*$G93-$H93)</x:f>
      </x:c>
    </x:row>
    <x:row r="94">
      <x:c r="A94" s="19"/>
      <x:c r="B94" s="19"/>
      <x:c r="C94" s="19"/>
      <x:c r="D94" s="19"/>
      <x:c r="E94" s="62"/>
      <x:c r="F94" s="19"/>
      <x:c r="G94" s="25"/>
      <x:c r="H94" s="25"/>
      <x:c r="I94" s="96" t="str">
        <x:f>IF($A94="","",$E94*$G94-$H94)</x:f>
      </x:c>
    </x:row>
    <x:row r="95">
      <x:c r="A95" s="19"/>
      <x:c r="B95" s="19"/>
      <x:c r="C95" s="19"/>
      <x:c r="D95" s="19"/>
      <x:c r="E95" s="62"/>
      <x:c r="F95" s="19"/>
      <x:c r="G95" s="25"/>
      <x:c r="H95" s="25"/>
      <x:c r="I95" s="96" t="str">
        <x:f>IF($A95="","",$E95*$G95-$H95)</x:f>
      </x:c>
    </x:row>
    <x:row r="96">
      <x:c r="A96" s="19"/>
      <x:c r="B96" s="19"/>
      <x:c r="C96" s="19"/>
      <x:c r="D96" s="19"/>
      <x:c r="E96" s="62"/>
      <x:c r="F96" s="19"/>
      <x:c r="G96" s="25"/>
      <x:c r="H96" s="25"/>
      <x:c r="I96" s="96" t="str">
        <x:f>IF($A96="","",$E96*$G96-$H96)</x:f>
      </x:c>
    </x:row>
    <x:row r="97">
      <x:c r="A97" s="19"/>
      <x:c r="B97" s="19"/>
      <x:c r="C97" s="19"/>
      <x:c r="D97" s="19"/>
      <x:c r="E97" s="62"/>
      <x:c r="F97" s="19"/>
      <x:c r="G97" s="25"/>
      <x:c r="H97" s="25"/>
      <x:c r="I97" s="96" t="str">
        <x:f>IF($A97="","",$E97*$G97-$H97)</x:f>
      </x:c>
    </x:row>
    <x:row r="98">
      <x:c r="A98" s="19"/>
      <x:c r="B98" s="19"/>
      <x:c r="C98" s="19"/>
      <x:c r="D98" s="19"/>
      <x:c r="E98" s="62"/>
      <x:c r="F98" s="19"/>
      <x:c r="G98" s="25"/>
      <x:c r="H98" s="25"/>
      <x:c r="I98" s="96" t="str">
        <x:f>IF($A98="","",$E98*$G98-$H98)</x:f>
      </x:c>
    </x:row>
    <x:row r="99">
      <x:c r="A99" s="19"/>
      <x:c r="B99" s="19"/>
      <x:c r="C99" s="19"/>
      <x:c r="D99" s="19"/>
      <x:c r="E99" s="62"/>
      <x:c r="F99" s="19"/>
      <x:c r="G99" s="25"/>
      <x:c r="H99" s="25"/>
      <x:c r="I99" s="96" t="str">
        <x:f>IF($A99="","",$E99*$G99-$H99)</x:f>
      </x:c>
    </x:row>
    <x:row r="100">
      <x:c r="A100" s="19"/>
      <x:c r="B100" s="19"/>
      <x:c r="C100" s="19"/>
      <x:c r="D100" s="19"/>
      <x:c r="E100" s="62"/>
      <x:c r="F100" s="19"/>
      <x:c r="G100" s="25"/>
      <x:c r="H100" s="25"/>
      <x:c r="I100" s="96" t="str">
        <x:f>IF($A100="","",$E100*$G100-$H100)</x:f>
      </x:c>
    </x:row>
    <x:row r="101">
      <x:c r="A101" s="19"/>
      <x:c r="B101" s="19"/>
      <x:c r="C101" s="19"/>
      <x:c r="D101" s="19"/>
      <x:c r="E101" s="62"/>
      <x:c r="F101" s="19"/>
      <x:c r="G101" s="25"/>
      <x:c r="H101" s="25"/>
      <x:c r="I101" s="96" t="str">
        <x:f>IF($A101="","",$E101*$G101-$H101)</x:f>
      </x:c>
    </x:row>
    <x:row r="102">
      <x:c r="A102" s="19"/>
      <x:c r="B102" s="19"/>
      <x:c r="C102" s="19"/>
      <x:c r="D102" s="19"/>
      <x:c r="E102" s="62"/>
      <x:c r="F102" s="19"/>
      <x:c r="G102" s="25"/>
      <x:c r="H102" s="25"/>
      <x:c r="I102" s="96" t="str">
        <x:f>IF($A102="","",$E102*$G102-$H102)</x:f>
      </x:c>
    </x:row>
    <x:row r="103">
      <x:c r="A103" s="19"/>
      <x:c r="B103" s="19"/>
      <x:c r="C103" s="19"/>
      <x:c r="D103" s="19"/>
      <x:c r="E103" s="62"/>
      <x:c r="F103" s="19"/>
      <x:c r="G103" s="25"/>
      <x:c r="H103" s="25"/>
      <x:c r="I103" s="96" t="str">
        <x:f>IF($A103="","",$E103*$G103-$H103)</x:f>
      </x:c>
    </x:row>
    <x:row r="104">
      <x:c r="A104" s="19"/>
      <x:c r="B104" s="19"/>
      <x:c r="C104" s="19"/>
      <x:c r="D104" s="19"/>
      <x:c r="E104" s="62"/>
      <x:c r="F104" s="19"/>
      <x:c r="G104" s="25"/>
      <x:c r="H104" s="25"/>
      <x:c r="I104" s="96" t="str">
        <x:f>IF($A104="","",$E104*$G104-$H104)</x:f>
      </x:c>
    </x:row>
    <x:row r="105">
      <x:c r="A105" s="19"/>
      <x:c r="B105" s="19"/>
      <x:c r="C105" s="19"/>
      <x:c r="D105" s="19"/>
      <x:c r="E105" s="62"/>
      <x:c r="F105" s="19"/>
      <x:c r="G105" s="25"/>
      <x:c r="H105" s="25"/>
      <x:c r="I105" s="96" t="str">
        <x:f>IF($A105="","",$E105*$G105-$H105)</x:f>
      </x:c>
    </x:row>
    <x:row r="106">
      <x:c r="A106" s="19"/>
      <x:c r="B106" s="19"/>
      <x:c r="C106" s="19"/>
      <x:c r="D106" s="19"/>
      <x:c r="E106" s="62"/>
      <x:c r="F106" s="19"/>
      <x:c r="G106" s="25"/>
      <x:c r="H106" s="25"/>
      <x:c r="I106" s="96" t="str">
        <x:f>IF($A106="","",$E106*$G106-$H106)</x:f>
      </x:c>
    </x:row>
    <x:row r="107">
      <x:c r="A107" s="19"/>
      <x:c r="B107" s="19"/>
      <x:c r="C107" s="19"/>
      <x:c r="D107" s="19"/>
      <x:c r="E107" s="62"/>
      <x:c r="F107" s="19"/>
      <x:c r="G107" s="25"/>
      <x:c r="H107" s="25"/>
      <x:c r="I107" s="96" t="str">
        <x:f>IF($A107="","",$E107*$G107-$H107)</x:f>
      </x:c>
    </x:row>
    <x:row r="108">
      <x:c r="A108" s="19"/>
      <x:c r="B108" s="19"/>
      <x:c r="C108" s="19"/>
      <x:c r="D108" s="19"/>
      <x:c r="E108" s="62"/>
      <x:c r="F108" s="19"/>
      <x:c r="G108" s="25"/>
      <x:c r="H108" s="25"/>
      <x:c r="I108" s="96" t="str">
        <x:f>IF($A108="","",$E108*$G108-$H108)</x:f>
      </x:c>
    </x:row>
    <x:row r="109">
      <x:c r="A109" s="19"/>
      <x:c r="B109" s="19"/>
      <x:c r="C109" s="19"/>
      <x:c r="D109" s="19"/>
      <x:c r="E109" s="62"/>
      <x:c r="F109" s="19"/>
      <x:c r="G109" s="25"/>
      <x:c r="H109" s="25"/>
      <x:c r="I109" s="96" t="str">
        <x:f>IF($A109="","",$E109*$G109-$H109)</x:f>
      </x:c>
    </x:row>
    <x:row r="110">
      <x:c r="A110" s="19"/>
      <x:c r="B110" s="19"/>
      <x:c r="C110" s="19"/>
      <x:c r="D110" s="19"/>
      <x:c r="E110" s="62"/>
      <x:c r="F110" s="19"/>
      <x:c r="G110" s="25"/>
      <x:c r="H110" s="25"/>
      <x:c r="I110" s="96" t="str">
        <x:f>IF($A110="","",$E110*$G110-$H110)</x:f>
      </x:c>
    </x:row>
    <x:row r="111">
      <x:c r="A111" s="19"/>
      <x:c r="B111" s="19"/>
      <x:c r="C111" s="19"/>
      <x:c r="D111" s="19"/>
      <x:c r="E111" s="62"/>
      <x:c r="F111" s="19"/>
      <x:c r="G111" s="25"/>
      <x:c r="H111" s="25"/>
      <x:c r="I111" s="96" t="str">
        <x:f>IF($A111="","",$E111*$G111-$H111)</x:f>
      </x:c>
    </x:row>
    <x:row r="112">
      <x:c r="A112" s="19"/>
      <x:c r="B112" s="19"/>
      <x:c r="C112" s="19"/>
      <x:c r="D112" s="19"/>
      <x:c r="E112" s="62"/>
      <x:c r="F112" s="19"/>
      <x:c r="G112" s="25"/>
      <x:c r="H112" s="25"/>
      <x:c r="I112" s="96" t="str">
        <x:f>IF($A112="","",$E112*$G112-$H112)</x:f>
      </x:c>
    </x:row>
    <x:row r="113">
      <x:c r="A113" s="19"/>
      <x:c r="B113" s="19"/>
      <x:c r="C113" s="19"/>
      <x:c r="D113" s="19"/>
      <x:c r="E113" s="62"/>
      <x:c r="F113" s="19"/>
      <x:c r="G113" s="25"/>
      <x:c r="H113" s="25"/>
      <x:c r="I113" s="96" t="str">
        <x:f>IF($A113="","",$E113*$G113-$H113)</x:f>
      </x:c>
    </x:row>
    <x:row r="114">
      <x:c r="A114" s="19"/>
      <x:c r="B114" s="19"/>
      <x:c r="C114" s="19"/>
      <x:c r="D114" s="19"/>
      <x:c r="E114" s="62"/>
      <x:c r="F114" s="19"/>
      <x:c r="G114" s="25"/>
      <x:c r="H114" s="25"/>
      <x:c r="I114" s="96" t="str">
        <x:f>IF($A114="","",$E114*$G114-$H114)</x:f>
      </x:c>
    </x:row>
    <x:row r="115">
      <x:c r="A115" s="19"/>
      <x:c r="B115" s="19"/>
      <x:c r="C115" s="19"/>
      <x:c r="D115" s="19"/>
      <x:c r="E115" s="62"/>
      <x:c r="F115" s="19"/>
      <x:c r="G115" s="25"/>
      <x:c r="H115" s="25"/>
      <x:c r="I115" s="96" t="str">
        <x:f>IF($A115="","",$E115*$G115-$H115)</x:f>
      </x:c>
    </x:row>
    <x:row r="116">
      <x:c r="A116" s="19"/>
      <x:c r="B116" s="19"/>
      <x:c r="C116" s="19"/>
      <x:c r="D116" s="19"/>
      <x:c r="E116" s="62"/>
      <x:c r="F116" s="19"/>
      <x:c r="G116" s="25"/>
      <x:c r="H116" s="25"/>
      <x:c r="I116" s="96" t="str">
        <x:f>IF($A116="","",$E116*$G116-$H116)</x:f>
      </x:c>
    </x:row>
    <x:row r="117">
      <x:c r="A117" s="19"/>
      <x:c r="B117" s="19"/>
      <x:c r="C117" s="19"/>
      <x:c r="D117" s="19"/>
      <x:c r="E117" s="62"/>
      <x:c r="F117" s="19"/>
      <x:c r="G117" s="25"/>
      <x:c r="H117" s="25"/>
      <x:c r="I117" s="96" t="str">
        <x:f>IF($A117="","",$E117*$G117-$H117)</x:f>
      </x:c>
    </x:row>
    <x:row r="118">
      <x:c r="A118" s="19"/>
      <x:c r="B118" s="19"/>
      <x:c r="C118" s="19"/>
      <x:c r="D118" s="19"/>
      <x:c r="E118" s="62"/>
      <x:c r="F118" s="19"/>
      <x:c r="G118" s="25"/>
      <x:c r="H118" s="25"/>
      <x:c r="I118" s="96" t="str">
        <x:f>IF($A118="","",$E118*$G118-$H118)</x:f>
      </x:c>
    </x:row>
    <x:row r="119">
      <x:c r="A119" s="19"/>
      <x:c r="B119" s="19"/>
      <x:c r="C119" s="19"/>
      <x:c r="D119" s="19"/>
      <x:c r="E119" s="62"/>
      <x:c r="F119" s="19"/>
      <x:c r="G119" s="25"/>
      <x:c r="H119" s="25"/>
      <x:c r="I119" s="96" t="str">
        <x:f>IF($A119="","",$E119*$G119-$H119)</x:f>
      </x:c>
    </x:row>
    <x:row r="120">
      <x:c r="A120" s="19"/>
      <x:c r="B120" s="19"/>
      <x:c r="C120" s="19"/>
      <x:c r="D120" s="19"/>
      <x:c r="E120" s="62"/>
      <x:c r="F120" s="19"/>
      <x:c r="G120" s="25"/>
      <x:c r="H120" s="25"/>
      <x:c r="I120" s="96" t="str">
        <x:f>IF($A120="","",$E120*$G120-$H120)</x:f>
      </x:c>
    </x:row>
    <x:row r="121">
      <x:c r="A121" s="19"/>
      <x:c r="B121" s="19"/>
      <x:c r="C121" s="19"/>
      <x:c r="D121" s="19"/>
      <x:c r="E121" s="62"/>
      <x:c r="F121" s="19"/>
      <x:c r="G121" s="25"/>
      <x:c r="H121" s="25"/>
      <x:c r="I121" s="96" t="str">
        <x:f>IF($A121="","",$E121*$G121-$H121)</x:f>
      </x:c>
    </x:row>
    <x:row r="122">
      <x:c r="A122" s="19"/>
      <x:c r="B122" s="19"/>
      <x:c r="C122" s="19"/>
      <x:c r="D122" s="19"/>
      <x:c r="E122" s="62"/>
      <x:c r="F122" s="19"/>
      <x:c r="G122" s="25"/>
      <x:c r="H122" s="25"/>
      <x:c r="I122" s="96" t="str">
        <x:f>IF($A122="","",$E122*$G122-$H122)</x:f>
      </x:c>
    </x:row>
    <x:row r="123">
      <x:c r="A123" s="19"/>
      <x:c r="B123" s="19"/>
      <x:c r="C123" s="19"/>
      <x:c r="D123" s="19"/>
      <x:c r="E123" s="62"/>
      <x:c r="F123" s="19"/>
      <x:c r="G123" s="25"/>
      <x:c r="H123" s="25"/>
      <x:c r="I123" s="96" t="str">
        <x:f>IF($A123="","",$E123*$G123-$H123)</x:f>
      </x:c>
    </x:row>
    <x:row r="124">
      <x:c r="A124" s="19"/>
      <x:c r="B124" s="19"/>
      <x:c r="C124" s="19"/>
      <x:c r="D124" s="19"/>
      <x:c r="E124" s="62"/>
      <x:c r="F124" s="19"/>
      <x:c r="G124" s="25"/>
      <x:c r="H124" s="25"/>
      <x:c r="I124" s="96" t="str">
        <x:f>IF($A124="","",$E124*$G124-$H124)</x:f>
      </x:c>
    </x:row>
    <x:row r="125">
      <x:c r="A125" s="19"/>
      <x:c r="B125" s="19"/>
      <x:c r="C125" s="19"/>
      <x:c r="D125" s="19"/>
      <x:c r="E125" s="62"/>
      <x:c r="F125" s="19"/>
      <x:c r="G125" s="25"/>
      <x:c r="H125" s="25"/>
      <x:c r="I125" s="96" t="str">
        <x:f>IF($A125="","",$E125*$G125-$H125)</x:f>
      </x:c>
    </x:row>
    <x:row r="126">
      <x:c r="A126" s="19"/>
      <x:c r="B126" s="19"/>
      <x:c r="C126" s="19"/>
      <x:c r="D126" s="19"/>
      <x:c r="E126" s="62"/>
      <x:c r="F126" s="19"/>
      <x:c r="G126" s="25"/>
      <x:c r="H126" s="25"/>
      <x:c r="I126" s="96" t="str">
        <x:f>IF($A126="","",$E126*$G126-$H126)</x:f>
      </x:c>
    </x:row>
    <x:row r="127">
      <x:c r="A127" s="19"/>
      <x:c r="B127" s="19"/>
      <x:c r="C127" s="19"/>
      <x:c r="D127" s="19"/>
      <x:c r="E127" s="62"/>
      <x:c r="F127" s="19"/>
      <x:c r="G127" s="25"/>
      <x:c r="H127" s="25"/>
      <x:c r="I127" s="96" t="str">
        <x:f>IF($A127="","",$E127*$G127-$H127)</x:f>
      </x:c>
    </x:row>
    <x:row r="128">
      <x:c r="A128" s="19"/>
      <x:c r="B128" s="19"/>
      <x:c r="C128" s="19"/>
      <x:c r="D128" s="19"/>
      <x:c r="E128" s="62"/>
      <x:c r="F128" s="19"/>
      <x:c r="G128" s="25"/>
      <x:c r="H128" s="25"/>
      <x:c r="I128" s="96" t="str">
        <x:f>IF($A128="","",$E128*$G128-$H128)</x:f>
      </x:c>
    </x:row>
    <x:row r="129">
      <x:c r="A129" s="19"/>
      <x:c r="B129" s="19"/>
      <x:c r="C129" s="19"/>
      <x:c r="D129" s="19"/>
      <x:c r="E129" s="62"/>
      <x:c r="F129" s="19"/>
      <x:c r="G129" s="25"/>
      <x:c r="H129" s="25"/>
      <x:c r="I129" s="96" t="str">
        <x:f>IF($A129="","",$E129*$G129-$H129)</x:f>
      </x:c>
    </x:row>
    <x:row r="130">
      <x:c r="A130" s="19"/>
      <x:c r="B130" s="19"/>
      <x:c r="C130" s="19"/>
      <x:c r="D130" s="19"/>
      <x:c r="E130" s="62"/>
      <x:c r="F130" s="19"/>
      <x:c r="G130" s="25"/>
      <x:c r="H130" s="25"/>
      <x:c r="I130" s="96" t="str">
        <x:f>IF($A130="","",$E130*$G130-$H130)</x:f>
      </x:c>
    </x:row>
    <x:row r="131">
      <x:c r="A131" s="19"/>
      <x:c r="B131" s="19"/>
      <x:c r="C131" s="19"/>
      <x:c r="D131" s="19"/>
      <x:c r="E131" s="62"/>
      <x:c r="F131" s="19"/>
      <x:c r="G131" s="25"/>
      <x:c r="H131" s="25"/>
      <x:c r="I131" s="96" t="str">
        <x:f>IF($A131="","",$E131*$G131-$H131)</x:f>
      </x:c>
    </x:row>
    <x:row r="132">
      <x:c r="A132" s="19"/>
      <x:c r="B132" s="19"/>
      <x:c r="C132" s="19"/>
      <x:c r="D132" s="19"/>
      <x:c r="E132" s="62"/>
      <x:c r="F132" s="19"/>
      <x:c r="G132" s="25"/>
      <x:c r="H132" s="25"/>
      <x:c r="I132" s="96" t="str">
        <x:f>IF($A132="","",$E132*$G132-$H132)</x:f>
      </x:c>
    </x:row>
    <x:row r="133">
      <x:c r="A133" s="19"/>
      <x:c r="B133" s="19"/>
      <x:c r="C133" s="19"/>
      <x:c r="D133" s="19"/>
      <x:c r="E133" s="62"/>
      <x:c r="F133" s="19"/>
      <x:c r="G133" s="25"/>
      <x:c r="H133" s="25"/>
      <x:c r="I133" s="96" t="str">
        <x:f>IF($A133="","",$E133*$G133-$H133)</x:f>
      </x:c>
    </x:row>
    <x:row r="134">
      <x:c r="A134" s="19"/>
      <x:c r="B134" s="19"/>
      <x:c r="C134" s="19"/>
      <x:c r="D134" s="19"/>
      <x:c r="E134" s="62"/>
      <x:c r="F134" s="19"/>
      <x:c r="G134" s="25"/>
      <x:c r="H134" s="25"/>
      <x:c r="I134" s="96" t="str">
        <x:f>IF($A134="","",$E134*$G134-$H134)</x:f>
      </x:c>
    </x:row>
    <x:row r="135">
      <x:c r="A135" s="19"/>
      <x:c r="B135" s="19"/>
      <x:c r="C135" s="19"/>
      <x:c r="D135" s="19"/>
      <x:c r="E135" s="62"/>
      <x:c r="F135" s="19"/>
      <x:c r="G135" s="25"/>
      <x:c r="H135" s="25"/>
      <x:c r="I135" s="96" t="str">
        <x:f>IF($A135="","",$E135*$G135-$H135)</x:f>
      </x:c>
    </x:row>
    <x:row r="136">
      <x:c r="A136" s="19"/>
      <x:c r="B136" s="19"/>
      <x:c r="C136" s="19"/>
      <x:c r="D136" s="19"/>
      <x:c r="E136" s="62"/>
      <x:c r="F136" s="19"/>
      <x:c r="G136" s="25"/>
      <x:c r="H136" s="25"/>
      <x:c r="I136" s="96" t="str">
        <x:f>IF($A136="","",$E136*$G136-$H136)</x:f>
      </x:c>
    </x:row>
    <x:row r="137">
      <x:c r="A137" s="19"/>
      <x:c r="B137" s="19"/>
      <x:c r="C137" s="19"/>
      <x:c r="D137" s="19"/>
      <x:c r="E137" s="62"/>
      <x:c r="F137" s="19"/>
      <x:c r="G137" s="25"/>
      <x:c r="H137" s="25"/>
      <x:c r="I137" s="96" t="str">
        <x:f>IF($A137="","",$E137*$G137-$H137)</x:f>
      </x:c>
    </x:row>
    <x:row r="138">
      <x:c r="A138" s="19"/>
      <x:c r="B138" s="19"/>
      <x:c r="C138" s="19"/>
      <x:c r="D138" s="19"/>
      <x:c r="E138" s="62"/>
      <x:c r="F138" s="19"/>
      <x:c r="G138" s="25"/>
      <x:c r="H138" s="25"/>
      <x:c r="I138" s="96" t="str">
        <x:f>IF($A138="","",$E138*$G138-$H138)</x:f>
      </x:c>
    </x:row>
    <x:row r="139">
      <x:c r="A139" s="19"/>
      <x:c r="B139" s="19"/>
      <x:c r="C139" s="19"/>
      <x:c r="D139" s="19"/>
      <x:c r="E139" s="62"/>
      <x:c r="F139" s="19"/>
      <x:c r="G139" s="25"/>
      <x:c r="H139" s="25"/>
      <x:c r="I139" s="96" t="str">
        <x:f>IF($A139="","",$E139*$G139-$H139)</x:f>
      </x:c>
    </x:row>
    <x:row r="140">
      <x:c r="A140" s="19"/>
      <x:c r="B140" s="19"/>
      <x:c r="C140" s="19"/>
      <x:c r="D140" s="19"/>
      <x:c r="E140" s="62"/>
      <x:c r="F140" s="19"/>
      <x:c r="G140" s="25"/>
      <x:c r="H140" s="25"/>
      <x:c r="I140" s="96" t="str">
        <x:f>IF($A140="","",$E140*$G140-$H140)</x:f>
      </x:c>
    </x:row>
    <x:row r="141">
      <x:c r="A141" s="19"/>
      <x:c r="B141" s="19"/>
      <x:c r="C141" s="19"/>
      <x:c r="D141" s="19"/>
      <x:c r="E141" s="62"/>
      <x:c r="F141" s="19"/>
      <x:c r="G141" s="25"/>
      <x:c r="H141" s="25"/>
      <x:c r="I141" s="96" t="str">
        <x:f>IF($A141="","",$E141*$G141-$H141)</x:f>
      </x:c>
    </x:row>
    <x:row r="142">
      <x:c r="A142" s="19"/>
      <x:c r="B142" s="19"/>
      <x:c r="C142" s="19"/>
      <x:c r="D142" s="19"/>
      <x:c r="E142" s="62"/>
      <x:c r="F142" s="19"/>
      <x:c r="G142" s="25"/>
      <x:c r="H142" s="25"/>
      <x:c r="I142" s="96" t="str">
        <x:f>IF($A142="","",$E142*$G142-$H142)</x:f>
      </x:c>
    </x:row>
    <x:row r="143">
      <x:c r="A143" s="19"/>
      <x:c r="B143" s="19"/>
      <x:c r="C143" s="19"/>
      <x:c r="D143" s="19"/>
      <x:c r="E143" s="62"/>
      <x:c r="F143" s="19"/>
      <x:c r="G143" s="25"/>
      <x:c r="H143" s="25"/>
      <x:c r="I143" s="96" t="str">
        <x:f>IF($A143="","",$E143*$G143-$H143)</x:f>
      </x:c>
    </x:row>
    <x:row r="144">
      <x:c r="A144" s="19"/>
      <x:c r="B144" s="19"/>
      <x:c r="C144" s="19"/>
      <x:c r="D144" s="19"/>
      <x:c r="E144" s="62"/>
      <x:c r="F144" s="19"/>
      <x:c r="G144" s="25"/>
      <x:c r="H144" s="25"/>
      <x:c r="I144" s="96" t="str">
        <x:f>IF($A144="","",$E144*$G144-$H144)</x:f>
      </x:c>
    </x:row>
    <x:row r="145">
      <x:c r="A145" s="19"/>
      <x:c r="B145" s="19"/>
      <x:c r="C145" s="19"/>
      <x:c r="D145" s="19"/>
      <x:c r="E145" s="62"/>
      <x:c r="F145" s="19"/>
      <x:c r="G145" s="25"/>
      <x:c r="H145" s="25"/>
      <x:c r="I145" s="96" t="str">
        <x:f>IF($A145="","",$E145*$G145-$H145)</x:f>
      </x:c>
    </x:row>
    <x:row r="146">
      <x:c r="A146" s="19"/>
      <x:c r="B146" s="19"/>
      <x:c r="C146" s="19"/>
      <x:c r="D146" s="19"/>
      <x:c r="E146" s="62"/>
      <x:c r="F146" s="19"/>
      <x:c r="G146" s="25"/>
      <x:c r="H146" s="25"/>
      <x:c r="I146" s="96" t="str">
        <x:f>IF($A146="","",$E146*$G146-$H146)</x:f>
      </x:c>
    </x:row>
    <x:row r="147">
      <x:c r="A147" s="19"/>
      <x:c r="B147" s="19"/>
      <x:c r="C147" s="19"/>
      <x:c r="D147" s="19"/>
      <x:c r="E147" s="62"/>
      <x:c r="F147" s="19"/>
      <x:c r="G147" s="25"/>
      <x:c r="H147" s="25"/>
      <x:c r="I147" s="96" t="str">
        <x:f>IF($A147="","",$E147*$G147-$H147)</x:f>
      </x:c>
    </x:row>
    <x:row r="148">
      <x:c r="A148" s="19"/>
      <x:c r="B148" s="19"/>
      <x:c r="C148" s="19"/>
      <x:c r="D148" s="19"/>
      <x:c r="E148" s="62"/>
      <x:c r="F148" s="19"/>
      <x:c r="G148" s="25"/>
      <x:c r="H148" s="25"/>
      <x:c r="I148" s="96" t="str">
        <x:f>IF($A148="","",$E148*$G148-$H148)</x:f>
      </x:c>
    </x:row>
    <x:row r="149">
      <x:c r="A149" s="19"/>
      <x:c r="B149" s="19"/>
      <x:c r="C149" s="19"/>
      <x:c r="D149" s="19"/>
      <x:c r="E149" s="62"/>
      <x:c r="F149" s="19"/>
      <x:c r="G149" s="25"/>
      <x:c r="H149" s="25"/>
      <x:c r="I149" s="96" t="str">
        <x:f>IF($A149="","",$E149*$G149-$H149)</x:f>
      </x:c>
    </x:row>
    <x:row r="150">
      <x:c r="A150" s="19"/>
      <x:c r="B150" s="19"/>
      <x:c r="C150" s="19"/>
      <x:c r="D150" s="19"/>
      <x:c r="E150" s="62"/>
      <x:c r="F150" s="19"/>
      <x:c r="G150" s="25"/>
      <x:c r="H150" s="25"/>
      <x:c r="I150" s="96" t="str">
        <x:f>IF($A150="","",$E150*$G150-$H150)</x:f>
      </x:c>
    </x:row>
    <x:row r="151">
      <x:c r="A151" s="19"/>
      <x:c r="B151" s="19"/>
      <x:c r="C151" s="19"/>
      <x:c r="D151" s="19"/>
      <x:c r="E151" s="62"/>
      <x:c r="F151" s="19"/>
      <x:c r="G151" s="25"/>
      <x:c r="H151" s="25"/>
      <x:c r="I151" s="96" t="str">
        <x:f>IF($A151="","",$E151*$G151-$H151)</x:f>
      </x:c>
    </x:row>
    <x:row r="152">
      <x:c r="A152" s="19"/>
      <x:c r="B152" s="19"/>
      <x:c r="C152" s="19"/>
      <x:c r="D152" s="19"/>
      <x:c r="E152" s="62"/>
      <x:c r="F152" s="19"/>
      <x:c r="G152" s="25"/>
      <x:c r="H152" s="25"/>
      <x:c r="I152" s="96" t="str">
        <x:f>IF($A152="","",$E152*$G152-$H152)</x:f>
      </x:c>
    </x:row>
    <x:row r="153">
      <x:c r="A153" s="19"/>
      <x:c r="B153" s="19"/>
      <x:c r="C153" s="19"/>
      <x:c r="D153" s="19"/>
      <x:c r="E153" s="62"/>
      <x:c r="F153" s="19"/>
      <x:c r="G153" s="25"/>
      <x:c r="H153" s="25"/>
      <x:c r="I153" s="96" t="str">
        <x:f>IF($A153="","",$E153*$G153-$H153)</x:f>
      </x:c>
    </x:row>
    <x:row r="154">
      <x:c r="A154" s="19"/>
      <x:c r="B154" s="19"/>
      <x:c r="C154" s="19"/>
      <x:c r="D154" s="19"/>
      <x:c r="E154" s="62"/>
      <x:c r="F154" s="19"/>
      <x:c r="G154" s="25"/>
      <x:c r="H154" s="25"/>
      <x:c r="I154" s="96" t="str">
        <x:f>IF($A154="","",$E154*$G154-$H154)</x:f>
      </x:c>
    </x:row>
    <x:row r="155">
      <x:c r="A155" s="19"/>
      <x:c r="B155" s="19"/>
      <x:c r="C155" s="19"/>
      <x:c r="D155" s="19"/>
      <x:c r="E155" s="62"/>
      <x:c r="F155" s="19"/>
      <x:c r="G155" s="25"/>
      <x:c r="H155" s="25"/>
      <x:c r="I155" s="96" t="str">
        <x:f>IF($A155="","",$E155*$G155-$H155)</x:f>
      </x:c>
    </x:row>
    <x:row r="156">
      <x:c r="A156" s="19"/>
      <x:c r="B156" s="19"/>
      <x:c r="C156" s="19"/>
      <x:c r="D156" s="19"/>
      <x:c r="E156" s="62"/>
      <x:c r="F156" s="19"/>
      <x:c r="G156" s="25"/>
      <x:c r="H156" s="25"/>
      <x:c r="I156" s="96" t="str">
        <x:f>IF($A156="","",$E156*$G156-$H156)</x:f>
      </x:c>
    </x:row>
    <x:row r="157">
      <x:c r="A157" s="19"/>
      <x:c r="B157" s="19"/>
      <x:c r="C157" s="19"/>
      <x:c r="D157" s="19"/>
      <x:c r="E157" s="62"/>
      <x:c r="F157" s="19"/>
      <x:c r="G157" s="25"/>
      <x:c r="H157" s="25"/>
      <x:c r="I157" s="96" t="str">
        <x:f>IF($A157="","",$E157*$G157-$H157)</x:f>
      </x:c>
    </x:row>
    <x:row r="158">
      <x:c r="A158" s="19"/>
      <x:c r="B158" s="19"/>
      <x:c r="C158" s="19"/>
      <x:c r="D158" s="19"/>
      <x:c r="E158" s="62"/>
      <x:c r="F158" s="19"/>
      <x:c r="G158" s="25"/>
      <x:c r="H158" s="25"/>
      <x:c r="I158" s="96" t="str">
        <x:f>IF($A158="","",$E158*$G158-$H158)</x:f>
      </x:c>
    </x:row>
    <x:row r="159">
      <x:c r="A159" s="19"/>
      <x:c r="B159" s="19"/>
      <x:c r="C159" s="19"/>
      <x:c r="D159" s="19"/>
      <x:c r="E159" s="62"/>
      <x:c r="F159" s="19"/>
      <x:c r="G159" s="25"/>
      <x:c r="H159" s="25"/>
      <x:c r="I159" s="96" t="str">
        <x:f>IF($A159="","",$E159*$G159-$H159)</x:f>
      </x:c>
    </x:row>
    <x:row r="160">
      <x:c r="A160" s="19"/>
      <x:c r="B160" s="19"/>
      <x:c r="C160" s="19"/>
      <x:c r="D160" s="19"/>
      <x:c r="E160" s="62"/>
      <x:c r="F160" s="19"/>
      <x:c r="G160" s="25"/>
      <x:c r="H160" s="25"/>
      <x:c r="I160" s="96" t="str">
        <x:f>IF($A160="","",$E160*$G160-$H160)</x:f>
      </x:c>
    </x:row>
    <x:row r="161">
      <x:c r="A161" s="19"/>
      <x:c r="B161" s="19"/>
      <x:c r="C161" s="19"/>
      <x:c r="D161" s="19"/>
      <x:c r="E161" s="62"/>
      <x:c r="F161" s="19"/>
      <x:c r="G161" s="25"/>
      <x:c r="H161" s="25"/>
      <x:c r="I161" s="96" t="str">
        <x:f>IF($A161="","",$E161*$G161-$H161)</x:f>
      </x:c>
    </x:row>
    <x:row r="162">
      <x:c r="A162" s="19"/>
      <x:c r="B162" s="19"/>
      <x:c r="C162" s="19"/>
      <x:c r="D162" s="19"/>
      <x:c r="E162" s="62"/>
      <x:c r="F162" s="19"/>
      <x:c r="G162" s="25"/>
      <x:c r="H162" s="25"/>
      <x:c r="I162" s="96" t="str">
        <x:f>IF($A162="","",$E162*$G162-$H162)</x:f>
      </x:c>
    </x:row>
    <x:row r="163">
      <x:c r="A163" s="19"/>
      <x:c r="B163" s="19"/>
      <x:c r="C163" s="19"/>
      <x:c r="D163" s="19"/>
      <x:c r="E163" s="62"/>
      <x:c r="F163" s="19"/>
      <x:c r="G163" s="25"/>
      <x:c r="H163" s="25"/>
      <x:c r="I163" s="96" t="str">
        <x:f>IF($A163="","",$E163*$G163-$H163)</x:f>
      </x:c>
    </x:row>
    <x:row r="164">
      <x:c r="A164" s="19"/>
      <x:c r="B164" s="19"/>
      <x:c r="C164" s="19"/>
      <x:c r="D164" s="19"/>
      <x:c r="E164" s="62"/>
      <x:c r="F164" s="19"/>
      <x:c r="G164" s="25"/>
      <x:c r="H164" s="25"/>
      <x:c r="I164" s="96" t="str">
        <x:f>IF($A164="","",$E164*$G164-$H164)</x:f>
      </x:c>
    </x:row>
    <x:row r="165">
      <x:c r="A165" s="19"/>
      <x:c r="B165" s="19"/>
      <x:c r="C165" s="19"/>
      <x:c r="D165" s="19"/>
      <x:c r="E165" s="62"/>
      <x:c r="F165" s="19"/>
      <x:c r="G165" s="25"/>
      <x:c r="H165" s="25"/>
      <x:c r="I165" s="96" t="str">
        <x:f>IF($A165="","",$E165*$G165-$H165)</x:f>
      </x:c>
    </x:row>
    <x:row r="166">
      <x:c r="A166" s="19"/>
      <x:c r="B166" s="19"/>
      <x:c r="C166" s="19"/>
      <x:c r="D166" s="19"/>
      <x:c r="E166" s="62"/>
      <x:c r="F166" s="19"/>
      <x:c r="G166" s="25"/>
      <x:c r="H166" s="25"/>
      <x:c r="I166" s="96" t="str">
        <x:f>IF($A166="","",$E166*$G166-$H166)</x:f>
      </x:c>
    </x:row>
    <x:row r="167">
      <x:c r="A167" s="19"/>
      <x:c r="B167" s="19"/>
      <x:c r="C167" s="19"/>
      <x:c r="D167" s="19"/>
      <x:c r="E167" s="62"/>
      <x:c r="F167" s="19"/>
      <x:c r="G167" s="25"/>
      <x:c r="H167" s="25"/>
      <x:c r="I167" s="96" t="str">
        <x:f>IF($A167="","",$E167*$G167-$H167)</x:f>
      </x:c>
    </x:row>
    <x:row r="168">
      <x:c r="A168" s="19"/>
      <x:c r="B168" s="19"/>
      <x:c r="C168" s="19"/>
      <x:c r="D168" s="19"/>
      <x:c r="E168" s="62"/>
      <x:c r="F168" s="19"/>
      <x:c r="G168" s="25"/>
      <x:c r="H168" s="25"/>
      <x:c r="I168" s="96" t="str">
        <x:f>IF($A168="","",$E168*$G168-$H168)</x:f>
      </x:c>
    </x:row>
    <x:row r="169">
      <x:c r="A169" s="19"/>
      <x:c r="B169" s="19"/>
      <x:c r="C169" s="19"/>
      <x:c r="D169" s="19"/>
      <x:c r="E169" s="62"/>
      <x:c r="F169" s="19"/>
      <x:c r="G169" s="25"/>
      <x:c r="H169" s="25"/>
      <x:c r="I169" s="96" t="str">
        <x:f>IF($A169="","",$E169*$G169-$H169)</x:f>
      </x:c>
    </x:row>
    <x:row r="170">
      <x:c r="A170" s="19"/>
      <x:c r="B170" s="19"/>
      <x:c r="C170" s="19"/>
      <x:c r="D170" s="19"/>
      <x:c r="E170" s="62"/>
      <x:c r="F170" s="19"/>
      <x:c r="G170" s="25"/>
      <x:c r="H170" s="25"/>
      <x:c r="I170" s="96" t="str">
        <x:f>IF($A170="","",$E170*$G170-$H170)</x:f>
      </x:c>
    </x:row>
    <x:row r="171">
      <x:c r="A171" s="19"/>
      <x:c r="B171" s="19"/>
      <x:c r="C171" s="19"/>
      <x:c r="D171" s="19"/>
      <x:c r="E171" s="62"/>
      <x:c r="F171" s="19"/>
      <x:c r="G171" s="25"/>
      <x:c r="H171" s="25"/>
      <x:c r="I171" s="96" t="str">
        <x:f>IF($A171="","",$E171*$G171-$H171)</x:f>
      </x:c>
    </x:row>
    <x:row r="172">
      <x:c r="A172" s="19"/>
      <x:c r="B172" s="19"/>
      <x:c r="C172" s="19"/>
      <x:c r="D172" s="19"/>
      <x:c r="E172" s="62"/>
      <x:c r="F172" s="19"/>
      <x:c r="G172" s="25"/>
      <x:c r="H172" s="25"/>
      <x:c r="I172" s="96" t="str">
        <x:f>IF($A172="","",$E172*$G172-$H172)</x:f>
      </x:c>
    </x:row>
    <x:row r="173">
      <x:c r="A173" s="19"/>
      <x:c r="B173" s="19"/>
      <x:c r="C173" s="19"/>
      <x:c r="D173" s="19"/>
      <x:c r="E173" s="62"/>
      <x:c r="F173" s="19"/>
      <x:c r="G173" s="25"/>
      <x:c r="H173" s="25"/>
      <x:c r="I173" s="96" t="str">
        <x:f>IF($A173="","",$E173*$G173-$H173)</x:f>
      </x:c>
    </x:row>
    <x:row r="174">
      <x:c r="A174" s="19"/>
      <x:c r="B174" s="19"/>
      <x:c r="C174" s="19"/>
      <x:c r="D174" s="19"/>
      <x:c r="E174" s="62"/>
      <x:c r="F174" s="19"/>
      <x:c r="G174" s="25"/>
      <x:c r="H174" s="25"/>
      <x:c r="I174" s="96" t="str">
        <x:f>IF($A174="","",$E174*$G174-$H174)</x:f>
      </x:c>
    </x:row>
    <x:row r="175">
      <x:c r="A175" s="19"/>
      <x:c r="B175" s="19"/>
      <x:c r="C175" s="19"/>
      <x:c r="D175" s="19"/>
      <x:c r="E175" s="62"/>
      <x:c r="F175" s="19"/>
      <x:c r="G175" s="25"/>
      <x:c r="H175" s="25"/>
      <x:c r="I175" s="96" t="str">
        <x:f>IF($A175="","",$E175*$G175-$H175)</x:f>
      </x:c>
    </x:row>
    <x:row r="176">
      <x:c r="A176" s="19"/>
      <x:c r="B176" s="19"/>
      <x:c r="C176" s="19"/>
      <x:c r="D176" s="19"/>
      <x:c r="E176" s="62"/>
      <x:c r="F176" s="19"/>
      <x:c r="G176" s="25"/>
      <x:c r="H176" s="25"/>
      <x:c r="I176" s="96" t="str">
        <x:f>IF($A176="","",$E176*$G176-$H176)</x:f>
      </x:c>
    </x:row>
    <x:row r="177">
      <x:c r="A177" s="19"/>
      <x:c r="B177" s="19"/>
      <x:c r="C177" s="19"/>
      <x:c r="D177" s="19"/>
      <x:c r="E177" s="62"/>
      <x:c r="F177" s="19"/>
      <x:c r="G177" s="25"/>
      <x:c r="H177" s="25"/>
      <x:c r="I177" s="96" t="str">
        <x:f>IF($A177="","",$E177*$G177-$H177)</x:f>
      </x:c>
    </x:row>
    <x:row r="178">
      <x:c r="A178" s="19"/>
      <x:c r="B178" s="19"/>
      <x:c r="C178" s="19"/>
      <x:c r="D178" s="19"/>
      <x:c r="E178" s="62"/>
      <x:c r="F178" s="19"/>
      <x:c r="G178" s="25"/>
      <x:c r="H178" s="25"/>
      <x:c r="I178" s="96" t="str">
        <x:f>IF($A178="","",$E178*$G178-$H178)</x:f>
      </x:c>
    </x:row>
    <x:row r="179">
      <x:c r="A179" s="19"/>
      <x:c r="B179" s="19"/>
      <x:c r="C179" s="19"/>
      <x:c r="D179" s="19"/>
      <x:c r="E179" s="62"/>
      <x:c r="F179" s="19"/>
      <x:c r="G179" s="25"/>
      <x:c r="H179" s="25"/>
      <x:c r="I179" s="96" t="str">
        <x:f>IF($A179="","",$E179*$G179-$H179)</x:f>
      </x:c>
    </x:row>
    <x:row r="180">
      <x:c r="A180" s="19"/>
      <x:c r="B180" s="19"/>
      <x:c r="C180" s="19"/>
      <x:c r="D180" s="19"/>
      <x:c r="E180" s="62"/>
      <x:c r="F180" s="19"/>
      <x:c r="G180" s="25"/>
      <x:c r="H180" s="25"/>
      <x:c r="I180" s="96" t="str">
        <x:f>IF($A180="","",$E180*$G180-$H180)</x:f>
      </x:c>
    </x:row>
    <x:row r="181">
      <x:c r="A181" s="19"/>
      <x:c r="B181" s="19"/>
      <x:c r="C181" s="19"/>
      <x:c r="D181" s="19"/>
      <x:c r="E181" s="62"/>
      <x:c r="F181" s="19"/>
      <x:c r="G181" s="25"/>
      <x:c r="H181" s="25"/>
      <x:c r="I181" s="96" t="str">
        <x:f>IF($A181="","",$E181*$G181-$H181)</x:f>
      </x:c>
    </x:row>
    <x:row r="182">
      <x:c r="A182" s="19"/>
      <x:c r="B182" s="19"/>
      <x:c r="C182" s="19"/>
      <x:c r="D182" s="19"/>
      <x:c r="E182" s="62"/>
      <x:c r="F182" s="19"/>
      <x:c r="G182" s="25"/>
      <x:c r="H182" s="25"/>
      <x:c r="I182" s="96" t="str">
        <x:f>IF($A182="","",$E182*$G182-$H182)</x:f>
      </x:c>
    </x:row>
    <x:row r="183">
      <x:c r="A183" s="19"/>
      <x:c r="B183" s="19"/>
      <x:c r="C183" s="19"/>
      <x:c r="D183" s="19"/>
      <x:c r="E183" s="62"/>
      <x:c r="F183" s="19"/>
      <x:c r="G183" s="25"/>
      <x:c r="H183" s="25"/>
      <x:c r="I183" s="96" t="str">
        <x:f>IF($A183="","",$E183*$G183-$H183)</x:f>
      </x:c>
    </x:row>
    <x:row r="184">
      <x:c r="A184" s="19"/>
      <x:c r="B184" s="19"/>
      <x:c r="C184" s="19"/>
      <x:c r="D184" s="19"/>
      <x:c r="E184" s="62"/>
      <x:c r="F184" s="19"/>
      <x:c r="G184" s="25"/>
      <x:c r="H184" s="25"/>
      <x:c r="I184" s="96" t="str">
        <x:f>IF($A184="","",$E184*$G184-$H184)</x:f>
      </x:c>
    </x:row>
    <x:row r="185">
      <x:c r="A185" s="19"/>
      <x:c r="B185" s="19"/>
      <x:c r="C185" s="19"/>
      <x:c r="D185" s="19"/>
      <x:c r="E185" s="62"/>
      <x:c r="F185" s="19"/>
      <x:c r="G185" s="25"/>
      <x:c r="H185" s="25"/>
      <x:c r="I185" s="96" t="str">
        <x:f>IF($A185="","",$E185*$G185-$H185)</x:f>
      </x:c>
    </x:row>
    <x:row r="186">
      <x:c r="A186" s="19"/>
      <x:c r="B186" s="19"/>
      <x:c r="C186" s="19"/>
      <x:c r="D186" s="19"/>
      <x:c r="E186" s="62"/>
      <x:c r="F186" s="19"/>
      <x:c r="G186" s="25"/>
      <x:c r="H186" s="25"/>
      <x:c r="I186" s="96" t="str">
        <x:f>IF($A186="","",$E186*$G186-$H186)</x:f>
      </x:c>
    </x:row>
    <x:row r="187">
      <x:c r="A187" s="19"/>
      <x:c r="B187" s="19"/>
      <x:c r="C187" s="19"/>
      <x:c r="D187" s="19"/>
      <x:c r="E187" s="62"/>
      <x:c r="F187" s="19"/>
      <x:c r="G187" s="25"/>
      <x:c r="H187" s="25"/>
      <x:c r="I187" s="96" t="str">
        <x:f>IF($A187="","",$E187*$G187-$H187)</x:f>
      </x:c>
    </x:row>
    <x:row r="188">
      <x:c r="A188" s="19"/>
      <x:c r="B188" s="19"/>
      <x:c r="C188" s="19"/>
      <x:c r="D188" s="19"/>
      <x:c r="E188" s="62"/>
      <x:c r="F188" s="19"/>
      <x:c r="G188" s="25"/>
      <x:c r="H188" s="25"/>
      <x:c r="I188" s="96" t="str">
        <x:f>IF($A188="","",$E188*$G188-$H188)</x:f>
      </x:c>
    </x:row>
    <x:row r="189">
      <x:c r="A189" s="19"/>
      <x:c r="B189" s="19"/>
      <x:c r="C189" s="19"/>
      <x:c r="D189" s="19"/>
      <x:c r="E189" s="62"/>
      <x:c r="F189" s="19"/>
      <x:c r="G189" s="25"/>
      <x:c r="H189" s="25"/>
      <x:c r="I189" s="96" t="str">
        <x:f>IF($A189="","",$E189*$G189-$H189)</x:f>
      </x:c>
    </x:row>
    <x:row r="190">
      <x:c r="A190" s="19"/>
      <x:c r="B190" s="19"/>
      <x:c r="C190" s="19"/>
      <x:c r="D190" s="19"/>
      <x:c r="E190" s="62"/>
      <x:c r="F190" s="19"/>
      <x:c r="G190" s="25"/>
      <x:c r="H190" s="25"/>
      <x:c r="I190" s="96" t="str">
        <x:f>IF($A190="","",$E190*$G190-$H190)</x:f>
      </x:c>
    </x:row>
    <x:row r="191">
      <x:c r="A191" s="19"/>
      <x:c r="B191" s="19"/>
      <x:c r="C191" s="19"/>
      <x:c r="D191" s="19"/>
      <x:c r="E191" s="62"/>
      <x:c r="F191" s="19"/>
      <x:c r="G191" s="25"/>
      <x:c r="H191" s="25"/>
      <x:c r="I191" s="96" t="str">
        <x:f>IF($A191="","",$E191*$G191-$H191)</x:f>
      </x:c>
    </x:row>
    <x:row r="192">
      <x:c r="A192" s="19"/>
      <x:c r="B192" s="19"/>
      <x:c r="C192" s="19"/>
      <x:c r="D192" s="19"/>
      <x:c r="E192" s="62"/>
      <x:c r="F192" s="19"/>
      <x:c r="G192" s="25"/>
      <x:c r="H192" s="25"/>
      <x:c r="I192" s="96" t="str">
        <x:f>IF($A192="","",$E192*$G192-$H192)</x:f>
      </x:c>
    </x:row>
    <x:row r="193">
      <x:c r="A193" s="19"/>
      <x:c r="B193" s="19"/>
      <x:c r="C193" s="19"/>
      <x:c r="D193" s="19"/>
      <x:c r="E193" s="62"/>
      <x:c r="F193" s="19"/>
      <x:c r="G193" s="25"/>
      <x:c r="H193" s="25"/>
      <x:c r="I193" s="96" t="str">
        <x:f>IF($A193="","",$E193*$G193-$H193)</x:f>
      </x:c>
    </x:row>
    <x:row r="194">
      <x:c r="A194" s="19"/>
      <x:c r="B194" s="19"/>
      <x:c r="C194" s="19"/>
      <x:c r="D194" s="19"/>
      <x:c r="E194" s="62"/>
      <x:c r="F194" s="19"/>
      <x:c r="G194" s="25"/>
      <x:c r="H194" s="25"/>
      <x:c r="I194" s="96" t="str">
        <x:f>IF($A194="","",$E194*$G194-$H194)</x:f>
      </x:c>
    </x:row>
    <x:row r="195">
      <x:c r="A195" s="19"/>
      <x:c r="B195" s="19"/>
      <x:c r="C195" s="19"/>
      <x:c r="D195" s="19"/>
      <x:c r="E195" s="62"/>
      <x:c r="F195" s="19"/>
      <x:c r="G195" s="25"/>
      <x:c r="H195" s="25"/>
      <x:c r="I195" s="96" t="str">
        <x:f>IF($A195="","",$E195*$G195-$H195)</x:f>
      </x:c>
    </x:row>
    <x:row r="196">
      <x:c r="A196" s="19"/>
      <x:c r="B196" s="19"/>
      <x:c r="C196" s="19"/>
      <x:c r="D196" s="19"/>
      <x:c r="E196" s="62"/>
      <x:c r="F196" s="19"/>
      <x:c r="G196" s="25"/>
      <x:c r="H196" s="25"/>
      <x:c r="I196" s="96" t="str">
        <x:f>IF($A196="","",$E196*$G196-$H196)</x:f>
      </x:c>
    </x:row>
    <x:row r="197">
      <x:c r="A197" s="19"/>
      <x:c r="B197" s="19"/>
      <x:c r="C197" s="19"/>
      <x:c r="D197" s="19"/>
      <x:c r="E197" s="62"/>
      <x:c r="F197" s="19"/>
      <x:c r="G197" s="25"/>
      <x:c r="H197" s="25"/>
      <x:c r="I197" s="96" t="str">
        <x:f>IF($A197="","",$E197*$G197-$H197)</x:f>
      </x:c>
    </x:row>
    <x:row r="198">
      <x:c r="A198" s="19"/>
      <x:c r="B198" s="19"/>
      <x:c r="C198" s="19"/>
      <x:c r="D198" s="19"/>
      <x:c r="E198" s="62"/>
      <x:c r="F198" s="19"/>
      <x:c r="G198" s="25"/>
      <x:c r="H198" s="25"/>
      <x:c r="I198" s="96" t="str">
        <x:f>IF($A198="","",$E198*$G198-$H198)</x:f>
      </x:c>
    </x:row>
    <x:row r="199">
      <x:c r="A199" s="19"/>
      <x:c r="B199" s="19"/>
      <x:c r="C199" s="19"/>
      <x:c r="D199" s="19"/>
      <x:c r="E199" s="62"/>
      <x:c r="F199" s="19"/>
      <x:c r="G199" s="25"/>
      <x:c r="H199" s="25"/>
      <x:c r="I199" s="96" t="str">
        <x:f>IF($A199="","",$E199*$G199-$H199)</x:f>
      </x:c>
    </x:row>
    <x:row r="200">
      <x:c r="A200" s="19"/>
      <x:c r="B200" s="19"/>
      <x:c r="C200" s="19"/>
      <x:c r="D200" s="19"/>
      <x:c r="E200" s="62"/>
      <x:c r="F200" s="19"/>
      <x:c r="G200" s="25"/>
      <x:c r="H200" s="25"/>
      <x:c r="I200" s="96" t="str">
        <x:f>IF($A200="","",$E200*$G200-$H200)</x:f>
      </x:c>
    </x:row>
    <x:row r="201">
      <x:c r="A201" s="19"/>
      <x:c r="B201" s="19"/>
      <x:c r="C201" s="19"/>
      <x:c r="D201" s="19"/>
      <x:c r="E201" s="62"/>
      <x:c r="F201" s="19"/>
      <x:c r="G201" s="25"/>
      <x:c r="H201" s="25"/>
      <x:c r="I201" s="96" t="str">
        <x:f>IF($A201="","",$E201*$G201-$H201)</x:f>
      </x:c>
    </x:row>
    <x:row r="202">
      <x:c r="A202" s="19"/>
      <x:c r="B202" s="19"/>
      <x:c r="C202" s="19"/>
      <x:c r="D202" s="19"/>
      <x:c r="E202" s="62"/>
      <x:c r="F202" s="19"/>
      <x:c r="G202" s="25"/>
      <x:c r="H202" s="25"/>
      <x:c r="I202" s="96" t="str">
        <x:f>IF($A202="","",$E202*$G202-$H202)</x:f>
      </x:c>
    </x:row>
    <x:row r="203">
      <x:c r="A203" s="19"/>
      <x:c r="B203" s="19"/>
      <x:c r="C203" s="19"/>
      <x:c r="D203" s="19"/>
      <x:c r="E203" s="62"/>
      <x:c r="F203" s="19"/>
      <x:c r="G203" s="25"/>
      <x:c r="H203" s="25"/>
      <x:c r="I203" s="96" t="str">
        <x:f>IF($A203="","",$E203*$G203-$H203)</x:f>
      </x:c>
    </x:row>
    <x:row r="204">
      <x:c r="A204" s="19"/>
      <x:c r="B204" s="19"/>
      <x:c r="C204" s="19"/>
      <x:c r="D204" s="19"/>
      <x:c r="E204" s="62"/>
      <x:c r="F204" s="19"/>
      <x:c r="G204" s="25"/>
      <x:c r="H204" s="25"/>
      <x:c r="I204" s="96" t="str">
        <x:f>IF($A204="","",$E204*$G204-$H204)</x:f>
      </x:c>
    </x:row>
    <x:row r="205">
      <x:c r="A205" s="19"/>
      <x:c r="B205" s="19"/>
      <x:c r="C205" s="19"/>
      <x:c r="D205" s="19"/>
      <x:c r="E205" s="62"/>
      <x:c r="F205" s="19"/>
      <x:c r="G205" s="25"/>
      <x:c r="H205" s="25"/>
      <x:c r="I205" s="96" t="str">
        <x:f>IF($A205="","",$E205*$G205-$H205)</x:f>
      </x:c>
    </x:row>
    <x:row r="206">
      <x:c r="A206" s="19"/>
      <x:c r="B206" s="19"/>
      <x:c r="C206" s="19"/>
      <x:c r="D206" s="19"/>
      <x:c r="E206" s="62"/>
      <x:c r="F206" s="19"/>
      <x:c r="G206" s="25"/>
      <x:c r="H206" s="25"/>
      <x:c r="I206" s="96" t="str">
        <x:f>IF($A206="","",$E206*$G206-$H206)</x:f>
      </x:c>
    </x:row>
    <x:row r="207">
      <x:c r="A207" s="19"/>
      <x:c r="B207" s="19"/>
      <x:c r="C207" s="19"/>
      <x:c r="D207" s="19"/>
      <x:c r="E207" s="62"/>
      <x:c r="F207" s="19"/>
      <x:c r="G207" s="25"/>
      <x:c r="H207" s="25"/>
      <x:c r="I207" s="96" t="str">
        <x:f>IF($A207="","",$E207*$G207-$H207)</x:f>
      </x:c>
    </x:row>
    <x:row r="208">
      <x:c r="A208" s="19"/>
      <x:c r="B208" s="19"/>
      <x:c r="C208" s="19"/>
      <x:c r="D208" s="19"/>
      <x:c r="E208" s="62"/>
      <x:c r="F208" s="19"/>
      <x:c r="G208" s="25"/>
      <x:c r="H208" s="25"/>
      <x:c r="I208" s="96" t="str">
        <x:f>IF($A208="","",$E208*$G208-$H208)</x:f>
      </x:c>
    </x:row>
    <x:row r="209">
      <x:c r="A209" s="19"/>
      <x:c r="B209" s="19"/>
      <x:c r="C209" s="19"/>
      <x:c r="D209" s="19"/>
      <x:c r="E209" s="62"/>
      <x:c r="F209" s="19"/>
      <x:c r="G209" s="25"/>
      <x:c r="H209" s="25"/>
      <x:c r="I209" s="96" t="str">
        <x:f>IF($A209="","",$E209*$G209-$H209)</x:f>
      </x:c>
    </x:row>
    <x:row r="210">
      <x:c r="A210" s="19"/>
      <x:c r="B210" s="19"/>
      <x:c r="C210" s="19"/>
      <x:c r="D210" s="19"/>
      <x:c r="E210" s="62"/>
      <x:c r="F210" s="19"/>
      <x:c r="G210" s="25"/>
      <x:c r="H210" s="25"/>
      <x:c r="I210" s="96" t="str">
        <x:f>IF($A210="","",$E210*$G210-$H210)</x:f>
      </x:c>
    </x:row>
    <x:row r="211">
      <x:c r="A211" s="19"/>
      <x:c r="B211" s="19"/>
      <x:c r="C211" s="19"/>
      <x:c r="D211" s="19"/>
      <x:c r="E211" s="62"/>
      <x:c r="F211" s="19"/>
      <x:c r="G211" s="25"/>
      <x:c r="H211" s="25"/>
      <x:c r="I211" s="96" t="str">
        <x:f>IF($A211="","",$E211*$G211-$H211)</x:f>
      </x:c>
    </x:row>
    <x:row r="212">
      <x:c r="A212" s="19"/>
      <x:c r="B212" s="19"/>
      <x:c r="C212" s="19"/>
      <x:c r="D212" s="19"/>
      <x:c r="E212" s="62"/>
      <x:c r="F212" s="19"/>
      <x:c r="G212" s="25"/>
      <x:c r="H212" s="25"/>
      <x:c r="I212" s="96" t="str">
        <x:f>IF($A212="","",$E212*$G212-$H212)</x:f>
      </x:c>
    </x:row>
    <x:row r="213">
      <x:c r="A213" s="19"/>
      <x:c r="B213" s="19"/>
      <x:c r="C213" s="19"/>
      <x:c r="D213" s="19"/>
      <x:c r="E213" s="62"/>
      <x:c r="F213" s="19"/>
      <x:c r="G213" s="25"/>
      <x:c r="H213" s="25"/>
      <x:c r="I213" s="96" t="str">
        <x:f>IF($A213="","",$E213*$G213-$H213)</x:f>
      </x:c>
    </x:row>
    <x:row r="214">
      <x:c r="A214" s="19"/>
      <x:c r="B214" s="19"/>
      <x:c r="C214" s="19"/>
      <x:c r="D214" s="19"/>
      <x:c r="E214" s="62"/>
      <x:c r="F214" s="19"/>
      <x:c r="G214" s="25"/>
      <x:c r="H214" s="25"/>
      <x:c r="I214" s="96" t="str">
        <x:f>IF($A214="","",$E214*$G214-$H214)</x:f>
      </x:c>
    </x:row>
    <x:row r="215">
      <x:c r="A215" s="19"/>
      <x:c r="B215" s="19"/>
      <x:c r="C215" s="19"/>
      <x:c r="D215" s="19"/>
      <x:c r="E215" s="62"/>
      <x:c r="F215" s="19"/>
      <x:c r="G215" s="25"/>
      <x:c r="H215" s="25"/>
      <x:c r="I215" s="96" t="str">
        <x:f>IF($A215="","",$E215*$G215-$H215)</x:f>
      </x:c>
    </x:row>
    <x:row r="216">
      <x:c r="A216" s="19"/>
      <x:c r="B216" s="19"/>
      <x:c r="C216" s="19"/>
      <x:c r="D216" s="19"/>
      <x:c r="E216" s="62"/>
      <x:c r="F216" s="19"/>
      <x:c r="G216" s="25"/>
      <x:c r="H216" s="25"/>
      <x:c r="I216" s="96" t="str">
        <x:f>IF($A216="","",$E216*$G216-$H216)</x:f>
      </x:c>
    </x:row>
    <x:row r="217">
      <x:c r="A217" s="19"/>
      <x:c r="B217" s="19"/>
      <x:c r="C217" s="19"/>
      <x:c r="D217" s="19"/>
      <x:c r="E217" s="62"/>
      <x:c r="F217" s="19"/>
      <x:c r="G217" s="25"/>
      <x:c r="H217" s="25"/>
      <x:c r="I217" s="96" t="str">
        <x:f>IF($A217="","",$E217*$G217-$H217)</x:f>
      </x:c>
    </x:row>
    <x:row r="218">
      <x:c r="A218" s="19"/>
      <x:c r="B218" s="19"/>
      <x:c r="C218" s="19"/>
      <x:c r="D218" s="19"/>
      <x:c r="E218" s="62"/>
      <x:c r="F218" s="19"/>
      <x:c r="G218" s="25"/>
      <x:c r="H218" s="25"/>
      <x:c r="I218" s="96" t="str">
        <x:f>IF($A218="","",$E218*$G218-$H218)</x:f>
      </x:c>
    </x:row>
    <x:row r="219">
      <x:c r="A219" s="19"/>
      <x:c r="B219" s="19"/>
      <x:c r="C219" s="19"/>
      <x:c r="D219" s="19"/>
      <x:c r="E219" s="62"/>
      <x:c r="F219" s="19"/>
      <x:c r="G219" s="25"/>
      <x:c r="H219" s="25"/>
      <x:c r="I219" s="96" t="str">
        <x:f>IF($A219="","",$E219*$G219-$H219)</x:f>
      </x:c>
    </x:row>
    <x:row r="220">
      <x:c r="A220" s="19"/>
      <x:c r="B220" s="19"/>
      <x:c r="C220" s="19"/>
      <x:c r="D220" s="19"/>
      <x:c r="E220" s="62"/>
      <x:c r="F220" s="19"/>
      <x:c r="G220" s="25"/>
      <x:c r="H220" s="25"/>
      <x:c r="I220" s="96" t="str">
        <x:f>IF($A220="","",$E220*$G220-$H220)</x:f>
      </x:c>
    </x:row>
    <x:row r="221">
      <x:c r="A221" s="19"/>
      <x:c r="B221" s="19"/>
      <x:c r="C221" s="19"/>
      <x:c r="D221" s="19"/>
      <x:c r="E221" s="62"/>
      <x:c r="F221" s="19"/>
      <x:c r="G221" s="25"/>
      <x:c r="H221" s="25"/>
      <x:c r="I221" s="96" t="str">
        <x:f>IF($A221="","",$E221*$G221-$H221)</x:f>
      </x:c>
    </x:row>
    <x:row r="222">
      <x:c r="A222" s="19"/>
      <x:c r="B222" s="19"/>
      <x:c r="C222" s="19"/>
      <x:c r="D222" s="19"/>
      <x:c r="E222" s="62"/>
      <x:c r="F222" s="19"/>
      <x:c r="G222" s="25"/>
      <x:c r="H222" s="25"/>
      <x:c r="I222" s="96" t="str">
        <x:f>IF($A222="","",$E222*$G222-$H222)</x:f>
      </x:c>
    </x:row>
    <x:row r="223">
      <x:c r="A223" s="19"/>
      <x:c r="B223" s="19"/>
      <x:c r="C223" s="19"/>
      <x:c r="D223" s="19"/>
      <x:c r="E223" s="62"/>
      <x:c r="F223" s="19"/>
      <x:c r="G223" s="25"/>
      <x:c r="H223" s="25"/>
      <x:c r="I223" s="96" t="str">
        <x:f>IF($A223="","",$E223*$G223-$H223)</x:f>
      </x:c>
    </x:row>
    <x:row r="224">
      <x:c r="A224" s="19"/>
      <x:c r="B224" s="19"/>
      <x:c r="C224" s="19"/>
      <x:c r="D224" s="19"/>
      <x:c r="E224" s="62"/>
      <x:c r="F224" s="19"/>
      <x:c r="G224" s="25"/>
      <x:c r="H224" s="25"/>
      <x:c r="I224" s="96" t="str">
        <x:f>IF($A224="","",$E224*$G224-$H224)</x:f>
      </x:c>
    </x:row>
    <x:row r="225">
      <x:c r="A225" s="19"/>
      <x:c r="B225" s="19"/>
      <x:c r="C225" s="19"/>
      <x:c r="D225" s="19"/>
      <x:c r="E225" s="62"/>
      <x:c r="F225" s="19"/>
      <x:c r="G225" s="25"/>
      <x:c r="H225" s="25"/>
      <x:c r="I225" s="96" t="str">
        <x:f>IF($A225="","",$E225*$G225-$H225)</x:f>
      </x:c>
    </x:row>
    <x:row r="226">
      <x:c r="A226" s="19"/>
      <x:c r="B226" s="19"/>
      <x:c r="C226" s="19"/>
      <x:c r="D226" s="19"/>
      <x:c r="E226" s="62"/>
      <x:c r="F226" s="19"/>
      <x:c r="G226" s="25"/>
      <x:c r="H226" s="25"/>
      <x:c r="I226" s="96" t="str">
        <x:f>IF($A226="","",$E226*$G226-$H226)</x:f>
      </x:c>
    </x:row>
    <x:row r="227">
      <x:c r="A227" s="19"/>
      <x:c r="B227" s="19"/>
      <x:c r="C227" s="19"/>
      <x:c r="D227" s="19"/>
      <x:c r="E227" s="62"/>
      <x:c r="F227" s="19"/>
      <x:c r="G227" s="25"/>
      <x:c r="H227" s="25"/>
      <x:c r="I227" s="96" t="str">
        <x:f>IF($A227="","",$E227*$G227-$H227)</x:f>
      </x:c>
    </x:row>
    <x:row r="228">
      <x:c r="A228" s="19"/>
      <x:c r="B228" s="19"/>
      <x:c r="C228" s="19"/>
      <x:c r="D228" s="19"/>
      <x:c r="E228" s="62"/>
      <x:c r="F228" s="19"/>
      <x:c r="G228" s="25"/>
      <x:c r="H228" s="25"/>
      <x:c r="I228" s="96" t="str">
        <x:f>IF($A228="","",$E228*$G228-$H228)</x:f>
      </x:c>
    </x:row>
    <x:row r="229">
      <x:c r="A229" s="19"/>
      <x:c r="B229" s="19"/>
      <x:c r="C229" s="19"/>
      <x:c r="D229" s="19"/>
      <x:c r="E229" s="62"/>
      <x:c r="F229" s="19"/>
      <x:c r="G229" s="25"/>
      <x:c r="H229" s="25"/>
      <x:c r="I229" s="96" t="str">
        <x:f>IF($A229="","",$E229*$G229-$H229)</x:f>
      </x:c>
    </x:row>
    <x:row r="230">
      <x:c r="A230" s="19"/>
      <x:c r="B230" s="19"/>
      <x:c r="C230" s="19"/>
      <x:c r="D230" s="19"/>
      <x:c r="E230" s="62"/>
      <x:c r="F230" s="19"/>
      <x:c r="G230" s="25"/>
      <x:c r="H230" s="25"/>
      <x:c r="I230" s="96" t="str">
        <x:f>IF($A230="","",$E230*$G230-$H230)</x:f>
      </x:c>
    </x:row>
    <x:row r="231">
      <x:c r="A231" s="19"/>
      <x:c r="B231" s="19"/>
      <x:c r="C231" s="19"/>
      <x:c r="D231" s="19"/>
      <x:c r="E231" s="62"/>
      <x:c r="F231" s="19"/>
      <x:c r="G231" s="25"/>
      <x:c r="H231" s="25"/>
      <x:c r="I231" s="96" t="str">
        <x:f>IF($A231="","",$E231*$G231-$H231)</x:f>
      </x:c>
    </x:row>
    <x:row r="232">
      <x:c r="A232" s="19"/>
      <x:c r="B232" s="19"/>
      <x:c r="C232" s="19"/>
      <x:c r="D232" s="19"/>
      <x:c r="E232" s="62"/>
      <x:c r="F232" s="19"/>
      <x:c r="G232" s="25"/>
      <x:c r="H232" s="25"/>
      <x:c r="I232" s="96" t="str">
        <x:f>IF($A232="","",$E232*$G232-$H232)</x:f>
      </x:c>
    </x:row>
    <x:row r="233">
      <x:c r="A233" s="19"/>
      <x:c r="B233" s="19"/>
      <x:c r="C233" s="19"/>
      <x:c r="D233" s="19"/>
      <x:c r="E233" s="62"/>
      <x:c r="F233" s="19"/>
      <x:c r="G233" s="25"/>
      <x:c r="H233" s="25"/>
      <x:c r="I233" s="96" t="str">
        <x:f>IF($A233="","",$E233*$G233-$H233)</x:f>
      </x:c>
    </x:row>
    <x:row r="234">
      <x:c r="A234" s="19"/>
      <x:c r="B234" s="19"/>
      <x:c r="C234" s="19"/>
      <x:c r="D234" s="19"/>
      <x:c r="E234" s="62"/>
      <x:c r="F234" s="19"/>
      <x:c r="G234" s="25"/>
      <x:c r="H234" s="25"/>
      <x:c r="I234" s="96" t="str">
        <x:f>IF($A234="","",$E234*$G234-$H234)</x:f>
      </x:c>
    </x:row>
    <x:row r="235">
      <x:c r="A235" s="19"/>
      <x:c r="B235" s="19"/>
      <x:c r="C235" s="19"/>
      <x:c r="D235" s="19"/>
      <x:c r="E235" s="62"/>
      <x:c r="F235" s="19"/>
      <x:c r="G235" s="25"/>
      <x:c r="H235" s="25"/>
      <x:c r="I235" s="96" t="str">
        <x:f>IF($A235="","",$E235*$G235-$H235)</x:f>
      </x:c>
    </x:row>
    <x:row r="236">
      <x:c r="A236" s="19"/>
      <x:c r="B236" s="19"/>
      <x:c r="C236" s="19"/>
      <x:c r="D236" s="19"/>
      <x:c r="E236" s="62"/>
      <x:c r="F236" s="19"/>
      <x:c r="G236" s="25"/>
      <x:c r="H236" s="25"/>
      <x:c r="I236" s="96" t="str">
        <x:f>IF($A236="","",$E236*$G236-$H236)</x:f>
      </x:c>
    </x:row>
    <x:row r="237">
      <x:c r="A237" s="19"/>
      <x:c r="B237" s="19"/>
      <x:c r="C237" s="19"/>
      <x:c r="D237" s="19"/>
      <x:c r="E237" s="62"/>
      <x:c r="F237" s="19"/>
      <x:c r="G237" s="25"/>
      <x:c r="H237" s="25"/>
      <x:c r="I237" s="96" t="str">
        <x:f>IF($A237="","",$E237*$G237-$H237)</x:f>
      </x:c>
    </x:row>
    <x:row r="238">
      <x:c r="A238" s="19"/>
      <x:c r="B238" s="19"/>
      <x:c r="C238" s="19"/>
      <x:c r="D238" s="19"/>
      <x:c r="E238" s="62"/>
      <x:c r="F238" s="19"/>
      <x:c r="G238" s="25"/>
      <x:c r="H238" s="25"/>
      <x:c r="I238" s="96" t="str">
        <x:f>IF($A238="","",$E238*$G238-$H238)</x:f>
      </x:c>
    </x:row>
    <x:row r="239">
      <x:c r="A239" s="19"/>
      <x:c r="B239" s="19"/>
      <x:c r="C239" s="19"/>
      <x:c r="D239" s="19"/>
      <x:c r="E239" s="62"/>
      <x:c r="F239" s="19"/>
      <x:c r="G239" s="25"/>
      <x:c r="H239" s="25"/>
      <x:c r="I239" s="96" t="str">
        <x:f>IF($A239="","",$E239*$G239-$H239)</x:f>
      </x:c>
    </x:row>
    <x:row r="240">
      <x:c r="A240" s="19"/>
      <x:c r="B240" s="19"/>
      <x:c r="C240" s="19"/>
      <x:c r="D240" s="19"/>
      <x:c r="E240" s="62"/>
      <x:c r="F240" s="19"/>
      <x:c r="G240" s="25"/>
      <x:c r="H240" s="25"/>
      <x:c r="I240" s="96" t="str">
        <x:f>IF($A240="","",$E240*$G240-$H240)</x:f>
      </x:c>
    </x:row>
    <x:row r="241">
      <x:c r="A241" s="19"/>
      <x:c r="B241" s="19"/>
      <x:c r="C241" s="19"/>
      <x:c r="D241" s="19"/>
      <x:c r="E241" s="62"/>
      <x:c r="F241" s="19"/>
      <x:c r="G241" s="25"/>
      <x:c r="H241" s="25"/>
      <x:c r="I241" s="96" t="str">
        <x:f>IF($A241="","",$E241*$G241-$H241)</x:f>
      </x:c>
    </x:row>
    <x:row r="242">
      <x:c r="A242" s="19"/>
      <x:c r="B242" s="19"/>
      <x:c r="C242" s="19"/>
      <x:c r="D242" s="19"/>
      <x:c r="E242" s="62"/>
      <x:c r="F242" s="19"/>
      <x:c r="G242" s="25"/>
      <x:c r="H242" s="25"/>
      <x:c r="I242" s="96" t="str">
        <x:f>IF($A242="","",$E242*$G242-$H242)</x:f>
      </x:c>
    </x:row>
    <x:row r="243">
      <x:c r="A243" s="19"/>
      <x:c r="B243" s="19"/>
      <x:c r="C243" s="19"/>
      <x:c r="D243" s="19"/>
      <x:c r="E243" s="62"/>
      <x:c r="F243" s="19"/>
      <x:c r="G243" s="25"/>
      <x:c r="H243" s="25"/>
      <x:c r="I243" s="96" t="str">
        <x:f>IF($A243="","",$E243*$G243-$H243)</x:f>
      </x:c>
    </x:row>
    <x:row r="244">
      <x:c r="A244" s="19"/>
      <x:c r="B244" s="19"/>
      <x:c r="C244" s="19"/>
      <x:c r="D244" s="19"/>
      <x:c r="E244" s="62"/>
      <x:c r="F244" s="19"/>
      <x:c r="G244" s="25"/>
      <x:c r="H244" s="25"/>
      <x:c r="I244" s="96" t="str">
        <x:f>IF($A244="","",$E244*$G244-$H244)</x:f>
      </x:c>
    </x:row>
    <x:row r="245">
      <x:c r="A245" s="19"/>
      <x:c r="B245" s="19"/>
      <x:c r="C245" s="19"/>
      <x:c r="D245" s="19"/>
      <x:c r="E245" s="62"/>
      <x:c r="F245" s="19"/>
      <x:c r="G245" s="25"/>
      <x:c r="H245" s="25"/>
      <x:c r="I245" s="96" t="str">
        <x:f>IF($A245="","",$E245*$G245-$H245)</x:f>
      </x:c>
    </x:row>
    <x:row r="246">
      <x:c r="A246" s="19"/>
      <x:c r="B246" s="19"/>
      <x:c r="C246" s="19"/>
      <x:c r="D246" s="19"/>
      <x:c r="E246" s="62"/>
      <x:c r="F246" s="19"/>
      <x:c r="G246" s="25"/>
      <x:c r="H246" s="25"/>
      <x:c r="I246" s="96" t="str">
        <x:f>IF($A246="","",$E246*$G246-$H246)</x:f>
      </x:c>
    </x:row>
    <x:row r="247">
      <x:c r="A247" s="19"/>
      <x:c r="B247" s="19"/>
      <x:c r="C247" s="19"/>
      <x:c r="D247" s="19"/>
      <x:c r="E247" s="62"/>
      <x:c r="F247" s="19"/>
      <x:c r="G247" s="25"/>
      <x:c r="H247" s="25"/>
      <x:c r="I247" s="96" t="str">
        <x:f>IF($A247="","",$E247*$G247-$H247)</x:f>
      </x:c>
    </x:row>
    <x:row r="248">
      <x:c r="A248" s="19"/>
      <x:c r="B248" s="19"/>
      <x:c r="C248" s="19"/>
      <x:c r="D248" s="19"/>
      <x:c r="E248" s="62"/>
      <x:c r="F248" s="19"/>
      <x:c r="G248" s="25"/>
      <x:c r="H248" s="25"/>
      <x:c r="I248" s="96" t="str">
        <x:f>IF($A248="","",$E248*$G248-$H248)</x:f>
      </x:c>
    </x:row>
    <x:row r="249">
      <x:c r="A249" s="19"/>
      <x:c r="B249" s="19"/>
      <x:c r="C249" s="19"/>
      <x:c r="D249" s="19"/>
      <x:c r="E249" s="62"/>
      <x:c r="F249" s="19"/>
      <x:c r="G249" s="25"/>
      <x:c r="H249" s="25"/>
      <x:c r="I249" s="96" t="str">
        <x:f>IF($A249="","",$E249*$G249-$H249)</x:f>
      </x:c>
    </x:row>
    <x:row r="250">
      <x:c r="A250" s="19"/>
      <x:c r="B250" s="19"/>
      <x:c r="C250" s="19"/>
      <x:c r="D250" s="19"/>
      <x:c r="E250" s="62"/>
      <x:c r="F250" s="19"/>
      <x:c r="G250" s="25"/>
      <x:c r="H250" s="25"/>
      <x:c r="I250" s="96" t="str">
        <x:f>IF($A250="","",$E250*$G250-$H250)</x:f>
      </x:c>
    </x:row>
    <x:row r="251">
      <x:c r="A251" s="19"/>
      <x:c r="B251" s="19"/>
      <x:c r="C251" s="19"/>
      <x:c r="D251" s="19"/>
      <x:c r="E251" s="62"/>
      <x:c r="F251" s="19"/>
      <x:c r="G251" s="25"/>
      <x:c r="H251" s="25"/>
      <x:c r="I251" s="96" t="str">
        <x:f>IF($A251="","",$E251*$G251-$H251)</x:f>
      </x:c>
    </x:row>
    <x:row r="252">
      <x:c r="A252" s="19"/>
      <x:c r="B252" s="19"/>
      <x:c r="C252" s="19"/>
      <x:c r="D252" s="19"/>
      <x:c r="E252" s="62"/>
      <x:c r="F252" s="19"/>
      <x:c r="G252" s="25"/>
      <x:c r="H252" s="25"/>
      <x:c r="I252" s="96" t="str">
        <x:f>IF($A252="","",$E252*$G252-$H252)</x:f>
      </x:c>
    </x:row>
    <x:row r="253">
      <x:c r="A253" s="19"/>
      <x:c r="B253" s="19"/>
      <x:c r="C253" s="19"/>
      <x:c r="D253" s="19"/>
      <x:c r="E253" s="62"/>
      <x:c r="F253" s="19"/>
      <x:c r="G253" s="25"/>
      <x:c r="H253" s="25"/>
      <x:c r="I253" s="96" t="str">
        <x:f>IF($A253="","",$E253*$G253-$H253)</x:f>
      </x:c>
    </x:row>
    <x:row r="254">
      <x:c r="A254" s="19"/>
      <x:c r="B254" s="19"/>
      <x:c r="C254" s="19"/>
      <x:c r="D254" s="19"/>
      <x:c r="E254" s="62"/>
      <x:c r="F254" s="19"/>
      <x:c r="G254" s="25"/>
      <x:c r="H254" s="25"/>
      <x:c r="I254" s="96" t="str">
        <x:f>IF($A254="","",$E254*$G254-$H254)</x:f>
      </x:c>
    </x:row>
    <x:row r="255">
      <x:c r="A255" s="19"/>
      <x:c r="B255" s="19"/>
      <x:c r="C255" s="19"/>
      <x:c r="D255" s="19"/>
      <x:c r="E255" s="62"/>
      <x:c r="F255" s="19"/>
      <x:c r="G255" s="25"/>
      <x:c r="H255" s="25"/>
      <x:c r="I255" s="96" t="str">
        <x:f>IF($A255="","",$E255*$G255-$H255)</x:f>
      </x:c>
    </x:row>
    <x:row r="256">
      <x:c r="A256" s="19"/>
      <x:c r="B256" s="19"/>
      <x:c r="C256" s="19"/>
      <x:c r="D256" s="19"/>
      <x:c r="E256" s="62"/>
      <x:c r="F256" s="19"/>
      <x:c r="G256" s="25"/>
      <x:c r="H256" s="25"/>
      <x:c r="I256" s="96" t="str">
        <x:f>IF($A256="","",$E256*$G256-$H256)</x:f>
      </x:c>
    </x:row>
    <x:row r="257">
      <x:c r="A257" s="19"/>
      <x:c r="B257" s="19"/>
      <x:c r="C257" s="19"/>
      <x:c r="D257" s="19"/>
      <x:c r="E257" s="62"/>
      <x:c r="F257" s="19"/>
      <x:c r="G257" s="25"/>
      <x:c r="H257" s="25"/>
      <x:c r="I257" s="96" t="str">
        <x:f>IF($A257="","",$E257*$G257-$H257)</x:f>
      </x:c>
    </x:row>
    <x:row r="258">
      <x:c r="A258" s="19"/>
      <x:c r="B258" s="19"/>
      <x:c r="C258" s="19"/>
      <x:c r="D258" s="19"/>
      <x:c r="E258" s="62"/>
      <x:c r="F258" s="19"/>
      <x:c r="G258" s="25"/>
      <x:c r="H258" s="25"/>
      <x:c r="I258" s="96" t="str">
        <x:f>IF($A258="","",$E258*$G258-$H258)</x:f>
      </x:c>
    </x:row>
    <x:row r="259">
      <x:c r="A259" s="19"/>
      <x:c r="B259" s="19"/>
      <x:c r="C259" s="19"/>
      <x:c r="D259" s="19"/>
      <x:c r="E259" s="62"/>
      <x:c r="F259" s="19"/>
      <x:c r="G259" s="25"/>
      <x:c r="H259" s="25"/>
      <x:c r="I259" s="96" t="str">
        <x:f>IF($A259="","",$E259*$G259-$H259)</x:f>
      </x:c>
    </x:row>
    <x:row r="260">
      <x:c r="A260" s="19"/>
      <x:c r="B260" s="19"/>
      <x:c r="C260" s="19"/>
      <x:c r="D260" s="19"/>
      <x:c r="E260" s="62"/>
      <x:c r="F260" s="19"/>
      <x:c r="G260" s="25"/>
      <x:c r="H260" s="25"/>
      <x:c r="I260" s="96" t="str">
        <x:f>IF($A260="","",$E260*$G260-$H260)</x:f>
      </x:c>
    </x:row>
    <x:row r="261">
      <x:c r="A261" s="19"/>
      <x:c r="B261" s="19"/>
      <x:c r="C261" s="19"/>
      <x:c r="D261" s="19"/>
      <x:c r="E261" s="62"/>
      <x:c r="F261" s="19"/>
      <x:c r="G261" s="25"/>
      <x:c r="H261" s="25"/>
      <x:c r="I261" s="96" t="str">
        <x:f>IF($A261="","",$E261*$G261-$H261)</x:f>
      </x:c>
    </x:row>
    <x:row r="262">
      <x:c r="A262" s="19"/>
      <x:c r="B262" s="19"/>
      <x:c r="C262" s="19"/>
      <x:c r="D262" s="19"/>
      <x:c r="E262" s="62"/>
      <x:c r="F262" s="19"/>
      <x:c r="G262" s="25"/>
      <x:c r="H262" s="25"/>
      <x:c r="I262" s="96" t="str">
        <x:f>IF($A262="","",$E262*$G262-$H262)</x:f>
      </x:c>
    </x:row>
    <x:row r="263">
      <x:c r="A263" s="19"/>
      <x:c r="B263" s="19"/>
      <x:c r="C263" s="19"/>
      <x:c r="D263" s="19"/>
      <x:c r="E263" s="62"/>
      <x:c r="F263" s="19"/>
      <x:c r="G263" s="25"/>
      <x:c r="H263" s="25"/>
      <x:c r="I263" s="96" t="str">
        <x:f>IF($A263="","",$E263*$G263-$H263)</x:f>
      </x:c>
    </x:row>
    <x:row r="264">
      <x:c r="A264" s="19"/>
      <x:c r="B264" s="19"/>
      <x:c r="C264" s="19"/>
      <x:c r="D264" s="19"/>
      <x:c r="E264" s="62"/>
      <x:c r="F264" s="19"/>
      <x:c r="G264" s="25"/>
      <x:c r="H264" s="25"/>
      <x:c r="I264" s="96" t="str">
        <x:f>IF($A264="","",$E264*$G264-$H264)</x:f>
      </x:c>
    </x:row>
    <x:row r="265">
      <x:c r="A265" s="19"/>
      <x:c r="B265" s="19"/>
      <x:c r="C265" s="19"/>
      <x:c r="D265" s="19"/>
      <x:c r="E265" s="62"/>
      <x:c r="F265" s="19"/>
      <x:c r="G265" s="25"/>
      <x:c r="H265" s="25"/>
      <x:c r="I265" s="96" t="str">
        <x:f>IF($A265="","",$E265*$G265-$H265)</x:f>
      </x:c>
    </x:row>
    <x:row r="266">
      <x:c r="A266" s="19"/>
      <x:c r="B266" s="19"/>
      <x:c r="C266" s="19"/>
      <x:c r="D266" s="19"/>
      <x:c r="E266" s="62"/>
      <x:c r="F266" s="19"/>
      <x:c r="G266" s="25"/>
      <x:c r="H266" s="25"/>
      <x:c r="I266" s="96" t="str">
        <x:f>IF($A266="","",$E266*$G266-$H266)</x:f>
      </x:c>
    </x:row>
    <x:row r="267">
      <x:c r="A267" s="19"/>
      <x:c r="B267" s="19"/>
      <x:c r="C267" s="19"/>
      <x:c r="D267" s="19"/>
      <x:c r="E267" s="62"/>
      <x:c r="F267" s="19"/>
      <x:c r="G267" s="25"/>
      <x:c r="H267" s="25"/>
      <x:c r="I267" s="96" t="str">
        <x:f>IF($A267="","",$E267*$G267-$H267)</x:f>
      </x:c>
    </x:row>
    <x:row r="268">
      <x:c r="A268" s="19"/>
      <x:c r="B268" s="19"/>
      <x:c r="C268" s="19"/>
      <x:c r="D268" s="19"/>
      <x:c r="E268" s="62"/>
      <x:c r="F268" s="19"/>
      <x:c r="G268" s="25"/>
      <x:c r="H268" s="25"/>
      <x:c r="I268" s="96" t="str">
        <x:f>IF($A268="","",$E268*$G268-$H268)</x:f>
      </x:c>
    </x:row>
    <x:row r="269">
      <x:c r="A269" s="19"/>
      <x:c r="B269" s="19"/>
      <x:c r="C269" s="19"/>
      <x:c r="D269" s="19"/>
      <x:c r="E269" s="62"/>
      <x:c r="F269" s="19"/>
      <x:c r="G269" s="25"/>
      <x:c r="H269" s="25"/>
      <x:c r="I269" s="96" t="str">
        <x:f>IF($A269="","",$E269*$G269-$H269)</x:f>
      </x:c>
    </x:row>
    <x:row r="270">
      <x:c r="A270" s="19"/>
      <x:c r="B270" s="19"/>
      <x:c r="C270" s="19"/>
      <x:c r="D270" s="19"/>
      <x:c r="E270" s="62"/>
      <x:c r="F270" s="19"/>
      <x:c r="G270" s="25"/>
      <x:c r="H270" s="25"/>
      <x:c r="I270" s="96" t="str">
        <x:f>IF($A270="","",$E270*$G270-$H270)</x:f>
      </x:c>
    </x:row>
    <x:row r="271">
      <x:c r="A271" s="19"/>
      <x:c r="B271" s="19"/>
      <x:c r="C271" s="19"/>
      <x:c r="D271" s="19"/>
      <x:c r="E271" s="62"/>
      <x:c r="F271" s="19"/>
      <x:c r="G271" s="25"/>
      <x:c r="H271" s="25"/>
      <x:c r="I271" s="96" t="str">
        <x:f>IF($A271="","",$E271*$G271-$H271)</x:f>
      </x:c>
    </x:row>
    <x:row r="272">
      <x:c r="A272" s="19"/>
      <x:c r="B272" s="19"/>
      <x:c r="C272" s="19"/>
      <x:c r="D272" s="19"/>
      <x:c r="E272" s="62"/>
      <x:c r="F272" s="19"/>
      <x:c r="G272" s="25"/>
      <x:c r="H272" s="25"/>
      <x:c r="I272" s="96" t="str">
        <x:f>IF($A272="","",$E272*$G272-$H272)</x:f>
      </x:c>
    </x:row>
    <x:row r="273">
      <x:c r="A273" s="19"/>
      <x:c r="B273" s="19"/>
      <x:c r="C273" s="19"/>
      <x:c r="D273" s="19"/>
      <x:c r="E273" s="62"/>
      <x:c r="F273" s="19"/>
      <x:c r="G273" s="25"/>
      <x:c r="H273" s="25"/>
      <x:c r="I273" s="96" t="str">
        <x:f>IF($A273="","",$E273*$G273-$H273)</x:f>
      </x:c>
    </x:row>
    <x:row r="274">
      <x:c r="A274" s="19"/>
      <x:c r="B274" s="19"/>
      <x:c r="C274" s="19"/>
      <x:c r="D274" s="19"/>
      <x:c r="E274" s="62"/>
      <x:c r="F274" s="19"/>
      <x:c r="G274" s="25"/>
      <x:c r="H274" s="25"/>
      <x:c r="I274" s="96" t="str">
        <x:f>IF($A274="","",$E274*$G274-$H274)</x:f>
      </x:c>
    </x:row>
    <x:row r="275">
      <x:c r="A275" s="19"/>
      <x:c r="B275" s="19"/>
      <x:c r="C275" s="19"/>
      <x:c r="D275" s="19"/>
      <x:c r="E275" s="62"/>
      <x:c r="F275" s="19"/>
      <x:c r="G275" s="25"/>
      <x:c r="H275" s="25"/>
      <x:c r="I275" s="96" t="str">
        <x:f>IF($A275="","",$E275*$G275-$H275)</x:f>
      </x:c>
    </x:row>
    <x:row r="276">
      <x:c r="A276" s="19"/>
      <x:c r="B276" s="19"/>
      <x:c r="C276" s="19"/>
      <x:c r="D276" s="19"/>
      <x:c r="E276" s="62"/>
      <x:c r="F276" s="19"/>
      <x:c r="G276" s="25"/>
      <x:c r="H276" s="25"/>
      <x:c r="I276" s="96" t="str">
        <x:f>IF($A276="","",$E276*$G276-$H276)</x:f>
      </x:c>
    </x:row>
    <x:row r="277">
      <x:c r="A277" s="19"/>
      <x:c r="B277" s="19"/>
      <x:c r="C277" s="19"/>
      <x:c r="D277" s="19"/>
      <x:c r="E277" s="62"/>
      <x:c r="F277" s="19"/>
      <x:c r="G277" s="25"/>
      <x:c r="H277" s="25"/>
      <x:c r="I277" s="96" t="str">
        <x:f>IF($A277="","",$E277*$G277-$H277)</x:f>
      </x:c>
    </x:row>
    <x:row r="278">
      <x:c r="A278" s="19"/>
      <x:c r="B278" s="19"/>
      <x:c r="C278" s="19"/>
      <x:c r="D278" s="19"/>
      <x:c r="E278" s="62"/>
      <x:c r="F278" s="19"/>
      <x:c r="G278" s="25"/>
      <x:c r="H278" s="25"/>
      <x:c r="I278" s="96" t="str">
        <x:f>IF($A278="","",$E278*$G278-$H278)</x:f>
      </x:c>
    </x:row>
    <x:row r="279">
      <x:c r="A279" s="19"/>
      <x:c r="B279" s="19"/>
      <x:c r="C279" s="19"/>
      <x:c r="D279" s="19"/>
      <x:c r="E279" s="62"/>
      <x:c r="F279" s="19"/>
      <x:c r="G279" s="25"/>
      <x:c r="H279" s="25"/>
      <x:c r="I279" s="96" t="str">
        <x:f>IF($A279="","",$E279*$G279-$H279)</x:f>
      </x:c>
    </x:row>
    <x:row r="280">
      <x:c r="A280" s="19"/>
      <x:c r="B280" s="19"/>
      <x:c r="C280" s="19"/>
      <x:c r="D280" s="19"/>
      <x:c r="E280" s="62"/>
      <x:c r="F280" s="19"/>
      <x:c r="G280" s="25"/>
      <x:c r="H280" s="25"/>
      <x:c r="I280" s="96" t="str">
        <x:f>IF($A280="","",$E280*$G280-$H280)</x:f>
      </x:c>
    </x:row>
    <x:row r="281">
      <x:c r="A281" s="19"/>
      <x:c r="B281" s="19"/>
      <x:c r="C281" s="19"/>
      <x:c r="D281" s="19"/>
      <x:c r="E281" s="62"/>
      <x:c r="F281" s="19"/>
      <x:c r="G281" s="25"/>
      <x:c r="H281" s="25"/>
      <x:c r="I281" s="96" t="str">
        <x:f>IF($A281="","",$E281*$G281-$H281)</x:f>
      </x:c>
    </x:row>
    <x:row r="282">
      <x:c r="A282" s="19"/>
      <x:c r="B282" s="19"/>
      <x:c r="C282" s="19"/>
      <x:c r="D282" s="19"/>
      <x:c r="E282" s="62"/>
      <x:c r="F282" s="19"/>
      <x:c r="G282" s="25"/>
      <x:c r="H282" s="25"/>
      <x:c r="I282" s="96" t="str">
        <x:f>IF($A282="","",$E282*$G282-$H282)</x:f>
      </x:c>
    </x:row>
    <x:row r="283">
      <x:c r="A283" s="19"/>
      <x:c r="B283" s="19"/>
      <x:c r="C283" s="19"/>
      <x:c r="D283" s="19"/>
      <x:c r="E283" s="62"/>
      <x:c r="F283" s="19"/>
      <x:c r="G283" s="25"/>
      <x:c r="H283" s="25"/>
      <x:c r="I283" s="96" t="str">
        <x:f>IF($A283="","",$E283*$G283-$H283)</x:f>
      </x:c>
    </x:row>
    <x:row r="284">
      <x:c r="A284" s="19"/>
      <x:c r="B284" s="19"/>
      <x:c r="C284" s="19"/>
      <x:c r="D284" s="19"/>
      <x:c r="E284" s="62"/>
      <x:c r="F284" s="19"/>
      <x:c r="G284" s="25"/>
      <x:c r="H284" s="25"/>
      <x:c r="I284" s="96" t="str">
        <x:f>IF($A284="","",$E284*$G284-$H284)</x:f>
      </x:c>
    </x:row>
    <x:row r="285">
      <x:c r="A285" s="19"/>
      <x:c r="B285" s="19"/>
      <x:c r="C285" s="19"/>
      <x:c r="D285" s="19"/>
      <x:c r="E285" s="62"/>
      <x:c r="F285" s="19"/>
      <x:c r="G285" s="25"/>
      <x:c r="H285" s="25"/>
      <x:c r="I285" s="96" t="str">
        <x:f>IF($A285="","",$E285*$G285-$H285)</x:f>
      </x:c>
    </x:row>
    <x:row r="286">
      <x:c r="A286" s="19"/>
      <x:c r="B286" s="19"/>
      <x:c r="C286" s="19"/>
      <x:c r="D286" s="19"/>
      <x:c r="E286" s="62"/>
      <x:c r="F286" s="19"/>
      <x:c r="G286" s="25"/>
      <x:c r="H286" s="25"/>
      <x:c r="I286" s="96" t="str">
        <x:f>IF($A286="","",$E286*$G286-$H286)</x:f>
      </x:c>
    </x:row>
    <x:row r="287">
      <x:c r="A287" s="19"/>
      <x:c r="B287" s="19"/>
      <x:c r="C287" s="19"/>
      <x:c r="D287" s="19"/>
      <x:c r="E287" s="62"/>
      <x:c r="F287" s="19"/>
      <x:c r="G287" s="25"/>
      <x:c r="H287" s="25"/>
      <x:c r="I287" s="96" t="str">
        <x:f>IF($A287="","",$E287*$G287-$H287)</x:f>
      </x:c>
    </x:row>
    <x:row r="288">
      <x:c r="A288" s="19"/>
      <x:c r="B288" s="19"/>
      <x:c r="C288" s="19"/>
      <x:c r="D288" s="19"/>
      <x:c r="E288" s="62"/>
      <x:c r="F288" s="19"/>
      <x:c r="G288" s="25"/>
      <x:c r="H288" s="25"/>
      <x:c r="I288" s="96" t="str">
        <x:f>IF($A288="","",$E288*$G288-$H288)</x:f>
      </x:c>
    </x:row>
    <x:row r="289">
      <x:c r="A289" s="19"/>
      <x:c r="B289" s="19"/>
      <x:c r="C289" s="19"/>
      <x:c r="D289" s="19"/>
      <x:c r="E289" s="62"/>
      <x:c r="F289" s="19"/>
      <x:c r="G289" s="25"/>
      <x:c r="H289" s="25"/>
      <x:c r="I289" s="96" t="str">
        <x:f>IF($A289="","",$E289*$G289-$H289)</x:f>
      </x:c>
    </x:row>
    <x:row r="290">
      <x:c r="A290" s="19"/>
      <x:c r="B290" s="19"/>
      <x:c r="C290" s="19"/>
      <x:c r="D290" s="19"/>
      <x:c r="E290" s="62"/>
      <x:c r="F290" s="19"/>
      <x:c r="G290" s="25"/>
      <x:c r="H290" s="25"/>
      <x:c r="I290" s="96" t="str">
        <x:f>IF($A290="","",$E290*$G290-$H290)</x:f>
      </x:c>
    </x:row>
    <x:row r="291">
      <x:c r="A291" s="19"/>
      <x:c r="B291" s="19"/>
      <x:c r="C291" s="19"/>
      <x:c r="D291" s="19"/>
      <x:c r="E291" s="62"/>
      <x:c r="F291" s="19"/>
      <x:c r="G291" s="25"/>
      <x:c r="H291" s="25"/>
      <x:c r="I291" s="96" t="str">
        <x:f>IF($A291="","",$E291*$G291-$H291)</x:f>
      </x:c>
    </x:row>
    <x:row r="292">
      <x:c r="A292" s="19"/>
      <x:c r="B292" s="19"/>
      <x:c r="C292" s="19"/>
      <x:c r="D292" s="19"/>
      <x:c r="E292" s="62"/>
      <x:c r="F292" s="19"/>
      <x:c r="G292" s="25"/>
      <x:c r="H292" s="25"/>
      <x:c r="I292" s="96" t="str">
        <x:f>IF($A292="","",$E292*$G292-$H292)</x:f>
      </x:c>
    </x:row>
    <x:row r="293">
      <x:c r="A293" s="19"/>
      <x:c r="B293" s="19"/>
      <x:c r="C293" s="19"/>
      <x:c r="D293" s="19"/>
      <x:c r="E293" s="62"/>
      <x:c r="F293" s="19"/>
      <x:c r="G293" s="25"/>
      <x:c r="H293" s="25"/>
      <x:c r="I293" s="96" t="str">
        <x:f>IF($A293="","",$E293*$G293-$H293)</x:f>
      </x:c>
    </x:row>
    <x:row r="294">
      <x:c r="A294" s="19"/>
      <x:c r="B294" s="19"/>
      <x:c r="C294" s="19"/>
      <x:c r="D294" s="19"/>
      <x:c r="E294" s="62"/>
      <x:c r="F294" s="19"/>
      <x:c r="G294" s="25"/>
      <x:c r="H294" s="25"/>
      <x:c r="I294" s="96" t="str">
        <x:f>IF($A294="","",$E294*$G294-$H294)</x:f>
      </x:c>
    </x:row>
    <x:row r="295">
      <x:c r="A295" s="19"/>
      <x:c r="B295" s="19"/>
      <x:c r="C295" s="19"/>
      <x:c r="D295" s="19"/>
      <x:c r="E295" s="62"/>
      <x:c r="F295" s="19"/>
      <x:c r="G295" s="25"/>
      <x:c r="H295" s="25"/>
      <x:c r="I295" s="96" t="str">
        <x:f>IF($A295="","",$E295*$G295-$H295)</x:f>
      </x:c>
    </x:row>
    <x:row r="296">
      <x:c r="A296" s="19"/>
      <x:c r="B296" s="19"/>
      <x:c r="C296" s="19"/>
      <x:c r="D296" s="19"/>
      <x:c r="E296" s="62"/>
      <x:c r="F296" s="19"/>
      <x:c r="G296" s="25"/>
      <x:c r="H296" s="25"/>
      <x:c r="I296" s="96" t="str">
        <x:f>IF($A296="","",$E296*$G296-$H296)</x:f>
      </x:c>
    </x:row>
    <x:row r="297">
      <x:c r="A297" s="19"/>
      <x:c r="B297" s="19"/>
      <x:c r="C297" s="19"/>
      <x:c r="D297" s="19"/>
      <x:c r="E297" s="62"/>
      <x:c r="F297" s="19"/>
      <x:c r="G297" s="25"/>
      <x:c r="H297" s="25"/>
      <x:c r="I297" s="96" t="str">
        <x:f>IF($A297="","",$E297*$G297-$H297)</x:f>
      </x:c>
    </x:row>
    <x:row r="298">
      <x:c r="A298" s="19"/>
      <x:c r="B298" s="19"/>
      <x:c r="C298" s="19"/>
      <x:c r="D298" s="19"/>
      <x:c r="E298" s="62"/>
      <x:c r="F298" s="19"/>
      <x:c r="G298" s="25"/>
      <x:c r="H298" s="25"/>
      <x:c r="I298" s="96" t="str">
        <x:f>IF($A298="","",$E298*$G298-$H298)</x:f>
      </x:c>
    </x:row>
    <x:row r="299">
      <x:c r="A299" s="19"/>
      <x:c r="B299" s="19"/>
      <x:c r="C299" s="19"/>
      <x:c r="D299" s="19"/>
      <x:c r="E299" s="62"/>
      <x:c r="F299" s="19"/>
      <x:c r="G299" s="25"/>
      <x:c r="H299" s="25"/>
      <x:c r="I299" s="96" t="str">
        <x:f>IF($A299="","",$E299*$G299-$H299)</x:f>
      </x:c>
    </x:row>
    <x:row r="300">
      <x:c r="A300" s="19"/>
      <x:c r="B300" s="19"/>
      <x:c r="C300" s="19"/>
      <x:c r="D300" s="19"/>
      <x:c r="E300" s="62"/>
      <x:c r="F300" s="19"/>
      <x:c r="G300" s="25"/>
      <x:c r="H300" s="25"/>
      <x:c r="I300" s="96" t="str">
        <x:f>IF($A300="","",$E300*$G300-$H300)</x:f>
      </x:c>
    </x:row>
    <x:row r="301">
      <x:c r="A301" s="19"/>
      <x:c r="B301" s="19"/>
      <x:c r="C301" s="19"/>
      <x:c r="D301" s="19"/>
      <x:c r="E301" s="62"/>
      <x:c r="F301" s="19"/>
      <x:c r="G301" s="25"/>
      <x:c r="H301" s="25"/>
      <x:c r="I301" s="96" t="str">
        <x:f>IF($A301="","",$E301*$G301-$H301)</x:f>
      </x:c>
    </x:row>
    <x:row r="302">
      <x:c r="A302" s="19"/>
      <x:c r="B302" s="19"/>
      <x:c r="C302" s="19"/>
      <x:c r="D302" s="19"/>
      <x:c r="E302" s="62"/>
      <x:c r="F302" s="19"/>
      <x:c r="G302" s="25"/>
      <x:c r="H302" s="25"/>
      <x:c r="I302" s="96" t="str">
        <x:f>IF($A302="","",$E302*$G302-$H302)</x:f>
      </x:c>
    </x:row>
    <x:row r="303">
      <x:c r="A303" s="19"/>
      <x:c r="B303" s="19"/>
      <x:c r="C303" s="19"/>
      <x:c r="D303" s="19"/>
      <x:c r="E303" s="62"/>
      <x:c r="F303" s="19"/>
      <x:c r="G303" s="25"/>
      <x:c r="H303" s="25"/>
      <x:c r="I303" s="96" t="str">
        <x:f>IF($A303="","",$E303*$G303-$H303)</x:f>
      </x:c>
    </x:row>
    <x:row r="304">
      <x:c r="A304" s="19"/>
      <x:c r="B304" s="19"/>
      <x:c r="C304" s="19"/>
      <x:c r="D304" s="19"/>
      <x:c r="E304" s="62"/>
      <x:c r="F304" s="19"/>
      <x:c r="G304" s="25"/>
      <x:c r="H304" s="25"/>
      <x:c r="I304" s="96" t="str">
        <x:f>IF($A304="","",$E304*$G304-$H304)</x:f>
      </x:c>
    </x:row>
    <x:row r="305">
      <x:c r="A305" s="19"/>
      <x:c r="B305" s="19"/>
      <x:c r="C305" s="19"/>
      <x:c r="D305" s="19"/>
      <x:c r="E305" s="62"/>
      <x:c r="F305" s="19"/>
      <x:c r="G305" s="25"/>
      <x:c r="H305" s="25"/>
      <x:c r="I305" s="96" t="str">
        <x:f>IF($A305="","",$E305*$G305-$H305)</x:f>
      </x:c>
    </x:row>
    <x:row r="306">
      <x:c r="A306" s="19"/>
      <x:c r="B306" s="19"/>
      <x:c r="C306" s="19"/>
      <x:c r="D306" s="19"/>
      <x:c r="E306" s="62"/>
      <x:c r="F306" s="19"/>
      <x:c r="G306" s="25"/>
      <x:c r="H306" s="25"/>
      <x:c r="I306" s="96" t="str">
        <x:f>IF($A306="","",$E306*$G306-$H306)</x:f>
      </x:c>
    </x:row>
    <x:row r="307">
      <x:c r="A307" s="19"/>
      <x:c r="B307" s="19"/>
      <x:c r="C307" s="19"/>
      <x:c r="D307" s="19"/>
      <x:c r="E307" s="62"/>
      <x:c r="F307" s="19"/>
      <x:c r="G307" s="25"/>
      <x:c r="H307" s="25"/>
      <x:c r="I307" s="96" t="str">
        <x:f>IF($A307="","",$E307*$G307-$H307)</x:f>
      </x:c>
    </x:row>
    <x:row r="308">
      <x:c r="A308" s="19"/>
      <x:c r="B308" s="19"/>
      <x:c r="C308" s="19"/>
      <x:c r="D308" s="19"/>
      <x:c r="E308" s="62"/>
      <x:c r="F308" s="19"/>
      <x:c r="G308" s="25"/>
      <x:c r="H308" s="25"/>
      <x:c r="I308" s="96" t="str">
        <x:f>IF($A308="","",$E308*$G308-$H308)</x:f>
      </x:c>
    </x:row>
    <x:row r="309">
      <x:c r="A309" s="19"/>
      <x:c r="B309" s="19"/>
      <x:c r="C309" s="19"/>
      <x:c r="D309" s="19"/>
      <x:c r="E309" s="62"/>
      <x:c r="F309" s="19"/>
      <x:c r="G309" s="25"/>
      <x:c r="H309" s="25"/>
      <x:c r="I309" s="96" t="str">
        <x:f>IF($A309="","",$E309*$G309-$H309)</x:f>
      </x:c>
    </x:row>
    <x:row r="310">
      <x:c r="A310" s="19"/>
      <x:c r="B310" s="19"/>
      <x:c r="C310" s="19"/>
      <x:c r="D310" s="19"/>
      <x:c r="E310" s="62"/>
      <x:c r="F310" s="19"/>
      <x:c r="G310" s="25"/>
      <x:c r="H310" s="25"/>
      <x:c r="I310" s="96" t="str">
        <x:f>IF($A310="","",$E310*$G310-$H310)</x:f>
      </x:c>
    </x:row>
    <x:row r="311">
      <x:c r="A311" s="19"/>
      <x:c r="B311" s="19"/>
      <x:c r="C311" s="19"/>
      <x:c r="D311" s="19"/>
      <x:c r="E311" s="62"/>
      <x:c r="F311" s="19"/>
      <x:c r="G311" s="25"/>
      <x:c r="H311" s="25"/>
      <x:c r="I311" s="96" t="str">
        <x:f>IF($A311="","",$E311*$G311-$H311)</x:f>
      </x:c>
    </x:row>
    <x:row r="312">
      <x:c r="A312" s="19"/>
      <x:c r="B312" s="19"/>
      <x:c r="C312" s="19"/>
      <x:c r="D312" s="19"/>
      <x:c r="E312" s="62"/>
      <x:c r="F312" s="19"/>
      <x:c r="G312" s="25"/>
      <x:c r="H312" s="25"/>
      <x:c r="I312" s="96" t="str">
        <x:f>IF($A312="","",$E312*$G312-$H312)</x:f>
      </x:c>
    </x:row>
    <x:row r="313">
      <x:c r="A313" s="19"/>
      <x:c r="B313" s="19"/>
      <x:c r="C313" s="19"/>
      <x:c r="D313" s="19"/>
      <x:c r="E313" s="62"/>
      <x:c r="F313" s="19"/>
      <x:c r="G313" s="25"/>
      <x:c r="H313" s="25"/>
      <x:c r="I313" s="96" t="str">
        <x:f>IF($A313="","",$E313*$G313-$H313)</x:f>
      </x:c>
    </x:row>
    <x:row r="314">
      <x:c r="A314" s="19"/>
      <x:c r="B314" s="19"/>
      <x:c r="C314" s="19"/>
      <x:c r="D314" s="19"/>
      <x:c r="E314" s="62"/>
      <x:c r="F314" s="19"/>
      <x:c r="G314" s="25"/>
      <x:c r="H314" s="25"/>
      <x:c r="I314" s="96" t="str">
        <x:f>IF($A314="","",$E314*$G314-$H314)</x:f>
      </x:c>
    </x:row>
    <x:row r="315">
      <x:c r="A315" s="19"/>
      <x:c r="B315" s="19"/>
      <x:c r="C315" s="19"/>
      <x:c r="D315" s="19"/>
      <x:c r="E315" s="62"/>
      <x:c r="F315" s="19"/>
      <x:c r="G315" s="25"/>
      <x:c r="H315" s="25"/>
      <x:c r="I315" s="96" t="str">
        <x:f>IF($A315="","",$E315*$G315-$H315)</x:f>
      </x:c>
    </x:row>
    <x:row r="316">
      <x:c r="A316" s="19"/>
      <x:c r="B316" s="19"/>
      <x:c r="C316" s="19"/>
      <x:c r="D316" s="19"/>
      <x:c r="E316" s="62"/>
      <x:c r="F316" s="19"/>
      <x:c r="G316" s="25"/>
      <x:c r="H316" s="25"/>
      <x:c r="I316" s="96" t="str">
        <x:f>IF($A316="","",$E316*$G316-$H316)</x:f>
      </x:c>
    </x:row>
    <x:row r="317">
      <x:c r="A317" s="19"/>
      <x:c r="B317" s="19"/>
      <x:c r="C317" s="19"/>
      <x:c r="D317" s="19"/>
      <x:c r="E317" s="62"/>
      <x:c r="F317" s="19"/>
      <x:c r="G317" s="25"/>
      <x:c r="H317" s="25"/>
      <x:c r="I317" s="96" t="str">
        <x:f>IF($A317="","",$E317*$G317-$H317)</x:f>
      </x:c>
    </x:row>
    <x:row r="318">
      <x:c r="A318" s="19"/>
      <x:c r="B318" s="19"/>
      <x:c r="C318" s="19"/>
      <x:c r="D318" s="19"/>
      <x:c r="E318" s="62"/>
      <x:c r="F318" s="19"/>
      <x:c r="G318" s="25"/>
      <x:c r="H318" s="25"/>
      <x:c r="I318" s="96" t="str">
        <x:f>IF($A318="","",$E318*$G318-$H318)</x:f>
      </x:c>
    </x:row>
    <x:row r="319">
      <x:c r="A319" s="19"/>
      <x:c r="B319" s="19"/>
      <x:c r="C319" s="19"/>
      <x:c r="D319" s="19"/>
      <x:c r="E319" s="62"/>
      <x:c r="F319" s="19"/>
      <x:c r="G319" s="25"/>
      <x:c r="H319" s="25"/>
      <x:c r="I319" s="96" t="str">
        <x:f>IF($A319="","",$E319*$G319-$H319)</x:f>
      </x:c>
    </x:row>
    <x:row r="320">
      <x:c r="A320" s="19"/>
      <x:c r="B320" s="19"/>
      <x:c r="C320" s="19"/>
      <x:c r="D320" s="19"/>
      <x:c r="E320" s="62"/>
      <x:c r="F320" s="19"/>
      <x:c r="G320" s="25"/>
      <x:c r="H320" s="25"/>
      <x:c r="I320" s="96" t="str">
        <x:f>IF($A320="","",$E320*$G320-$H320)</x:f>
      </x:c>
    </x:row>
    <x:row r="321">
      <x:c r="A321" s="19"/>
      <x:c r="B321" s="19"/>
      <x:c r="C321" s="19"/>
      <x:c r="D321" s="19"/>
      <x:c r="E321" s="62"/>
      <x:c r="F321" s="19"/>
      <x:c r="G321" s="25"/>
      <x:c r="H321" s="25"/>
      <x:c r="I321" s="96" t="str">
        <x:f>IF($A321="","",$E321*$G321-$H321)</x:f>
      </x:c>
    </x:row>
    <x:row r="322">
      <x:c r="A322" s="19"/>
      <x:c r="B322" s="19"/>
      <x:c r="C322" s="19"/>
      <x:c r="D322" s="19"/>
      <x:c r="E322" s="62"/>
      <x:c r="F322" s="19"/>
      <x:c r="G322" s="25"/>
      <x:c r="H322" s="25"/>
      <x:c r="I322" s="96" t="str">
        <x:f>IF($A322="","",$E322*$G322-$H322)</x:f>
      </x:c>
    </x:row>
    <x:row r="323">
      <x:c r="A323" s="19"/>
      <x:c r="B323" s="19"/>
      <x:c r="C323" s="19"/>
      <x:c r="D323" s="19"/>
      <x:c r="E323" s="62"/>
      <x:c r="F323" s="19"/>
      <x:c r="G323" s="25"/>
      <x:c r="H323" s="25"/>
      <x:c r="I323" s="96" t="str">
        <x:f>IF($A323="","",$E323*$G323-$H323)</x:f>
      </x:c>
    </x:row>
    <x:row r="324">
      <x:c r="A324" s="19"/>
      <x:c r="B324" s="19"/>
      <x:c r="C324" s="19"/>
      <x:c r="D324" s="19"/>
      <x:c r="E324" s="62"/>
      <x:c r="F324" s="19"/>
      <x:c r="G324" s="25"/>
      <x:c r="H324" s="25"/>
      <x:c r="I324" s="96" t="str">
        <x:f>IF($A324="","",$E324*$G324-$H324)</x:f>
      </x:c>
    </x:row>
    <x:row r="325">
      <x:c r="A325" s="19"/>
      <x:c r="B325" s="19"/>
      <x:c r="C325" s="19"/>
      <x:c r="D325" s="19"/>
      <x:c r="E325" s="62"/>
      <x:c r="F325" s="19"/>
      <x:c r="G325" s="25"/>
      <x:c r="H325" s="25"/>
      <x:c r="I325" s="96" t="str">
        <x:f>IF($A325="","",$E325*$G325-$H325)</x:f>
      </x:c>
    </x:row>
    <x:row r="326">
      <x:c r="A326" s="19"/>
      <x:c r="B326" s="19"/>
      <x:c r="C326" s="19"/>
      <x:c r="D326" s="19"/>
      <x:c r="E326" s="62"/>
      <x:c r="F326" s="19"/>
      <x:c r="G326" s="25"/>
      <x:c r="H326" s="25"/>
      <x:c r="I326" s="96" t="str">
        <x:f>IF($A326="","",$E326*$G326-$H326)</x:f>
      </x:c>
    </x:row>
    <x:row r="327">
      <x:c r="A327" s="19"/>
      <x:c r="B327" s="19"/>
      <x:c r="C327" s="19"/>
      <x:c r="D327" s="19"/>
      <x:c r="E327" s="62"/>
      <x:c r="F327" s="19"/>
      <x:c r="G327" s="25"/>
      <x:c r="H327" s="25"/>
      <x:c r="I327" s="96" t="str">
        <x:f>IF($A327="","",$E327*$G327-$H327)</x:f>
      </x:c>
    </x:row>
    <x:row r="328">
      <x:c r="A328" s="19"/>
      <x:c r="B328" s="19"/>
      <x:c r="C328" s="19"/>
      <x:c r="D328" s="19"/>
      <x:c r="E328" s="62"/>
      <x:c r="F328" s="19"/>
      <x:c r="G328" s="25"/>
      <x:c r="H328" s="25"/>
      <x:c r="I328" s="96" t="str">
        <x:f>IF($A328="","",$E328*$G328-$H328)</x:f>
      </x:c>
    </x:row>
    <x:row r="329">
      <x:c r="A329" s="19"/>
      <x:c r="B329" s="19"/>
      <x:c r="C329" s="19"/>
      <x:c r="D329" s="19"/>
      <x:c r="E329" s="62"/>
      <x:c r="F329" s="19"/>
      <x:c r="G329" s="25"/>
      <x:c r="H329" s="25"/>
      <x:c r="I329" s="96" t="str">
        <x:f>IF($A329="","",$E329*$G329-$H329)</x:f>
      </x:c>
    </x:row>
    <x:row r="330">
      <x:c r="A330" s="19"/>
      <x:c r="B330" s="19"/>
      <x:c r="C330" s="19"/>
      <x:c r="D330" s="19"/>
      <x:c r="E330" s="62"/>
      <x:c r="F330" s="19"/>
      <x:c r="G330" s="25"/>
      <x:c r="H330" s="25"/>
      <x:c r="I330" s="96" t="str">
        <x:f>IF($A330="","",$E330*$G330-$H330)</x:f>
      </x:c>
    </x:row>
    <x:row r="331">
      <x:c r="A331" s="19"/>
      <x:c r="B331" s="19"/>
      <x:c r="C331" s="19"/>
      <x:c r="D331" s="19"/>
      <x:c r="E331" s="62"/>
      <x:c r="F331" s="19"/>
      <x:c r="G331" s="25"/>
      <x:c r="H331" s="25"/>
      <x:c r="I331" s="96" t="str">
        <x:f>IF($A331="","",$E331*$G331-$H331)</x:f>
      </x:c>
    </x:row>
    <x:row r="332">
      <x:c r="A332" s="19"/>
      <x:c r="B332" s="19"/>
      <x:c r="C332" s="19"/>
      <x:c r="D332" s="19"/>
      <x:c r="E332" s="62"/>
      <x:c r="F332" s="19"/>
      <x:c r="G332" s="25"/>
      <x:c r="H332" s="25"/>
      <x:c r="I332" s="96" t="str">
        <x:f>IF($A332="","",$E332*$G332-$H332)</x:f>
      </x:c>
    </x:row>
    <x:row r="333">
      <x:c r="A333" s="19"/>
      <x:c r="B333" s="19"/>
      <x:c r="C333" s="19"/>
      <x:c r="D333" s="19"/>
      <x:c r="E333" s="62"/>
      <x:c r="F333" s="19"/>
      <x:c r="G333" s="25"/>
      <x:c r="H333" s="25"/>
      <x:c r="I333" s="96" t="str">
        <x:f>IF($A333="","",$E333*$G333-$H333)</x:f>
      </x:c>
    </x:row>
    <x:row r="334">
      <x:c r="A334" s="19"/>
      <x:c r="B334" s="19"/>
      <x:c r="C334" s="19"/>
      <x:c r="D334" s="19"/>
      <x:c r="E334" s="62"/>
      <x:c r="F334" s="19"/>
      <x:c r="G334" s="25"/>
      <x:c r="H334" s="25"/>
      <x:c r="I334" s="96" t="str">
        <x:f>IF($A334="","",$E334*$G334-$H334)</x:f>
      </x:c>
    </x:row>
    <x:row r="335">
      <x:c r="A335" s="19"/>
      <x:c r="B335" s="19"/>
      <x:c r="C335" s="19"/>
      <x:c r="D335" s="19"/>
      <x:c r="E335" s="62"/>
      <x:c r="F335" s="19"/>
      <x:c r="G335" s="25"/>
      <x:c r="H335" s="25"/>
      <x:c r="I335" s="96" t="str">
        <x:f>IF($A335="","",$E335*$G335-$H335)</x:f>
      </x:c>
    </x:row>
    <x:row r="336">
      <x:c r="A336" s="19"/>
      <x:c r="B336" s="19"/>
      <x:c r="C336" s="19"/>
      <x:c r="D336" s="19"/>
      <x:c r="E336" s="62"/>
      <x:c r="F336" s="19"/>
      <x:c r="G336" s="25"/>
      <x:c r="H336" s="25"/>
      <x:c r="I336" s="96" t="str">
        <x:f>IF($A336="","",$E336*$G336-$H336)</x:f>
      </x:c>
    </x:row>
    <x:row r="337">
      <x:c r="A337" s="19"/>
      <x:c r="B337" s="19"/>
      <x:c r="C337" s="19"/>
      <x:c r="D337" s="19"/>
      <x:c r="E337" s="62"/>
      <x:c r="F337" s="19"/>
      <x:c r="G337" s="25"/>
      <x:c r="H337" s="25"/>
      <x:c r="I337" s="96" t="str">
        <x:f>IF($A337="","",$E337*$G337-$H337)</x:f>
      </x:c>
    </x:row>
    <x:row r="338">
      <x:c r="A338" s="19"/>
      <x:c r="B338" s="19"/>
      <x:c r="C338" s="19"/>
      <x:c r="D338" s="19"/>
      <x:c r="E338" s="62"/>
      <x:c r="F338" s="19"/>
      <x:c r="G338" s="25"/>
      <x:c r="H338" s="25"/>
      <x:c r="I338" s="96" t="str">
        <x:f>IF($A338="","",$E338*$G338-$H338)</x:f>
      </x:c>
    </x:row>
    <x:row r="339">
      <x:c r="A339" s="19"/>
      <x:c r="B339" s="19"/>
      <x:c r="C339" s="19"/>
      <x:c r="D339" s="19"/>
      <x:c r="E339" s="62"/>
      <x:c r="F339" s="19"/>
      <x:c r="G339" s="25"/>
      <x:c r="H339" s="25"/>
      <x:c r="I339" s="96" t="str">
        <x:f>IF($A339="","",$E339*$G339-$H339)</x:f>
      </x:c>
    </x:row>
    <x:row r="340">
      <x:c r="A340" s="19"/>
      <x:c r="B340" s="19"/>
      <x:c r="C340" s="19"/>
      <x:c r="D340" s="19"/>
      <x:c r="E340" s="62"/>
      <x:c r="F340" s="19"/>
      <x:c r="G340" s="25"/>
      <x:c r="H340" s="25"/>
      <x:c r="I340" s="96" t="str">
        <x:f>IF($A340="","",$E340*$G340-$H340)</x:f>
      </x:c>
    </x:row>
    <x:row r="341">
      <x:c r="A341" s="19"/>
      <x:c r="B341" s="19"/>
      <x:c r="C341" s="19"/>
      <x:c r="D341" s="19"/>
      <x:c r="E341" s="62"/>
      <x:c r="F341" s="19"/>
      <x:c r="G341" s="25"/>
      <x:c r="H341" s="25"/>
      <x:c r="I341" s="96" t="str">
        <x:f>IF($A341="","",$E341*$G341-$H341)</x:f>
      </x:c>
    </x:row>
    <x:row r="342">
      <x:c r="A342" s="19"/>
      <x:c r="B342" s="19"/>
      <x:c r="C342" s="19"/>
      <x:c r="D342" s="19"/>
      <x:c r="E342" s="62"/>
      <x:c r="F342" s="19"/>
      <x:c r="G342" s="25"/>
      <x:c r="H342" s="25"/>
      <x:c r="I342" s="96" t="str">
        <x:f>IF($A342="","",$E342*$G342-$H342)</x:f>
      </x:c>
    </x:row>
    <x:row r="343">
      <x:c r="A343" s="19"/>
      <x:c r="B343" s="19"/>
      <x:c r="C343" s="19"/>
      <x:c r="D343" s="19"/>
      <x:c r="E343" s="62"/>
      <x:c r="F343" s="19"/>
      <x:c r="G343" s="25"/>
      <x:c r="H343" s="25"/>
      <x:c r="I343" s="96" t="str">
        <x:f>IF($A343="","",$E343*$G343-$H343)</x:f>
      </x:c>
    </x:row>
    <x:row r="344">
      <x:c r="A344" s="19"/>
      <x:c r="B344" s="19"/>
      <x:c r="C344" s="19"/>
      <x:c r="D344" s="19"/>
      <x:c r="E344" s="62"/>
      <x:c r="F344" s="19"/>
      <x:c r="G344" s="25"/>
      <x:c r="H344" s="25"/>
      <x:c r="I344" s="96" t="str">
        <x:f>IF($A344="","",$E344*$G344-$H344)</x:f>
      </x:c>
    </x:row>
    <x:row r="345">
      <x:c r="A345" s="19"/>
      <x:c r="B345" s="19"/>
      <x:c r="C345" s="19"/>
      <x:c r="D345" s="19"/>
      <x:c r="E345" s="62"/>
      <x:c r="F345" s="19"/>
      <x:c r="G345" s="25"/>
      <x:c r="H345" s="25"/>
      <x:c r="I345" s="96" t="str">
        <x:f>IF($A345="","",$E345*$G345-$H345)</x:f>
      </x:c>
    </x:row>
    <x:row r="346">
      <x:c r="A346" s="19"/>
      <x:c r="B346" s="19"/>
      <x:c r="C346" s="19"/>
      <x:c r="D346" s="19"/>
      <x:c r="E346" s="62"/>
      <x:c r="F346" s="19"/>
      <x:c r="G346" s="25"/>
      <x:c r="H346" s="25"/>
      <x:c r="I346" s="96" t="str">
        <x:f>IF($A346="","",$E346*$G346-$H346)</x:f>
      </x:c>
    </x:row>
    <x:row r="347">
      <x:c r="A347" s="19"/>
      <x:c r="B347" s="19"/>
      <x:c r="C347" s="19"/>
      <x:c r="D347" s="19"/>
      <x:c r="E347" s="62"/>
      <x:c r="F347" s="19"/>
      <x:c r="G347" s="25"/>
      <x:c r="H347" s="25"/>
      <x:c r="I347" s="96" t="str">
        <x:f>IF($A347="","",$E347*$G347-$H347)</x:f>
      </x:c>
    </x:row>
    <x:row r="348">
      <x:c r="A348" s="19"/>
      <x:c r="B348" s="19"/>
      <x:c r="C348" s="19"/>
      <x:c r="D348" s="19"/>
      <x:c r="E348" s="62"/>
      <x:c r="F348" s="19"/>
      <x:c r="G348" s="25"/>
      <x:c r="H348" s="25"/>
      <x:c r="I348" s="96" t="str">
        <x:f>IF($A348="","",$E348*$G348-$H348)</x:f>
      </x:c>
    </x:row>
    <x:row r="349">
      <x:c r="A349" s="19"/>
      <x:c r="B349" s="19"/>
      <x:c r="C349" s="19"/>
      <x:c r="D349" s="19"/>
      <x:c r="E349" s="62"/>
      <x:c r="F349" s="19"/>
      <x:c r="G349" s="25"/>
      <x:c r="H349" s="25"/>
      <x:c r="I349" s="96" t="str">
        <x:f>IF($A349="","",$E349*$G349-$H349)</x:f>
      </x:c>
    </x:row>
    <x:row r="350">
      <x:c r="A350" s="19"/>
      <x:c r="B350" s="19"/>
      <x:c r="C350" s="19"/>
      <x:c r="D350" s="19"/>
      <x:c r="E350" s="62"/>
      <x:c r="F350" s="19"/>
      <x:c r="G350" s="25"/>
      <x:c r="H350" s="25"/>
      <x:c r="I350" s="96" t="str">
        <x:f>IF($A350="","",$E350*$G350-$H350)</x:f>
      </x:c>
    </x:row>
    <x:row r="351">
      <x:c r="A351" s="19"/>
      <x:c r="B351" s="19"/>
      <x:c r="C351" s="19"/>
      <x:c r="D351" s="19"/>
      <x:c r="E351" s="62"/>
      <x:c r="F351" s="19"/>
      <x:c r="G351" s="25"/>
      <x:c r="H351" s="25"/>
      <x:c r="I351" s="96" t="str">
        <x:f>IF($A351="","",$E351*$G351-$H351)</x:f>
      </x:c>
    </x:row>
    <x:row r="352">
      <x:c r="A352" s="19"/>
      <x:c r="B352" s="19"/>
      <x:c r="C352" s="19"/>
      <x:c r="D352" s="19"/>
      <x:c r="E352" s="62"/>
      <x:c r="F352" s="19"/>
      <x:c r="G352" s="25"/>
      <x:c r="H352" s="25"/>
      <x:c r="I352" s="96" t="str">
        <x:f>IF($A352="","",$E352*$G352-$H352)</x:f>
      </x:c>
    </x:row>
    <x:row r="353">
      <x:c r="A353" s="19"/>
      <x:c r="B353" s="19"/>
      <x:c r="C353" s="19"/>
      <x:c r="D353" s="19"/>
      <x:c r="E353" s="62"/>
      <x:c r="F353" s="19"/>
      <x:c r="G353" s="25"/>
      <x:c r="H353" s="25"/>
      <x:c r="I353" s="96" t="str">
        <x:f>IF($A353="","",$E353*$G353-$H353)</x:f>
      </x:c>
    </x:row>
    <x:row r="354">
      <x:c r="A354" s="19"/>
      <x:c r="B354" s="19"/>
      <x:c r="C354" s="19"/>
      <x:c r="D354" s="19"/>
      <x:c r="E354" s="62"/>
      <x:c r="F354" s="19"/>
      <x:c r="G354" s="25"/>
      <x:c r="H354" s="25"/>
      <x:c r="I354" s="96" t="str">
        <x:f>IF($A354="","",$E354*$G354-$H354)</x:f>
      </x:c>
    </x:row>
    <x:row r="355">
      <x:c r="A355" s="19"/>
      <x:c r="B355" s="19"/>
      <x:c r="C355" s="19"/>
      <x:c r="D355" s="19"/>
      <x:c r="E355" s="62"/>
      <x:c r="F355" s="19"/>
      <x:c r="G355" s="25"/>
      <x:c r="H355" s="25"/>
      <x:c r="I355" s="96" t="str">
        <x:f>IF($A355="","",$E355*$G355-$H355)</x:f>
      </x:c>
    </x:row>
    <x:row r="356">
      <x:c r="A356" s="19"/>
      <x:c r="B356" s="19"/>
      <x:c r="C356" s="19"/>
      <x:c r="D356" s="19"/>
      <x:c r="E356" s="62"/>
      <x:c r="F356" s="19"/>
      <x:c r="G356" s="25"/>
      <x:c r="H356" s="25"/>
      <x:c r="I356" s="96" t="str">
        <x:f>IF($A356="","",$E356*$G356-$H356)</x:f>
      </x:c>
    </x:row>
    <x:row r="357">
      <x:c r="A357" s="19"/>
      <x:c r="B357" s="19"/>
      <x:c r="C357" s="19"/>
      <x:c r="D357" s="19"/>
      <x:c r="E357" s="62"/>
      <x:c r="F357" s="19"/>
      <x:c r="G357" s="25"/>
      <x:c r="H357" s="25"/>
      <x:c r="I357" s="96" t="str">
        <x:f>IF($A357="","",$E357*$G357-$H357)</x:f>
      </x:c>
    </x:row>
    <x:row r="358">
      <x:c r="A358" s="19"/>
      <x:c r="B358" s="19"/>
      <x:c r="C358" s="19"/>
      <x:c r="D358" s="19"/>
      <x:c r="E358" s="62"/>
      <x:c r="F358" s="19"/>
      <x:c r="G358" s="25"/>
      <x:c r="H358" s="25"/>
      <x:c r="I358" s="96" t="str">
        <x:f>IF($A358="","",$E358*$G358-$H358)</x:f>
      </x:c>
    </x:row>
    <x:row r="359">
      <x:c r="A359" s="19"/>
      <x:c r="B359" s="19"/>
      <x:c r="C359" s="19"/>
      <x:c r="D359" s="19"/>
      <x:c r="E359" s="62"/>
      <x:c r="F359" s="19"/>
      <x:c r="G359" s="25"/>
      <x:c r="H359" s="25"/>
      <x:c r="I359" s="96" t="str">
        <x:f>IF($A359="","",$E359*$G359-$H359)</x:f>
      </x:c>
    </x:row>
    <x:row r="360">
      <x:c r="A360" s="19"/>
      <x:c r="B360" s="19"/>
      <x:c r="C360" s="19"/>
      <x:c r="D360" s="19"/>
      <x:c r="E360" s="62"/>
      <x:c r="F360" s="19"/>
      <x:c r="G360" s="25"/>
      <x:c r="H360" s="25"/>
      <x:c r="I360" s="96" t="str">
        <x:f>IF($A360="","",$E360*$G360-$H360)</x:f>
      </x:c>
    </x:row>
    <x:row r="361">
      <x:c r="A361" s="19"/>
      <x:c r="B361" s="19"/>
      <x:c r="C361" s="19"/>
      <x:c r="D361" s="19"/>
      <x:c r="E361" s="62"/>
      <x:c r="F361" s="19"/>
      <x:c r="G361" s="25"/>
      <x:c r="H361" s="25"/>
      <x:c r="I361" s="96" t="str">
        <x:f>IF($A361="","",$E361*$G361-$H361)</x:f>
      </x:c>
    </x:row>
    <x:row r="362">
      <x:c r="A362" s="19"/>
      <x:c r="B362" s="19"/>
      <x:c r="C362" s="19"/>
      <x:c r="D362" s="19"/>
      <x:c r="E362" s="62"/>
      <x:c r="F362" s="19"/>
      <x:c r="G362" s="25"/>
      <x:c r="H362" s="25"/>
      <x:c r="I362" s="96" t="str">
        <x:f>IF($A362="","",$E362*$G362-$H362)</x:f>
      </x:c>
    </x:row>
    <x:row r="363">
      <x:c r="A363" s="19"/>
      <x:c r="B363" s="19"/>
      <x:c r="C363" s="19"/>
      <x:c r="D363" s="19"/>
      <x:c r="E363" s="62"/>
      <x:c r="F363" s="19"/>
      <x:c r="G363" s="25"/>
      <x:c r="H363" s="25"/>
      <x:c r="I363" s="96" t="str">
        <x:f>IF($A363="","",$E363*$G363-$H363)</x:f>
      </x:c>
    </x:row>
    <x:row r="364">
      <x:c r="A364" s="19"/>
      <x:c r="B364" s="19"/>
      <x:c r="C364" s="19"/>
      <x:c r="D364" s="19"/>
      <x:c r="E364" s="62"/>
      <x:c r="F364" s="19"/>
      <x:c r="G364" s="25"/>
      <x:c r="H364" s="25"/>
      <x:c r="I364" s="96" t="str">
        <x:f>IF($A364="","",$E364*$G364-$H364)</x:f>
      </x:c>
    </x:row>
    <x:row r="365">
      <x:c r="A365" s="19"/>
      <x:c r="B365" s="19"/>
      <x:c r="C365" s="19"/>
      <x:c r="D365" s="19"/>
      <x:c r="E365" s="62"/>
      <x:c r="F365" s="19"/>
      <x:c r="G365" s="25"/>
      <x:c r="H365" s="25"/>
      <x:c r="I365" s="96" t="str">
        <x:f>IF($A365="","",$E365*$G365-$H365)</x:f>
      </x:c>
    </x:row>
    <x:row r="366">
      <x:c r="A366" s="19"/>
      <x:c r="B366" s="19"/>
      <x:c r="C366" s="19"/>
      <x:c r="D366" s="19"/>
      <x:c r="E366" s="62"/>
      <x:c r="F366" s="19"/>
      <x:c r="G366" s="25"/>
      <x:c r="H366" s="25"/>
      <x:c r="I366" s="96" t="str">
        <x:f>IF($A366="","",$E366*$G366-$H366)</x:f>
      </x:c>
    </x:row>
    <x:row r="367">
      <x:c r="A367" s="19"/>
      <x:c r="B367" s="19"/>
      <x:c r="C367" s="19"/>
      <x:c r="D367" s="19"/>
      <x:c r="E367" s="62"/>
      <x:c r="F367" s="19"/>
      <x:c r="G367" s="25"/>
      <x:c r="H367" s="25"/>
      <x:c r="I367" s="96" t="str">
        <x:f>IF($A367="","",$E367*$G367-$H367)</x:f>
      </x:c>
    </x:row>
    <x:row r="368">
      <x:c r="A368" s="19"/>
      <x:c r="B368" s="19"/>
      <x:c r="C368" s="19"/>
      <x:c r="D368" s="19"/>
      <x:c r="E368" s="62"/>
      <x:c r="F368" s="19"/>
      <x:c r="G368" s="25"/>
      <x:c r="H368" s="25"/>
      <x:c r="I368" s="96" t="str">
        <x:f>IF($A368="","",$E368*$G368-$H368)</x:f>
      </x:c>
    </x:row>
    <x:row r="369">
      <x:c r="A369" s="19"/>
      <x:c r="B369" s="19"/>
      <x:c r="C369" s="19"/>
      <x:c r="D369" s="19"/>
      <x:c r="E369" s="62"/>
      <x:c r="F369" s="19"/>
      <x:c r="G369" s="25"/>
      <x:c r="H369" s="25"/>
      <x:c r="I369" s="96" t="str">
        <x:f>IF($A369="","",$E369*$G369-$H369)</x:f>
      </x:c>
    </x:row>
    <x:row r="370">
      <x:c r="A370" s="19"/>
      <x:c r="B370" s="19"/>
      <x:c r="C370" s="19"/>
      <x:c r="D370" s="19"/>
      <x:c r="E370" s="62"/>
      <x:c r="F370" s="19"/>
      <x:c r="G370" s="25"/>
      <x:c r="H370" s="25"/>
      <x:c r="I370" s="96" t="str">
        <x:f>IF($A370="","",$E370*$G370-$H370)</x:f>
      </x:c>
    </x:row>
    <x:row r="371">
      <x:c r="A371" s="19"/>
      <x:c r="B371" s="19"/>
      <x:c r="C371" s="19"/>
      <x:c r="D371" s="19"/>
      <x:c r="E371" s="62"/>
      <x:c r="F371" s="19"/>
      <x:c r="G371" s="25"/>
      <x:c r="H371" s="25"/>
      <x:c r="I371" s="96" t="str">
        <x:f>IF($A371="","",$E371*$G371-$H371)</x:f>
      </x:c>
    </x:row>
    <x:row r="372">
      <x:c r="A372" s="19"/>
      <x:c r="B372" s="19"/>
      <x:c r="C372" s="19"/>
      <x:c r="D372" s="19"/>
      <x:c r="E372" s="62"/>
      <x:c r="F372" s="19"/>
      <x:c r="G372" s="25"/>
      <x:c r="H372" s="25"/>
      <x:c r="I372" s="96" t="str">
        <x:f>IF($A372="","",$E372*$G372-$H372)</x:f>
      </x:c>
    </x:row>
    <x:row r="373">
      <x:c r="A373" s="19"/>
      <x:c r="B373" s="19"/>
      <x:c r="C373" s="19"/>
      <x:c r="D373" s="19"/>
      <x:c r="E373" s="62"/>
      <x:c r="F373" s="19"/>
      <x:c r="G373" s="25"/>
      <x:c r="H373" s="25"/>
      <x:c r="I373" s="96" t="str">
        <x:f>IF($A373="","",$E373*$G373-$H373)</x:f>
      </x:c>
    </x:row>
    <x:row r="374">
      <x:c r="A374" s="19"/>
      <x:c r="B374" s="19"/>
      <x:c r="C374" s="19"/>
      <x:c r="D374" s="19"/>
      <x:c r="E374" s="62"/>
      <x:c r="F374" s="19"/>
      <x:c r="G374" s="25"/>
      <x:c r="H374" s="25"/>
      <x:c r="I374" s="96" t="str">
        <x:f>IF($A374="","",$E374*$G374-$H374)</x:f>
      </x:c>
    </x:row>
    <x:row r="375">
      <x:c r="A375" s="19"/>
      <x:c r="B375" s="19"/>
      <x:c r="C375" s="19"/>
      <x:c r="D375" s="19"/>
      <x:c r="E375" s="62"/>
      <x:c r="F375" s="19"/>
      <x:c r="G375" s="25"/>
      <x:c r="H375" s="25"/>
      <x:c r="I375" s="96" t="str">
        <x:f>IF($A375="","",$E375*$G375-$H375)</x:f>
      </x:c>
    </x:row>
    <x:row r="376">
      <x:c r="A376" s="19"/>
      <x:c r="B376" s="19"/>
      <x:c r="C376" s="19"/>
      <x:c r="D376" s="19"/>
      <x:c r="E376" s="62"/>
      <x:c r="F376" s="19"/>
      <x:c r="G376" s="25"/>
      <x:c r="H376" s="25"/>
      <x:c r="I376" s="96" t="str">
        <x:f>IF($A376="","",$E376*$G376-$H376)</x:f>
      </x:c>
    </x:row>
    <x:row r="377">
      <x:c r="A377" s="19"/>
      <x:c r="B377" s="19"/>
      <x:c r="C377" s="19"/>
      <x:c r="D377" s="19"/>
      <x:c r="E377" s="62"/>
      <x:c r="F377" s="19"/>
      <x:c r="G377" s="25"/>
      <x:c r="H377" s="25"/>
      <x:c r="I377" s="96" t="str">
        <x:f>IF($A377="","",$E377*$G377-$H377)</x:f>
      </x:c>
    </x:row>
    <x:row r="378">
      <x:c r="A378" s="19"/>
      <x:c r="B378" s="19"/>
      <x:c r="C378" s="19"/>
      <x:c r="D378" s="19"/>
      <x:c r="E378" s="62"/>
      <x:c r="F378" s="19"/>
      <x:c r="G378" s="25"/>
      <x:c r="H378" s="25"/>
      <x:c r="I378" s="96" t="str">
        <x:f>IF($A378="","",$E378*$G378-$H378)</x:f>
      </x:c>
    </x:row>
    <x:row r="379">
      <x:c r="A379" s="19"/>
      <x:c r="B379" s="19"/>
      <x:c r="C379" s="19"/>
      <x:c r="D379" s="19"/>
      <x:c r="E379" s="62"/>
      <x:c r="F379" s="19"/>
      <x:c r="G379" s="25"/>
      <x:c r="H379" s="25"/>
      <x:c r="I379" s="96" t="str">
        <x:f>IF($A379="","",$E379*$G379-$H379)</x:f>
      </x:c>
    </x:row>
    <x:row r="380">
      <x:c r="A380" s="19"/>
      <x:c r="B380" s="19"/>
      <x:c r="C380" s="19"/>
      <x:c r="D380" s="19"/>
      <x:c r="E380" s="62"/>
      <x:c r="F380" s="19"/>
      <x:c r="G380" s="25"/>
      <x:c r="H380" s="25"/>
      <x:c r="I380" s="96" t="str">
        <x:f>IF($A380="","",$E380*$G380-$H380)</x:f>
      </x:c>
    </x:row>
    <x:row r="381">
      <x:c r="A381" s="19"/>
      <x:c r="B381" s="19"/>
      <x:c r="C381" s="19"/>
      <x:c r="D381" s="19"/>
      <x:c r="E381" s="62"/>
      <x:c r="F381" s="19"/>
      <x:c r="G381" s="25"/>
      <x:c r="H381" s="25"/>
      <x:c r="I381" s="96" t="str">
        <x:f>IF($A381="","",$E381*$G381-$H381)</x:f>
      </x:c>
    </x:row>
    <x:row r="382">
      <x:c r="A382" s="19"/>
      <x:c r="B382" s="19"/>
      <x:c r="C382" s="19"/>
      <x:c r="D382" s="19"/>
      <x:c r="E382" s="62"/>
      <x:c r="F382" s="19"/>
      <x:c r="G382" s="25"/>
      <x:c r="H382" s="25"/>
      <x:c r="I382" s="96" t="str">
        <x:f>IF($A382="","",$E382*$G382-$H382)</x:f>
      </x:c>
    </x:row>
    <x:row r="383">
      <x:c r="A383" s="19"/>
      <x:c r="B383" s="19"/>
      <x:c r="C383" s="19"/>
      <x:c r="D383" s="19"/>
      <x:c r="E383" s="62"/>
      <x:c r="F383" s="19"/>
      <x:c r="G383" s="25"/>
      <x:c r="H383" s="25"/>
      <x:c r="I383" s="96" t="str">
        <x:f>IF($A383="","",$E383*$G383-$H383)</x:f>
      </x:c>
    </x:row>
    <x:row r="384">
      <x:c r="A384" s="19"/>
      <x:c r="B384" s="19"/>
      <x:c r="C384" s="19"/>
      <x:c r="D384" s="19"/>
      <x:c r="E384" s="62"/>
      <x:c r="F384" s="19"/>
      <x:c r="G384" s="25"/>
      <x:c r="H384" s="25"/>
      <x:c r="I384" s="96" t="str">
        <x:f>IF($A384="","",$E384*$G384-$H384)</x:f>
      </x:c>
    </x:row>
    <x:row r="385">
      <x:c r="A385" s="19"/>
      <x:c r="B385" s="19"/>
      <x:c r="C385" s="19"/>
      <x:c r="D385" s="19"/>
      <x:c r="E385" s="62"/>
      <x:c r="F385" s="19"/>
      <x:c r="G385" s="25"/>
      <x:c r="H385" s="25"/>
      <x:c r="I385" s="96" t="str">
        <x:f>IF($A385="","",$E385*$G385-$H385)</x:f>
      </x:c>
    </x:row>
    <x:row r="386">
      <x:c r="A386" s="19"/>
      <x:c r="B386" s="19"/>
      <x:c r="C386" s="19"/>
      <x:c r="D386" s="19"/>
      <x:c r="E386" s="62"/>
      <x:c r="F386" s="19"/>
      <x:c r="G386" s="25"/>
      <x:c r="H386" s="25"/>
      <x:c r="I386" s="96" t="str">
        <x:f>IF($A386="","",$E386*$G386-$H386)</x:f>
      </x:c>
    </x:row>
    <x:row r="387">
      <x:c r="A387" s="19"/>
      <x:c r="B387" s="19"/>
      <x:c r="C387" s="19"/>
      <x:c r="D387" s="19"/>
      <x:c r="E387" s="62"/>
      <x:c r="F387" s="19"/>
      <x:c r="G387" s="25"/>
      <x:c r="H387" s="25"/>
      <x:c r="I387" s="96" t="str">
        <x:f>IF($A387="","",$E387*$G387-$H387)</x:f>
      </x:c>
    </x:row>
    <x:row r="388">
      <x:c r="A388" s="19"/>
      <x:c r="B388" s="19"/>
      <x:c r="C388" s="19"/>
      <x:c r="D388" s="19"/>
      <x:c r="E388" s="62"/>
      <x:c r="F388" s="19"/>
      <x:c r="G388" s="25"/>
      <x:c r="H388" s="25"/>
      <x:c r="I388" s="96" t="str">
        <x:f>IF($A388="","",$E388*$G388-$H388)</x:f>
      </x:c>
    </x:row>
    <x:row r="389">
      <x:c r="A389" s="19"/>
      <x:c r="B389" s="19"/>
      <x:c r="C389" s="19"/>
      <x:c r="D389" s="19"/>
      <x:c r="E389" s="62"/>
      <x:c r="F389" s="19"/>
      <x:c r="G389" s="25"/>
      <x:c r="H389" s="25"/>
      <x:c r="I389" s="96" t="str">
        <x:f>IF($A389="","",$E389*$G389-$H389)</x:f>
      </x:c>
    </x:row>
    <x:row r="390">
      <x:c r="A390" s="19"/>
      <x:c r="B390" s="19"/>
      <x:c r="C390" s="19"/>
      <x:c r="D390" s="19"/>
      <x:c r="E390" s="62"/>
      <x:c r="F390" s="19"/>
      <x:c r="G390" s="25"/>
      <x:c r="H390" s="25"/>
      <x:c r="I390" s="96" t="str">
        <x:f>IF($A390="","",$E390*$G390-$H390)</x:f>
      </x:c>
    </x:row>
    <x:row r="391">
      <x:c r="A391" s="19"/>
      <x:c r="B391" s="19"/>
      <x:c r="C391" s="19"/>
      <x:c r="D391" s="19"/>
      <x:c r="E391" s="62"/>
      <x:c r="F391" s="19"/>
      <x:c r="G391" s="25"/>
      <x:c r="H391" s="25"/>
      <x:c r="I391" s="96" t="str">
        <x:f>IF($A391="","",$E391*$G391-$H391)</x:f>
      </x:c>
    </x:row>
    <x:row r="392">
      <x:c r="A392" s="19"/>
      <x:c r="B392" s="19"/>
      <x:c r="C392" s="19"/>
      <x:c r="D392" s="19"/>
      <x:c r="E392" s="62"/>
      <x:c r="F392" s="19"/>
      <x:c r="G392" s="25"/>
      <x:c r="H392" s="25"/>
      <x:c r="I392" s="96" t="str">
        <x:f>IF($A392="","",$E392*$G392-$H392)</x:f>
      </x:c>
    </x:row>
    <x:row r="393">
      <x:c r="A393" s="19"/>
      <x:c r="B393" s="19"/>
      <x:c r="C393" s="19"/>
      <x:c r="D393" s="19"/>
      <x:c r="E393" s="62"/>
      <x:c r="F393" s="19"/>
      <x:c r="G393" s="25"/>
      <x:c r="H393" s="25"/>
      <x:c r="I393" s="96" t="str">
        <x:f>IF($A393="","",$E393*$G393-$H393)</x:f>
      </x:c>
    </x:row>
    <x:row r="394">
      <x:c r="A394" s="19"/>
      <x:c r="B394" s="19"/>
      <x:c r="C394" s="19"/>
      <x:c r="D394" s="19"/>
      <x:c r="E394" s="62"/>
      <x:c r="F394" s="19"/>
      <x:c r="G394" s="25"/>
      <x:c r="H394" s="25"/>
      <x:c r="I394" s="96" t="str">
        <x:f>IF($A394="","",$E394*$G394-$H394)</x:f>
      </x:c>
    </x:row>
    <x:row r="395">
      <x:c r="A395" s="19"/>
      <x:c r="B395" s="19"/>
      <x:c r="C395" s="19"/>
      <x:c r="D395" s="19"/>
      <x:c r="E395" s="62"/>
      <x:c r="F395" s="19"/>
      <x:c r="G395" s="25"/>
      <x:c r="H395" s="25"/>
      <x:c r="I395" s="96" t="str">
        <x:f>IF($A395="","",$E395*$G395-$H395)</x:f>
      </x:c>
    </x:row>
    <x:row r="396">
      <x:c r="A396" s="19"/>
      <x:c r="B396" s="19"/>
      <x:c r="C396" s="19"/>
      <x:c r="D396" s="19"/>
      <x:c r="E396" s="62"/>
      <x:c r="F396" s="19"/>
      <x:c r="G396" s="25"/>
      <x:c r="H396" s="25"/>
      <x:c r="I396" s="96" t="str">
        <x:f>IF($A396="","",$E396*$G396-$H396)</x:f>
      </x:c>
    </x:row>
    <x:row r="397">
      <x:c r="A397" s="19"/>
      <x:c r="B397" s="19"/>
      <x:c r="C397" s="19"/>
      <x:c r="D397" s="19"/>
      <x:c r="E397" s="62"/>
      <x:c r="F397" s="19"/>
      <x:c r="G397" s="25"/>
      <x:c r="H397" s="25"/>
      <x:c r="I397" s="96" t="str">
        <x:f>IF($A397="","",$E397*$G397-$H397)</x:f>
      </x:c>
    </x:row>
    <x:row r="398">
      <x:c r="A398" s="19"/>
      <x:c r="B398" s="19"/>
      <x:c r="C398" s="19"/>
      <x:c r="D398" s="19"/>
      <x:c r="E398" s="62"/>
      <x:c r="F398" s="19"/>
      <x:c r="G398" s="25"/>
      <x:c r="H398" s="25"/>
      <x:c r="I398" s="96" t="str">
        <x:f>IF($A398="","",$E398*$G398-$H398)</x:f>
      </x:c>
    </x:row>
    <x:row r="399">
      <x:c r="A399" s="19"/>
      <x:c r="B399" s="19"/>
      <x:c r="C399" s="19"/>
      <x:c r="D399" s="19"/>
      <x:c r="E399" s="62"/>
      <x:c r="F399" s="19"/>
      <x:c r="G399" s="25"/>
      <x:c r="H399" s="25"/>
      <x:c r="I399" s="96" t="str">
        <x:f>IF($A399="","",$E399*$G399-$H399)</x:f>
      </x:c>
    </x:row>
    <x:row r="400">
      <x:c r="A400" s="19"/>
      <x:c r="B400" s="19"/>
      <x:c r="C400" s="19"/>
      <x:c r="D400" s="19"/>
      <x:c r="E400" s="62"/>
      <x:c r="F400" s="19"/>
      <x:c r="G400" s="25"/>
      <x:c r="H400" s="25"/>
      <x:c r="I400" s="96" t="str">
        <x:f>IF($A400="","",$E400*$G400-$H400)</x:f>
      </x:c>
    </x:row>
    <x:row r="401">
      <x:c r="A401" s="19"/>
      <x:c r="B401" s="19"/>
      <x:c r="C401" s="19"/>
      <x:c r="D401" s="19"/>
      <x:c r="E401" s="62"/>
      <x:c r="F401" s="19"/>
      <x:c r="G401" s="25"/>
      <x:c r="H401" s="25"/>
      <x:c r="I401" s="96" t="str">
        <x:f>IF($A401="","",$E401*$G401-$H401)</x:f>
      </x:c>
    </x:row>
    <x:row r="402">
      <x:c r="A402" s="19"/>
      <x:c r="B402" s="19"/>
      <x:c r="C402" s="19"/>
      <x:c r="D402" s="19"/>
      <x:c r="E402" s="62"/>
      <x:c r="F402" s="19"/>
      <x:c r="G402" s="25"/>
      <x:c r="H402" s="25"/>
      <x:c r="I402" s="96" t="str">
        <x:f>IF($A402="","",$E402*$G402-$H402)</x:f>
      </x:c>
    </x:row>
    <x:row r="403">
      <x:c r="A403" s="19"/>
      <x:c r="B403" s="19"/>
      <x:c r="C403" s="19"/>
      <x:c r="D403" s="19"/>
      <x:c r="E403" s="62"/>
      <x:c r="F403" s="19"/>
      <x:c r="G403" s="25"/>
      <x:c r="H403" s="25"/>
      <x:c r="I403" s="96" t="str">
        <x:f>IF($A403="","",$E403*$G403-$H403)</x:f>
      </x:c>
    </x:row>
    <x:row r="404">
      <x:c r="A404" s="19"/>
      <x:c r="B404" s="19"/>
      <x:c r="C404" s="19"/>
      <x:c r="D404" s="19"/>
      <x:c r="E404" s="62"/>
      <x:c r="F404" s="19"/>
      <x:c r="G404" s="25"/>
      <x:c r="H404" s="25"/>
      <x:c r="I404" s="96" t="str">
        <x:f>IF($A404="","",$E404*$G404-$H404)</x:f>
      </x:c>
    </x:row>
    <x:row r="405">
      <x:c r="A405" s="19"/>
      <x:c r="B405" s="19"/>
      <x:c r="C405" s="19"/>
      <x:c r="D405" s="19"/>
      <x:c r="E405" s="62"/>
      <x:c r="F405" s="19"/>
      <x:c r="G405" s="25"/>
      <x:c r="H405" s="25"/>
      <x:c r="I405" s="96" t="str">
        <x:f>IF($A405="","",$E405*$G405-$H405)</x:f>
      </x:c>
    </x:row>
    <x:row r="406">
      <x:c r="A406" s="19"/>
      <x:c r="B406" s="19"/>
      <x:c r="C406" s="19"/>
      <x:c r="D406" s="19"/>
      <x:c r="E406" s="62"/>
      <x:c r="F406" s="19"/>
      <x:c r="G406" s="25"/>
      <x:c r="H406" s="25"/>
      <x:c r="I406" s="96" t="str">
        <x:f>IF($A406="","",$E406*$G406-$H406)</x:f>
      </x:c>
    </x:row>
    <x:row r="407">
      <x:c r="A407" s="19"/>
      <x:c r="B407" s="19"/>
      <x:c r="C407" s="19"/>
      <x:c r="D407" s="19"/>
      <x:c r="E407" s="62"/>
      <x:c r="F407" s="19"/>
      <x:c r="G407" s="25"/>
      <x:c r="H407" s="25"/>
      <x:c r="I407" s="96" t="str">
        <x:f>IF($A407="","",$E407*$G407-$H407)</x:f>
      </x:c>
    </x:row>
    <x:row r="408">
      <x:c r="A408" s="19"/>
      <x:c r="B408" s="19"/>
      <x:c r="C408" s="19"/>
      <x:c r="D408" s="19"/>
      <x:c r="E408" s="62"/>
      <x:c r="F408" s="19"/>
      <x:c r="G408" s="25"/>
      <x:c r="H408" s="25"/>
      <x:c r="I408" s="96" t="str">
        <x:f>IF($A408="","",$E408*$G408-$H408)</x:f>
      </x:c>
    </x:row>
    <x:row r="409">
      <x:c r="A409" s="19"/>
      <x:c r="B409" s="19"/>
      <x:c r="C409" s="19"/>
      <x:c r="D409" s="19"/>
      <x:c r="E409" s="62"/>
      <x:c r="F409" s="19"/>
      <x:c r="G409" s="25"/>
      <x:c r="H409" s="25"/>
      <x:c r="I409" s="96" t="str">
        <x:f>IF($A409="","",$E409*$G409-$H409)</x:f>
      </x:c>
    </x:row>
    <x:row r="410">
      <x:c r="A410" s="19"/>
      <x:c r="B410" s="19"/>
      <x:c r="C410" s="19"/>
      <x:c r="D410" s="19"/>
      <x:c r="E410" s="62"/>
      <x:c r="F410" s="19"/>
      <x:c r="G410" s="25"/>
      <x:c r="H410" s="25"/>
      <x:c r="I410" s="96" t="str">
        <x:f>IF($A410="","",$E410*$G410-$H410)</x:f>
      </x:c>
    </x:row>
    <x:row r="411">
      <x:c r="A411" s="19"/>
      <x:c r="B411" s="19"/>
      <x:c r="C411" s="19"/>
      <x:c r="D411" s="19"/>
      <x:c r="E411" s="62"/>
      <x:c r="F411" s="19"/>
      <x:c r="G411" s="25"/>
      <x:c r="H411" s="25"/>
      <x:c r="I411" s="96" t="str">
        <x:f>IF($A411="","",$E411*$G411-$H411)</x:f>
      </x:c>
    </x:row>
    <x:row r="412">
      <x:c r="A412" s="19"/>
      <x:c r="B412" s="19"/>
      <x:c r="C412" s="19"/>
      <x:c r="D412" s="19"/>
      <x:c r="E412" s="62"/>
      <x:c r="F412" s="19"/>
      <x:c r="G412" s="25"/>
      <x:c r="H412" s="25"/>
      <x:c r="I412" s="96" t="str">
        <x:f>IF($A412="","",$E412*$G412-$H412)</x:f>
      </x:c>
    </x:row>
    <x:row r="413">
      <x:c r="A413" s="19"/>
      <x:c r="B413" s="19"/>
      <x:c r="C413" s="19"/>
      <x:c r="D413" s="19"/>
      <x:c r="E413" s="62"/>
      <x:c r="F413" s="19"/>
      <x:c r="G413" s="25"/>
      <x:c r="H413" s="25"/>
      <x:c r="I413" s="96" t="str">
        <x:f>IF($A413="","",$E413*$G413-$H413)</x:f>
      </x:c>
    </x:row>
    <x:row r="414">
      <x:c r="A414" s="19"/>
      <x:c r="B414" s="19"/>
      <x:c r="C414" s="19"/>
      <x:c r="D414" s="19"/>
      <x:c r="E414" s="62"/>
      <x:c r="F414" s="19"/>
      <x:c r="G414" s="25"/>
      <x:c r="H414" s="25"/>
      <x:c r="I414" s="96" t="str">
        <x:f>IF($A414="","",$E414*$G414-$H414)</x:f>
      </x:c>
    </x:row>
    <x:row r="415">
      <x:c r="A415" s="19"/>
      <x:c r="B415" s="19"/>
      <x:c r="C415" s="19"/>
      <x:c r="D415" s="19"/>
      <x:c r="E415" s="62"/>
      <x:c r="F415" s="19"/>
      <x:c r="G415" s="25"/>
      <x:c r="H415" s="25"/>
      <x:c r="I415" s="96" t="str">
        <x:f>IF($A415="","",$E415*$G415-$H415)</x:f>
      </x:c>
    </x:row>
    <x:row r="416">
      <x:c r="A416" s="19"/>
      <x:c r="B416" s="19"/>
      <x:c r="C416" s="19"/>
      <x:c r="D416" s="19"/>
      <x:c r="E416" s="62"/>
      <x:c r="F416" s="19"/>
      <x:c r="G416" s="25"/>
      <x:c r="H416" s="25"/>
      <x:c r="I416" s="96" t="str">
        <x:f>IF($A416="","",$E416*$G416-$H416)</x:f>
      </x:c>
    </x:row>
    <x:row r="417">
      <x:c r="A417" s="19"/>
      <x:c r="B417" s="19"/>
      <x:c r="C417" s="19"/>
      <x:c r="D417" s="19"/>
      <x:c r="E417" s="62"/>
      <x:c r="F417" s="19"/>
      <x:c r="G417" s="25"/>
      <x:c r="H417" s="25"/>
      <x:c r="I417" s="96" t="str">
        <x:f>IF($A417="","",$E417*$G417-$H417)</x:f>
      </x:c>
    </x:row>
    <x:row r="418">
      <x:c r="A418" s="19"/>
      <x:c r="B418" s="19"/>
      <x:c r="C418" s="19"/>
      <x:c r="D418" s="19"/>
      <x:c r="E418" s="62"/>
      <x:c r="F418" s="19"/>
      <x:c r="G418" s="25"/>
      <x:c r="H418" s="25"/>
      <x:c r="I418" s="96" t="str">
        <x:f>IF($A418="","",$E418*$G418-$H418)</x:f>
      </x:c>
    </x:row>
    <x:row r="419">
      <x:c r="A419" s="19"/>
      <x:c r="B419" s="19"/>
      <x:c r="C419" s="19"/>
      <x:c r="D419" s="19"/>
      <x:c r="E419" s="62"/>
      <x:c r="F419" s="19"/>
      <x:c r="G419" s="25"/>
      <x:c r="H419" s="25"/>
      <x:c r="I419" s="96" t="str">
        <x:f>IF($A419="","",$E419*$G419-$H419)</x:f>
      </x:c>
    </x:row>
    <x:row r="420">
      <x:c r="A420" s="19"/>
      <x:c r="B420" s="19"/>
      <x:c r="C420" s="19"/>
      <x:c r="D420" s="19"/>
      <x:c r="E420" s="62"/>
      <x:c r="F420" s="19"/>
      <x:c r="G420" s="25"/>
      <x:c r="H420" s="25"/>
      <x:c r="I420" s="96" t="str">
        <x:f>IF($A420="","",$E420*$G420-$H420)</x:f>
      </x:c>
    </x:row>
    <x:row r="421">
      <x:c r="A421" s="19"/>
      <x:c r="B421" s="19"/>
      <x:c r="C421" s="19"/>
      <x:c r="D421" s="19"/>
      <x:c r="E421" s="62"/>
      <x:c r="F421" s="19"/>
      <x:c r="G421" s="25"/>
      <x:c r="H421" s="25"/>
      <x:c r="I421" s="96" t="str">
        <x:f>IF($A421="","",$E421*$G421-$H421)</x:f>
      </x:c>
    </x:row>
    <x:row r="422">
      <x:c r="A422" s="19"/>
      <x:c r="B422" s="19"/>
      <x:c r="C422" s="19"/>
      <x:c r="D422" s="19"/>
      <x:c r="E422" s="62"/>
      <x:c r="F422" s="19"/>
      <x:c r="G422" s="25"/>
      <x:c r="H422" s="25"/>
      <x:c r="I422" s="96" t="str">
        <x:f>IF($A422="","",$E422*$G422-$H422)</x:f>
      </x:c>
    </x:row>
    <x:row r="423">
      <x:c r="A423" s="19"/>
      <x:c r="B423" s="19"/>
      <x:c r="C423" s="19"/>
      <x:c r="D423" s="19"/>
      <x:c r="E423" s="62"/>
      <x:c r="F423" s="19"/>
      <x:c r="G423" s="25"/>
      <x:c r="H423" s="25"/>
      <x:c r="I423" s="96" t="str">
        <x:f>IF($A423="","",$E423*$G423-$H423)</x:f>
      </x:c>
    </x:row>
    <x:row r="424">
      <x:c r="A424" s="19"/>
      <x:c r="B424" s="19"/>
      <x:c r="C424" s="19"/>
      <x:c r="D424" s="19"/>
      <x:c r="E424" s="62"/>
      <x:c r="F424" s="19"/>
      <x:c r="G424" s="25"/>
      <x:c r="H424" s="25"/>
      <x:c r="I424" s="96" t="str">
        <x:f>IF($A424="","",$E424*$G424-$H424)</x:f>
      </x:c>
    </x:row>
    <x:row r="425">
      <x:c r="A425" s="19"/>
      <x:c r="B425" s="19"/>
      <x:c r="C425" s="19"/>
      <x:c r="D425" s="19"/>
      <x:c r="E425" s="62"/>
      <x:c r="F425" s="19"/>
      <x:c r="G425" s="25"/>
      <x:c r="H425" s="25"/>
      <x:c r="I425" s="96" t="str">
        <x:f>IF($A425="","",$E425*$G425-$H425)</x:f>
      </x:c>
    </x:row>
    <x:row r="426">
      <x:c r="A426" s="19"/>
      <x:c r="B426" s="19"/>
      <x:c r="C426" s="19"/>
      <x:c r="D426" s="19"/>
      <x:c r="E426" s="62"/>
      <x:c r="F426" s="19"/>
      <x:c r="G426" s="25"/>
      <x:c r="H426" s="25"/>
      <x:c r="I426" s="96" t="str">
        <x:f>IF($A426="","",$E426*$G426-$H426)</x:f>
      </x:c>
    </x:row>
    <x:row r="427">
      <x:c r="A427" s="19"/>
      <x:c r="B427" s="19"/>
      <x:c r="C427" s="19"/>
      <x:c r="D427" s="19"/>
      <x:c r="E427" s="62"/>
      <x:c r="F427" s="19"/>
      <x:c r="G427" s="25"/>
      <x:c r="H427" s="25"/>
      <x:c r="I427" s="96" t="str">
        <x:f>IF($A427="","",$E427*$G427-$H427)</x:f>
      </x:c>
    </x:row>
    <x:row r="428">
      <x:c r="A428" s="19"/>
      <x:c r="B428" s="19"/>
      <x:c r="C428" s="19"/>
      <x:c r="D428" s="19"/>
      <x:c r="E428" s="62"/>
      <x:c r="F428" s="19"/>
      <x:c r="G428" s="25"/>
      <x:c r="H428" s="25"/>
      <x:c r="I428" s="96" t="str">
        <x:f>IF($A428="","",$E428*$G428-$H428)</x:f>
      </x:c>
    </x:row>
    <x:row r="429">
      <x:c r="A429" s="19"/>
      <x:c r="B429" s="19"/>
      <x:c r="C429" s="19"/>
      <x:c r="D429" s="19"/>
      <x:c r="E429" s="62"/>
      <x:c r="F429" s="19"/>
      <x:c r="G429" s="25"/>
      <x:c r="H429" s="25"/>
      <x:c r="I429" s="96" t="str">
        <x:f>IF($A429="","",$E429*$G429-$H429)</x:f>
      </x:c>
    </x:row>
    <x:row r="430">
      <x:c r="A430" s="19"/>
      <x:c r="B430" s="19"/>
      <x:c r="C430" s="19"/>
      <x:c r="D430" s="19"/>
      <x:c r="E430" s="62"/>
      <x:c r="F430" s="19"/>
      <x:c r="G430" s="25"/>
      <x:c r="H430" s="25"/>
      <x:c r="I430" s="96" t="str">
        <x:f>IF($A430="","",$E430*$G430-$H430)</x:f>
      </x:c>
    </x:row>
    <x:row r="431">
      <x:c r="A431" s="19"/>
      <x:c r="B431" s="19"/>
      <x:c r="C431" s="19"/>
      <x:c r="D431" s="19"/>
      <x:c r="E431" s="62"/>
      <x:c r="F431" s="19"/>
      <x:c r="G431" s="25"/>
      <x:c r="H431" s="25"/>
      <x:c r="I431" s="96" t="str">
        <x:f>IF($A431="","",$E431*$G431-$H431)</x:f>
      </x:c>
    </x:row>
    <x:row r="432">
      <x:c r="A432" s="19"/>
      <x:c r="B432" s="19"/>
      <x:c r="C432" s="19"/>
      <x:c r="D432" s="19"/>
      <x:c r="E432" s="62"/>
      <x:c r="F432" s="19"/>
      <x:c r="G432" s="25"/>
      <x:c r="H432" s="25"/>
      <x:c r="I432" s="96" t="str">
        <x:f>IF($A432="","",$E432*$G432-$H432)</x:f>
      </x:c>
    </x:row>
    <x:row r="433">
      <x:c r="A433" s="19"/>
      <x:c r="B433" s="19"/>
      <x:c r="C433" s="19"/>
      <x:c r="D433" s="19"/>
      <x:c r="E433" s="62"/>
      <x:c r="F433" s="19"/>
      <x:c r="G433" s="25"/>
      <x:c r="H433" s="25"/>
      <x:c r="I433" s="96" t="str">
        <x:f>IF($A433="","",$E433*$G433-$H433)</x:f>
      </x:c>
    </x:row>
    <x:row r="434">
      <x:c r="A434" s="19"/>
      <x:c r="B434" s="19"/>
      <x:c r="C434" s="19"/>
      <x:c r="D434" s="19"/>
      <x:c r="E434" s="62"/>
      <x:c r="F434" s="19"/>
      <x:c r="G434" s="25"/>
      <x:c r="H434" s="25"/>
      <x:c r="I434" s="96" t="str">
        <x:f>IF($A434="","",$E434*$G434-$H434)</x:f>
      </x:c>
    </x:row>
    <x:row r="435">
      <x:c r="A435" s="19"/>
      <x:c r="B435" s="19"/>
      <x:c r="C435" s="19"/>
      <x:c r="D435" s="19"/>
      <x:c r="E435" s="62"/>
      <x:c r="F435" s="19"/>
      <x:c r="G435" s="25"/>
      <x:c r="H435" s="25"/>
      <x:c r="I435" s="96" t="str">
        <x:f>IF($A435="","",$E435*$G435-$H435)</x:f>
      </x:c>
    </x:row>
    <x:row r="436">
      <x:c r="A436" s="19"/>
      <x:c r="B436" s="19"/>
      <x:c r="C436" s="19"/>
      <x:c r="D436" s="19"/>
      <x:c r="E436" s="62"/>
      <x:c r="F436" s="19"/>
      <x:c r="G436" s="25"/>
      <x:c r="H436" s="25"/>
      <x:c r="I436" s="96" t="str">
        <x:f>IF($A436="","",$E436*$G436-$H436)</x:f>
      </x:c>
    </x:row>
    <x:row r="437">
      <x:c r="A437" s="19"/>
      <x:c r="B437" s="19"/>
      <x:c r="C437" s="19"/>
      <x:c r="D437" s="19"/>
      <x:c r="E437" s="62"/>
      <x:c r="F437" s="19"/>
      <x:c r="G437" s="25"/>
      <x:c r="H437" s="25"/>
      <x:c r="I437" s="96" t="str">
        <x:f>IF($A437="","",$E437*$G437-$H437)</x:f>
      </x:c>
    </x:row>
    <x:row r="438">
      <x:c r="A438" s="19"/>
      <x:c r="B438" s="19"/>
      <x:c r="C438" s="19"/>
      <x:c r="D438" s="19"/>
      <x:c r="E438" s="62"/>
      <x:c r="F438" s="19"/>
      <x:c r="G438" s="25"/>
      <x:c r="H438" s="25"/>
      <x:c r="I438" s="96" t="str">
        <x:f>IF($A438="","",$E438*$G438-$H438)</x:f>
      </x:c>
    </x:row>
    <x:row r="439">
      <x:c r="A439" s="19"/>
      <x:c r="B439" s="19"/>
      <x:c r="C439" s="19"/>
      <x:c r="D439" s="19"/>
      <x:c r="E439" s="62"/>
      <x:c r="F439" s="19"/>
      <x:c r="G439" s="25"/>
      <x:c r="H439" s="25"/>
      <x:c r="I439" s="96" t="str">
        <x:f>IF($A439="","",$E439*$G439-$H439)</x:f>
      </x:c>
    </x:row>
    <x:row r="440">
      <x:c r="A440" s="19"/>
      <x:c r="B440" s="19"/>
      <x:c r="C440" s="19"/>
      <x:c r="D440" s="19"/>
      <x:c r="E440" s="62"/>
      <x:c r="F440" s="19"/>
      <x:c r="G440" s="25"/>
      <x:c r="H440" s="25"/>
      <x:c r="I440" s="96" t="str">
        <x:f>IF($A440="","",$E440*$G440-$H440)</x:f>
      </x:c>
    </x:row>
    <x:row r="441">
      <x:c r="A441" s="19"/>
      <x:c r="B441" s="19"/>
      <x:c r="C441" s="19"/>
      <x:c r="D441" s="19"/>
      <x:c r="E441" s="62"/>
      <x:c r="F441" s="19"/>
      <x:c r="G441" s="25"/>
      <x:c r="H441" s="25"/>
      <x:c r="I441" s="96" t="str">
        <x:f>IF($A441="","",$E441*$G441-$H441)</x:f>
      </x:c>
    </x:row>
    <x:row r="442">
      <x:c r="A442" s="19"/>
      <x:c r="B442" s="19"/>
      <x:c r="C442" s="19"/>
      <x:c r="D442" s="19"/>
      <x:c r="E442" s="62"/>
      <x:c r="F442" s="19"/>
      <x:c r="G442" s="25"/>
      <x:c r="H442" s="25"/>
      <x:c r="I442" s="96" t="str">
        <x:f>IF($A442="","",$E442*$G442-$H442)</x:f>
      </x:c>
    </x:row>
    <x:row r="443">
      <x:c r="A443" s="19"/>
      <x:c r="B443" s="19"/>
      <x:c r="C443" s="19"/>
      <x:c r="D443" s="19"/>
      <x:c r="E443" s="62"/>
      <x:c r="F443" s="19"/>
      <x:c r="G443" s="25"/>
      <x:c r="H443" s="25"/>
      <x:c r="I443" s="96" t="str">
        <x:f>IF($A443="","",$E443*$G443-$H443)</x:f>
      </x:c>
    </x:row>
    <x:row r="444">
      <x:c r="A444" s="19"/>
      <x:c r="B444" s="19"/>
      <x:c r="C444" s="19"/>
      <x:c r="D444" s="19"/>
      <x:c r="E444" s="62"/>
      <x:c r="F444" s="19"/>
      <x:c r="G444" s="25"/>
      <x:c r="H444" s="25"/>
      <x:c r="I444" s="96" t="str">
        <x:f>IF($A444="","",$E444*$G444-$H444)</x:f>
      </x:c>
    </x:row>
    <x:row r="445">
      <x:c r="A445" s="19"/>
      <x:c r="B445" s="19"/>
      <x:c r="C445" s="19"/>
      <x:c r="D445" s="19"/>
      <x:c r="E445" s="62"/>
      <x:c r="F445" s="19"/>
      <x:c r="G445" s="25"/>
      <x:c r="H445" s="25"/>
      <x:c r="I445" s="96" t="str">
        <x:f>IF($A445="","",$E445*$G445-$H445)</x:f>
      </x:c>
    </x:row>
    <x:row r="446">
      <x:c r="A446" s="19"/>
      <x:c r="B446" s="19"/>
      <x:c r="C446" s="19"/>
      <x:c r="D446" s="19"/>
      <x:c r="E446" s="62"/>
      <x:c r="F446" s="19"/>
      <x:c r="G446" s="25"/>
      <x:c r="H446" s="25"/>
      <x:c r="I446" s="96" t="str">
        <x:f>IF($A446="","",$E446*$G446-$H446)</x:f>
      </x:c>
    </x:row>
    <x:row r="447">
      <x:c r="A447" s="19"/>
      <x:c r="B447" s="19"/>
      <x:c r="C447" s="19"/>
      <x:c r="D447" s="19"/>
      <x:c r="E447" s="62"/>
      <x:c r="F447" s="19"/>
      <x:c r="G447" s="25"/>
      <x:c r="H447" s="25"/>
      <x:c r="I447" s="96" t="str">
        <x:f>IF($A447="","",$E447*$G447-$H447)</x:f>
      </x:c>
    </x:row>
    <x:row r="448">
      <x:c r="A448" s="19"/>
      <x:c r="B448" s="19"/>
      <x:c r="C448" s="19"/>
      <x:c r="D448" s="19"/>
      <x:c r="E448" s="62"/>
      <x:c r="F448" s="19"/>
      <x:c r="G448" s="25"/>
      <x:c r="H448" s="25"/>
      <x:c r="I448" s="96" t="str">
        <x:f>IF($A448="","",$E448*$G448-$H448)</x:f>
      </x:c>
    </x:row>
    <x:row r="449">
      <x:c r="A449" s="19"/>
      <x:c r="B449" s="19"/>
      <x:c r="C449" s="19"/>
      <x:c r="D449" s="19"/>
      <x:c r="E449" s="62"/>
      <x:c r="F449" s="19"/>
      <x:c r="G449" s="25"/>
      <x:c r="H449" s="25"/>
      <x:c r="I449" s="96" t="str">
        <x:f>IF($A449="","",$E449*$G449-$H449)</x:f>
      </x:c>
    </x:row>
    <x:row r="450">
      <x:c r="A450" s="19"/>
      <x:c r="B450" s="19"/>
      <x:c r="C450" s="19"/>
      <x:c r="D450" s="19"/>
      <x:c r="E450" s="62"/>
      <x:c r="F450" s="19"/>
      <x:c r="G450" s="25"/>
      <x:c r="H450" s="25"/>
      <x:c r="I450" s="96" t="str">
        <x:f>IF($A450="","",$E450*$G450-$H450)</x:f>
      </x:c>
    </x:row>
    <x:row r="451">
      <x:c r="A451" s="19"/>
      <x:c r="B451" s="19"/>
      <x:c r="C451" s="19"/>
      <x:c r="D451" s="19"/>
      <x:c r="E451" s="62"/>
      <x:c r="F451" s="19"/>
      <x:c r="G451" s="25"/>
      <x:c r="H451" s="25"/>
      <x:c r="I451" s="96" t="str">
        <x:f>IF($A451="","",$E451*$G451-$H451)</x:f>
      </x:c>
    </x:row>
    <x:row r="452">
      <x:c r="A452" s="19"/>
      <x:c r="B452" s="19"/>
      <x:c r="C452" s="19"/>
      <x:c r="D452" s="19"/>
      <x:c r="E452" s="62"/>
      <x:c r="F452" s="19"/>
      <x:c r="G452" s="25"/>
      <x:c r="H452" s="25"/>
      <x:c r="I452" s="96" t="str">
        <x:f>IF($A452="","",$E452*$G452-$H452)</x:f>
      </x:c>
    </x:row>
    <x:row r="453">
      <x:c r="A453" s="19"/>
      <x:c r="B453" s="19"/>
      <x:c r="C453" s="19"/>
      <x:c r="D453" s="19"/>
      <x:c r="E453" s="62"/>
      <x:c r="F453" s="19"/>
      <x:c r="G453" s="25"/>
      <x:c r="H453" s="25"/>
      <x:c r="I453" s="96" t="str">
        <x:f>IF($A453="","",$E453*$G453-$H453)</x:f>
      </x:c>
    </x:row>
    <x:row r="454">
      <x:c r="A454" s="19"/>
      <x:c r="B454" s="19"/>
      <x:c r="C454" s="19"/>
      <x:c r="D454" s="19"/>
      <x:c r="E454" s="62"/>
      <x:c r="F454" s="19"/>
      <x:c r="G454" s="25"/>
      <x:c r="H454" s="25"/>
      <x:c r="I454" s="96" t="str">
        <x:f>IF($A454="","",$E454*$G454-$H454)</x:f>
      </x:c>
    </x:row>
    <x:row r="455">
      <x:c r="A455" s="19"/>
      <x:c r="B455" s="19"/>
      <x:c r="C455" s="19"/>
      <x:c r="D455" s="19"/>
      <x:c r="E455" s="62"/>
      <x:c r="F455" s="19"/>
      <x:c r="G455" s="25"/>
      <x:c r="H455" s="25"/>
      <x:c r="I455" s="96" t="str">
        <x:f>IF($A455="","",$E455*$G455-$H455)</x:f>
      </x:c>
    </x:row>
    <x:row r="456">
      <x:c r="A456" s="19"/>
      <x:c r="B456" s="19"/>
      <x:c r="C456" s="19"/>
      <x:c r="D456" s="19"/>
      <x:c r="E456" s="62"/>
      <x:c r="F456" s="19"/>
      <x:c r="G456" s="25"/>
      <x:c r="H456" s="25"/>
      <x:c r="I456" s="96" t="str">
        <x:f>IF($A456="","",$E456*$G456-$H456)</x:f>
      </x:c>
    </x:row>
    <x:row r="457">
      <x:c r="A457" s="19"/>
      <x:c r="B457" s="19"/>
      <x:c r="C457" s="19"/>
      <x:c r="D457" s="19"/>
      <x:c r="E457" s="62"/>
      <x:c r="F457" s="19"/>
      <x:c r="G457" s="25"/>
      <x:c r="H457" s="25"/>
      <x:c r="I457" s="96" t="str">
        <x:f>IF($A457="","",$E457*$G457-$H457)</x:f>
      </x:c>
    </x:row>
    <x:row r="458">
      <x:c r="A458" s="19"/>
      <x:c r="B458" s="19"/>
      <x:c r="C458" s="19"/>
      <x:c r="D458" s="19"/>
      <x:c r="E458" s="62"/>
      <x:c r="F458" s="19"/>
      <x:c r="G458" s="25"/>
      <x:c r="H458" s="25"/>
      <x:c r="I458" s="96" t="str">
        <x:f>IF($A458="","",$E458*$G458-$H458)</x:f>
      </x:c>
    </x:row>
    <x:row r="459">
      <x:c r="A459" s="19"/>
      <x:c r="B459" s="19"/>
      <x:c r="C459" s="19"/>
      <x:c r="D459" s="19"/>
      <x:c r="E459" s="62"/>
      <x:c r="F459" s="19"/>
      <x:c r="G459" s="25"/>
      <x:c r="H459" s="25"/>
      <x:c r="I459" s="96" t="str">
        <x:f>IF($A459="","",$E459*$G459-$H459)</x:f>
      </x:c>
    </x:row>
    <x:row r="460">
      <x:c r="A460" s="19"/>
      <x:c r="B460" s="19"/>
      <x:c r="C460" s="19"/>
      <x:c r="D460" s="19"/>
      <x:c r="E460" s="62"/>
      <x:c r="F460" s="19"/>
      <x:c r="G460" s="25"/>
      <x:c r="H460" s="25"/>
      <x:c r="I460" s="96" t="str">
        <x:f>IF($A460="","",$E460*$G460-$H460)</x:f>
      </x:c>
    </x:row>
    <x:row r="461">
      <x:c r="A461" s="19"/>
      <x:c r="B461" s="19"/>
      <x:c r="C461" s="19"/>
      <x:c r="D461" s="19"/>
      <x:c r="E461" s="62"/>
      <x:c r="F461" s="19"/>
      <x:c r="G461" s="25"/>
      <x:c r="H461" s="25"/>
      <x:c r="I461" s="96" t="str">
        <x:f>IF($A461="","",$E461*$G461-$H461)</x:f>
      </x:c>
    </x:row>
    <x:row r="462">
      <x:c r="A462" s="19"/>
      <x:c r="B462" s="19"/>
      <x:c r="C462" s="19"/>
      <x:c r="D462" s="19"/>
      <x:c r="E462" s="62"/>
      <x:c r="F462" s="19"/>
      <x:c r="G462" s="25"/>
      <x:c r="H462" s="25"/>
      <x:c r="I462" s="96" t="str">
        <x:f>IF($A462="","",$E462*$G462-$H462)</x:f>
      </x:c>
    </x:row>
    <x:row r="463">
      <x:c r="A463" s="19"/>
      <x:c r="B463" s="19"/>
      <x:c r="C463" s="19"/>
      <x:c r="D463" s="19"/>
      <x:c r="E463" s="62"/>
      <x:c r="F463" s="19"/>
      <x:c r="G463" s="25"/>
      <x:c r="H463" s="25"/>
      <x:c r="I463" s="96" t="str">
        <x:f>IF($A463="","",$E463*$G463-$H463)</x:f>
      </x:c>
    </x:row>
    <x:row r="464">
      <x:c r="A464" s="19"/>
      <x:c r="B464" s="19"/>
      <x:c r="C464" s="19"/>
      <x:c r="D464" s="19"/>
      <x:c r="E464" s="62"/>
      <x:c r="F464" s="19"/>
      <x:c r="G464" s="25"/>
      <x:c r="H464" s="25"/>
      <x:c r="I464" s="96" t="str">
        <x:f>IF($A464="","",$E464*$G464-$H464)</x:f>
      </x:c>
    </x:row>
    <x:row r="465">
      <x:c r="A465" s="19"/>
      <x:c r="B465" s="19"/>
      <x:c r="C465" s="19"/>
      <x:c r="D465" s="19"/>
      <x:c r="E465" s="62"/>
      <x:c r="F465" s="19"/>
      <x:c r="G465" s="25"/>
      <x:c r="H465" s="25"/>
      <x:c r="I465" s="96" t="str">
        <x:f>IF($A465="","",$E465*$G465-$H465)</x:f>
      </x:c>
    </x:row>
    <x:row r="466">
      <x:c r="A466" s="19"/>
      <x:c r="B466" s="19"/>
      <x:c r="C466" s="19"/>
      <x:c r="D466" s="19"/>
      <x:c r="E466" s="62"/>
      <x:c r="F466" s="19"/>
      <x:c r="G466" s="25"/>
      <x:c r="H466" s="25"/>
      <x:c r="I466" s="96" t="str">
        <x:f>IF($A466="","",$E466*$G466-$H466)</x:f>
      </x:c>
    </x:row>
    <x:row r="467">
      <x:c r="A467" s="19"/>
      <x:c r="B467" s="19"/>
      <x:c r="C467" s="19"/>
      <x:c r="D467" s="19"/>
      <x:c r="E467" s="62"/>
      <x:c r="F467" s="19"/>
      <x:c r="G467" s="25"/>
      <x:c r="H467" s="25"/>
      <x:c r="I467" s="96" t="str">
        <x:f>IF($A467="","",$E467*$G467-$H467)</x:f>
      </x:c>
    </x:row>
    <x:row r="468">
      <x:c r="A468" s="19"/>
      <x:c r="B468" s="19"/>
      <x:c r="C468" s="19"/>
      <x:c r="D468" s="19"/>
      <x:c r="E468" s="62"/>
      <x:c r="F468" s="19"/>
      <x:c r="G468" s="25"/>
      <x:c r="H468" s="25"/>
      <x:c r="I468" s="96" t="str">
        <x:f>IF($A468="","",$E468*$G468-$H468)</x:f>
      </x:c>
    </x:row>
    <x:row r="469">
      <x:c r="A469" s="19"/>
      <x:c r="B469" s="19"/>
      <x:c r="C469" s="19"/>
      <x:c r="D469" s="19"/>
      <x:c r="E469" s="62"/>
      <x:c r="F469" s="19"/>
      <x:c r="G469" s="25"/>
      <x:c r="H469" s="25"/>
      <x:c r="I469" s="96" t="str">
        <x:f>IF($A469="","",$E469*$G469-$H469)</x:f>
      </x:c>
    </x:row>
    <x:row r="470">
      <x:c r="A470" s="19"/>
      <x:c r="B470" s="19"/>
      <x:c r="C470" s="19"/>
      <x:c r="D470" s="19"/>
      <x:c r="E470" s="62"/>
      <x:c r="F470" s="19"/>
      <x:c r="G470" s="25"/>
      <x:c r="H470" s="25"/>
      <x:c r="I470" s="96" t="str">
        <x:f>IF($A470="","",$E470*$G470-$H470)</x:f>
      </x:c>
    </x:row>
    <x:row r="471">
      <x:c r="A471" s="19"/>
      <x:c r="B471" s="19"/>
      <x:c r="C471" s="19"/>
      <x:c r="D471" s="19"/>
      <x:c r="E471" s="62"/>
      <x:c r="F471" s="19"/>
      <x:c r="G471" s="25"/>
      <x:c r="H471" s="25"/>
      <x:c r="I471" s="96" t="str">
        <x:f>IF($A471="","",$E471*$G471-$H471)</x:f>
      </x:c>
    </x:row>
    <x:row r="472">
      <x:c r="A472" s="19"/>
      <x:c r="B472" s="19"/>
      <x:c r="C472" s="19"/>
      <x:c r="D472" s="19"/>
      <x:c r="E472" s="62"/>
      <x:c r="F472" s="19"/>
      <x:c r="G472" s="25"/>
      <x:c r="H472" s="25"/>
      <x:c r="I472" s="96" t="str">
        <x:f>IF($A472="","",$E472*$G472-$H472)</x:f>
      </x:c>
    </x:row>
    <x:row r="473">
      <x:c r="A473" s="19"/>
      <x:c r="B473" s="19"/>
      <x:c r="C473" s="19"/>
      <x:c r="D473" s="19"/>
      <x:c r="E473" s="62"/>
      <x:c r="F473" s="19"/>
      <x:c r="G473" s="25"/>
      <x:c r="H473" s="25"/>
      <x:c r="I473" s="96" t="str">
        <x:f>IF($A473="","",$E473*$G473-$H473)</x:f>
      </x:c>
    </x:row>
    <x:row r="474">
      <x:c r="A474" s="19"/>
      <x:c r="B474" s="19"/>
      <x:c r="C474" s="19"/>
      <x:c r="D474" s="19"/>
      <x:c r="E474" s="62"/>
      <x:c r="F474" s="19"/>
      <x:c r="G474" s="25"/>
      <x:c r="H474" s="25"/>
      <x:c r="I474" s="96" t="str">
        <x:f>IF($A474="","",$E474*$G474-$H474)</x:f>
      </x:c>
    </x:row>
    <x:row r="475">
      <x:c r="A475" s="19"/>
      <x:c r="B475" s="19"/>
      <x:c r="C475" s="19"/>
      <x:c r="D475" s="19"/>
      <x:c r="E475" s="62"/>
      <x:c r="F475" s="19"/>
      <x:c r="G475" s="25"/>
      <x:c r="H475" s="25"/>
      <x:c r="I475" s="96" t="str">
        <x:f>IF($A475="","",$E475*$G475-$H475)</x:f>
      </x:c>
    </x:row>
    <x:row r="476">
      <x:c r="A476" s="19"/>
      <x:c r="B476" s="19"/>
      <x:c r="C476" s="19"/>
      <x:c r="D476" s="19"/>
      <x:c r="E476" s="62"/>
      <x:c r="F476" s="19"/>
      <x:c r="G476" s="25"/>
      <x:c r="H476" s="25"/>
      <x:c r="I476" s="96" t="str">
        <x:f>IF($A476="","",$E476*$G476-$H476)</x:f>
      </x:c>
    </x:row>
    <x:row r="477">
      <x:c r="A477" s="19"/>
      <x:c r="B477" s="19"/>
      <x:c r="C477" s="19"/>
      <x:c r="D477" s="19"/>
      <x:c r="E477" s="62"/>
      <x:c r="F477" s="19"/>
      <x:c r="G477" s="25"/>
      <x:c r="H477" s="25"/>
      <x:c r="I477" s="96" t="str">
        <x:f>IF($A477="","",$E477*$G477-$H477)</x:f>
      </x:c>
    </x:row>
    <x:row r="478">
      <x:c r="A478" s="19"/>
      <x:c r="B478" s="19"/>
      <x:c r="C478" s="19"/>
      <x:c r="D478" s="19"/>
      <x:c r="E478" s="62"/>
      <x:c r="F478" s="19"/>
      <x:c r="G478" s="25"/>
      <x:c r="H478" s="25"/>
      <x:c r="I478" s="96" t="str">
        <x:f>IF($A478="","",$E478*$G478-$H478)</x:f>
      </x:c>
    </x:row>
    <x:row r="479">
      <x:c r="A479" s="19"/>
      <x:c r="B479" s="19"/>
      <x:c r="C479" s="19"/>
      <x:c r="D479" s="19"/>
      <x:c r="E479" s="62"/>
      <x:c r="F479" s="19"/>
      <x:c r="G479" s="25"/>
      <x:c r="H479" s="25"/>
      <x:c r="I479" s="96" t="str">
        <x:f>IF($A479="","",$E479*$G479-$H479)</x:f>
      </x:c>
    </x:row>
    <x:row r="480">
      <x:c r="A480" s="19"/>
      <x:c r="B480" s="19"/>
      <x:c r="C480" s="19"/>
      <x:c r="D480" s="19"/>
      <x:c r="E480" s="62"/>
      <x:c r="F480" s="19"/>
      <x:c r="G480" s="25"/>
      <x:c r="H480" s="25"/>
      <x:c r="I480" s="96" t="str">
        <x:f>IF($A480="","",$E480*$G480-$H480)</x:f>
      </x:c>
    </x:row>
    <x:row r="481">
      <x:c r="A481" s="19"/>
      <x:c r="B481" s="19"/>
      <x:c r="C481" s="19"/>
      <x:c r="D481" s="19"/>
      <x:c r="E481" s="62"/>
      <x:c r="F481" s="19"/>
      <x:c r="G481" s="25"/>
      <x:c r="H481" s="25"/>
      <x:c r="I481" s="96" t="str">
        <x:f>IF($A481="","",$E481*$G481-$H481)</x:f>
      </x:c>
    </x:row>
    <x:row r="482">
      <x:c r="A482" s="19"/>
      <x:c r="B482" s="19"/>
      <x:c r="C482" s="19"/>
      <x:c r="D482" s="19"/>
      <x:c r="E482" s="62"/>
      <x:c r="F482" s="19"/>
      <x:c r="G482" s="25"/>
      <x:c r="H482" s="25"/>
      <x:c r="I482" s="96" t="str">
        <x:f>IF($A482="","",$E482*$G482-$H482)</x:f>
      </x:c>
    </x:row>
    <x:row r="483">
      <x:c r="A483" s="19"/>
      <x:c r="B483" s="19"/>
      <x:c r="C483" s="19"/>
      <x:c r="D483" s="19"/>
      <x:c r="E483" s="62"/>
      <x:c r="F483" s="19"/>
      <x:c r="G483" s="25"/>
      <x:c r="H483" s="25"/>
      <x:c r="I483" s="96" t="str">
        <x:f>IF($A483="","",$E483*$G483-$H483)</x:f>
      </x:c>
    </x:row>
    <x:row r="484">
      <x:c r="A484" s="19"/>
      <x:c r="B484" s="19"/>
      <x:c r="C484" s="19"/>
      <x:c r="D484" s="19"/>
      <x:c r="E484" s="62"/>
      <x:c r="F484" s="19"/>
      <x:c r="G484" s="25"/>
      <x:c r="H484" s="25"/>
      <x:c r="I484" s="96" t="str">
        <x:f>IF($A484="","",$E484*$G484-$H484)</x:f>
      </x:c>
    </x:row>
    <x:row r="485">
      <x:c r="A485" s="19"/>
      <x:c r="B485" s="19"/>
      <x:c r="C485" s="19"/>
      <x:c r="D485" s="19"/>
      <x:c r="E485" s="62"/>
      <x:c r="F485" s="19"/>
      <x:c r="G485" s="25"/>
      <x:c r="H485" s="25"/>
      <x:c r="I485" s="96" t="str">
        <x:f>IF($A485="","",$E485*$G485-$H485)</x:f>
      </x:c>
    </x:row>
    <x:row r="486">
      <x:c r="A486" s="19"/>
      <x:c r="B486" s="19"/>
      <x:c r="C486" s="19"/>
      <x:c r="D486" s="19"/>
      <x:c r="E486" s="62"/>
      <x:c r="F486" s="19"/>
      <x:c r="G486" s="25"/>
      <x:c r="H486" s="25"/>
      <x:c r="I486" s="96" t="str">
        <x:f>IF($A486="","",$E486*$G486-$H486)</x:f>
      </x:c>
    </x:row>
    <x:row r="487">
      <x:c r="A487" s="19"/>
      <x:c r="B487" s="19"/>
      <x:c r="C487" s="19"/>
      <x:c r="D487" s="19"/>
      <x:c r="E487" s="62"/>
      <x:c r="F487" s="19"/>
      <x:c r="G487" s="25"/>
      <x:c r="H487" s="25"/>
      <x:c r="I487" s="96" t="str">
        <x:f>IF($A487="","",$E487*$G487-$H487)</x:f>
      </x:c>
    </x:row>
    <x:row r="488">
      <x:c r="A488" s="19"/>
      <x:c r="B488" s="19"/>
      <x:c r="C488" s="19"/>
      <x:c r="D488" s="19"/>
      <x:c r="E488" s="62"/>
      <x:c r="F488" s="19"/>
      <x:c r="G488" s="25"/>
      <x:c r="H488" s="25"/>
      <x:c r="I488" s="96" t="str">
        <x:f>IF($A488="","",$E488*$G488-$H488)</x:f>
      </x:c>
    </x:row>
    <x:row r="489">
      <x:c r="A489" s="19"/>
      <x:c r="B489" s="19"/>
      <x:c r="C489" s="19"/>
      <x:c r="D489" s="19"/>
      <x:c r="E489" s="62"/>
      <x:c r="F489" s="19"/>
      <x:c r="G489" s="25"/>
      <x:c r="H489" s="25"/>
      <x:c r="I489" s="96" t="str">
        <x:f>IF($A489="","",$E489*$G489-$H489)</x:f>
      </x:c>
    </x:row>
    <x:row r="490">
      <x:c r="A490" s="19"/>
      <x:c r="B490" s="19"/>
      <x:c r="C490" s="19"/>
      <x:c r="D490" s="19"/>
      <x:c r="E490" s="62"/>
      <x:c r="F490" s="19"/>
      <x:c r="G490" s="25"/>
      <x:c r="H490" s="25"/>
      <x:c r="I490" s="96" t="str">
        <x:f>IF($A490="","",$E490*$G490-$H490)</x:f>
      </x:c>
    </x:row>
    <x:row r="491">
      <x:c r="A491" s="19"/>
      <x:c r="B491" s="19"/>
      <x:c r="C491" s="19"/>
      <x:c r="D491" s="19"/>
      <x:c r="E491" s="62"/>
      <x:c r="F491" s="19"/>
      <x:c r="G491" s="25"/>
      <x:c r="H491" s="25"/>
      <x:c r="I491" s="96" t="str">
        <x:f>IF($A491="","",$E491*$G491-$H491)</x:f>
      </x:c>
    </x:row>
    <x:row r="492">
      <x:c r="A492" s="19"/>
      <x:c r="B492" s="19"/>
      <x:c r="C492" s="19"/>
      <x:c r="D492" s="19"/>
      <x:c r="E492" s="62"/>
      <x:c r="F492" s="19"/>
      <x:c r="G492" s="25"/>
      <x:c r="H492" s="25"/>
      <x:c r="I492" s="96" t="str">
        <x:f>IF($A492="","",$E492*$G492-$H492)</x:f>
      </x:c>
    </x:row>
    <x:row r="493">
      <x:c r="A493" s="19"/>
      <x:c r="B493" s="19"/>
      <x:c r="C493" s="19"/>
      <x:c r="D493" s="19"/>
      <x:c r="E493" s="62"/>
      <x:c r="F493" s="19"/>
      <x:c r="G493" s="25"/>
      <x:c r="H493" s="25"/>
      <x:c r="I493" s="96" t="str">
        <x:f>IF($A493="","",$E493*$G493-$H493)</x:f>
      </x:c>
    </x:row>
    <x:row r="494">
      <x:c r="A494" s="19"/>
      <x:c r="B494" s="19"/>
      <x:c r="C494" s="19"/>
      <x:c r="D494" s="19"/>
      <x:c r="E494" s="62"/>
      <x:c r="F494" s="19"/>
      <x:c r="G494" s="25"/>
      <x:c r="H494" s="25"/>
      <x:c r="I494" s="96" t="str">
        <x:f>IF($A494="","",$E494*$G494-$H494)</x:f>
      </x:c>
    </x:row>
    <x:row r="495">
      <x:c r="A495" s="19"/>
      <x:c r="B495" s="19"/>
      <x:c r="C495" s="19"/>
      <x:c r="D495" s="19"/>
      <x:c r="E495" s="62"/>
      <x:c r="F495" s="19"/>
      <x:c r="G495" s="25"/>
      <x:c r="H495" s="25"/>
      <x:c r="I495" s="96" t="str">
        <x:f>IF($A495="","",$E495*$G495-$H495)</x:f>
      </x:c>
    </x:row>
    <x:row r="496">
      <x:c r="A496" s="19"/>
      <x:c r="B496" s="19"/>
      <x:c r="C496" s="19"/>
      <x:c r="D496" s="19"/>
      <x:c r="E496" s="62"/>
      <x:c r="F496" s="19"/>
      <x:c r="G496" s="25"/>
      <x:c r="H496" s="25"/>
      <x:c r="I496" s="96" t="str">
        <x:f>IF($A496="","",$E496*$G496-$H496)</x:f>
      </x:c>
    </x:row>
    <x:row r="497">
      <x:c r="A497" s="19"/>
      <x:c r="B497" s="19"/>
      <x:c r="C497" s="19"/>
      <x:c r="D497" s="19"/>
      <x:c r="E497" s="62"/>
      <x:c r="F497" s="19"/>
      <x:c r="G497" s="25"/>
      <x:c r="H497" s="25"/>
      <x:c r="I497" s="96" t="str">
        <x:f>IF($A497="","",$E497*$G497-$H497)</x:f>
      </x:c>
    </x:row>
    <x:row r="498">
      <x:c r="A498" s="19"/>
      <x:c r="B498" s="19"/>
      <x:c r="C498" s="19"/>
      <x:c r="D498" s="19"/>
      <x:c r="E498" s="62"/>
      <x:c r="F498" s="19"/>
      <x:c r="G498" s="25"/>
      <x:c r="H498" s="25"/>
      <x:c r="I498" s="96" t="str">
        <x:f>IF($A498="","",$E498*$G498-$H498)</x:f>
      </x:c>
    </x:row>
    <x:row r="499">
      <x:c r="A499" s="19"/>
      <x:c r="B499" s="19"/>
      <x:c r="C499" s="19"/>
      <x:c r="D499" s="19"/>
      <x:c r="E499" s="62"/>
      <x:c r="F499" s="19"/>
      <x:c r="G499" s="25"/>
      <x:c r="H499" s="25"/>
      <x:c r="I499" s="96" t="str">
        <x:f>IF($A499="","",$E499*$G499-$H499)</x:f>
      </x:c>
    </x:row>
    <x:row r="500">
      <x:c r="A500" s="19"/>
      <x:c r="B500" s="19"/>
      <x:c r="C500" s="19"/>
      <x:c r="D500" s="19"/>
      <x:c r="E500" s="62"/>
      <x:c r="F500" s="19"/>
      <x:c r="G500" s="25"/>
      <x:c r="H500" s="25"/>
      <x:c r="I500" s="96" t="str">
        <x:f>IF($A500="","",$E500*$G500-$H500)</x:f>
      </x:c>
    </x:row>
  </x:sheetData>
  <x:conditionalFormatting sqref="B2:B500">
    <x:cfRule type="expression" dxfId="198" priority="1">
      <x:formula>AND($A2&lt;&gt;"",B2="")</x:formula>
    </x:cfRule>
  </x:conditionalFormatting>
  <x:conditionalFormatting sqref="C2:C500">
    <x:cfRule type="expression" dxfId="199" priority="2">
      <x:formula>AND($A2&lt;&gt;"",C2="")</x:formula>
    </x:cfRule>
  </x:conditionalFormatting>
  <x:conditionalFormatting sqref="E2:E500">
    <x:cfRule type="expression" dxfId="200" priority="3">
      <x:formula>AND($A2&lt;&gt;"",E2="")</x:formula>
    </x:cfRule>
  </x:conditionalFormatting>
  <x:conditionalFormatting sqref="F2:F500">
    <x:cfRule type="expression" dxfId="201" priority="4">
      <x:formula>AND($A2&lt;&gt;"",F2="")</x:formula>
    </x:cfRule>
  </x:conditionalFormatting>
  <x:conditionalFormatting sqref="G2:G500">
    <x:cfRule type="expression" dxfId="202" priority="5">
      <x:formula>AND($A2&lt;&gt;"",G2="")</x:formula>
    </x:cfRule>
  </x:conditionalFormatting>
  <x:conditionalFormatting sqref="H2:H500">
    <x:cfRule type="expression" dxfId="203" priority="6">
      <x:formula>AND($A2&lt;&gt;"",H2="")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dc89a1a1be4add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9" hidden="0" customWidth="1"/>
    <x:col min="7" max="7" width="14" hidden="0" customWidth="1"/>
    <x:col min="8" max="8" width="34" hidden="0" customWidth="1"/>
    <x:col min="9" max="9" width="19" hidden="0" customWidth="1"/>
    <x:col min="10" max="10" width="18" hidden="0" customWidth="1"/>
  </x:cols>
  <x:sheetData>
    <x:row r="1" ht="46" customHeight="1">
      <x:c r="A1" s="12" t="str">
        <x:v>شناسه پرداخت *
(payment_id)</x:v>
      </x:c>
      <x:c r="B1" s="13" t="str">
        <x:v>سفارش *
(order_id)</x:v>
      </x:c>
      <x:c r="C1" s="13" t="str">
        <x:v>مبلغ (ریال) *
(amount)</x:v>
      </x:c>
      <x:c r="D1" s="13" t="str">
        <x:v>روش *
(method)</x:v>
      </x:c>
      <x:c r="E1" s="13" t="str">
        <x:v>شماره مرجع
(reference)</x:v>
      </x:c>
      <x:c r="F1" s="13" t="str">
        <x:v>زمان پرداخت *
(paid_at)</x:v>
      </x:c>
      <x:c r="G1" s="13" t="str">
        <x:v>وضعیت *
(status)</x:v>
      </x:c>
      <x:c r="H1" s="13" t="str">
        <x:v>رسید
(attachment_url)</x:v>
      </x:c>
      <x:c r="I1" s="13" t="str">
        <x:v>زمان ثبت *
(created_at)</x:v>
      </x:c>
      <x:c r="J1" s="14" t="str">
        <x:v>ثبت‌کننده *
(created_by)</x:v>
      </x:c>
    </x:row>
    <x:row r="2">
      <x:c r="A2" s="28" t="str">
        <x:v>pay_001</x:v>
      </x:c>
      <x:c r="B2" s="29" t="str">
        <x:v>ord_001</x:v>
      </x:c>
      <x:c r="C2" s="32" t="n">
        <x:v>120000000</x:v>
      </x:c>
      <x:c r="D2" s="29" t="str">
        <x:v>bank_transfer</x:v>
      </x:c>
      <x:c r="E2" s="29" t="str">
        <x:v>TRX-1001</x:v>
      </x:c>
      <x:c r="F2" s="33" t="n">
        <x:v>46194.5625</x:v>
      </x:c>
      <x:c r="G2" s="29" t="str">
        <x:v>confirmed</x:v>
      </x:c>
      <x:c r="H2" s="29" t="str">
        <x:v>https://drive.google.com/example/pay001</x:v>
      </x:c>
      <x:c r="I2" s="33" t="n">
        <x:v>46194.56597222222</x:v>
      </x:c>
      <x:c r="J2" s="36" t="str">
        <x:v>usr_ali</x:v>
      </x:c>
    </x:row>
    <x:row r="3">
      <x:c r="A3" s="37" t="str">
        <x:v>pay_002</x:v>
      </x:c>
      <x:c r="B3" s="38" t="str">
        <x:v>ord_002</x:v>
      </x:c>
      <x:c r="C3" s="41" t="n">
        <x:v>400000000</x:v>
      </x:c>
      <x:c r="D3" s="38" t="str">
        <x:v>bank_transfer</x:v>
      </x:c>
      <x:c r="E3" s="38" t="str">
        <x:v>TRX-1002</x:v>
      </x:c>
      <x:c r="F3" s="42" t="n">
        <x:v>46211.3125</x:v>
      </x:c>
      <x:c r="G3" s="38" t="str">
        <x:v>confirmed</x:v>
      </x:c>
      <x:c r="H3" s="38" t="str">
        <x:v>https://drive.google.com/example/pay002</x:v>
      </x:c>
      <x:c r="I3" s="42" t="n">
        <x:v>46211.31597222222</x:v>
      </x:c>
      <x:c r="J3" s="45" t="str">
        <x:v>usr_sara</x:v>
      </x:c>
    </x:row>
    <x:row r="4">
      <x:c r="A4" s="46" t="str">
        <x:v>pay_003</x:v>
      </x:c>
      <x:c r="B4" s="47" t="str">
        <x:v>ord_003</x:v>
      </x:c>
      <x:c r="C4" s="50" t="n">
        <x:v>200000000</x:v>
      </x:c>
      <x:c r="D4" s="47" t="str">
        <x:v>card</x:v>
      </x:c>
      <x:c r="E4" s="47" t="str">
        <x:v>POS-7712</x:v>
      </x:c>
      <x:c r="F4" s="51" t="n">
        <x:v>46157.291666666664</x:v>
      </x:c>
      <x:c r="G4" s="47" t="str">
        <x:v>confirmed</x:v>
      </x:c>
      <x:c r="H4" s="47" t="str"/>
      <x:c r="I4" s="51" t="n">
        <x:v>46157.29513888889</x:v>
      </x:c>
      <x:c r="J4" s="54" t="str">
        <x:v>usr_sara</x:v>
      </x:c>
    </x:row>
    <x:row r="5">
      <x:c r="A5" s="19"/>
      <x:c r="B5" s="19"/>
      <x:c r="C5" s="25"/>
      <x:c r="D5" s="19"/>
      <x:c r="E5" s="19"/>
      <x:c r="F5" s="26"/>
      <x:c r="G5" s="19"/>
      <x:c r="H5" s="19"/>
      <x:c r="I5" s="26"/>
      <x:c r="J5" s="19"/>
    </x:row>
    <x:row r="6">
      <x:c r="A6" s="19"/>
      <x:c r="B6" s="19"/>
      <x:c r="C6" s="25"/>
      <x:c r="D6" s="19"/>
      <x:c r="E6" s="19"/>
      <x:c r="F6" s="26"/>
      <x:c r="G6" s="19"/>
      <x:c r="H6" s="19"/>
      <x:c r="I6" s="26"/>
      <x:c r="J6" s="19"/>
    </x:row>
    <x:row r="7">
      <x:c r="A7" s="19"/>
      <x:c r="B7" s="19"/>
      <x:c r="C7" s="25"/>
      <x:c r="D7" s="19"/>
      <x:c r="E7" s="19"/>
      <x:c r="F7" s="26"/>
      <x:c r="G7" s="19"/>
      <x:c r="H7" s="19"/>
      <x:c r="I7" s="26"/>
      <x:c r="J7" s="19"/>
    </x:row>
    <x:row r="8">
      <x:c r="A8" s="19"/>
      <x:c r="B8" s="19"/>
      <x:c r="C8" s="25"/>
      <x:c r="D8" s="19"/>
      <x:c r="E8" s="19"/>
      <x:c r="F8" s="26"/>
      <x:c r="G8" s="19"/>
      <x:c r="H8" s="19"/>
      <x:c r="I8" s="26"/>
      <x:c r="J8" s="19"/>
    </x:row>
    <x:row r="9">
      <x:c r="A9" s="19"/>
      <x:c r="B9" s="19"/>
      <x:c r="C9" s="25"/>
      <x:c r="D9" s="19"/>
      <x:c r="E9" s="19"/>
      <x:c r="F9" s="26"/>
      <x:c r="G9" s="19"/>
      <x:c r="H9" s="19"/>
      <x:c r="I9" s="26"/>
      <x:c r="J9" s="19"/>
    </x:row>
    <x:row r="10">
      <x:c r="A10" s="19"/>
      <x:c r="B10" s="19"/>
      <x:c r="C10" s="25"/>
      <x:c r="D10" s="19"/>
      <x:c r="E10" s="19"/>
      <x:c r="F10" s="26"/>
      <x:c r="G10" s="19"/>
      <x:c r="H10" s="19"/>
      <x:c r="I10" s="26"/>
      <x:c r="J10" s="19"/>
    </x:row>
    <x:row r="11">
      <x:c r="A11" s="19"/>
      <x:c r="B11" s="19"/>
      <x:c r="C11" s="25"/>
      <x:c r="D11" s="19"/>
      <x:c r="E11" s="19"/>
      <x:c r="F11" s="26"/>
      <x:c r="G11" s="19"/>
      <x:c r="H11" s="19"/>
      <x:c r="I11" s="26"/>
      <x:c r="J11" s="19"/>
    </x:row>
    <x:row r="12">
      <x:c r="A12" s="19"/>
      <x:c r="B12" s="19"/>
      <x:c r="C12" s="25"/>
      <x:c r="D12" s="19"/>
      <x:c r="E12" s="19"/>
      <x:c r="F12" s="26"/>
      <x:c r="G12" s="19"/>
      <x:c r="H12" s="19"/>
      <x:c r="I12" s="26"/>
      <x:c r="J12" s="19"/>
    </x:row>
    <x:row r="13">
      <x:c r="A13" s="19"/>
      <x:c r="B13" s="19"/>
      <x:c r="C13" s="25"/>
      <x:c r="D13" s="19"/>
      <x:c r="E13" s="19"/>
      <x:c r="F13" s="26"/>
      <x:c r="G13" s="19"/>
      <x:c r="H13" s="19"/>
      <x:c r="I13" s="26"/>
      <x:c r="J13" s="19"/>
    </x:row>
    <x:row r="14">
      <x:c r="A14" s="19"/>
      <x:c r="B14" s="19"/>
      <x:c r="C14" s="25"/>
      <x:c r="D14" s="19"/>
      <x:c r="E14" s="19"/>
      <x:c r="F14" s="26"/>
      <x:c r="G14" s="19"/>
      <x:c r="H14" s="19"/>
      <x:c r="I14" s="26"/>
      <x:c r="J14" s="19"/>
    </x:row>
    <x:row r="15">
      <x:c r="A15" s="19"/>
      <x:c r="B15" s="19"/>
      <x:c r="C15" s="25"/>
      <x:c r="D15" s="19"/>
      <x:c r="E15" s="19"/>
      <x:c r="F15" s="26"/>
      <x:c r="G15" s="19"/>
      <x:c r="H15" s="19"/>
      <x:c r="I15" s="26"/>
      <x:c r="J15" s="19"/>
    </x:row>
    <x:row r="16">
      <x:c r="A16" s="19"/>
      <x:c r="B16" s="19"/>
      <x:c r="C16" s="25"/>
      <x:c r="D16" s="19"/>
      <x:c r="E16" s="19"/>
      <x:c r="F16" s="26"/>
      <x:c r="G16" s="19"/>
      <x:c r="H16" s="19"/>
      <x:c r="I16" s="26"/>
      <x:c r="J16" s="19"/>
    </x:row>
    <x:row r="17">
      <x:c r="A17" s="19"/>
      <x:c r="B17" s="19"/>
      <x:c r="C17" s="25"/>
      <x:c r="D17" s="19"/>
      <x:c r="E17" s="19"/>
      <x:c r="F17" s="26"/>
      <x:c r="G17" s="19"/>
      <x:c r="H17" s="19"/>
      <x:c r="I17" s="26"/>
      <x:c r="J17" s="19"/>
    </x:row>
    <x:row r="18">
      <x:c r="A18" s="19"/>
      <x:c r="B18" s="19"/>
      <x:c r="C18" s="25"/>
      <x:c r="D18" s="19"/>
      <x:c r="E18" s="19"/>
      <x:c r="F18" s="26"/>
      <x:c r="G18" s="19"/>
      <x:c r="H18" s="19"/>
      <x:c r="I18" s="26"/>
      <x:c r="J18" s="19"/>
    </x:row>
    <x:row r="19">
      <x:c r="A19" s="19"/>
      <x:c r="B19" s="19"/>
      <x:c r="C19" s="25"/>
      <x:c r="D19" s="19"/>
      <x:c r="E19" s="19"/>
      <x:c r="F19" s="26"/>
      <x:c r="G19" s="19"/>
      <x:c r="H19" s="19"/>
      <x:c r="I19" s="26"/>
      <x:c r="J19" s="19"/>
    </x:row>
    <x:row r="20">
      <x:c r="A20" s="19"/>
      <x:c r="B20" s="19"/>
      <x:c r="C20" s="25"/>
      <x:c r="D20" s="19"/>
      <x:c r="E20" s="19"/>
      <x:c r="F20" s="26"/>
      <x:c r="G20" s="19"/>
      <x:c r="H20" s="19"/>
      <x:c r="I20" s="26"/>
      <x:c r="J20" s="19"/>
    </x:row>
    <x:row r="21">
      <x:c r="A21" s="19"/>
      <x:c r="B21" s="19"/>
      <x:c r="C21" s="25"/>
      <x:c r="D21" s="19"/>
      <x:c r="E21" s="19"/>
      <x:c r="F21" s="26"/>
      <x:c r="G21" s="19"/>
      <x:c r="H21" s="19"/>
      <x:c r="I21" s="26"/>
      <x:c r="J21" s="19"/>
    </x:row>
    <x:row r="22">
      <x:c r="A22" s="19"/>
      <x:c r="B22" s="19"/>
      <x:c r="C22" s="25"/>
      <x:c r="D22" s="19"/>
      <x:c r="E22" s="19"/>
      <x:c r="F22" s="26"/>
      <x:c r="G22" s="19"/>
      <x:c r="H22" s="19"/>
      <x:c r="I22" s="26"/>
      <x:c r="J22" s="19"/>
    </x:row>
    <x:row r="23">
      <x:c r="A23" s="19"/>
      <x:c r="B23" s="19"/>
      <x:c r="C23" s="25"/>
      <x:c r="D23" s="19"/>
      <x:c r="E23" s="19"/>
      <x:c r="F23" s="26"/>
      <x:c r="G23" s="19"/>
      <x:c r="H23" s="19"/>
      <x:c r="I23" s="26"/>
      <x:c r="J23" s="19"/>
    </x:row>
    <x:row r="24">
      <x:c r="A24" s="19"/>
      <x:c r="B24" s="19"/>
      <x:c r="C24" s="25"/>
      <x:c r="D24" s="19"/>
      <x:c r="E24" s="19"/>
      <x:c r="F24" s="26"/>
      <x:c r="G24" s="19"/>
      <x:c r="H24" s="19"/>
      <x:c r="I24" s="26"/>
      <x:c r="J24" s="19"/>
    </x:row>
    <x:row r="25">
      <x:c r="A25" s="19"/>
      <x:c r="B25" s="19"/>
      <x:c r="C25" s="25"/>
      <x:c r="D25" s="19"/>
      <x:c r="E25" s="19"/>
      <x:c r="F25" s="26"/>
      <x:c r="G25" s="19"/>
      <x:c r="H25" s="19"/>
      <x:c r="I25" s="26"/>
      <x:c r="J25" s="19"/>
    </x:row>
    <x:row r="26">
      <x:c r="A26" s="19"/>
      <x:c r="B26" s="19"/>
      <x:c r="C26" s="25"/>
      <x:c r="D26" s="19"/>
      <x:c r="E26" s="19"/>
      <x:c r="F26" s="26"/>
      <x:c r="G26" s="19"/>
      <x:c r="H26" s="19"/>
      <x:c r="I26" s="26"/>
      <x:c r="J26" s="19"/>
    </x:row>
    <x:row r="27">
      <x:c r="A27" s="19"/>
      <x:c r="B27" s="19"/>
      <x:c r="C27" s="25"/>
      <x:c r="D27" s="19"/>
      <x:c r="E27" s="19"/>
      <x:c r="F27" s="26"/>
      <x:c r="G27" s="19"/>
      <x:c r="H27" s="19"/>
      <x:c r="I27" s="26"/>
      <x:c r="J27" s="19"/>
    </x:row>
    <x:row r="28">
      <x:c r="A28" s="19"/>
      <x:c r="B28" s="19"/>
      <x:c r="C28" s="25"/>
      <x:c r="D28" s="19"/>
      <x:c r="E28" s="19"/>
      <x:c r="F28" s="26"/>
      <x:c r="G28" s="19"/>
      <x:c r="H28" s="19"/>
      <x:c r="I28" s="26"/>
      <x:c r="J28" s="19"/>
    </x:row>
    <x:row r="29">
      <x:c r="A29" s="19"/>
      <x:c r="B29" s="19"/>
      <x:c r="C29" s="25"/>
      <x:c r="D29" s="19"/>
      <x:c r="E29" s="19"/>
      <x:c r="F29" s="26"/>
      <x:c r="G29" s="19"/>
      <x:c r="H29" s="19"/>
      <x:c r="I29" s="26"/>
      <x:c r="J29" s="19"/>
    </x:row>
    <x:row r="30">
      <x:c r="A30" s="19"/>
      <x:c r="B30" s="19"/>
      <x:c r="C30" s="25"/>
      <x:c r="D30" s="19"/>
      <x:c r="E30" s="19"/>
      <x:c r="F30" s="26"/>
      <x:c r="G30" s="19"/>
      <x:c r="H30" s="19"/>
      <x:c r="I30" s="26"/>
      <x:c r="J30" s="19"/>
    </x:row>
    <x:row r="31">
      <x:c r="A31" s="19"/>
      <x:c r="B31" s="19"/>
      <x:c r="C31" s="25"/>
      <x:c r="D31" s="19"/>
      <x:c r="E31" s="19"/>
      <x:c r="F31" s="26"/>
      <x:c r="G31" s="19"/>
      <x:c r="H31" s="19"/>
      <x:c r="I31" s="26"/>
      <x:c r="J31" s="19"/>
    </x:row>
    <x:row r="32">
      <x:c r="A32" s="19"/>
      <x:c r="B32" s="19"/>
      <x:c r="C32" s="25"/>
      <x:c r="D32" s="19"/>
      <x:c r="E32" s="19"/>
      <x:c r="F32" s="26"/>
      <x:c r="G32" s="19"/>
      <x:c r="H32" s="19"/>
      <x:c r="I32" s="26"/>
      <x:c r="J32" s="19"/>
    </x:row>
    <x:row r="33">
      <x:c r="A33" s="19"/>
      <x:c r="B33" s="19"/>
      <x:c r="C33" s="25"/>
      <x:c r="D33" s="19"/>
      <x:c r="E33" s="19"/>
      <x:c r="F33" s="26"/>
      <x:c r="G33" s="19"/>
      <x:c r="H33" s="19"/>
      <x:c r="I33" s="26"/>
      <x:c r="J33" s="19"/>
    </x:row>
    <x:row r="34">
      <x:c r="A34" s="19"/>
      <x:c r="B34" s="19"/>
      <x:c r="C34" s="25"/>
      <x:c r="D34" s="19"/>
      <x:c r="E34" s="19"/>
      <x:c r="F34" s="26"/>
      <x:c r="G34" s="19"/>
      <x:c r="H34" s="19"/>
      <x:c r="I34" s="26"/>
      <x:c r="J34" s="19"/>
    </x:row>
    <x:row r="35">
      <x:c r="A35" s="19"/>
      <x:c r="B35" s="19"/>
      <x:c r="C35" s="25"/>
      <x:c r="D35" s="19"/>
      <x:c r="E35" s="19"/>
      <x:c r="F35" s="26"/>
      <x:c r="G35" s="19"/>
      <x:c r="H35" s="19"/>
      <x:c r="I35" s="26"/>
      <x:c r="J35" s="19"/>
    </x:row>
    <x:row r="36">
      <x:c r="A36" s="19"/>
      <x:c r="B36" s="19"/>
      <x:c r="C36" s="25"/>
      <x:c r="D36" s="19"/>
      <x:c r="E36" s="19"/>
      <x:c r="F36" s="26"/>
      <x:c r="G36" s="19"/>
      <x:c r="H36" s="19"/>
      <x:c r="I36" s="26"/>
      <x:c r="J36" s="19"/>
    </x:row>
    <x:row r="37">
      <x:c r="A37" s="19"/>
      <x:c r="B37" s="19"/>
      <x:c r="C37" s="25"/>
      <x:c r="D37" s="19"/>
      <x:c r="E37" s="19"/>
      <x:c r="F37" s="26"/>
      <x:c r="G37" s="19"/>
      <x:c r="H37" s="19"/>
      <x:c r="I37" s="26"/>
      <x:c r="J37" s="19"/>
    </x:row>
    <x:row r="38">
      <x:c r="A38" s="19"/>
      <x:c r="B38" s="19"/>
      <x:c r="C38" s="25"/>
      <x:c r="D38" s="19"/>
      <x:c r="E38" s="19"/>
      <x:c r="F38" s="26"/>
      <x:c r="G38" s="19"/>
      <x:c r="H38" s="19"/>
      <x:c r="I38" s="26"/>
      <x:c r="J38" s="19"/>
    </x:row>
    <x:row r="39">
      <x:c r="A39" s="19"/>
      <x:c r="B39" s="19"/>
      <x:c r="C39" s="25"/>
      <x:c r="D39" s="19"/>
      <x:c r="E39" s="19"/>
      <x:c r="F39" s="26"/>
      <x:c r="G39" s="19"/>
      <x:c r="H39" s="19"/>
      <x:c r="I39" s="26"/>
      <x:c r="J39" s="19"/>
    </x:row>
    <x:row r="40">
      <x:c r="A40" s="19"/>
      <x:c r="B40" s="19"/>
      <x:c r="C40" s="25"/>
      <x:c r="D40" s="19"/>
      <x:c r="E40" s="19"/>
      <x:c r="F40" s="26"/>
      <x:c r="G40" s="19"/>
      <x:c r="H40" s="19"/>
      <x:c r="I40" s="26"/>
      <x:c r="J40" s="19"/>
    </x:row>
    <x:row r="41">
      <x:c r="A41" s="19"/>
      <x:c r="B41" s="19"/>
      <x:c r="C41" s="25"/>
      <x:c r="D41" s="19"/>
      <x:c r="E41" s="19"/>
      <x:c r="F41" s="26"/>
      <x:c r="G41" s="19"/>
      <x:c r="H41" s="19"/>
      <x:c r="I41" s="26"/>
      <x:c r="J41" s="19"/>
    </x:row>
    <x:row r="42">
      <x:c r="A42" s="19"/>
      <x:c r="B42" s="19"/>
      <x:c r="C42" s="25"/>
      <x:c r="D42" s="19"/>
      <x:c r="E42" s="19"/>
      <x:c r="F42" s="26"/>
      <x:c r="G42" s="19"/>
      <x:c r="H42" s="19"/>
      <x:c r="I42" s="26"/>
      <x:c r="J42" s="19"/>
    </x:row>
    <x:row r="43">
      <x:c r="A43" s="19"/>
      <x:c r="B43" s="19"/>
      <x:c r="C43" s="25"/>
      <x:c r="D43" s="19"/>
      <x:c r="E43" s="19"/>
      <x:c r="F43" s="26"/>
      <x:c r="G43" s="19"/>
      <x:c r="H43" s="19"/>
      <x:c r="I43" s="26"/>
      <x:c r="J43" s="19"/>
    </x:row>
    <x:row r="44">
      <x:c r="A44" s="19"/>
      <x:c r="B44" s="19"/>
      <x:c r="C44" s="25"/>
      <x:c r="D44" s="19"/>
      <x:c r="E44" s="19"/>
      <x:c r="F44" s="26"/>
      <x:c r="G44" s="19"/>
      <x:c r="H44" s="19"/>
      <x:c r="I44" s="26"/>
      <x:c r="J44" s="19"/>
    </x:row>
    <x:row r="45">
      <x:c r="A45" s="19"/>
      <x:c r="B45" s="19"/>
      <x:c r="C45" s="25"/>
      <x:c r="D45" s="19"/>
      <x:c r="E45" s="19"/>
      <x:c r="F45" s="26"/>
      <x:c r="G45" s="19"/>
      <x:c r="H45" s="19"/>
      <x:c r="I45" s="26"/>
      <x:c r="J45" s="19"/>
    </x:row>
    <x:row r="46">
      <x:c r="A46" s="19"/>
      <x:c r="B46" s="19"/>
      <x:c r="C46" s="25"/>
      <x:c r="D46" s="19"/>
      <x:c r="E46" s="19"/>
      <x:c r="F46" s="26"/>
      <x:c r="G46" s="19"/>
      <x:c r="H46" s="19"/>
      <x:c r="I46" s="26"/>
      <x:c r="J46" s="19"/>
    </x:row>
    <x:row r="47">
      <x:c r="A47" s="19"/>
      <x:c r="B47" s="19"/>
      <x:c r="C47" s="25"/>
      <x:c r="D47" s="19"/>
      <x:c r="E47" s="19"/>
      <x:c r="F47" s="26"/>
      <x:c r="G47" s="19"/>
      <x:c r="H47" s="19"/>
      <x:c r="I47" s="26"/>
      <x:c r="J47" s="19"/>
    </x:row>
    <x:row r="48">
      <x:c r="A48" s="19"/>
      <x:c r="B48" s="19"/>
      <x:c r="C48" s="25"/>
      <x:c r="D48" s="19"/>
      <x:c r="E48" s="19"/>
      <x:c r="F48" s="26"/>
      <x:c r="G48" s="19"/>
      <x:c r="H48" s="19"/>
      <x:c r="I48" s="26"/>
      <x:c r="J48" s="19"/>
    </x:row>
    <x:row r="49">
      <x:c r="A49" s="19"/>
      <x:c r="B49" s="19"/>
      <x:c r="C49" s="25"/>
      <x:c r="D49" s="19"/>
      <x:c r="E49" s="19"/>
      <x:c r="F49" s="26"/>
      <x:c r="G49" s="19"/>
      <x:c r="H49" s="19"/>
      <x:c r="I49" s="26"/>
      <x:c r="J49" s="19"/>
    </x:row>
    <x:row r="50">
      <x:c r="A50" s="19"/>
      <x:c r="B50" s="19"/>
      <x:c r="C50" s="25"/>
      <x:c r="D50" s="19"/>
      <x:c r="E50" s="19"/>
      <x:c r="F50" s="26"/>
      <x:c r="G50" s="19"/>
      <x:c r="H50" s="19"/>
      <x:c r="I50" s="26"/>
      <x:c r="J50" s="19"/>
    </x:row>
    <x:row r="51">
      <x:c r="A51" s="19"/>
      <x:c r="B51" s="19"/>
      <x:c r="C51" s="25"/>
      <x:c r="D51" s="19"/>
      <x:c r="E51" s="19"/>
      <x:c r="F51" s="26"/>
      <x:c r="G51" s="19"/>
      <x:c r="H51" s="19"/>
      <x:c r="I51" s="26"/>
      <x:c r="J51" s="19"/>
    </x:row>
    <x:row r="52">
      <x:c r="A52" s="19"/>
      <x:c r="B52" s="19"/>
      <x:c r="C52" s="25"/>
      <x:c r="D52" s="19"/>
      <x:c r="E52" s="19"/>
      <x:c r="F52" s="26"/>
      <x:c r="G52" s="19"/>
      <x:c r="H52" s="19"/>
      <x:c r="I52" s="26"/>
      <x:c r="J52" s="19"/>
    </x:row>
    <x:row r="53">
      <x:c r="A53" s="19"/>
      <x:c r="B53" s="19"/>
      <x:c r="C53" s="25"/>
      <x:c r="D53" s="19"/>
      <x:c r="E53" s="19"/>
      <x:c r="F53" s="26"/>
      <x:c r="G53" s="19"/>
      <x:c r="H53" s="19"/>
      <x:c r="I53" s="26"/>
      <x:c r="J53" s="19"/>
    </x:row>
    <x:row r="54">
      <x:c r="A54" s="19"/>
      <x:c r="B54" s="19"/>
      <x:c r="C54" s="25"/>
      <x:c r="D54" s="19"/>
      <x:c r="E54" s="19"/>
      <x:c r="F54" s="26"/>
      <x:c r="G54" s="19"/>
      <x:c r="H54" s="19"/>
      <x:c r="I54" s="26"/>
      <x:c r="J54" s="19"/>
    </x:row>
    <x:row r="55">
      <x:c r="A55" s="19"/>
      <x:c r="B55" s="19"/>
      <x:c r="C55" s="25"/>
      <x:c r="D55" s="19"/>
      <x:c r="E55" s="19"/>
      <x:c r="F55" s="26"/>
      <x:c r="G55" s="19"/>
      <x:c r="H55" s="19"/>
      <x:c r="I55" s="26"/>
      <x:c r="J55" s="19"/>
    </x:row>
    <x:row r="56">
      <x:c r="A56" s="19"/>
      <x:c r="B56" s="19"/>
      <x:c r="C56" s="25"/>
      <x:c r="D56" s="19"/>
      <x:c r="E56" s="19"/>
      <x:c r="F56" s="26"/>
      <x:c r="G56" s="19"/>
      <x:c r="H56" s="19"/>
      <x:c r="I56" s="26"/>
      <x:c r="J56" s="19"/>
    </x:row>
    <x:row r="57">
      <x:c r="A57" s="19"/>
      <x:c r="B57" s="19"/>
      <x:c r="C57" s="25"/>
      <x:c r="D57" s="19"/>
      <x:c r="E57" s="19"/>
      <x:c r="F57" s="26"/>
      <x:c r="G57" s="19"/>
      <x:c r="H57" s="19"/>
      <x:c r="I57" s="26"/>
      <x:c r="J57" s="19"/>
    </x:row>
    <x:row r="58">
      <x:c r="A58" s="19"/>
      <x:c r="B58" s="19"/>
      <x:c r="C58" s="25"/>
      <x:c r="D58" s="19"/>
      <x:c r="E58" s="19"/>
      <x:c r="F58" s="26"/>
      <x:c r="G58" s="19"/>
      <x:c r="H58" s="19"/>
      <x:c r="I58" s="26"/>
      <x:c r="J58" s="19"/>
    </x:row>
    <x:row r="59">
      <x:c r="A59" s="19"/>
      <x:c r="B59" s="19"/>
      <x:c r="C59" s="25"/>
      <x:c r="D59" s="19"/>
      <x:c r="E59" s="19"/>
      <x:c r="F59" s="26"/>
      <x:c r="G59" s="19"/>
      <x:c r="H59" s="19"/>
      <x:c r="I59" s="26"/>
      <x:c r="J59" s="19"/>
    </x:row>
    <x:row r="60">
      <x:c r="A60" s="19"/>
      <x:c r="B60" s="19"/>
      <x:c r="C60" s="25"/>
      <x:c r="D60" s="19"/>
      <x:c r="E60" s="19"/>
      <x:c r="F60" s="26"/>
      <x:c r="G60" s="19"/>
      <x:c r="H60" s="19"/>
      <x:c r="I60" s="26"/>
      <x:c r="J60" s="19"/>
    </x:row>
    <x:row r="61">
      <x:c r="A61" s="19"/>
      <x:c r="B61" s="19"/>
      <x:c r="C61" s="25"/>
      <x:c r="D61" s="19"/>
      <x:c r="E61" s="19"/>
      <x:c r="F61" s="26"/>
      <x:c r="G61" s="19"/>
      <x:c r="H61" s="19"/>
      <x:c r="I61" s="26"/>
      <x:c r="J61" s="19"/>
    </x:row>
    <x:row r="62">
      <x:c r="A62" s="19"/>
      <x:c r="B62" s="19"/>
      <x:c r="C62" s="25"/>
      <x:c r="D62" s="19"/>
      <x:c r="E62" s="19"/>
      <x:c r="F62" s="26"/>
      <x:c r="G62" s="19"/>
      <x:c r="H62" s="19"/>
      <x:c r="I62" s="26"/>
      <x:c r="J62" s="19"/>
    </x:row>
    <x:row r="63">
      <x:c r="A63" s="19"/>
      <x:c r="B63" s="19"/>
      <x:c r="C63" s="25"/>
      <x:c r="D63" s="19"/>
      <x:c r="E63" s="19"/>
      <x:c r="F63" s="26"/>
      <x:c r="G63" s="19"/>
      <x:c r="H63" s="19"/>
      <x:c r="I63" s="26"/>
      <x:c r="J63" s="19"/>
    </x:row>
    <x:row r="64">
      <x:c r="A64" s="19"/>
      <x:c r="B64" s="19"/>
      <x:c r="C64" s="25"/>
      <x:c r="D64" s="19"/>
      <x:c r="E64" s="19"/>
      <x:c r="F64" s="26"/>
      <x:c r="G64" s="19"/>
      <x:c r="H64" s="19"/>
      <x:c r="I64" s="26"/>
      <x:c r="J64" s="19"/>
    </x:row>
    <x:row r="65">
      <x:c r="A65" s="19"/>
      <x:c r="B65" s="19"/>
      <x:c r="C65" s="25"/>
      <x:c r="D65" s="19"/>
      <x:c r="E65" s="19"/>
      <x:c r="F65" s="26"/>
      <x:c r="G65" s="19"/>
      <x:c r="H65" s="19"/>
      <x:c r="I65" s="26"/>
      <x:c r="J65" s="19"/>
    </x:row>
    <x:row r="66">
      <x:c r="A66" s="19"/>
      <x:c r="B66" s="19"/>
      <x:c r="C66" s="25"/>
      <x:c r="D66" s="19"/>
      <x:c r="E66" s="19"/>
      <x:c r="F66" s="26"/>
      <x:c r="G66" s="19"/>
      <x:c r="H66" s="19"/>
      <x:c r="I66" s="26"/>
      <x:c r="J66" s="19"/>
    </x:row>
    <x:row r="67">
      <x:c r="A67" s="19"/>
      <x:c r="B67" s="19"/>
      <x:c r="C67" s="25"/>
      <x:c r="D67" s="19"/>
      <x:c r="E67" s="19"/>
      <x:c r="F67" s="26"/>
      <x:c r="G67" s="19"/>
      <x:c r="H67" s="19"/>
      <x:c r="I67" s="26"/>
      <x:c r="J67" s="19"/>
    </x:row>
    <x:row r="68">
      <x:c r="A68" s="19"/>
      <x:c r="B68" s="19"/>
      <x:c r="C68" s="25"/>
      <x:c r="D68" s="19"/>
      <x:c r="E68" s="19"/>
      <x:c r="F68" s="26"/>
      <x:c r="G68" s="19"/>
      <x:c r="H68" s="19"/>
      <x:c r="I68" s="26"/>
      <x:c r="J68" s="19"/>
    </x:row>
    <x:row r="69">
      <x:c r="A69" s="19"/>
      <x:c r="B69" s="19"/>
      <x:c r="C69" s="25"/>
      <x:c r="D69" s="19"/>
      <x:c r="E69" s="19"/>
      <x:c r="F69" s="26"/>
      <x:c r="G69" s="19"/>
      <x:c r="H69" s="19"/>
      <x:c r="I69" s="26"/>
      <x:c r="J69" s="19"/>
    </x:row>
    <x:row r="70">
      <x:c r="A70" s="19"/>
      <x:c r="B70" s="19"/>
      <x:c r="C70" s="25"/>
      <x:c r="D70" s="19"/>
      <x:c r="E70" s="19"/>
      <x:c r="F70" s="26"/>
      <x:c r="G70" s="19"/>
      <x:c r="H70" s="19"/>
      <x:c r="I70" s="26"/>
      <x:c r="J70" s="19"/>
    </x:row>
    <x:row r="71">
      <x:c r="A71" s="19"/>
      <x:c r="B71" s="19"/>
      <x:c r="C71" s="25"/>
      <x:c r="D71" s="19"/>
      <x:c r="E71" s="19"/>
      <x:c r="F71" s="26"/>
      <x:c r="G71" s="19"/>
      <x:c r="H71" s="19"/>
      <x:c r="I71" s="26"/>
      <x:c r="J71" s="19"/>
    </x:row>
    <x:row r="72">
      <x:c r="A72" s="19"/>
      <x:c r="B72" s="19"/>
      <x:c r="C72" s="25"/>
      <x:c r="D72" s="19"/>
      <x:c r="E72" s="19"/>
      <x:c r="F72" s="26"/>
      <x:c r="G72" s="19"/>
      <x:c r="H72" s="19"/>
      <x:c r="I72" s="26"/>
      <x:c r="J72" s="19"/>
    </x:row>
    <x:row r="73">
      <x:c r="A73" s="19"/>
      <x:c r="B73" s="19"/>
      <x:c r="C73" s="25"/>
      <x:c r="D73" s="19"/>
      <x:c r="E73" s="19"/>
      <x:c r="F73" s="26"/>
      <x:c r="G73" s="19"/>
      <x:c r="H73" s="19"/>
      <x:c r="I73" s="26"/>
      <x:c r="J73" s="19"/>
    </x:row>
    <x:row r="74">
      <x:c r="A74" s="19"/>
      <x:c r="B74" s="19"/>
      <x:c r="C74" s="25"/>
      <x:c r="D74" s="19"/>
      <x:c r="E74" s="19"/>
      <x:c r="F74" s="26"/>
      <x:c r="G74" s="19"/>
      <x:c r="H74" s="19"/>
      <x:c r="I74" s="26"/>
      <x:c r="J74" s="19"/>
    </x:row>
    <x:row r="75">
      <x:c r="A75" s="19"/>
      <x:c r="B75" s="19"/>
      <x:c r="C75" s="25"/>
      <x:c r="D75" s="19"/>
      <x:c r="E75" s="19"/>
      <x:c r="F75" s="26"/>
      <x:c r="G75" s="19"/>
      <x:c r="H75" s="19"/>
      <x:c r="I75" s="26"/>
      <x:c r="J75" s="19"/>
    </x:row>
    <x:row r="76">
      <x:c r="A76" s="19"/>
      <x:c r="B76" s="19"/>
      <x:c r="C76" s="25"/>
      <x:c r="D76" s="19"/>
      <x:c r="E76" s="19"/>
      <x:c r="F76" s="26"/>
      <x:c r="G76" s="19"/>
      <x:c r="H76" s="19"/>
      <x:c r="I76" s="26"/>
      <x:c r="J76" s="19"/>
    </x:row>
    <x:row r="77">
      <x:c r="A77" s="19"/>
      <x:c r="B77" s="19"/>
      <x:c r="C77" s="25"/>
      <x:c r="D77" s="19"/>
      <x:c r="E77" s="19"/>
      <x:c r="F77" s="26"/>
      <x:c r="G77" s="19"/>
      <x:c r="H77" s="19"/>
      <x:c r="I77" s="26"/>
      <x:c r="J77" s="19"/>
    </x:row>
    <x:row r="78">
      <x:c r="A78" s="19"/>
      <x:c r="B78" s="19"/>
      <x:c r="C78" s="25"/>
      <x:c r="D78" s="19"/>
      <x:c r="E78" s="19"/>
      <x:c r="F78" s="26"/>
      <x:c r="G78" s="19"/>
      <x:c r="H78" s="19"/>
      <x:c r="I78" s="26"/>
      <x:c r="J78" s="19"/>
    </x:row>
    <x:row r="79">
      <x:c r="A79" s="19"/>
      <x:c r="B79" s="19"/>
      <x:c r="C79" s="25"/>
      <x:c r="D79" s="19"/>
      <x:c r="E79" s="19"/>
      <x:c r="F79" s="26"/>
      <x:c r="G79" s="19"/>
      <x:c r="H79" s="19"/>
      <x:c r="I79" s="26"/>
      <x:c r="J79" s="19"/>
    </x:row>
    <x:row r="80">
      <x:c r="A80" s="19"/>
      <x:c r="B80" s="19"/>
      <x:c r="C80" s="25"/>
      <x:c r="D80" s="19"/>
      <x:c r="E80" s="19"/>
      <x:c r="F80" s="26"/>
      <x:c r="G80" s="19"/>
      <x:c r="H80" s="19"/>
      <x:c r="I80" s="26"/>
      <x:c r="J80" s="19"/>
    </x:row>
    <x:row r="81">
      <x:c r="A81" s="19"/>
      <x:c r="B81" s="19"/>
      <x:c r="C81" s="25"/>
      <x:c r="D81" s="19"/>
      <x:c r="E81" s="19"/>
      <x:c r="F81" s="26"/>
      <x:c r="G81" s="19"/>
      <x:c r="H81" s="19"/>
      <x:c r="I81" s="26"/>
      <x:c r="J81" s="19"/>
    </x:row>
    <x:row r="82">
      <x:c r="A82" s="19"/>
      <x:c r="B82" s="19"/>
      <x:c r="C82" s="25"/>
      <x:c r="D82" s="19"/>
      <x:c r="E82" s="19"/>
      <x:c r="F82" s="26"/>
      <x:c r="G82" s="19"/>
      <x:c r="H82" s="19"/>
      <x:c r="I82" s="26"/>
      <x:c r="J82" s="19"/>
    </x:row>
    <x:row r="83">
      <x:c r="A83" s="19"/>
      <x:c r="B83" s="19"/>
      <x:c r="C83" s="25"/>
      <x:c r="D83" s="19"/>
      <x:c r="E83" s="19"/>
      <x:c r="F83" s="26"/>
      <x:c r="G83" s="19"/>
      <x:c r="H83" s="19"/>
      <x:c r="I83" s="26"/>
      <x:c r="J83" s="19"/>
    </x:row>
    <x:row r="84">
      <x:c r="A84" s="19"/>
      <x:c r="B84" s="19"/>
      <x:c r="C84" s="25"/>
      <x:c r="D84" s="19"/>
      <x:c r="E84" s="19"/>
      <x:c r="F84" s="26"/>
      <x:c r="G84" s="19"/>
      <x:c r="H84" s="19"/>
      <x:c r="I84" s="26"/>
      <x:c r="J84" s="19"/>
    </x:row>
    <x:row r="85">
      <x:c r="A85" s="19"/>
      <x:c r="B85" s="19"/>
      <x:c r="C85" s="25"/>
      <x:c r="D85" s="19"/>
      <x:c r="E85" s="19"/>
      <x:c r="F85" s="26"/>
      <x:c r="G85" s="19"/>
      <x:c r="H85" s="19"/>
      <x:c r="I85" s="26"/>
      <x:c r="J85" s="19"/>
    </x:row>
    <x:row r="86">
      <x:c r="A86" s="19"/>
      <x:c r="B86" s="19"/>
      <x:c r="C86" s="25"/>
      <x:c r="D86" s="19"/>
      <x:c r="E86" s="19"/>
      <x:c r="F86" s="26"/>
      <x:c r="G86" s="19"/>
      <x:c r="H86" s="19"/>
      <x:c r="I86" s="26"/>
      <x:c r="J86" s="19"/>
    </x:row>
    <x:row r="87">
      <x:c r="A87" s="19"/>
      <x:c r="B87" s="19"/>
      <x:c r="C87" s="25"/>
      <x:c r="D87" s="19"/>
      <x:c r="E87" s="19"/>
      <x:c r="F87" s="26"/>
      <x:c r="G87" s="19"/>
      <x:c r="H87" s="19"/>
      <x:c r="I87" s="26"/>
      <x:c r="J87" s="19"/>
    </x:row>
    <x:row r="88">
      <x:c r="A88" s="19"/>
      <x:c r="B88" s="19"/>
      <x:c r="C88" s="25"/>
      <x:c r="D88" s="19"/>
      <x:c r="E88" s="19"/>
      <x:c r="F88" s="26"/>
      <x:c r="G88" s="19"/>
      <x:c r="H88" s="19"/>
      <x:c r="I88" s="26"/>
      <x:c r="J88" s="19"/>
    </x:row>
    <x:row r="89">
      <x:c r="A89" s="19"/>
      <x:c r="B89" s="19"/>
      <x:c r="C89" s="25"/>
      <x:c r="D89" s="19"/>
      <x:c r="E89" s="19"/>
      <x:c r="F89" s="26"/>
      <x:c r="G89" s="19"/>
      <x:c r="H89" s="19"/>
      <x:c r="I89" s="26"/>
      <x:c r="J89" s="19"/>
    </x:row>
    <x:row r="90">
      <x:c r="A90" s="19"/>
      <x:c r="B90" s="19"/>
      <x:c r="C90" s="25"/>
      <x:c r="D90" s="19"/>
      <x:c r="E90" s="19"/>
      <x:c r="F90" s="26"/>
      <x:c r="G90" s="19"/>
      <x:c r="H90" s="19"/>
      <x:c r="I90" s="26"/>
      <x:c r="J90" s="19"/>
    </x:row>
    <x:row r="91">
      <x:c r="A91" s="19"/>
      <x:c r="B91" s="19"/>
      <x:c r="C91" s="25"/>
      <x:c r="D91" s="19"/>
      <x:c r="E91" s="19"/>
      <x:c r="F91" s="26"/>
      <x:c r="G91" s="19"/>
      <x:c r="H91" s="19"/>
      <x:c r="I91" s="26"/>
      <x:c r="J91" s="19"/>
    </x:row>
    <x:row r="92">
      <x:c r="A92" s="19"/>
      <x:c r="B92" s="19"/>
      <x:c r="C92" s="25"/>
      <x:c r="D92" s="19"/>
      <x:c r="E92" s="19"/>
      <x:c r="F92" s="26"/>
      <x:c r="G92" s="19"/>
      <x:c r="H92" s="19"/>
      <x:c r="I92" s="26"/>
      <x:c r="J92" s="19"/>
    </x:row>
    <x:row r="93">
      <x:c r="A93" s="19"/>
      <x:c r="B93" s="19"/>
      <x:c r="C93" s="25"/>
      <x:c r="D93" s="19"/>
      <x:c r="E93" s="19"/>
      <x:c r="F93" s="26"/>
      <x:c r="G93" s="19"/>
      <x:c r="H93" s="19"/>
      <x:c r="I93" s="26"/>
      <x:c r="J93" s="19"/>
    </x:row>
    <x:row r="94">
      <x:c r="A94" s="19"/>
      <x:c r="B94" s="19"/>
      <x:c r="C94" s="25"/>
      <x:c r="D94" s="19"/>
      <x:c r="E94" s="19"/>
      <x:c r="F94" s="26"/>
      <x:c r="G94" s="19"/>
      <x:c r="H94" s="19"/>
      <x:c r="I94" s="26"/>
      <x:c r="J94" s="19"/>
    </x:row>
    <x:row r="95">
      <x:c r="A95" s="19"/>
      <x:c r="B95" s="19"/>
      <x:c r="C95" s="25"/>
      <x:c r="D95" s="19"/>
      <x:c r="E95" s="19"/>
      <x:c r="F95" s="26"/>
      <x:c r="G95" s="19"/>
      <x:c r="H95" s="19"/>
      <x:c r="I95" s="26"/>
      <x:c r="J95" s="19"/>
    </x:row>
    <x:row r="96">
      <x:c r="A96" s="19"/>
      <x:c r="B96" s="19"/>
      <x:c r="C96" s="25"/>
      <x:c r="D96" s="19"/>
      <x:c r="E96" s="19"/>
      <x:c r="F96" s="26"/>
      <x:c r="G96" s="19"/>
      <x:c r="H96" s="19"/>
      <x:c r="I96" s="26"/>
      <x:c r="J96" s="19"/>
    </x:row>
    <x:row r="97">
      <x:c r="A97" s="19"/>
      <x:c r="B97" s="19"/>
      <x:c r="C97" s="25"/>
      <x:c r="D97" s="19"/>
      <x:c r="E97" s="19"/>
      <x:c r="F97" s="26"/>
      <x:c r="G97" s="19"/>
      <x:c r="H97" s="19"/>
      <x:c r="I97" s="26"/>
      <x:c r="J97" s="19"/>
    </x:row>
    <x:row r="98">
      <x:c r="A98" s="19"/>
      <x:c r="B98" s="19"/>
      <x:c r="C98" s="25"/>
      <x:c r="D98" s="19"/>
      <x:c r="E98" s="19"/>
      <x:c r="F98" s="26"/>
      <x:c r="G98" s="19"/>
      <x:c r="H98" s="19"/>
      <x:c r="I98" s="26"/>
      <x:c r="J98" s="19"/>
    </x:row>
    <x:row r="99">
      <x:c r="A99" s="19"/>
      <x:c r="B99" s="19"/>
      <x:c r="C99" s="25"/>
      <x:c r="D99" s="19"/>
      <x:c r="E99" s="19"/>
      <x:c r="F99" s="26"/>
      <x:c r="G99" s="19"/>
      <x:c r="H99" s="19"/>
      <x:c r="I99" s="26"/>
      <x:c r="J99" s="19"/>
    </x:row>
    <x:row r="100">
      <x:c r="A100" s="19"/>
      <x:c r="B100" s="19"/>
      <x:c r="C100" s="25"/>
      <x:c r="D100" s="19"/>
      <x:c r="E100" s="19"/>
      <x:c r="F100" s="26"/>
      <x:c r="G100" s="19"/>
      <x:c r="H100" s="19"/>
      <x:c r="I100" s="26"/>
      <x:c r="J100" s="19"/>
    </x:row>
    <x:row r="101">
      <x:c r="A101" s="19"/>
      <x:c r="B101" s="19"/>
      <x:c r="C101" s="25"/>
      <x:c r="D101" s="19"/>
      <x:c r="E101" s="19"/>
      <x:c r="F101" s="26"/>
      <x:c r="G101" s="19"/>
      <x:c r="H101" s="19"/>
      <x:c r="I101" s="26"/>
      <x:c r="J101" s="19"/>
    </x:row>
    <x:row r="102">
      <x:c r="A102" s="19"/>
      <x:c r="B102" s="19"/>
      <x:c r="C102" s="25"/>
      <x:c r="D102" s="19"/>
      <x:c r="E102" s="19"/>
      <x:c r="F102" s="26"/>
      <x:c r="G102" s="19"/>
      <x:c r="H102" s="19"/>
      <x:c r="I102" s="26"/>
      <x:c r="J102" s="19"/>
    </x:row>
    <x:row r="103">
      <x:c r="A103" s="19"/>
      <x:c r="B103" s="19"/>
      <x:c r="C103" s="25"/>
      <x:c r="D103" s="19"/>
      <x:c r="E103" s="19"/>
      <x:c r="F103" s="26"/>
      <x:c r="G103" s="19"/>
      <x:c r="H103" s="19"/>
      <x:c r="I103" s="26"/>
      <x:c r="J103" s="19"/>
    </x:row>
    <x:row r="104">
      <x:c r="A104" s="19"/>
      <x:c r="B104" s="19"/>
      <x:c r="C104" s="25"/>
      <x:c r="D104" s="19"/>
      <x:c r="E104" s="19"/>
      <x:c r="F104" s="26"/>
      <x:c r="G104" s="19"/>
      <x:c r="H104" s="19"/>
      <x:c r="I104" s="26"/>
      <x:c r="J104" s="19"/>
    </x:row>
    <x:row r="105">
      <x:c r="A105" s="19"/>
      <x:c r="B105" s="19"/>
      <x:c r="C105" s="25"/>
      <x:c r="D105" s="19"/>
      <x:c r="E105" s="19"/>
      <x:c r="F105" s="26"/>
      <x:c r="G105" s="19"/>
      <x:c r="H105" s="19"/>
      <x:c r="I105" s="26"/>
      <x:c r="J105" s="19"/>
    </x:row>
    <x:row r="106">
      <x:c r="A106" s="19"/>
      <x:c r="B106" s="19"/>
      <x:c r="C106" s="25"/>
      <x:c r="D106" s="19"/>
      <x:c r="E106" s="19"/>
      <x:c r="F106" s="26"/>
      <x:c r="G106" s="19"/>
      <x:c r="H106" s="19"/>
      <x:c r="I106" s="26"/>
      <x:c r="J106" s="19"/>
    </x:row>
    <x:row r="107">
      <x:c r="A107" s="19"/>
      <x:c r="B107" s="19"/>
      <x:c r="C107" s="25"/>
      <x:c r="D107" s="19"/>
      <x:c r="E107" s="19"/>
      <x:c r="F107" s="26"/>
      <x:c r="G107" s="19"/>
      <x:c r="H107" s="19"/>
      <x:c r="I107" s="26"/>
      <x:c r="J107" s="19"/>
    </x:row>
    <x:row r="108">
      <x:c r="A108" s="19"/>
      <x:c r="B108" s="19"/>
      <x:c r="C108" s="25"/>
      <x:c r="D108" s="19"/>
      <x:c r="E108" s="19"/>
      <x:c r="F108" s="26"/>
      <x:c r="G108" s="19"/>
      <x:c r="H108" s="19"/>
      <x:c r="I108" s="26"/>
      <x:c r="J108" s="19"/>
    </x:row>
    <x:row r="109">
      <x:c r="A109" s="19"/>
      <x:c r="B109" s="19"/>
      <x:c r="C109" s="25"/>
      <x:c r="D109" s="19"/>
      <x:c r="E109" s="19"/>
      <x:c r="F109" s="26"/>
      <x:c r="G109" s="19"/>
      <x:c r="H109" s="19"/>
      <x:c r="I109" s="26"/>
      <x:c r="J109" s="19"/>
    </x:row>
    <x:row r="110">
      <x:c r="A110" s="19"/>
      <x:c r="B110" s="19"/>
      <x:c r="C110" s="25"/>
      <x:c r="D110" s="19"/>
      <x:c r="E110" s="19"/>
      <x:c r="F110" s="26"/>
      <x:c r="G110" s="19"/>
      <x:c r="H110" s="19"/>
      <x:c r="I110" s="26"/>
      <x:c r="J110" s="19"/>
    </x:row>
    <x:row r="111">
      <x:c r="A111" s="19"/>
      <x:c r="B111" s="19"/>
      <x:c r="C111" s="25"/>
      <x:c r="D111" s="19"/>
      <x:c r="E111" s="19"/>
      <x:c r="F111" s="26"/>
      <x:c r="G111" s="19"/>
      <x:c r="H111" s="19"/>
      <x:c r="I111" s="26"/>
      <x:c r="J111" s="19"/>
    </x:row>
    <x:row r="112">
      <x:c r="A112" s="19"/>
      <x:c r="B112" s="19"/>
      <x:c r="C112" s="25"/>
      <x:c r="D112" s="19"/>
      <x:c r="E112" s="19"/>
      <x:c r="F112" s="26"/>
      <x:c r="G112" s="19"/>
      <x:c r="H112" s="19"/>
      <x:c r="I112" s="26"/>
      <x:c r="J112" s="19"/>
    </x:row>
    <x:row r="113">
      <x:c r="A113" s="19"/>
      <x:c r="B113" s="19"/>
      <x:c r="C113" s="25"/>
      <x:c r="D113" s="19"/>
      <x:c r="E113" s="19"/>
      <x:c r="F113" s="26"/>
      <x:c r="G113" s="19"/>
      <x:c r="H113" s="19"/>
      <x:c r="I113" s="26"/>
      <x:c r="J113" s="19"/>
    </x:row>
    <x:row r="114">
      <x:c r="A114" s="19"/>
      <x:c r="B114" s="19"/>
      <x:c r="C114" s="25"/>
      <x:c r="D114" s="19"/>
      <x:c r="E114" s="19"/>
      <x:c r="F114" s="26"/>
      <x:c r="G114" s="19"/>
      <x:c r="H114" s="19"/>
      <x:c r="I114" s="26"/>
      <x:c r="J114" s="19"/>
    </x:row>
    <x:row r="115">
      <x:c r="A115" s="19"/>
      <x:c r="B115" s="19"/>
      <x:c r="C115" s="25"/>
      <x:c r="D115" s="19"/>
      <x:c r="E115" s="19"/>
      <x:c r="F115" s="26"/>
      <x:c r="G115" s="19"/>
      <x:c r="H115" s="19"/>
      <x:c r="I115" s="26"/>
      <x:c r="J115" s="19"/>
    </x:row>
    <x:row r="116">
      <x:c r="A116" s="19"/>
      <x:c r="B116" s="19"/>
      <x:c r="C116" s="25"/>
      <x:c r="D116" s="19"/>
      <x:c r="E116" s="19"/>
      <x:c r="F116" s="26"/>
      <x:c r="G116" s="19"/>
      <x:c r="H116" s="19"/>
      <x:c r="I116" s="26"/>
      <x:c r="J116" s="19"/>
    </x:row>
    <x:row r="117">
      <x:c r="A117" s="19"/>
      <x:c r="B117" s="19"/>
      <x:c r="C117" s="25"/>
      <x:c r="D117" s="19"/>
      <x:c r="E117" s="19"/>
      <x:c r="F117" s="26"/>
      <x:c r="G117" s="19"/>
      <x:c r="H117" s="19"/>
      <x:c r="I117" s="26"/>
      <x:c r="J117" s="19"/>
    </x:row>
    <x:row r="118">
      <x:c r="A118" s="19"/>
      <x:c r="B118" s="19"/>
      <x:c r="C118" s="25"/>
      <x:c r="D118" s="19"/>
      <x:c r="E118" s="19"/>
      <x:c r="F118" s="26"/>
      <x:c r="G118" s="19"/>
      <x:c r="H118" s="19"/>
      <x:c r="I118" s="26"/>
      <x:c r="J118" s="19"/>
    </x:row>
    <x:row r="119">
      <x:c r="A119" s="19"/>
      <x:c r="B119" s="19"/>
      <x:c r="C119" s="25"/>
      <x:c r="D119" s="19"/>
      <x:c r="E119" s="19"/>
      <x:c r="F119" s="26"/>
      <x:c r="G119" s="19"/>
      <x:c r="H119" s="19"/>
      <x:c r="I119" s="26"/>
      <x:c r="J119" s="19"/>
    </x:row>
    <x:row r="120">
      <x:c r="A120" s="19"/>
      <x:c r="B120" s="19"/>
      <x:c r="C120" s="25"/>
      <x:c r="D120" s="19"/>
      <x:c r="E120" s="19"/>
      <x:c r="F120" s="26"/>
      <x:c r="G120" s="19"/>
      <x:c r="H120" s="19"/>
      <x:c r="I120" s="26"/>
      <x:c r="J120" s="19"/>
    </x:row>
    <x:row r="121">
      <x:c r="A121" s="19"/>
      <x:c r="B121" s="19"/>
      <x:c r="C121" s="25"/>
      <x:c r="D121" s="19"/>
      <x:c r="E121" s="19"/>
      <x:c r="F121" s="26"/>
      <x:c r="G121" s="19"/>
      <x:c r="H121" s="19"/>
      <x:c r="I121" s="26"/>
      <x:c r="J121" s="19"/>
    </x:row>
    <x:row r="122">
      <x:c r="A122" s="19"/>
      <x:c r="B122" s="19"/>
      <x:c r="C122" s="25"/>
      <x:c r="D122" s="19"/>
      <x:c r="E122" s="19"/>
      <x:c r="F122" s="26"/>
      <x:c r="G122" s="19"/>
      <x:c r="H122" s="19"/>
      <x:c r="I122" s="26"/>
      <x:c r="J122" s="19"/>
    </x:row>
    <x:row r="123">
      <x:c r="A123" s="19"/>
      <x:c r="B123" s="19"/>
      <x:c r="C123" s="25"/>
      <x:c r="D123" s="19"/>
      <x:c r="E123" s="19"/>
      <x:c r="F123" s="26"/>
      <x:c r="G123" s="19"/>
      <x:c r="H123" s="19"/>
      <x:c r="I123" s="26"/>
      <x:c r="J123" s="19"/>
    </x:row>
    <x:row r="124">
      <x:c r="A124" s="19"/>
      <x:c r="B124" s="19"/>
      <x:c r="C124" s="25"/>
      <x:c r="D124" s="19"/>
      <x:c r="E124" s="19"/>
      <x:c r="F124" s="26"/>
      <x:c r="G124" s="19"/>
      <x:c r="H124" s="19"/>
      <x:c r="I124" s="26"/>
      <x:c r="J124" s="19"/>
    </x:row>
    <x:row r="125">
      <x:c r="A125" s="19"/>
      <x:c r="B125" s="19"/>
      <x:c r="C125" s="25"/>
      <x:c r="D125" s="19"/>
      <x:c r="E125" s="19"/>
      <x:c r="F125" s="26"/>
      <x:c r="G125" s="19"/>
      <x:c r="H125" s="19"/>
      <x:c r="I125" s="26"/>
      <x:c r="J125" s="19"/>
    </x:row>
    <x:row r="126">
      <x:c r="A126" s="19"/>
      <x:c r="B126" s="19"/>
      <x:c r="C126" s="25"/>
      <x:c r="D126" s="19"/>
      <x:c r="E126" s="19"/>
      <x:c r="F126" s="26"/>
      <x:c r="G126" s="19"/>
      <x:c r="H126" s="19"/>
      <x:c r="I126" s="26"/>
      <x:c r="J126" s="19"/>
    </x:row>
    <x:row r="127">
      <x:c r="A127" s="19"/>
      <x:c r="B127" s="19"/>
      <x:c r="C127" s="25"/>
      <x:c r="D127" s="19"/>
      <x:c r="E127" s="19"/>
      <x:c r="F127" s="26"/>
      <x:c r="G127" s="19"/>
      <x:c r="H127" s="19"/>
      <x:c r="I127" s="26"/>
      <x:c r="J127" s="19"/>
    </x:row>
    <x:row r="128">
      <x:c r="A128" s="19"/>
      <x:c r="B128" s="19"/>
      <x:c r="C128" s="25"/>
      <x:c r="D128" s="19"/>
      <x:c r="E128" s="19"/>
      <x:c r="F128" s="26"/>
      <x:c r="G128" s="19"/>
      <x:c r="H128" s="19"/>
      <x:c r="I128" s="26"/>
      <x:c r="J128" s="19"/>
    </x:row>
    <x:row r="129">
      <x:c r="A129" s="19"/>
      <x:c r="B129" s="19"/>
      <x:c r="C129" s="25"/>
      <x:c r="D129" s="19"/>
      <x:c r="E129" s="19"/>
      <x:c r="F129" s="26"/>
      <x:c r="G129" s="19"/>
      <x:c r="H129" s="19"/>
      <x:c r="I129" s="26"/>
      <x:c r="J129" s="19"/>
    </x:row>
    <x:row r="130">
      <x:c r="A130" s="19"/>
      <x:c r="B130" s="19"/>
      <x:c r="C130" s="25"/>
      <x:c r="D130" s="19"/>
      <x:c r="E130" s="19"/>
      <x:c r="F130" s="26"/>
      <x:c r="G130" s="19"/>
      <x:c r="H130" s="19"/>
      <x:c r="I130" s="26"/>
      <x:c r="J130" s="19"/>
    </x:row>
    <x:row r="131">
      <x:c r="A131" s="19"/>
      <x:c r="B131" s="19"/>
      <x:c r="C131" s="25"/>
      <x:c r="D131" s="19"/>
      <x:c r="E131" s="19"/>
      <x:c r="F131" s="26"/>
      <x:c r="G131" s="19"/>
      <x:c r="H131" s="19"/>
      <x:c r="I131" s="26"/>
      <x:c r="J131" s="19"/>
    </x:row>
    <x:row r="132">
      <x:c r="A132" s="19"/>
      <x:c r="B132" s="19"/>
      <x:c r="C132" s="25"/>
      <x:c r="D132" s="19"/>
      <x:c r="E132" s="19"/>
      <x:c r="F132" s="26"/>
      <x:c r="G132" s="19"/>
      <x:c r="H132" s="19"/>
      <x:c r="I132" s="26"/>
      <x:c r="J132" s="19"/>
    </x:row>
    <x:row r="133">
      <x:c r="A133" s="19"/>
      <x:c r="B133" s="19"/>
      <x:c r="C133" s="25"/>
      <x:c r="D133" s="19"/>
      <x:c r="E133" s="19"/>
      <x:c r="F133" s="26"/>
      <x:c r="G133" s="19"/>
      <x:c r="H133" s="19"/>
      <x:c r="I133" s="26"/>
      <x:c r="J133" s="19"/>
    </x:row>
    <x:row r="134">
      <x:c r="A134" s="19"/>
      <x:c r="B134" s="19"/>
      <x:c r="C134" s="25"/>
      <x:c r="D134" s="19"/>
      <x:c r="E134" s="19"/>
      <x:c r="F134" s="26"/>
      <x:c r="G134" s="19"/>
      <x:c r="H134" s="19"/>
      <x:c r="I134" s="26"/>
      <x:c r="J134" s="19"/>
    </x:row>
    <x:row r="135">
      <x:c r="A135" s="19"/>
      <x:c r="B135" s="19"/>
      <x:c r="C135" s="25"/>
      <x:c r="D135" s="19"/>
      <x:c r="E135" s="19"/>
      <x:c r="F135" s="26"/>
      <x:c r="G135" s="19"/>
      <x:c r="H135" s="19"/>
      <x:c r="I135" s="26"/>
      <x:c r="J135" s="19"/>
    </x:row>
    <x:row r="136">
      <x:c r="A136" s="19"/>
      <x:c r="B136" s="19"/>
      <x:c r="C136" s="25"/>
      <x:c r="D136" s="19"/>
      <x:c r="E136" s="19"/>
      <x:c r="F136" s="26"/>
      <x:c r="G136" s="19"/>
      <x:c r="H136" s="19"/>
      <x:c r="I136" s="26"/>
      <x:c r="J136" s="19"/>
    </x:row>
    <x:row r="137">
      <x:c r="A137" s="19"/>
      <x:c r="B137" s="19"/>
      <x:c r="C137" s="25"/>
      <x:c r="D137" s="19"/>
      <x:c r="E137" s="19"/>
      <x:c r="F137" s="26"/>
      <x:c r="G137" s="19"/>
      <x:c r="H137" s="19"/>
      <x:c r="I137" s="26"/>
      <x:c r="J137" s="19"/>
    </x:row>
    <x:row r="138">
      <x:c r="A138" s="19"/>
      <x:c r="B138" s="19"/>
      <x:c r="C138" s="25"/>
      <x:c r="D138" s="19"/>
      <x:c r="E138" s="19"/>
      <x:c r="F138" s="26"/>
      <x:c r="G138" s="19"/>
      <x:c r="H138" s="19"/>
      <x:c r="I138" s="26"/>
      <x:c r="J138" s="19"/>
    </x:row>
    <x:row r="139">
      <x:c r="A139" s="19"/>
      <x:c r="B139" s="19"/>
      <x:c r="C139" s="25"/>
      <x:c r="D139" s="19"/>
      <x:c r="E139" s="19"/>
      <x:c r="F139" s="26"/>
      <x:c r="G139" s="19"/>
      <x:c r="H139" s="19"/>
      <x:c r="I139" s="26"/>
      <x:c r="J139" s="19"/>
    </x:row>
    <x:row r="140">
      <x:c r="A140" s="19"/>
      <x:c r="B140" s="19"/>
      <x:c r="C140" s="25"/>
      <x:c r="D140" s="19"/>
      <x:c r="E140" s="19"/>
      <x:c r="F140" s="26"/>
      <x:c r="G140" s="19"/>
      <x:c r="H140" s="19"/>
      <x:c r="I140" s="26"/>
      <x:c r="J140" s="19"/>
    </x:row>
    <x:row r="141">
      <x:c r="A141" s="19"/>
      <x:c r="B141" s="19"/>
      <x:c r="C141" s="25"/>
      <x:c r="D141" s="19"/>
      <x:c r="E141" s="19"/>
      <x:c r="F141" s="26"/>
      <x:c r="G141" s="19"/>
      <x:c r="H141" s="19"/>
      <x:c r="I141" s="26"/>
      <x:c r="J141" s="19"/>
    </x:row>
    <x:row r="142">
      <x:c r="A142" s="19"/>
      <x:c r="B142" s="19"/>
      <x:c r="C142" s="25"/>
      <x:c r="D142" s="19"/>
      <x:c r="E142" s="19"/>
      <x:c r="F142" s="26"/>
      <x:c r="G142" s="19"/>
      <x:c r="H142" s="19"/>
      <x:c r="I142" s="26"/>
      <x:c r="J142" s="19"/>
    </x:row>
    <x:row r="143">
      <x:c r="A143" s="19"/>
      <x:c r="B143" s="19"/>
      <x:c r="C143" s="25"/>
      <x:c r="D143" s="19"/>
      <x:c r="E143" s="19"/>
      <x:c r="F143" s="26"/>
      <x:c r="G143" s="19"/>
      <x:c r="H143" s="19"/>
      <x:c r="I143" s="26"/>
      <x:c r="J143" s="19"/>
    </x:row>
    <x:row r="144">
      <x:c r="A144" s="19"/>
      <x:c r="B144" s="19"/>
      <x:c r="C144" s="25"/>
      <x:c r="D144" s="19"/>
      <x:c r="E144" s="19"/>
      <x:c r="F144" s="26"/>
      <x:c r="G144" s="19"/>
      <x:c r="H144" s="19"/>
      <x:c r="I144" s="26"/>
      <x:c r="J144" s="19"/>
    </x:row>
    <x:row r="145">
      <x:c r="A145" s="19"/>
      <x:c r="B145" s="19"/>
      <x:c r="C145" s="25"/>
      <x:c r="D145" s="19"/>
      <x:c r="E145" s="19"/>
      <x:c r="F145" s="26"/>
      <x:c r="G145" s="19"/>
      <x:c r="H145" s="19"/>
      <x:c r="I145" s="26"/>
      <x:c r="J145" s="19"/>
    </x:row>
    <x:row r="146">
      <x:c r="A146" s="19"/>
      <x:c r="B146" s="19"/>
      <x:c r="C146" s="25"/>
      <x:c r="D146" s="19"/>
      <x:c r="E146" s="19"/>
      <x:c r="F146" s="26"/>
      <x:c r="G146" s="19"/>
      <x:c r="H146" s="19"/>
      <x:c r="I146" s="26"/>
      <x:c r="J146" s="19"/>
    </x:row>
    <x:row r="147">
      <x:c r="A147" s="19"/>
      <x:c r="B147" s="19"/>
      <x:c r="C147" s="25"/>
      <x:c r="D147" s="19"/>
      <x:c r="E147" s="19"/>
      <x:c r="F147" s="26"/>
      <x:c r="G147" s="19"/>
      <x:c r="H147" s="19"/>
      <x:c r="I147" s="26"/>
      <x:c r="J147" s="19"/>
    </x:row>
    <x:row r="148">
      <x:c r="A148" s="19"/>
      <x:c r="B148" s="19"/>
      <x:c r="C148" s="25"/>
      <x:c r="D148" s="19"/>
      <x:c r="E148" s="19"/>
      <x:c r="F148" s="26"/>
      <x:c r="G148" s="19"/>
      <x:c r="H148" s="19"/>
      <x:c r="I148" s="26"/>
      <x:c r="J148" s="19"/>
    </x:row>
    <x:row r="149">
      <x:c r="A149" s="19"/>
      <x:c r="B149" s="19"/>
      <x:c r="C149" s="25"/>
      <x:c r="D149" s="19"/>
      <x:c r="E149" s="19"/>
      <x:c r="F149" s="26"/>
      <x:c r="G149" s="19"/>
      <x:c r="H149" s="19"/>
      <x:c r="I149" s="26"/>
      <x:c r="J149" s="19"/>
    </x:row>
    <x:row r="150">
      <x:c r="A150" s="19"/>
      <x:c r="B150" s="19"/>
      <x:c r="C150" s="25"/>
      <x:c r="D150" s="19"/>
      <x:c r="E150" s="19"/>
      <x:c r="F150" s="26"/>
      <x:c r="G150" s="19"/>
      <x:c r="H150" s="19"/>
      <x:c r="I150" s="26"/>
      <x:c r="J150" s="19"/>
    </x:row>
    <x:row r="151">
      <x:c r="A151" s="19"/>
      <x:c r="B151" s="19"/>
      <x:c r="C151" s="25"/>
      <x:c r="D151" s="19"/>
      <x:c r="E151" s="19"/>
      <x:c r="F151" s="26"/>
      <x:c r="G151" s="19"/>
      <x:c r="H151" s="19"/>
      <x:c r="I151" s="26"/>
      <x:c r="J151" s="19"/>
    </x:row>
    <x:row r="152">
      <x:c r="A152" s="19"/>
      <x:c r="B152" s="19"/>
      <x:c r="C152" s="25"/>
      <x:c r="D152" s="19"/>
      <x:c r="E152" s="19"/>
      <x:c r="F152" s="26"/>
      <x:c r="G152" s="19"/>
      <x:c r="H152" s="19"/>
      <x:c r="I152" s="26"/>
      <x:c r="J152" s="19"/>
    </x:row>
    <x:row r="153">
      <x:c r="A153" s="19"/>
      <x:c r="B153" s="19"/>
      <x:c r="C153" s="25"/>
      <x:c r="D153" s="19"/>
      <x:c r="E153" s="19"/>
      <x:c r="F153" s="26"/>
      <x:c r="G153" s="19"/>
      <x:c r="H153" s="19"/>
      <x:c r="I153" s="26"/>
      <x:c r="J153" s="19"/>
    </x:row>
    <x:row r="154">
      <x:c r="A154" s="19"/>
      <x:c r="B154" s="19"/>
      <x:c r="C154" s="25"/>
      <x:c r="D154" s="19"/>
      <x:c r="E154" s="19"/>
      <x:c r="F154" s="26"/>
      <x:c r="G154" s="19"/>
      <x:c r="H154" s="19"/>
      <x:c r="I154" s="26"/>
      <x:c r="J154" s="19"/>
    </x:row>
    <x:row r="155">
      <x:c r="A155" s="19"/>
      <x:c r="B155" s="19"/>
      <x:c r="C155" s="25"/>
      <x:c r="D155" s="19"/>
      <x:c r="E155" s="19"/>
      <x:c r="F155" s="26"/>
      <x:c r="G155" s="19"/>
      <x:c r="H155" s="19"/>
      <x:c r="I155" s="26"/>
      <x:c r="J155" s="19"/>
    </x:row>
    <x:row r="156">
      <x:c r="A156" s="19"/>
      <x:c r="B156" s="19"/>
      <x:c r="C156" s="25"/>
      <x:c r="D156" s="19"/>
      <x:c r="E156" s="19"/>
      <x:c r="F156" s="26"/>
      <x:c r="G156" s="19"/>
      <x:c r="H156" s="19"/>
      <x:c r="I156" s="26"/>
      <x:c r="J156" s="19"/>
    </x:row>
    <x:row r="157">
      <x:c r="A157" s="19"/>
      <x:c r="B157" s="19"/>
      <x:c r="C157" s="25"/>
      <x:c r="D157" s="19"/>
      <x:c r="E157" s="19"/>
      <x:c r="F157" s="26"/>
      <x:c r="G157" s="19"/>
      <x:c r="H157" s="19"/>
      <x:c r="I157" s="26"/>
      <x:c r="J157" s="19"/>
    </x:row>
    <x:row r="158">
      <x:c r="A158" s="19"/>
      <x:c r="B158" s="19"/>
      <x:c r="C158" s="25"/>
      <x:c r="D158" s="19"/>
      <x:c r="E158" s="19"/>
      <x:c r="F158" s="26"/>
      <x:c r="G158" s="19"/>
      <x:c r="H158" s="19"/>
      <x:c r="I158" s="26"/>
      <x:c r="J158" s="19"/>
    </x:row>
    <x:row r="159">
      <x:c r="A159" s="19"/>
      <x:c r="B159" s="19"/>
      <x:c r="C159" s="25"/>
      <x:c r="D159" s="19"/>
      <x:c r="E159" s="19"/>
      <x:c r="F159" s="26"/>
      <x:c r="G159" s="19"/>
      <x:c r="H159" s="19"/>
      <x:c r="I159" s="26"/>
      <x:c r="J159" s="19"/>
    </x:row>
    <x:row r="160">
      <x:c r="A160" s="19"/>
      <x:c r="B160" s="19"/>
      <x:c r="C160" s="25"/>
      <x:c r="D160" s="19"/>
      <x:c r="E160" s="19"/>
      <x:c r="F160" s="26"/>
      <x:c r="G160" s="19"/>
      <x:c r="H160" s="19"/>
      <x:c r="I160" s="26"/>
      <x:c r="J160" s="19"/>
    </x:row>
    <x:row r="161">
      <x:c r="A161" s="19"/>
      <x:c r="B161" s="19"/>
      <x:c r="C161" s="25"/>
      <x:c r="D161" s="19"/>
      <x:c r="E161" s="19"/>
      <x:c r="F161" s="26"/>
      <x:c r="G161" s="19"/>
      <x:c r="H161" s="19"/>
      <x:c r="I161" s="26"/>
      <x:c r="J161" s="19"/>
    </x:row>
    <x:row r="162">
      <x:c r="A162" s="19"/>
      <x:c r="B162" s="19"/>
      <x:c r="C162" s="25"/>
      <x:c r="D162" s="19"/>
      <x:c r="E162" s="19"/>
      <x:c r="F162" s="26"/>
      <x:c r="G162" s="19"/>
      <x:c r="H162" s="19"/>
      <x:c r="I162" s="26"/>
      <x:c r="J162" s="19"/>
    </x:row>
    <x:row r="163">
      <x:c r="A163" s="19"/>
      <x:c r="B163" s="19"/>
      <x:c r="C163" s="25"/>
      <x:c r="D163" s="19"/>
      <x:c r="E163" s="19"/>
      <x:c r="F163" s="26"/>
      <x:c r="G163" s="19"/>
      <x:c r="H163" s="19"/>
      <x:c r="I163" s="26"/>
      <x:c r="J163" s="19"/>
    </x:row>
    <x:row r="164">
      <x:c r="A164" s="19"/>
      <x:c r="B164" s="19"/>
      <x:c r="C164" s="25"/>
      <x:c r="D164" s="19"/>
      <x:c r="E164" s="19"/>
      <x:c r="F164" s="26"/>
      <x:c r="G164" s="19"/>
      <x:c r="H164" s="19"/>
      <x:c r="I164" s="26"/>
      <x:c r="J164" s="19"/>
    </x:row>
    <x:row r="165">
      <x:c r="A165" s="19"/>
      <x:c r="B165" s="19"/>
      <x:c r="C165" s="25"/>
      <x:c r="D165" s="19"/>
      <x:c r="E165" s="19"/>
      <x:c r="F165" s="26"/>
      <x:c r="G165" s="19"/>
      <x:c r="H165" s="19"/>
      <x:c r="I165" s="26"/>
      <x:c r="J165" s="19"/>
    </x:row>
    <x:row r="166">
      <x:c r="A166" s="19"/>
      <x:c r="B166" s="19"/>
      <x:c r="C166" s="25"/>
      <x:c r="D166" s="19"/>
      <x:c r="E166" s="19"/>
      <x:c r="F166" s="26"/>
      <x:c r="G166" s="19"/>
      <x:c r="H166" s="19"/>
      <x:c r="I166" s="26"/>
      <x:c r="J166" s="19"/>
    </x:row>
    <x:row r="167">
      <x:c r="A167" s="19"/>
      <x:c r="B167" s="19"/>
      <x:c r="C167" s="25"/>
      <x:c r="D167" s="19"/>
      <x:c r="E167" s="19"/>
      <x:c r="F167" s="26"/>
      <x:c r="G167" s="19"/>
      <x:c r="H167" s="19"/>
      <x:c r="I167" s="26"/>
      <x:c r="J167" s="19"/>
    </x:row>
    <x:row r="168">
      <x:c r="A168" s="19"/>
      <x:c r="B168" s="19"/>
      <x:c r="C168" s="25"/>
      <x:c r="D168" s="19"/>
      <x:c r="E168" s="19"/>
      <x:c r="F168" s="26"/>
      <x:c r="G168" s="19"/>
      <x:c r="H168" s="19"/>
      <x:c r="I168" s="26"/>
      <x:c r="J168" s="19"/>
    </x:row>
    <x:row r="169">
      <x:c r="A169" s="19"/>
      <x:c r="B169" s="19"/>
      <x:c r="C169" s="25"/>
      <x:c r="D169" s="19"/>
      <x:c r="E169" s="19"/>
      <x:c r="F169" s="26"/>
      <x:c r="G169" s="19"/>
      <x:c r="H169" s="19"/>
      <x:c r="I169" s="26"/>
      <x:c r="J169" s="19"/>
    </x:row>
    <x:row r="170">
      <x:c r="A170" s="19"/>
      <x:c r="B170" s="19"/>
      <x:c r="C170" s="25"/>
      <x:c r="D170" s="19"/>
      <x:c r="E170" s="19"/>
      <x:c r="F170" s="26"/>
      <x:c r="G170" s="19"/>
      <x:c r="H170" s="19"/>
      <x:c r="I170" s="26"/>
      <x:c r="J170" s="19"/>
    </x:row>
    <x:row r="171">
      <x:c r="A171" s="19"/>
      <x:c r="B171" s="19"/>
      <x:c r="C171" s="25"/>
      <x:c r="D171" s="19"/>
      <x:c r="E171" s="19"/>
      <x:c r="F171" s="26"/>
      <x:c r="G171" s="19"/>
      <x:c r="H171" s="19"/>
      <x:c r="I171" s="26"/>
      <x:c r="J171" s="19"/>
    </x:row>
    <x:row r="172">
      <x:c r="A172" s="19"/>
      <x:c r="B172" s="19"/>
      <x:c r="C172" s="25"/>
      <x:c r="D172" s="19"/>
      <x:c r="E172" s="19"/>
      <x:c r="F172" s="26"/>
      <x:c r="G172" s="19"/>
      <x:c r="H172" s="19"/>
      <x:c r="I172" s="26"/>
      <x:c r="J172" s="19"/>
    </x:row>
    <x:row r="173">
      <x:c r="A173" s="19"/>
      <x:c r="B173" s="19"/>
      <x:c r="C173" s="25"/>
      <x:c r="D173" s="19"/>
      <x:c r="E173" s="19"/>
      <x:c r="F173" s="26"/>
      <x:c r="G173" s="19"/>
      <x:c r="H173" s="19"/>
      <x:c r="I173" s="26"/>
      <x:c r="J173" s="19"/>
    </x:row>
    <x:row r="174">
      <x:c r="A174" s="19"/>
      <x:c r="B174" s="19"/>
      <x:c r="C174" s="25"/>
      <x:c r="D174" s="19"/>
      <x:c r="E174" s="19"/>
      <x:c r="F174" s="26"/>
      <x:c r="G174" s="19"/>
      <x:c r="H174" s="19"/>
      <x:c r="I174" s="26"/>
      <x:c r="J174" s="19"/>
    </x:row>
    <x:row r="175">
      <x:c r="A175" s="19"/>
      <x:c r="B175" s="19"/>
      <x:c r="C175" s="25"/>
      <x:c r="D175" s="19"/>
      <x:c r="E175" s="19"/>
      <x:c r="F175" s="26"/>
      <x:c r="G175" s="19"/>
      <x:c r="H175" s="19"/>
      <x:c r="I175" s="26"/>
      <x:c r="J175" s="19"/>
    </x:row>
    <x:row r="176">
      <x:c r="A176" s="19"/>
      <x:c r="B176" s="19"/>
      <x:c r="C176" s="25"/>
      <x:c r="D176" s="19"/>
      <x:c r="E176" s="19"/>
      <x:c r="F176" s="26"/>
      <x:c r="G176" s="19"/>
      <x:c r="H176" s="19"/>
      <x:c r="I176" s="26"/>
      <x:c r="J176" s="19"/>
    </x:row>
    <x:row r="177">
      <x:c r="A177" s="19"/>
      <x:c r="B177" s="19"/>
      <x:c r="C177" s="25"/>
      <x:c r="D177" s="19"/>
      <x:c r="E177" s="19"/>
      <x:c r="F177" s="26"/>
      <x:c r="G177" s="19"/>
      <x:c r="H177" s="19"/>
      <x:c r="I177" s="26"/>
      <x:c r="J177" s="19"/>
    </x:row>
    <x:row r="178">
      <x:c r="A178" s="19"/>
      <x:c r="B178" s="19"/>
      <x:c r="C178" s="25"/>
      <x:c r="D178" s="19"/>
      <x:c r="E178" s="19"/>
      <x:c r="F178" s="26"/>
      <x:c r="G178" s="19"/>
      <x:c r="H178" s="19"/>
      <x:c r="I178" s="26"/>
      <x:c r="J178" s="19"/>
    </x:row>
    <x:row r="179">
      <x:c r="A179" s="19"/>
      <x:c r="B179" s="19"/>
      <x:c r="C179" s="25"/>
      <x:c r="D179" s="19"/>
      <x:c r="E179" s="19"/>
      <x:c r="F179" s="26"/>
      <x:c r="G179" s="19"/>
      <x:c r="H179" s="19"/>
      <x:c r="I179" s="26"/>
      <x:c r="J179" s="19"/>
    </x:row>
    <x:row r="180">
      <x:c r="A180" s="19"/>
      <x:c r="B180" s="19"/>
      <x:c r="C180" s="25"/>
      <x:c r="D180" s="19"/>
      <x:c r="E180" s="19"/>
      <x:c r="F180" s="26"/>
      <x:c r="G180" s="19"/>
      <x:c r="H180" s="19"/>
      <x:c r="I180" s="26"/>
      <x:c r="J180" s="19"/>
    </x:row>
    <x:row r="181">
      <x:c r="A181" s="19"/>
      <x:c r="B181" s="19"/>
      <x:c r="C181" s="25"/>
      <x:c r="D181" s="19"/>
      <x:c r="E181" s="19"/>
      <x:c r="F181" s="26"/>
      <x:c r="G181" s="19"/>
      <x:c r="H181" s="19"/>
      <x:c r="I181" s="26"/>
      <x:c r="J181" s="19"/>
    </x:row>
    <x:row r="182">
      <x:c r="A182" s="19"/>
      <x:c r="B182" s="19"/>
      <x:c r="C182" s="25"/>
      <x:c r="D182" s="19"/>
      <x:c r="E182" s="19"/>
      <x:c r="F182" s="26"/>
      <x:c r="G182" s="19"/>
      <x:c r="H182" s="19"/>
      <x:c r="I182" s="26"/>
      <x:c r="J182" s="19"/>
    </x:row>
    <x:row r="183">
      <x:c r="A183" s="19"/>
      <x:c r="B183" s="19"/>
      <x:c r="C183" s="25"/>
      <x:c r="D183" s="19"/>
      <x:c r="E183" s="19"/>
      <x:c r="F183" s="26"/>
      <x:c r="G183" s="19"/>
      <x:c r="H183" s="19"/>
      <x:c r="I183" s="26"/>
      <x:c r="J183" s="19"/>
    </x:row>
    <x:row r="184">
      <x:c r="A184" s="19"/>
      <x:c r="B184" s="19"/>
      <x:c r="C184" s="25"/>
      <x:c r="D184" s="19"/>
      <x:c r="E184" s="19"/>
      <x:c r="F184" s="26"/>
      <x:c r="G184" s="19"/>
      <x:c r="H184" s="19"/>
      <x:c r="I184" s="26"/>
      <x:c r="J184" s="19"/>
    </x:row>
    <x:row r="185">
      <x:c r="A185" s="19"/>
      <x:c r="B185" s="19"/>
      <x:c r="C185" s="25"/>
      <x:c r="D185" s="19"/>
      <x:c r="E185" s="19"/>
      <x:c r="F185" s="26"/>
      <x:c r="G185" s="19"/>
      <x:c r="H185" s="19"/>
      <x:c r="I185" s="26"/>
      <x:c r="J185" s="19"/>
    </x:row>
    <x:row r="186">
      <x:c r="A186" s="19"/>
      <x:c r="B186" s="19"/>
      <x:c r="C186" s="25"/>
      <x:c r="D186" s="19"/>
      <x:c r="E186" s="19"/>
      <x:c r="F186" s="26"/>
      <x:c r="G186" s="19"/>
      <x:c r="H186" s="19"/>
      <x:c r="I186" s="26"/>
      <x:c r="J186" s="19"/>
    </x:row>
    <x:row r="187">
      <x:c r="A187" s="19"/>
      <x:c r="B187" s="19"/>
      <x:c r="C187" s="25"/>
      <x:c r="D187" s="19"/>
      <x:c r="E187" s="19"/>
      <x:c r="F187" s="26"/>
      <x:c r="G187" s="19"/>
      <x:c r="H187" s="19"/>
      <x:c r="I187" s="26"/>
      <x:c r="J187" s="19"/>
    </x:row>
    <x:row r="188">
      <x:c r="A188" s="19"/>
      <x:c r="B188" s="19"/>
      <x:c r="C188" s="25"/>
      <x:c r="D188" s="19"/>
      <x:c r="E188" s="19"/>
      <x:c r="F188" s="26"/>
      <x:c r="G188" s="19"/>
      <x:c r="H188" s="19"/>
      <x:c r="I188" s="26"/>
      <x:c r="J188" s="19"/>
    </x:row>
    <x:row r="189">
      <x:c r="A189" s="19"/>
      <x:c r="B189" s="19"/>
      <x:c r="C189" s="25"/>
      <x:c r="D189" s="19"/>
      <x:c r="E189" s="19"/>
      <x:c r="F189" s="26"/>
      <x:c r="G189" s="19"/>
      <x:c r="H189" s="19"/>
      <x:c r="I189" s="26"/>
      <x:c r="J189" s="19"/>
    </x:row>
    <x:row r="190">
      <x:c r="A190" s="19"/>
      <x:c r="B190" s="19"/>
      <x:c r="C190" s="25"/>
      <x:c r="D190" s="19"/>
      <x:c r="E190" s="19"/>
      <x:c r="F190" s="26"/>
      <x:c r="G190" s="19"/>
      <x:c r="H190" s="19"/>
      <x:c r="I190" s="26"/>
      <x:c r="J190" s="19"/>
    </x:row>
    <x:row r="191">
      <x:c r="A191" s="19"/>
      <x:c r="B191" s="19"/>
      <x:c r="C191" s="25"/>
      <x:c r="D191" s="19"/>
      <x:c r="E191" s="19"/>
      <x:c r="F191" s="26"/>
      <x:c r="G191" s="19"/>
      <x:c r="H191" s="19"/>
      <x:c r="I191" s="26"/>
      <x:c r="J191" s="19"/>
    </x:row>
    <x:row r="192">
      <x:c r="A192" s="19"/>
      <x:c r="B192" s="19"/>
      <x:c r="C192" s="25"/>
      <x:c r="D192" s="19"/>
      <x:c r="E192" s="19"/>
      <x:c r="F192" s="26"/>
      <x:c r="G192" s="19"/>
      <x:c r="H192" s="19"/>
      <x:c r="I192" s="26"/>
      <x:c r="J192" s="19"/>
    </x:row>
    <x:row r="193">
      <x:c r="A193" s="19"/>
      <x:c r="B193" s="19"/>
      <x:c r="C193" s="25"/>
      <x:c r="D193" s="19"/>
      <x:c r="E193" s="19"/>
      <x:c r="F193" s="26"/>
      <x:c r="G193" s="19"/>
      <x:c r="H193" s="19"/>
      <x:c r="I193" s="26"/>
      <x:c r="J193" s="19"/>
    </x:row>
    <x:row r="194">
      <x:c r="A194" s="19"/>
      <x:c r="B194" s="19"/>
      <x:c r="C194" s="25"/>
      <x:c r="D194" s="19"/>
      <x:c r="E194" s="19"/>
      <x:c r="F194" s="26"/>
      <x:c r="G194" s="19"/>
      <x:c r="H194" s="19"/>
      <x:c r="I194" s="26"/>
      <x:c r="J194" s="19"/>
    </x:row>
    <x:row r="195">
      <x:c r="A195" s="19"/>
      <x:c r="B195" s="19"/>
      <x:c r="C195" s="25"/>
      <x:c r="D195" s="19"/>
      <x:c r="E195" s="19"/>
      <x:c r="F195" s="26"/>
      <x:c r="G195" s="19"/>
      <x:c r="H195" s="19"/>
      <x:c r="I195" s="26"/>
      <x:c r="J195" s="19"/>
    </x:row>
    <x:row r="196">
      <x:c r="A196" s="19"/>
      <x:c r="B196" s="19"/>
      <x:c r="C196" s="25"/>
      <x:c r="D196" s="19"/>
      <x:c r="E196" s="19"/>
      <x:c r="F196" s="26"/>
      <x:c r="G196" s="19"/>
      <x:c r="H196" s="19"/>
      <x:c r="I196" s="26"/>
      <x:c r="J196" s="19"/>
    </x:row>
    <x:row r="197">
      <x:c r="A197" s="19"/>
      <x:c r="B197" s="19"/>
      <x:c r="C197" s="25"/>
      <x:c r="D197" s="19"/>
      <x:c r="E197" s="19"/>
      <x:c r="F197" s="26"/>
      <x:c r="G197" s="19"/>
      <x:c r="H197" s="19"/>
      <x:c r="I197" s="26"/>
      <x:c r="J197" s="19"/>
    </x:row>
    <x:row r="198">
      <x:c r="A198" s="19"/>
      <x:c r="B198" s="19"/>
      <x:c r="C198" s="25"/>
      <x:c r="D198" s="19"/>
      <x:c r="E198" s="19"/>
      <x:c r="F198" s="26"/>
      <x:c r="G198" s="19"/>
      <x:c r="H198" s="19"/>
      <x:c r="I198" s="26"/>
      <x:c r="J198" s="19"/>
    </x:row>
    <x:row r="199">
      <x:c r="A199" s="19"/>
      <x:c r="B199" s="19"/>
      <x:c r="C199" s="25"/>
      <x:c r="D199" s="19"/>
      <x:c r="E199" s="19"/>
      <x:c r="F199" s="26"/>
      <x:c r="G199" s="19"/>
      <x:c r="H199" s="19"/>
      <x:c r="I199" s="26"/>
      <x:c r="J199" s="19"/>
    </x:row>
    <x:row r="200">
      <x:c r="A200" s="19"/>
      <x:c r="B200" s="19"/>
      <x:c r="C200" s="25"/>
      <x:c r="D200" s="19"/>
      <x:c r="E200" s="19"/>
      <x:c r="F200" s="26"/>
      <x:c r="G200" s="19"/>
      <x:c r="H200" s="19"/>
      <x:c r="I200" s="26"/>
      <x:c r="J200" s="19"/>
    </x:row>
    <x:row r="201">
      <x:c r="A201" s="19"/>
      <x:c r="B201" s="19"/>
      <x:c r="C201" s="25"/>
      <x:c r="D201" s="19"/>
      <x:c r="E201" s="19"/>
      <x:c r="F201" s="26"/>
      <x:c r="G201" s="19"/>
      <x:c r="H201" s="19"/>
      <x:c r="I201" s="26"/>
      <x:c r="J201" s="19"/>
    </x:row>
    <x:row r="202">
      <x:c r="A202" s="19"/>
      <x:c r="B202" s="19"/>
      <x:c r="C202" s="25"/>
      <x:c r="D202" s="19"/>
      <x:c r="E202" s="19"/>
      <x:c r="F202" s="26"/>
      <x:c r="G202" s="19"/>
      <x:c r="H202" s="19"/>
      <x:c r="I202" s="26"/>
      <x:c r="J202" s="19"/>
    </x:row>
    <x:row r="203">
      <x:c r="A203" s="19"/>
      <x:c r="B203" s="19"/>
      <x:c r="C203" s="25"/>
      <x:c r="D203" s="19"/>
      <x:c r="E203" s="19"/>
      <x:c r="F203" s="26"/>
      <x:c r="G203" s="19"/>
      <x:c r="H203" s="19"/>
      <x:c r="I203" s="26"/>
      <x:c r="J203" s="19"/>
    </x:row>
    <x:row r="204">
      <x:c r="A204" s="19"/>
      <x:c r="B204" s="19"/>
      <x:c r="C204" s="25"/>
      <x:c r="D204" s="19"/>
      <x:c r="E204" s="19"/>
      <x:c r="F204" s="26"/>
      <x:c r="G204" s="19"/>
      <x:c r="H204" s="19"/>
      <x:c r="I204" s="26"/>
      <x:c r="J204" s="19"/>
    </x:row>
    <x:row r="205">
      <x:c r="A205" s="19"/>
      <x:c r="B205" s="19"/>
      <x:c r="C205" s="25"/>
      <x:c r="D205" s="19"/>
      <x:c r="E205" s="19"/>
      <x:c r="F205" s="26"/>
      <x:c r="G205" s="19"/>
      <x:c r="H205" s="19"/>
      <x:c r="I205" s="26"/>
      <x:c r="J205" s="19"/>
    </x:row>
    <x:row r="206">
      <x:c r="A206" s="19"/>
      <x:c r="B206" s="19"/>
      <x:c r="C206" s="25"/>
      <x:c r="D206" s="19"/>
      <x:c r="E206" s="19"/>
      <x:c r="F206" s="26"/>
      <x:c r="G206" s="19"/>
      <x:c r="H206" s="19"/>
      <x:c r="I206" s="26"/>
      <x:c r="J206" s="19"/>
    </x:row>
    <x:row r="207">
      <x:c r="A207" s="19"/>
      <x:c r="B207" s="19"/>
      <x:c r="C207" s="25"/>
      <x:c r="D207" s="19"/>
      <x:c r="E207" s="19"/>
      <x:c r="F207" s="26"/>
      <x:c r="G207" s="19"/>
      <x:c r="H207" s="19"/>
      <x:c r="I207" s="26"/>
      <x:c r="J207" s="19"/>
    </x:row>
    <x:row r="208">
      <x:c r="A208" s="19"/>
      <x:c r="B208" s="19"/>
      <x:c r="C208" s="25"/>
      <x:c r="D208" s="19"/>
      <x:c r="E208" s="19"/>
      <x:c r="F208" s="26"/>
      <x:c r="G208" s="19"/>
      <x:c r="H208" s="19"/>
      <x:c r="I208" s="26"/>
      <x:c r="J208" s="19"/>
    </x:row>
    <x:row r="209">
      <x:c r="A209" s="19"/>
      <x:c r="B209" s="19"/>
      <x:c r="C209" s="25"/>
      <x:c r="D209" s="19"/>
      <x:c r="E209" s="19"/>
      <x:c r="F209" s="26"/>
      <x:c r="G209" s="19"/>
      <x:c r="H209" s="19"/>
      <x:c r="I209" s="26"/>
      <x:c r="J209" s="19"/>
    </x:row>
    <x:row r="210">
      <x:c r="A210" s="19"/>
      <x:c r="B210" s="19"/>
      <x:c r="C210" s="25"/>
      <x:c r="D210" s="19"/>
      <x:c r="E210" s="19"/>
      <x:c r="F210" s="26"/>
      <x:c r="G210" s="19"/>
      <x:c r="H210" s="19"/>
      <x:c r="I210" s="26"/>
      <x:c r="J210" s="19"/>
    </x:row>
    <x:row r="211">
      <x:c r="A211" s="19"/>
      <x:c r="B211" s="19"/>
      <x:c r="C211" s="25"/>
      <x:c r="D211" s="19"/>
      <x:c r="E211" s="19"/>
      <x:c r="F211" s="26"/>
      <x:c r="G211" s="19"/>
      <x:c r="H211" s="19"/>
      <x:c r="I211" s="26"/>
      <x:c r="J211" s="19"/>
    </x:row>
    <x:row r="212">
      <x:c r="A212" s="19"/>
      <x:c r="B212" s="19"/>
      <x:c r="C212" s="25"/>
      <x:c r="D212" s="19"/>
      <x:c r="E212" s="19"/>
      <x:c r="F212" s="26"/>
      <x:c r="G212" s="19"/>
      <x:c r="H212" s="19"/>
      <x:c r="I212" s="26"/>
      <x:c r="J212" s="19"/>
    </x:row>
    <x:row r="213">
      <x:c r="A213" s="19"/>
      <x:c r="B213" s="19"/>
      <x:c r="C213" s="25"/>
      <x:c r="D213" s="19"/>
      <x:c r="E213" s="19"/>
      <x:c r="F213" s="26"/>
      <x:c r="G213" s="19"/>
      <x:c r="H213" s="19"/>
      <x:c r="I213" s="26"/>
      <x:c r="J213" s="19"/>
    </x:row>
    <x:row r="214">
      <x:c r="A214" s="19"/>
      <x:c r="B214" s="19"/>
      <x:c r="C214" s="25"/>
      <x:c r="D214" s="19"/>
      <x:c r="E214" s="19"/>
      <x:c r="F214" s="26"/>
      <x:c r="G214" s="19"/>
      <x:c r="H214" s="19"/>
      <x:c r="I214" s="26"/>
      <x:c r="J214" s="19"/>
    </x:row>
    <x:row r="215">
      <x:c r="A215" s="19"/>
      <x:c r="B215" s="19"/>
      <x:c r="C215" s="25"/>
      <x:c r="D215" s="19"/>
      <x:c r="E215" s="19"/>
      <x:c r="F215" s="26"/>
      <x:c r="G215" s="19"/>
      <x:c r="H215" s="19"/>
      <x:c r="I215" s="26"/>
      <x:c r="J215" s="19"/>
    </x:row>
    <x:row r="216">
      <x:c r="A216" s="19"/>
      <x:c r="B216" s="19"/>
      <x:c r="C216" s="25"/>
      <x:c r="D216" s="19"/>
      <x:c r="E216" s="19"/>
      <x:c r="F216" s="26"/>
      <x:c r="G216" s="19"/>
      <x:c r="H216" s="19"/>
      <x:c r="I216" s="26"/>
      <x:c r="J216" s="19"/>
    </x:row>
    <x:row r="217">
      <x:c r="A217" s="19"/>
      <x:c r="B217" s="19"/>
      <x:c r="C217" s="25"/>
      <x:c r="D217" s="19"/>
      <x:c r="E217" s="19"/>
      <x:c r="F217" s="26"/>
      <x:c r="G217" s="19"/>
      <x:c r="H217" s="19"/>
      <x:c r="I217" s="26"/>
      <x:c r="J217" s="19"/>
    </x:row>
    <x:row r="218">
      <x:c r="A218" s="19"/>
      <x:c r="B218" s="19"/>
      <x:c r="C218" s="25"/>
      <x:c r="D218" s="19"/>
      <x:c r="E218" s="19"/>
      <x:c r="F218" s="26"/>
      <x:c r="G218" s="19"/>
      <x:c r="H218" s="19"/>
      <x:c r="I218" s="26"/>
      <x:c r="J218" s="19"/>
    </x:row>
    <x:row r="219">
      <x:c r="A219" s="19"/>
      <x:c r="B219" s="19"/>
      <x:c r="C219" s="25"/>
      <x:c r="D219" s="19"/>
      <x:c r="E219" s="19"/>
      <x:c r="F219" s="26"/>
      <x:c r="G219" s="19"/>
      <x:c r="H219" s="19"/>
      <x:c r="I219" s="26"/>
      <x:c r="J219" s="19"/>
    </x:row>
    <x:row r="220">
      <x:c r="A220" s="19"/>
      <x:c r="B220" s="19"/>
      <x:c r="C220" s="25"/>
      <x:c r="D220" s="19"/>
      <x:c r="E220" s="19"/>
      <x:c r="F220" s="26"/>
      <x:c r="G220" s="19"/>
      <x:c r="H220" s="19"/>
      <x:c r="I220" s="26"/>
      <x:c r="J220" s="19"/>
    </x:row>
    <x:row r="221">
      <x:c r="A221" s="19"/>
      <x:c r="B221" s="19"/>
      <x:c r="C221" s="25"/>
      <x:c r="D221" s="19"/>
      <x:c r="E221" s="19"/>
      <x:c r="F221" s="26"/>
      <x:c r="G221" s="19"/>
      <x:c r="H221" s="19"/>
      <x:c r="I221" s="26"/>
      <x:c r="J221" s="19"/>
    </x:row>
    <x:row r="222">
      <x:c r="A222" s="19"/>
      <x:c r="B222" s="19"/>
      <x:c r="C222" s="25"/>
      <x:c r="D222" s="19"/>
      <x:c r="E222" s="19"/>
      <x:c r="F222" s="26"/>
      <x:c r="G222" s="19"/>
      <x:c r="H222" s="19"/>
      <x:c r="I222" s="26"/>
      <x:c r="J222" s="19"/>
    </x:row>
    <x:row r="223">
      <x:c r="A223" s="19"/>
      <x:c r="B223" s="19"/>
      <x:c r="C223" s="25"/>
      <x:c r="D223" s="19"/>
      <x:c r="E223" s="19"/>
      <x:c r="F223" s="26"/>
      <x:c r="G223" s="19"/>
      <x:c r="H223" s="19"/>
      <x:c r="I223" s="26"/>
      <x:c r="J223" s="19"/>
    </x:row>
    <x:row r="224">
      <x:c r="A224" s="19"/>
      <x:c r="B224" s="19"/>
      <x:c r="C224" s="25"/>
      <x:c r="D224" s="19"/>
      <x:c r="E224" s="19"/>
      <x:c r="F224" s="26"/>
      <x:c r="G224" s="19"/>
      <x:c r="H224" s="19"/>
      <x:c r="I224" s="26"/>
      <x:c r="J224" s="19"/>
    </x:row>
    <x:row r="225">
      <x:c r="A225" s="19"/>
      <x:c r="B225" s="19"/>
      <x:c r="C225" s="25"/>
      <x:c r="D225" s="19"/>
      <x:c r="E225" s="19"/>
      <x:c r="F225" s="26"/>
      <x:c r="G225" s="19"/>
      <x:c r="H225" s="19"/>
      <x:c r="I225" s="26"/>
      <x:c r="J225" s="19"/>
    </x:row>
    <x:row r="226">
      <x:c r="A226" s="19"/>
      <x:c r="B226" s="19"/>
      <x:c r="C226" s="25"/>
      <x:c r="D226" s="19"/>
      <x:c r="E226" s="19"/>
      <x:c r="F226" s="26"/>
      <x:c r="G226" s="19"/>
      <x:c r="H226" s="19"/>
      <x:c r="I226" s="26"/>
      <x:c r="J226" s="19"/>
    </x:row>
    <x:row r="227">
      <x:c r="A227" s="19"/>
      <x:c r="B227" s="19"/>
      <x:c r="C227" s="25"/>
      <x:c r="D227" s="19"/>
      <x:c r="E227" s="19"/>
      <x:c r="F227" s="26"/>
      <x:c r="G227" s="19"/>
      <x:c r="H227" s="19"/>
      <x:c r="I227" s="26"/>
      <x:c r="J227" s="19"/>
    </x:row>
    <x:row r="228">
      <x:c r="A228" s="19"/>
      <x:c r="B228" s="19"/>
      <x:c r="C228" s="25"/>
      <x:c r="D228" s="19"/>
      <x:c r="E228" s="19"/>
      <x:c r="F228" s="26"/>
      <x:c r="G228" s="19"/>
      <x:c r="H228" s="19"/>
      <x:c r="I228" s="26"/>
      <x:c r="J228" s="19"/>
    </x:row>
    <x:row r="229">
      <x:c r="A229" s="19"/>
      <x:c r="B229" s="19"/>
      <x:c r="C229" s="25"/>
      <x:c r="D229" s="19"/>
      <x:c r="E229" s="19"/>
      <x:c r="F229" s="26"/>
      <x:c r="G229" s="19"/>
      <x:c r="H229" s="19"/>
      <x:c r="I229" s="26"/>
      <x:c r="J229" s="19"/>
    </x:row>
    <x:row r="230">
      <x:c r="A230" s="19"/>
      <x:c r="B230" s="19"/>
      <x:c r="C230" s="25"/>
      <x:c r="D230" s="19"/>
      <x:c r="E230" s="19"/>
      <x:c r="F230" s="26"/>
      <x:c r="G230" s="19"/>
      <x:c r="H230" s="19"/>
      <x:c r="I230" s="26"/>
      <x:c r="J230" s="19"/>
    </x:row>
    <x:row r="231">
      <x:c r="A231" s="19"/>
      <x:c r="B231" s="19"/>
      <x:c r="C231" s="25"/>
      <x:c r="D231" s="19"/>
      <x:c r="E231" s="19"/>
      <x:c r="F231" s="26"/>
      <x:c r="G231" s="19"/>
      <x:c r="H231" s="19"/>
      <x:c r="I231" s="26"/>
      <x:c r="J231" s="19"/>
    </x:row>
    <x:row r="232">
      <x:c r="A232" s="19"/>
      <x:c r="B232" s="19"/>
      <x:c r="C232" s="25"/>
      <x:c r="D232" s="19"/>
      <x:c r="E232" s="19"/>
      <x:c r="F232" s="26"/>
      <x:c r="G232" s="19"/>
      <x:c r="H232" s="19"/>
      <x:c r="I232" s="26"/>
      <x:c r="J232" s="19"/>
    </x:row>
    <x:row r="233">
      <x:c r="A233" s="19"/>
      <x:c r="B233" s="19"/>
      <x:c r="C233" s="25"/>
      <x:c r="D233" s="19"/>
      <x:c r="E233" s="19"/>
      <x:c r="F233" s="26"/>
      <x:c r="G233" s="19"/>
      <x:c r="H233" s="19"/>
      <x:c r="I233" s="26"/>
      <x:c r="J233" s="19"/>
    </x:row>
    <x:row r="234">
      <x:c r="A234" s="19"/>
      <x:c r="B234" s="19"/>
      <x:c r="C234" s="25"/>
      <x:c r="D234" s="19"/>
      <x:c r="E234" s="19"/>
      <x:c r="F234" s="26"/>
      <x:c r="G234" s="19"/>
      <x:c r="H234" s="19"/>
      <x:c r="I234" s="26"/>
      <x:c r="J234" s="19"/>
    </x:row>
    <x:row r="235">
      <x:c r="A235" s="19"/>
      <x:c r="B235" s="19"/>
      <x:c r="C235" s="25"/>
      <x:c r="D235" s="19"/>
      <x:c r="E235" s="19"/>
      <x:c r="F235" s="26"/>
      <x:c r="G235" s="19"/>
      <x:c r="H235" s="19"/>
      <x:c r="I235" s="26"/>
      <x:c r="J235" s="19"/>
    </x:row>
    <x:row r="236">
      <x:c r="A236" s="19"/>
      <x:c r="B236" s="19"/>
      <x:c r="C236" s="25"/>
      <x:c r="D236" s="19"/>
      <x:c r="E236" s="19"/>
      <x:c r="F236" s="26"/>
      <x:c r="G236" s="19"/>
      <x:c r="H236" s="19"/>
      <x:c r="I236" s="26"/>
      <x:c r="J236" s="19"/>
    </x:row>
    <x:row r="237">
      <x:c r="A237" s="19"/>
      <x:c r="B237" s="19"/>
      <x:c r="C237" s="25"/>
      <x:c r="D237" s="19"/>
      <x:c r="E237" s="19"/>
      <x:c r="F237" s="26"/>
      <x:c r="G237" s="19"/>
      <x:c r="H237" s="19"/>
      <x:c r="I237" s="26"/>
      <x:c r="J237" s="19"/>
    </x:row>
    <x:row r="238">
      <x:c r="A238" s="19"/>
      <x:c r="B238" s="19"/>
      <x:c r="C238" s="25"/>
      <x:c r="D238" s="19"/>
      <x:c r="E238" s="19"/>
      <x:c r="F238" s="26"/>
      <x:c r="G238" s="19"/>
      <x:c r="H238" s="19"/>
      <x:c r="I238" s="26"/>
      <x:c r="J238" s="19"/>
    </x:row>
    <x:row r="239">
      <x:c r="A239" s="19"/>
      <x:c r="B239" s="19"/>
      <x:c r="C239" s="25"/>
      <x:c r="D239" s="19"/>
      <x:c r="E239" s="19"/>
      <x:c r="F239" s="26"/>
      <x:c r="G239" s="19"/>
      <x:c r="H239" s="19"/>
      <x:c r="I239" s="26"/>
      <x:c r="J239" s="19"/>
    </x:row>
    <x:row r="240">
      <x:c r="A240" s="19"/>
      <x:c r="B240" s="19"/>
      <x:c r="C240" s="25"/>
      <x:c r="D240" s="19"/>
      <x:c r="E240" s="19"/>
      <x:c r="F240" s="26"/>
      <x:c r="G240" s="19"/>
      <x:c r="H240" s="19"/>
      <x:c r="I240" s="26"/>
      <x:c r="J240" s="19"/>
    </x:row>
    <x:row r="241">
      <x:c r="A241" s="19"/>
      <x:c r="B241" s="19"/>
      <x:c r="C241" s="25"/>
      <x:c r="D241" s="19"/>
      <x:c r="E241" s="19"/>
      <x:c r="F241" s="26"/>
      <x:c r="G241" s="19"/>
      <x:c r="H241" s="19"/>
      <x:c r="I241" s="26"/>
      <x:c r="J241" s="19"/>
    </x:row>
    <x:row r="242">
      <x:c r="A242" s="19"/>
      <x:c r="B242" s="19"/>
      <x:c r="C242" s="25"/>
      <x:c r="D242" s="19"/>
      <x:c r="E242" s="19"/>
      <x:c r="F242" s="26"/>
      <x:c r="G242" s="19"/>
      <x:c r="H242" s="19"/>
      <x:c r="I242" s="26"/>
      <x:c r="J242" s="19"/>
    </x:row>
    <x:row r="243">
      <x:c r="A243" s="19"/>
      <x:c r="B243" s="19"/>
      <x:c r="C243" s="25"/>
      <x:c r="D243" s="19"/>
      <x:c r="E243" s="19"/>
      <x:c r="F243" s="26"/>
      <x:c r="G243" s="19"/>
      <x:c r="H243" s="19"/>
      <x:c r="I243" s="26"/>
      <x:c r="J243" s="19"/>
    </x:row>
    <x:row r="244">
      <x:c r="A244" s="19"/>
      <x:c r="B244" s="19"/>
      <x:c r="C244" s="25"/>
      <x:c r="D244" s="19"/>
      <x:c r="E244" s="19"/>
      <x:c r="F244" s="26"/>
      <x:c r="G244" s="19"/>
      <x:c r="H244" s="19"/>
      <x:c r="I244" s="26"/>
      <x:c r="J244" s="19"/>
    </x:row>
    <x:row r="245">
      <x:c r="A245" s="19"/>
      <x:c r="B245" s="19"/>
      <x:c r="C245" s="25"/>
      <x:c r="D245" s="19"/>
      <x:c r="E245" s="19"/>
      <x:c r="F245" s="26"/>
      <x:c r="G245" s="19"/>
      <x:c r="H245" s="19"/>
      <x:c r="I245" s="26"/>
      <x:c r="J245" s="19"/>
    </x:row>
    <x:row r="246">
      <x:c r="A246" s="19"/>
      <x:c r="B246" s="19"/>
      <x:c r="C246" s="25"/>
      <x:c r="D246" s="19"/>
      <x:c r="E246" s="19"/>
      <x:c r="F246" s="26"/>
      <x:c r="G246" s="19"/>
      <x:c r="H246" s="19"/>
      <x:c r="I246" s="26"/>
      <x:c r="J246" s="19"/>
    </x:row>
    <x:row r="247">
      <x:c r="A247" s="19"/>
      <x:c r="B247" s="19"/>
      <x:c r="C247" s="25"/>
      <x:c r="D247" s="19"/>
      <x:c r="E247" s="19"/>
      <x:c r="F247" s="26"/>
      <x:c r="G247" s="19"/>
      <x:c r="H247" s="19"/>
      <x:c r="I247" s="26"/>
      <x:c r="J247" s="19"/>
    </x:row>
    <x:row r="248">
      <x:c r="A248" s="19"/>
      <x:c r="B248" s="19"/>
      <x:c r="C248" s="25"/>
      <x:c r="D248" s="19"/>
      <x:c r="E248" s="19"/>
      <x:c r="F248" s="26"/>
      <x:c r="G248" s="19"/>
      <x:c r="H248" s="19"/>
      <x:c r="I248" s="26"/>
      <x:c r="J248" s="19"/>
    </x:row>
    <x:row r="249">
      <x:c r="A249" s="19"/>
      <x:c r="B249" s="19"/>
      <x:c r="C249" s="25"/>
      <x:c r="D249" s="19"/>
      <x:c r="E249" s="19"/>
      <x:c r="F249" s="26"/>
      <x:c r="G249" s="19"/>
      <x:c r="H249" s="19"/>
      <x:c r="I249" s="26"/>
      <x:c r="J249" s="19"/>
    </x:row>
    <x:row r="250">
      <x:c r="A250" s="19"/>
      <x:c r="B250" s="19"/>
      <x:c r="C250" s="25"/>
      <x:c r="D250" s="19"/>
      <x:c r="E250" s="19"/>
      <x:c r="F250" s="26"/>
      <x:c r="G250" s="19"/>
      <x:c r="H250" s="19"/>
      <x:c r="I250" s="26"/>
      <x:c r="J250" s="19"/>
    </x:row>
    <x:row r="251">
      <x:c r="A251" s="19"/>
      <x:c r="B251" s="19"/>
      <x:c r="C251" s="25"/>
      <x:c r="D251" s="19"/>
      <x:c r="E251" s="19"/>
      <x:c r="F251" s="26"/>
      <x:c r="G251" s="19"/>
      <x:c r="H251" s="19"/>
      <x:c r="I251" s="26"/>
      <x:c r="J251" s="19"/>
    </x:row>
    <x:row r="252">
      <x:c r="A252" s="19"/>
      <x:c r="B252" s="19"/>
      <x:c r="C252" s="25"/>
      <x:c r="D252" s="19"/>
      <x:c r="E252" s="19"/>
      <x:c r="F252" s="26"/>
      <x:c r="G252" s="19"/>
      <x:c r="H252" s="19"/>
      <x:c r="I252" s="26"/>
      <x:c r="J252" s="19"/>
    </x:row>
    <x:row r="253">
      <x:c r="A253" s="19"/>
      <x:c r="B253" s="19"/>
      <x:c r="C253" s="25"/>
      <x:c r="D253" s="19"/>
      <x:c r="E253" s="19"/>
      <x:c r="F253" s="26"/>
      <x:c r="G253" s="19"/>
      <x:c r="H253" s="19"/>
      <x:c r="I253" s="26"/>
      <x:c r="J253" s="19"/>
    </x:row>
    <x:row r="254">
      <x:c r="A254" s="19"/>
      <x:c r="B254" s="19"/>
      <x:c r="C254" s="25"/>
      <x:c r="D254" s="19"/>
      <x:c r="E254" s="19"/>
      <x:c r="F254" s="26"/>
      <x:c r="G254" s="19"/>
      <x:c r="H254" s="19"/>
      <x:c r="I254" s="26"/>
      <x:c r="J254" s="19"/>
    </x:row>
    <x:row r="255">
      <x:c r="A255" s="19"/>
      <x:c r="B255" s="19"/>
      <x:c r="C255" s="25"/>
      <x:c r="D255" s="19"/>
      <x:c r="E255" s="19"/>
      <x:c r="F255" s="26"/>
      <x:c r="G255" s="19"/>
      <x:c r="H255" s="19"/>
      <x:c r="I255" s="26"/>
      <x:c r="J255" s="19"/>
    </x:row>
    <x:row r="256">
      <x:c r="A256" s="19"/>
      <x:c r="B256" s="19"/>
      <x:c r="C256" s="25"/>
      <x:c r="D256" s="19"/>
      <x:c r="E256" s="19"/>
      <x:c r="F256" s="26"/>
      <x:c r="G256" s="19"/>
      <x:c r="H256" s="19"/>
      <x:c r="I256" s="26"/>
      <x:c r="J256" s="19"/>
    </x:row>
    <x:row r="257">
      <x:c r="A257" s="19"/>
      <x:c r="B257" s="19"/>
      <x:c r="C257" s="25"/>
      <x:c r="D257" s="19"/>
      <x:c r="E257" s="19"/>
      <x:c r="F257" s="26"/>
      <x:c r="G257" s="19"/>
      <x:c r="H257" s="19"/>
      <x:c r="I257" s="26"/>
      <x:c r="J257" s="19"/>
    </x:row>
    <x:row r="258">
      <x:c r="A258" s="19"/>
      <x:c r="B258" s="19"/>
      <x:c r="C258" s="25"/>
      <x:c r="D258" s="19"/>
      <x:c r="E258" s="19"/>
      <x:c r="F258" s="26"/>
      <x:c r="G258" s="19"/>
      <x:c r="H258" s="19"/>
      <x:c r="I258" s="26"/>
      <x:c r="J258" s="19"/>
    </x:row>
    <x:row r="259">
      <x:c r="A259" s="19"/>
      <x:c r="B259" s="19"/>
      <x:c r="C259" s="25"/>
      <x:c r="D259" s="19"/>
      <x:c r="E259" s="19"/>
      <x:c r="F259" s="26"/>
      <x:c r="G259" s="19"/>
      <x:c r="H259" s="19"/>
      <x:c r="I259" s="26"/>
      <x:c r="J259" s="19"/>
    </x:row>
    <x:row r="260">
      <x:c r="A260" s="19"/>
      <x:c r="B260" s="19"/>
      <x:c r="C260" s="25"/>
      <x:c r="D260" s="19"/>
      <x:c r="E260" s="19"/>
      <x:c r="F260" s="26"/>
      <x:c r="G260" s="19"/>
      <x:c r="H260" s="19"/>
      <x:c r="I260" s="26"/>
      <x:c r="J260" s="19"/>
    </x:row>
    <x:row r="261">
      <x:c r="A261" s="19"/>
      <x:c r="B261" s="19"/>
      <x:c r="C261" s="25"/>
      <x:c r="D261" s="19"/>
      <x:c r="E261" s="19"/>
      <x:c r="F261" s="26"/>
      <x:c r="G261" s="19"/>
      <x:c r="H261" s="19"/>
      <x:c r="I261" s="26"/>
      <x:c r="J261" s="19"/>
    </x:row>
    <x:row r="262">
      <x:c r="A262" s="19"/>
      <x:c r="B262" s="19"/>
      <x:c r="C262" s="25"/>
      <x:c r="D262" s="19"/>
      <x:c r="E262" s="19"/>
      <x:c r="F262" s="26"/>
      <x:c r="G262" s="19"/>
      <x:c r="H262" s="19"/>
      <x:c r="I262" s="26"/>
      <x:c r="J262" s="19"/>
    </x:row>
    <x:row r="263">
      <x:c r="A263" s="19"/>
      <x:c r="B263" s="19"/>
      <x:c r="C263" s="25"/>
      <x:c r="D263" s="19"/>
      <x:c r="E263" s="19"/>
      <x:c r="F263" s="26"/>
      <x:c r="G263" s="19"/>
      <x:c r="H263" s="19"/>
      <x:c r="I263" s="26"/>
      <x:c r="J263" s="19"/>
    </x:row>
    <x:row r="264">
      <x:c r="A264" s="19"/>
      <x:c r="B264" s="19"/>
      <x:c r="C264" s="25"/>
      <x:c r="D264" s="19"/>
      <x:c r="E264" s="19"/>
      <x:c r="F264" s="26"/>
      <x:c r="G264" s="19"/>
      <x:c r="H264" s="19"/>
      <x:c r="I264" s="26"/>
      <x:c r="J264" s="19"/>
    </x:row>
    <x:row r="265">
      <x:c r="A265" s="19"/>
      <x:c r="B265" s="19"/>
      <x:c r="C265" s="25"/>
      <x:c r="D265" s="19"/>
      <x:c r="E265" s="19"/>
      <x:c r="F265" s="26"/>
      <x:c r="G265" s="19"/>
      <x:c r="H265" s="19"/>
      <x:c r="I265" s="26"/>
      <x:c r="J265" s="19"/>
    </x:row>
    <x:row r="266">
      <x:c r="A266" s="19"/>
      <x:c r="B266" s="19"/>
      <x:c r="C266" s="25"/>
      <x:c r="D266" s="19"/>
      <x:c r="E266" s="19"/>
      <x:c r="F266" s="26"/>
      <x:c r="G266" s="19"/>
      <x:c r="H266" s="19"/>
      <x:c r="I266" s="26"/>
      <x:c r="J266" s="19"/>
    </x:row>
    <x:row r="267">
      <x:c r="A267" s="19"/>
      <x:c r="B267" s="19"/>
      <x:c r="C267" s="25"/>
      <x:c r="D267" s="19"/>
      <x:c r="E267" s="19"/>
      <x:c r="F267" s="26"/>
      <x:c r="G267" s="19"/>
      <x:c r="H267" s="19"/>
      <x:c r="I267" s="26"/>
      <x:c r="J267" s="19"/>
    </x:row>
    <x:row r="268">
      <x:c r="A268" s="19"/>
      <x:c r="B268" s="19"/>
      <x:c r="C268" s="25"/>
      <x:c r="D268" s="19"/>
      <x:c r="E268" s="19"/>
      <x:c r="F268" s="26"/>
      <x:c r="G268" s="19"/>
      <x:c r="H268" s="19"/>
      <x:c r="I268" s="26"/>
      <x:c r="J268" s="19"/>
    </x:row>
    <x:row r="269">
      <x:c r="A269" s="19"/>
      <x:c r="B269" s="19"/>
      <x:c r="C269" s="25"/>
      <x:c r="D269" s="19"/>
      <x:c r="E269" s="19"/>
      <x:c r="F269" s="26"/>
      <x:c r="G269" s="19"/>
      <x:c r="H269" s="19"/>
      <x:c r="I269" s="26"/>
      <x:c r="J269" s="19"/>
    </x:row>
    <x:row r="270">
      <x:c r="A270" s="19"/>
      <x:c r="B270" s="19"/>
      <x:c r="C270" s="25"/>
      <x:c r="D270" s="19"/>
      <x:c r="E270" s="19"/>
      <x:c r="F270" s="26"/>
      <x:c r="G270" s="19"/>
      <x:c r="H270" s="19"/>
      <x:c r="I270" s="26"/>
      <x:c r="J270" s="19"/>
    </x:row>
    <x:row r="271">
      <x:c r="A271" s="19"/>
      <x:c r="B271" s="19"/>
      <x:c r="C271" s="25"/>
      <x:c r="D271" s="19"/>
      <x:c r="E271" s="19"/>
      <x:c r="F271" s="26"/>
      <x:c r="G271" s="19"/>
      <x:c r="H271" s="19"/>
      <x:c r="I271" s="26"/>
      <x:c r="J271" s="19"/>
    </x:row>
    <x:row r="272">
      <x:c r="A272" s="19"/>
      <x:c r="B272" s="19"/>
      <x:c r="C272" s="25"/>
      <x:c r="D272" s="19"/>
      <x:c r="E272" s="19"/>
      <x:c r="F272" s="26"/>
      <x:c r="G272" s="19"/>
      <x:c r="H272" s="19"/>
      <x:c r="I272" s="26"/>
      <x:c r="J272" s="19"/>
    </x:row>
    <x:row r="273">
      <x:c r="A273" s="19"/>
      <x:c r="B273" s="19"/>
      <x:c r="C273" s="25"/>
      <x:c r="D273" s="19"/>
      <x:c r="E273" s="19"/>
      <x:c r="F273" s="26"/>
      <x:c r="G273" s="19"/>
      <x:c r="H273" s="19"/>
      <x:c r="I273" s="26"/>
      <x:c r="J273" s="19"/>
    </x:row>
    <x:row r="274">
      <x:c r="A274" s="19"/>
      <x:c r="B274" s="19"/>
      <x:c r="C274" s="25"/>
      <x:c r="D274" s="19"/>
      <x:c r="E274" s="19"/>
      <x:c r="F274" s="26"/>
      <x:c r="G274" s="19"/>
      <x:c r="H274" s="19"/>
      <x:c r="I274" s="26"/>
      <x:c r="J274" s="19"/>
    </x:row>
    <x:row r="275">
      <x:c r="A275" s="19"/>
      <x:c r="B275" s="19"/>
      <x:c r="C275" s="25"/>
      <x:c r="D275" s="19"/>
      <x:c r="E275" s="19"/>
      <x:c r="F275" s="26"/>
      <x:c r="G275" s="19"/>
      <x:c r="H275" s="19"/>
      <x:c r="I275" s="26"/>
      <x:c r="J275" s="19"/>
    </x:row>
    <x:row r="276">
      <x:c r="A276" s="19"/>
      <x:c r="B276" s="19"/>
      <x:c r="C276" s="25"/>
      <x:c r="D276" s="19"/>
      <x:c r="E276" s="19"/>
      <x:c r="F276" s="26"/>
      <x:c r="G276" s="19"/>
      <x:c r="H276" s="19"/>
      <x:c r="I276" s="26"/>
      <x:c r="J276" s="19"/>
    </x:row>
    <x:row r="277">
      <x:c r="A277" s="19"/>
      <x:c r="B277" s="19"/>
      <x:c r="C277" s="25"/>
      <x:c r="D277" s="19"/>
      <x:c r="E277" s="19"/>
      <x:c r="F277" s="26"/>
      <x:c r="G277" s="19"/>
      <x:c r="H277" s="19"/>
      <x:c r="I277" s="26"/>
      <x:c r="J277" s="19"/>
    </x:row>
    <x:row r="278">
      <x:c r="A278" s="19"/>
      <x:c r="B278" s="19"/>
      <x:c r="C278" s="25"/>
      <x:c r="D278" s="19"/>
      <x:c r="E278" s="19"/>
      <x:c r="F278" s="26"/>
      <x:c r="G278" s="19"/>
      <x:c r="H278" s="19"/>
      <x:c r="I278" s="26"/>
      <x:c r="J278" s="19"/>
    </x:row>
    <x:row r="279">
      <x:c r="A279" s="19"/>
      <x:c r="B279" s="19"/>
      <x:c r="C279" s="25"/>
      <x:c r="D279" s="19"/>
      <x:c r="E279" s="19"/>
      <x:c r="F279" s="26"/>
      <x:c r="G279" s="19"/>
      <x:c r="H279" s="19"/>
      <x:c r="I279" s="26"/>
      <x:c r="J279" s="19"/>
    </x:row>
    <x:row r="280">
      <x:c r="A280" s="19"/>
      <x:c r="B280" s="19"/>
      <x:c r="C280" s="25"/>
      <x:c r="D280" s="19"/>
      <x:c r="E280" s="19"/>
      <x:c r="F280" s="26"/>
      <x:c r="G280" s="19"/>
      <x:c r="H280" s="19"/>
      <x:c r="I280" s="26"/>
      <x:c r="J280" s="19"/>
    </x:row>
    <x:row r="281">
      <x:c r="A281" s="19"/>
      <x:c r="B281" s="19"/>
      <x:c r="C281" s="25"/>
      <x:c r="D281" s="19"/>
      <x:c r="E281" s="19"/>
      <x:c r="F281" s="26"/>
      <x:c r="G281" s="19"/>
      <x:c r="H281" s="19"/>
      <x:c r="I281" s="26"/>
      <x:c r="J281" s="19"/>
    </x:row>
    <x:row r="282">
      <x:c r="A282" s="19"/>
      <x:c r="B282" s="19"/>
      <x:c r="C282" s="25"/>
      <x:c r="D282" s="19"/>
      <x:c r="E282" s="19"/>
      <x:c r="F282" s="26"/>
      <x:c r="G282" s="19"/>
      <x:c r="H282" s="19"/>
      <x:c r="I282" s="26"/>
      <x:c r="J282" s="19"/>
    </x:row>
    <x:row r="283">
      <x:c r="A283" s="19"/>
      <x:c r="B283" s="19"/>
      <x:c r="C283" s="25"/>
      <x:c r="D283" s="19"/>
      <x:c r="E283" s="19"/>
      <x:c r="F283" s="26"/>
      <x:c r="G283" s="19"/>
      <x:c r="H283" s="19"/>
      <x:c r="I283" s="26"/>
      <x:c r="J283" s="19"/>
    </x:row>
    <x:row r="284">
      <x:c r="A284" s="19"/>
      <x:c r="B284" s="19"/>
      <x:c r="C284" s="25"/>
      <x:c r="D284" s="19"/>
      <x:c r="E284" s="19"/>
      <x:c r="F284" s="26"/>
      <x:c r="G284" s="19"/>
      <x:c r="H284" s="19"/>
      <x:c r="I284" s="26"/>
      <x:c r="J284" s="19"/>
    </x:row>
    <x:row r="285">
      <x:c r="A285" s="19"/>
      <x:c r="B285" s="19"/>
      <x:c r="C285" s="25"/>
      <x:c r="D285" s="19"/>
      <x:c r="E285" s="19"/>
      <x:c r="F285" s="26"/>
      <x:c r="G285" s="19"/>
      <x:c r="H285" s="19"/>
      <x:c r="I285" s="26"/>
      <x:c r="J285" s="19"/>
    </x:row>
    <x:row r="286">
      <x:c r="A286" s="19"/>
      <x:c r="B286" s="19"/>
      <x:c r="C286" s="25"/>
      <x:c r="D286" s="19"/>
      <x:c r="E286" s="19"/>
      <x:c r="F286" s="26"/>
      <x:c r="G286" s="19"/>
      <x:c r="H286" s="19"/>
      <x:c r="I286" s="26"/>
      <x:c r="J286" s="19"/>
    </x:row>
    <x:row r="287">
      <x:c r="A287" s="19"/>
      <x:c r="B287" s="19"/>
      <x:c r="C287" s="25"/>
      <x:c r="D287" s="19"/>
      <x:c r="E287" s="19"/>
      <x:c r="F287" s="26"/>
      <x:c r="G287" s="19"/>
      <x:c r="H287" s="19"/>
      <x:c r="I287" s="26"/>
      <x:c r="J287" s="19"/>
    </x:row>
    <x:row r="288">
      <x:c r="A288" s="19"/>
      <x:c r="B288" s="19"/>
      <x:c r="C288" s="25"/>
      <x:c r="D288" s="19"/>
      <x:c r="E288" s="19"/>
      <x:c r="F288" s="26"/>
      <x:c r="G288" s="19"/>
      <x:c r="H288" s="19"/>
      <x:c r="I288" s="26"/>
      <x:c r="J288" s="19"/>
    </x:row>
    <x:row r="289">
      <x:c r="A289" s="19"/>
      <x:c r="B289" s="19"/>
      <x:c r="C289" s="25"/>
      <x:c r="D289" s="19"/>
      <x:c r="E289" s="19"/>
      <x:c r="F289" s="26"/>
      <x:c r="G289" s="19"/>
      <x:c r="H289" s="19"/>
      <x:c r="I289" s="26"/>
      <x:c r="J289" s="19"/>
    </x:row>
    <x:row r="290">
      <x:c r="A290" s="19"/>
      <x:c r="B290" s="19"/>
      <x:c r="C290" s="25"/>
      <x:c r="D290" s="19"/>
      <x:c r="E290" s="19"/>
      <x:c r="F290" s="26"/>
      <x:c r="G290" s="19"/>
      <x:c r="H290" s="19"/>
      <x:c r="I290" s="26"/>
      <x:c r="J290" s="19"/>
    </x:row>
    <x:row r="291">
      <x:c r="A291" s="19"/>
      <x:c r="B291" s="19"/>
      <x:c r="C291" s="25"/>
      <x:c r="D291" s="19"/>
      <x:c r="E291" s="19"/>
      <x:c r="F291" s="26"/>
      <x:c r="G291" s="19"/>
      <x:c r="H291" s="19"/>
      <x:c r="I291" s="26"/>
      <x:c r="J291" s="19"/>
    </x:row>
    <x:row r="292">
      <x:c r="A292" s="19"/>
      <x:c r="B292" s="19"/>
      <x:c r="C292" s="25"/>
      <x:c r="D292" s="19"/>
      <x:c r="E292" s="19"/>
      <x:c r="F292" s="26"/>
      <x:c r="G292" s="19"/>
      <x:c r="H292" s="19"/>
      <x:c r="I292" s="26"/>
      <x:c r="J292" s="19"/>
    </x:row>
    <x:row r="293">
      <x:c r="A293" s="19"/>
      <x:c r="B293" s="19"/>
      <x:c r="C293" s="25"/>
      <x:c r="D293" s="19"/>
      <x:c r="E293" s="19"/>
      <x:c r="F293" s="26"/>
      <x:c r="G293" s="19"/>
      <x:c r="H293" s="19"/>
      <x:c r="I293" s="26"/>
      <x:c r="J293" s="19"/>
    </x:row>
    <x:row r="294">
      <x:c r="A294" s="19"/>
      <x:c r="B294" s="19"/>
      <x:c r="C294" s="25"/>
      <x:c r="D294" s="19"/>
      <x:c r="E294" s="19"/>
      <x:c r="F294" s="26"/>
      <x:c r="G294" s="19"/>
      <x:c r="H294" s="19"/>
      <x:c r="I294" s="26"/>
      <x:c r="J294" s="19"/>
    </x:row>
    <x:row r="295">
      <x:c r="A295" s="19"/>
      <x:c r="B295" s="19"/>
      <x:c r="C295" s="25"/>
      <x:c r="D295" s="19"/>
      <x:c r="E295" s="19"/>
      <x:c r="F295" s="26"/>
      <x:c r="G295" s="19"/>
      <x:c r="H295" s="19"/>
      <x:c r="I295" s="26"/>
      <x:c r="J295" s="19"/>
    </x:row>
    <x:row r="296">
      <x:c r="A296" s="19"/>
      <x:c r="B296" s="19"/>
      <x:c r="C296" s="25"/>
      <x:c r="D296" s="19"/>
      <x:c r="E296" s="19"/>
      <x:c r="F296" s="26"/>
      <x:c r="G296" s="19"/>
      <x:c r="H296" s="19"/>
      <x:c r="I296" s="26"/>
      <x:c r="J296" s="19"/>
    </x:row>
    <x:row r="297">
      <x:c r="A297" s="19"/>
      <x:c r="B297" s="19"/>
      <x:c r="C297" s="25"/>
      <x:c r="D297" s="19"/>
      <x:c r="E297" s="19"/>
      <x:c r="F297" s="26"/>
      <x:c r="G297" s="19"/>
      <x:c r="H297" s="19"/>
      <x:c r="I297" s="26"/>
      <x:c r="J297" s="19"/>
    </x:row>
    <x:row r="298">
      <x:c r="A298" s="19"/>
      <x:c r="B298" s="19"/>
      <x:c r="C298" s="25"/>
      <x:c r="D298" s="19"/>
      <x:c r="E298" s="19"/>
      <x:c r="F298" s="26"/>
      <x:c r="G298" s="19"/>
      <x:c r="H298" s="19"/>
      <x:c r="I298" s="26"/>
      <x:c r="J298" s="19"/>
    </x:row>
    <x:row r="299">
      <x:c r="A299" s="19"/>
      <x:c r="B299" s="19"/>
      <x:c r="C299" s="25"/>
      <x:c r="D299" s="19"/>
      <x:c r="E299" s="19"/>
      <x:c r="F299" s="26"/>
      <x:c r="G299" s="19"/>
      <x:c r="H299" s="19"/>
      <x:c r="I299" s="26"/>
      <x:c r="J299" s="19"/>
    </x:row>
    <x:row r="300">
      <x:c r="A300" s="19"/>
      <x:c r="B300" s="19"/>
      <x:c r="C300" s="25"/>
      <x:c r="D300" s="19"/>
      <x:c r="E300" s="19"/>
      <x:c r="F300" s="26"/>
      <x:c r="G300" s="19"/>
      <x:c r="H300" s="19"/>
      <x:c r="I300" s="26"/>
      <x:c r="J300" s="19"/>
    </x:row>
    <x:row r="301">
      <x:c r="A301" s="19"/>
      <x:c r="B301" s="19"/>
      <x:c r="C301" s="25"/>
      <x:c r="D301" s="19"/>
      <x:c r="E301" s="19"/>
      <x:c r="F301" s="26"/>
      <x:c r="G301" s="19"/>
      <x:c r="H301" s="19"/>
      <x:c r="I301" s="26"/>
      <x:c r="J301" s="19"/>
    </x:row>
    <x:row r="302">
      <x:c r="A302" s="19"/>
      <x:c r="B302" s="19"/>
      <x:c r="C302" s="25"/>
      <x:c r="D302" s="19"/>
      <x:c r="E302" s="19"/>
      <x:c r="F302" s="26"/>
      <x:c r="G302" s="19"/>
      <x:c r="H302" s="19"/>
      <x:c r="I302" s="26"/>
      <x:c r="J302" s="19"/>
    </x:row>
    <x:row r="303">
      <x:c r="A303" s="19"/>
      <x:c r="B303" s="19"/>
      <x:c r="C303" s="25"/>
      <x:c r="D303" s="19"/>
      <x:c r="E303" s="19"/>
      <x:c r="F303" s="26"/>
      <x:c r="G303" s="19"/>
      <x:c r="H303" s="19"/>
      <x:c r="I303" s="26"/>
      <x:c r="J303" s="19"/>
    </x:row>
    <x:row r="304">
      <x:c r="A304" s="19"/>
      <x:c r="B304" s="19"/>
      <x:c r="C304" s="25"/>
      <x:c r="D304" s="19"/>
      <x:c r="E304" s="19"/>
      <x:c r="F304" s="26"/>
      <x:c r="G304" s="19"/>
      <x:c r="H304" s="19"/>
      <x:c r="I304" s="26"/>
      <x:c r="J304" s="19"/>
    </x:row>
    <x:row r="305">
      <x:c r="A305" s="19"/>
      <x:c r="B305" s="19"/>
      <x:c r="C305" s="25"/>
      <x:c r="D305" s="19"/>
      <x:c r="E305" s="19"/>
      <x:c r="F305" s="26"/>
      <x:c r="G305" s="19"/>
      <x:c r="H305" s="19"/>
      <x:c r="I305" s="26"/>
      <x:c r="J305" s="19"/>
    </x:row>
    <x:row r="306">
      <x:c r="A306" s="19"/>
      <x:c r="B306" s="19"/>
      <x:c r="C306" s="25"/>
      <x:c r="D306" s="19"/>
      <x:c r="E306" s="19"/>
      <x:c r="F306" s="26"/>
      <x:c r="G306" s="19"/>
      <x:c r="H306" s="19"/>
      <x:c r="I306" s="26"/>
      <x:c r="J306" s="19"/>
    </x:row>
    <x:row r="307">
      <x:c r="A307" s="19"/>
      <x:c r="B307" s="19"/>
      <x:c r="C307" s="25"/>
      <x:c r="D307" s="19"/>
      <x:c r="E307" s="19"/>
      <x:c r="F307" s="26"/>
      <x:c r="G307" s="19"/>
      <x:c r="H307" s="19"/>
      <x:c r="I307" s="26"/>
      <x:c r="J307" s="19"/>
    </x:row>
    <x:row r="308">
      <x:c r="A308" s="19"/>
      <x:c r="B308" s="19"/>
      <x:c r="C308" s="25"/>
      <x:c r="D308" s="19"/>
      <x:c r="E308" s="19"/>
      <x:c r="F308" s="26"/>
      <x:c r="G308" s="19"/>
      <x:c r="H308" s="19"/>
      <x:c r="I308" s="26"/>
      <x:c r="J308" s="19"/>
    </x:row>
    <x:row r="309">
      <x:c r="A309" s="19"/>
      <x:c r="B309" s="19"/>
      <x:c r="C309" s="25"/>
      <x:c r="D309" s="19"/>
      <x:c r="E309" s="19"/>
      <x:c r="F309" s="26"/>
      <x:c r="G309" s="19"/>
      <x:c r="H309" s="19"/>
      <x:c r="I309" s="26"/>
      <x:c r="J309" s="19"/>
    </x:row>
    <x:row r="310">
      <x:c r="A310" s="19"/>
      <x:c r="B310" s="19"/>
      <x:c r="C310" s="25"/>
      <x:c r="D310" s="19"/>
      <x:c r="E310" s="19"/>
      <x:c r="F310" s="26"/>
      <x:c r="G310" s="19"/>
      <x:c r="H310" s="19"/>
      <x:c r="I310" s="26"/>
      <x:c r="J310" s="19"/>
    </x:row>
    <x:row r="311">
      <x:c r="A311" s="19"/>
      <x:c r="B311" s="19"/>
      <x:c r="C311" s="25"/>
      <x:c r="D311" s="19"/>
      <x:c r="E311" s="19"/>
      <x:c r="F311" s="26"/>
      <x:c r="G311" s="19"/>
      <x:c r="H311" s="19"/>
      <x:c r="I311" s="26"/>
      <x:c r="J311" s="19"/>
    </x:row>
    <x:row r="312">
      <x:c r="A312" s="19"/>
      <x:c r="B312" s="19"/>
      <x:c r="C312" s="25"/>
      <x:c r="D312" s="19"/>
      <x:c r="E312" s="19"/>
      <x:c r="F312" s="26"/>
      <x:c r="G312" s="19"/>
      <x:c r="H312" s="19"/>
      <x:c r="I312" s="26"/>
      <x:c r="J312" s="19"/>
    </x:row>
    <x:row r="313">
      <x:c r="A313" s="19"/>
      <x:c r="B313" s="19"/>
      <x:c r="C313" s="25"/>
      <x:c r="D313" s="19"/>
      <x:c r="E313" s="19"/>
      <x:c r="F313" s="26"/>
      <x:c r="G313" s="19"/>
      <x:c r="H313" s="19"/>
      <x:c r="I313" s="26"/>
      <x:c r="J313" s="19"/>
    </x:row>
    <x:row r="314">
      <x:c r="A314" s="19"/>
      <x:c r="B314" s="19"/>
      <x:c r="C314" s="25"/>
      <x:c r="D314" s="19"/>
      <x:c r="E314" s="19"/>
      <x:c r="F314" s="26"/>
      <x:c r="G314" s="19"/>
      <x:c r="H314" s="19"/>
      <x:c r="I314" s="26"/>
      <x:c r="J314" s="19"/>
    </x:row>
    <x:row r="315">
      <x:c r="A315" s="19"/>
      <x:c r="B315" s="19"/>
      <x:c r="C315" s="25"/>
      <x:c r="D315" s="19"/>
      <x:c r="E315" s="19"/>
      <x:c r="F315" s="26"/>
      <x:c r="G315" s="19"/>
      <x:c r="H315" s="19"/>
      <x:c r="I315" s="26"/>
      <x:c r="J315" s="19"/>
    </x:row>
    <x:row r="316">
      <x:c r="A316" s="19"/>
      <x:c r="B316" s="19"/>
      <x:c r="C316" s="25"/>
      <x:c r="D316" s="19"/>
      <x:c r="E316" s="19"/>
      <x:c r="F316" s="26"/>
      <x:c r="G316" s="19"/>
      <x:c r="H316" s="19"/>
      <x:c r="I316" s="26"/>
      <x:c r="J316" s="19"/>
    </x:row>
    <x:row r="317">
      <x:c r="A317" s="19"/>
      <x:c r="B317" s="19"/>
      <x:c r="C317" s="25"/>
      <x:c r="D317" s="19"/>
      <x:c r="E317" s="19"/>
      <x:c r="F317" s="26"/>
      <x:c r="G317" s="19"/>
      <x:c r="H317" s="19"/>
      <x:c r="I317" s="26"/>
      <x:c r="J317" s="19"/>
    </x:row>
    <x:row r="318">
      <x:c r="A318" s="19"/>
      <x:c r="B318" s="19"/>
      <x:c r="C318" s="25"/>
      <x:c r="D318" s="19"/>
      <x:c r="E318" s="19"/>
      <x:c r="F318" s="26"/>
      <x:c r="G318" s="19"/>
      <x:c r="H318" s="19"/>
      <x:c r="I318" s="26"/>
      <x:c r="J318" s="19"/>
    </x:row>
    <x:row r="319">
      <x:c r="A319" s="19"/>
      <x:c r="B319" s="19"/>
      <x:c r="C319" s="25"/>
      <x:c r="D319" s="19"/>
      <x:c r="E319" s="19"/>
      <x:c r="F319" s="26"/>
      <x:c r="G319" s="19"/>
      <x:c r="H319" s="19"/>
      <x:c r="I319" s="26"/>
      <x:c r="J319" s="19"/>
    </x:row>
    <x:row r="320">
      <x:c r="A320" s="19"/>
      <x:c r="B320" s="19"/>
      <x:c r="C320" s="25"/>
      <x:c r="D320" s="19"/>
      <x:c r="E320" s="19"/>
      <x:c r="F320" s="26"/>
      <x:c r="G320" s="19"/>
      <x:c r="H320" s="19"/>
      <x:c r="I320" s="26"/>
      <x:c r="J320" s="19"/>
    </x:row>
    <x:row r="321">
      <x:c r="A321" s="19"/>
      <x:c r="B321" s="19"/>
      <x:c r="C321" s="25"/>
      <x:c r="D321" s="19"/>
      <x:c r="E321" s="19"/>
      <x:c r="F321" s="26"/>
      <x:c r="G321" s="19"/>
      <x:c r="H321" s="19"/>
      <x:c r="I321" s="26"/>
      <x:c r="J321" s="19"/>
    </x:row>
    <x:row r="322">
      <x:c r="A322" s="19"/>
      <x:c r="B322" s="19"/>
      <x:c r="C322" s="25"/>
      <x:c r="D322" s="19"/>
      <x:c r="E322" s="19"/>
      <x:c r="F322" s="26"/>
      <x:c r="G322" s="19"/>
      <x:c r="H322" s="19"/>
      <x:c r="I322" s="26"/>
      <x:c r="J322" s="19"/>
    </x:row>
    <x:row r="323">
      <x:c r="A323" s="19"/>
      <x:c r="B323" s="19"/>
      <x:c r="C323" s="25"/>
      <x:c r="D323" s="19"/>
      <x:c r="E323" s="19"/>
      <x:c r="F323" s="26"/>
      <x:c r="G323" s="19"/>
      <x:c r="H323" s="19"/>
      <x:c r="I323" s="26"/>
      <x:c r="J323" s="19"/>
    </x:row>
    <x:row r="324">
      <x:c r="A324" s="19"/>
      <x:c r="B324" s="19"/>
      <x:c r="C324" s="25"/>
      <x:c r="D324" s="19"/>
      <x:c r="E324" s="19"/>
      <x:c r="F324" s="26"/>
      <x:c r="G324" s="19"/>
      <x:c r="H324" s="19"/>
      <x:c r="I324" s="26"/>
      <x:c r="J324" s="19"/>
    </x:row>
    <x:row r="325">
      <x:c r="A325" s="19"/>
      <x:c r="B325" s="19"/>
      <x:c r="C325" s="25"/>
      <x:c r="D325" s="19"/>
      <x:c r="E325" s="19"/>
      <x:c r="F325" s="26"/>
      <x:c r="G325" s="19"/>
      <x:c r="H325" s="19"/>
      <x:c r="I325" s="26"/>
      <x:c r="J325" s="19"/>
    </x:row>
    <x:row r="326">
      <x:c r="A326" s="19"/>
      <x:c r="B326" s="19"/>
      <x:c r="C326" s="25"/>
      <x:c r="D326" s="19"/>
      <x:c r="E326" s="19"/>
      <x:c r="F326" s="26"/>
      <x:c r="G326" s="19"/>
      <x:c r="H326" s="19"/>
      <x:c r="I326" s="26"/>
      <x:c r="J326" s="19"/>
    </x:row>
    <x:row r="327">
      <x:c r="A327" s="19"/>
      <x:c r="B327" s="19"/>
      <x:c r="C327" s="25"/>
      <x:c r="D327" s="19"/>
      <x:c r="E327" s="19"/>
      <x:c r="F327" s="26"/>
      <x:c r="G327" s="19"/>
      <x:c r="H327" s="19"/>
      <x:c r="I327" s="26"/>
      <x:c r="J327" s="19"/>
    </x:row>
    <x:row r="328">
      <x:c r="A328" s="19"/>
      <x:c r="B328" s="19"/>
      <x:c r="C328" s="25"/>
      <x:c r="D328" s="19"/>
      <x:c r="E328" s="19"/>
      <x:c r="F328" s="26"/>
      <x:c r="G328" s="19"/>
      <x:c r="H328" s="19"/>
      <x:c r="I328" s="26"/>
      <x:c r="J328" s="19"/>
    </x:row>
    <x:row r="329">
      <x:c r="A329" s="19"/>
      <x:c r="B329" s="19"/>
      <x:c r="C329" s="25"/>
      <x:c r="D329" s="19"/>
      <x:c r="E329" s="19"/>
      <x:c r="F329" s="26"/>
      <x:c r="G329" s="19"/>
      <x:c r="H329" s="19"/>
      <x:c r="I329" s="26"/>
      <x:c r="J329" s="19"/>
    </x:row>
    <x:row r="330">
      <x:c r="A330" s="19"/>
      <x:c r="B330" s="19"/>
      <x:c r="C330" s="25"/>
      <x:c r="D330" s="19"/>
      <x:c r="E330" s="19"/>
      <x:c r="F330" s="26"/>
      <x:c r="G330" s="19"/>
      <x:c r="H330" s="19"/>
      <x:c r="I330" s="26"/>
      <x:c r="J330" s="19"/>
    </x:row>
    <x:row r="331">
      <x:c r="A331" s="19"/>
      <x:c r="B331" s="19"/>
      <x:c r="C331" s="25"/>
      <x:c r="D331" s="19"/>
      <x:c r="E331" s="19"/>
      <x:c r="F331" s="26"/>
      <x:c r="G331" s="19"/>
      <x:c r="H331" s="19"/>
      <x:c r="I331" s="26"/>
      <x:c r="J331" s="19"/>
    </x:row>
    <x:row r="332">
      <x:c r="A332" s="19"/>
      <x:c r="B332" s="19"/>
      <x:c r="C332" s="25"/>
      <x:c r="D332" s="19"/>
      <x:c r="E332" s="19"/>
      <x:c r="F332" s="26"/>
      <x:c r="G332" s="19"/>
      <x:c r="H332" s="19"/>
      <x:c r="I332" s="26"/>
      <x:c r="J332" s="19"/>
    </x:row>
    <x:row r="333">
      <x:c r="A333" s="19"/>
      <x:c r="B333" s="19"/>
      <x:c r="C333" s="25"/>
      <x:c r="D333" s="19"/>
      <x:c r="E333" s="19"/>
      <x:c r="F333" s="26"/>
      <x:c r="G333" s="19"/>
      <x:c r="H333" s="19"/>
      <x:c r="I333" s="26"/>
      <x:c r="J333" s="19"/>
    </x:row>
    <x:row r="334">
      <x:c r="A334" s="19"/>
      <x:c r="B334" s="19"/>
      <x:c r="C334" s="25"/>
      <x:c r="D334" s="19"/>
      <x:c r="E334" s="19"/>
      <x:c r="F334" s="26"/>
      <x:c r="G334" s="19"/>
      <x:c r="H334" s="19"/>
      <x:c r="I334" s="26"/>
      <x:c r="J334" s="19"/>
    </x:row>
    <x:row r="335">
      <x:c r="A335" s="19"/>
      <x:c r="B335" s="19"/>
      <x:c r="C335" s="25"/>
      <x:c r="D335" s="19"/>
      <x:c r="E335" s="19"/>
      <x:c r="F335" s="26"/>
      <x:c r="G335" s="19"/>
      <x:c r="H335" s="19"/>
      <x:c r="I335" s="26"/>
      <x:c r="J335" s="19"/>
    </x:row>
    <x:row r="336">
      <x:c r="A336" s="19"/>
      <x:c r="B336" s="19"/>
      <x:c r="C336" s="25"/>
      <x:c r="D336" s="19"/>
      <x:c r="E336" s="19"/>
      <x:c r="F336" s="26"/>
      <x:c r="G336" s="19"/>
      <x:c r="H336" s="19"/>
      <x:c r="I336" s="26"/>
      <x:c r="J336" s="19"/>
    </x:row>
    <x:row r="337">
      <x:c r="A337" s="19"/>
      <x:c r="B337" s="19"/>
      <x:c r="C337" s="25"/>
      <x:c r="D337" s="19"/>
      <x:c r="E337" s="19"/>
      <x:c r="F337" s="26"/>
      <x:c r="G337" s="19"/>
      <x:c r="H337" s="19"/>
      <x:c r="I337" s="26"/>
      <x:c r="J337" s="19"/>
    </x:row>
    <x:row r="338">
      <x:c r="A338" s="19"/>
      <x:c r="B338" s="19"/>
      <x:c r="C338" s="25"/>
      <x:c r="D338" s="19"/>
      <x:c r="E338" s="19"/>
      <x:c r="F338" s="26"/>
      <x:c r="G338" s="19"/>
      <x:c r="H338" s="19"/>
      <x:c r="I338" s="26"/>
      <x:c r="J338" s="19"/>
    </x:row>
    <x:row r="339">
      <x:c r="A339" s="19"/>
      <x:c r="B339" s="19"/>
      <x:c r="C339" s="25"/>
      <x:c r="D339" s="19"/>
      <x:c r="E339" s="19"/>
      <x:c r="F339" s="26"/>
      <x:c r="G339" s="19"/>
      <x:c r="H339" s="19"/>
      <x:c r="I339" s="26"/>
      <x:c r="J339" s="19"/>
    </x:row>
    <x:row r="340">
      <x:c r="A340" s="19"/>
      <x:c r="B340" s="19"/>
      <x:c r="C340" s="25"/>
      <x:c r="D340" s="19"/>
      <x:c r="E340" s="19"/>
      <x:c r="F340" s="26"/>
      <x:c r="G340" s="19"/>
      <x:c r="H340" s="19"/>
      <x:c r="I340" s="26"/>
      <x:c r="J340" s="19"/>
    </x:row>
    <x:row r="341">
      <x:c r="A341" s="19"/>
      <x:c r="B341" s="19"/>
      <x:c r="C341" s="25"/>
      <x:c r="D341" s="19"/>
      <x:c r="E341" s="19"/>
      <x:c r="F341" s="26"/>
      <x:c r="G341" s="19"/>
      <x:c r="H341" s="19"/>
      <x:c r="I341" s="26"/>
      <x:c r="J341" s="19"/>
    </x:row>
    <x:row r="342">
      <x:c r="A342" s="19"/>
      <x:c r="B342" s="19"/>
      <x:c r="C342" s="25"/>
      <x:c r="D342" s="19"/>
      <x:c r="E342" s="19"/>
      <x:c r="F342" s="26"/>
      <x:c r="G342" s="19"/>
      <x:c r="H342" s="19"/>
      <x:c r="I342" s="26"/>
      <x:c r="J342" s="19"/>
    </x:row>
    <x:row r="343">
      <x:c r="A343" s="19"/>
      <x:c r="B343" s="19"/>
      <x:c r="C343" s="25"/>
      <x:c r="D343" s="19"/>
      <x:c r="E343" s="19"/>
      <x:c r="F343" s="26"/>
      <x:c r="G343" s="19"/>
      <x:c r="H343" s="19"/>
      <x:c r="I343" s="26"/>
      <x:c r="J343" s="19"/>
    </x:row>
    <x:row r="344">
      <x:c r="A344" s="19"/>
      <x:c r="B344" s="19"/>
      <x:c r="C344" s="25"/>
      <x:c r="D344" s="19"/>
      <x:c r="E344" s="19"/>
      <x:c r="F344" s="26"/>
      <x:c r="G344" s="19"/>
      <x:c r="H344" s="19"/>
      <x:c r="I344" s="26"/>
      <x:c r="J344" s="19"/>
    </x:row>
    <x:row r="345">
      <x:c r="A345" s="19"/>
      <x:c r="B345" s="19"/>
      <x:c r="C345" s="25"/>
      <x:c r="D345" s="19"/>
      <x:c r="E345" s="19"/>
      <x:c r="F345" s="26"/>
      <x:c r="G345" s="19"/>
      <x:c r="H345" s="19"/>
      <x:c r="I345" s="26"/>
      <x:c r="J345" s="19"/>
    </x:row>
    <x:row r="346">
      <x:c r="A346" s="19"/>
      <x:c r="B346" s="19"/>
      <x:c r="C346" s="25"/>
      <x:c r="D346" s="19"/>
      <x:c r="E346" s="19"/>
      <x:c r="F346" s="26"/>
      <x:c r="G346" s="19"/>
      <x:c r="H346" s="19"/>
      <x:c r="I346" s="26"/>
      <x:c r="J346" s="19"/>
    </x:row>
    <x:row r="347">
      <x:c r="A347" s="19"/>
      <x:c r="B347" s="19"/>
      <x:c r="C347" s="25"/>
      <x:c r="D347" s="19"/>
      <x:c r="E347" s="19"/>
      <x:c r="F347" s="26"/>
      <x:c r="G347" s="19"/>
      <x:c r="H347" s="19"/>
      <x:c r="I347" s="26"/>
      <x:c r="J347" s="19"/>
    </x:row>
    <x:row r="348">
      <x:c r="A348" s="19"/>
      <x:c r="B348" s="19"/>
      <x:c r="C348" s="25"/>
      <x:c r="D348" s="19"/>
      <x:c r="E348" s="19"/>
      <x:c r="F348" s="26"/>
      <x:c r="G348" s="19"/>
      <x:c r="H348" s="19"/>
      <x:c r="I348" s="26"/>
      <x:c r="J348" s="19"/>
    </x:row>
    <x:row r="349">
      <x:c r="A349" s="19"/>
      <x:c r="B349" s="19"/>
      <x:c r="C349" s="25"/>
      <x:c r="D349" s="19"/>
      <x:c r="E349" s="19"/>
      <x:c r="F349" s="26"/>
      <x:c r="G349" s="19"/>
      <x:c r="H349" s="19"/>
      <x:c r="I349" s="26"/>
      <x:c r="J349" s="19"/>
    </x:row>
    <x:row r="350">
      <x:c r="A350" s="19"/>
      <x:c r="B350" s="19"/>
      <x:c r="C350" s="25"/>
      <x:c r="D350" s="19"/>
      <x:c r="E350" s="19"/>
      <x:c r="F350" s="26"/>
      <x:c r="G350" s="19"/>
      <x:c r="H350" s="19"/>
      <x:c r="I350" s="26"/>
      <x:c r="J350" s="19"/>
    </x:row>
    <x:row r="351">
      <x:c r="A351" s="19"/>
      <x:c r="B351" s="19"/>
      <x:c r="C351" s="25"/>
      <x:c r="D351" s="19"/>
      <x:c r="E351" s="19"/>
      <x:c r="F351" s="26"/>
      <x:c r="G351" s="19"/>
      <x:c r="H351" s="19"/>
      <x:c r="I351" s="26"/>
      <x:c r="J351" s="19"/>
    </x:row>
    <x:row r="352">
      <x:c r="A352" s="19"/>
      <x:c r="B352" s="19"/>
      <x:c r="C352" s="25"/>
      <x:c r="D352" s="19"/>
      <x:c r="E352" s="19"/>
      <x:c r="F352" s="26"/>
      <x:c r="G352" s="19"/>
      <x:c r="H352" s="19"/>
      <x:c r="I352" s="26"/>
      <x:c r="J352" s="19"/>
    </x:row>
    <x:row r="353">
      <x:c r="A353" s="19"/>
      <x:c r="B353" s="19"/>
      <x:c r="C353" s="25"/>
      <x:c r="D353" s="19"/>
      <x:c r="E353" s="19"/>
      <x:c r="F353" s="26"/>
      <x:c r="G353" s="19"/>
      <x:c r="H353" s="19"/>
      <x:c r="I353" s="26"/>
      <x:c r="J353" s="19"/>
    </x:row>
    <x:row r="354">
      <x:c r="A354" s="19"/>
      <x:c r="B354" s="19"/>
      <x:c r="C354" s="25"/>
      <x:c r="D354" s="19"/>
      <x:c r="E354" s="19"/>
      <x:c r="F354" s="26"/>
      <x:c r="G354" s="19"/>
      <x:c r="H354" s="19"/>
      <x:c r="I354" s="26"/>
      <x:c r="J354" s="19"/>
    </x:row>
    <x:row r="355">
      <x:c r="A355" s="19"/>
      <x:c r="B355" s="19"/>
      <x:c r="C355" s="25"/>
      <x:c r="D355" s="19"/>
      <x:c r="E355" s="19"/>
      <x:c r="F355" s="26"/>
      <x:c r="G355" s="19"/>
      <x:c r="H355" s="19"/>
      <x:c r="I355" s="26"/>
      <x:c r="J355" s="19"/>
    </x:row>
    <x:row r="356">
      <x:c r="A356" s="19"/>
      <x:c r="B356" s="19"/>
      <x:c r="C356" s="25"/>
      <x:c r="D356" s="19"/>
      <x:c r="E356" s="19"/>
      <x:c r="F356" s="26"/>
      <x:c r="G356" s="19"/>
      <x:c r="H356" s="19"/>
      <x:c r="I356" s="26"/>
      <x:c r="J356" s="19"/>
    </x:row>
    <x:row r="357">
      <x:c r="A357" s="19"/>
      <x:c r="B357" s="19"/>
      <x:c r="C357" s="25"/>
      <x:c r="D357" s="19"/>
      <x:c r="E357" s="19"/>
      <x:c r="F357" s="26"/>
      <x:c r="G357" s="19"/>
      <x:c r="H357" s="19"/>
      <x:c r="I357" s="26"/>
      <x:c r="J357" s="19"/>
    </x:row>
    <x:row r="358">
      <x:c r="A358" s="19"/>
      <x:c r="B358" s="19"/>
      <x:c r="C358" s="25"/>
      <x:c r="D358" s="19"/>
      <x:c r="E358" s="19"/>
      <x:c r="F358" s="26"/>
      <x:c r="G358" s="19"/>
      <x:c r="H358" s="19"/>
      <x:c r="I358" s="26"/>
      <x:c r="J358" s="19"/>
    </x:row>
    <x:row r="359">
      <x:c r="A359" s="19"/>
      <x:c r="B359" s="19"/>
      <x:c r="C359" s="25"/>
      <x:c r="D359" s="19"/>
      <x:c r="E359" s="19"/>
      <x:c r="F359" s="26"/>
      <x:c r="G359" s="19"/>
      <x:c r="H359" s="19"/>
      <x:c r="I359" s="26"/>
      <x:c r="J359" s="19"/>
    </x:row>
    <x:row r="360">
      <x:c r="A360" s="19"/>
      <x:c r="B360" s="19"/>
      <x:c r="C360" s="25"/>
      <x:c r="D360" s="19"/>
      <x:c r="E360" s="19"/>
      <x:c r="F360" s="26"/>
      <x:c r="G360" s="19"/>
      <x:c r="H360" s="19"/>
      <x:c r="I360" s="26"/>
      <x:c r="J360" s="19"/>
    </x:row>
    <x:row r="361">
      <x:c r="A361" s="19"/>
      <x:c r="B361" s="19"/>
      <x:c r="C361" s="25"/>
      <x:c r="D361" s="19"/>
      <x:c r="E361" s="19"/>
      <x:c r="F361" s="26"/>
      <x:c r="G361" s="19"/>
      <x:c r="H361" s="19"/>
      <x:c r="I361" s="26"/>
      <x:c r="J361" s="19"/>
    </x:row>
    <x:row r="362">
      <x:c r="A362" s="19"/>
      <x:c r="B362" s="19"/>
      <x:c r="C362" s="25"/>
      <x:c r="D362" s="19"/>
      <x:c r="E362" s="19"/>
      <x:c r="F362" s="26"/>
      <x:c r="G362" s="19"/>
      <x:c r="H362" s="19"/>
      <x:c r="I362" s="26"/>
      <x:c r="J362" s="19"/>
    </x:row>
    <x:row r="363">
      <x:c r="A363" s="19"/>
      <x:c r="B363" s="19"/>
      <x:c r="C363" s="25"/>
      <x:c r="D363" s="19"/>
      <x:c r="E363" s="19"/>
      <x:c r="F363" s="26"/>
      <x:c r="G363" s="19"/>
      <x:c r="H363" s="19"/>
      <x:c r="I363" s="26"/>
      <x:c r="J363" s="19"/>
    </x:row>
    <x:row r="364">
      <x:c r="A364" s="19"/>
      <x:c r="B364" s="19"/>
      <x:c r="C364" s="25"/>
      <x:c r="D364" s="19"/>
      <x:c r="E364" s="19"/>
      <x:c r="F364" s="26"/>
      <x:c r="G364" s="19"/>
      <x:c r="H364" s="19"/>
      <x:c r="I364" s="26"/>
      <x:c r="J364" s="19"/>
    </x:row>
    <x:row r="365">
      <x:c r="A365" s="19"/>
      <x:c r="B365" s="19"/>
      <x:c r="C365" s="25"/>
      <x:c r="D365" s="19"/>
      <x:c r="E365" s="19"/>
      <x:c r="F365" s="26"/>
      <x:c r="G365" s="19"/>
      <x:c r="H365" s="19"/>
      <x:c r="I365" s="26"/>
      <x:c r="J365" s="19"/>
    </x:row>
    <x:row r="366">
      <x:c r="A366" s="19"/>
      <x:c r="B366" s="19"/>
      <x:c r="C366" s="25"/>
      <x:c r="D366" s="19"/>
      <x:c r="E366" s="19"/>
      <x:c r="F366" s="26"/>
      <x:c r="G366" s="19"/>
      <x:c r="H366" s="19"/>
      <x:c r="I366" s="26"/>
      <x:c r="J366" s="19"/>
    </x:row>
    <x:row r="367">
      <x:c r="A367" s="19"/>
      <x:c r="B367" s="19"/>
      <x:c r="C367" s="25"/>
      <x:c r="D367" s="19"/>
      <x:c r="E367" s="19"/>
      <x:c r="F367" s="26"/>
      <x:c r="G367" s="19"/>
      <x:c r="H367" s="19"/>
      <x:c r="I367" s="26"/>
      <x:c r="J367" s="19"/>
    </x:row>
    <x:row r="368">
      <x:c r="A368" s="19"/>
      <x:c r="B368" s="19"/>
      <x:c r="C368" s="25"/>
      <x:c r="D368" s="19"/>
      <x:c r="E368" s="19"/>
      <x:c r="F368" s="26"/>
      <x:c r="G368" s="19"/>
      <x:c r="H368" s="19"/>
      <x:c r="I368" s="26"/>
      <x:c r="J368" s="19"/>
    </x:row>
    <x:row r="369">
      <x:c r="A369" s="19"/>
      <x:c r="B369" s="19"/>
      <x:c r="C369" s="25"/>
      <x:c r="D369" s="19"/>
      <x:c r="E369" s="19"/>
      <x:c r="F369" s="26"/>
      <x:c r="G369" s="19"/>
      <x:c r="H369" s="19"/>
      <x:c r="I369" s="26"/>
      <x:c r="J369" s="19"/>
    </x:row>
    <x:row r="370">
      <x:c r="A370" s="19"/>
      <x:c r="B370" s="19"/>
      <x:c r="C370" s="25"/>
      <x:c r="D370" s="19"/>
      <x:c r="E370" s="19"/>
      <x:c r="F370" s="26"/>
      <x:c r="G370" s="19"/>
      <x:c r="H370" s="19"/>
      <x:c r="I370" s="26"/>
      <x:c r="J370" s="19"/>
    </x:row>
    <x:row r="371">
      <x:c r="A371" s="19"/>
      <x:c r="B371" s="19"/>
      <x:c r="C371" s="25"/>
      <x:c r="D371" s="19"/>
      <x:c r="E371" s="19"/>
      <x:c r="F371" s="26"/>
      <x:c r="G371" s="19"/>
      <x:c r="H371" s="19"/>
      <x:c r="I371" s="26"/>
      <x:c r="J371" s="19"/>
    </x:row>
    <x:row r="372">
      <x:c r="A372" s="19"/>
      <x:c r="B372" s="19"/>
      <x:c r="C372" s="25"/>
      <x:c r="D372" s="19"/>
      <x:c r="E372" s="19"/>
      <x:c r="F372" s="26"/>
      <x:c r="G372" s="19"/>
      <x:c r="H372" s="19"/>
      <x:c r="I372" s="26"/>
      <x:c r="J372" s="19"/>
    </x:row>
    <x:row r="373">
      <x:c r="A373" s="19"/>
      <x:c r="B373" s="19"/>
      <x:c r="C373" s="25"/>
      <x:c r="D373" s="19"/>
      <x:c r="E373" s="19"/>
      <x:c r="F373" s="26"/>
      <x:c r="G373" s="19"/>
      <x:c r="H373" s="19"/>
      <x:c r="I373" s="26"/>
      <x:c r="J373" s="19"/>
    </x:row>
    <x:row r="374">
      <x:c r="A374" s="19"/>
      <x:c r="B374" s="19"/>
      <x:c r="C374" s="25"/>
      <x:c r="D374" s="19"/>
      <x:c r="E374" s="19"/>
      <x:c r="F374" s="26"/>
      <x:c r="G374" s="19"/>
      <x:c r="H374" s="19"/>
      <x:c r="I374" s="26"/>
      <x:c r="J374" s="19"/>
    </x:row>
    <x:row r="375">
      <x:c r="A375" s="19"/>
      <x:c r="B375" s="19"/>
      <x:c r="C375" s="25"/>
      <x:c r="D375" s="19"/>
      <x:c r="E375" s="19"/>
      <x:c r="F375" s="26"/>
      <x:c r="G375" s="19"/>
      <x:c r="H375" s="19"/>
      <x:c r="I375" s="26"/>
      <x:c r="J375" s="19"/>
    </x:row>
    <x:row r="376">
      <x:c r="A376" s="19"/>
      <x:c r="B376" s="19"/>
      <x:c r="C376" s="25"/>
      <x:c r="D376" s="19"/>
      <x:c r="E376" s="19"/>
      <x:c r="F376" s="26"/>
      <x:c r="G376" s="19"/>
      <x:c r="H376" s="19"/>
      <x:c r="I376" s="26"/>
      <x:c r="J376" s="19"/>
    </x:row>
    <x:row r="377">
      <x:c r="A377" s="19"/>
      <x:c r="B377" s="19"/>
      <x:c r="C377" s="25"/>
      <x:c r="D377" s="19"/>
      <x:c r="E377" s="19"/>
      <x:c r="F377" s="26"/>
      <x:c r="G377" s="19"/>
      <x:c r="H377" s="19"/>
      <x:c r="I377" s="26"/>
      <x:c r="J377" s="19"/>
    </x:row>
    <x:row r="378">
      <x:c r="A378" s="19"/>
      <x:c r="B378" s="19"/>
      <x:c r="C378" s="25"/>
      <x:c r="D378" s="19"/>
      <x:c r="E378" s="19"/>
      <x:c r="F378" s="26"/>
      <x:c r="G378" s="19"/>
      <x:c r="H378" s="19"/>
      <x:c r="I378" s="26"/>
      <x:c r="J378" s="19"/>
    </x:row>
    <x:row r="379">
      <x:c r="A379" s="19"/>
      <x:c r="B379" s="19"/>
      <x:c r="C379" s="25"/>
      <x:c r="D379" s="19"/>
      <x:c r="E379" s="19"/>
      <x:c r="F379" s="26"/>
      <x:c r="G379" s="19"/>
      <x:c r="H379" s="19"/>
      <x:c r="I379" s="26"/>
      <x:c r="J379" s="19"/>
    </x:row>
    <x:row r="380">
      <x:c r="A380" s="19"/>
      <x:c r="B380" s="19"/>
      <x:c r="C380" s="25"/>
      <x:c r="D380" s="19"/>
      <x:c r="E380" s="19"/>
      <x:c r="F380" s="26"/>
      <x:c r="G380" s="19"/>
      <x:c r="H380" s="19"/>
      <x:c r="I380" s="26"/>
      <x:c r="J380" s="19"/>
    </x:row>
    <x:row r="381">
      <x:c r="A381" s="19"/>
      <x:c r="B381" s="19"/>
      <x:c r="C381" s="25"/>
      <x:c r="D381" s="19"/>
      <x:c r="E381" s="19"/>
      <x:c r="F381" s="26"/>
      <x:c r="G381" s="19"/>
      <x:c r="H381" s="19"/>
      <x:c r="I381" s="26"/>
      <x:c r="J381" s="19"/>
    </x:row>
    <x:row r="382">
      <x:c r="A382" s="19"/>
      <x:c r="B382" s="19"/>
      <x:c r="C382" s="25"/>
      <x:c r="D382" s="19"/>
      <x:c r="E382" s="19"/>
      <x:c r="F382" s="26"/>
      <x:c r="G382" s="19"/>
      <x:c r="H382" s="19"/>
      <x:c r="I382" s="26"/>
      <x:c r="J382" s="19"/>
    </x:row>
    <x:row r="383">
      <x:c r="A383" s="19"/>
      <x:c r="B383" s="19"/>
      <x:c r="C383" s="25"/>
      <x:c r="D383" s="19"/>
      <x:c r="E383" s="19"/>
      <x:c r="F383" s="26"/>
      <x:c r="G383" s="19"/>
      <x:c r="H383" s="19"/>
      <x:c r="I383" s="26"/>
      <x:c r="J383" s="19"/>
    </x:row>
    <x:row r="384">
      <x:c r="A384" s="19"/>
      <x:c r="B384" s="19"/>
      <x:c r="C384" s="25"/>
      <x:c r="D384" s="19"/>
      <x:c r="E384" s="19"/>
      <x:c r="F384" s="26"/>
      <x:c r="G384" s="19"/>
      <x:c r="H384" s="19"/>
      <x:c r="I384" s="26"/>
      <x:c r="J384" s="19"/>
    </x:row>
    <x:row r="385">
      <x:c r="A385" s="19"/>
      <x:c r="B385" s="19"/>
      <x:c r="C385" s="25"/>
      <x:c r="D385" s="19"/>
      <x:c r="E385" s="19"/>
      <x:c r="F385" s="26"/>
      <x:c r="G385" s="19"/>
      <x:c r="H385" s="19"/>
      <x:c r="I385" s="26"/>
      <x:c r="J385" s="19"/>
    </x:row>
    <x:row r="386">
      <x:c r="A386" s="19"/>
      <x:c r="B386" s="19"/>
      <x:c r="C386" s="25"/>
      <x:c r="D386" s="19"/>
      <x:c r="E386" s="19"/>
      <x:c r="F386" s="26"/>
      <x:c r="G386" s="19"/>
      <x:c r="H386" s="19"/>
      <x:c r="I386" s="26"/>
      <x:c r="J386" s="19"/>
    </x:row>
    <x:row r="387">
      <x:c r="A387" s="19"/>
      <x:c r="B387" s="19"/>
      <x:c r="C387" s="25"/>
      <x:c r="D387" s="19"/>
      <x:c r="E387" s="19"/>
      <x:c r="F387" s="26"/>
      <x:c r="G387" s="19"/>
      <x:c r="H387" s="19"/>
      <x:c r="I387" s="26"/>
      <x:c r="J387" s="19"/>
    </x:row>
    <x:row r="388">
      <x:c r="A388" s="19"/>
      <x:c r="B388" s="19"/>
      <x:c r="C388" s="25"/>
      <x:c r="D388" s="19"/>
      <x:c r="E388" s="19"/>
      <x:c r="F388" s="26"/>
      <x:c r="G388" s="19"/>
      <x:c r="H388" s="19"/>
      <x:c r="I388" s="26"/>
      <x:c r="J388" s="19"/>
    </x:row>
    <x:row r="389">
      <x:c r="A389" s="19"/>
      <x:c r="B389" s="19"/>
      <x:c r="C389" s="25"/>
      <x:c r="D389" s="19"/>
      <x:c r="E389" s="19"/>
      <x:c r="F389" s="26"/>
      <x:c r="G389" s="19"/>
      <x:c r="H389" s="19"/>
      <x:c r="I389" s="26"/>
      <x:c r="J389" s="19"/>
    </x:row>
    <x:row r="390">
      <x:c r="A390" s="19"/>
      <x:c r="B390" s="19"/>
      <x:c r="C390" s="25"/>
      <x:c r="D390" s="19"/>
      <x:c r="E390" s="19"/>
      <x:c r="F390" s="26"/>
      <x:c r="G390" s="19"/>
      <x:c r="H390" s="19"/>
      <x:c r="I390" s="26"/>
      <x:c r="J390" s="19"/>
    </x:row>
    <x:row r="391">
      <x:c r="A391" s="19"/>
      <x:c r="B391" s="19"/>
      <x:c r="C391" s="25"/>
      <x:c r="D391" s="19"/>
      <x:c r="E391" s="19"/>
      <x:c r="F391" s="26"/>
      <x:c r="G391" s="19"/>
      <x:c r="H391" s="19"/>
      <x:c r="I391" s="26"/>
      <x:c r="J391" s="19"/>
    </x:row>
    <x:row r="392">
      <x:c r="A392" s="19"/>
      <x:c r="B392" s="19"/>
      <x:c r="C392" s="25"/>
      <x:c r="D392" s="19"/>
      <x:c r="E392" s="19"/>
      <x:c r="F392" s="26"/>
      <x:c r="G392" s="19"/>
      <x:c r="H392" s="19"/>
      <x:c r="I392" s="26"/>
      <x:c r="J392" s="19"/>
    </x:row>
    <x:row r="393">
      <x:c r="A393" s="19"/>
      <x:c r="B393" s="19"/>
      <x:c r="C393" s="25"/>
      <x:c r="D393" s="19"/>
      <x:c r="E393" s="19"/>
      <x:c r="F393" s="26"/>
      <x:c r="G393" s="19"/>
      <x:c r="H393" s="19"/>
      <x:c r="I393" s="26"/>
      <x:c r="J393" s="19"/>
    </x:row>
    <x:row r="394">
      <x:c r="A394" s="19"/>
      <x:c r="B394" s="19"/>
      <x:c r="C394" s="25"/>
      <x:c r="D394" s="19"/>
      <x:c r="E394" s="19"/>
      <x:c r="F394" s="26"/>
      <x:c r="G394" s="19"/>
      <x:c r="H394" s="19"/>
      <x:c r="I394" s="26"/>
      <x:c r="J394" s="19"/>
    </x:row>
    <x:row r="395">
      <x:c r="A395" s="19"/>
      <x:c r="B395" s="19"/>
      <x:c r="C395" s="25"/>
      <x:c r="D395" s="19"/>
      <x:c r="E395" s="19"/>
      <x:c r="F395" s="26"/>
      <x:c r="G395" s="19"/>
      <x:c r="H395" s="19"/>
      <x:c r="I395" s="26"/>
      <x:c r="J395" s="19"/>
    </x:row>
    <x:row r="396">
      <x:c r="A396" s="19"/>
      <x:c r="B396" s="19"/>
      <x:c r="C396" s="25"/>
      <x:c r="D396" s="19"/>
      <x:c r="E396" s="19"/>
      <x:c r="F396" s="26"/>
      <x:c r="G396" s="19"/>
      <x:c r="H396" s="19"/>
      <x:c r="I396" s="26"/>
      <x:c r="J396" s="19"/>
    </x:row>
    <x:row r="397">
      <x:c r="A397" s="19"/>
      <x:c r="B397" s="19"/>
      <x:c r="C397" s="25"/>
      <x:c r="D397" s="19"/>
      <x:c r="E397" s="19"/>
      <x:c r="F397" s="26"/>
      <x:c r="G397" s="19"/>
      <x:c r="H397" s="19"/>
      <x:c r="I397" s="26"/>
      <x:c r="J397" s="19"/>
    </x:row>
    <x:row r="398">
      <x:c r="A398" s="19"/>
      <x:c r="B398" s="19"/>
      <x:c r="C398" s="25"/>
      <x:c r="D398" s="19"/>
      <x:c r="E398" s="19"/>
      <x:c r="F398" s="26"/>
      <x:c r="G398" s="19"/>
      <x:c r="H398" s="19"/>
      <x:c r="I398" s="26"/>
      <x:c r="J398" s="19"/>
    </x:row>
    <x:row r="399">
      <x:c r="A399" s="19"/>
      <x:c r="B399" s="19"/>
      <x:c r="C399" s="25"/>
      <x:c r="D399" s="19"/>
      <x:c r="E399" s="19"/>
      <x:c r="F399" s="26"/>
      <x:c r="G399" s="19"/>
      <x:c r="H399" s="19"/>
      <x:c r="I399" s="26"/>
      <x:c r="J399" s="19"/>
    </x:row>
    <x:row r="400">
      <x:c r="A400" s="19"/>
      <x:c r="B400" s="19"/>
      <x:c r="C400" s="25"/>
      <x:c r="D400" s="19"/>
      <x:c r="E400" s="19"/>
      <x:c r="F400" s="26"/>
      <x:c r="G400" s="19"/>
      <x:c r="H400" s="19"/>
      <x:c r="I400" s="26"/>
      <x:c r="J400" s="19"/>
    </x:row>
    <x:row r="401">
      <x:c r="A401" s="19"/>
      <x:c r="B401" s="19"/>
      <x:c r="C401" s="25"/>
      <x:c r="D401" s="19"/>
      <x:c r="E401" s="19"/>
      <x:c r="F401" s="26"/>
      <x:c r="G401" s="19"/>
      <x:c r="H401" s="19"/>
      <x:c r="I401" s="26"/>
      <x:c r="J401" s="19"/>
    </x:row>
    <x:row r="402">
      <x:c r="A402" s="19"/>
      <x:c r="B402" s="19"/>
      <x:c r="C402" s="25"/>
      <x:c r="D402" s="19"/>
      <x:c r="E402" s="19"/>
      <x:c r="F402" s="26"/>
      <x:c r="G402" s="19"/>
      <x:c r="H402" s="19"/>
      <x:c r="I402" s="26"/>
      <x:c r="J402" s="19"/>
    </x:row>
    <x:row r="403">
      <x:c r="A403" s="19"/>
      <x:c r="B403" s="19"/>
      <x:c r="C403" s="25"/>
      <x:c r="D403" s="19"/>
      <x:c r="E403" s="19"/>
      <x:c r="F403" s="26"/>
      <x:c r="G403" s="19"/>
      <x:c r="H403" s="19"/>
      <x:c r="I403" s="26"/>
      <x:c r="J403" s="19"/>
    </x:row>
    <x:row r="404">
      <x:c r="A404" s="19"/>
      <x:c r="B404" s="19"/>
      <x:c r="C404" s="25"/>
      <x:c r="D404" s="19"/>
      <x:c r="E404" s="19"/>
      <x:c r="F404" s="26"/>
      <x:c r="G404" s="19"/>
      <x:c r="H404" s="19"/>
      <x:c r="I404" s="26"/>
      <x:c r="J404" s="19"/>
    </x:row>
    <x:row r="405">
      <x:c r="A405" s="19"/>
      <x:c r="B405" s="19"/>
      <x:c r="C405" s="25"/>
      <x:c r="D405" s="19"/>
      <x:c r="E405" s="19"/>
      <x:c r="F405" s="26"/>
      <x:c r="G405" s="19"/>
      <x:c r="H405" s="19"/>
      <x:c r="I405" s="26"/>
      <x:c r="J405" s="19"/>
    </x:row>
    <x:row r="406">
      <x:c r="A406" s="19"/>
      <x:c r="B406" s="19"/>
      <x:c r="C406" s="25"/>
      <x:c r="D406" s="19"/>
      <x:c r="E406" s="19"/>
      <x:c r="F406" s="26"/>
      <x:c r="G406" s="19"/>
      <x:c r="H406" s="19"/>
      <x:c r="I406" s="26"/>
      <x:c r="J406" s="19"/>
    </x:row>
    <x:row r="407">
      <x:c r="A407" s="19"/>
      <x:c r="B407" s="19"/>
      <x:c r="C407" s="25"/>
      <x:c r="D407" s="19"/>
      <x:c r="E407" s="19"/>
      <x:c r="F407" s="26"/>
      <x:c r="G407" s="19"/>
      <x:c r="H407" s="19"/>
      <x:c r="I407" s="26"/>
      <x:c r="J407" s="19"/>
    </x:row>
    <x:row r="408">
      <x:c r="A408" s="19"/>
      <x:c r="B408" s="19"/>
      <x:c r="C408" s="25"/>
      <x:c r="D408" s="19"/>
      <x:c r="E408" s="19"/>
      <x:c r="F408" s="26"/>
      <x:c r="G408" s="19"/>
      <x:c r="H408" s="19"/>
      <x:c r="I408" s="26"/>
      <x:c r="J408" s="19"/>
    </x:row>
    <x:row r="409">
      <x:c r="A409" s="19"/>
      <x:c r="B409" s="19"/>
      <x:c r="C409" s="25"/>
      <x:c r="D409" s="19"/>
      <x:c r="E409" s="19"/>
      <x:c r="F409" s="26"/>
      <x:c r="G409" s="19"/>
      <x:c r="H409" s="19"/>
      <x:c r="I409" s="26"/>
      <x:c r="J409" s="19"/>
    </x:row>
    <x:row r="410">
      <x:c r="A410" s="19"/>
      <x:c r="B410" s="19"/>
      <x:c r="C410" s="25"/>
      <x:c r="D410" s="19"/>
      <x:c r="E410" s="19"/>
      <x:c r="F410" s="26"/>
      <x:c r="G410" s="19"/>
      <x:c r="H410" s="19"/>
      <x:c r="I410" s="26"/>
      <x:c r="J410" s="19"/>
    </x:row>
    <x:row r="411">
      <x:c r="A411" s="19"/>
      <x:c r="B411" s="19"/>
      <x:c r="C411" s="25"/>
      <x:c r="D411" s="19"/>
      <x:c r="E411" s="19"/>
      <x:c r="F411" s="26"/>
      <x:c r="G411" s="19"/>
      <x:c r="H411" s="19"/>
      <x:c r="I411" s="26"/>
      <x:c r="J411" s="19"/>
    </x:row>
    <x:row r="412">
      <x:c r="A412" s="19"/>
      <x:c r="B412" s="19"/>
      <x:c r="C412" s="25"/>
      <x:c r="D412" s="19"/>
      <x:c r="E412" s="19"/>
      <x:c r="F412" s="26"/>
      <x:c r="G412" s="19"/>
      <x:c r="H412" s="19"/>
      <x:c r="I412" s="26"/>
      <x:c r="J412" s="19"/>
    </x:row>
    <x:row r="413">
      <x:c r="A413" s="19"/>
      <x:c r="B413" s="19"/>
      <x:c r="C413" s="25"/>
      <x:c r="D413" s="19"/>
      <x:c r="E413" s="19"/>
      <x:c r="F413" s="26"/>
      <x:c r="G413" s="19"/>
      <x:c r="H413" s="19"/>
      <x:c r="I413" s="26"/>
      <x:c r="J413" s="19"/>
    </x:row>
    <x:row r="414">
      <x:c r="A414" s="19"/>
      <x:c r="B414" s="19"/>
      <x:c r="C414" s="25"/>
      <x:c r="D414" s="19"/>
      <x:c r="E414" s="19"/>
      <x:c r="F414" s="26"/>
      <x:c r="G414" s="19"/>
      <x:c r="H414" s="19"/>
      <x:c r="I414" s="26"/>
      <x:c r="J414" s="19"/>
    </x:row>
    <x:row r="415">
      <x:c r="A415" s="19"/>
      <x:c r="B415" s="19"/>
      <x:c r="C415" s="25"/>
      <x:c r="D415" s="19"/>
      <x:c r="E415" s="19"/>
      <x:c r="F415" s="26"/>
      <x:c r="G415" s="19"/>
      <x:c r="H415" s="19"/>
      <x:c r="I415" s="26"/>
      <x:c r="J415" s="19"/>
    </x:row>
    <x:row r="416">
      <x:c r="A416" s="19"/>
      <x:c r="B416" s="19"/>
      <x:c r="C416" s="25"/>
      <x:c r="D416" s="19"/>
      <x:c r="E416" s="19"/>
      <x:c r="F416" s="26"/>
      <x:c r="G416" s="19"/>
      <x:c r="H416" s="19"/>
      <x:c r="I416" s="26"/>
      <x:c r="J416" s="19"/>
    </x:row>
    <x:row r="417">
      <x:c r="A417" s="19"/>
      <x:c r="B417" s="19"/>
      <x:c r="C417" s="25"/>
      <x:c r="D417" s="19"/>
      <x:c r="E417" s="19"/>
      <x:c r="F417" s="26"/>
      <x:c r="G417" s="19"/>
      <x:c r="H417" s="19"/>
      <x:c r="I417" s="26"/>
      <x:c r="J417" s="19"/>
    </x:row>
    <x:row r="418">
      <x:c r="A418" s="19"/>
      <x:c r="B418" s="19"/>
      <x:c r="C418" s="25"/>
      <x:c r="D418" s="19"/>
      <x:c r="E418" s="19"/>
      <x:c r="F418" s="26"/>
      <x:c r="G418" s="19"/>
      <x:c r="H418" s="19"/>
      <x:c r="I418" s="26"/>
      <x:c r="J418" s="19"/>
    </x:row>
    <x:row r="419">
      <x:c r="A419" s="19"/>
      <x:c r="B419" s="19"/>
      <x:c r="C419" s="25"/>
      <x:c r="D419" s="19"/>
      <x:c r="E419" s="19"/>
      <x:c r="F419" s="26"/>
      <x:c r="G419" s="19"/>
      <x:c r="H419" s="19"/>
      <x:c r="I419" s="26"/>
      <x:c r="J419" s="19"/>
    </x:row>
    <x:row r="420">
      <x:c r="A420" s="19"/>
      <x:c r="B420" s="19"/>
      <x:c r="C420" s="25"/>
      <x:c r="D420" s="19"/>
      <x:c r="E420" s="19"/>
      <x:c r="F420" s="26"/>
      <x:c r="G420" s="19"/>
      <x:c r="H420" s="19"/>
      <x:c r="I420" s="26"/>
      <x:c r="J420" s="19"/>
    </x:row>
    <x:row r="421">
      <x:c r="A421" s="19"/>
      <x:c r="B421" s="19"/>
      <x:c r="C421" s="25"/>
      <x:c r="D421" s="19"/>
      <x:c r="E421" s="19"/>
      <x:c r="F421" s="26"/>
      <x:c r="G421" s="19"/>
      <x:c r="H421" s="19"/>
      <x:c r="I421" s="26"/>
      <x:c r="J421" s="19"/>
    </x:row>
    <x:row r="422">
      <x:c r="A422" s="19"/>
      <x:c r="B422" s="19"/>
      <x:c r="C422" s="25"/>
      <x:c r="D422" s="19"/>
      <x:c r="E422" s="19"/>
      <x:c r="F422" s="26"/>
      <x:c r="G422" s="19"/>
      <x:c r="H422" s="19"/>
      <x:c r="I422" s="26"/>
      <x:c r="J422" s="19"/>
    </x:row>
    <x:row r="423">
      <x:c r="A423" s="19"/>
      <x:c r="B423" s="19"/>
      <x:c r="C423" s="25"/>
      <x:c r="D423" s="19"/>
      <x:c r="E423" s="19"/>
      <x:c r="F423" s="26"/>
      <x:c r="G423" s="19"/>
      <x:c r="H423" s="19"/>
      <x:c r="I423" s="26"/>
      <x:c r="J423" s="19"/>
    </x:row>
    <x:row r="424">
      <x:c r="A424" s="19"/>
      <x:c r="B424" s="19"/>
      <x:c r="C424" s="25"/>
      <x:c r="D424" s="19"/>
      <x:c r="E424" s="19"/>
      <x:c r="F424" s="26"/>
      <x:c r="G424" s="19"/>
      <x:c r="H424" s="19"/>
      <x:c r="I424" s="26"/>
      <x:c r="J424" s="19"/>
    </x:row>
    <x:row r="425">
      <x:c r="A425" s="19"/>
      <x:c r="B425" s="19"/>
      <x:c r="C425" s="25"/>
      <x:c r="D425" s="19"/>
      <x:c r="E425" s="19"/>
      <x:c r="F425" s="26"/>
      <x:c r="G425" s="19"/>
      <x:c r="H425" s="19"/>
      <x:c r="I425" s="26"/>
      <x:c r="J425" s="19"/>
    </x:row>
    <x:row r="426">
      <x:c r="A426" s="19"/>
      <x:c r="B426" s="19"/>
      <x:c r="C426" s="25"/>
      <x:c r="D426" s="19"/>
      <x:c r="E426" s="19"/>
      <x:c r="F426" s="26"/>
      <x:c r="G426" s="19"/>
      <x:c r="H426" s="19"/>
      <x:c r="I426" s="26"/>
      <x:c r="J426" s="19"/>
    </x:row>
    <x:row r="427">
      <x:c r="A427" s="19"/>
      <x:c r="B427" s="19"/>
      <x:c r="C427" s="25"/>
      <x:c r="D427" s="19"/>
      <x:c r="E427" s="19"/>
      <x:c r="F427" s="26"/>
      <x:c r="G427" s="19"/>
      <x:c r="H427" s="19"/>
      <x:c r="I427" s="26"/>
      <x:c r="J427" s="19"/>
    </x:row>
    <x:row r="428">
      <x:c r="A428" s="19"/>
      <x:c r="B428" s="19"/>
      <x:c r="C428" s="25"/>
      <x:c r="D428" s="19"/>
      <x:c r="E428" s="19"/>
      <x:c r="F428" s="26"/>
      <x:c r="G428" s="19"/>
      <x:c r="H428" s="19"/>
      <x:c r="I428" s="26"/>
      <x:c r="J428" s="19"/>
    </x:row>
    <x:row r="429">
      <x:c r="A429" s="19"/>
      <x:c r="B429" s="19"/>
      <x:c r="C429" s="25"/>
      <x:c r="D429" s="19"/>
      <x:c r="E429" s="19"/>
      <x:c r="F429" s="26"/>
      <x:c r="G429" s="19"/>
      <x:c r="H429" s="19"/>
      <x:c r="I429" s="26"/>
      <x:c r="J429" s="19"/>
    </x:row>
    <x:row r="430">
      <x:c r="A430" s="19"/>
      <x:c r="B430" s="19"/>
      <x:c r="C430" s="25"/>
      <x:c r="D430" s="19"/>
      <x:c r="E430" s="19"/>
      <x:c r="F430" s="26"/>
      <x:c r="G430" s="19"/>
      <x:c r="H430" s="19"/>
      <x:c r="I430" s="26"/>
      <x:c r="J430" s="19"/>
    </x:row>
    <x:row r="431">
      <x:c r="A431" s="19"/>
      <x:c r="B431" s="19"/>
      <x:c r="C431" s="25"/>
      <x:c r="D431" s="19"/>
      <x:c r="E431" s="19"/>
      <x:c r="F431" s="26"/>
      <x:c r="G431" s="19"/>
      <x:c r="H431" s="19"/>
      <x:c r="I431" s="26"/>
      <x:c r="J431" s="19"/>
    </x:row>
    <x:row r="432">
      <x:c r="A432" s="19"/>
      <x:c r="B432" s="19"/>
      <x:c r="C432" s="25"/>
      <x:c r="D432" s="19"/>
      <x:c r="E432" s="19"/>
      <x:c r="F432" s="26"/>
      <x:c r="G432" s="19"/>
      <x:c r="H432" s="19"/>
      <x:c r="I432" s="26"/>
      <x:c r="J432" s="19"/>
    </x:row>
    <x:row r="433">
      <x:c r="A433" s="19"/>
      <x:c r="B433" s="19"/>
      <x:c r="C433" s="25"/>
      <x:c r="D433" s="19"/>
      <x:c r="E433" s="19"/>
      <x:c r="F433" s="26"/>
      <x:c r="G433" s="19"/>
      <x:c r="H433" s="19"/>
      <x:c r="I433" s="26"/>
      <x:c r="J433" s="19"/>
    </x:row>
    <x:row r="434">
      <x:c r="A434" s="19"/>
      <x:c r="B434" s="19"/>
      <x:c r="C434" s="25"/>
      <x:c r="D434" s="19"/>
      <x:c r="E434" s="19"/>
      <x:c r="F434" s="26"/>
      <x:c r="G434" s="19"/>
      <x:c r="H434" s="19"/>
      <x:c r="I434" s="26"/>
      <x:c r="J434" s="19"/>
    </x:row>
    <x:row r="435">
      <x:c r="A435" s="19"/>
      <x:c r="B435" s="19"/>
      <x:c r="C435" s="25"/>
      <x:c r="D435" s="19"/>
      <x:c r="E435" s="19"/>
      <x:c r="F435" s="26"/>
      <x:c r="G435" s="19"/>
      <x:c r="H435" s="19"/>
      <x:c r="I435" s="26"/>
      <x:c r="J435" s="19"/>
    </x:row>
    <x:row r="436">
      <x:c r="A436" s="19"/>
      <x:c r="B436" s="19"/>
      <x:c r="C436" s="25"/>
      <x:c r="D436" s="19"/>
      <x:c r="E436" s="19"/>
      <x:c r="F436" s="26"/>
      <x:c r="G436" s="19"/>
      <x:c r="H436" s="19"/>
      <x:c r="I436" s="26"/>
      <x:c r="J436" s="19"/>
    </x:row>
    <x:row r="437">
      <x:c r="A437" s="19"/>
      <x:c r="B437" s="19"/>
      <x:c r="C437" s="25"/>
      <x:c r="D437" s="19"/>
      <x:c r="E437" s="19"/>
      <x:c r="F437" s="26"/>
      <x:c r="G437" s="19"/>
      <x:c r="H437" s="19"/>
      <x:c r="I437" s="26"/>
      <x:c r="J437" s="19"/>
    </x:row>
    <x:row r="438">
      <x:c r="A438" s="19"/>
      <x:c r="B438" s="19"/>
      <x:c r="C438" s="25"/>
      <x:c r="D438" s="19"/>
      <x:c r="E438" s="19"/>
      <x:c r="F438" s="26"/>
      <x:c r="G438" s="19"/>
      <x:c r="H438" s="19"/>
      <x:c r="I438" s="26"/>
      <x:c r="J438" s="19"/>
    </x:row>
    <x:row r="439">
      <x:c r="A439" s="19"/>
      <x:c r="B439" s="19"/>
      <x:c r="C439" s="25"/>
      <x:c r="D439" s="19"/>
      <x:c r="E439" s="19"/>
      <x:c r="F439" s="26"/>
      <x:c r="G439" s="19"/>
      <x:c r="H439" s="19"/>
      <x:c r="I439" s="26"/>
      <x:c r="J439" s="19"/>
    </x:row>
    <x:row r="440">
      <x:c r="A440" s="19"/>
      <x:c r="B440" s="19"/>
      <x:c r="C440" s="25"/>
      <x:c r="D440" s="19"/>
      <x:c r="E440" s="19"/>
      <x:c r="F440" s="26"/>
      <x:c r="G440" s="19"/>
      <x:c r="H440" s="19"/>
      <x:c r="I440" s="26"/>
      <x:c r="J440" s="19"/>
    </x:row>
    <x:row r="441">
      <x:c r="A441" s="19"/>
      <x:c r="B441" s="19"/>
      <x:c r="C441" s="25"/>
      <x:c r="D441" s="19"/>
      <x:c r="E441" s="19"/>
      <x:c r="F441" s="26"/>
      <x:c r="G441" s="19"/>
      <x:c r="H441" s="19"/>
      <x:c r="I441" s="26"/>
      <x:c r="J441" s="19"/>
    </x:row>
    <x:row r="442">
      <x:c r="A442" s="19"/>
      <x:c r="B442" s="19"/>
      <x:c r="C442" s="25"/>
      <x:c r="D442" s="19"/>
      <x:c r="E442" s="19"/>
      <x:c r="F442" s="26"/>
      <x:c r="G442" s="19"/>
      <x:c r="H442" s="19"/>
      <x:c r="I442" s="26"/>
      <x:c r="J442" s="19"/>
    </x:row>
    <x:row r="443">
      <x:c r="A443" s="19"/>
      <x:c r="B443" s="19"/>
      <x:c r="C443" s="25"/>
      <x:c r="D443" s="19"/>
      <x:c r="E443" s="19"/>
      <x:c r="F443" s="26"/>
      <x:c r="G443" s="19"/>
      <x:c r="H443" s="19"/>
      <x:c r="I443" s="26"/>
      <x:c r="J443" s="19"/>
    </x:row>
    <x:row r="444">
      <x:c r="A444" s="19"/>
      <x:c r="B444" s="19"/>
      <x:c r="C444" s="25"/>
      <x:c r="D444" s="19"/>
      <x:c r="E444" s="19"/>
      <x:c r="F444" s="26"/>
      <x:c r="G444" s="19"/>
      <x:c r="H444" s="19"/>
      <x:c r="I444" s="26"/>
      <x:c r="J444" s="19"/>
    </x:row>
    <x:row r="445">
      <x:c r="A445" s="19"/>
      <x:c r="B445" s="19"/>
      <x:c r="C445" s="25"/>
      <x:c r="D445" s="19"/>
      <x:c r="E445" s="19"/>
      <x:c r="F445" s="26"/>
      <x:c r="G445" s="19"/>
      <x:c r="H445" s="19"/>
      <x:c r="I445" s="26"/>
      <x:c r="J445" s="19"/>
    </x:row>
    <x:row r="446">
      <x:c r="A446" s="19"/>
      <x:c r="B446" s="19"/>
      <x:c r="C446" s="25"/>
      <x:c r="D446" s="19"/>
      <x:c r="E446" s="19"/>
      <x:c r="F446" s="26"/>
      <x:c r="G446" s="19"/>
      <x:c r="H446" s="19"/>
      <x:c r="I446" s="26"/>
      <x:c r="J446" s="19"/>
    </x:row>
    <x:row r="447">
      <x:c r="A447" s="19"/>
      <x:c r="B447" s="19"/>
      <x:c r="C447" s="25"/>
      <x:c r="D447" s="19"/>
      <x:c r="E447" s="19"/>
      <x:c r="F447" s="26"/>
      <x:c r="G447" s="19"/>
      <x:c r="H447" s="19"/>
      <x:c r="I447" s="26"/>
      <x:c r="J447" s="19"/>
    </x:row>
    <x:row r="448">
      <x:c r="A448" s="19"/>
      <x:c r="B448" s="19"/>
      <x:c r="C448" s="25"/>
      <x:c r="D448" s="19"/>
      <x:c r="E448" s="19"/>
      <x:c r="F448" s="26"/>
      <x:c r="G448" s="19"/>
      <x:c r="H448" s="19"/>
      <x:c r="I448" s="26"/>
      <x:c r="J448" s="19"/>
    </x:row>
    <x:row r="449">
      <x:c r="A449" s="19"/>
      <x:c r="B449" s="19"/>
      <x:c r="C449" s="25"/>
      <x:c r="D449" s="19"/>
      <x:c r="E449" s="19"/>
      <x:c r="F449" s="26"/>
      <x:c r="G449" s="19"/>
      <x:c r="H449" s="19"/>
      <x:c r="I449" s="26"/>
      <x:c r="J449" s="19"/>
    </x:row>
    <x:row r="450">
      <x:c r="A450" s="19"/>
      <x:c r="B450" s="19"/>
      <x:c r="C450" s="25"/>
      <x:c r="D450" s="19"/>
      <x:c r="E450" s="19"/>
      <x:c r="F450" s="26"/>
      <x:c r="G450" s="19"/>
      <x:c r="H450" s="19"/>
      <x:c r="I450" s="26"/>
      <x:c r="J450" s="19"/>
    </x:row>
    <x:row r="451">
      <x:c r="A451" s="19"/>
      <x:c r="B451" s="19"/>
      <x:c r="C451" s="25"/>
      <x:c r="D451" s="19"/>
      <x:c r="E451" s="19"/>
      <x:c r="F451" s="26"/>
      <x:c r="G451" s="19"/>
      <x:c r="H451" s="19"/>
      <x:c r="I451" s="26"/>
      <x:c r="J451" s="19"/>
    </x:row>
    <x:row r="452">
      <x:c r="A452" s="19"/>
      <x:c r="B452" s="19"/>
      <x:c r="C452" s="25"/>
      <x:c r="D452" s="19"/>
      <x:c r="E452" s="19"/>
      <x:c r="F452" s="26"/>
      <x:c r="G452" s="19"/>
      <x:c r="H452" s="19"/>
      <x:c r="I452" s="26"/>
      <x:c r="J452" s="19"/>
    </x:row>
    <x:row r="453">
      <x:c r="A453" s="19"/>
      <x:c r="B453" s="19"/>
      <x:c r="C453" s="25"/>
      <x:c r="D453" s="19"/>
      <x:c r="E453" s="19"/>
      <x:c r="F453" s="26"/>
      <x:c r="G453" s="19"/>
      <x:c r="H453" s="19"/>
      <x:c r="I453" s="26"/>
      <x:c r="J453" s="19"/>
    </x:row>
    <x:row r="454">
      <x:c r="A454" s="19"/>
      <x:c r="B454" s="19"/>
      <x:c r="C454" s="25"/>
      <x:c r="D454" s="19"/>
      <x:c r="E454" s="19"/>
      <x:c r="F454" s="26"/>
      <x:c r="G454" s="19"/>
      <x:c r="H454" s="19"/>
      <x:c r="I454" s="26"/>
      <x:c r="J454" s="19"/>
    </x:row>
    <x:row r="455">
      <x:c r="A455" s="19"/>
      <x:c r="B455" s="19"/>
      <x:c r="C455" s="25"/>
      <x:c r="D455" s="19"/>
      <x:c r="E455" s="19"/>
      <x:c r="F455" s="26"/>
      <x:c r="G455" s="19"/>
      <x:c r="H455" s="19"/>
      <x:c r="I455" s="26"/>
      <x:c r="J455" s="19"/>
    </x:row>
    <x:row r="456">
      <x:c r="A456" s="19"/>
      <x:c r="B456" s="19"/>
      <x:c r="C456" s="25"/>
      <x:c r="D456" s="19"/>
      <x:c r="E456" s="19"/>
      <x:c r="F456" s="26"/>
      <x:c r="G456" s="19"/>
      <x:c r="H456" s="19"/>
      <x:c r="I456" s="26"/>
      <x:c r="J456" s="19"/>
    </x:row>
    <x:row r="457">
      <x:c r="A457" s="19"/>
      <x:c r="B457" s="19"/>
      <x:c r="C457" s="25"/>
      <x:c r="D457" s="19"/>
      <x:c r="E457" s="19"/>
      <x:c r="F457" s="26"/>
      <x:c r="G457" s="19"/>
      <x:c r="H457" s="19"/>
      <x:c r="I457" s="26"/>
      <x:c r="J457" s="19"/>
    </x:row>
    <x:row r="458">
      <x:c r="A458" s="19"/>
      <x:c r="B458" s="19"/>
      <x:c r="C458" s="25"/>
      <x:c r="D458" s="19"/>
      <x:c r="E458" s="19"/>
      <x:c r="F458" s="26"/>
      <x:c r="G458" s="19"/>
      <x:c r="H458" s="19"/>
      <x:c r="I458" s="26"/>
      <x:c r="J458" s="19"/>
    </x:row>
    <x:row r="459">
      <x:c r="A459" s="19"/>
      <x:c r="B459" s="19"/>
      <x:c r="C459" s="25"/>
      <x:c r="D459" s="19"/>
      <x:c r="E459" s="19"/>
      <x:c r="F459" s="26"/>
      <x:c r="G459" s="19"/>
      <x:c r="H459" s="19"/>
      <x:c r="I459" s="26"/>
      <x:c r="J459" s="19"/>
    </x:row>
    <x:row r="460">
      <x:c r="A460" s="19"/>
      <x:c r="B460" s="19"/>
      <x:c r="C460" s="25"/>
      <x:c r="D460" s="19"/>
      <x:c r="E460" s="19"/>
      <x:c r="F460" s="26"/>
      <x:c r="G460" s="19"/>
      <x:c r="H460" s="19"/>
      <x:c r="I460" s="26"/>
      <x:c r="J460" s="19"/>
    </x:row>
    <x:row r="461">
      <x:c r="A461" s="19"/>
      <x:c r="B461" s="19"/>
      <x:c r="C461" s="25"/>
      <x:c r="D461" s="19"/>
      <x:c r="E461" s="19"/>
      <x:c r="F461" s="26"/>
      <x:c r="G461" s="19"/>
      <x:c r="H461" s="19"/>
      <x:c r="I461" s="26"/>
      <x:c r="J461" s="19"/>
    </x:row>
    <x:row r="462">
      <x:c r="A462" s="19"/>
      <x:c r="B462" s="19"/>
      <x:c r="C462" s="25"/>
      <x:c r="D462" s="19"/>
      <x:c r="E462" s="19"/>
      <x:c r="F462" s="26"/>
      <x:c r="G462" s="19"/>
      <x:c r="H462" s="19"/>
      <x:c r="I462" s="26"/>
      <x:c r="J462" s="19"/>
    </x:row>
    <x:row r="463">
      <x:c r="A463" s="19"/>
      <x:c r="B463" s="19"/>
      <x:c r="C463" s="25"/>
      <x:c r="D463" s="19"/>
      <x:c r="E463" s="19"/>
      <x:c r="F463" s="26"/>
      <x:c r="G463" s="19"/>
      <x:c r="H463" s="19"/>
      <x:c r="I463" s="26"/>
      <x:c r="J463" s="19"/>
    </x:row>
    <x:row r="464">
      <x:c r="A464" s="19"/>
      <x:c r="B464" s="19"/>
      <x:c r="C464" s="25"/>
      <x:c r="D464" s="19"/>
      <x:c r="E464" s="19"/>
      <x:c r="F464" s="26"/>
      <x:c r="G464" s="19"/>
      <x:c r="H464" s="19"/>
      <x:c r="I464" s="26"/>
      <x:c r="J464" s="19"/>
    </x:row>
    <x:row r="465">
      <x:c r="A465" s="19"/>
      <x:c r="B465" s="19"/>
      <x:c r="C465" s="25"/>
      <x:c r="D465" s="19"/>
      <x:c r="E465" s="19"/>
      <x:c r="F465" s="26"/>
      <x:c r="G465" s="19"/>
      <x:c r="H465" s="19"/>
      <x:c r="I465" s="26"/>
      <x:c r="J465" s="19"/>
    </x:row>
    <x:row r="466">
      <x:c r="A466" s="19"/>
      <x:c r="B466" s="19"/>
      <x:c r="C466" s="25"/>
      <x:c r="D466" s="19"/>
      <x:c r="E466" s="19"/>
      <x:c r="F466" s="26"/>
      <x:c r="G466" s="19"/>
      <x:c r="H466" s="19"/>
      <x:c r="I466" s="26"/>
      <x:c r="J466" s="19"/>
    </x:row>
    <x:row r="467">
      <x:c r="A467" s="19"/>
      <x:c r="B467" s="19"/>
      <x:c r="C467" s="25"/>
      <x:c r="D467" s="19"/>
      <x:c r="E467" s="19"/>
      <x:c r="F467" s="26"/>
      <x:c r="G467" s="19"/>
      <x:c r="H467" s="19"/>
      <x:c r="I467" s="26"/>
      <x:c r="J467" s="19"/>
    </x:row>
    <x:row r="468">
      <x:c r="A468" s="19"/>
      <x:c r="B468" s="19"/>
      <x:c r="C468" s="25"/>
      <x:c r="D468" s="19"/>
      <x:c r="E468" s="19"/>
      <x:c r="F468" s="26"/>
      <x:c r="G468" s="19"/>
      <x:c r="H468" s="19"/>
      <x:c r="I468" s="26"/>
      <x:c r="J468" s="19"/>
    </x:row>
    <x:row r="469">
      <x:c r="A469" s="19"/>
      <x:c r="B469" s="19"/>
      <x:c r="C469" s="25"/>
      <x:c r="D469" s="19"/>
      <x:c r="E469" s="19"/>
      <x:c r="F469" s="26"/>
      <x:c r="G469" s="19"/>
      <x:c r="H469" s="19"/>
      <x:c r="I469" s="26"/>
      <x:c r="J469" s="19"/>
    </x:row>
    <x:row r="470">
      <x:c r="A470" s="19"/>
      <x:c r="B470" s="19"/>
      <x:c r="C470" s="25"/>
      <x:c r="D470" s="19"/>
      <x:c r="E470" s="19"/>
      <x:c r="F470" s="26"/>
      <x:c r="G470" s="19"/>
      <x:c r="H470" s="19"/>
      <x:c r="I470" s="26"/>
      <x:c r="J470" s="19"/>
    </x:row>
    <x:row r="471">
      <x:c r="A471" s="19"/>
      <x:c r="B471" s="19"/>
      <x:c r="C471" s="25"/>
      <x:c r="D471" s="19"/>
      <x:c r="E471" s="19"/>
      <x:c r="F471" s="26"/>
      <x:c r="G471" s="19"/>
      <x:c r="H471" s="19"/>
      <x:c r="I471" s="26"/>
      <x:c r="J471" s="19"/>
    </x:row>
    <x:row r="472">
      <x:c r="A472" s="19"/>
      <x:c r="B472" s="19"/>
      <x:c r="C472" s="25"/>
      <x:c r="D472" s="19"/>
      <x:c r="E472" s="19"/>
      <x:c r="F472" s="26"/>
      <x:c r="G472" s="19"/>
      <x:c r="H472" s="19"/>
      <x:c r="I472" s="26"/>
      <x:c r="J472" s="19"/>
    </x:row>
    <x:row r="473">
      <x:c r="A473" s="19"/>
      <x:c r="B473" s="19"/>
      <x:c r="C473" s="25"/>
      <x:c r="D473" s="19"/>
      <x:c r="E473" s="19"/>
      <x:c r="F473" s="26"/>
      <x:c r="G473" s="19"/>
      <x:c r="H473" s="19"/>
      <x:c r="I473" s="26"/>
      <x:c r="J473" s="19"/>
    </x:row>
    <x:row r="474">
      <x:c r="A474" s="19"/>
      <x:c r="B474" s="19"/>
      <x:c r="C474" s="25"/>
      <x:c r="D474" s="19"/>
      <x:c r="E474" s="19"/>
      <x:c r="F474" s="26"/>
      <x:c r="G474" s="19"/>
      <x:c r="H474" s="19"/>
      <x:c r="I474" s="26"/>
      <x:c r="J474" s="19"/>
    </x:row>
    <x:row r="475">
      <x:c r="A475" s="19"/>
      <x:c r="B475" s="19"/>
      <x:c r="C475" s="25"/>
      <x:c r="D475" s="19"/>
      <x:c r="E475" s="19"/>
      <x:c r="F475" s="26"/>
      <x:c r="G475" s="19"/>
      <x:c r="H475" s="19"/>
      <x:c r="I475" s="26"/>
      <x:c r="J475" s="19"/>
    </x:row>
    <x:row r="476">
      <x:c r="A476" s="19"/>
      <x:c r="B476" s="19"/>
      <x:c r="C476" s="25"/>
      <x:c r="D476" s="19"/>
      <x:c r="E476" s="19"/>
      <x:c r="F476" s="26"/>
      <x:c r="G476" s="19"/>
      <x:c r="H476" s="19"/>
      <x:c r="I476" s="26"/>
      <x:c r="J476" s="19"/>
    </x:row>
    <x:row r="477">
      <x:c r="A477" s="19"/>
      <x:c r="B477" s="19"/>
      <x:c r="C477" s="25"/>
      <x:c r="D477" s="19"/>
      <x:c r="E477" s="19"/>
      <x:c r="F477" s="26"/>
      <x:c r="G477" s="19"/>
      <x:c r="H477" s="19"/>
      <x:c r="I477" s="26"/>
      <x:c r="J477" s="19"/>
    </x:row>
    <x:row r="478">
      <x:c r="A478" s="19"/>
      <x:c r="B478" s="19"/>
      <x:c r="C478" s="25"/>
      <x:c r="D478" s="19"/>
      <x:c r="E478" s="19"/>
      <x:c r="F478" s="26"/>
      <x:c r="G478" s="19"/>
      <x:c r="H478" s="19"/>
      <x:c r="I478" s="26"/>
      <x:c r="J478" s="19"/>
    </x:row>
    <x:row r="479">
      <x:c r="A479" s="19"/>
      <x:c r="B479" s="19"/>
      <x:c r="C479" s="25"/>
      <x:c r="D479" s="19"/>
      <x:c r="E479" s="19"/>
      <x:c r="F479" s="26"/>
      <x:c r="G479" s="19"/>
      <x:c r="H479" s="19"/>
      <x:c r="I479" s="26"/>
      <x:c r="J479" s="19"/>
    </x:row>
    <x:row r="480">
      <x:c r="A480" s="19"/>
      <x:c r="B480" s="19"/>
      <x:c r="C480" s="25"/>
      <x:c r="D480" s="19"/>
      <x:c r="E480" s="19"/>
      <x:c r="F480" s="26"/>
      <x:c r="G480" s="19"/>
      <x:c r="H480" s="19"/>
      <x:c r="I480" s="26"/>
      <x:c r="J480" s="19"/>
    </x:row>
    <x:row r="481">
      <x:c r="A481" s="19"/>
      <x:c r="B481" s="19"/>
      <x:c r="C481" s="25"/>
      <x:c r="D481" s="19"/>
      <x:c r="E481" s="19"/>
      <x:c r="F481" s="26"/>
      <x:c r="G481" s="19"/>
      <x:c r="H481" s="19"/>
      <x:c r="I481" s="26"/>
      <x:c r="J481" s="19"/>
    </x:row>
    <x:row r="482">
      <x:c r="A482" s="19"/>
      <x:c r="B482" s="19"/>
      <x:c r="C482" s="25"/>
      <x:c r="D482" s="19"/>
      <x:c r="E482" s="19"/>
      <x:c r="F482" s="26"/>
      <x:c r="G482" s="19"/>
      <x:c r="H482" s="19"/>
      <x:c r="I482" s="26"/>
      <x:c r="J482" s="19"/>
    </x:row>
    <x:row r="483">
      <x:c r="A483" s="19"/>
      <x:c r="B483" s="19"/>
      <x:c r="C483" s="25"/>
      <x:c r="D483" s="19"/>
      <x:c r="E483" s="19"/>
      <x:c r="F483" s="26"/>
      <x:c r="G483" s="19"/>
      <x:c r="H483" s="19"/>
      <x:c r="I483" s="26"/>
      <x:c r="J483" s="19"/>
    </x:row>
    <x:row r="484">
      <x:c r="A484" s="19"/>
      <x:c r="B484" s="19"/>
      <x:c r="C484" s="25"/>
      <x:c r="D484" s="19"/>
      <x:c r="E484" s="19"/>
      <x:c r="F484" s="26"/>
      <x:c r="G484" s="19"/>
      <x:c r="H484" s="19"/>
      <x:c r="I484" s="26"/>
      <x:c r="J484" s="19"/>
    </x:row>
    <x:row r="485">
      <x:c r="A485" s="19"/>
      <x:c r="B485" s="19"/>
      <x:c r="C485" s="25"/>
      <x:c r="D485" s="19"/>
      <x:c r="E485" s="19"/>
      <x:c r="F485" s="26"/>
      <x:c r="G485" s="19"/>
      <x:c r="H485" s="19"/>
      <x:c r="I485" s="26"/>
      <x:c r="J485" s="19"/>
    </x:row>
    <x:row r="486">
      <x:c r="A486" s="19"/>
      <x:c r="B486" s="19"/>
      <x:c r="C486" s="25"/>
      <x:c r="D486" s="19"/>
      <x:c r="E486" s="19"/>
      <x:c r="F486" s="26"/>
      <x:c r="G486" s="19"/>
      <x:c r="H486" s="19"/>
      <x:c r="I486" s="26"/>
      <x:c r="J486" s="19"/>
    </x:row>
    <x:row r="487">
      <x:c r="A487" s="19"/>
      <x:c r="B487" s="19"/>
      <x:c r="C487" s="25"/>
      <x:c r="D487" s="19"/>
      <x:c r="E487" s="19"/>
      <x:c r="F487" s="26"/>
      <x:c r="G487" s="19"/>
      <x:c r="H487" s="19"/>
      <x:c r="I487" s="26"/>
      <x:c r="J487" s="19"/>
    </x:row>
    <x:row r="488">
      <x:c r="A488" s="19"/>
      <x:c r="B488" s="19"/>
      <x:c r="C488" s="25"/>
      <x:c r="D488" s="19"/>
      <x:c r="E488" s="19"/>
      <x:c r="F488" s="26"/>
      <x:c r="G488" s="19"/>
      <x:c r="H488" s="19"/>
      <x:c r="I488" s="26"/>
      <x:c r="J488" s="19"/>
    </x:row>
    <x:row r="489">
      <x:c r="A489" s="19"/>
      <x:c r="B489" s="19"/>
      <x:c r="C489" s="25"/>
      <x:c r="D489" s="19"/>
      <x:c r="E489" s="19"/>
      <x:c r="F489" s="26"/>
      <x:c r="G489" s="19"/>
      <x:c r="H489" s="19"/>
      <x:c r="I489" s="26"/>
      <x:c r="J489" s="19"/>
    </x:row>
    <x:row r="490">
      <x:c r="A490" s="19"/>
      <x:c r="B490" s="19"/>
      <x:c r="C490" s="25"/>
      <x:c r="D490" s="19"/>
      <x:c r="E490" s="19"/>
      <x:c r="F490" s="26"/>
      <x:c r="G490" s="19"/>
      <x:c r="H490" s="19"/>
      <x:c r="I490" s="26"/>
      <x:c r="J490" s="19"/>
    </x:row>
    <x:row r="491">
      <x:c r="A491" s="19"/>
      <x:c r="B491" s="19"/>
      <x:c r="C491" s="25"/>
      <x:c r="D491" s="19"/>
      <x:c r="E491" s="19"/>
      <x:c r="F491" s="26"/>
      <x:c r="G491" s="19"/>
      <x:c r="H491" s="19"/>
      <x:c r="I491" s="26"/>
      <x:c r="J491" s="19"/>
    </x:row>
    <x:row r="492">
      <x:c r="A492" s="19"/>
      <x:c r="B492" s="19"/>
      <x:c r="C492" s="25"/>
      <x:c r="D492" s="19"/>
      <x:c r="E492" s="19"/>
      <x:c r="F492" s="26"/>
      <x:c r="G492" s="19"/>
      <x:c r="H492" s="19"/>
      <x:c r="I492" s="26"/>
      <x:c r="J492" s="19"/>
    </x:row>
    <x:row r="493">
      <x:c r="A493" s="19"/>
      <x:c r="B493" s="19"/>
      <x:c r="C493" s="25"/>
      <x:c r="D493" s="19"/>
      <x:c r="E493" s="19"/>
      <x:c r="F493" s="26"/>
      <x:c r="G493" s="19"/>
      <x:c r="H493" s="19"/>
      <x:c r="I493" s="26"/>
      <x:c r="J493" s="19"/>
    </x:row>
    <x:row r="494">
      <x:c r="A494" s="19"/>
      <x:c r="B494" s="19"/>
      <x:c r="C494" s="25"/>
      <x:c r="D494" s="19"/>
      <x:c r="E494" s="19"/>
      <x:c r="F494" s="26"/>
      <x:c r="G494" s="19"/>
      <x:c r="H494" s="19"/>
      <x:c r="I494" s="26"/>
      <x:c r="J494" s="19"/>
    </x:row>
    <x:row r="495">
      <x:c r="A495" s="19"/>
      <x:c r="B495" s="19"/>
      <x:c r="C495" s="25"/>
      <x:c r="D495" s="19"/>
      <x:c r="E495" s="19"/>
      <x:c r="F495" s="26"/>
      <x:c r="G495" s="19"/>
      <x:c r="H495" s="19"/>
      <x:c r="I495" s="26"/>
      <x:c r="J495" s="19"/>
    </x:row>
    <x:row r="496">
      <x:c r="A496" s="19"/>
      <x:c r="B496" s="19"/>
      <x:c r="C496" s="25"/>
      <x:c r="D496" s="19"/>
      <x:c r="E496" s="19"/>
      <x:c r="F496" s="26"/>
      <x:c r="G496" s="19"/>
      <x:c r="H496" s="19"/>
      <x:c r="I496" s="26"/>
      <x:c r="J496" s="19"/>
    </x:row>
    <x:row r="497">
      <x:c r="A497" s="19"/>
      <x:c r="B497" s="19"/>
      <x:c r="C497" s="25"/>
      <x:c r="D497" s="19"/>
      <x:c r="E497" s="19"/>
      <x:c r="F497" s="26"/>
      <x:c r="G497" s="19"/>
      <x:c r="H497" s="19"/>
      <x:c r="I497" s="26"/>
      <x:c r="J497" s="19"/>
    </x:row>
    <x:row r="498">
      <x:c r="A498" s="19"/>
      <x:c r="B498" s="19"/>
      <x:c r="C498" s="25"/>
      <x:c r="D498" s="19"/>
      <x:c r="E498" s="19"/>
      <x:c r="F498" s="26"/>
      <x:c r="G498" s="19"/>
      <x:c r="H498" s="19"/>
      <x:c r="I498" s="26"/>
      <x:c r="J498" s="19"/>
    </x:row>
    <x:row r="499">
      <x:c r="A499" s="19"/>
      <x:c r="B499" s="19"/>
      <x:c r="C499" s="25"/>
      <x:c r="D499" s="19"/>
      <x:c r="E499" s="19"/>
      <x:c r="F499" s="26"/>
      <x:c r="G499" s="19"/>
      <x:c r="H499" s="19"/>
      <x:c r="I499" s="26"/>
      <x:c r="J499" s="19"/>
    </x:row>
    <x:row r="500">
      <x:c r="A500" s="19"/>
      <x:c r="B500" s="19"/>
      <x:c r="C500" s="25"/>
      <x:c r="D500" s="19"/>
      <x:c r="E500" s="19"/>
      <x:c r="F500" s="26"/>
      <x:c r="G500" s="19"/>
      <x:c r="H500" s="19"/>
      <x:c r="I500" s="26"/>
      <x:c r="J500" s="19"/>
    </x:row>
  </x:sheetData>
  <x:conditionalFormatting sqref="B2:B500">
    <x:cfRule type="expression" dxfId="204" priority="1">
      <x:formula>AND($A2&lt;&gt;"",B2="")</x:formula>
    </x:cfRule>
  </x:conditionalFormatting>
  <x:conditionalFormatting sqref="C2:C500">
    <x:cfRule type="expression" dxfId="205" priority="2">
      <x:formula>AND($A2&lt;&gt;"",C2="")</x:formula>
    </x:cfRule>
  </x:conditionalFormatting>
  <x:conditionalFormatting sqref="D2:D500">
    <x:cfRule type="expression" dxfId="206" priority="3">
      <x:formula>AND($A2&lt;&gt;"",D2="")</x:formula>
    </x:cfRule>
  </x:conditionalFormatting>
  <x:conditionalFormatting sqref="F2:F500">
    <x:cfRule type="expression" dxfId="207" priority="4">
      <x:formula>AND($A2&lt;&gt;"",F2="")</x:formula>
    </x:cfRule>
  </x:conditionalFormatting>
  <x:conditionalFormatting sqref="G2:G500">
    <x:cfRule type="expression" dxfId="208" priority="5">
      <x:formula>AND($A2&lt;&gt;"",G2="")</x:formula>
    </x:cfRule>
  </x:conditionalFormatting>
  <x:conditionalFormatting sqref="I2:I500">
    <x:cfRule type="expression" dxfId="209" priority="6">
      <x:formula>AND($A2&lt;&gt;"",I2="")</x:formula>
    </x:cfRule>
  </x:conditionalFormatting>
  <x:conditionalFormatting sqref="J2:J500">
    <x:cfRule type="expression" dxfId="210" priority="7">
      <x:formula>AND($A2&lt;&gt;"",J2="")</x:formula>
    </x:cfRule>
  </x:conditionalFormatting>
  <x:dataValidations count="2">
    <x:dataValidation type="list" sqref="D2:D500">
      <x:formula1>"cash,card,bank_transfer,cheque,credit,other"</x:formula1>
    </x:dataValidation>
    <x:dataValidation type="list" sqref="G2:G500">
      <x:formula1>"pending,confirmed,failed,refunded"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c721ab77524ea4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19" hidden="0" customWidth="1"/>
    <x:col min="9" max="9" width="28" hidden="0" customWidth="1"/>
    <x:col min="10" max="10" width="18" hidden="0" customWidth="1"/>
  </x:cols>
  <x:sheetData>
    <x:row r="1" ht="46" customHeight="1">
      <x:c r="A1" s="12" t="str">
        <x:v>شناسه گردش *
(transaction_id)</x:v>
      </x:c>
      <x:c r="B1" s="13" t="str">
        <x:v>محصول *
(product_id)</x:v>
      </x:c>
      <x:c r="C1" s="13" t="str">
        <x:v>نوع گردش *
(type)</x:v>
      </x:c>
      <x:c r="D1" s="13" t="str">
        <x:v>مقدار با علامت *
(qty_signed)</x:v>
      </x:c>
      <x:c r="E1" s="13" t="str">
        <x:v>بهای واحد (ریال)
(unit_cost)</x:v>
      </x:c>
      <x:c r="F1" s="13" t="str">
        <x:v>نوع مرتبط
(related_type)</x:v>
      </x:c>
      <x:c r="G1" s="13" t="str">
        <x:v>شناسه مرتبط
(related_id)</x:v>
      </x:c>
      <x:c r="H1" s="13" t="str">
        <x:v>زمان *
(occurred_at)</x:v>
      </x:c>
      <x:c r="I1" s="13" t="str">
        <x:v>توضیحات
(notes)</x:v>
      </x:c>
      <x:c r="J1" s="14" t="str">
        <x:v>ثبت‌کننده *
(created_by)</x:v>
      </x:c>
    </x:row>
    <x:row r="2">
      <x:c r="A2" s="28" t="str">
        <x:v>stk_001</x:v>
      </x:c>
      <x:c r="B2" s="29" t="str">
        <x:v>prd_001</x:v>
      </x:c>
      <x:c r="C2" s="29" t="str">
        <x:v>opening</x:v>
      </x:c>
      <x:c r="D2" s="63" t="n">
        <x:v>100</x:v>
      </x:c>
      <x:c r="E2" s="32" t="n">
        <x:v>21000000</x:v>
      </x:c>
      <x:c r="F2" s="29" t="str"/>
      <x:c r="G2" s="29" t="str"/>
      <x:c r="H2" s="33" t="n">
        <x:v>46174.229166666664</x:v>
      </x:c>
      <x:c r="I2" s="29" t="str">
        <x:v>موجودی آغازین</x:v>
      </x:c>
      <x:c r="J2" s="36" t="str">
        <x:v>usr_owner</x:v>
      </x:c>
    </x:row>
    <x:row r="3">
      <x:c r="A3" s="37" t="str">
        <x:v>stk_002</x:v>
      </x:c>
      <x:c r="B3" s="38" t="str">
        <x:v>prd_002</x:v>
      </x:c>
      <x:c r="C3" s="38" t="str">
        <x:v>opening</x:v>
      </x:c>
      <x:c r="D3" s="64" t="n">
        <x:v>40</x:v>
      </x:c>
      <x:c r="E3" s="41" t="n">
        <x:v>33000000</x:v>
      </x:c>
      <x:c r="F3" s="38"/>
      <x:c r="G3" s="38"/>
      <x:c r="H3" s="42" t="n">
        <x:v>46174.229166666664</x:v>
      </x:c>
      <x:c r="I3" s="38" t="str">
        <x:v>موجودی آغازین</x:v>
      </x:c>
      <x:c r="J3" s="45" t="str">
        <x:v>usr_owner</x:v>
      </x:c>
    </x:row>
    <x:row r="4">
      <x:c r="A4" s="37" t="str">
        <x:v>stk_003</x:v>
      </x:c>
      <x:c r="B4" s="38" t="str">
        <x:v>prd_003</x:v>
      </x:c>
      <x:c r="C4" s="38" t="str">
        <x:v>opening</x:v>
      </x:c>
      <x:c r="D4" s="64" t="n">
        <x:v>15</x:v>
      </x:c>
      <x:c r="E4" s="41" t="n">
        <x:v>50000000</x:v>
      </x:c>
      <x:c r="F4" s="38"/>
      <x:c r="G4" s="38"/>
      <x:c r="H4" s="42" t="n">
        <x:v>46174.229166666664</x:v>
      </x:c>
      <x:c r="I4" s="38" t="str">
        <x:v>موجودی آغازین</x:v>
      </x:c>
      <x:c r="J4" s="45" t="str">
        <x:v>usr_owner</x:v>
      </x:c>
    </x:row>
    <x:row r="5">
      <x:c r="A5" s="37" t="str">
        <x:v>stk_004</x:v>
      </x:c>
      <x:c r="B5" s="38" t="str">
        <x:v>prd_005</x:v>
      </x:c>
      <x:c r="C5" s="38" t="str">
        <x:v>opening</x:v>
      </x:c>
      <x:c r="D5" s="64" t="n">
        <x:v>12</x:v>
      </x:c>
      <x:c r="E5" s="41" t="n">
        <x:v>14000000</x:v>
      </x:c>
      <x:c r="F5" s="38"/>
      <x:c r="G5" s="38"/>
      <x:c r="H5" s="42" t="n">
        <x:v>46174.229166666664</x:v>
      </x:c>
      <x:c r="I5" s="38" t="str">
        <x:v>موجودی آغازین</x:v>
      </x:c>
      <x:c r="J5" s="45" t="str">
        <x:v>usr_owner</x:v>
      </x:c>
    </x:row>
    <x:row r="6">
      <x:c r="A6" s="37" t="str">
        <x:v>stk_005</x:v>
      </x:c>
      <x:c r="B6" s="38" t="str">
        <x:v>prd_003</x:v>
      </x:c>
      <x:c r="C6" s="38" t="str">
        <x:v>sale</x:v>
      </x:c>
      <x:c r="D6" s="64" t="n">
        <x:v>-2</x:v>
      </x:c>
      <x:c r="E6" s="41" t="n">
        <x:v>50000000</x:v>
      </x:c>
      <x:c r="F6" s="38" t="str">
        <x:v>order</x:v>
      </x:c>
      <x:c r="G6" s="38" t="str">
        <x:v>ord_001</x:v>
      </x:c>
      <x:c r="H6" s="42" t="n">
        <x:v>46196.333333333336</x:v>
      </x:c>
      <x:c r="I6" s="38" t="str">
        <x:v>فروش</x:v>
      </x:c>
      <x:c r="J6" s="45" t="str">
        <x:v>usr_ali</x:v>
      </x:c>
    </x:row>
    <x:row r="7">
      <x:c r="A7" s="37" t="str">
        <x:v>stk_006</x:v>
      </x:c>
      <x:c r="B7" s="38" t="str">
        <x:v>prd_001</x:v>
      </x:c>
      <x:c r="C7" s="38" t="str">
        <x:v>sale</x:v>
      </x:c>
      <x:c r="D7" s="64" t="n">
        <x:v>-30</x:v>
      </x:c>
      <x:c r="E7" s="41" t="n">
        <x:v>21000000</x:v>
      </x:c>
      <x:c r="F7" s="38" t="str">
        <x:v>order</x:v>
      </x:c>
      <x:c r="G7" s="38" t="str">
        <x:v>ord_002</x:v>
      </x:c>
      <x:c r="H7" s="42" t="n">
        <x:v>46211.270833333336</x:v>
      </x:c>
      <x:c r="I7" s="38" t="str">
        <x:v>رزرو سفارش</x:v>
      </x:c>
      <x:c r="J7" s="45" t="str">
        <x:v>usr_sara</x:v>
      </x:c>
    </x:row>
    <x:row r="8">
      <x:c r="A8" s="46" t="str">
        <x:v>stk_007</x:v>
      </x:c>
      <x:c r="B8" s="47" t="str">
        <x:v>prd_002</x:v>
      </x:c>
      <x:c r="C8" s="47" t="str">
        <x:v>sale</x:v>
      </x:c>
      <x:c r="D8" s="65" t="n">
        <x:v>-5</x:v>
      </x:c>
      <x:c r="E8" s="50" t="n">
        <x:v>33000000</x:v>
      </x:c>
      <x:c r="F8" s="47" t="str">
        <x:v>order</x:v>
      </x:c>
      <x:c r="G8" s="47" t="str">
        <x:v>ord_003</x:v>
      </x:c>
      <x:c r="H8" s="51" t="n">
        <x:v>46160.3125</x:v>
      </x:c>
      <x:c r="I8" s="47" t="str">
        <x:v>فروش قبلی</x:v>
      </x:c>
      <x:c r="J8" s="54" t="str">
        <x:v>usr_sara</x:v>
      </x:c>
    </x:row>
    <x:row r="9">
      <x:c r="A9" s="19"/>
      <x:c r="B9" s="19"/>
      <x:c r="C9" s="19"/>
      <x:c r="D9" s="62"/>
      <x:c r="E9" s="25"/>
      <x:c r="F9" s="19"/>
      <x:c r="G9" s="19"/>
      <x:c r="H9" s="26"/>
      <x:c r="I9" s="19"/>
      <x:c r="J9" s="19"/>
    </x:row>
    <x:row r="10">
      <x:c r="A10" s="19"/>
      <x:c r="B10" s="19"/>
      <x:c r="C10" s="19"/>
      <x:c r="D10" s="62"/>
      <x:c r="E10" s="25"/>
      <x:c r="F10" s="19"/>
      <x:c r="G10" s="19"/>
      <x:c r="H10" s="26"/>
      <x:c r="I10" s="19"/>
      <x:c r="J10" s="19"/>
    </x:row>
    <x:row r="11">
      <x:c r="A11" s="19"/>
      <x:c r="B11" s="19"/>
      <x:c r="C11" s="19"/>
      <x:c r="D11" s="62"/>
      <x:c r="E11" s="25"/>
      <x:c r="F11" s="19"/>
      <x:c r="G11" s="19"/>
      <x:c r="H11" s="26"/>
      <x:c r="I11" s="19"/>
      <x:c r="J11" s="19"/>
    </x:row>
    <x:row r="12">
      <x:c r="A12" s="19"/>
      <x:c r="B12" s="19"/>
      <x:c r="C12" s="19"/>
      <x:c r="D12" s="62"/>
      <x:c r="E12" s="25"/>
      <x:c r="F12" s="19"/>
      <x:c r="G12" s="19"/>
      <x:c r="H12" s="26"/>
      <x:c r="I12" s="19"/>
      <x:c r="J12" s="19"/>
    </x:row>
    <x:row r="13">
      <x:c r="A13" s="19"/>
      <x:c r="B13" s="19"/>
      <x:c r="C13" s="19"/>
      <x:c r="D13" s="62"/>
      <x:c r="E13" s="25"/>
      <x:c r="F13" s="19"/>
      <x:c r="G13" s="19"/>
      <x:c r="H13" s="26"/>
      <x:c r="I13" s="19"/>
      <x:c r="J13" s="19"/>
    </x:row>
    <x:row r="14">
      <x:c r="A14" s="19"/>
      <x:c r="B14" s="19"/>
      <x:c r="C14" s="19"/>
      <x:c r="D14" s="62"/>
      <x:c r="E14" s="25"/>
      <x:c r="F14" s="19"/>
      <x:c r="G14" s="19"/>
      <x:c r="H14" s="26"/>
      <x:c r="I14" s="19"/>
      <x:c r="J14" s="19"/>
    </x:row>
    <x:row r="15">
      <x:c r="A15" s="19"/>
      <x:c r="B15" s="19"/>
      <x:c r="C15" s="19"/>
      <x:c r="D15" s="62"/>
      <x:c r="E15" s="25"/>
      <x:c r="F15" s="19"/>
      <x:c r="G15" s="19"/>
      <x:c r="H15" s="26"/>
      <x:c r="I15" s="19"/>
      <x:c r="J15" s="19"/>
    </x:row>
    <x:row r="16">
      <x:c r="A16" s="19"/>
      <x:c r="B16" s="19"/>
      <x:c r="C16" s="19"/>
      <x:c r="D16" s="62"/>
      <x:c r="E16" s="25"/>
      <x:c r="F16" s="19"/>
      <x:c r="G16" s="19"/>
      <x:c r="H16" s="26"/>
      <x:c r="I16" s="19"/>
      <x:c r="J16" s="19"/>
    </x:row>
    <x:row r="17">
      <x:c r="A17" s="19"/>
      <x:c r="B17" s="19"/>
      <x:c r="C17" s="19"/>
      <x:c r="D17" s="62"/>
      <x:c r="E17" s="25"/>
      <x:c r="F17" s="19"/>
      <x:c r="G17" s="19"/>
      <x:c r="H17" s="26"/>
      <x:c r="I17" s="19"/>
      <x:c r="J17" s="19"/>
    </x:row>
    <x:row r="18">
      <x:c r="A18" s="19"/>
      <x:c r="B18" s="19"/>
      <x:c r="C18" s="19"/>
      <x:c r="D18" s="62"/>
      <x:c r="E18" s="25"/>
      <x:c r="F18" s="19"/>
      <x:c r="G18" s="19"/>
      <x:c r="H18" s="26"/>
      <x:c r="I18" s="19"/>
      <x:c r="J18" s="19"/>
    </x:row>
    <x:row r="19">
      <x:c r="A19" s="19"/>
      <x:c r="B19" s="19"/>
      <x:c r="C19" s="19"/>
      <x:c r="D19" s="62"/>
      <x:c r="E19" s="25"/>
      <x:c r="F19" s="19"/>
      <x:c r="G19" s="19"/>
      <x:c r="H19" s="26"/>
      <x:c r="I19" s="19"/>
      <x:c r="J19" s="19"/>
    </x:row>
    <x:row r="20">
      <x:c r="A20" s="19"/>
      <x:c r="B20" s="19"/>
      <x:c r="C20" s="19"/>
      <x:c r="D20" s="62"/>
      <x:c r="E20" s="25"/>
      <x:c r="F20" s="19"/>
      <x:c r="G20" s="19"/>
      <x:c r="H20" s="26"/>
      <x:c r="I20" s="19"/>
      <x:c r="J20" s="19"/>
    </x:row>
    <x:row r="21">
      <x:c r="A21" s="19"/>
      <x:c r="B21" s="19"/>
      <x:c r="C21" s="19"/>
      <x:c r="D21" s="62"/>
      <x:c r="E21" s="25"/>
      <x:c r="F21" s="19"/>
      <x:c r="G21" s="19"/>
      <x:c r="H21" s="26"/>
      <x:c r="I21" s="19"/>
      <x:c r="J21" s="19"/>
    </x:row>
    <x:row r="22">
      <x:c r="A22" s="19"/>
      <x:c r="B22" s="19"/>
      <x:c r="C22" s="19"/>
      <x:c r="D22" s="62"/>
      <x:c r="E22" s="25"/>
      <x:c r="F22" s="19"/>
      <x:c r="G22" s="19"/>
      <x:c r="H22" s="26"/>
      <x:c r="I22" s="19"/>
      <x:c r="J22" s="19"/>
    </x:row>
    <x:row r="23">
      <x:c r="A23" s="19"/>
      <x:c r="B23" s="19"/>
      <x:c r="C23" s="19"/>
      <x:c r="D23" s="62"/>
      <x:c r="E23" s="25"/>
      <x:c r="F23" s="19"/>
      <x:c r="G23" s="19"/>
      <x:c r="H23" s="26"/>
      <x:c r="I23" s="19"/>
      <x:c r="J23" s="19"/>
    </x:row>
    <x:row r="24">
      <x:c r="A24" s="19"/>
      <x:c r="B24" s="19"/>
      <x:c r="C24" s="19"/>
      <x:c r="D24" s="62"/>
      <x:c r="E24" s="25"/>
      <x:c r="F24" s="19"/>
      <x:c r="G24" s="19"/>
      <x:c r="H24" s="26"/>
      <x:c r="I24" s="19"/>
      <x:c r="J24" s="19"/>
    </x:row>
    <x:row r="25">
      <x:c r="A25" s="19"/>
      <x:c r="B25" s="19"/>
      <x:c r="C25" s="19"/>
      <x:c r="D25" s="62"/>
      <x:c r="E25" s="25"/>
      <x:c r="F25" s="19"/>
      <x:c r="G25" s="19"/>
      <x:c r="H25" s="26"/>
      <x:c r="I25" s="19"/>
      <x:c r="J25" s="19"/>
    </x:row>
    <x:row r="26">
      <x:c r="A26" s="19"/>
      <x:c r="B26" s="19"/>
      <x:c r="C26" s="19"/>
      <x:c r="D26" s="62"/>
      <x:c r="E26" s="25"/>
      <x:c r="F26" s="19"/>
      <x:c r="G26" s="19"/>
      <x:c r="H26" s="26"/>
      <x:c r="I26" s="19"/>
      <x:c r="J26" s="19"/>
    </x:row>
    <x:row r="27">
      <x:c r="A27" s="19"/>
      <x:c r="B27" s="19"/>
      <x:c r="C27" s="19"/>
      <x:c r="D27" s="62"/>
      <x:c r="E27" s="25"/>
      <x:c r="F27" s="19"/>
      <x:c r="G27" s="19"/>
      <x:c r="H27" s="26"/>
      <x:c r="I27" s="19"/>
      <x:c r="J27" s="19"/>
    </x:row>
    <x:row r="28">
      <x:c r="A28" s="19"/>
      <x:c r="B28" s="19"/>
      <x:c r="C28" s="19"/>
      <x:c r="D28" s="62"/>
      <x:c r="E28" s="25"/>
      <x:c r="F28" s="19"/>
      <x:c r="G28" s="19"/>
      <x:c r="H28" s="26"/>
      <x:c r="I28" s="19"/>
      <x:c r="J28" s="19"/>
    </x:row>
    <x:row r="29">
      <x:c r="A29" s="19"/>
      <x:c r="B29" s="19"/>
      <x:c r="C29" s="19"/>
      <x:c r="D29" s="62"/>
      <x:c r="E29" s="25"/>
      <x:c r="F29" s="19"/>
      <x:c r="G29" s="19"/>
      <x:c r="H29" s="26"/>
      <x:c r="I29" s="19"/>
      <x:c r="J29" s="19"/>
    </x:row>
    <x:row r="30">
      <x:c r="A30" s="19"/>
      <x:c r="B30" s="19"/>
      <x:c r="C30" s="19"/>
      <x:c r="D30" s="62"/>
      <x:c r="E30" s="25"/>
      <x:c r="F30" s="19"/>
      <x:c r="G30" s="19"/>
      <x:c r="H30" s="26"/>
      <x:c r="I30" s="19"/>
      <x:c r="J30" s="19"/>
    </x:row>
    <x:row r="31">
      <x:c r="A31" s="19"/>
      <x:c r="B31" s="19"/>
      <x:c r="C31" s="19"/>
      <x:c r="D31" s="62"/>
      <x:c r="E31" s="25"/>
      <x:c r="F31" s="19"/>
      <x:c r="G31" s="19"/>
      <x:c r="H31" s="26"/>
      <x:c r="I31" s="19"/>
      <x:c r="J31" s="19"/>
    </x:row>
    <x:row r="32">
      <x:c r="A32" s="19"/>
      <x:c r="B32" s="19"/>
      <x:c r="C32" s="19"/>
      <x:c r="D32" s="62"/>
      <x:c r="E32" s="25"/>
      <x:c r="F32" s="19"/>
      <x:c r="G32" s="19"/>
      <x:c r="H32" s="26"/>
      <x:c r="I32" s="19"/>
      <x:c r="J32" s="19"/>
    </x:row>
    <x:row r="33">
      <x:c r="A33" s="19"/>
      <x:c r="B33" s="19"/>
      <x:c r="C33" s="19"/>
      <x:c r="D33" s="62"/>
      <x:c r="E33" s="25"/>
      <x:c r="F33" s="19"/>
      <x:c r="G33" s="19"/>
      <x:c r="H33" s="26"/>
      <x:c r="I33" s="19"/>
      <x:c r="J33" s="19"/>
    </x:row>
    <x:row r="34">
      <x:c r="A34" s="19"/>
      <x:c r="B34" s="19"/>
      <x:c r="C34" s="19"/>
      <x:c r="D34" s="62"/>
      <x:c r="E34" s="25"/>
      <x:c r="F34" s="19"/>
      <x:c r="G34" s="19"/>
      <x:c r="H34" s="26"/>
      <x:c r="I34" s="19"/>
      <x:c r="J34" s="19"/>
    </x:row>
    <x:row r="35">
      <x:c r="A35" s="19"/>
      <x:c r="B35" s="19"/>
      <x:c r="C35" s="19"/>
      <x:c r="D35" s="62"/>
      <x:c r="E35" s="25"/>
      <x:c r="F35" s="19"/>
      <x:c r="G35" s="19"/>
      <x:c r="H35" s="26"/>
      <x:c r="I35" s="19"/>
      <x:c r="J35" s="19"/>
    </x:row>
    <x:row r="36">
      <x:c r="A36" s="19"/>
      <x:c r="B36" s="19"/>
      <x:c r="C36" s="19"/>
      <x:c r="D36" s="62"/>
      <x:c r="E36" s="25"/>
      <x:c r="F36" s="19"/>
      <x:c r="G36" s="19"/>
      <x:c r="H36" s="26"/>
      <x:c r="I36" s="19"/>
      <x:c r="J36" s="19"/>
    </x:row>
    <x:row r="37">
      <x:c r="A37" s="19"/>
      <x:c r="B37" s="19"/>
      <x:c r="C37" s="19"/>
      <x:c r="D37" s="62"/>
      <x:c r="E37" s="25"/>
      <x:c r="F37" s="19"/>
      <x:c r="G37" s="19"/>
      <x:c r="H37" s="26"/>
      <x:c r="I37" s="19"/>
      <x:c r="J37" s="19"/>
    </x:row>
    <x:row r="38">
      <x:c r="A38" s="19"/>
      <x:c r="B38" s="19"/>
      <x:c r="C38" s="19"/>
      <x:c r="D38" s="62"/>
      <x:c r="E38" s="25"/>
      <x:c r="F38" s="19"/>
      <x:c r="G38" s="19"/>
      <x:c r="H38" s="26"/>
      <x:c r="I38" s="19"/>
      <x:c r="J38" s="19"/>
    </x:row>
    <x:row r="39">
      <x:c r="A39" s="19"/>
      <x:c r="B39" s="19"/>
      <x:c r="C39" s="19"/>
      <x:c r="D39" s="62"/>
      <x:c r="E39" s="25"/>
      <x:c r="F39" s="19"/>
      <x:c r="G39" s="19"/>
      <x:c r="H39" s="26"/>
      <x:c r="I39" s="19"/>
      <x:c r="J39" s="19"/>
    </x:row>
    <x:row r="40">
      <x:c r="A40" s="19"/>
      <x:c r="B40" s="19"/>
      <x:c r="C40" s="19"/>
      <x:c r="D40" s="62"/>
      <x:c r="E40" s="25"/>
      <x:c r="F40" s="19"/>
      <x:c r="G40" s="19"/>
      <x:c r="H40" s="26"/>
      <x:c r="I40" s="19"/>
      <x:c r="J40" s="19"/>
    </x:row>
    <x:row r="41">
      <x:c r="A41" s="19"/>
      <x:c r="B41" s="19"/>
      <x:c r="C41" s="19"/>
      <x:c r="D41" s="62"/>
      <x:c r="E41" s="25"/>
      <x:c r="F41" s="19"/>
      <x:c r="G41" s="19"/>
      <x:c r="H41" s="26"/>
      <x:c r="I41" s="19"/>
      <x:c r="J41" s="19"/>
    </x:row>
    <x:row r="42">
      <x:c r="A42" s="19"/>
      <x:c r="B42" s="19"/>
      <x:c r="C42" s="19"/>
      <x:c r="D42" s="62"/>
      <x:c r="E42" s="25"/>
      <x:c r="F42" s="19"/>
      <x:c r="G42" s="19"/>
      <x:c r="H42" s="26"/>
      <x:c r="I42" s="19"/>
      <x:c r="J42" s="19"/>
    </x:row>
    <x:row r="43">
      <x:c r="A43" s="19"/>
      <x:c r="B43" s="19"/>
      <x:c r="C43" s="19"/>
      <x:c r="D43" s="62"/>
      <x:c r="E43" s="25"/>
      <x:c r="F43" s="19"/>
      <x:c r="G43" s="19"/>
      <x:c r="H43" s="26"/>
      <x:c r="I43" s="19"/>
      <x:c r="J43" s="19"/>
    </x:row>
    <x:row r="44">
      <x:c r="A44" s="19"/>
      <x:c r="B44" s="19"/>
      <x:c r="C44" s="19"/>
      <x:c r="D44" s="62"/>
      <x:c r="E44" s="25"/>
      <x:c r="F44" s="19"/>
      <x:c r="G44" s="19"/>
      <x:c r="H44" s="26"/>
      <x:c r="I44" s="19"/>
      <x:c r="J44" s="19"/>
    </x:row>
    <x:row r="45">
      <x:c r="A45" s="19"/>
      <x:c r="B45" s="19"/>
      <x:c r="C45" s="19"/>
      <x:c r="D45" s="62"/>
      <x:c r="E45" s="25"/>
      <x:c r="F45" s="19"/>
      <x:c r="G45" s="19"/>
      <x:c r="H45" s="26"/>
      <x:c r="I45" s="19"/>
      <x:c r="J45" s="19"/>
    </x:row>
    <x:row r="46">
      <x:c r="A46" s="19"/>
      <x:c r="B46" s="19"/>
      <x:c r="C46" s="19"/>
      <x:c r="D46" s="62"/>
      <x:c r="E46" s="25"/>
      <x:c r="F46" s="19"/>
      <x:c r="G46" s="19"/>
      <x:c r="H46" s="26"/>
      <x:c r="I46" s="19"/>
      <x:c r="J46" s="19"/>
    </x:row>
    <x:row r="47">
      <x:c r="A47" s="19"/>
      <x:c r="B47" s="19"/>
      <x:c r="C47" s="19"/>
      <x:c r="D47" s="62"/>
      <x:c r="E47" s="25"/>
      <x:c r="F47" s="19"/>
      <x:c r="G47" s="19"/>
      <x:c r="H47" s="26"/>
      <x:c r="I47" s="19"/>
      <x:c r="J47" s="19"/>
    </x:row>
    <x:row r="48">
      <x:c r="A48" s="19"/>
      <x:c r="B48" s="19"/>
      <x:c r="C48" s="19"/>
      <x:c r="D48" s="62"/>
      <x:c r="E48" s="25"/>
      <x:c r="F48" s="19"/>
      <x:c r="G48" s="19"/>
      <x:c r="H48" s="26"/>
      <x:c r="I48" s="19"/>
      <x:c r="J48" s="19"/>
    </x:row>
    <x:row r="49">
      <x:c r="A49" s="19"/>
      <x:c r="B49" s="19"/>
      <x:c r="C49" s="19"/>
      <x:c r="D49" s="62"/>
      <x:c r="E49" s="25"/>
      <x:c r="F49" s="19"/>
      <x:c r="G49" s="19"/>
      <x:c r="H49" s="26"/>
      <x:c r="I49" s="19"/>
      <x:c r="J49" s="19"/>
    </x:row>
    <x:row r="50">
      <x:c r="A50" s="19"/>
      <x:c r="B50" s="19"/>
      <x:c r="C50" s="19"/>
      <x:c r="D50" s="62"/>
      <x:c r="E50" s="25"/>
      <x:c r="F50" s="19"/>
      <x:c r="G50" s="19"/>
      <x:c r="H50" s="26"/>
      <x:c r="I50" s="19"/>
      <x:c r="J50" s="19"/>
    </x:row>
    <x:row r="51">
      <x:c r="A51" s="19"/>
      <x:c r="B51" s="19"/>
      <x:c r="C51" s="19"/>
      <x:c r="D51" s="62"/>
      <x:c r="E51" s="25"/>
      <x:c r="F51" s="19"/>
      <x:c r="G51" s="19"/>
      <x:c r="H51" s="26"/>
      <x:c r="I51" s="19"/>
      <x:c r="J51" s="19"/>
    </x:row>
    <x:row r="52">
      <x:c r="A52" s="19"/>
      <x:c r="B52" s="19"/>
      <x:c r="C52" s="19"/>
      <x:c r="D52" s="62"/>
      <x:c r="E52" s="25"/>
      <x:c r="F52" s="19"/>
      <x:c r="G52" s="19"/>
      <x:c r="H52" s="26"/>
      <x:c r="I52" s="19"/>
      <x:c r="J52" s="19"/>
    </x:row>
    <x:row r="53">
      <x:c r="A53" s="19"/>
      <x:c r="B53" s="19"/>
      <x:c r="C53" s="19"/>
      <x:c r="D53" s="62"/>
      <x:c r="E53" s="25"/>
      <x:c r="F53" s="19"/>
      <x:c r="G53" s="19"/>
      <x:c r="H53" s="26"/>
      <x:c r="I53" s="19"/>
      <x:c r="J53" s="19"/>
    </x:row>
    <x:row r="54">
      <x:c r="A54" s="19"/>
      <x:c r="B54" s="19"/>
      <x:c r="C54" s="19"/>
      <x:c r="D54" s="62"/>
      <x:c r="E54" s="25"/>
      <x:c r="F54" s="19"/>
      <x:c r="G54" s="19"/>
      <x:c r="H54" s="26"/>
      <x:c r="I54" s="19"/>
      <x:c r="J54" s="19"/>
    </x:row>
    <x:row r="55">
      <x:c r="A55" s="19"/>
      <x:c r="B55" s="19"/>
      <x:c r="C55" s="19"/>
      <x:c r="D55" s="62"/>
      <x:c r="E55" s="25"/>
      <x:c r="F55" s="19"/>
      <x:c r="G55" s="19"/>
      <x:c r="H55" s="26"/>
      <x:c r="I55" s="19"/>
      <x:c r="J55" s="19"/>
    </x:row>
    <x:row r="56">
      <x:c r="A56" s="19"/>
      <x:c r="B56" s="19"/>
      <x:c r="C56" s="19"/>
      <x:c r="D56" s="62"/>
      <x:c r="E56" s="25"/>
      <x:c r="F56" s="19"/>
      <x:c r="G56" s="19"/>
      <x:c r="H56" s="26"/>
      <x:c r="I56" s="19"/>
      <x:c r="J56" s="19"/>
    </x:row>
    <x:row r="57">
      <x:c r="A57" s="19"/>
      <x:c r="B57" s="19"/>
      <x:c r="C57" s="19"/>
      <x:c r="D57" s="62"/>
      <x:c r="E57" s="25"/>
      <x:c r="F57" s="19"/>
      <x:c r="G57" s="19"/>
      <x:c r="H57" s="26"/>
      <x:c r="I57" s="19"/>
      <x:c r="J57" s="19"/>
    </x:row>
    <x:row r="58">
      <x:c r="A58" s="19"/>
      <x:c r="B58" s="19"/>
      <x:c r="C58" s="19"/>
      <x:c r="D58" s="62"/>
      <x:c r="E58" s="25"/>
      <x:c r="F58" s="19"/>
      <x:c r="G58" s="19"/>
      <x:c r="H58" s="26"/>
      <x:c r="I58" s="19"/>
      <x:c r="J58" s="19"/>
    </x:row>
    <x:row r="59">
      <x:c r="A59" s="19"/>
      <x:c r="B59" s="19"/>
      <x:c r="C59" s="19"/>
      <x:c r="D59" s="62"/>
      <x:c r="E59" s="25"/>
      <x:c r="F59" s="19"/>
      <x:c r="G59" s="19"/>
      <x:c r="H59" s="26"/>
      <x:c r="I59" s="19"/>
      <x:c r="J59" s="19"/>
    </x:row>
    <x:row r="60">
      <x:c r="A60" s="19"/>
      <x:c r="B60" s="19"/>
      <x:c r="C60" s="19"/>
      <x:c r="D60" s="62"/>
      <x:c r="E60" s="25"/>
      <x:c r="F60" s="19"/>
      <x:c r="G60" s="19"/>
      <x:c r="H60" s="26"/>
      <x:c r="I60" s="19"/>
      <x:c r="J60" s="19"/>
    </x:row>
    <x:row r="61">
      <x:c r="A61" s="19"/>
      <x:c r="B61" s="19"/>
      <x:c r="C61" s="19"/>
      <x:c r="D61" s="62"/>
      <x:c r="E61" s="25"/>
      <x:c r="F61" s="19"/>
      <x:c r="G61" s="19"/>
      <x:c r="H61" s="26"/>
      <x:c r="I61" s="19"/>
      <x:c r="J61" s="19"/>
    </x:row>
    <x:row r="62">
      <x:c r="A62" s="19"/>
      <x:c r="B62" s="19"/>
      <x:c r="C62" s="19"/>
      <x:c r="D62" s="62"/>
      <x:c r="E62" s="25"/>
      <x:c r="F62" s="19"/>
      <x:c r="G62" s="19"/>
      <x:c r="H62" s="26"/>
      <x:c r="I62" s="19"/>
      <x:c r="J62" s="19"/>
    </x:row>
    <x:row r="63">
      <x:c r="A63" s="19"/>
      <x:c r="B63" s="19"/>
      <x:c r="C63" s="19"/>
      <x:c r="D63" s="62"/>
      <x:c r="E63" s="25"/>
      <x:c r="F63" s="19"/>
      <x:c r="G63" s="19"/>
      <x:c r="H63" s="26"/>
      <x:c r="I63" s="19"/>
      <x:c r="J63" s="19"/>
    </x:row>
    <x:row r="64">
      <x:c r="A64" s="19"/>
      <x:c r="B64" s="19"/>
      <x:c r="C64" s="19"/>
      <x:c r="D64" s="62"/>
      <x:c r="E64" s="25"/>
      <x:c r="F64" s="19"/>
      <x:c r="G64" s="19"/>
      <x:c r="H64" s="26"/>
      <x:c r="I64" s="19"/>
      <x:c r="J64" s="19"/>
    </x:row>
    <x:row r="65">
      <x:c r="A65" s="19"/>
      <x:c r="B65" s="19"/>
      <x:c r="C65" s="19"/>
      <x:c r="D65" s="62"/>
      <x:c r="E65" s="25"/>
      <x:c r="F65" s="19"/>
      <x:c r="G65" s="19"/>
      <x:c r="H65" s="26"/>
      <x:c r="I65" s="19"/>
      <x:c r="J65" s="19"/>
    </x:row>
    <x:row r="66">
      <x:c r="A66" s="19"/>
      <x:c r="B66" s="19"/>
      <x:c r="C66" s="19"/>
      <x:c r="D66" s="62"/>
      <x:c r="E66" s="25"/>
      <x:c r="F66" s="19"/>
      <x:c r="G66" s="19"/>
      <x:c r="H66" s="26"/>
      <x:c r="I66" s="19"/>
      <x:c r="J66" s="19"/>
    </x:row>
    <x:row r="67">
      <x:c r="A67" s="19"/>
      <x:c r="B67" s="19"/>
      <x:c r="C67" s="19"/>
      <x:c r="D67" s="62"/>
      <x:c r="E67" s="25"/>
      <x:c r="F67" s="19"/>
      <x:c r="G67" s="19"/>
      <x:c r="H67" s="26"/>
      <x:c r="I67" s="19"/>
      <x:c r="J67" s="19"/>
    </x:row>
    <x:row r="68">
      <x:c r="A68" s="19"/>
      <x:c r="B68" s="19"/>
      <x:c r="C68" s="19"/>
      <x:c r="D68" s="62"/>
      <x:c r="E68" s="25"/>
      <x:c r="F68" s="19"/>
      <x:c r="G68" s="19"/>
      <x:c r="H68" s="26"/>
      <x:c r="I68" s="19"/>
      <x:c r="J68" s="19"/>
    </x:row>
    <x:row r="69">
      <x:c r="A69" s="19"/>
      <x:c r="B69" s="19"/>
      <x:c r="C69" s="19"/>
      <x:c r="D69" s="62"/>
      <x:c r="E69" s="25"/>
      <x:c r="F69" s="19"/>
      <x:c r="G69" s="19"/>
      <x:c r="H69" s="26"/>
      <x:c r="I69" s="19"/>
      <x:c r="J69" s="19"/>
    </x:row>
    <x:row r="70">
      <x:c r="A70" s="19"/>
      <x:c r="B70" s="19"/>
      <x:c r="C70" s="19"/>
      <x:c r="D70" s="62"/>
      <x:c r="E70" s="25"/>
      <x:c r="F70" s="19"/>
      <x:c r="G70" s="19"/>
      <x:c r="H70" s="26"/>
      <x:c r="I70" s="19"/>
      <x:c r="J70" s="19"/>
    </x:row>
    <x:row r="71">
      <x:c r="A71" s="19"/>
      <x:c r="B71" s="19"/>
      <x:c r="C71" s="19"/>
      <x:c r="D71" s="62"/>
      <x:c r="E71" s="25"/>
      <x:c r="F71" s="19"/>
      <x:c r="G71" s="19"/>
      <x:c r="H71" s="26"/>
      <x:c r="I71" s="19"/>
      <x:c r="J71" s="19"/>
    </x:row>
    <x:row r="72">
      <x:c r="A72" s="19"/>
      <x:c r="B72" s="19"/>
      <x:c r="C72" s="19"/>
      <x:c r="D72" s="62"/>
      <x:c r="E72" s="25"/>
      <x:c r="F72" s="19"/>
      <x:c r="G72" s="19"/>
      <x:c r="H72" s="26"/>
      <x:c r="I72" s="19"/>
      <x:c r="J72" s="19"/>
    </x:row>
    <x:row r="73">
      <x:c r="A73" s="19"/>
      <x:c r="B73" s="19"/>
      <x:c r="C73" s="19"/>
      <x:c r="D73" s="62"/>
      <x:c r="E73" s="25"/>
      <x:c r="F73" s="19"/>
      <x:c r="G73" s="19"/>
      <x:c r="H73" s="26"/>
      <x:c r="I73" s="19"/>
      <x:c r="J73" s="19"/>
    </x:row>
    <x:row r="74">
      <x:c r="A74" s="19"/>
      <x:c r="B74" s="19"/>
      <x:c r="C74" s="19"/>
      <x:c r="D74" s="62"/>
      <x:c r="E74" s="25"/>
      <x:c r="F74" s="19"/>
      <x:c r="G74" s="19"/>
      <x:c r="H74" s="26"/>
      <x:c r="I74" s="19"/>
      <x:c r="J74" s="19"/>
    </x:row>
    <x:row r="75">
      <x:c r="A75" s="19"/>
      <x:c r="B75" s="19"/>
      <x:c r="C75" s="19"/>
      <x:c r="D75" s="62"/>
      <x:c r="E75" s="25"/>
      <x:c r="F75" s="19"/>
      <x:c r="G75" s="19"/>
      <x:c r="H75" s="26"/>
      <x:c r="I75" s="19"/>
      <x:c r="J75" s="19"/>
    </x:row>
    <x:row r="76">
      <x:c r="A76" s="19"/>
      <x:c r="B76" s="19"/>
      <x:c r="C76" s="19"/>
      <x:c r="D76" s="62"/>
      <x:c r="E76" s="25"/>
      <x:c r="F76" s="19"/>
      <x:c r="G76" s="19"/>
      <x:c r="H76" s="26"/>
      <x:c r="I76" s="19"/>
      <x:c r="J76" s="19"/>
    </x:row>
    <x:row r="77">
      <x:c r="A77" s="19"/>
      <x:c r="B77" s="19"/>
      <x:c r="C77" s="19"/>
      <x:c r="D77" s="62"/>
      <x:c r="E77" s="25"/>
      <x:c r="F77" s="19"/>
      <x:c r="G77" s="19"/>
      <x:c r="H77" s="26"/>
      <x:c r="I77" s="19"/>
      <x:c r="J77" s="19"/>
    </x:row>
    <x:row r="78">
      <x:c r="A78" s="19"/>
      <x:c r="B78" s="19"/>
      <x:c r="C78" s="19"/>
      <x:c r="D78" s="62"/>
      <x:c r="E78" s="25"/>
      <x:c r="F78" s="19"/>
      <x:c r="G78" s="19"/>
      <x:c r="H78" s="26"/>
      <x:c r="I78" s="19"/>
      <x:c r="J78" s="19"/>
    </x:row>
    <x:row r="79">
      <x:c r="A79" s="19"/>
      <x:c r="B79" s="19"/>
      <x:c r="C79" s="19"/>
      <x:c r="D79" s="62"/>
      <x:c r="E79" s="25"/>
      <x:c r="F79" s="19"/>
      <x:c r="G79" s="19"/>
      <x:c r="H79" s="26"/>
      <x:c r="I79" s="19"/>
      <x:c r="J79" s="19"/>
    </x:row>
    <x:row r="80">
      <x:c r="A80" s="19"/>
      <x:c r="B80" s="19"/>
      <x:c r="C80" s="19"/>
      <x:c r="D80" s="62"/>
      <x:c r="E80" s="25"/>
      <x:c r="F80" s="19"/>
      <x:c r="G80" s="19"/>
      <x:c r="H80" s="26"/>
      <x:c r="I80" s="19"/>
      <x:c r="J80" s="19"/>
    </x:row>
    <x:row r="81">
      <x:c r="A81" s="19"/>
      <x:c r="B81" s="19"/>
      <x:c r="C81" s="19"/>
      <x:c r="D81" s="62"/>
      <x:c r="E81" s="25"/>
      <x:c r="F81" s="19"/>
      <x:c r="G81" s="19"/>
      <x:c r="H81" s="26"/>
      <x:c r="I81" s="19"/>
      <x:c r="J81" s="19"/>
    </x:row>
    <x:row r="82">
      <x:c r="A82" s="19"/>
      <x:c r="B82" s="19"/>
      <x:c r="C82" s="19"/>
      <x:c r="D82" s="62"/>
      <x:c r="E82" s="25"/>
      <x:c r="F82" s="19"/>
      <x:c r="G82" s="19"/>
      <x:c r="H82" s="26"/>
      <x:c r="I82" s="19"/>
      <x:c r="J82" s="19"/>
    </x:row>
    <x:row r="83">
      <x:c r="A83" s="19"/>
      <x:c r="B83" s="19"/>
      <x:c r="C83" s="19"/>
      <x:c r="D83" s="62"/>
      <x:c r="E83" s="25"/>
      <x:c r="F83" s="19"/>
      <x:c r="G83" s="19"/>
      <x:c r="H83" s="26"/>
      <x:c r="I83" s="19"/>
      <x:c r="J83" s="19"/>
    </x:row>
    <x:row r="84">
      <x:c r="A84" s="19"/>
      <x:c r="B84" s="19"/>
      <x:c r="C84" s="19"/>
      <x:c r="D84" s="62"/>
      <x:c r="E84" s="25"/>
      <x:c r="F84" s="19"/>
      <x:c r="G84" s="19"/>
      <x:c r="H84" s="26"/>
      <x:c r="I84" s="19"/>
      <x:c r="J84" s="19"/>
    </x:row>
    <x:row r="85">
      <x:c r="A85" s="19"/>
      <x:c r="B85" s="19"/>
      <x:c r="C85" s="19"/>
      <x:c r="D85" s="62"/>
      <x:c r="E85" s="25"/>
      <x:c r="F85" s="19"/>
      <x:c r="G85" s="19"/>
      <x:c r="H85" s="26"/>
      <x:c r="I85" s="19"/>
      <x:c r="J85" s="19"/>
    </x:row>
    <x:row r="86">
      <x:c r="A86" s="19"/>
      <x:c r="B86" s="19"/>
      <x:c r="C86" s="19"/>
      <x:c r="D86" s="62"/>
      <x:c r="E86" s="25"/>
      <x:c r="F86" s="19"/>
      <x:c r="G86" s="19"/>
      <x:c r="H86" s="26"/>
      <x:c r="I86" s="19"/>
      <x:c r="J86" s="19"/>
    </x:row>
    <x:row r="87">
      <x:c r="A87" s="19"/>
      <x:c r="B87" s="19"/>
      <x:c r="C87" s="19"/>
      <x:c r="D87" s="62"/>
      <x:c r="E87" s="25"/>
      <x:c r="F87" s="19"/>
      <x:c r="G87" s="19"/>
      <x:c r="H87" s="26"/>
      <x:c r="I87" s="19"/>
      <x:c r="J87" s="19"/>
    </x:row>
    <x:row r="88">
      <x:c r="A88" s="19"/>
      <x:c r="B88" s="19"/>
      <x:c r="C88" s="19"/>
      <x:c r="D88" s="62"/>
      <x:c r="E88" s="25"/>
      <x:c r="F88" s="19"/>
      <x:c r="G88" s="19"/>
      <x:c r="H88" s="26"/>
      <x:c r="I88" s="19"/>
      <x:c r="J88" s="19"/>
    </x:row>
    <x:row r="89">
      <x:c r="A89" s="19"/>
      <x:c r="B89" s="19"/>
      <x:c r="C89" s="19"/>
      <x:c r="D89" s="62"/>
      <x:c r="E89" s="25"/>
      <x:c r="F89" s="19"/>
      <x:c r="G89" s="19"/>
      <x:c r="H89" s="26"/>
      <x:c r="I89" s="19"/>
      <x:c r="J89" s="19"/>
    </x:row>
    <x:row r="90">
      <x:c r="A90" s="19"/>
      <x:c r="B90" s="19"/>
      <x:c r="C90" s="19"/>
      <x:c r="D90" s="62"/>
      <x:c r="E90" s="25"/>
      <x:c r="F90" s="19"/>
      <x:c r="G90" s="19"/>
      <x:c r="H90" s="26"/>
      <x:c r="I90" s="19"/>
      <x:c r="J90" s="19"/>
    </x:row>
    <x:row r="91">
      <x:c r="A91" s="19"/>
      <x:c r="B91" s="19"/>
      <x:c r="C91" s="19"/>
      <x:c r="D91" s="62"/>
      <x:c r="E91" s="25"/>
      <x:c r="F91" s="19"/>
      <x:c r="G91" s="19"/>
      <x:c r="H91" s="26"/>
      <x:c r="I91" s="19"/>
      <x:c r="J91" s="19"/>
    </x:row>
    <x:row r="92">
      <x:c r="A92" s="19"/>
      <x:c r="B92" s="19"/>
      <x:c r="C92" s="19"/>
      <x:c r="D92" s="62"/>
      <x:c r="E92" s="25"/>
      <x:c r="F92" s="19"/>
      <x:c r="G92" s="19"/>
      <x:c r="H92" s="26"/>
      <x:c r="I92" s="19"/>
      <x:c r="J92" s="19"/>
    </x:row>
    <x:row r="93">
      <x:c r="A93" s="19"/>
      <x:c r="B93" s="19"/>
      <x:c r="C93" s="19"/>
      <x:c r="D93" s="62"/>
      <x:c r="E93" s="25"/>
      <x:c r="F93" s="19"/>
      <x:c r="G93" s="19"/>
      <x:c r="H93" s="26"/>
      <x:c r="I93" s="19"/>
      <x:c r="J93" s="19"/>
    </x:row>
    <x:row r="94">
      <x:c r="A94" s="19"/>
      <x:c r="B94" s="19"/>
      <x:c r="C94" s="19"/>
      <x:c r="D94" s="62"/>
      <x:c r="E94" s="25"/>
      <x:c r="F94" s="19"/>
      <x:c r="G94" s="19"/>
      <x:c r="H94" s="26"/>
      <x:c r="I94" s="19"/>
      <x:c r="J94" s="19"/>
    </x:row>
    <x:row r="95">
      <x:c r="A95" s="19"/>
      <x:c r="B95" s="19"/>
      <x:c r="C95" s="19"/>
      <x:c r="D95" s="62"/>
      <x:c r="E95" s="25"/>
      <x:c r="F95" s="19"/>
      <x:c r="G95" s="19"/>
      <x:c r="H95" s="26"/>
      <x:c r="I95" s="19"/>
      <x:c r="J95" s="19"/>
    </x:row>
    <x:row r="96">
      <x:c r="A96" s="19"/>
      <x:c r="B96" s="19"/>
      <x:c r="C96" s="19"/>
      <x:c r="D96" s="62"/>
      <x:c r="E96" s="25"/>
      <x:c r="F96" s="19"/>
      <x:c r="G96" s="19"/>
      <x:c r="H96" s="26"/>
      <x:c r="I96" s="19"/>
      <x:c r="J96" s="19"/>
    </x:row>
    <x:row r="97">
      <x:c r="A97" s="19"/>
      <x:c r="B97" s="19"/>
      <x:c r="C97" s="19"/>
      <x:c r="D97" s="62"/>
      <x:c r="E97" s="25"/>
      <x:c r="F97" s="19"/>
      <x:c r="G97" s="19"/>
      <x:c r="H97" s="26"/>
      <x:c r="I97" s="19"/>
      <x:c r="J97" s="19"/>
    </x:row>
    <x:row r="98">
      <x:c r="A98" s="19"/>
      <x:c r="B98" s="19"/>
      <x:c r="C98" s="19"/>
      <x:c r="D98" s="62"/>
      <x:c r="E98" s="25"/>
      <x:c r="F98" s="19"/>
      <x:c r="G98" s="19"/>
      <x:c r="H98" s="26"/>
      <x:c r="I98" s="19"/>
      <x:c r="J98" s="19"/>
    </x:row>
    <x:row r="99">
      <x:c r="A99" s="19"/>
      <x:c r="B99" s="19"/>
      <x:c r="C99" s="19"/>
      <x:c r="D99" s="62"/>
      <x:c r="E99" s="25"/>
      <x:c r="F99" s="19"/>
      <x:c r="G99" s="19"/>
      <x:c r="H99" s="26"/>
      <x:c r="I99" s="19"/>
      <x:c r="J99" s="19"/>
    </x:row>
    <x:row r="100">
      <x:c r="A100" s="19"/>
      <x:c r="B100" s="19"/>
      <x:c r="C100" s="19"/>
      <x:c r="D100" s="62"/>
      <x:c r="E100" s="25"/>
      <x:c r="F100" s="19"/>
      <x:c r="G100" s="19"/>
      <x:c r="H100" s="26"/>
      <x:c r="I100" s="19"/>
      <x:c r="J100" s="19"/>
    </x:row>
    <x:row r="101">
      <x:c r="A101" s="19"/>
      <x:c r="B101" s="19"/>
      <x:c r="C101" s="19"/>
      <x:c r="D101" s="62"/>
      <x:c r="E101" s="25"/>
      <x:c r="F101" s="19"/>
      <x:c r="G101" s="19"/>
      <x:c r="H101" s="26"/>
      <x:c r="I101" s="19"/>
      <x:c r="J101" s="19"/>
    </x:row>
    <x:row r="102">
      <x:c r="A102" s="19"/>
      <x:c r="B102" s="19"/>
      <x:c r="C102" s="19"/>
      <x:c r="D102" s="62"/>
      <x:c r="E102" s="25"/>
      <x:c r="F102" s="19"/>
      <x:c r="G102" s="19"/>
      <x:c r="H102" s="26"/>
      <x:c r="I102" s="19"/>
      <x:c r="J102" s="19"/>
    </x:row>
    <x:row r="103">
      <x:c r="A103" s="19"/>
      <x:c r="B103" s="19"/>
      <x:c r="C103" s="19"/>
      <x:c r="D103" s="62"/>
      <x:c r="E103" s="25"/>
      <x:c r="F103" s="19"/>
      <x:c r="G103" s="19"/>
      <x:c r="H103" s="26"/>
      <x:c r="I103" s="19"/>
      <x:c r="J103" s="19"/>
    </x:row>
    <x:row r="104">
      <x:c r="A104" s="19"/>
      <x:c r="B104" s="19"/>
      <x:c r="C104" s="19"/>
      <x:c r="D104" s="62"/>
      <x:c r="E104" s="25"/>
      <x:c r="F104" s="19"/>
      <x:c r="G104" s="19"/>
      <x:c r="H104" s="26"/>
      <x:c r="I104" s="19"/>
      <x:c r="J104" s="19"/>
    </x:row>
    <x:row r="105">
      <x:c r="A105" s="19"/>
      <x:c r="B105" s="19"/>
      <x:c r="C105" s="19"/>
      <x:c r="D105" s="62"/>
      <x:c r="E105" s="25"/>
      <x:c r="F105" s="19"/>
      <x:c r="G105" s="19"/>
      <x:c r="H105" s="26"/>
      <x:c r="I105" s="19"/>
      <x:c r="J105" s="19"/>
    </x:row>
    <x:row r="106">
      <x:c r="A106" s="19"/>
      <x:c r="B106" s="19"/>
      <x:c r="C106" s="19"/>
      <x:c r="D106" s="62"/>
      <x:c r="E106" s="25"/>
      <x:c r="F106" s="19"/>
      <x:c r="G106" s="19"/>
      <x:c r="H106" s="26"/>
      <x:c r="I106" s="19"/>
      <x:c r="J106" s="19"/>
    </x:row>
    <x:row r="107">
      <x:c r="A107" s="19"/>
      <x:c r="B107" s="19"/>
      <x:c r="C107" s="19"/>
      <x:c r="D107" s="62"/>
      <x:c r="E107" s="25"/>
      <x:c r="F107" s="19"/>
      <x:c r="G107" s="19"/>
      <x:c r="H107" s="26"/>
      <x:c r="I107" s="19"/>
      <x:c r="J107" s="19"/>
    </x:row>
    <x:row r="108">
      <x:c r="A108" s="19"/>
      <x:c r="B108" s="19"/>
      <x:c r="C108" s="19"/>
      <x:c r="D108" s="62"/>
      <x:c r="E108" s="25"/>
      <x:c r="F108" s="19"/>
      <x:c r="G108" s="19"/>
      <x:c r="H108" s="26"/>
      <x:c r="I108" s="19"/>
      <x:c r="J108" s="19"/>
    </x:row>
    <x:row r="109">
      <x:c r="A109" s="19"/>
      <x:c r="B109" s="19"/>
      <x:c r="C109" s="19"/>
      <x:c r="D109" s="62"/>
      <x:c r="E109" s="25"/>
      <x:c r="F109" s="19"/>
      <x:c r="G109" s="19"/>
      <x:c r="H109" s="26"/>
      <x:c r="I109" s="19"/>
      <x:c r="J109" s="19"/>
    </x:row>
    <x:row r="110">
      <x:c r="A110" s="19"/>
      <x:c r="B110" s="19"/>
      <x:c r="C110" s="19"/>
      <x:c r="D110" s="62"/>
      <x:c r="E110" s="25"/>
      <x:c r="F110" s="19"/>
      <x:c r="G110" s="19"/>
      <x:c r="H110" s="26"/>
      <x:c r="I110" s="19"/>
      <x:c r="J110" s="19"/>
    </x:row>
    <x:row r="111">
      <x:c r="A111" s="19"/>
      <x:c r="B111" s="19"/>
      <x:c r="C111" s="19"/>
      <x:c r="D111" s="62"/>
      <x:c r="E111" s="25"/>
      <x:c r="F111" s="19"/>
      <x:c r="G111" s="19"/>
      <x:c r="H111" s="26"/>
      <x:c r="I111" s="19"/>
      <x:c r="J111" s="19"/>
    </x:row>
    <x:row r="112">
      <x:c r="A112" s="19"/>
      <x:c r="B112" s="19"/>
      <x:c r="C112" s="19"/>
      <x:c r="D112" s="62"/>
      <x:c r="E112" s="25"/>
      <x:c r="F112" s="19"/>
      <x:c r="G112" s="19"/>
      <x:c r="H112" s="26"/>
      <x:c r="I112" s="19"/>
      <x:c r="J112" s="19"/>
    </x:row>
    <x:row r="113">
      <x:c r="A113" s="19"/>
      <x:c r="B113" s="19"/>
      <x:c r="C113" s="19"/>
      <x:c r="D113" s="62"/>
      <x:c r="E113" s="25"/>
      <x:c r="F113" s="19"/>
      <x:c r="G113" s="19"/>
      <x:c r="H113" s="26"/>
      <x:c r="I113" s="19"/>
      <x:c r="J113" s="19"/>
    </x:row>
    <x:row r="114">
      <x:c r="A114" s="19"/>
      <x:c r="B114" s="19"/>
      <x:c r="C114" s="19"/>
      <x:c r="D114" s="62"/>
      <x:c r="E114" s="25"/>
      <x:c r="F114" s="19"/>
      <x:c r="G114" s="19"/>
      <x:c r="H114" s="26"/>
      <x:c r="I114" s="19"/>
      <x:c r="J114" s="19"/>
    </x:row>
    <x:row r="115">
      <x:c r="A115" s="19"/>
      <x:c r="B115" s="19"/>
      <x:c r="C115" s="19"/>
      <x:c r="D115" s="62"/>
      <x:c r="E115" s="25"/>
      <x:c r="F115" s="19"/>
      <x:c r="G115" s="19"/>
      <x:c r="H115" s="26"/>
      <x:c r="I115" s="19"/>
      <x:c r="J115" s="19"/>
    </x:row>
    <x:row r="116">
      <x:c r="A116" s="19"/>
      <x:c r="B116" s="19"/>
      <x:c r="C116" s="19"/>
      <x:c r="D116" s="62"/>
      <x:c r="E116" s="25"/>
      <x:c r="F116" s="19"/>
      <x:c r="G116" s="19"/>
      <x:c r="H116" s="26"/>
      <x:c r="I116" s="19"/>
      <x:c r="J116" s="19"/>
    </x:row>
    <x:row r="117">
      <x:c r="A117" s="19"/>
      <x:c r="B117" s="19"/>
      <x:c r="C117" s="19"/>
      <x:c r="D117" s="62"/>
      <x:c r="E117" s="25"/>
      <x:c r="F117" s="19"/>
      <x:c r="G117" s="19"/>
      <x:c r="H117" s="26"/>
      <x:c r="I117" s="19"/>
      <x:c r="J117" s="19"/>
    </x:row>
    <x:row r="118">
      <x:c r="A118" s="19"/>
      <x:c r="B118" s="19"/>
      <x:c r="C118" s="19"/>
      <x:c r="D118" s="62"/>
      <x:c r="E118" s="25"/>
      <x:c r="F118" s="19"/>
      <x:c r="G118" s="19"/>
      <x:c r="H118" s="26"/>
      <x:c r="I118" s="19"/>
      <x:c r="J118" s="19"/>
    </x:row>
    <x:row r="119">
      <x:c r="A119" s="19"/>
      <x:c r="B119" s="19"/>
      <x:c r="C119" s="19"/>
      <x:c r="D119" s="62"/>
      <x:c r="E119" s="25"/>
      <x:c r="F119" s="19"/>
      <x:c r="G119" s="19"/>
      <x:c r="H119" s="26"/>
      <x:c r="I119" s="19"/>
      <x:c r="J119" s="19"/>
    </x:row>
    <x:row r="120">
      <x:c r="A120" s="19"/>
      <x:c r="B120" s="19"/>
      <x:c r="C120" s="19"/>
      <x:c r="D120" s="62"/>
      <x:c r="E120" s="25"/>
      <x:c r="F120" s="19"/>
      <x:c r="G120" s="19"/>
      <x:c r="H120" s="26"/>
      <x:c r="I120" s="19"/>
      <x:c r="J120" s="19"/>
    </x:row>
    <x:row r="121">
      <x:c r="A121" s="19"/>
      <x:c r="B121" s="19"/>
      <x:c r="C121" s="19"/>
      <x:c r="D121" s="62"/>
      <x:c r="E121" s="25"/>
      <x:c r="F121" s="19"/>
      <x:c r="G121" s="19"/>
      <x:c r="H121" s="26"/>
      <x:c r="I121" s="19"/>
      <x:c r="J121" s="19"/>
    </x:row>
    <x:row r="122">
      <x:c r="A122" s="19"/>
      <x:c r="B122" s="19"/>
      <x:c r="C122" s="19"/>
      <x:c r="D122" s="62"/>
      <x:c r="E122" s="25"/>
      <x:c r="F122" s="19"/>
      <x:c r="G122" s="19"/>
      <x:c r="H122" s="26"/>
      <x:c r="I122" s="19"/>
      <x:c r="J122" s="19"/>
    </x:row>
    <x:row r="123">
      <x:c r="A123" s="19"/>
      <x:c r="B123" s="19"/>
      <x:c r="C123" s="19"/>
      <x:c r="D123" s="62"/>
      <x:c r="E123" s="25"/>
      <x:c r="F123" s="19"/>
      <x:c r="G123" s="19"/>
      <x:c r="H123" s="26"/>
      <x:c r="I123" s="19"/>
      <x:c r="J123" s="19"/>
    </x:row>
    <x:row r="124">
      <x:c r="A124" s="19"/>
      <x:c r="B124" s="19"/>
      <x:c r="C124" s="19"/>
      <x:c r="D124" s="62"/>
      <x:c r="E124" s="25"/>
      <x:c r="F124" s="19"/>
      <x:c r="G124" s="19"/>
      <x:c r="H124" s="26"/>
      <x:c r="I124" s="19"/>
      <x:c r="J124" s="19"/>
    </x:row>
    <x:row r="125">
      <x:c r="A125" s="19"/>
      <x:c r="B125" s="19"/>
      <x:c r="C125" s="19"/>
      <x:c r="D125" s="62"/>
      <x:c r="E125" s="25"/>
      <x:c r="F125" s="19"/>
      <x:c r="G125" s="19"/>
      <x:c r="H125" s="26"/>
      <x:c r="I125" s="19"/>
      <x:c r="J125" s="19"/>
    </x:row>
    <x:row r="126">
      <x:c r="A126" s="19"/>
      <x:c r="B126" s="19"/>
      <x:c r="C126" s="19"/>
      <x:c r="D126" s="62"/>
      <x:c r="E126" s="25"/>
      <x:c r="F126" s="19"/>
      <x:c r="G126" s="19"/>
      <x:c r="H126" s="26"/>
      <x:c r="I126" s="19"/>
      <x:c r="J126" s="19"/>
    </x:row>
    <x:row r="127">
      <x:c r="A127" s="19"/>
      <x:c r="B127" s="19"/>
      <x:c r="C127" s="19"/>
      <x:c r="D127" s="62"/>
      <x:c r="E127" s="25"/>
      <x:c r="F127" s="19"/>
      <x:c r="G127" s="19"/>
      <x:c r="H127" s="26"/>
      <x:c r="I127" s="19"/>
      <x:c r="J127" s="19"/>
    </x:row>
    <x:row r="128">
      <x:c r="A128" s="19"/>
      <x:c r="B128" s="19"/>
      <x:c r="C128" s="19"/>
      <x:c r="D128" s="62"/>
      <x:c r="E128" s="25"/>
      <x:c r="F128" s="19"/>
      <x:c r="G128" s="19"/>
      <x:c r="H128" s="26"/>
      <x:c r="I128" s="19"/>
      <x:c r="J128" s="19"/>
    </x:row>
    <x:row r="129">
      <x:c r="A129" s="19"/>
      <x:c r="B129" s="19"/>
      <x:c r="C129" s="19"/>
      <x:c r="D129" s="62"/>
      <x:c r="E129" s="25"/>
      <x:c r="F129" s="19"/>
      <x:c r="G129" s="19"/>
      <x:c r="H129" s="26"/>
      <x:c r="I129" s="19"/>
      <x:c r="J129" s="19"/>
    </x:row>
    <x:row r="130">
      <x:c r="A130" s="19"/>
      <x:c r="B130" s="19"/>
      <x:c r="C130" s="19"/>
      <x:c r="D130" s="62"/>
      <x:c r="E130" s="25"/>
      <x:c r="F130" s="19"/>
      <x:c r="G130" s="19"/>
      <x:c r="H130" s="26"/>
      <x:c r="I130" s="19"/>
      <x:c r="J130" s="19"/>
    </x:row>
    <x:row r="131">
      <x:c r="A131" s="19"/>
      <x:c r="B131" s="19"/>
      <x:c r="C131" s="19"/>
      <x:c r="D131" s="62"/>
      <x:c r="E131" s="25"/>
      <x:c r="F131" s="19"/>
      <x:c r="G131" s="19"/>
      <x:c r="H131" s="26"/>
      <x:c r="I131" s="19"/>
      <x:c r="J131" s="19"/>
    </x:row>
    <x:row r="132">
      <x:c r="A132" s="19"/>
      <x:c r="B132" s="19"/>
      <x:c r="C132" s="19"/>
      <x:c r="D132" s="62"/>
      <x:c r="E132" s="25"/>
      <x:c r="F132" s="19"/>
      <x:c r="G132" s="19"/>
      <x:c r="H132" s="26"/>
      <x:c r="I132" s="19"/>
      <x:c r="J132" s="19"/>
    </x:row>
    <x:row r="133">
      <x:c r="A133" s="19"/>
      <x:c r="B133" s="19"/>
      <x:c r="C133" s="19"/>
      <x:c r="D133" s="62"/>
      <x:c r="E133" s="25"/>
      <x:c r="F133" s="19"/>
      <x:c r="G133" s="19"/>
      <x:c r="H133" s="26"/>
      <x:c r="I133" s="19"/>
      <x:c r="J133" s="19"/>
    </x:row>
    <x:row r="134">
      <x:c r="A134" s="19"/>
      <x:c r="B134" s="19"/>
      <x:c r="C134" s="19"/>
      <x:c r="D134" s="62"/>
      <x:c r="E134" s="25"/>
      <x:c r="F134" s="19"/>
      <x:c r="G134" s="19"/>
      <x:c r="H134" s="26"/>
      <x:c r="I134" s="19"/>
      <x:c r="J134" s="19"/>
    </x:row>
    <x:row r="135">
      <x:c r="A135" s="19"/>
      <x:c r="B135" s="19"/>
      <x:c r="C135" s="19"/>
      <x:c r="D135" s="62"/>
      <x:c r="E135" s="25"/>
      <x:c r="F135" s="19"/>
      <x:c r="G135" s="19"/>
      <x:c r="H135" s="26"/>
      <x:c r="I135" s="19"/>
      <x:c r="J135" s="19"/>
    </x:row>
    <x:row r="136">
      <x:c r="A136" s="19"/>
      <x:c r="B136" s="19"/>
      <x:c r="C136" s="19"/>
      <x:c r="D136" s="62"/>
      <x:c r="E136" s="25"/>
      <x:c r="F136" s="19"/>
      <x:c r="G136" s="19"/>
      <x:c r="H136" s="26"/>
      <x:c r="I136" s="19"/>
      <x:c r="J136" s="19"/>
    </x:row>
    <x:row r="137">
      <x:c r="A137" s="19"/>
      <x:c r="B137" s="19"/>
      <x:c r="C137" s="19"/>
      <x:c r="D137" s="62"/>
      <x:c r="E137" s="25"/>
      <x:c r="F137" s="19"/>
      <x:c r="G137" s="19"/>
      <x:c r="H137" s="26"/>
      <x:c r="I137" s="19"/>
      <x:c r="J137" s="19"/>
    </x:row>
    <x:row r="138">
      <x:c r="A138" s="19"/>
      <x:c r="B138" s="19"/>
      <x:c r="C138" s="19"/>
      <x:c r="D138" s="62"/>
      <x:c r="E138" s="25"/>
      <x:c r="F138" s="19"/>
      <x:c r="G138" s="19"/>
      <x:c r="H138" s="26"/>
      <x:c r="I138" s="19"/>
      <x:c r="J138" s="19"/>
    </x:row>
    <x:row r="139">
      <x:c r="A139" s="19"/>
      <x:c r="B139" s="19"/>
      <x:c r="C139" s="19"/>
      <x:c r="D139" s="62"/>
      <x:c r="E139" s="25"/>
      <x:c r="F139" s="19"/>
      <x:c r="G139" s="19"/>
      <x:c r="H139" s="26"/>
      <x:c r="I139" s="19"/>
      <x:c r="J139" s="19"/>
    </x:row>
    <x:row r="140">
      <x:c r="A140" s="19"/>
      <x:c r="B140" s="19"/>
      <x:c r="C140" s="19"/>
      <x:c r="D140" s="62"/>
      <x:c r="E140" s="25"/>
      <x:c r="F140" s="19"/>
      <x:c r="G140" s="19"/>
      <x:c r="H140" s="26"/>
      <x:c r="I140" s="19"/>
      <x:c r="J140" s="19"/>
    </x:row>
    <x:row r="141">
      <x:c r="A141" s="19"/>
      <x:c r="B141" s="19"/>
      <x:c r="C141" s="19"/>
      <x:c r="D141" s="62"/>
      <x:c r="E141" s="25"/>
      <x:c r="F141" s="19"/>
      <x:c r="G141" s="19"/>
      <x:c r="H141" s="26"/>
      <x:c r="I141" s="19"/>
      <x:c r="J141" s="19"/>
    </x:row>
    <x:row r="142">
      <x:c r="A142" s="19"/>
      <x:c r="B142" s="19"/>
      <x:c r="C142" s="19"/>
      <x:c r="D142" s="62"/>
      <x:c r="E142" s="25"/>
      <x:c r="F142" s="19"/>
      <x:c r="G142" s="19"/>
      <x:c r="H142" s="26"/>
      <x:c r="I142" s="19"/>
      <x:c r="J142" s="19"/>
    </x:row>
    <x:row r="143">
      <x:c r="A143" s="19"/>
      <x:c r="B143" s="19"/>
      <x:c r="C143" s="19"/>
      <x:c r="D143" s="62"/>
      <x:c r="E143" s="25"/>
      <x:c r="F143" s="19"/>
      <x:c r="G143" s="19"/>
      <x:c r="H143" s="26"/>
      <x:c r="I143" s="19"/>
      <x:c r="J143" s="19"/>
    </x:row>
    <x:row r="144">
      <x:c r="A144" s="19"/>
      <x:c r="B144" s="19"/>
      <x:c r="C144" s="19"/>
      <x:c r="D144" s="62"/>
      <x:c r="E144" s="25"/>
      <x:c r="F144" s="19"/>
      <x:c r="G144" s="19"/>
      <x:c r="H144" s="26"/>
      <x:c r="I144" s="19"/>
      <x:c r="J144" s="19"/>
    </x:row>
    <x:row r="145">
      <x:c r="A145" s="19"/>
      <x:c r="B145" s="19"/>
      <x:c r="C145" s="19"/>
      <x:c r="D145" s="62"/>
      <x:c r="E145" s="25"/>
      <x:c r="F145" s="19"/>
      <x:c r="G145" s="19"/>
      <x:c r="H145" s="26"/>
      <x:c r="I145" s="19"/>
      <x:c r="J145" s="19"/>
    </x:row>
    <x:row r="146">
      <x:c r="A146" s="19"/>
      <x:c r="B146" s="19"/>
      <x:c r="C146" s="19"/>
      <x:c r="D146" s="62"/>
      <x:c r="E146" s="25"/>
      <x:c r="F146" s="19"/>
      <x:c r="G146" s="19"/>
      <x:c r="H146" s="26"/>
      <x:c r="I146" s="19"/>
      <x:c r="J146" s="19"/>
    </x:row>
    <x:row r="147">
      <x:c r="A147" s="19"/>
      <x:c r="B147" s="19"/>
      <x:c r="C147" s="19"/>
      <x:c r="D147" s="62"/>
      <x:c r="E147" s="25"/>
      <x:c r="F147" s="19"/>
      <x:c r="G147" s="19"/>
      <x:c r="H147" s="26"/>
      <x:c r="I147" s="19"/>
      <x:c r="J147" s="19"/>
    </x:row>
    <x:row r="148">
      <x:c r="A148" s="19"/>
      <x:c r="B148" s="19"/>
      <x:c r="C148" s="19"/>
      <x:c r="D148" s="62"/>
      <x:c r="E148" s="25"/>
      <x:c r="F148" s="19"/>
      <x:c r="G148" s="19"/>
      <x:c r="H148" s="26"/>
      <x:c r="I148" s="19"/>
      <x:c r="J148" s="19"/>
    </x:row>
    <x:row r="149">
      <x:c r="A149" s="19"/>
      <x:c r="B149" s="19"/>
      <x:c r="C149" s="19"/>
      <x:c r="D149" s="62"/>
      <x:c r="E149" s="25"/>
      <x:c r="F149" s="19"/>
      <x:c r="G149" s="19"/>
      <x:c r="H149" s="26"/>
      <x:c r="I149" s="19"/>
      <x:c r="J149" s="19"/>
    </x:row>
    <x:row r="150">
      <x:c r="A150" s="19"/>
      <x:c r="B150" s="19"/>
      <x:c r="C150" s="19"/>
      <x:c r="D150" s="62"/>
      <x:c r="E150" s="25"/>
      <x:c r="F150" s="19"/>
      <x:c r="G150" s="19"/>
      <x:c r="H150" s="26"/>
      <x:c r="I150" s="19"/>
      <x:c r="J150" s="19"/>
    </x:row>
    <x:row r="151">
      <x:c r="A151" s="19"/>
      <x:c r="B151" s="19"/>
      <x:c r="C151" s="19"/>
      <x:c r="D151" s="62"/>
      <x:c r="E151" s="25"/>
      <x:c r="F151" s="19"/>
      <x:c r="G151" s="19"/>
      <x:c r="H151" s="26"/>
      <x:c r="I151" s="19"/>
      <x:c r="J151" s="19"/>
    </x:row>
    <x:row r="152">
      <x:c r="A152" s="19"/>
      <x:c r="B152" s="19"/>
      <x:c r="C152" s="19"/>
      <x:c r="D152" s="62"/>
      <x:c r="E152" s="25"/>
      <x:c r="F152" s="19"/>
      <x:c r="G152" s="19"/>
      <x:c r="H152" s="26"/>
      <x:c r="I152" s="19"/>
      <x:c r="J152" s="19"/>
    </x:row>
    <x:row r="153">
      <x:c r="A153" s="19"/>
      <x:c r="B153" s="19"/>
      <x:c r="C153" s="19"/>
      <x:c r="D153" s="62"/>
      <x:c r="E153" s="25"/>
      <x:c r="F153" s="19"/>
      <x:c r="G153" s="19"/>
      <x:c r="H153" s="26"/>
      <x:c r="I153" s="19"/>
      <x:c r="J153" s="19"/>
    </x:row>
    <x:row r="154">
      <x:c r="A154" s="19"/>
      <x:c r="B154" s="19"/>
      <x:c r="C154" s="19"/>
      <x:c r="D154" s="62"/>
      <x:c r="E154" s="25"/>
      <x:c r="F154" s="19"/>
      <x:c r="G154" s="19"/>
      <x:c r="H154" s="26"/>
      <x:c r="I154" s="19"/>
      <x:c r="J154" s="19"/>
    </x:row>
    <x:row r="155">
      <x:c r="A155" s="19"/>
      <x:c r="B155" s="19"/>
      <x:c r="C155" s="19"/>
      <x:c r="D155" s="62"/>
      <x:c r="E155" s="25"/>
      <x:c r="F155" s="19"/>
      <x:c r="G155" s="19"/>
      <x:c r="H155" s="26"/>
      <x:c r="I155" s="19"/>
      <x:c r="J155" s="19"/>
    </x:row>
    <x:row r="156">
      <x:c r="A156" s="19"/>
      <x:c r="B156" s="19"/>
      <x:c r="C156" s="19"/>
      <x:c r="D156" s="62"/>
      <x:c r="E156" s="25"/>
      <x:c r="F156" s="19"/>
      <x:c r="G156" s="19"/>
      <x:c r="H156" s="26"/>
      <x:c r="I156" s="19"/>
      <x:c r="J156" s="19"/>
    </x:row>
    <x:row r="157">
      <x:c r="A157" s="19"/>
      <x:c r="B157" s="19"/>
      <x:c r="C157" s="19"/>
      <x:c r="D157" s="62"/>
      <x:c r="E157" s="25"/>
      <x:c r="F157" s="19"/>
      <x:c r="G157" s="19"/>
      <x:c r="H157" s="26"/>
      <x:c r="I157" s="19"/>
      <x:c r="J157" s="19"/>
    </x:row>
    <x:row r="158">
      <x:c r="A158" s="19"/>
      <x:c r="B158" s="19"/>
      <x:c r="C158" s="19"/>
      <x:c r="D158" s="62"/>
      <x:c r="E158" s="25"/>
      <x:c r="F158" s="19"/>
      <x:c r="G158" s="19"/>
      <x:c r="H158" s="26"/>
      <x:c r="I158" s="19"/>
      <x:c r="J158" s="19"/>
    </x:row>
    <x:row r="159">
      <x:c r="A159" s="19"/>
      <x:c r="B159" s="19"/>
      <x:c r="C159" s="19"/>
      <x:c r="D159" s="62"/>
      <x:c r="E159" s="25"/>
      <x:c r="F159" s="19"/>
      <x:c r="G159" s="19"/>
      <x:c r="H159" s="26"/>
      <x:c r="I159" s="19"/>
      <x:c r="J159" s="19"/>
    </x:row>
    <x:row r="160">
      <x:c r="A160" s="19"/>
      <x:c r="B160" s="19"/>
      <x:c r="C160" s="19"/>
      <x:c r="D160" s="62"/>
      <x:c r="E160" s="25"/>
      <x:c r="F160" s="19"/>
      <x:c r="G160" s="19"/>
      <x:c r="H160" s="26"/>
      <x:c r="I160" s="19"/>
      <x:c r="J160" s="19"/>
    </x:row>
    <x:row r="161">
      <x:c r="A161" s="19"/>
      <x:c r="B161" s="19"/>
      <x:c r="C161" s="19"/>
      <x:c r="D161" s="62"/>
      <x:c r="E161" s="25"/>
      <x:c r="F161" s="19"/>
      <x:c r="G161" s="19"/>
      <x:c r="H161" s="26"/>
      <x:c r="I161" s="19"/>
      <x:c r="J161" s="19"/>
    </x:row>
    <x:row r="162">
      <x:c r="A162" s="19"/>
      <x:c r="B162" s="19"/>
      <x:c r="C162" s="19"/>
      <x:c r="D162" s="62"/>
      <x:c r="E162" s="25"/>
      <x:c r="F162" s="19"/>
      <x:c r="G162" s="19"/>
      <x:c r="H162" s="26"/>
      <x:c r="I162" s="19"/>
      <x:c r="J162" s="19"/>
    </x:row>
    <x:row r="163">
      <x:c r="A163" s="19"/>
      <x:c r="B163" s="19"/>
      <x:c r="C163" s="19"/>
      <x:c r="D163" s="62"/>
      <x:c r="E163" s="25"/>
      <x:c r="F163" s="19"/>
      <x:c r="G163" s="19"/>
      <x:c r="H163" s="26"/>
      <x:c r="I163" s="19"/>
      <x:c r="J163" s="19"/>
    </x:row>
    <x:row r="164">
      <x:c r="A164" s="19"/>
      <x:c r="B164" s="19"/>
      <x:c r="C164" s="19"/>
      <x:c r="D164" s="62"/>
      <x:c r="E164" s="25"/>
      <x:c r="F164" s="19"/>
      <x:c r="G164" s="19"/>
      <x:c r="H164" s="26"/>
      <x:c r="I164" s="19"/>
      <x:c r="J164" s="19"/>
    </x:row>
    <x:row r="165">
      <x:c r="A165" s="19"/>
      <x:c r="B165" s="19"/>
      <x:c r="C165" s="19"/>
      <x:c r="D165" s="62"/>
      <x:c r="E165" s="25"/>
      <x:c r="F165" s="19"/>
      <x:c r="G165" s="19"/>
      <x:c r="H165" s="26"/>
      <x:c r="I165" s="19"/>
      <x:c r="J165" s="19"/>
    </x:row>
    <x:row r="166">
      <x:c r="A166" s="19"/>
      <x:c r="B166" s="19"/>
      <x:c r="C166" s="19"/>
      <x:c r="D166" s="62"/>
      <x:c r="E166" s="25"/>
      <x:c r="F166" s="19"/>
      <x:c r="G166" s="19"/>
      <x:c r="H166" s="26"/>
      <x:c r="I166" s="19"/>
      <x:c r="J166" s="19"/>
    </x:row>
    <x:row r="167">
      <x:c r="A167" s="19"/>
      <x:c r="B167" s="19"/>
      <x:c r="C167" s="19"/>
      <x:c r="D167" s="62"/>
      <x:c r="E167" s="25"/>
      <x:c r="F167" s="19"/>
      <x:c r="G167" s="19"/>
      <x:c r="H167" s="26"/>
      <x:c r="I167" s="19"/>
      <x:c r="J167" s="19"/>
    </x:row>
    <x:row r="168">
      <x:c r="A168" s="19"/>
      <x:c r="B168" s="19"/>
      <x:c r="C168" s="19"/>
      <x:c r="D168" s="62"/>
      <x:c r="E168" s="25"/>
      <x:c r="F168" s="19"/>
      <x:c r="G168" s="19"/>
      <x:c r="H168" s="26"/>
      <x:c r="I168" s="19"/>
      <x:c r="J168" s="19"/>
    </x:row>
    <x:row r="169">
      <x:c r="A169" s="19"/>
      <x:c r="B169" s="19"/>
      <x:c r="C169" s="19"/>
      <x:c r="D169" s="62"/>
      <x:c r="E169" s="25"/>
      <x:c r="F169" s="19"/>
      <x:c r="G169" s="19"/>
      <x:c r="H169" s="26"/>
      <x:c r="I169" s="19"/>
      <x:c r="J169" s="19"/>
    </x:row>
    <x:row r="170">
      <x:c r="A170" s="19"/>
      <x:c r="B170" s="19"/>
      <x:c r="C170" s="19"/>
      <x:c r="D170" s="62"/>
      <x:c r="E170" s="25"/>
      <x:c r="F170" s="19"/>
      <x:c r="G170" s="19"/>
      <x:c r="H170" s="26"/>
      <x:c r="I170" s="19"/>
      <x:c r="J170" s="19"/>
    </x:row>
    <x:row r="171">
      <x:c r="A171" s="19"/>
      <x:c r="B171" s="19"/>
      <x:c r="C171" s="19"/>
      <x:c r="D171" s="62"/>
      <x:c r="E171" s="25"/>
      <x:c r="F171" s="19"/>
      <x:c r="G171" s="19"/>
      <x:c r="H171" s="26"/>
      <x:c r="I171" s="19"/>
      <x:c r="J171" s="19"/>
    </x:row>
    <x:row r="172">
      <x:c r="A172" s="19"/>
      <x:c r="B172" s="19"/>
      <x:c r="C172" s="19"/>
      <x:c r="D172" s="62"/>
      <x:c r="E172" s="25"/>
      <x:c r="F172" s="19"/>
      <x:c r="G172" s="19"/>
      <x:c r="H172" s="26"/>
      <x:c r="I172" s="19"/>
      <x:c r="J172" s="19"/>
    </x:row>
    <x:row r="173">
      <x:c r="A173" s="19"/>
      <x:c r="B173" s="19"/>
      <x:c r="C173" s="19"/>
      <x:c r="D173" s="62"/>
      <x:c r="E173" s="25"/>
      <x:c r="F173" s="19"/>
      <x:c r="G173" s="19"/>
      <x:c r="H173" s="26"/>
      <x:c r="I173" s="19"/>
      <x:c r="J173" s="19"/>
    </x:row>
    <x:row r="174">
      <x:c r="A174" s="19"/>
      <x:c r="B174" s="19"/>
      <x:c r="C174" s="19"/>
      <x:c r="D174" s="62"/>
      <x:c r="E174" s="25"/>
      <x:c r="F174" s="19"/>
      <x:c r="G174" s="19"/>
      <x:c r="H174" s="26"/>
      <x:c r="I174" s="19"/>
      <x:c r="J174" s="19"/>
    </x:row>
    <x:row r="175">
      <x:c r="A175" s="19"/>
      <x:c r="B175" s="19"/>
      <x:c r="C175" s="19"/>
      <x:c r="D175" s="62"/>
      <x:c r="E175" s="25"/>
      <x:c r="F175" s="19"/>
      <x:c r="G175" s="19"/>
      <x:c r="H175" s="26"/>
      <x:c r="I175" s="19"/>
      <x:c r="J175" s="19"/>
    </x:row>
    <x:row r="176">
      <x:c r="A176" s="19"/>
      <x:c r="B176" s="19"/>
      <x:c r="C176" s="19"/>
      <x:c r="D176" s="62"/>
      <x:c r="E176" s="25"/>
      <x:c r="F176" s="19"/>
      <x:c r="G176" s="19"/>
      <x:c r="H176" s="26"/>
      <x:c r="I176" s="19"/>
      <x:c r="J176" s="19"/>
    </x:row>
    <x:row r="177">
      <x:c r="A177" s="19"/>
      <x:c r="B177" s="19"/>
      <x:c r="C177" s="19"/>
      <x:c r="D177" s="62"/>
      <x:c r="E177" s="25"/>
      <x:c r="F177" s="19"/>
      <x:c r="G177" s="19"/>
      <x:c r="H177" s="26"/>
      <x:c r="I177" s="19"/>
      <x:c r="J177" s="19"/>
    </x:row>
    <x:row r="178">
      <x:c r="A178" s="19"/>
      <x:c r="B178" s="19"/>
      <x:c r="C178" s="19"/>
      <x:c r="D178" s="62"/>
      <x:c r="E178" s="25"/>
      <x:c r="F178" s="19"/>
      <x:c r="G178" s="19"/>
      <x:c r="H178" s="26"/>
      <x:c r="I178" s="19"/>
      <x:c r="J178" s="19"/>
    </x:row>
    <x:row r="179">
      <x:c r="A179" s="19"/>
      <x:c r="B179" s="19"/>
      <x:c r="C179" s="19"/>
      <x:c r="D179" s="62"/>
      <x:c r="E179" s="25"/>
      <x:c r="F179" s="19"/>
      <x:c r="G179" s="19"/>
      <x:c r="H179" s="26"/>
      <x:c r="I179" s="19"/>
      <x:c r="J179" s="19"/>
    </x:row>
    <x:row r="180">
      <x:c r="A180" s="19"/>
      <x:c r="B180" s="19"/>
      <x:c r="C180" s="19"/>
      <x:c r="D180" s="62"/>
      <x:c r="E180" s="25"/>
      <x:c r="F180" s="19"/>
      <x:c r="G180" s="19"/>
      <x:c r="H180" s="26"/>
      <x:c r="I180" s="19"/>
      <x:c r="J180" s="19"/>
    </x:row>
    <x:row r="181">
      <x:c r="A181" s="19"/>
      <x:c r="B181" s="19"/>
      <x:c r="C181" s="19"/>
      <x:c r="D181" s="62"/>
      <x:c r="E181" s="25"/>
      <x:c r="F181" s="19"/>
      <x:c r="G181" s="19"/>
      <x:c r="H181" s="26"/>
      <x:c r="I181" s="19"/>
      <x:c r="J181" s="19"/>
    </x:row>
    <x:row r="182">
      <x:c r="A182" s="19"/>
      <x:c r="B182" s="19"/>
      <x:c r="C182" s="19"/>
      <x:c r="D182" s="62"/>
      <x:c r="E182" s="25"/>
      <x:c r="F182" s="19"/>
      <x:c r="G182" s="19"/>
      <x:c r="H182" s="26"/>
      <x:c r="I182" s="19"/>
      <x:c r="J182" s="19"/>
    </x:row>
    <x:row r="183">
      <x:c r="A183" s="19"/>
      <x:c r="B183" s="19"/>
      <x:c r="C183" s="19"/>
      <x:c r="D183" s="62"/>
      <x:c r="E183" s="25"/>
      <x:c r="F183" s="19"/>
      <x:c r="G183" s="19"/>
      <x:c r="H183" s="26"/>
      <x:c r="I183" s="19"/>
      <x:c r="J183" s="19"/>
    </x:row>
    <x:row r="184">
      <x:c r="A184" s="19"/>
      <x:c r="B184" s="19"/>
      <x:c r="C184" s="19"/>
      <x:c r="D184" s="62"/>
      <x:c r="E184" s="25"/>
      <x:c r="F184" s="19"/>
      <x:c r="G184" s="19"/>
      <x:c r="H184" s="26"/>
      <x:c r="I184" s="19"/>
      <x:c r="J184" s="19"/>
    </x:row>
    <x:row r="185">
      <x:c r="A185" s="19"/>
      <x:c r="B185" s="19"/>
      <x:c r="C185" s="19"/>
      <x:c r="D185" s="62"/>
      <x:c r="E185" s="25"/>
      <x:c r="F185" s="19"/>
      <x:c r="G185" s="19"/>
      <x:c r="H185" s="26"/>
      <x:c r="I185" s="19"/>
      <x:c r="J185" s="19"/>
    </x:row>
    <x:row r="186">
      <x:c r="A186" s="19"/>
      <x:c r="B186" s="19"/>
      <x:c r="C186" s="19"/>
      <x:c r="D186" s="62"/>
      <x:c r="E186" s="25"/>
      <x:c r="F186" s="19"/>
      <x:c r="G186" s="19"/>
      <x:c r="H186" s="26"/>
      <x:c r="I186" s="19"/>
      <x:c r="J186" s="19"/>
    </x:row>
    <x:row r="187">
      <x:c r="A187" s="19"/>
      <x:c r="B187" s="19"/>
      <x:c r="C187" s="19"/>
      <x:c r="D187" s="62"/>
      <x:c r="E187" s="25"/>
      <x:c r="F187" s="19"/>
      <x:c r="G187" s="19"/>
      <x:c r="H187" s="26"/>
      <x:c r="I187" s="19"/>
      <x:c r="J187" s="19"/>
    </x:row>
    <x:row r="188">
      <x:c r="A188" s="19"/>
      <x:c r="B188" s="19"/>
      <x:c r="C188" s="19"/>
      <x:c r="D188" s="62"/>
      <x:c r="E188" s="25"/>
      <x:c r="F188" s="19"/>
      <x:c r="G188" s="19"/>
      <x:c r="H188" s="26"/>
      <x:c r="I188" s="19"/>
      <x:c r="J188" s="19"/>
    </x:row>
    <x:row r="189">
      <x:c r="A189" s="19"/>
      <x:c r="B189" s="19"/>
      <x:c r="C189" s="19"/>
      <x:c r="D189" s="62"/>
      <x:c r="E189" s="25"/>
      <x:c r="F189" s="19"/>
      <x:c r="G189" s="19"/>
      <x:c r="H189" s="26"/>
      <x:c r="I189" s="19"/>
      <x:c r="J189" s="19"/>
    </x:row>
    <x:row r="190">
      <x:c r="A190" s="19"/>
      <x:c r="B190" s="19"/>
      <x:c r="C190" s="19"/>
      <x:c r="D190" s="62"/>
      <x:c r="E190" s="25"/>
      <x:c r="F190" s="19"/>
      <x:c r="G190" s="19"/>
      <x:c r="H190" s="26"/>
      <x:c r="I190" s="19"/>
      <x:c r="J190" s="19"/>
    </x:row>
    <x:row r="191">
      <x:c r="A191" s="19"/>
      <x:c r="B191" s="19"/>
      <x:c r="C191" s="19"/>
      <x:c r="D191" s="62"/>
      <x:c r="E191" s="25"/>
      <x:c r="F191" s="19"/>
      <x:c r="G191" s="19"/>
      <x:c r="H191" s="26"/>
      <x:c r="I191" s="19"/>
      <x:c r="J191" s="19"/>
    </x:row>
    <x:row r="192">
      <x:c r="A192" s="19"/>
      <x:c r="B192" s="19"/>
      <x:c r="C192" s="19"/>
      <x:c r="D192" s="62"/>
      <x:c r="E192" s="25"/>
      <x:c r="F192" s="19"/>
      <x:c r="G192" s="19"/>
      <x:c r="H192" s="26"/>
      <x:c r="I192" s="19"/>
      <x:c r="J192" s="19"/>
    </x:row>
    <x:row r="193">
      <x:c r="A193" s="19"/>
      <x:c r="B193" s="19"/>
      <x:c r="C193" s="19"/>
      <x:c r="D193" s="62"/>
      <x:c r="E193" s="25"/>
      <x:c r="F193" s="19"/>
      <x:c r="G193" s="19"/>
      <x:c r="H193" s="26"/>
      <x:c r="I193" s="19"/>
      <x:c r="J193" s="19"/>
    </x:row>
    <x:row r="194">
      <x:c r="A194" s="19"/>
      <x:c r="B194" s="19"/>
      <x:c r="C194" s="19"/>
      <x:c r="D194" s="62"/>
      <x:c r="E194" s="25"/>
      <x:c r="F194" s="19"/>
      <x:c r="G194" s="19"/>
      <x:c r="H194" s="26"/>
      <x:c r="I194" s="19"/>
      <x:c r="J194" s="19"/>
    </x:row>
    <x:row r="195">
      <x:c r="A195" s="19"/>
      <x:c r="B195" s="19"/>
      <x:c r="C195" s="19"/>
      <x:c r="D195" s="62"/>
      <x:c r="E195" s="25"/>
      <x:c r="F195" s="19"/>
      <x:c r="G195" s="19"/>
      <x:c r="H195" s="26"/>
      <x:c r="I195" s="19"/>
      <x:c r="J195" s="19"/>
    </x:row>
    <x:row r="196">
      <x:c r="A196" s="19"/>
      <x:c r="B196" s="19"/>
      <x:c r="C196" s="19"/>
      <x:c r="D196" s="62"/>
      <x:c r="E196" s="25"/>
      <x:c r="F196" s="19"/>
      <x:c r="G196" s="19"/>
      <x:c r="H196" s="26"/>
      <x:c r="I196" s="19"/>
      <x:c r="J196" s="19"/>
    </x:row>
    <x:row r="197">
      <x:c r="A197" s="19"/>
      <x:c r="B197" s="19"/>
      <x:c r="C197" s="19"/>
      <x:c r="D197" s="62"/>
      <x:c r="E197" s="25"/>
      <x:c r="F197" s="19"/>
      <x:c r="G197" s="19"/>
      <x:c r="H197" s="26"/>
      <x:c r="I197" s="19"/>
      <x:c r="J197" s="19"/>
    </x:row>
    <x:row r="198">
      <x:c r="A198" s="19"/>
      <x:c r="B198" s="19"/>
      <x:c r="C198" s="19"/>
      <x:c r="D198" s="62"/>
      <x:c r="E198" s="25"/>
      <x:c r="F198" s="19"/>
      <x:c r="G198" s="19"/>
      <x:c r="H198" s="26"/>
      <x:c r="I198" s="19"/>
      <x:c r="J198" s="19"/>
    </x:row>
    <x:row r="199">
      <x:c r="A199" s="19"/>
      <x:c r="B199" s="19"/>
      <x:c r="C199" s="19"/>
      <x:c r="D199" s="62"/>
      <x:c r="E199" s="25"/>
      <x:c r="F199" s="19"/>
      <x:c r="G199" s="19"/>
      <x:c r="H199" s="26"/>
      <x:c r="I199" s="19"/>
      <x:c r="J199" s="19"/>
    </x:row>
    <x:row r="200">
      <x:c r="A200" s="19"/>
      <x:c r="B200" s="19"/>
      <x:c r="C200" s="19"/>
      <x:c r="D200" s="62"/>
      <x:c r="E200" s="25"/>
      <x:c r="F200" s="19"/>
      <x:c r="G200" s="19"/>
      <x:c r="H200" s="26"/>
      <x:c r="I200" s="19"/>
      <x:c r="J200" s="19"/>
    </x:row>
    <x:row r="201">
      <x:c r="A201" s="19"/>
      <x:c r="B201" s="19"/>
      <x:c r="C201" s="19"/>
      <x:c r="D201" s="62"/>
      <x:c r="E201" s="25"/>
      <x:c r="F201" s="19"/>
      <x:c r="G201" s="19"/>
      <x:c r="H201" s="26"/>
      <x:c r="I201" s="19"/>
      <x:c r="J201" s="19"/>
    </x:row>
    <x:row r="202">
      <x:c r="A202" s="19"/>
      <x:c r="B202" s="19"/>
      <x:c r="C202" s="19"/>
      <x:c r="D202" s="62"/>
      <x:c r="E202" s="25"/>
      <x:c r="F202" s="19"/>
      <x:c r="G202" s="19"/>
      <x:c r="H202" s="26"/>
      <x:c r="I202" s="19"/>
      <x:c r="J202" s="19"/>
    </x:row>
    <x:row r="203">
      <x:c r="A203" s="19"/>
      <x:c r="B203" s="19"/>
      <x:c r="C203" s="19"/>
      <x:c r="D203" s="62"/>
      <x:c r="E203" s="25"/>
      <x:c r="F203" s="19"/>
      <x:c r="G203" s="19"/>
      <x:c r="H203" s="26"/>
      <x:c r="I203" s="19"/>
      <x:c r="J203" s="19"/>
    </x:row>
    <x:row r="204">
      <x:c r="A204" s="19"/>
      <x:c r="B204" s="19"/>
      <x:c r="C204" s="19"/>
      <x:c r="D204" s="62"/>
      <x:c r="E204" s="25"/>
      <x:c r="F204" s="19"/>
      <x:c r="G204" s="19"/>
      <x:c r="H204" s="26"/>
      <x:c r="I204" s="19"/>
      <x:c r="J204" s="19"/>
    </x:row>
    <x:row r="205">
      <x:c r="A205" s="19"/>
      <x:c r="B205" s="19"/>
      <x:c r="C205" s="19"/>
      <x:c r="D205" s="62"/>
      <x:c r="E205" s="25"/>
      <x:c r="F205" s="19"/>
      <x:c r="G205" s="19"/>
      <x:c r="H205" s="26"/>
      <x:c r="I205" s="19"/>
      <x:c r="J205" s="19"/>
    </x:row>
    <x:row r="206">
      <x:c r="A206" s="19"/>
      <x:c r="B206" s="19"/>
      <x:c r="C206" s="19"/>
      <x:c r="D206" s="62"/>
      <x:c r="E206" s="25"/>
      <x:c r="F206" s="19"/>
      <x:c r="G206" s="19"/>
      <x:c r="H206" s="26"/>
      <x:c r="I206" s="19"/>
      <x:c r="J206" s="19"/>
    </x:row>
    <x:row r="207">
      <x:c r="A207" s="19"/>
      <x:c r="B207" s="19"/>
      <x:c r="C207" s="19"/>
      <x:c r="D207" s="62"/>
      <x:c r="E207" s="25"/>
      <x:c r="F207" s="19"/>
      <x:c r="G207" s="19"/>
      <x:c r="H207" s="26"/>
      <x:c r="I207" s="19"/>
      <x:c r="J207" s="19"/>
    </x:row>
    <x:row r="208">
      <x:c r="A208" s="19"/>
      <x:c r="B208" s="19"/>
      <x:c r="C208" s="19"/>
      <x:c r="D208" s="62"/>
      <x:c r="E208" s="25"/>
      <x:c r="F208" s="19"/>
      <x:c r="G208" s="19"/>
      <x:c r="H208" s="26"/>
      <x:c r="I208" s="19"/>
      <x:c r="J208" s="19"/>
    </x:row>
    <x:row r="209">
      <x:c r="A209" s="19"/>
      <x:c r="B209" s="19"/>
      <x:c r="C209" s="19"/>
      <x:c r="D209" s="62"/>
      <x:c r="E209" s="25"/>
      <x:c r="F209" s="19"/>
      <x:c r="G209" s="19"/>
      <x:c r="H209" s="26"/>
      <x:c r="I209" s="19"/>
      <x:c r="J209" s="19"/>
    </x:row>
    <x:row r="210">
      <x:c r="A210" s="19"/>
      <x:c r="B210" s="19"/>
      <x:c r="C210" s="19"/>
      <x:c r="D210" s="62"/>
      <x:c r="E210" s="25"/>
      <x:c r="F210" s="19"/>
      <x:c r="G210" s="19"/>
      <x:c r="H210" s="26"/>
      <x:c r="I210" s="19"/>
      <x:c r="J210" s="19"/>
    </x:row>
    <x:row r="211">
      <x:c r="A211" s="19"/>
      <x:c r="B211" s="19"/>
      <x:c r="C211" s="19"/>
      <x:c r="D211" s="62"/>
      <x:c r="E211" s="25"/>
      <x:c r="F211" s="19"/>
      <x:c r="G211" s="19"/>
      <x:c r="H211" s="26"/>
      <x:c r="I211" s="19"/>
      <x:c r="J211" s="19"/>
    </x:row>
    <x:row r="212">
      <x:c r="A212" s="19"/>
      <x:c r="B212" s="19"/>
      <x:c r="C212" s="19"/>
      <x:c r="D212" s="62"/>
      <x:c r="E212" s="25"/>
      <x:c r="F212" s="19"/>
      <x:c r="G212" s="19"/>
      <x:c r="H212" s="26"/>
      <x:c r="I212" s="19"/>
      <x:c r="J212" s="19"/>
    </x:row>
    <x:row r="213">
      <x:c r="A213" s="19"/>
      <x:c r="B213" s="19"/>
      <x:c r="C213" s="19"/>
      <x:c r="D213" s="62"/>
      <x:c r="E213" s="25"/>
      <x:c r="F213" s="19"/>
      <x:c r="G213" s="19"/>
      <x:c r="H213" s="26"/>
      <x:c r="I213" s="19"/>
      <x:c r="J213" s="19"/>
    </x:row>
    <x:row r="214">
      <x:c r="A214" s="19"/>
      <x:c r="B214" s="19"/>
      <x:c r="C214" s="19"/>
      <x:c r="D214" s="62"/>
      <x:c r="E214" s="25"/>
      <x:c r="F214" s="19"/>
      <x:c r="G214" s="19"/>
      <x:c r="H214" s="26"/>
      <x:c r="I214" s="19"/>
      <x:c r="J214" s="19"/>
    </x:row>
    <x:row r="215">
      <x:c r="A215" s="19"/>
      <x:c r="B215" s="19"/>
      <x:c r="C215" s="19"/>
      <x:c r="D215" s="62"/>
      <x:c r="E215" s="25"/>
      <x:c r="F215" s="19"/>
      <x:c r="G215" s="19"/>
      <x:c r="H215" s="26"/>
      <x:c r="I215" s="19"/>
      <x:c r="J215" s="19"/>
    </x:row>
    <x:row r="216">
      <x:c r="A216" s="19"/>
      <x:c r="B216" s="19"/>
      <x:c r="C216" s="19"/>
      <x:c r="D216" s="62"/>
      <x:c r="E216" s="25"/>
      <x:c r="F216" s="19"/>
      <x:c r="G216" s="19"/>
      <x:c r="H216" s="26"/>
      <x:c r="I216" s="19"/>
      <x:c r="J216" s="19"/>
    </x:row>
    <x:row r="217">
      <x:c r="A217" s="19"/>
      <x:c r="B217" s="19"/>
      <x:c r="C217" s="19"/>
      <x:c r="D217" s="62"/>
      <x:c r="E217" s="25"/>
      <x:c r="F217" s="19"/>
      <x:c r="G217" s="19"/>
      <x:c r="H217" s="26"/>
      <x:c r="I217" s="19"/>
      <x:c r="J217" s="19"/>
    </x:row>
    <x:row r="218">
      <x:c r="A218" s="19"/>
      <x:c r="B218" s="19"/>
      <x:c r="C218" s="19"/>
      <x:c r="D218" s="62"/>
      <x:c r="E218" s="25"/>
      <x:c r="F218" s="19"/>
      <x:c r="G218" s="19"/>
      <x:c r="H218" s="26"/>
      <x:c r="I218" s="19"/>
      <x:c r="J218" s="19"/>
    </x:row>
    <x:row r="219">
      <x:c r="A219" s="19"/>
      <x:c r="B219" s="19"/>
      <x:c r="C219" s="19"/>
      <x:c r="D219" s="62"/>
      <x:c r="E219" s="25"/>
      <x:c r="F219" s="19"/>
      <x:c r="G219" s="19"/>
      <x:c r="H219" s="26"/>
      <x:c r="I219" s="19"/>
      <x:c r="J219" s="19"/>
    </x:row>
    <x:row r="220">
      <x:c r="A220" s="19"/>
      <x:c r="B220" s="19"/>
      <x:c r="C220" s="19"/>
      <x:c r="D220" s="62"/>
      <x:c r="E220" s="25"/>
      <x:c r="F220" s="19"/>
      <x:c r="G220" s="19"/>
      <x:c r="H220" s="26"/>
      <x:c r="I220" s="19"/>
      <x:c r="J220" s="19"/>
    </x:row>
    <x:row r="221">
      <x:c r="A221" s="19"/>
      <x:c r="B221" s="19"/>
      <x:c r="C221" s="19"/>
      <x:c r="D221" s="62"/>
      <x:c r="E221" s="25"/>
      <x:c r="F221" s="19"/>
      <x:c r="G221" s="19"/>
      <x:c r="H221" s="26"/>
      <x:c r="I221" s="19"/>
      <x:c r="J221" s="19"/>
    </x:row>
    <x:row r="222">
      <x:c r="A222" s="19"/>
      <x:c r="B222" s="19"/>
      <x:c r="C222" s="19"/>
      <x:c r="D222" s="62"/>
      <x:c r="E222" s="25"/>
      <x:c r="F222" s="19"/>
      <x:c r="G222" s="19"/>
      <x:c r="H222" s="26"/>
      <x:c r="I222" s="19"/>
      <x:c r="J222" s="19"/>
    </x:row>
    <x:row r="223">
      <x:c r="A223" s="19"/>
      <x:c r="B223" s="19"/>
      <x:c r="C223" s="19"/>
      <x:c r="D223" s="62"/>
      <x:c r="E223" s="25"/>
      <x:c r="F223" s="19"/>
      <x:c r="G223" s="19"/>
      <x:c r="H223" s="26"/>
      <x:c r="I223" s="19"/>
      <x:c r="J223" s="19"/>
    </x:row>
    <x:row r="224">
      <x:c r="A224" s="19"/>
      <x:c r="B224" s="19"/>
      <x:c r="C224" s="19"/>
      <x:c r="D224" s="62"/>
      <x:c r="E224" s="25"/>
      <x:c r="F224" s="19"/>
      <x:c r="G224" s="19"/>
      <x:c r="H224" s="26"/>
      <x:c r="I224" s="19"/>
      <x:c r="J224" s="19"/>
    </x:row>
    <x:row r="225">
      <x:c r="A225" s="19"/>
      <x:c r="B225" s="19"/>
      <x:c r="C225" s="19"/>
      <x:c r="D225" s="62"/>
      <x:c r="E225" s="25"/>
      <x:c r="F225" s="19"/>
      <x:c r="G225" s="19"/>
      <x:c r="H225" s="26"/>
      <x:c r="I225" s="19"/>
      <x:c r="J225" s="19"/>
    </x:row>
    <x:row r="226">
      <x:c r="A226" s="19"/>
      <x:c r="B226" s="19"/>
      <x:c r="C226" s="19"/>
      <x:c r="D226" s="62"/>
      <x:c r="E226" s="25"/>
      <x:c r="F226" s="19"/>
      <x:c r="G226" s="19"/>
      <x:c r="H226" s="26"/>
      <x:c r="I226" s="19"/>
      <x:c r="J226" s="19"/>
    </x:row>
    <x:row r="227">
      <x:c r="A227" s="19"/>
      <x:c r="B227" s="19"/>
      <x:c r="C227" s="19"/>
      <x:c r="D227" s="62"/>
      <x:c r="E227" s="25"/>
      <x:c r="F227" s="19"/>
      <x:c r="G227" s="19"/>
      <x:c r="H227" s="26"/>
      <x:c r="I227" s="19"/>
      <x:c r="J227" s="19"/>
    </x:row>
    <x:row r="228">
      <x:c r="A228" s="19"/>
      <x:c r="B228" s="19"/>
      <x:c r="C228" s="19"/>
      <x:c r="D228" s="62"/>
      <x:c r="E228" s="25"/>
      <x:c r="F228" s="19"/>
      <x:c r="G228" s="19"/>
      <x:c r="H228" s="26"/>
      <x:c r="I228" s="19"/>
      <x:c r="J228" s="19"/>
    </x:row>
    <x:row r="229">
      <x:c r="A229" s="19"/>
      <x:c r="B229" s="19"/>
      <x:c r="C229" s="19"/>
      <x:c r="D229" s="62"/>
      <x:c r="E229" s="25"/>
      <x:c r="F229" s="19"/>
      <x:c r="G229" s="19"/>
      <x:c r="H229" s="26"/>
      <x:c r="I229" s="19"/>
      <x:c r="J229" s="19"/>
    </x:row>
    <x:row r="230">
      <x:c r="A230" s="19"/>
      <x:c r="B230" s="19"/>
      <x:c r="C230" s="19"/>
      <x:c r="D230" s="62"/>
      <x:c r="E230" s="25"/>
      <x:c r="F230" s="19"/>
      <x:c r="G230" s="19"/>
      <x:c r="H230" s="26"/>
      <x:c r="I230" s="19"/>
      <x:c r="J230" s="19"/>
    </x:row>
    <x:row r="231">
      <x:c r="A231" s="19"/>
      <x:c r="B231" s="19"/>
      <x:c r="C231" s="19"/>
      <x:c r="D231" s="62"/>
      <x:c r="E231" s="25"/>
      <x:c r="F231" s="19"/>
      <x:c r="G231" s="19"/>
      <x:c r="H231" s="26"/>
      <x:c r="I231" s="19"/>
      <x:c r="J231" s="19"/>
    </x:row>
    <x:row r="232">
      <x:c r="A232" s="19"/>
      <x:c r="B232" s="19"/>
      <x:c r="C232" s="19"/>
      <x:c r="D232" s="62"/>
      <x:c r="E232" s="25"/>
      <x:c r="F232" s="19"/>
      <x:c r="G232" s="19"/>
      <x:c r="H232" s="26"/>
      <x:c r="I232" s="19"/>
      <x:c r="J232" s="19"/>
    </x:row>
    <x:row r="233">
      <x:c r="A233" s="19"/>
      <x:c r="B233" s="19"/>
      <x:c r="C233" s="19"/>
      <x:c r="D233" s="62"/>
      <x:c r="E233" s="25"/>
      <x:c r="F233" s="19"/>
      <x:c r="G233" s="19"/>
      <x:c r="H233" s="26"/>
      <x:c r="I233" s="19"/>
      <x:c r="J233" s="19"/>
    </x:row>
    <x:row r="234">
      <x:c r="A234" s="19"/>
      <x:c r="B234" s="19"/>
      <x:c r="C234" s="19"/>
      <x:c r="D234" s="62"/>
      <x:c r="E234" s="25"/>
      <x:c r="F234" s="19"/>
      <x:c r="G234" s="19"/>
      <x:c r="H234" s="26"/>
      <x:c r="I234" s="19"/>
      <x:c r="J234" s="19"/>
    </x:row>
    <x:row r="235">
      <x:c r="A235" s="19"/>
      <x:c r="B235" s="19"/>
      <x:c r="C235" s="19"/>
      <x:c r="D235" s="62"/>
      <x:c r="E235" s="25"/>
      <x:c r="F235" s="19"/>
      <x:c r="G235" s="19"/>
      <x:c r="H235" s="26"/>
      <x:c r="I235" s="19"/>
      <x:c r="J235" s="19"/>
    </x:row>
    <x:row r="236">
      <x:c r="A236" s="19"/>
      <x:c r="B236" s="19"/>
      <x:c r="C236" s="19"/>
      <x:c r="D236" s="62"/>
      <x:c r="E236" s="25"/>
      <x:c r="F236" s="19"/>
      <x:c r="G236" s="19"/>
      <x:c r="H236" s="26"/>
      <x:c r="I236" s="19"/>
      <x:c r="J236" s="19"/>
    </x:row>
    <x:row r="237">
      <x:c r="A237" s="19"/>
      <x:c r="B237" s="19"/>
      <x:c r="C237" s="19"/>
      <x:c r="D237" s="62"/>
      <x:c r="E237" s="25"/>
      <x:c r="F237" s="19"/>
      <x:c r="G237" s="19"/>
      <x:c r="H237" s="26"/>
      <x:c r="I237" s="19"/>
      <x:c r="J237" s="19"/>
    </x:row>
    <x:row r="238">
      <x:c r="A238" s="19"/>
      <x:c r="B238" s="19"/>
      <x:c r="C238" s="19"/>
      <x:c r="D238" s="62"/>
      <x:c r="E238" s="25"/>
      <x:c r="F238" s="19"/>
      <x:c r="G238" s="19"/>
      <x:c r="H238" s="26"/>
      <x:c r="I238" s="19"/>
      <x:c r="J238" s="19"/>
    </x:row>
    <x:row r="239">
      <x:c r="A239" s="19"/>
      <x:c r="B239" s="19"/>
      <x:c r="C239" s="19"/>
      <x:c r="D239" s="62"/>
      <x:c r="E239" s="25"/>
      <x:c r="F239" s="19"/>
      <x:c r="G239" s="19"/>
      <x:c r="H239" s="26"/>
      <x:c r="I239" s="19"/>
      <x:c r="J239" s="19"/>
    </x:row>
    <x:row r="240">
      <x:c r="A240" s="19"/>
      <x:c r="B240" s="19"/>
      <x:c r="C240" s="19"/>
      <x:c r="D240" s="62"/>
      <x:c r="E240" s="25"/>
      <x:c r="F240" s="19"/>
      <x:c r="G240" s="19"/>
      <x:c r="H240" s="26"/>
      <x:c r="I240" s="19"/>
      <x:c r="J240" s="19"/>
    </x:row>
    <x:row r="241">
      <x:c r="A241" s="19"/>
      <x:c r="B241" s="19"/>
      <x:c r="C241" s="19"/>
      <x:c r="D241" s="62"/>
      <x:c r="E241" s="25"/>
      <x:c r="F241" s="19"/>
      <x:c r="G241" s="19"/>
      <x:c r="H241" s="26"/>
      <x:c r="I241" s="19"/>
      <x:c r="J241" s="19"/>
    </x:row>
    <x:row r="242">
      <x:c r="A242" s="19"/>
      <x:c r="B242" s="19"/>
      <x:c r="C242" s="19"/>
      <x:c r="D242" s="62"/>
      <x:c r="E242" s="25"/>
      <x:c r="F242" s="19"/>
      <x:c r="G242" s="19"/>
      <x:c r="H242" s="26"/>
      <x:c r="I242" s="19"/>
      <x:c r="J242" s="19"/>
    </x:row>
    <x:row r="243">
      <x:c r="A243" s="19"/>
      <x:c r="B243" s="19"/>
      <x:c r="C243" s="19"/>
      <x:c r="D243" s="62"/>
      <x:c r="E243" s="25"/>
      <x:c r="F243" s="19"/>
      <x:c r="G243" s="19"/>
      <x:c r="H243" s="26"/>
      <x:c r="I243" s="19"/>
      <x:c r="J243" s="19"/>
    </x:row>
    <x:row r="244">
      <x:c r="A244" s="19"/>
      <x:c r="B244" s="19"/>
      <x:c r="C244" s="19"/>
      <x:c r="D244" s="62"/>
      <x:c r="E244" s="25"/>
      <x:c r="F244" s="19"/>
      <x:c r="G244" s="19"/>
      <x:c r="H244" s="26"/>
      <x:c r="I244" s="19"/>
      <x:c r="J244" s="19"/>
    </x:row>
    <x:row r="245">
      <x:c r="A245" s="19"/>
      <x:c r="B245" s="19"/>
      <x:c r="C245" s="19"/>
      <x:c r="D245" s="62"/>
      <x:c r="E245" s="25"/>
      <x:c r="F245" s="19"/>
      <x:c r="G245" s="19"/>
      <x:c r="H245" s="26"/>
      <x:c r="I245" s="19"/>
      <x:c r="J245" s="19"/>
    </x:row>
    <x:row r="246">
      <x:c r="A246" s="19"/>
      <x:c r="B246" s="19"/>
      <x:c r="C246" s="19"/>
      <x:c r="D246" s="62"/>
      <x:c r="E246" s="25"/>
      <x:c r="F246" s="19"/>
      <x:c r="G246" s="19"/>
      <x:c r="H246" s="26"/>
      <x:c r="I246" s="19"/>
      <x:c r="J246" s="19"/>
    </x:row>
    <x:row r="247">
      <x:c r="A247" s="19"/>
      <x:c r="B247" s="19"/>
      <x:c r="C247" s="19"/>
      <x:c r="D247" s="62"/>
      <x:c r="E247" s="25"/>
      <x:c r="F247" s="19"/>
      <x:c r="G247" s="19"/>
      <x:c r="H247" s="26"/>
      <x:c r="I247" s="19"/>
      <x:c r="J247" s="19"/>
    </x:row>
    <x:row r="248">
      <x:c r="A248" s="19"/>
      <x:c r="B248" s="19"/>
      <x:c r="C248" s="19"/>
      <x:c r="D248" s="62"/>
      <x:c r="E248" s="25"/>
      <x:c r="F248" s="19"/>
      <x:c r="G248" s="19"/>
      <x:c r="H248" s="26"/>
      <x:c r="I248" s="19"/>
      <x:c r="J248" s="19"/>
    </x:row>
    <x:row r="249">
      <x:c r="A249" s="19"/>
      <x:c r="B249" s="19"/>
      <x:c r="C249" s="19"/>
      <x:c r="D249" s="62"/>
      <x:c r="E249" s="25"/>
      <x:c r="F249" s="19"/>
      <x:c r="G249" s="19"/>
      <x:c r="H249" s="26"/>
      <x:c r="I249" s="19"/>
      <x:c r="J249" s="19"/>
    </x:row>
    <x:row r="250">
      <x:c r="A250" s="19"/>
      <x:c r="B250" s="19"/>
      <x:c r="C250" s="19"/>
      <x:c r="D250" s="62"/>
      <x:c r="E250" s="25"/>
      <x:c r="F250" s="19"/>
      <x:c r="G250" s="19"/>
      <x:c r="H250" s="26"/>
      <x:c r="I250" s="19"/>
      <x:c r="J250" s="19"/>
    </x:row>
    <x:row r="251">
      <x:c r="A251" s="19"/>
      <x:c r="B251" s="19"/>
      <x:c r="C251" s="19"/>
      <x:c r="D251" s="62"/>
      <x:c r="E251" s="25"/>
      <x:c r="F251" s="19"/>
      <x:c r="G251" s="19"/>
      <x:c r="H251" s="26"/>
      <x:c r="I251" s="19"/>
      <x:c r="J251" s="19"/>
    </x:row>
    <x:row r="252">
      <x:c r="A252" s="19"/>
      <x:c r="B252" s="19"/>
      <x:c r="C252" s="19"/>
      <x:c r="D252" s="62"/>
      <x:c r="E252" s="25"/>
      <x:c r="F252" s="19"/>
      <x:c r="G252" s="19"/>
      <x:c r="H252" s="26"/>
      <x:c r="I252" s="19"/>
      <x:c r="J252" s="19"/>
    </x:row>
    <x:row r="253">
      <x:c r="A253" s="19"/>
      <x:c r="B253" s="19"/>
      <x:c r="C253" s="19"/>
      <x:c r="D253" s="62"/>
      <x:c r="E253" s="25"/>
      <x:c r="F253" s="19"/>
      <x:c r="G253" s="19"/>
      <x:c r="H253" s="26"/>
      <x:c r="I253" s="19"/>
      <x:c r="J253" s="19"/>
    </x:row>
    <x:row r="254">
      <x:c r="A254" s="19"/>
      <x:c r="B254" s="19"/>
      <x:c r="C254" s="19"/>
      <x:c r="D254" s="62"/>
      <x:c r="E254" s="25"/>
      <x:c r="F254" s="19"/>
      <x:c r="G254" s="19"/>
      <x:c r="H254" s="26"/>
      <x:c r="I254" s="19"/>
      <x:c r="J254" s="19"/>
    </x:row>
    <x:row r="255">
      <x:c r="A255" s="19"/>
      <x:c r="B255" s="19"/>
      <x:c r="C255" s="19"/>
      <x:c r="D255" s="62"/>
      <x:c r="E255" s="25"/>
      <x:c r="F255" s="19"/>
      <x:c r="G255" s="19"/>
      <x:c r="H255" s="26"/>
      <x:c r="I255" s="19"/>
      <x:c r="J255" s="19"/>
    </x:row>
    <x:row r="256">
      <x:c r="A256" s="19"/>
      <x:c r="B256" s="19"/>
      <x:c r="C256" s="19"/>
      <x:c r="D256" s="62"/>
      <x:c r="E256" s="25"/>
      <x:c r="F256" s="19"/>
      <x:c r="G256" s="19"/>
      <x:c r="H256" s="26"/>
      <x:c r="I256" s="19"/>
      <x:c r="J256" s="19"/>
    </x:row>
    <x:row r="257">
      <x:c r="A257" s="19"/>
      <x:c r="B257" s="19"/>
      <x:c r="C257" s="19"/>
      <x:c r="D257" s="62"/>
      <x:c r="E257" s="25"/>
      <x:c r="F257" s="19"/>
      <x:c r="G257" s="19"/>
      <x:c r="H257" s="26"/>
      <x:c r="I257" s="19"/>
      <x:c r="J257" s="19"/>
    </x:row>
    <x:row r="258">
      <x:c r="A258" s="19"/>
      <x:c r="B258" s="19"/>
      <x:c r="C258" s="19"/>
      <x:c r="D258" s="62"/>
      <x:c r="E258" s="25"/>
      <x:c r="F258" s="19"/>
      <x:c r="G258" s="19"/>
      <x:c r="H258" s="26"/>
      <x:c r="I258" s="19"/>
      <x:c r="J258" s="19"/>
    </x:row>
    <x:row r="259">
      <x:c r="A259" s="19"/>
      <x:c r="B259" s="19"/>
      <x:c r="C259" s="19"/>
      <x:c r="D259" s="62"/>
      <x:c r="E259" s="25"/>
      <x:c r="F259" s="19"/>
      <x:c r="G259" s="19"/>
      <x:c r="H259" s="26"/>
      <x:c r="I259" s="19"/>
      <x:c r="J259" s="19"/>
    </x:row>
    <x:row r="260">
      <x:c r="A260" s="19"/>
      <x:c r="B260" s="19"/>
      <x:c r="C260" s="19"/>
      <x:c r="D260" s="62"/>
      <x:c r="E260" s="25"/>
      <x:c r="F260" s="19"/>
      <x:c r="G260" s="19"/>
      <x:c r="H260" s="26"/>
      <x:c r="I260" s="19"/>
      <x:c r="J260" s="19"/>
    </x:row>
    <x:row r="261">
      <x:c r="A261" s="19"/>
      <x:c r="B261" s="19"/>
      <x:c r="C261" s="19"/>
      <x:c r="D261" s="62"/>
      <x:c r="E261" s="25"/>
      <x:c r="F261" s="19"/>
      <x:c r="G261" s="19"/>
      <x:c r="H261" s="26"/>
      <x:c r="I261" s="19"/>
      <x:c r="J261" s="19"/>
    </x:row>
    <x:row r="262">
      <x:c r="A262" s="19"/>
      <x:c r="B262" s="19"/>
      <x:c r="C262" s="19"/>
      <x:c r="D262" s="62"/>
      <x:c r="E262" s="25"/>
      <x:c r="F262" s="19"/>
      <x:c r="G262" s="19"/>
      <x:c r="H262" s="26"/>
      <x:c r="I262" s="19"/>
      <x:c r="J262" s="19"/>
    </x:row>
    <x:row r="263">
      <x:c r="A263" s="19"/>
      <x:c r="B263" s="19"/>
      <x:c r="C263" s="19"/>
      <x:c r="D263" s="62"/>
      <x:c r="E263" s="25"/>
      <x:c r="F263" s="19"/>
      <x:c r="G263" s="19"/>
      <x:c r="H263" s="26"/>
      <x:c r="I263" s="19"/>
      <x:c r="J263" s="19"/>
    </x:row>
    <x:row r="264">
      <x:c r="A264" s="19"/>
      <x:c r="B264" s="19"/>
      <x:c r="C264" s="19"/>
      <x:c r="D264" s="62"/>
      <x:c r="E264" s="25"/>
      <x:c r="F264" s="19"/>
      <x:c r="G264" s="19"/>
      <x:c r="H264" s="26"/>
      <x:c r="I264" s="19"/>
      <x:c r="J264" s="19"/>
    </x:row>
    <x:row r="265">
      <x:c r="A265" s="19"/>
      <x:c r="B265" s="19"/>
      <x:c r="C265" s="19"/>
      <x:c r="D265" s="62"/>
      <x:c r="E265" s="25"/>
      <x:c r="F265" s="19"/>
      <x:c r="G265" s="19"/>
      <x:c r="H265" s="26"/>
      <x:c r="I265" s="19"/>
      <x:c r="J265" s="19"/>
    </x:row>
    <x:row r="266">
      <x:c r="A266" s="19"/>
      <x:c r="B266" s="19"/>
      <x:c r="C266" s="19"/>
      <x:c r="D266" s="62"/>
      <x:c r="E266" s="25"/>
      <x:c r="F266" s="19"/>
      <x:c r="G266" s="19"/>
      <x:c r="H266" s="26"/>
      <x:c r="I266" s="19"/>
      <x:c r="J266" s="19"/>
    </x:row>
    <x:row r="267">
      <x:c r="A267" s="19"/>
      <x:c r="B267" s="19"/>
      <x:c r="C267" s="19"/>
      <x:c r="D267" s="62"/>
      <x:c r="E267" s="25"/>
      <x:c r="F267" s="19"/>
      <x:c r="G267" s="19"/>
      <x:c r="H267" s="26"/>
      <x:c r="I267" s="19"/>
      <x:c r="J267" s="19"/>
    </x:row>
    <x:row r="268">
      <x:c r="A268" s="19"/>
      <x:c r="B268" s="19"/>
      <x:c r="C268" s="19"/>
      <x:c r="D268" s="62"/>
      <x:c r="E268" s="25"/>
      <x:c r="F268" s="19"/>
      <x:c r="G268" s="19"/>
      <x:c r="H268" s="26"/>
      <x:c r="I268" s="19"/>
      <x:c r="J268" s="19"/>
    </x:row>
    <x:row r="269">
      <x:c r="A269" s="19"/>
      <x:c r="B269" s="19"/>
      <x:c r="C269" s="19"/>
      <x:c r="D269" s="62"/>
      <x:c r="E269" s="25"/>
      <x:c r="F269" s="19"/>
      <x:c r="G269" s="19"/>
      <x:c r="H269" s="26"/>
      <x:c r="I269" s="19"/>
      <x:c r="J269" s="19"/>
    </x:row>
    <x:row r="270">
      <x:c r="A270" s="19"/>
      <x:c r="B270" s="19"/>
      <x:c r="C270" s="19"/>
      <x:c r="D270" s="62"/>
      <x:c r="E270" s="25"/>
      <x:c r="F270" s="19"/>
      <x:c r="G270" s="19"/>
      <x:c r="H270" s="26"/>
      <x:c r="I270" s="19"/>
      <x:c r="J270" s="19"/>
    </x:row>
    <x:row r="271">
      <x:c r="A271" s="19"/>
      <x:c r="B271" s="19"/>
      <x:c r="C271" s="19"/>
      <x:c r="D271" s="62"/>
      <x:c r="E271" s="25"/>
      <x:c r="F271" s="19"/>
      <x:c r="G271" s="19"/>
      <x:c r="H271" s="26"/>
      <x:c r="I271" s="19"/>
      <x:c r="J271" s="19"/>
    </x:row>
    <x:row r="272">
      <x:c r="A272" s="19"/>
      <x:c r="B272" s="19"/>
      <x:c r="C272" s="19"/>
      <x:c r="D272" s="62"/>
      <x:c r="E272" s="25"/>
      <x:c r="F272" s="19"/>
      <x:c r="G272" s="19"/>
      <x:c r="H272" s="26"/>
      <x:c r="I272" s="19"/>
      <x:c r="J272" s="19"/>
    </x:row>
    <x:row r="273">
      <x:c r="A273" s="19"/>
      <x:c r="B273" s="19"/>
      <x:c r="C273" s="19"/>
      <x:c r="D273" s="62"/>
      <x:c r="E273" s="25"/>
      <x:c r="F273" s="19"/>
      <x:c r="G273" s="19"/>
      <x:c r="H273" s="26"/>
      <x:c r="I273" s="19"/>
      <x:c r="J273" s="19"/>
    </x:row>
    <x:row r="274">
      <x:c r="A274" s="19"/>
      <x:c r="B274" s="19"/>
      <x:c r="C274" s="19"/>
      <x:c r="D274" s="62"/>
      <x:c r="E274" s="25"/>
      <x:c r="F274" s="19"/>
      <x:c r="G274" s="19"/>
      <x:c r="H274" s="26"/>
      <x:c r="I274" s="19"/>
      <x:c r="J274" s="19"/>
    </x:row>
    <x:row r="275">
      <x:c r="A275" s="19"/>
      <x:c r="B275" s="19"/>
      <x:c r="C275" s="19"/>
      <x:c r="D275" s="62"/>
      <x:c r="E275" s="25"/>
      <x:c r="F275" s="19"/>
      <x:c r="G275" s="19"/>
      <x:c r="H275" s="26"/>
      <x:c r="I275" s="19"/>
      <x:c r="J275" s="19"/>
    </x:row>
    <x:row r="276">
      <x:c r="A276" s="19"/>
      <x:c r="B276" s="19"/>
      <x:c r="C276" s="19"/>
      <x:c r="D276" s="62"/>
      <x:c r="E276" s="25"/>
      <x:c r="F276" s="19"/>
      <x:c r="G276" s="19"/>
      <x:c r="H276" s="26"/>
      <x:c r="I276" s="19"/>
      <x:c r="J276" s="19"/>
    </x:row>
    <x:row r="277">
      <x:c r="A277" s="19"/>
      <x:c r="B277" s="19"/>
      <x:c r="C277" s="19"/>
      <x:c r="D277" s="62"/>
      <x:c r="E277" s="25"/>
      <x:c r="F277" s="19"/>
      <x:c r="G277" s="19"/>
      <x:c r="H277" s="26"/>
      <x:c r="I277" s="19"/>
      <x:c r="J277" s="19"/>
    </x:row>
    <x:row r="278">
      <x:c r="A278" s="19"/>
      <x:c r="B278" s="19"/>
      <x:c r="C278" s="19"/>
      <x:c r="D278" s="62"/>
      <x:c r="E278" s="25"/>
      <x:c r="F278" s="19"/>
      <x:c r="G278" s="19"/>
      <x:c r="H278" s="26"/>
      <x:c r="I278" s="19"/>
      <x:c r="J278" s="19"/>
    </x:row>
    <x:row r="279">
      <x:c r="A279" s="19"/>
      <x:c r="B279" s="19"/>
      <x:c r="C279" s="19"/>
      <x:c r="D279" s="62"/>
      <x:c r="E279" s="25"/>
      <x:c r="F279" s="19"/>
      <x:c r="G279" s="19"/>
      <x:c r="H279" s="26"/>
      <x:c r="I279" s="19"/>
      <x:c r="J279" s="19"/>
    </x:row>
    <x:row r="280">
      <x:c r="A280" s="19"/>
      <x:c r="B280" s="19"/>
      <x:c r="C280" s="19"/>
      <x:c r="D280" s="62"/>
      <x:c r="E280" s="25"/>
      <x:c r="F280" s="19"/>
      <x:c r="G280" s="19"/>
      <x:c r="H280" s="26"/>
      <x:c r="I280" s="19"/>
      <x:c r="J280" s="19"/>
    </x:row>
    <x:row r="281">
      <x:c r="A281" s="19"/>
      <x:c r="B281" s="19"/>
      <x:c r="C281" s="19"/>
      <x:c r="D281" s="62"/>
      <x:c r="E281" s="25"/>
      <x:c r="F281" s="19"/>
      <x:c r="G281" s="19"/>
      <x:c r="H281" s="26"/>
      <x:c r="I281" s="19"/>
      <x:c r="J281" s="19"/>
    </x:row>
    <x:row r="282">
      <x:c r="A282" s="19"/>
      <x:c r="B282" s="19"/>
      <x:c r="C282" s="19"/>
      <x:c r="D282" s="62"/>
      <x:c r="E282" s="25"/>
      <x:c r="F282" s="19"/>
      <x:c r="G282" s="19"/>
      <x:c r="H282" s="26"/>
      <x:c r="I282" s="19"/>
      <x:c r="J282" s="19"/>
    </x:row>
    <x:row r="283">
      <x:c r="A283" s="19"/>
      <x:c r="B283" s="19"/>
      <x:c r="C283" s="19"/>
      <x:c r="D283" s="62"/>
      <x:c r="E283" s="25"/>
      <x:c r="F283" s="19"/>
      <x:c r="G283" s="19"/>
      <x:c r="H283" s="26"/>
      <x:c r="I283" s="19"/>
      <x:c r="J283" s="19"/>
    </x:row>
    <x:row r="284">
      <x:c r="A284" s="19"/>
      <x:c r="B284" s="19"/>
      <x:c r="C284" s="19"/>
      <x:c r="D284" s="62"/>
      <x:c r="E284" s="25"/>
      <x:c r="F284" s="19"/>
      <x:c r="G284" s="19"/>
      <x:c r="H284" s="26"/>
      <x:c r="I284" s="19"/>
      <x:c r="J284" s="19"/>
    </x:row>
    <x:row r="285">
      <x:c r="A285" s="19"/>
      <x:c r="B285" s="19"/>
      <x:c r="C285" s="19"/>
      <x:c r="D285" s="62"/>
      <x:c r="E285" s="25"/>
      <x:c r="F285" s="19"/>
      <x:c r="G285" s="19"/>
      <x:c r="H285" s="26"/>
      <x:c r="I285" s="19"/>
      <x:c r="J285" s="19"/>
    </x:row>
    <x:row r="286">
      <x:c r="A286" s="19"/>
      <x:c r="B286" s="19"/>
      <x:c r="C286" s="19"/>
      <x:c r="D286" s="62"/>
      <x:c r="E286" s="25"/>
      <x:c r="F286" s="19"/>
      <x:c r="G286" s="19"/>
      <x:c r="H286" s="26"/>
      <x:c r="I286" s="19"/>
      <x:c r="J286" s="19"/>
    </x:row>
    <x:row r="287">
      <x:c r="A287" s="19"/>
      <x:c r="B287" s="19"/>
      <x:c r="C287" s="19"/>
      <x:c r="D287" s="62"/>
      <x:c r="E287" s="25"/>
      <x:c r="F287" s="19"/>
      <x:c r="G287" s="19"/>
      <x:c r="H287" s="26"/>
      <x:c r="I287" s="19"/>
      <x:c r="J287" s="19"/>
    </x:row>
    <x:row r="288">
      <x:c r="A288" s="19"/>
      <x:c r="B288" s="19"/>
      <x:c r="C288" s="19"/>
      <x:c r="D288" s="62"/>
      <x:c r="E288" s="25"/>
      <x:c r="F288" s="19"/>
      <x:c r="G288" s="19"/>
      <x:c r="H288" s="26"/>
      <x:c r="I288" s="19"/>
      <x:c r="J288" s="19"/>
    </x:row>
    <x:row r="289">
      <x:c r="A289" s="19"/>
      <x:c r="B289" s="19"/>
      <x:c r="C289" s="19"/>
      <x:c r="D289" s="62"/>
      <x:c r="E289" s="25"/>
      <x:c r="F289" s="19"/>
      <x:c r="G289" s="19"/>
      <x:c r="H289" s="26"/>
      <x:c r="I289" s="19"/>
      <x:c r="J289" s="19"/>
    </x:row>
    <x:row r="290">
      <x:c r="A290" s="19"/>
      <x:c r="B290" s="19"/>
      <x:c r="C290" s="19"/>
      <x:c r="D290" s="62"/>
      <x:c r="E290" s="25"/>
      <x:c r="F290" s="19"/>
      <x:c r="G290" s="19"/>
      <x:c r="H290" s="26"/>
      <x:c r="I290" s="19"/>
      <x:c r="J290" s="19"/>
    </x:row>
    <x:row r="291">
      <x:c r="A291" s="19"/>
      <x:c r="B291" s="19"/>
      <x:c r="C291" s="19"/>
      <x:c r="D291" s="62"/>
      <x:c r="E291" s="25"/>
      <x:c r="F291" s="19"/>
      <x:c r="G291" s="19"/>
      <x:c r="H291" s="26"/>
      <x:c r="I291" s="19"/>
      <x:c r="J291" s="19"/>
    </x:row>
    <x:row r="292">
      <x:c r="A292" s="19"/>
      <x:c r="B292" s="19"/>
      <x:c r="C292" s="19"/>
      <x:c r="D292" s="62"/>
      <x:c r="E292" s="25"/>
      <x:c r="F292" s="19"/>
      <x:c r="G292" s="19"/>
      <x:c r="H292" s="26"/>
      <x:c r="I292" s="19"/>
      <x:c r="J292" s="19"/>
    </x:row>
    <x:row r="293">
      <x:c r="A293" s="19"/>
      <x:c r="B293" s="19"/>
      <x:c r="C293" s="19"/>
      <x:c r="D293" s="62"/>
      <x:c r="E293" s="25"/>
      <x:c r="F293" s="19"/>
      <x:c r="G293" s="19"/>
      <x:c r="H293" s="26"/>
      <x:c r="I293" s="19"/>
      <x:c r="J293" s="19"/>
    </x:row>
    <x:row r="294">
      <x:c r="A294" s="19"/>
      <x:c r="B294" s="19"/>
      <x:c r="C294" s="19"/>
      <x:c r="D294" s="62"/>
      <x:c r="E294" s="25"/>
      <x:c r="F294" s="19"/>
      <x:c r="G294" s="19"/>
      <x:c r="H294" s="26"/>
      <x:c r="I294" s="19"/>
      <x:c r="J294" s="19"/>
    </x:row>
    <x:row r="295">
      <x:c r="A295" s="19"/>
      <x:c r="B295" s="19"/>
      <x:c r="C295" s="19"/>
      <x:c r="D295" s="62"/>
      <x:c r="E295" s="25"/>
      <x:c r="F295" s="19"/>
      <x:c r="G295" s="19"/>
      <x:c r="H295" s="26"/>
      <x:c r="I295" s="19"/>
      <x:c r="J295" s="19"/>
    </x:row>
    <x:row r="296">
      <x:c r="A296" s="19"/>
      <x:c r="B296" s="19"/>
      <x:c r="C296" s="19"/>
      <x:c r="D296" s="62"/>
      <x:c r="E296" s="25"/>
      <x:c r="F296" s="19"/>
      <x:c r="G296" s="19"/>
      <x:c r="H296" s="26"/>
      <x:c r="I296" s="19"/>
      <x:c r="J296" s="19"/>
    </x:row>
    <x:row r="297">
      <x:c r="A297" s="19"/>
      <x:c r="B297" s="19"/>
      <x:c r="C297" s="19"/>
      <x:c r="D297" s="62"/>
      <x:c r="E297" s="25"/>
      <x:c r="F297" s="19"/>
      <x:c r="G297" s="19"/>
      <x:c r="H297" s="26"/>
      <x:c r="I297" s="19"/>
      <x:c r="J297" s="19"/>
    </x:row>
    <x:row r="298">
      <x:c r="A298" s="19"/>
      <x:c r="B298" s="19"/>
      <x:c r="C298" s="19"/>
      <x:c r="D298" s="62"/>
      <x:c r="E298" s="25"/>
      <x:c r="F298" s="19"/>
      <x:c r="G298" s="19"/>
      <x:c r="H298" s="26"/>
      <x:c r="I298" s="19"/>
      <x:c r="J298" s="19"/>
    </x:row>
    <x:row r="299">
      <x:c r="A299" s="19"/>
      <x:c r="B299" s="19"/>
      <x:c r="C299" s="19"/>
      <x:c r="D299" s="62"/>
      <x:c r="E299" s="25"/>
      <x:c r="F299" s="19"/>
      <x:c r="G299" s="19"/>
      <x:c r="H299" s="26"/>
      <x:c r="I299" s="19"/>
      <x:c r="J299" s="19"/>
    </x:row>
    <x:row r="300">
      <x:c r="A300" s="19"/>
      <x:c r="B300" s="19"/>
      <x:c r="C300" s="19"/>
      <x:c r="D300" s="62"/>
      <x:c r="E300" s="25"/>
      <x:c r="F300" s="19"/>
      <x:c r="G300" s="19"/>
      <x:c r="H300" s="26"/>
      <x:c r="I300" s="19"/>
      <x:c r="J300" s="19"/>
    </x:row>
    <x:row r="301">
      <x:c r="A301" s="19"/>
      <x:c r="B301" s="19"/>
      <x:c r="C301" s="19"/>
      <x:c r="D301" s="62"/>
      <x:c r="E301" s="25"/>
      <x:c r="F301" s="19"/>
      <x:c r="G301" s="19"/>
      <x:c r="H301" s="26"/>
      <x:c r="I301" s="19"/>
      <x:c r="J301" s="19"/>
    </x:row>
    <x:row r="302">
      <x:c r="A302" s="19"/>
      <x:c r="B302" s="19"/>
      <x:c r="C302" s="19"/>
      <x:c r="D302" s="62"/>
      <x:c r="E302" s="25"/>
      <x:c r="F302" s="19"/>
      <x:c r="G302" s="19"/>
      <x:c r="H302" s="26"/>
      <x:c r="I302" s="19"/>
      <x:c r="J302" s="19"/>
    </x:row>
    <x:row r="303">
      <x:c r="A303" s="19"/>
      <x:c r="B303" s="19"/>
      <x:c r="C303" s="19"/>
      <x:c r="D303" s="62"/>
      <x:c r="E303" s="25"/>
      <x:c r="F303" s="19"/>
      <x:c r="G303" s="19"/>
      <x:c r="H303" s="26"/>
      <x:c r="I303" s="19"/>
      <x:c r="J303" s="19"/>
    </x:row>
    <x:row r="304">
      <x:c r="A304" s="19"/>
      <x:c r="B304" s="19"/>
      <x:c r="C304" s="19"/>
      <x:c r="D304" s="62"/>
      <x:c r="E304" s="25"/>
      <x:c r="F304" s="19"/>
      <x:c r="G304" s="19"/>
      <x:c r="H304" s="26"/>
      <x:c r="I304" s="19"/>
      <x:c r="J304" s="19"/>
    </x:row>
    <x:row r="305">
      <x:c r="A305" s="19"/>
      <x:c r="B305" s="19"/>
      <x:c r="C305" s="19"/>
      <x:c r="D305" s="62"/>
      <x:c r="E305" s="25"/>
      <x:c r="F305" s="19"/>
      <x:c r="G305" s="19"/>
      <x:c r="H305" s="26"/>
      <x:c r="I305" s="19"/>
      <x:c r="J305" s="19"/>
    </x:row>
    <x:row r="306">
      <x:c r="A306" s="19"/>
      <x:c r="B306" s="19"/>
      <x:c r="C306" s="19"/>
      <x:c r="D306" s="62"/>
      <x:c r="E306" s="25"/>
      <x:c r="F306" s="19"/>
      <x:c r="G306" s="19"/>
      <x:c r="H306" s="26"/>
      <x:c r="I306" s="19"/>
      <x:c r="J306" s="19"/>
    </x:row>
    <x:row r="307">
      <x:c r="A307" s="19"/>
      <x:c r="B307" s="19"/>
      <x:c r="C307" s="19"/>
      <x:c r="D307" s="62"/>
      <x:c r="E307" s="25"/>
      <x:c r="F307" s="19"/>
      <x:c r="G307" s="19"/>
      <x:c r="H307" s="26"/>
      <x:c r="I307" s="19"/>
      <x:c r="J307" s="19"/>
    </x:row>
    <x:row r="308">
      <x:c r="A308" s="19"/>
      <x:c r="B308" s="19"/>
      <x:c r="C308" s="19"/>
      <x:c r="D308" s="62"/>
      <x:c r="E308" s="25"/>
      <x:c r="F308" s="19"/>
      <x:c r="G308" s="19"/>
      <x:c r="H308" s="26"/>
      <x:c r="I308" s="19"/>
      <x:c r="J308" s="19"/>
    </x:row>
    <x:row r="309">
      <x:c r="A309" s="19"/>
      <x:c r="B309" s="19"/>
      <x:c r="C309" s="19"/>
      <x:c r="D309" s="62"/>
      <x:c r="E309" s="25"/>
      <x:c r="F309" s="19"/>
      <x:c r="G309" s="19"/>
      <x:c r="H309" s="26"/>
      <x:c r="I309" s="19"/>
      <x:c r="J309" s="19"/>
    </x:row>
    <x:row r="310">
      <x:c r="A310" s="19"/>
      <x:c r="B310" s="19"/>
      <x:c r="C310" s="19"/>
      <x:c r="D310" s="62"/>
      <x:c r="E310" s="25"/>
      <x:c r="F310" s="19"/>
      <x:c r="G310" s="19"/>
      <x:c r="H310" s="26"/>
      <x:c r="I310" s="19"/>
      <x:c r="J310" s="19"/>
    </x:row>
    <x:row r="311">
      <x:c r="A311" s="19"/>
      <x:c r="B311" s="19"/>
      <x:c r="C311" s="19"/>
      <x:c r="D311" s="62"/>
      <x:c r="E311" s="25"/>
      <x:c r="F311" s="19"/>
      <x:c r="G311" s="19"/>
      <x:c r="H311" s="26"/>
      <x:c r="I311" s="19"/>
      <x:c r="J311" s="19"/>
    </x:row>
    <x:row r="312">
      <x:c r="A312" s="19"/>
      <x:c r="B312" s="19"/>
      <x:c r="C312" s="19"/>
      <x:c r="D312" s="62"/>
      <x:c r="E312" s="25"/>
      <x:c r="F312" s="19"/>
      <x:c r="G312" s="19"/>
      <x:c r="H312" s="26"/>
      <x:c r="I312" s="19"/>
      <x:c r="J312" s="19"/>
    </x:row>
    <x:row r="313">
      <x:c r="A313" s="19"/>
      <x:c r="B313" s="19"/>
      <x:c r="C313" s="19"/>
      <x:c r="D313" s="62"/>
      <x:c r="E313" s="25"/>
      <x:c r="F313" s="19"/>
      <x:c r="G313" s="19"/>
      <x:c r="H313" s="26"/>
      <x:c r="I313" s="19"/>
      <x:c r="J313" s="19"/>
    </x:row>
    <x:row r="314">
      <x:c r="A314" s="19"/>
      <x:c r="B314" s="19"/>
      <x:c r="C314" s="19"/>
      <x:c r="D314" s="62"/>
      <x:c r="E314" s="25"/>
      <x:c r="F314" s="19"/>
      <x:c r="G314" s="19"/>
      <x:c r="H314" s="26"/>
      <x:c r="I314" s="19"/>
      <x:c r="J314" s="19"/>
    </x:row>
    <x:row r="315">
      <x:c r="A315" s="19"/>
      <x:c r="B315" s="19"/>
      <x:c r="C315" s="19"/>
      <x:c r="D315" s="62"/>
      <x:c r="E315" s="25"/>
      <x:c r="F315" s="19"/>
      <x:c r="G315" s="19"/>
      <x:c r="H315" s="26"/>
      <x:c r="I315" s="19"/>
      <x:c r="J315" s="19"/>
    </x:row>
    <x:row r="316">
      <x:c r="A316" s="19"/>
      <x:c r="B316" s="19"/>
      <x:c r="C316" s="19"/>
      <x:c r="D316" s="62"/>
      <x:c r="E316" s="25"/>
      <x:c r="F316" s="19"/>
      <x:c r="G316" s="19"/>
      <x:c r="H316" s="26"/>
      <x:c r="I316" s="19"/>
      <x:c r="J316" s="19"/>
    </x:row>
    <x:row r="317">
      <x:c r="A317" s="19"/>
      <x:c r="B317" s="19"/>
      <x:c r="C317" s="19"/>
      <x:c r="D317" s="62"/>
      <x:c r="E317" s="25"/>
      <x:c r="F317" s="19"/>
      <x:c r="G317" s="19"/>
      <x:c r="H317" s="26"/>
      <x:c r="I317" s="19"/>
      <x:c r="J317" s="19"/>
    </x:row>
    <x:row r="318">
      <x:c r="A318" s="19"/>
      <x:c r="B318" s="19"/>
      <x:c r="C318" s="19"/>
      <x:c r="D318" s="62"/>
      <x:c r="E318" s="25"/>
      <x:c r="F318" s="19"/>
      <x:c r="G318" s="19"/>
      <x:c r="H318" s="26"/>
      <x:c r="I318" s="19"/>
      <x:c r="J318" s="19"/>
    </x:row>
    <x:row r="319">
      <x:c r="A319" s="19"/>
      <x:c r="B319" s="19"/>
      <x:c r="C319" s="19"/>
      <x:c r="D319" s="62"/>
      <x:c r="E319" s="25"/>
      <x:c r="F319" s="19"/>
      <x:c r="G319" s="19"/>
      <x:c r="H319" s="26"/>
      <x:c r="I319" s="19"/>
      <x:c r="J319" s="19"/>
    </x:row>
    <x:row r="320">
      <x:c r="A320" s="19"/>
      <x:c r="B320" s="19"/>
      <x:c r="C320" s="19"/>
      <x:c r="D320" s="62"/>
      <x:c r="E320" s="25"/>
      <x:c r="F320" s="19"/>
      <x:c r="G320" s="19"/>
      <x:c r="H320" s="26"/>
      <x:c r="I320" s="19"/>
      <x:c r="J320" s="19"/>
    </x:row>
    <x:row r="321">
      <x:c r="A321" s="19"/>
      <x:c r="B321" s="19"/>
      <x:c r="C321" s="19"/>
      <x:c r="D321" s="62"/>
      <x:c r="E321" s="25"/>
      <x:c r="F321" s="19"/>
      <x:c r="G321" s="19"/>
      <x:c r="H321" s="26"/>
      <x:c r="I321" s="19"/>
      <x:c r="J321" s="19"/>
    </x:row>
    <x:row r="322">
      <x:c r="A322" s="19"/>
      <x:c r="B322" s="19"/>
      <x:c r="C322" s="19"/>
      <x:c r="D322" s="62"/>
      <x:c r="E322" s="25"/>
      <x:c r="F322" s="19"/>
      <x:c r="G322" s="19"/>
      <x:c r="H322" s="26"/>
      <x:c r="I322" s="19"/>
      <x:c r="J322" s="19"/>
    </x:row>
    <x:row r="323">
      <x:c r="A323" s="19"/>
      <x:c r="B323" s="19"/>
      <x:c r="C323" s="19"/>
      <x:c r="D323" s="62"/>
      <x:c r="E323" s="25"/>
      <x:c r="F323" s="19"/>
      <x:c r="G323" s="19"/>
      <x:c r="H323" s="26"/>
      <x:c r="I323" s="19"/>
      <x:c r="J323" s="19"/>
    </x:row>
    <x:row r="324">
      <x:c r="A324" s="19"/>
      <x:c r="B324" s="19"/>
      <x:c r="C324" s="19"/>
      <x:c r="D324" s="62"/>
      <x:c r="E324" s="25"/>
      <x:c r="F324" s="19"/>
      <x:c r="G324" s="19"/>
      <x:c r="H324" s="26"/>
      <x:c r="I324" s="19"/>
      <x:c r="J324" s="19"/>
    </x:row>
    <x:row r="325">
      <x:c r="A325" s="19"/>
      <x:c r="B325" s="19"/>
      <x:c r="C325" s="19"/>
      <x:c r="D325" s="62"/>
      <x:c r="E325" s="25"/>
      <x:c r="F325" s="19"/>
      <x:c r="G325" s="19"/>
      <x:c r="H325" s="26"/>
      <x:c r="I325" s="19"/>
      <x:c r="J325" s="19"/>
    </x:row>
    <x:row r="326">
      <x:c r="A326" s="19"/>
      <x:c r="B326" s="19"/>
      <x:c r="C326" s="19"/>
      <x:c r="D326" s="62"/>
      <x:c r="E326" s="25"/>
      <x:c r="F326" s="19"/>
      <x:c r="G326" s="19"/>
      <x:c r="H326" s="26"/>
      <x:c r="I326" s="19"/>
      <x:c r="J326" s="19"/>
    </x:row>
    <x:row r="327">
      <x:c r="A327" s="19"/>
      <x:c r="B327" s="19"/>
      <x:c r="C327" s="19"/>
      <x:c r="D327" s="62"/>
      <x:c r="E327" s="25"/>
      <x:c r="F327" s="19"/>
      <x:c r="G327" s="19"/>
      <x:c r="H327" s="26"/>
      <x:c r="I327" s="19"/>
      <x:c r="J327" s="19"/>
    </x:row>
    <x:row r="328">
      <x:c r="A328" s="19"/>
      <x:c r="B328" s="19"/>
      <x:c r="C328" s="19"/>
      <x:c r="D328" s="62"/>
      <x:c r="E328" s="25"/>
      <x:c r="F328" s="19"/>
      <x:c r="G328" s="19"/>
      <x:c r="H328" s="26"/>
      <x:c r="I328" s="19"/>
      <x:c r="J328" s="19"/>
    </x:row>
    <x:row r="329">
      <x:c r="A329" s="19"/>
      <x:c r="B329" s="19"/>
      <x:c r="C329" s="19"/>
      <x:c r="D329" s="62"/>
      <x:c r="E329" s="25"/>
      <x:c r="F329" s="19"/>
      <x:c r="G329" s="19"/>
      <x:c r="H329" s="26"/>
      <x:c r="I329" s="19"/>
      <x:c r="J329" s="19"/>
    </x:row>
    <x:row r="330">
      <x:c r="A330" s="19"/>
      <x:c r="B330" s="19"/>
      <x:c r="C330" s="19"/>
      <x:c r="D330" s="62"/>
      <x:c r="E330" s="25"/>
      <x:c r="F330" s="19"/>
      <x:c r="G330" s="19"/>
      <x:c r="H330" s="26"/>
      <x:c r="I330" s="19"/>
      <x:c r="J330" s="19"/>
    </x:row>
    <x:row r="331">
      <x:c r="A331" s="19"/>
      <x:c r="B331" s="19"/>
      <x:c r="C331" s="19"/>
      <x:c r="D331" s="62"/>
      <x:c r="E331" s="25"/>
      <x:c r="F331" s="19"/>
      <x:c r="G331" s="19"/>
      <x:c r="H331" s="26"/>
      <x:c r="I331" s="19"/>
      <x:c r="J331" s="19"/>
    </x:row>
    <x:row r="332">
      <x:c r="A332" s="19"/>
      <x:c r="B332" s="19"/>
      <x:c r="C332" s="19"/>
      <x:c r="D332" s="62"/>
      <x:c r="E332" s="25"/>
      <x:c r="F332" s="19"/>
      <x:c r="G332" s="19"/>
      <x:c r="H332" s="26"/>
      <x:c r="I332" s="19"/>
      <x:c r="J332" s="19"/>
    </x:row>
    <x:row r="333">
      <x:c r="A333" s="19"/>
      <x:c r="B333" s="19"/>
      <x:c r="C333" s="19"/>
      <x:c r="D333" s="62"/>
      <x:c r="E333" s="25"/>
      <x:c r="F333" s="19"/>
      <x:c r="G333" s="19"/>
      <x:c r="H333" s="26"/>
      <x:c r="I333" s="19"/>
      <x:c r="J333" s="19"/>
    </x:row>
    <x:row r="334">
      <x:c r="A334" s="19"/>
      <x:c r="B334" s="19"/>
      <x:c r="C334" s="19"/>
      <x:c r="D334" s="62"/>
      <x:c r="E334" s="25"/>
      <x:c r="F334" s="19"/>
      <x:c r="G334" s="19"/>
      <x:c r="H334" s="26"/>
      <x:c r="I334" s="19"/>
      <x:c r="J334" s="19"/>
    </x:row>
    <x:row r="335">
      <x:c r="A335" s="19"/>
      <x:c r="B335" s="19"/>
      <x:c r="C335" s="19"/>
      <x:c r="D335" s="62"/>
      <x:c r="E335" s="25"/>
      <x:c r="F335" s="19"/>
      <x:c r="G335" s="19"/>
      <x:c r="H335" s="26"/>
      <x:c r="I335" s="19"/>
      <x:c r="J335" s="19"/>
    </x:row>
    <x:row r="336">
      <x:c r="A336" s="19"/>
      <x:c r="B336" s="19"/>
      <x:c r="C336" s="19"/>
      <x:c r="D336" s="62"/>
      <x:c r="E336" s="25"/>
      <x:c r="F336" s="19"/>
      <x:c r="G336" s="19"/>
      <x:c r="H336" s="26"/>
      <x:c r="I336" s="19"/>
      <x:c r="J336" s="19"/>
    </x:row>
    <x:row r="337">
      <x:c r="A337" s="19"/>
      <x:c r="B337" s="19"/>
      <x:c r="C337" s="19"/>
      <x:c r="D337" s="62"/>
      <x:c r="E337" s="25"/>
      <x:c r="F337" s="19"/>
      <x:c r="G337" s="19"/>
      <x:c r="H337" s="26"/>
      <x:c r="I337" s="19"/>
      <x:c r="J337" s="19"/>
    </x:row>
    <x:row r="338">
      <x:c r="A338" s="19"/>
      <x:c r="B338" s="19"/>
      <x:c r="C338" s="19"/>
      <x:c r="D338" s="62"/>
      <x:c r="E338" s="25"/>
      <x:c r="F338" s="19"/>
      <x:c r="G338" s="19"/>
      <x:c r="H338" s="26"/>
      <x:c r="I338" s="19"/>
      <x:c r="J338" s="19"/>
    </x:row>
    <x:row r="339">
      <x:c r="A339" s="19"/>
      <x:c r="B339" s="19"/>
      <x:c r="C339" s="19"/>
      <x:c r="D339" s="62"/>
      <x:c r="E339" s="25"/>
      <x:c r="F339" s="19"/>
      <x:c r="G339" s="19"/>
      <x:c r="H339" s="26"/>
      <x:c r="I339" s="19"/>
      <x:c r="J339" s="19"/>
    </x:row>
    <x:row r="340">
      <x:c r="A340" s="19"/>
      <x:c r="B340" s="19"/>
      <x:c r="C340" s="19"/>
      <x:c r="D340" s="62"/>
      <x:c r="E340" s="25"/>
      <x:c r="F340" s="19"/>
      <x:c r="G340" s="19"/>
      <x:c r="H340" s="26"/>
      <x:c r="I340" s="19"/>
      <x:c r="J340" s="19"/>
    </x:row>
    <x:row r="341">
      <x:c r="A341" s="19"/>
      <x:c r="B341" s="19"/>
      <x:c r="C341" s="19"/>
      <x:c r="D341" s="62"/>
      <x:c r="E341" s="25"/>
      <x:c r="F341" s="19"/>
      <x:c r="G341" s="19"/>
      <x:c r="H341" s="26"/>
      <x:c r="I341" s="19"/>
      <x:c r="J341" s="19"/>
    </x:row>
    <x:row r="342">
      <x:c r="A342" s="19"/>
      <x:c r="B342" s="19"/>
      <x:c r="C342" s="19"/>
      <x:c r="D342" s="62"/>
      <x:c r="E342" s="25"/>
      <x:c r="F342" s="19"/>
      <x:c r="G342" s="19"/>
      <x:c r="H342" s="26"/>
      <x:c r="I342" s="19"/>
      <x:c r="J342" s="19"/>
    </x:row>
    <x:row r="343">
      <x:c r="A343" s="19"/>
      <x:c r="B343" s="19"/>
      <x:c r="C343" s="19"/>
      <x:c r="D343" s="62"/>
      <x:c r="E343" s="25"/>
      <x:c r="F343" s="19"/>
      <x:c r="G343" s="19"/>
      <x:c r="H343" s="26"/>
      <x:c r="I343" s="19"/>
      <x:c r="J343" s="19"/>
    </x:row>
    <x:row r="344">
      <x:c r="A344" s="19"/>
      <x:c r="B344" s="19"/>
      <x:c r="C344" s="19"/>
      <x:c r="D344" s="62"/>
      <x:c r="E344" s="25"/>
      <x:c r="F344" s="19"/>
      <x:c r="G344" s="19"/>
      <x:c r="H344" s="26"/>
      <x:c r="I344" s="19"/>
      <x:c r="J344" s="19"/>
    </x:row>
    <x:row r="345">
      <x:c r="A345" s="19"/>
      <x:c r="B345" s="19"/>
      <x:c r="C345" s="19"/>
      <x:c r="D345" s="62"/>
      <x:c r="E345" s="25"/>
      <x:c r="F345" s="19"/>
      <x:c r="G345" s="19"/>
      <x:c r="H345" s="26"/>
      <x:c r="I345" s="19"/>
      <x:c r="J345" s="19"/>
    </x:row>
    <x:row r="346">
      <x:c r="A346" s="19"/>
      <x:c r="B346" s="19"/>
      <x:c r="C346" s="19"/>
      <x:c r="D346" s="62"/>
      <x:c r="E346" s="25"/>
      <x:c r="F346" s="19"/>
      <x:c r="G346" s="19"/>
      <x:c r="H346" s="26"/>
      <x:c r="I346" s="19"/>
      <x:c r="J346" s="19"/>
    </x:row>
    <x:row r="347">
      <x:c r="A347" s="19"/>
      <x:c r="B347" s="19"/>
      <x:c r="C347" s="19"/>
      <x:c r="D347" s="62"/>
      <x:c r="E347" s="25"/>
      <x:c r="F347" s="19"/>
      <x:c r="G347" s="19"/>
      <x:c r="H347" s="26"/>
      <x:c r="I347" s="19"/>
      <x:c r="J347" s="19"/>
    </x:row>
    <x:row r="348">
      <x:c r="A348" s="19"/>
      <x:c r="B348" s="19"/>
      <x:c r="C348" s="19"/>
      <x:c r="D348" s="62"/>
      <x:c r="E348" s="25"/>
      <x:c r="F348" s="19"/>
      <x:c r="G348" s="19"/>
      <x:c r="H348" s="26"/>
      <x:c r="I348" s="19"/>
      <x:c r="J348" s="19"/>
    </x:row>
    <x:row r="349">
      <x:c r="A349" s="19"/>
      <x:c r="B349" s="19"/>
      <x:c r="C349" s="19"/>
      <x:c r="D349" s="62"/>
      <x:c r="E349" s="25"/>
      <x:c r="F349" s="19"/>
      <x:c r="G349" s="19"/>
      <x:c r="H349" s="26"/>
      <x:c r="I349" s="19"/>
      <x:c r="J349" s="19"/>
    </x:row>
    <x:row r="350">
      <x:c r="A350" s="19"/>
      <x:c r="B350" s="19"/>
      <x:c r="C350" s="19"/>
      <x:c r="D350" s="62"/>
      <x:c r="E350" s="25"/>
      <x:c r="F350" s="19"/>
      <x:c r="G350" s="19"/>
      <x:c r="H350" s="26"/>
      <x:c r="I350" s="19"/>
      <x:c r="J350" s="19"/>
    </x:row>
    <x:row r="351">
      <x:c r="A351" s="19"/>
      <x:c r="B351" s="19"/>
      <x:c r="C351" s="19"/>
      <x:c r="D351" s="62"/>
      <x:c r="E351" s="25"/>
      <x:c r="F351" s="19"/>
      <x:c r="G351" s="19"/>
      <x:c r="H351" s="26"/>
      <x:c r="I351" s="19"/>
      <x:c r="J351" s="19"/>
    </x:row>
    <x:row r="352">
      <x:c r="A352" s="19"/>
      <x:c r="B352" s="19"/>
      <x:c r="C352" s="19"/>
      <x:c r="D352" s="62"/>
      <x:c r="E352" s="25"/>
      <x:c r="F352" s="19"/>
      <x:c r="G352" s="19"/>
      <x:c r="H352" s="26"/>
      <x:c r="I352" s="19"/>
      <x:c r="J352" s="19"/>
    </x:row>
    <x:row r="353">
      <x:c r="A353" s="19"/>
      <x:c r="B353" s="19"/>
      <x:c r="C353" s="19"/>
      <x:c r="D353" s="62"/>
      <x:c r="E353" s="25"/>
      <x:c r="F353" s="19"/>
      <x:c r="G353" s="19"/>
      <x:c r="H353" s="26"/>
      <x:c r="I353" s="19"/>
      <x:c r="J353" s="19"/>
    </x:row>
    <x:row r="354">
      <x:c r="A354" s="19"/>
      <x:c r="B354" s="19"/>
      <x:c r="C354" s="19"/>
      <x:c r="D354" s="62"/>
      <x:c r="E354" s="25"/>
      <x:c r="F354" s="19"/>
      <x:c r="G354" s="19"/>
      <x:c r="H354" s="26"/>
      <x:c r="I354" s="19"/>
      <x:c r="J354" s="19"/>
    </x:row>
    <x:row r="355">
      <x:c r="A355" s="19"/>
      <x:c r="B355" s="19"/>
      <x:c r="C355" s="19"/>
      <x:c r="D355" s="62"/>
      <x:c r="E355" s="25"/>
      <x:c r="F355" s="19"/>
      <x:c r="G355" s="19"/>
      <x:c r="H355" s="26"/>
      <x:c r="I355" s="19"/>
      <x:c r="J355" s="19"/>
    </x:row>
    <x:row r="356">
      <x:c r="A356" s="19"/>
      <x:c r="B356" s="19"/>
      <x:c r="C356" s="19"/>
      <x:c r="D356" s="62"/>
      <x:c r="E356" s="25"/>
      <x:c r="F356" s="19"/>
      <x:c r="G356" s="19"/>
      <x:c r="H356" s="26"/>
      <x:c r="I356" s="19"/>
      <x:c r="J356" s="19"/>
    </x:row>
    <x:row r="357">
      <x:c r="A357" s="19"/>
      <x:c r="B357" s="19"/>
      <x:c r="C357" s="19"/>
      <x:c r="D357" s="62"/>
      <x:c r="E357" s="25"/>
      <x:c r="F357" s="19"/>
      <x:c r="G357" s="19"/>
      <x:c r="H357" s="26"/>
      <x:c r="I357" s="19"/>
      <x:c r="J357" s="19"/>
    </x:row>
    <x:row r="358">
      <x:c r="A358" s="19"/>
      <x:c r="B358" s="19"/>
      <x:c r="C358" s="19"/>
      <x:c r="D358" s="62"/>
      <x:c r="E358" s="25"/>
      <x:c r="F358" s="19"/>
      <x:c r="G358" s="19"/>
      <x:c r="H358" s="26"/>
      <x:c r="I358" s="19"/>
      <x:c r="J358" s="19"/>
    </x:row>
    <x:row r="359">
      <x:c r="A359" s="19"/>
      <x:c r="B359" s="19"/>
      <x:c r="C359" s="19"/>
      <x:c r="D359" s="62"/>
      <x:c r="E359" s="25"/>
      <x:c r="F359" s="19"/>
      <x:c r="G359" s="19"/>
      <x:c r="H359" s="26"/>
      <x:c r="I359" s="19"/>
      <x:c r="J359" s="19"/>
    </x:row>
    <x:row r="360">
      <x:c r="A360" s="19"/>
      <x:c r="B360" s="19"/>
      <x:c r="C360" s="19"/>
      <x:c r="D360" s="62"/>
      <x:c r="E360" s="25"/>
      <x:c r="F360" s="19"/>
      <x:c r="G360" s="19"/>
      <x:c r="H360" s="26"/>
      <x:c r="I360" s="19"/>
      <x:c r="J360" s="19"/>
    </x:row>
    <x:row r="361">
      <x:c r="A361" s="19"/>
      <x:c r="B361" s="19"/>
      <x:c r="C361" s="19"/>
      <x:c r="D361" s="62"/>
      <x:c r="E361" s="25"/>
      <x:c r="F361" s="19"/>
      <x:c r="G361" s="19"/>
      <x:c r="H361" s="26"/>
      <x:c r="I361" s="19"/>
      <x:c r="J361" s="19"/>
    </x:row>
    <x:row r="362">
      <x:c r="A362" s="19"/>
      <x:c r="B362" s="19"/>
      <x:c r="C362" s="19"/>
      <x:c r="D362" s="62"/>
      <x:c r="E362" s="25"/>
      <x:c r="F362" s="19"/>
      <x:c r="G362" s="19"/>
      <x:c r="H362" s="26"/>
      <x:c r="I362" s="19"/>
      <x:c r="J362" s="19"/>
    </x:row>
    <x:row r="363">
      <x:c r="A363" s="19"/>
      <x:c r="B363" s="19"/>
      <x:c r="C363" s="19"/>
      <x:c r="D363" s="62"/>
      <x:c r="E363" s="25"/>
      <x:c r="F363" s="19"/>
      <x:c r="G363" s="19"/>
      <x:c r="H363" s="26"/>
      <x:c r="I363" s="19"/>
      <x:c r="J363" s="19"/>
    </x:row>
    <x:row r="364">
      <x:c r="A364" s="19"/>
      <x:c r="B364" s="19"/>
      <x:c r="C364" s="19"/>
      <x:c r="D364" s="62"/>
      <x:c r="E364" s="25"/>
      <x:c r="F364" s="19"/>
      <x:c r="G364" s="19"/>
      <x:c r="H364" s="26"/>
      <x:c r="I364" s="19"/>
      <x:c r="J364" s="19"/>
    </x:row>
    <x:row r="365">
      <x:c r="A365" s="19"/>
      <x:c r="B365" s="19"/>
      <x:c r="C365" s="19"/>
      <x:c r="D365" s="62"/>
      <x:c r="E365" s="25"/>
      <x:c r="F365" s="19"/>
      <x:c r="G365" s="19"/>
      <x:c r="H365" s="26"/>
      <x:c r="I365" s="19"/>
      <x:c r="J365" s="19"/>
    </x:row>
    <x:row r="366">
      <x:c r="A366" s="19"/>
      <x:c r="B366" s="19"/>
      <x:c r="C366" s="19"/>
      <x:c r="D366" s="62"/>
      <x:c r="E366" s="25"/>
      <x:c r="F366" s="19"/>
      <x:c r="G366" s="19"/>
      <x:c r="H366" s="26"/>
      <x:c r="I366" s="19"/>
      <x:c r="J366" s="19"/>
    </x:row>
    <x:row r="367">
      <x:c r="A367" s="19"/>
      <x:c r="B367" s="19"/>
      <x:c r="C367" s="19"/>
      <x:c r="D367" s="62"/>
      <x:c r="E367" s="25"/>
      <x:c r="F367" s="19"/>
      <x:c r="G367" s="19"/>
      <x:c r="H367" s="26"/>
      <x:c r="I367" s="19"/>
      <x:c r="J367" s="19"/>
    </x:row>
    <x:row r="368">
      <x:c r="A368" s="19"/>
      <x:c r="B368" s="19"/>
      <x:c r="C368" s="19"/>
      <x:c r="D368" s="62"/>
      <x:c r="E368" s="25"/>
      <x:c r="F368" s="19"/>
      <x:c r="G368" s="19"/>
      <x:c r="H368" s="26"/>
      <x:c r="I368" s="19"/>
      <x:c r="J368" s="19"/>
    </x:row>
    <x:row r="369">
      <x:c r="A369" s="19"/>
      <x:c r="B369" s="19"/>
      <x:c r="C369" s="19"/>
      <x:c r="D369" s="62"/>
      <x:c r="E369" s="25"/>
      <x:c r="F369" s="19"/>
      <x:c r="G369" s="19"/>
      <x:c r="H369" s="26"/>
      <x:c r="I369" s="19"/>
      <x:c r="J369" s="19"/>
    </x:row>
    <x:row r="370">
      <x:c r="A370" s="19"/>
      <x:c r="B370" s="19"/>
      <x:c r="C370" s="19"/>
      <x:c r="D370" s="62"/>
      <x:c r="E370" s="25"/>
      <x:c r="F370" s="19"/>
      <x:c r="G370" s="19"/>
      <x:c r="H370" s="26"/>
      <x:c r="I370" s="19"/>
      <x:c r="J370" s="19"/>
    </x:row>
    <x:row r="371">
      <x:c r="A371" s="19"/>
      <x:c r="B371" s="19"/>
      <x:c r="C371" s="19"/>
      <x:c r="D371" s="62"/>
      <x:c r="E371" s="25"/>
      <x:c r="F371" s="19"/>
      <x:c r="G371" s="19"/>
      <x:c r="H371" s="26"/>
      <x:c r="I371" s="19"/>
      <x:c r="J371" s="19"/>
    </x:row>
    <x:row r="372">
      <x:c r="A372" s="19"/>
      <x:c r="B372" s="19"/>
      <x:c r="C372" s="19"/>
      <x:c r="D372" s="62"/>
      <x:c r="E372" s="25"/>
      <x:c r="F372" s="19"/>
      <x:c r="G372" s="19"/>
      <x:c r="H372" s="26"/>
      <x:c r="I372" s="19"/>
      <x:c r="J372" s="19"/>
    </x:row>
    <x:row r="373">
      <x:c r="A373" s="19"/>
      <x:c r="B373" s="19"/>
      <x:c r="C373" s="19"/>
      <x:c r="D373" s="62"/>
      <x:c r="E373" s="25"/>
      <x:c r="F373" s="19"/>
      <x:c r="G373" s="19"/>
      <x:c r="H373" s="26"/>
      <x:c r="I373" s="19"/>
      <x:c r="J373" s="19"/>
    </x:row>
    <x:row r="374">
      <x:c r="A374" s="19"/>
      <x:c r="B374" s="19"/>
      <x:c r="C374" s="19"/>
      <x:c r="D374" s="62"/>
      <x:c r="E374" s="25"/>
      <x:c r="F374" s="19"/>
      <x:c r="G374" s="19"/>
      <x:c r="H374" s="26"/>
      <x:c r="I374" s="19"/>
      <x:c r="J374" s="19"/>
    </x:row>
    <x:row r="375">
      <x:c r="A375" s="19"/>
      <x:c r="B375" s="19"/>
      <x:c r="C375" s="19"/>
      <x:c r="D375" s="62"/>
      <x:c r="E375" s="25"/>
      <x:c r="F375" s="19"/>
      <x:c r="G375" s="19"/>
      <x:c r="H375" s="26"/>
      <x:c r="I375" s="19"/>
      <x:c r="J375" s="19"/>
    </x:row>
    <x:row r="376">
      <x:c r="A376" s="19"/>
      <x:c r="B376" s="19"/>
      <x:c r="C376" s="19"/>
      <x:c r="D376" s="62"/>
      <x:c r="E376" s="25"/>
      <x:c r="F376" s="19"/>
      <x:c r="G376" s="19"/>
      <x:c r="H376" s="26"/>
      <x:c r="I376" s="19"/>
      <x:c r="J376" s="19"/>
    </x:row>
    <x:row r="377">
      <x:c r="A377" s="19"/>
      <x:c r="B377" s="19"/>
      <x:c r="C377" s="19"/>
      <x:c r="D377" s="62"/>
      <x:c r="E377" s="25"/>
      <x:c r="F377" s="19"/>
      <x:c r="G377" s="19"/>
      <x:c r="H377" s="26"/>
      <x:c r="I377" s="19"/>
      <x:c r="J377" s="19"/>
    </x:row>
    <x:row r="378">
      <x:c r="A378" s="19"/>
      <x:c r="B378" s="19"/>
      <x:c r="C378" s="19"/>
      <x:c r="D378" s="62"/>
      <x:c r="E378" s="25"/>
      <x:c r="F378" s="19"/>
      <x:c r="G378" s="19"/>
      <x:c r="H378" s="26"/>
      <x:c r="I378" s="19"/>
      <x:c r="J378" s="19"/>
    </x:row>
    <x:row r="379">
      <x:c r="A379" s="19"/>
      <x:c r="B379" s="19"/>
      <x:c r="C379" s="19"/>
      <x:c r="D379" s="62"/>
      <x:c r="E379" s="25"/>
      <x:c r="F379" s="19"/>
      <x:c r="G379" s="19"/>
      <x:c r="H379" s="26"/>
      <x:c r="I379" s="19"/>
      <x:c r="J379" s="19"/>
    </x:row>
    <x:row r="380">
      <x:c r="A380" s="19"/>
      <x:c r="B380" s="19"/>
      <x:c r="C380" s="19"/>
      <x:c r="D380" s="62"/>
      <x:c r="E380" s="25"/>
      <x:c r="F380" s="19"/>
      <x:c r="G380" s="19"/>
      <x:c r="H380" s="26"/>
      <x:c r="I380" s="19"/>
      <x:c r="J380" s="19"/>
    </x:row>
    <x:row r="381">
      <x:c r="A381" s="19"/>
      <x:c r="B381" s="19"/>
      <x:c r="C381" s="19"/>
      <x:c r="D381" s="62"/>
      <x:c r="E381" s="25"/>
      <x:c r="F381" s="19"/>
      <x:c r="G381" s="19"/>
      <x:c r="H381" s="26"/>
      <x:c r="I381" s="19"/>
      <x:c r="J381" s="19"/>
    </x:row>
    <x:row r="382">
      <x:c r="A382" s="19"/>
      <x:c r="B382" s="19"/>
      <x:c r="C382" s="19"/>
      <x:c r="D382" s="62"/>
      <x:c r="E382" s="25"/>
      <x:c r="F382" s="19"/>
      <x:c r="G382" s="19"/>
      <x:c r="H382" s="26"/>
      <x:c r="I382" s="19"/>
      <x:c r="J382" s="19"/>
    </x:row>
    <x:row r="383">
      <x:c r="A383" s="19"/>
      <x:c r="B383" s="19"/>
      <x:c r="C383" s="19"/>
      <x:c r="D383" s="62"/>
      <x:c r="E383" s="25"/>
      <x:c r="F383" s="19"/>
      <x:c r="G383" s="19"/>
      <x:c r="H383" s="26"/>
      <x:c r="I383" s="19"/>
      <x:c r="J383" s="19"/>
    </x:row>
    <x:row r="384">
      <x:c r="A384" s="19"/>
      <x:c r="B384" s="19"/>
      <x:c r="C384" s="19"/>
      <x:c r="D384" s="62"/>
      <x:c r="E384" s="25"/>
      <x:c r="F384" s="19"/>
      <x:c r="G384" s="19"/>
      <x:c r="H384" s="26"/>
      <x:c r="I384" s="19"/>
      <x:c r="J384" s="19"/>
    </x:row>
    <x:row r="385">
      <x:c r="A385" s="19"/>
      <x:c r="B385" s="19"/>
      <x:c r="C385" s="19"/>
      <x:c r="D385" s="62"/>
      <x:c r="E385" s="25"/>
      <x:c r="F385" s="19"/>
      <x:c r="G385" s="19"/>
      <x:c r="H385" s="26"/>
      <x:c r="I385" s="19"/>
      <x:c r="J385" s="19"/>
    </x:row>
    <x:row r="386">
      <x:c r="A386" s="19"/>
      <x:c r="B386" s="19"/>
      <x:c r="C386" s="19"/>
      <x:c r="D386" s="62"/>
      <x:c r="E386" s="25"/>
      <x:c r="F386" s="19"/>
      <x:c r="G386" s="19"/>
      <x:c r="H386" s="26"/>
      <x:c r="I386" s="19"/>
      <x:c r="J386" s="19"/>
    </x:row>
    <x:row r="387">
      <x:c r="A387" s="19"/>
      <x:c r="B387" s="19"/>
      <x:c r="C387" s="19"/>
      <x:c r="D387" s="62"/>
      <x:c r="E387" s="25"/>
      <x:c r="F387" s="19"/>
      <x:c r="G387" s="19"/>
      <x:c r="H387" s="26"/>
      <x:c r="I387" s="19"/>
      <x:c r="J387" s="19"/>
    </x:row>
    <x:row r="388">
      <x:c r="A388" s="19"/>
      <x:c r="B388" s="19"/>
      <x:c r="C388" s="19"/>
      <x:c r="D388" s="62"/>
      <x:c r="E388" s="25"/>
      <x:c r="F388" s="19"/>
      <x:c r="G388" s="19"/>
      <x:c r="H388" s="26"/>
      <x:c r="I388" s="19"/>
      <x:c r="J388" s="19"/>
    </x:row>
    <x:row r="389">
      <x:c r="A389" s="19"/>
      <x:c r="B389" s="19"/>
      <x:c r="C389" s="19"/>
      <x:c r="D389" s="62"/>
      <x:c r="E389" s="25"/>
      <x:c r="F389" s="19"/>
      <x:c r="G389" s="19"/>
      <x:c r="H389" s="26"/>
      <x:c r="I389" s="19"/>
      <x:c r="J389" s="19"/>
    </x:row>
    <x:row r="390">
      <x:c r="A390" s="19"/>
      <x:c r="B390" s="19"/>
      <x:c r="C390" s="19"/>
      <x:c r="D390" s="62"/>
      <x:c r="E390" s="25"/>
      <x:c r="F390" s="19"/>
      <x:c r="G390" s="19"/>
      <x:c r="H390" s="26"/>
      <x:c r="I390" s="19"/>
      <x:c r="J390" s="19"/>
    </x:row>
    <x:row r="391">
      <x:c r="A391" s="19"/>
      <x:c r="B391" s="19"/>
      <x:c r="C391" s="19"/>
      <x:c r="D391" s="62"/>
      <x:c r="E391" s="25"/>
      <x:c r="F391" s="19"/>
      <x:c r="G391" s="19"/>
      <x:c r="H391" s="26"/>
      <x:c r="I391" s="19"/>
      <x:c r="J391" s="19"/>
    </x:row>
    <x:row r="392">
      <x:c r="A392" s="19"/>
      <x:c r="B392" s="19"/>
      <x:c r="C392" s="19"/>
      <x:c r="D392" s="62"/>
      <x:c r="E392" s="25"/>
      <x:c r="F392" s="19"/>
      <x:c r="G392" s="19"/>
      <x:c r="H392" s="26"/>
      <x:c r="I392" s="19"/>
      <x:c r="J392" s="19"/>
    </x:row>
    <x:row r="393">
      <x:c r="A393" s="19"/>
      <x:c r="B393" s="19"/>
      <x:c r="C393" s="19"/>
      <x:c r="D393" s="62"/>
      <x:c r="E393" s="25"/>
      <x:c r="F393" s="19"/>
      <x:c r="G393" s="19"/>
      <x:c r="H393" s="26"/>
      <x:c r="I393" s="19"/>
      <x:c r="J393" s="19"/>
    </x:row>
    <x:row r="394">
      <x:c r="A394" s="19"/>
      <x:c r="B394" s="19"/>
      <x:c r="C394" s="19"/>
      <x:c r="D394" s="62"/>
      <x:c r="E394" s="25"/>
      <x:c r="F394" s="19"/>
      <x:c r="G394" s="19"/>
      <x:c r="H394" s="26"/>
      <x:c r="I394" s="19"/>
      <x:c r="J394" s="19"/>
    </x:row>
    <x:row r="395">
      <x:c r="A395" s="19"/>
      <x:c r="B395" s="19"/>
      <x:c r="C395" s="19"/>
      <x:c r="D395" s="62"/>
      <x:c r="E395" s="25"/>
      <x:c r="F395" s="19"/>
      <x:c r="G395" s="19"/>
      <x:c r="H395" s="26"/>
      <x:c r="I395" s="19"/>
      <x:c r="J395" s="19"/>
    </x:row>
    <x:row r="396">
      <x:c r="A396" s="19"/>
      <x:c r="B396" s="19"/>
      <x:c r="C396" s="19"/>
      <x:c r="D396" s="62"/>
      <x:c r="E396" s="25"/>
      <x:c r="F396" s="19"/>
      <x:c r="G396" s="19"/>
      <x:c r="H396" s="26"/>
      <x:c r="I396" s="19"/>
      <x:c r="J396" s="19"/>
    </x:row>
    <x:row r="397">
      <x:c r="A397" s="19"/>
      <x:c r="B397" s="19"/>
      <x:c r="C397" s="19"/>
      <x:c r="D397" s="62"/>
      <x:c r="E397" s="25"/>
      <x:c r="F397" s="19"/>
      <x:c r="G397" s="19"/>
      <x:c r="H397" s="26"/>
      <x:c r="I397" s="19"/>
      <x:c r="J397" s="19"/>
    </x:row>
    <x:row r="398">
      <x:c r="A398" s="19"/>
      <x:c r="B398" s="19"/>
      <x:c r="C398" s="19"/>
      <x:c r="D398" s="62"/>
      <x:c r="E398" s="25"/>
      <x:c r="F398" s="19"/>
      <x:c r="G398" s="19"/>
      <x:c r="H398" s="26"/>
      <x:c r="I398" s="19"/>
      <x:c r="J398" s="19"/>
    </x:row>
    <x:row r="399">
      <x:c r="A399" s="19"/>
      <x:c r="B399" s="19"/>
      <x:c r="C399" s="19"/>
      <x:c r="D399" s="62"/>
      <x:c r="E399" s="25"/>
      <x:c r="F399" s="19"/>
      <x:c r="G399" s="19"/>
      <x:c r="H399" s="26"/>
      <x:c r="I399" s="19"/>
      <x:c r="J399" s="19"/>
    </x:row>
    <x:row r="400">
      <x:c r="A400" s="19"/>
      <x:c r="B400" s="19"/>
      <x:c r="C400" s="19"/>
      <x:c r="D400" s="62"/>
      <x:c r="E400" s="25"/>
      <x:c r="F400" s="19"/>
      <x:c r="G400" s="19"/>
      <x:c r="H400" s="26"/>
      <x:c r="I400" s="19"/>
      <x:c r="J400" s="19"/>
    </x:row>
    <x:row r="401">
      <x:c r="A401" s="19"/>
      <x:c r="B401" s="19"/>
      <x:c r="C401" s="19"/>
      <x:c r="D401" s="62"/>
      <x:c r="E401" s="25"/>
      <x:c r="F401" s="19"/>
      <x:c r="G401" s="19"/>
      <x:c r="H401" s="26"/>
      <x:c r="I401" s="19"/>
      <x:c r="J401" s="19"/>
    </x:row>
    <x:row r="402">
      <x:c r="A402" s="19"/>
      <x:c r="B402" s="19"/>
      <x:c r="C402" s="19"/>
      <x:c r="D402" s="62"/>
      <x:c r="E402" s="25"/>
      <x:c r="F402" s="19"/>
      <x:c r="G402" s="19"/>
      <x:c r="H402" s="26"/>
      <x:c r="I402" s="19"/>
      <x:c r="J402" s="19"/>
    </x:row>
    <x:row r="403">
      <x:c r="A403" s="19"/>
      <x:c r="B403" s="19"/>
      <x:c r="C403" s="19"/>
      <x:c r="D403" s="62"/>
      <x:c r="E403" s="25"/>
      <x:c r="F403" s="19"/>
      <x:c r="G403" s="19"/>
      <x:c r="H403" s="26"/>
      <x:c r="I403" s="19"/>
      <x:c r="J403" s="19"/>
    </x:row>
    <x:row r="404">
      <x:c r="A404" s="19"/>
      <x:c r="B404" s="19"/>
      <x:c r="C404" s="19"/>
      <x:c r="D404" s="62"/>
      <x:c r="E404" s="25"/>
      <x:c r="F404" s="19"/>
      <x:c r="G404" s="19"/>
      <x:c r="H404" s="26"/>
      <x:c r="I404" s="19"/>
      <x:c r="J404" s="19"/>
    </x:row>
    <x:row r="405">
      <x:c r="A405" s="19"/>
      <x:c r="B405" s="19"/>
      <x:c r="C405" s="19"/>
      <x:c r="D405" s="62"/>
      <x:c r="E405" s="25"/>
      <x:c r="F405" s="19"/>
      <x:c r="G405" s="19"/>
      <x:c r="H405" s="26"/>
      <x:c r="I405" s="19"/>
      <x:c r="J405" s="19"/>
    </x:row>
    <x:row r="406">
      <x:c r="A406" s="19"/>
      <x:c r="B406" s="19"/>
      <x:c r="C406" s="19"/>
      <x:c r="D406" s="62"/>
      <x:c r="E406" s="25"/>
      <x:c r="F406" s="19"/>
      <x:c r="G406" s="19"/>
      <x:c r="H406" s="26"/>
      <x:c r="I406" s="19"/>
      <x:c r="J406" s="19"/>
    </x:row>
    <x:row r="407">
      <x:c r="A407" s="19"/>
      <x:c r="B407" s="19"/>
      <x:c r="C407" s="19"/>
      <x:c r="D407" s="62"/>
      <x:c r="E407" s="25"/>
      <x:c r="F407" s="19"/>
      <x:c r="G407" s="19"/>
      <x:c r="H407" s="26"/>
      <x:c r="I407" s="19"/>
      <x:c r="J407" s="19"/>
    </x:row>
    <x:row r="408">
      <x:c r="A408" s="19"/>
      <x:c r="B408" s="19"/>
      <x:c r="C408" s="19"/>
      <x:c r="D408" s="62"/>
      <x:c r="E408" s="25"/>
      <x:c r="F408" s="19"/>
      <x:c r="G408" s="19"/>
      <x:c r="H408" s="26"/>
      <x:c r="I408" s="19"/>
      <x:c r="J408" s="19"/>
    </x:row>
    <x:row r="409">
      <x:c r="A409" s="19"/>
      <x:c r="B409" s="19"/>
      <x:c r="C409" s="19"/>
      <x:c r="D409" s="62"/>
      <x:c r="E409" s="25"/>
      <x:c r="F409" s="19"/>
      <x:c r="G409" s="19"/>
      <x:c r="H409" s="26"/>
      <x:c r="I409" s="19"/>
      <x:c r="J409" s="19"/>
    </x:row>
    <x:row r="410">
      <x:c r="A410" s="19"/>
      <x:c r="B410" s="19"/>
      <x:c r="C410" s="19"/>
      <x:c r="D410" s="62"/>
      <x:c r="E410" s="25"/>
      <x:c r="F410" s="19"/>
      <x:c r="G410" s="19"/>
      <x:c r="H410" s="26"/>
      <x:c r="I410" s="19"/>
      <x:c r="J410" s="19"/>
    </x:row>
    <x:row r="411">
      <x:c r="A411" s="19"/>
      <x:c r="B411" s="19"/>
      <x:c r="C411" s="19"/>
      <x:c r="D411" s="62"/>
      <x:c r="E411" s="25"/>
      <x:c r="F411" s="19"/>
      <x:c r="G411" s="19"/>
      <x:c r="H411" s="26"/>
      <x:c r="I411" s="19"/>
      <x:c r="J411" s="19"/>
    </x:row>
    <x:row r="412">
      <x:c r="A412" s="19"/>
      <x:c r="B412" s="19"/>
      <x:c r="C412" s="19"/>
      <x:c r="D412" s="62"/>
      <x:c r="E412" s="25"/>
      <x:c r="F412" s="19"/>
      <x:c r="G412" s="19"/>
      <x:c r="H412" s="26"/>
      <x:c r="I412" s="19"/>
      <x:c r="J412" s="19"/>
    </x:row>
    <x:row r="413">
      <x:c r="A413" s="19"/>
      <x:c r="B413" s="19"/>
      <x:c r="C413" s="19"/>
      <x:c r="D413" s="62"/>
      <x:c r="E413" s="25"/>
      <x:c r="F413" s="19"/>
      <x:c r="G413" s="19"/>
      <x:c r="H413" s="26"/>
      <x:c r="I413" s="19"/>
      <x:c r="J413" s="19"/>
    </x:row>
    <x:row r="414">
      <x:c r="A414" s="19"/>
      <x:c r="B414" s="19"/>
      <x:c r="C414" s="19"/>
      <x:c r="D414" s="62"/>
      <x:c r="E414" s="25"/>
      <x:c r="F414" s="19"/>
      <x:c r="G414" s="19"/>
      <x:c r="H414" s="26"/>
      <x:c r="I414" s="19"/>
      <x:c r="J414" s="19"/>
    </x:row>
    <x:row r="415">
      <x:c r="A415" s="19"/>
      <x:c r="B415" s="19"/>
      <x:c r="C415" s="19"/>
      <x:c r="D415" s="62"/>
      <x:c r="E415" s="25"/>
      <x:c r="F415" s="19"/>
      <x:c r="G415" s="19"/>
      <x:c r="H415" s="26"/>
      <x:c r="I415" s="19"/>
      <x:c r="J415" s="19"/>
    </x:row>
    <x:row r="416">
      <x:c r="A416" s="19"/>
      <x:c r="B416" s="19"/>
      <x:c r="C416" s="19"/>
      <x:c r="D416" s="62"/>
      <x:c r="E416" s="25"/>
      <x:c r="F416" s="19"/>
      <x:c r="G416" s="19"/>
      <x:c r="H416" s="26"/>
      <x:c r="I416" s="19"/>
      <x:c r="J416" s="19"/>
    </x:row>
    <x:row r="417">
      <x:c r="A417" s="19"/>
      <x:c r="B417" s="19"/>
      <x:c r="C417" s="19"/>
      <x:c r="D417" s="62"/>
      <x:c r="E417" s="25"/>
      <x:c r="F417" s="19"/>
      <x:c r="G417" s="19"/>
      <x:c r="H417" s="26"/>
      <x:c r="I417" s="19"/>
      <x:c r="J417" s="19"/>
    </x:row>
    <x:row r="418">
      <x:c r="A418" s="19"/>
      <x:c r="B418" s="19"/>
      <x:c r="C418" s="19"/>
      <x:c r="D418" s="62"/>
      <x:c r="E418" s="25"/>
      <x:c r="F418" s="19"/>
      <x:c r="G418" s="19"/>
      <x:c r="H418" s="26"/>
      <x:c r="I418" s="19"/>
      <x:c r="J418" s="19"/>
    </x:row>
    <x:row r="419">
      <x:c r="A419" s="19"/>
      <x:c r="B419" s="19"/>
      <x:c r="C419" s="19"/>
      <x:c r="D419" s="62"/>
      <x:c r="E419" s="25"/>
      <x:c r="F419" s="19"/>
      <x:c r="G419" s="19"/>
      <x:c r="H419" s="26"/>
      <x:c r="I419" s="19"/>
      <x:c r="J419" s="19"/>
    </x:row>
    <x:row r="420">
      <x:c r="A420" s="19"/>
      <x:c r="B420" s="19"/>
      <x:c r="C420" s="19"/>
      <x:c r="D420" s="62"/>
      <x:c r="E420" s="25"/>
      <x:c r="F420" s="19"/>
      <x:c r="G420" s="19"/>
      <x:c r="H420" s="26"/>
      <x:c r="I420" s="19"/>
      <x:c r="J420" s="19"/>
    </x:row>
    <x:row r="421">
      <x:c r="A421" s="19"/>
      <x:c r="B421" s="19"/>
      <x:c r="C421" s="19"/>
      <x:c r="D421" s="62"/>
      <x:c r="E421" s="25"/>
      <x:c r="F421" s="19"/>
      <x:c r="G421" s="19"/>
      <x:c r="H421" s="26"/>
      <x:c r="I421" s="19"/>
      <x:c r="J421" s="19"/>
    </x:row>
    <x:row r="422">
      <x:c r="A422" s="19"/>
      <x:c r="B422" s="19"/>
      <x:c r="C422" s="19"/>
      <x:c r="D422" s="62"/>
      <x:c r="E422" s="25"/>
      <x:c r="F422" s="19"/>
      <x:c r="G422" s="19"/>
      <x:c r="H422" s="26"/>
      <x:c r="I422" s="19"/>
      <x:c r="J422" s="19"/>
    </x:row>
    <x:row r="423">
      <x:c r="A423" s="19"/>
      <x:c r="B423" s="19"/>
      <x:c r="C423" s="19"/>
      <x:c r="D423" s="62"/>
      <x:c r="E423" s="25"/>
      <x:c r="F423" s="19"/>
      <x:c r="G423" s="19"/>
      <x:c r="H423" s="26"/>
      <x:c r="I423" s="19"/>
      <x:c r="J423" s="19"/>
    </x:row>
    <x:row r="424">
      <x:c r="A424" s="19"/>
      <x:c r="B424" s="19"/>
      <x:c r="C424" s="19"/>
      <x:c r="D424" s="62"/>
      <x:c r="E424" s="25"/>
      <x:c r="F424" s="19"/>
      <x:c r="G424" s="19"/>
      <x:c r="H424" s="26"/>
      <x:c r="I424" s="19"/>
      <x:c r="J424" s="19"/>
    </x:row>
    <x:row r="425">
      <x:c r="A425" s="19"/>
      <x:c r="B425" s="19"/>
      <x:c r="C425" s="19"/>
      <x:c r="D425" s="62"/>
      <x:c r="E425" s="25"/>
      <x:c r="F425" s="19"/>
      <x:c r="G425" s="19"/>
      <x:c r="H425" s="26"/>
      <x:c r="I425" s="19"/>
      <x:c r="J425" s="19"/>
    </x:row>
    <x:row r="426">
      <x:c r="A426" s="19"/>
      <x:c r="B426" s="19"/>
      <x:c r="C426" s="19"/>
      <x:c r="D426" s="62"/>
      <x:c r="E426" s="25"/>
      <x:c r="F426" s="19"/>
      <x:c r="G426" s="19"/>
      <x:c r="H426" s="26"/>
      <x:c r="I426" s="19"/>
      <x:c r="J426" s="19"/>
    </x:row>
    <x:row r="427">
      <x:c r="A427" s="19"/>
      <x:c r="B427" s="19"/>
      <x:c r="C427" s="19"/>
      <x:c r="D427" s="62"/>
      <x:c r="E427" s="25"/>
      <x:c r="F427" s="19"/>
      <x:c r="G427" s="19"/>
      <x:c r="H427" s="26"/>
      <x:c r="I427" s="19"/>
      <x:c r="J427" s="19"/>
    </x:row>
    <x:row r="428">
      <x:c r="A428" s="19"/>
      <x:c r="B428" s="19"/>
      <x:c r="C428" s="19"/>
      <x:c r="D428" s="62"/>
      <x:c r="E428" s="25"/>
      <x:c r="F428" s="19"/>
      <x:c r="G428" s="19"/>
      <x:c r="H428" s="26"/>
      <x:c r="I428" s="19"/>
      <x:c r="J428" s="19"/>
    </x:row>
    <x:row r="429">
      <x:c r="A429" s="19"/>
      <x:c r="B429" s="19"/>
      <x:c r="C429" s="19"/>
      <x:c r="D429" s="62"/>
      <x:c r="E429" s="25"/>
      <x:c r="F429" s="19"/>
      <x:c r="G429" s="19"/>
      <x:c r="H429" s="26"/>
      <x:c r="I429" s="19"/>
      <x:c r="J429" s="19"/>
    </x:row>
    <x:row r="430">
      <x:c r="A430" s="19"/>
      <x:c r="B430" s="19"/>
      <x:c r="C430" s="19"/>
      <x:c r="D430" s="62"/>
      <x:c r="E430" s="25"/>
      <x:c r="F430" s="19"/>
      <x:c r="G430" s="19"/>
      <x:c r="H430" s="26"/>
      <x:c r="I430" s="19"/>
      <x:c r="J430" s="19"/>
    </x:row>
    <x:row r="431">
      <x:c r="A431" s="19"/>
      <x:c r="B431" s="19"/>
      <x:c r="C431" s="19"/>
      <x:c r="D431" s="62"/>
      <x:c r="E431" s="25"/>
      <x:c r="F431" s="19"/>
      <x:c r="G431" s="19"/>
      <x:c r="H431" s="26"/>
      <x:c r="I431" s="19"/>
      <x:c r="J431" s="19"/>
    </x:row>
    <x:row r="432">
      <x:c r="A432" s="19"/>
      <x:c r="B432" s="19"/>
      <x:c r="C432" s="19"/>
      <x:c r="D432" s="62"/>
      <x:c r="E432" s="25"/>
      <x:c r="F432" s="19"/>
      <x:c r="G432" s="19"/>
      <x:c r="H432" s="26"/>
      <x:c r="I432" s="19"/>
      <x:c r="J432" s="19"/>
    </x:row>
    <x:row r="433">
      <x:c r="A433" s="19"/>
      <x:c r="B433" s="19"/>
      <x:c r="C433" s="19"/>
      <x:c r="D433" s="62"/>
      <x:c r="E433" s="25"/>
      <x:c r="F433" s="19"/>
      <x:c r="G433" s="19"/>
      <x:c r="H433" s="26"/>
      <x:c r="I433" s="19"/>
      <x:c r="J433" s="19"/>
    </x:row>
    <x:row r="434">
      <x:c r="A434" s="19"/>
      <x:c r="B434" s="19"/>
      <x:c r="C434" s="19"/>
      <x:c r="D434" s="62"/>
      <x:c r="E434" s="25"/>
      <x:c r="F434" s="19"/>
      <x:c r="G434" s="19"/>
      <x:c r="H434" s="26"/>
      <x:c r="I434" s="19"/>
      <x:c r="J434" s="19"/>
    </x:row>
    <x:row r="435">
      <x:c r="A435" s="19"/>
      <x:c r="B435" s="19"/>
      <x:c r="C435" s="19"/>
      <x:c r="D435" s="62"/>
      <x:c r="E435" s="25"/>
      <x:c r="F435" s="19"/>
      <x:c r="G435" s="19"/>
      <x:c r="H435" s="26"/>
      <x:c r="I435" s="19"/>
      <x:c r="J435" s="19"/>
    </x:row>
    <x:row r="436">
      <x:c r="A436" s="19"/>
      <x:c r="B436" s="19"/>
      <x:c r="C436" s="19"/>
      <x:c r="D436" s="62"/>
      <x:c r="E436" s="25"/>
      <x:c r="F436" s="19"/>
      <x:c r="G436" s="19"/>
      <x:c r="H436" s="26"/>
      <x:c r="I436" s="19"/>
      <x:c r="J436" s="19"/>
    </x:row>
    <x:row r="437">
      <x:c r="A437" s="19"/>
      <x:c r="B437" s="19"/>
      <x:c r="C437" s="19"/>
      <x:c r="D437" s="62"/>
      <x:c r="E437" s="25"/>
      <x:c r="F437" s="19"/>
      <x:c r="G437" s="19"/>
      <x:c r="H437" s="26"/>
      <x:c r="I437" s="19"/>
      <x:c r="J437" s="19"/>
    </x:row>
    <x:row r="438">
      <x:c r="A438" s="19"/>
      <x:c r="B438" s="19"/>
      <x:c r="C438" s="19"/>
      <x:c r="D438" s="62"/>
      <x:c r="E438" s="25"/>
      <x:c r="F438" s="19"/>
      <x:c r="G438" s="19"/>
      <x:c r="H438" s="26"/>
      <x:c r="I438" s="19"/>
      <x:c r="J438" s="19"/>
    </x:row>
    <x:row r="439">
      <x:c r="A439" s="19"/>
      <x:c r="B439" s="19"/>
      <x:c r="C439" s="19"/>
      <x:c r="D439" s="62"/>
      <x:c r="E439" s="25"/>
      <x:c r="F439" s="19"/>
      <x:c r="G439" s="19"/>
      <x:c r="H439" s="26"/>
      <x:c r="I439" s="19"/>
      <x:c r="J439" s="19"/>
    </x:row>
    <x:row r="440">
      <x:c r="A440" s="19"/>
      <x:c r="B440" s="19"/>
      <x:c r="C440" s="19"/>
      <x:c r="D440" s="62"/>
      <x:c r="E440" s="25"/>
      <x:c r="F440" s="19"/>
      <x:c r="G440" s="19"/>
      <x:c r="H440" s="26"/>
      <x:c r="I440" s="19"/>
      <x:c r="J440" s="19"/>
    </x:row>
    <x:row r="441">
      <x:c r="A441" s="19"/>
      <x:c r="B441" s="19"/>
      <x:c r="C441" s="19"/>
      <x:c r="D441" s="62"/>
      <x:c r="E441" s="25"/>
      <x:c r="F441" s="19"/>
      <x:c r="G441" s="19"/>
      <x:c r="H441" s="26"/>
      <x:c r="I441" s="19"/>
      <x:c r="J441" s="19"/>
    </x:row>
    <x:row r="442">
      <x:c r="A442" s="19"/>
      <x:c r="B442" s="19"/>
      <x:c r="C442" s="19"/>
      <x:c r="D442" s="62"/>
      <x:c r="E442" s="25"/>
      <x:c r="F442" s="19"/>
      <x:c r="G442" s="19"/>
      <x:c r="H442" s="26"/>
      <x:c r="I442" s="19"/>
      <x:c r="J442" s="19"/>
    </x:row>
    <x:row r="443">
      <x:c r="A443" s="19"/>
      <x:c r="B443" s="19"/>
      <x:c r="C443" s="19"/>
      <x:c r="D443" s="62"/>
      <x:c r="E443" s="25"/>
      <x:c r="F443" s="19"/>
      <x:c r="G443" s="19"/>
      <x:c r="H443" s="26"/>
      <x:c r="I443" s="19"/>
      <x:c r="J443" s="19"/>
    </x:row>
    <x:row r="444">
      <x:c r="A444" s="19"/>
      <x:c r="B444" s="19"/>
      <x:c r="C444" s="19"/>
      <x:c r="D444" s="62"/>
      <x:c r="E444" s="25"/>
      <x:c r="F444" s="19"/>
      <x:c r="G444" s="19"/>
      <x:c r="H444" s="26"/>
      <x:c r="I444" s="19"/>
      <x:c r="J444" s="19"/>
    </x:row>
    <x:row r="445">
      <x:c r="A445" s="19"/>
      <x:c r="B445" s="19"/>
      <x:c r="C445" s="19"/>
      <x:c r="D445" s="62"/>
      <x:c r="E445" s="25"/>
      <x:c r="F445" s="19"/>
      <x:c r="G445" s="19"/>
      <x:c r="H445" s="26"/>
      <x:c r="I445" s="19"/>
      <x:c r="J445" s="19"/>
    </x:row>
    <x:row r="446">
      <x:c r="A446" s="19"/>
      <x:c r="B446" s="19"/>
      <x:c r="C446" s="19"/>
      <x:c r="D446" s="62"/>
      <x:c r="E446" s="25"/>
      <x:c r="F446" s="19"/>
      <x:c r="G446" s="19"/>
      <x:c r="H446" s="26"/>
      <x:c r="I446" s="19"/>
      <x:c r="J446" s="19"/>
    </x:row>
    <x:row r="447">
      <x:c r="A447" s="19"/>
      <x:c r="B447" s="19"/>
      <x:c r="C447" s="19"/>
      <x:c r="D447" s="62"/>
      <x:c r="E447" s="25"/>
      <x:c r="F447" s="19"/>
      <x:c r="G447" s="19"/>
      <x:c r="H447" s="26"/>
      <x:c r="I447" s="19"/>
      <x:c r="J447" s="19"/>
    </x:row>
    <x:row r="448">
      <x:c r="A448" s="19"/>
      <x:c r="B448" s="19"/>
      <x:c r="C448" s="19"/>
      <x:c r="D448" s="62"/>
      <x:c r="E448" s="25"/>
      <x:c r="F448" s="19"/>
      <x:c r="G448" s="19"/>
      <x:c r="H448" s="26"/>
      <x:c r="I448" s="19"/>
      <x:c r="J448" s="19"/>
    </x:row>
    <x:row r="449">
      <x:c r="A449" s="19"/>
      <x:c r="B449" s="19"/>
      <x:c r="C449" s="19"/>
      <x:c r="D449" s="62"/>
      <x:c r="E449" s="25"/>
      <x:c r="F449" s="19"/>
      <x:c r="G449" s="19"/>
      <x:c r="H449" s="26"/>
      <x:c r="I449" s="19"/>
      <x:c r="J449" s="19"/>
    </x:row>
    <x:row r="450">
      <x:c r="A450" s="19"/>
      <x:c r="B450" s="19"/>
      <x:c r="C450" s="19"/>
      <x:c r="D450" s="62"/>
      <x:c r="E450" s="25"/>
      <x:c r="F450" s="19"/>
      <x:c r="G450" s="19"/>
      <x:c r="H450" s="26"/>
      <x:c r="I450" s="19"/>
      <x:c r="J450" s="19"/>
    </x:row>
    <x:row r="451">
      <x:c r="A451" s="19"/>
      <x:c r="B451" s="19"/>
      <x:c r="C451" s="19"/>
      <x:c r="D451" s="62"/>
      <x:c r="E451" s="25"/>
      <x:c r="F451" s="19"/>
      <x:c r="G451" s="19"/>
      <x:c r="H451" s="26"/>
      <x:c r="I451" s="19"/>
      <x:c r="J451" s="19"/>
    </x:row>
    <x:row r="452">
      <x:c r="A452" s="19"/>
      <x:c r="B452" s="19"/>
      <x:c r="C452" s="19"/>
      <x:c r="D452" s="62"/>
      <x:c r="E452" s="25"/>
      <x:c r="F452" s="19"/>
      <x:c r="G452" s="19"/>
      <x:c r="H452" s="26"/>
      <x:c r="I452" s="19"/>
      <x:c r="J452" s="19"/>
    </x:row>
    <x:row r="453">
      <x:c r="A453" s="19"/>
      <x:c r="B453" s="19"/>
      <x:c r="C453" s="19"/>
      <x:c r="D453" s="62"/>
      <x:c r="E453" s="25"/>
      <x:c r="F453" s="19"/>
      <x:c r="G453" s="19"/>
      <x:c r="H453" s="26"/>
      <x:c r="I453" s="19"/>
      <x:c r="J453" s="19"/>
    </x:row>
    <x:row r="454">
      <x:c r="A454" s="19"/>
      <x:c r="B454" s="19"/>
      <x:c r="C454" s="19"/>
      <x:c r="D454" s="62"/>
      <x:c r="E454" s="25"/>
      <x:c r="F454" s="19"/>
      <x:c r="G454" s="19"/>
      <x:c r="H454" s="26"/>
      <x:c r="I454" s="19"/>
      <x:c r="J454" s="19"/>
    </x:row>
    <x:row r="455">
      <x:c r="A455" s="19"/>
      <x:c r="B455" s="19"/>
      <x:c r="C455" s="19"/>
      <x:c r="D455" s="62"/>
      <x:c r="E455" s="25"/>
      <x:c r="F455" s="19"/>
      <x:c r="G455" s="19"/>
      <x:c r="H455" s="26"/>
      <x:c r="I455" s="19"/>
      <x:c r="J455" s="19"/>
    </x:row>
    <x:row r="456">
      <x:c r="A456" s="19"/>
      <x:c r="B456" s="19"/>
      <x:c r="C456" s="19"/>
      <x:c r="D456" s="62"/>
      <x:c r="E456" s="25"/>
      <x:c r="F456" s="19"/>
      <x:c r="G456" s="19"/>
      <x:c r="H456" s="26"/>
      <x:c r="I456" s="19"/>
      <x:c r="J456" s="19"/>
    </x:row>
    <x:row r="457">
      <x:c r="A457" s="19"/>
      <x:c r="B457" s="19"/>
      <x:c r="C457" s="19"/>
      <x:c r="D457" s="62"/>
      <x:c r="E457" s="25"/>
      <x:c r="F457" s="19"/>
      <x:c r="G457" s="19"/>
      <x:c r="H457" s="26"/>
      <x:c r="I457" s="19"/>
      <x:c r="J457" s="19"/>
    </x:row>
    <x:row r="458">
      <x:c r="A458" s="19"/>
      <x:c r="B458" s="19"/>
      <x:c r="C458" s="19"/>
      <x:c r="D458" s="62"/>
      <x:c r="E458" s="25"/>
      <x:c r="F458" s="19"/>
      <x:c r="G458" s="19"/>
      <x:c r="H458" s="26"/>
      <x:c r="I458" s="19"/>
      <x:c r="J458" s="19"/>
    </x:row>
    <x:row r="459">
      <x:c r="A459" s="19"/>
      <x:c r="B459" s="19"/>
      <x:c r="C459" s="19"/>
      <x:c r="D459" s="62"/>
      <x:c r="E459" s="25"/>
      <x:c r="F459" s="19"/>
      <x:c r="G459" s="19"/>
      <x:c r="H459" s="26"/>
      <x:c r="I459" s="19"/>
      <x:c r="J459" s="19"/>
    </x:row>
    <x:row r="460">
      <x:c r="A460" s="19"/>
      <x:c r="B460" s="19"/>
      <x:c r="C460" s="19"/>
      <x:c r="D460" s="62"/>
      <x:c r="E460" s="25"/>
      <x:c r="F460" s="19"/>
      <x:c r="G460" s="19"/>
      <x:c r="H460" s="26"/>
      <x:c r="I460" s="19"/>
      <x:c r="J460" s="19"/>
    </x:row>
    <x:row r="461">
      <x:c r="A461" s="19"/>
      <x:c r="B461" s="19"/>
      <x:c r="C461" s="19"/>
      <x:c r="D461" s="62"/>
      <x:c r="E461" s="25"/>
      <x:c r="F461" s="19"/>
      <x:c r="G461" s="19"/>
      <x:c r="H461" s="26"/>
      <x:c r="I461" s="19"/>
      <x:c r="J461" s="19"/>
    </x:row>
    <x:row r="462">
      <x:c r="A462" s="19"/>
      <x:c r="B462" s="19"/>
      <x:c r="C462" s="19"/>
      <x:c r="D462" s="62"/>
      <x:c r="E462" s="25"/>
      <x:c r="F462" s="19"/>
      <x:c r="G462" s="19"/>
      <x:c r="H462" s="26"/>
      <x:c r="I462" s="19"/>
      <x:c r="J462" s="19"/>
    </x:row>
    <x:row r="463">
      <x:c r="A463" s="19"/>
      <x:c r="B463" s="19"/>
      <x:c r="C463" s="19"/>
      <x:c r="D463" s="62"/>
      <x:c r="E463" s="25"/>
      <x:c r="F463" s="19"/>
      <x:c r="G463" s="19"/>
      <x:c r="H463" s="26"/>
      <x:c r="I463" s="19"/>
      <x:c r="J463" s="19"/>
    </x:row>
    <x:row r="464">
      <x:c r="A464" s="19"/>
      <x:c r="B464" s="19"/>
      <x:c r="C464" s="19"/>
      <x:c r="D464" s="62"/>
      <x:c r="E464" s="25"/>
      <x:c r="F464" s="19"/>
      <x:c r="G464" s="19"/>
      <x:c r="H464" s="26"/>
      <x:c r="I464" s="19"/>
      <x:c r="J464" s="19"/>
    </x:row>
    <x:row r="465">
      <x:c r="A465" s="19"/>
      <x:c r="B465" s="19"/>
      <x:c r="C465" s="19"/>
      <x:c r="D465" s="62"/>
      <x:c r="E465" s="25"/>
      <x:c r="F465" s="19"/>
      <x:c r="G465" s="19"/>
      <x:c r="H465" s="26"/>
      <x:c r="I465" s="19"/>
      <x:c r="J465" s="19"/>
    </x:row>
    <x:row r="466">
      <x:c r="A466" s="19"/>
      <x:c r="B466" s="19"/>
      <x:c r="C466" s="19"/>
      <x:c r="D466" s="62"/>
      <x:c r="E466" s="25"/>
      <x:c r="F466" s="19"/>
      <x:c r="G466" s="19"/>
      <x:c r="H466" s="26"/>
      <x:c r="I466" s="19"/>
      <x:c r="J466" s="19"/>
    </x:row>
    <x:row r="467">
      <x:c r="A467" s="19"/>
      <x:c r="B467" s="19"/>
      <x:c r="C467" s="19"/>
      <x:c r="D467" s="62"/>
      <x:c r="E467" s="25"/>
      <x:c r="F467" s="19"/>
      <x:c r="G467" s="19"/>
      <x:c r="H467" s="26"/>
      <x:c r="I467" s="19"/>
      <x:c r="J467" s="19"/>
    </x:row>
    <x:row r="468">
      <x:c r="A468" s="19"/>
      <x:c r="B468" s="19"/>
      <x:c r="C468" s="19"/>
      <x:c r="D468" s="62"/>
      <x:c r="E468" s="25"/>
      <x:c r="F468" s="19"/>
      <x:c r="G468" s="19"/>
      <x:c r="H468" s="26"/>
      <x:c r="I468" s="19"/>
      <x:c r="J468" s="19"/>
    </x:row>
    <x:row r="469">
      <x:c r="A469" s="19"/>
      <x:c r="B469" s="19"/>
      <x:c r="C469" s="19"/>
      <x:c r="D469" s="62"/>
      <x:c r="E469" s="25"/>
      <x:c r="F469" s="19"/>
      <x:c r="G469" s="19"/>
      <x:c r="H469" s="26"/>
      <x:c r="I469" s="19"/>
      <x:c r="J469" s="19"/>
    </x:row>
    <x:row r="470">
      <x:c r="A470" s="19"/>
      <x:c r="B470" s="19"/>
      <x:c r="C470" s="19"/>
      <x:c r="D470" s="62"/>
      <x:c r="E470" s="25"/>
      <x:c r="F470" s="19"/>
      <x:c r="G470" s="19"/>
      <x:c r="H470" s="26"/>
      <x:c r="I470" s="19"/>
      <x:c r="J470" s="19"/>
    </x:row>
    <x:row r="471">
      <x:c r="A471" s="19"/>
      <x:c r="B471" s="19"/>
      <x:c r="C471" s="19"/>
      <x:c r="D471" s="62"/>
      <x:c r="E471" s="25"/>
      <x:c r="F471" s="19"/>
      <x:c r="G471" s="19"/>
      <x:c r="H471" s="26"/>
      <x:c r="I471" s="19"/>
      <x:c r="J471" s="19"/>
    </x:row>
    <x:row r="472">
      <x:c r="A472" s="19"/>
      <x:c r="B472" s="19"/>
      <x:c r="C472" s="19"/>
      <x:c r="D472" s="62"/>
      <x:c r="E472" s="25"/>
      <x:c r="F472" s="19"/>
      <x:c r="G472" s="19"/>
      <x:c r="H472" s="26"/>
      <x:c r="I472" s="19"/>
      <x:c r="J472" s="19"/>
    </x:row>
    <x:row r="473">
      <x:c r="A473" s="19"/>
      <x:c r="B473" s="19"/>
      <x:c r="C473" s="19"/>
      <x:c r="D473" s="62"/>
      <x:c r="E473" s="25"/>
      <x:c r="F473" s="19"/>
      <x:c r="G473" s="19"/>
      <x:c r="H473" s="26"/>
      <x:c r="I473" s="19"/>
      <x:c r="J473" s="19"/>
    </x:row>
    <x:row r="474">
      <x:c r="A474" s="19"/>
      <x:c r="B474" s="19"/>
      <x:c r="C474" s="19"/>
      <x:c r="D474" s="62"/>
      <x:c r="E474" s="25"/>
      <x:c r="F474" s="19"/>
      <x:c r="G474" s="19"/>
      <x:c r="H474" s="26"/>
      <x:c r="I474" s="19"/>
      <x:c r="J474" s="19"/>
    </x:row>
    <x:row r="475">
      <x:c r="A475" s="19"/>
      <x:c r="B475" s="19"/>
      <x:c r="C475" s="19"/>
      <x:c r="D475" s="62"/>
      <x:c r="E475" s="25"/>
      <x:c r="F475" s="19"/>
      <x:c r="G475" s="19"/>
      <x:c r="H475" s="26"/>
      <x:c r="I475" s="19"/>
      <x:c r="J475" s="19"/>
    </x:row>
    <x:row r="476">
      <x:c r="A476" s="19"/>
      <x:c r="B476" s="19"/>
      <x:c r="C476" s="19"/>
      <x:c r="D476" s="62"/>
      <x:c r="E476" s="25"/>
      <x:c r="F476" s="19"/>
      <x:c r="G476" s="19"/>
      <x:c r="H476" s="26"/>
      <x:c r="I476" s="19"/>
      <x:c r="J476" s="19"/>
    </x:row>
    <x:row r="477">
      <x:c r="A477" s="19"/>
      <x:c r="B477" s="19"/>
      <x:c r="C477" s="19"/>
      <x:c r="D477" s="62"/>
      <x:c r="E477" s="25"/>
      <x:c r="F477" s="19"/>
      <x:c r="G477" s="19"/>
      <x:c r="H477" s="26"/>
      <x:c r="I477" s="19"/>
      <x:c r="J477" s="19"/>
    </x:row>
    <x:row r="478">
      <x:c r="A478" s="19"/>
      <x:c r="B478" s="19"/>
      <x:c r="C478" s="19"/>
      <x:c r="D478" s="62"/>
      <x:c r="E478" s="25"/>
      <x:c r="F478" s="19"/>
      <x:c r="G478" s="19"/>
      <x:c r="H478" s="26"/>
      <x:c r="I478" s="19"/>
      <x:c r="J478" s="19"/>
    </x:row>
    <x:row r="479">
      <x:c r="A479" s="19"/>
      <x:c r="B479" s="19"/>
      <x:c r="C479" s="19"/>
      <x:c r="D479" s="62"/>
      <x:c r="E479" s="25"/>
      <x:c r="F479" s="19"/>
      <x:c r="G479" s="19"/>
      <x:c r="H479" s="26"/>
      <x:c r="I479" s="19"/>
      <x:c r="J479" s="19"/>
    </x:row>
    <x:row r="480">
      <x:c r="A480" s="19"/>
      <x:c r="B480" s="19"/>
      <x:c r="C480" s="19"/>
      <x:c r="D480" s="62"/>
      <x:c r="E480" s="25"/>
      <x:c r="F480" s="19"/>
      <x:c r="G480" s="19"/>
      <x:c r="H480" s="26"/>
      <x:c r="I480" s="19"/>
      <x:c r="J480" s="19"/>
    </x:row>
    <x:row r="481">
      <x:c r="A481" s="19"/>
      <x:c r="B481" s="19"/>
      <x:c r="C481" s="19"/>
      <x:c r="D481" s="62"/>
      <x:c r="E481" s="25"/>
      <x:c r="F481" s="19"/>
      <x:c r="G481" s="19"/>
      <x:c r="H481" s="26"/>
      <x:c r="I481" s="19"/>
      <x:c r="J481" s="19"/>
    </x:row>
    <x:row r="482">
      <x:c r="A482" s="19"/>
      <x:c r="B482" s="19"/>
      <x:c r="C482" s="19"/>
      <x:c r="D482" s="62"/>
      <x:c r="E482" s="25"/>
      <x:c r="F482" s="19"/>
      <x:c r="G482" s="19"/>
      <x:c r="H482" s="26"/>
      <x:c r="I482" s="19"/>
      <x:c r="J482" s="19"/>
    </x:row>
    <x:row r="483">
      <x:c r="A483" s="19"/>
      <x:c r="B483" s="19"/>
      <x:c r="C483" s="19"/>
      <x:c r="D483" s="62"/>
      <x:c r="E483" s="25"/>
      <x:c r="F483" s="19"/>
      <x:c r="G483" s="19"/>
      <x:c r="H483" s="26"/>
      <x:c r="I483" s="19"/>
      <x:c r="J483" s="19"/>
    </x:row>
    <x:row r="484">
      <x:c r="A484" s="19"/>
      <x:c r="B484" s="19"/>
      <x:c r="C484" s="19"/>
      <x:c r="D484" s="62"/>
      <x:c r="E484" s="25"/>
      <x:c r="F484" s="19"/>
      <x:c r="G484" s="19"/>
      <x:c r="H484" s="26"/>
      <x:c r="I484" s="19"/>
      <x:c r="J484" s="19"/>
    </x:row>
    <x:row r="485">
      <x:c r="A485" s="19"/>
      <x:c r="B485" s="19"/>
      <x:c r="C485" s="19"/>
      <x:c r="D485" s="62"/>
      <x:c r="E485" s="25"/>
      <x:c r="F485" s="19"/>
      <x:c r="G485" s="19"/>
      <x:c r="H485" s="26"/>
      <x:c r="I485" s="19"/>
      <x:c r="J485" s="19"/>
    </x:row>
    <x:row r="486">
      <x:c r="A486" s="19"/>
      <x:c r="B486" s="19"/>
      <x:c r="C486" s="19"/>
      <x:c r="D486" s="62"/>
      <x:c r="E486" s="25"/>
      <x:c r="F486" s="19"/>
      <x:c r="G486" s="19"/>
      <x:c r="H486" s="26"/>
      <x:c r="I486" s="19"/>
      <x:c r="J486" s="19"/>
    </x:row>
    <x:row r="487">
      <x:c r="A487" s="19"/>
      <x:c r="B487" s="19"/>
      <x:c r="C487" s="19"/>
      <x:c r="D487" s="62"/>
      <x:c r="E487" s="25"/>
      <x:c r="F487" s="19"/>
      <x:c r="G487" s="19"/>
      <x:c r="H487" s="26"/>
      <x:c r="I487" s="19"/>
      <x:c r="J487" s="19"/>
    </x:row>
    <x:row r="488">
      <x:c r="A488" s="19"/>
      <x:c r="B488" s="19"/>
      <x:c r="C488" s="19"/>
      <x:c r="D488" s="62"/>
      <x:c r="E488" s="25"/>
      <x:c r="F488" s="19"/>
      <x:c r="G488" s="19"/>
      <x:c r="H488" s="26"/>
      <x:c r="I488" s="19"/>
      <x:c r="J488" s="19"/>
    </x:row>
    <x:row r="489">
      <x:c r="A489" s="19"/>
      <x:c r="B489" s="19"/>
      <x:c r="C489" s="19"/>
      <x:c r="D489" s="62"/>
      <x:c r="E489" s="25"/>
      <x:c r="F489" s="19"/>
      <x:c r="G489" s="19"/>
      <x:c r="H489" s="26"/>
      <x:c r="I489" s="19"/>
      <x:c r="J489" s="19"/>
    </x:row>
    <x:row r="490">
      <x:c r="A490" s="19"/>
      <x:c r="B490" s="19"/>
      <x:c r="C490" s="19"/>
      <x:c r="D490" s="62"/>
      <x:c r="E490" s="25"/>
      <x:c r="F490" s="19"/>
      <x:c r="G490" s="19"/>
      <x:c r="H490" s="26"/>
      <x:c r="I490" s="19"/>
      <x:c r="J490" s="19"/>
    </x:row>
    <x:row r="491">
      <x:c r="A491" s="19"/>
      <x:c r="B491" s="19"/>
      <x:c r="C491" s="19"/>
      <x:c r="D491" s="62"/>
      <x:c r="E491" s="25"/>
      <x:c r="F491" s="19"/>
      <x:c r="G491" s="19"/>
      <x:c r="H491" s="26"/>
      <x:c r="I491" s="19"/>
      <x:c r="J491" s="19"/>
    </x:row>
    <x:row r="492">
      <x:c r="A492" s="19"/>
      <x:c r="B492" s="19"/>
      <x:c r="C492" s="19"/>
      <x:c r="D492" s="62"/>
      <x:c r="E492" s="25"/>
      <x:c r="F492" s="19"/>
      <x:c r="G492" s="19"/>
      <x:c r="H492" s="26"/>
      <x:c r="I492" s="19"/>
      <x:c r="J492" s="19"/>
    </x:row>
    <x:row r="493">
      <x:c r="A493" s="19"/>
      <x:c r="B493" s="19"/>
      <x:c r="C493" s="19"/>
      <x:c r="D493" s="62"/>
      <x:c r="E493" s="25"/>
      <x:c r="F493" s="19"/>
      <x:c r="G493" s="19"/>
      <x:c r="H493" s="26"/>
      <x:c r="I493" s="19"/>
      <x:c r="J493" s="19"/>
    </x:row>
    <x:row r="494">
      <x:c r="A494" s="19"/>
      <x:c r="B494" s="19"/>
      <x:c r="C494" s="19"/>
      <x:c r="D494" s="62"/>
      <x:c r="E494" s="25"/>
      <x:c r="F494" s="19"/>
      <x:c r="G494" s="19"/>
      <x:c r="H494" s="26"/>
      <x:c r="I494" s="19"/>
      <x:c r="J494" s="19"/>
    </x:row>
    <x:row r="495">
      <x:c r="A495" s="19"/>
      <x:c r="B495" s="19"/>
      <x:c r="C495" s="19"/>
      <x:c r="D495" s="62"/>
      <x:c r="E495" s="25"/>
      <x:c r="F495" s="19"/>
      <x:c r="G495" s="19"/>
      <x:c r="H495" s="26"/>
      <x:c r="I495" s="19"/>
      <x:c r="J495" s="19"/>
    </x:row>
    <x:row r="496">
      <x:c r="A496" s="19"/>
      <x:c r="B496" s="19"/>
      <x:c r="C496" s="19"/>
      <x:c r="D496" s="62"/>
      <x:c r="E496" s="25"/>
      <x:c r="F496" s="19"/>
      <x:c r="G496" s="19"/>
      <x:c r="H496" s="26"/>
      <x:c r="I496" s="19"/>
      <x:c r="J496" s="19"/>
    </x:row>
    <x:row r="497">
      <x:c r="A497" s="19"/>
      <x:c r="B497" s="19"/>
      <x:c r="C497" s="19"/>
      <x:c r="D497" s="62"/>
      <x:c r="E497" s="25"/>
      <x:c r="F497" s="19"/>
      <x:c r="G497" s="19"/>
      <x:c r="H497" s="26"/>
      <x:c r="I497" s="19"/>
      <x:c r="J497" s="19"/>
    </x:row>
    <x:row r="498">
      <x:c r="A498" s="19"/>
      <x:c r="B498" s="19"/>
      <x:c r="C498" s="19"/>
      <x:c r="D498" s="62"/>
      <x:c r="E498" s="25"/>
      <x:c r="F498" s="19"/>
      <x:c r="G498" s="19"/>
      <x:c r="H498" s="26"/>
      <x:c r="I498" s="19"/>
      <x:c r="J498" s="19"/>
    </x:row>
    <x:row r="499">
      <x:c r="A499" s="19"/>
      <x:c r="B499" s="19"/>
      <x:c r="C499" s="19"/>
      <x:c r="D499" s="62"/>
      <x:c r="E499" s="25"/>
      <x:c r="F499" s="19"/>
      <x:c r="G499" s="19"/>
      <x:c r="H499" s="26"/>
      <x:c r="I499" s="19"/>
      <x:c r="J499" s="19"/>
    </x:row>
    <x:row r="500">
      <x:c r="A500" s="19"/>
      <x:c r="B500" s="19"/>
      <x:c r="C500" s="19"/>
      <x:c r="D500" s="62"/>
      <x:c r="E500" s="25"/>
      <x:c r="F500" s="19"/>
      <x:c r="G500" s="19"/>
      <x:c r="H500" s="26"/>
      <x:c r="I500" s="19"/>
      <x:c r="J500" s="19"/>
    </x:row>
  </x:sheetData>
  <x:conditionalFormatting sqref="B2:B500">
    <x:cfRule type="expression" dxfId="211" priority="1">
      <x:formula>AND($A2&lt;&gt;"",B2="")</x:formula>
    </x:cfRule>
  </x:conditionalFormatting>
  <x:conditionalFormatting sqref="C2:C500">
    <x:cfRule type="expression" dxfId="212" priority="2">
      <x:formula>AND($A2&lt;&gt;"",C2="")</x:formula>
    </x:cfRule>
  </x:conditionalFormatting>
  <x:conditionalFormatting sqref="D2:D500">
    <x:cfRule type="expression" dxfId="213" priority="3">
      <x:formula>AND($A2&lt;&gt;"",D2="")</x:formula>
    </x:cfRule>
  </x:conditionalFormatting>
  <x:conditionalFormatting sqref="H2:H500">
    <x:cfRule type="expression" dxfId="214" priority="4">
      <x:formula>AND($A2&lt;&gt;"",H2="")</x:formula>
    </x:cfRule>
  </x:conditionalFormatting>
  <x:conditionalFormatting sqref="J2:J500">
    <x:cfRule type="expression" dxfId="215" priority="5">
      <x:formula>AND($A2&lt;&gt;"",J2="")</x:formula>
    </x:cfRule>
  </x:conditionalFormatting>
  <x:dataValidations count="1">
    <x:dataValidation type="list" sqref="C2:C500">
      <x:formula1>"opening,purchase,sale,return_in,return_out,adjustment"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81b61928bc438e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9" hidden="0" customWidth="1"/>
    <x:col min="4" max="4" width="15" hidden="0" customWidth="1"/>
    <x:col min="5" max="5" width="28" hidden="0" customWidth="1"/>
    <x:col min="6" max="6" width="11" hidden="0" customWidth="1"/>
    <x:col min="7" max="7" width="24" hidden="0" customWidth="1"/>
    <x:col min="8" max="8" width="15" hidden="0" customWidth="1"/>
    <x:col min="9" max="9" width="14" hidden="0" customWidth="1"/>
    <x:col min="10" max="10" width="28" hidden="0" customWidth="1"/>
    <x:col min="11" max="11" width="19" hidden="0" customWidth="1"/>
  </x:cols>
  <x:sheetData>
    <x:row r="1" ht="46" customHeight="1">
      <x:c r="A1" s="12" t="str">
        <x:v>شناسه تأمین‌کننده *
(supplier_id)</x:v>
      </x:c>
      <x:c r="B1" s="13" t="str">
        <x:v>نام *
(name)</x:v>
      </x:c>
      <x:c r="C1" s="13" t="str">
        <x:v>موبایل
(normalized_mobile)</x:v>
      </x:c>
      <x:c r="D1" s="13" t="str">
        <x:v>شهر
(city)</x:v>
      </x:c>
      <x:c r="E1" s="13" t="str">
        <x:v>دسته‌های تأمین
(categories)</x:v>
      </x:c>
      <x:c r="F1" s="13" t="str">
        <x:v>امتیاز
(score)</x:v>
      </x:c>
      <x:c r="G1" s="13" t="str">
        <x:v>شرایط پرداخت
(payment_terms)</x:v>
      </x:c>
      <x:c r="H1" s="13" t="str">
        <x:v>زمان تأمین روز
(lead_time_days)</x:v>
      </x:c>
      <x:c r="I1" s="13" t="str">
        <x:v>وضعیت *
(status)</x:v>
      </x:c>
      <x:c r="J1" s="13" t="str">
        <x:v>توضیحات
(notes)</x:v>
      </x:c>
      <x:c r="K1" s="14" t="str">
        <x:v>زمان ایجاد *
(created_at)</x:v>
      </x:c>
    </x:row>
    <x:row r="2">
      <x:c r="A2" s="28" t="str">
        <x:v>sup_001</x:v>
      </x:c>
      <x:c r="B2" s="29" t="str">
        <x:v>تأمین‌کننده نوین</x:v>
      </x:c>
      <x:c r="C2" s="29" t="str">
        <x:v>+98 912 111 1111</x:v>
      </x:c>
      <x:c r="D2" s="29" t="str">
        <x:v>تهران</x:v>
      </x:c>
      <x:c r="E2" s="29" t="str">
        <x:v>دسته اصلی</x:v>
      </x:c>
      <x:c r="F2" s="34" t="n">
        <x:v>82</x:v>
      </x:c>
      <x:c r="G2" s="29" t="str">
        <x:v>نقدی</x:v>
      </x:c>
      <x:c r="H2" s="34" t="n">
        <x:v>3</x:v>
      </x:c>
      <x:c r="I2" s="29" t="str">
        <x:v>active</x:v>
      </x:c>
      <x:c r="J2" s="29" t="str">
        <x:v>پاسخ‌گو</x:v>
      </x:c>
      <x:c r="K2" s="83" t="n">
        <x:v>46023.229166666664</x:v>
      </x:c>
    </x:row>
    <x:row r="3">
      <x:c r="A3" s="46" t="str">
        <x:v>sup_002</x:v>
      </x:c>
      <x:c r="B3" s="47" t="str">
        <x:v>بازرگانی سپند</x:v>
      </x:c>
      <x:c r="C3" s="47" t="str">
        <x:v>+98 913 111 1112</x:v>
      </x:c>
      <x:c r="D3" s="47" t="str">
        <x:v>اصفهان</x:v>
      </x:c>
      <x:c r="E3" s="47" t="str">
        <x:v>دسته مکمل</x:v>
      </x:c>
      <x:c r="F3" s="52" t="n">
        <x:v>75</x:v>
      </x:c>
      <x:c r="G3" s="47" t="str">
        <x:v>۵۰٪ پیش‌پرداخت</x:v>
      </x:c>
      <x:c r="H3" s="52" t="n">
        <x:v>5</x:v>
      </x:c>
      <x:c r="I3" s="47" t="str">
        <x:v>active</x:v>
      </x:c>
      <x:c r="J3" s="47" t="str"/>
      <x:c r="K3" s="85" t="n">
        <x:v>46054.229166666664</x:v>
      </x:c>
    </x:row>
    <x:row r="4">
      <x:c r="A4" s="19"/>
      <x:c r="B4" s="19"/>
      <x:c r="C4" s="19"/>
      <x:c r="D4" s="19"/>
      <x:c r="E4" s="19"/>
      <x:c r="F4" s="27"/>
      <x:c r="G4" s="19"/>
      <x:c r="H4" s="27"/>
      <x:c r="I4" s="19"/>
      <x:c r="J4" s="19"/>
      <x:c r="K4" s="26"/>
    </x:row>
    <x:row r="5">
      <x:c r="A5" s="19"/>
      <x:c r="B5" s="19"/>
      <x:c r="C5" s="19"/>
      <x:c r="D5" s="19"/>
      <x:c r="E5" s="19"/>
      <x:c r="F5" s="27"/>
      <x:c r="G5" s="19"/>
      <x:c r="H5" s="27"/>
      <x:c r="I5" s="19"/>
      <x:c r="J5" s="19"/>
      <x:c r="K5" s="26"/>
    </x:row>
    <x:row r="6">
      <x:c r="A6" s="19"/>
      <x:c r="B6" s="19"/>
      <x:c r="C6" s="19"/>
      <x:c r="D6" s="19"/>
      <x:c r="E6" s="19"/>
      <x:c r="F6" s="27"/>
      <x:c r="G6" s="19"/>
      <x:c r="H6" s="27"/>
      <x:c r="I6" s="19"/>
      <x:c r="J6" s="19"/>
      <x:c r="K6" s="26"/>
    </x:row>
    <x:row r="7">
      <x:c r="A7" s="19"/>
      <x:c r="B7" s="19"/>
      <x:c r="C7" s="19"/>
      <x:c r="D7" s="19"/>
      <x:c r="E7" s="19"/>
      <x:c r="F7" s="27"/>
      <x:c r="G7" s="19"/>
      <x:c r="H7" s="27"/>
      <x:c r="I7" s="19"/>
      <x:c r="J7" s="19"/>
      <x:c r="K7" s="26"/>
    </x:row>
    <x:row r="8">
      <x:c r="A8" s="19"/>
      <x:c r="B8" s="19"/>
      <x:c r="C8" s="19"/>
      <x:c r="D8" s="19"/>
      <x:c r="E8" s="19"/>
      <x:c r="F8" s="27"/>
      <x:c r="G8" s="19"/>
      <x:c r="H8" s="27"/>
      <x:c r="I8" s="19"/>
      <x:c r="J8" s="19"/>
      <x:c r="K8" s="26"/>
    </x:row>
    <x:row r="9">
      <x:c r="A9" s="19"/>
      <x:c r="B9" s="19"/>
      <x:c r="C9" s="19"/>
      <x:c r="D9" s="19"/>
      <x:c r="E9" s="19"/>
      <x:c r="F9" s="27"/>
      <x:c r="G9" s="19"/>
      <x:c r="H9" s="27"/>
      <x:c r="I9" s="19"/>
      <x:c r="J9" s="19"/>
      <x:c r="K9" s="26"/>
    </x:row>
    <x:row r="10">
      <x:c r="A10" s="19"/>
      <x:c r="B10" s="19"/>
      <x:c r="C10" s="19"/>
      <x:c r="D10" s="19"/>
      <x:c r="E10" s="19"/>
      <x:c r="F10" s="27"/>
      <x:c r="G10" s="19"/>
      <x:c r="H10" s="27"/>
      <x:c r="I10" s="19"/>
      <x:c r="J10" s="19"/>
      <x:c r="K10" s="26"/>
    </x:row>
    <x:row r="11">
      <x:c r="A11" s="19"/>
      <x:c r="B11" s="19"/>
      <x:c r="C11" s="19"/>
      <x:c r="D11" s="19"/>
      <x:c r="E11" s="19"/>
      <x:c r="F11" s="27"/>
      <x:c r="G11" s="19"/>
      <x:c r="H11" s="27"/>
      <x:c r="I11" s="19"/>
      <x:c r="J11" s="19"/>
      <x:c r="K11" s="26"/>
    </x:row>
    <x:row r="12">
      <x:c r="A12" s="19"/>
      <x:c r="B12" s="19"/>
      <x:c r="C12" s="19"/>
      <x:c r="D12" s="19"/>
      <x:c r="E12" s="19"/>
      <x:c r="F12" s="27"/>
      <x:c r="G12" s="19"/>
      <x:c r="H12" s="27"/>
      <x:c r="I12" s="19"/>
      <x:c r="J12" s="19"/>
      <x:c r="K12" s="26"/>
    </x:row>
    <x:row r="13">
      <x:c r="A13" s="19"/>
      <x:c r="B13" s="19"/>
      <x:c r="C13" s="19"/>
      <x:c r="D13" s="19"/>
      <x:c r="E13" s="19"/>
      <x:c r="F13" s="27"/>
      <x:c r="G13" s="19"/>
      <x:c r="H13" s="27"/>
      <x:c r="I13" s="19"/>
      <x:c r="J13" s="19"/>
      <x:c r="K13" s="26"/>
    </x:row>
    <x:row r="14">
      <x:c r="A14" s="19"/>
      <x:c r="B14" s="19"/>
      <x:c r="C14" s="19"/>
      <x:c r="D14" s="19"/>
      <x:c r="E14" s="19"/>
      <x:c r="F14" s="27"/>
      <x:c r="G14" s="19"/>
      <x:c r="H14" s="27"/>
      <x:c r="I14" s="19"/>
      <x:c r="J14" s="19"/>
      <x:c r="K14" s="26"/>
    </x:row>
    <x:row r="15">
      <x:c r="A15" s="19"/>
      <x:c r="B15" s="19"/>
      <x:c r="C15" s="19"/>
      <x:c r="D15" s="19"/>
      <x:c r="E15" s="19"/>
      <x:c r="F15" s="27"/>
      <x:c r="G15" s="19"/>
      <x:c r="H15" s="27"/>
      <x:c r="I15" s="19"/>
      <x:c r="J15" s="19"/>
      <x:c r="K15" s="26"/>
    </x:row>
    <x:row r="16">
      <x:c r="A16" s="19"/>
      <x:c r="B16" s="19"/>
      <x:c r="C16" s="19"/>
      <x:c r="D16" s="19"/>
      <x:c r="E16" s="19"/>
      <x:c r="F16" s="27"/>
      <x:c r="G16" s="19"/>
      <x:c r="H16" s="27"/>
      <x:c r="I16" s="19"/>
      <x:c r="J16" s="19"/>
      <x:c r="K16" s="26"/>
    </x:row>
    <x:row r="17">
      <x:c r="A17" s="19"/>
      <x:c r="B17" s="19"/>
      <x:c r="C17" s="19"/>
      <x:c r="D17" s="19"/>
      <x:c r="E17" s="19"/>
      <x:c r="F17" s="27"/>
      <x:c r="G17" s="19"/>
      <x:c r="H17" s="27"/>
      <x:c r="I17" s="19"/>
      <x:c r="J17" s="19"/>
      <x:c r="K17" s="26"/>
    </x:row>
    <x:row r="18">
      <x:c r="A18" s="19"/>
      <x:c r="B18" s="19"/>
      <x:c r="C18" s="19"/>
      <x:c r="D18" s="19"/>
      <x:c r="E18" s="19"/>
      <x:c r="F18" s="27"/>
      <x:c r="G18" s="19"/>
      <x:c r="H18" s="27"/>
      <x:c r="I18" s="19"/>
      <x:c r="J18" s="19"/>
      <x:c r="K18" s="26"/>
    </x:row>
    <x:row r="19">
      <x:c r="A19" s="19"/>
      <x:c r="B19" s="19"/>
      <x:c r="C19" s="19"/>
      <x:c r="D19" s="19"/>
      <x:c r="E19" s="19"/>
      <x:c r="F19" s="27"/>
      <x:c r="G19" s="19"/>
      <x:c r="H19" s="27"/>
      <x:c r="I19" s="19"/>
      <x:c r="J19" s="19"/>
      <x:c r="K19" s="26"/>
    </x:row>
    <x:row r="20">
      <x:c r="A20" s="19"/>
      <x:c r="B20" s="19"/>
      <x:c r="C20" s="19"/>
      <x:c r="D20" s="19"/>
      <x:c r="E20" s="19"/>
      <x:c r="F20" s="27"/>
      <x:c r="G20" s="19"/>
      <x:c r="H20" s="27"/>
      <x:c r="I20" s="19"/>
      <x:c r="J20" s="19"/>
      <x:c r="K20" s="26"/>
    </x:row>
    <x:row r="21">
      <x:c r="A21" s="19"/>
      <x:c r="B21" s="19"/>
      <x:c r="C21" s="19"/>
      <x:c r="D21" s="19"/>
      <x:c r="E21" s="19"/>
      <x:c r="F21" s="27"/>
      <x:c r="G21" s="19"/>
      <x:c r="H21" s="27"/>
      <x:c r="I21" s="19"/>
      <x:c r="J21" s="19"/>
      <x:c r="K21" s="26"/>
    </x:row>
    <x:row r="22">
      <x:c r="A22" s="19"/>
      <x:c r="B22" s="19"/>
      <x:c r="C22" s="19"/>
      <x:c r="D22" s="19"/>
      <x:c r="E22" s="19"/>
      <x:c r="F22" s="27"/>
      <x:c r="G22" s="19"/>
      <x:c r="H22" s="27"/>
      <x:c r="I22" s="19"/>
      <x:c r="J22" s="19"/>
      <x:c r="K22" s="26"/>
    </x:row>
    <x:row r="23">
      <x:c r="A23" s="19"/>
      <x:c r="B23" s="19"/>
      <x:c r="C23" s="19"/>
      <x:c r="D23" s="19"/>
      <x:c r="E23" s="19"/>
      <x:c r="F23" s="27"/>
      <x:c r="G23" s="19"/>
      <x:c r="H23" s="27"/>
      <x:c r="I23" s="19"/>
      <x:c r="J23" s="19"/>
      <x:c r="K23" s="26"/>
    </x:row>
    <x:row r="24">
      <x:c r="A24" s="19"/>
      <x:c r="B24" s="19"/>
      <x:c r="C24" s="19"/>
      <x:c r="D24" s="19"/>
      <x:c r="E24" s="19"/>
      <x:c r="F24" s="27"/>
      <x:c r="G24" s="19"/>
      <x:c r="H24" s="27"/>
      <x:c r="I24" s="19"/>
      <x:c r="J24" s="19"/>
      <x:c r="K24" s="26"/>
    </x:row>
    <x:row r="25">
      <x:c r="A25" s="19"/>
      <x:c r="B25" s="19"/>
      <x:c r="C25" s="19"/>
      <x:c r="D25" s="19"/>
      <x:c r="E25" s="19"/>
      <x:c r="F25" s="27"/>
      <x:c r="G25" s="19"/>
      <x:c r="H25" s="27"/>
      <x:c r="I25" s="19"/>
      <x:c r="J25" s="19"/>
      <x:c r="K25" s="26"/>
    </x:row>
    <x:row r="26">
      <x:c r="A26" s="19"/>
      <x:c r="B26" s="19"/>
      <x:c r="C26" s="19"/>
      <x:c r="D26" s="19"/>
      <x:c r="E26" s="19"/>
      <x:c r="F26" s="27"/>
      <x:c r="G26" s="19"/>
      <x:c r="H26" s="27"/>
      <x:c r="I26" s="19"/>
      <x:c r="J26" s="19"/>
      <x:c r="K26" s="26"/>
    </x:row>
    <x:row r="27">
      <x:c r="A27" s="19"/>
      <x:c r="B27" s="19"/>
      <x:c r="C27" s="19"/>
      <x:c r="D27" s="19"/>
      <x:c r="E27" s="19"/>
      <x:c r="F27" s="27"/>
      <x:c r="G27" s="19"/>
      <x:c r="H27" s="27"/>
      <x:c r="I27" s="19"/>
      <x:c r="J27" s="19"/>
      <x:c r="K27" s="26"/>
    </x:row>
    <x:row r="28">
      <x:c r="A28" s="19"/>
      <x:c r="B28" s="19"/>
      <x:c r="C28" s="19"/>
      <x:c r="D28" s="19"/>
      <x:c r="E28" s="19"/>
      <x:c r="F28" s="27"/>
      <x:c r="G28" s="19"/>
      <x:c r="H28" s="27"/>
      <x:c r="I28" s="19"/>
      <x:c r="J28" s="19"/>
      <x:c r="K28" s="26"/>
    </x:row>
    <x:row r="29">
      <x:c r="A29" s="19"/>
      <x:c r="B29" s="19"/>
      <x:c r="C29" s="19"/>
      <x:c r="D29" s="19"/>
      <x:c r="E29" s="19"/>
      <x:c r="F29" s="27"/>
      <x:c r="G29" s="19"/>
      <x:c r="H29" s="27"/>
      <x:c r="I29" s="19"/>
      <x:c r="J29" s="19"/>
      <x:c r="K29" s="26"/>
    </x:row>
    <x:row r="30">
      <x:c r="A30" s="19"/>
      <x:c r="B30" s="19"/>
      <x:c r="C30" s="19"/>
      <x:c r="D30" s="19"/>
      <x:c r="E30" s="19"/>
      <x:c r="F30" s="27"/>
      <x:c r="G30" s="19"/>
      <x:c r="H30" s="27"/>
      <x:c r="I30" s="19"/>
      <x:c r="J30" s="19"/>
      <x:c r="K30" s="26"/>
    </x:row>
    <x:row r="31">
      <x:c r="A31" s="19"/>
      <x:c r="B31" s="19"/>
      <x:c r="C31" s="19"/>
      <x:c r="D31" s="19"/>
      <x:c r="E31" s="19"/>
      <x:c r="F31" s="27"/>
      <x:c r="G31" s="19"/>
      <x:c r="H31" s="27"/>
      <x:c r="I31" s="19"/>
      <x:c r="J31" s="19"/>
      <x:c r="K31" s="26"/>
    </x:row>
    <x:row r="32">
      <x:c r="A32" s="19"/>
      <x:c r="B32" s="19"/>
      <x:c r="C32" s="19"/>
      <x:c r="D32" s="19"/>
      <x:c r="E32" s="19"/>
      <x:c r="F32" s="27"/>
      <x:c r="G32" s="19"/>
      <x:c r="H32" s="27"/>
      <x:c r="I32" s="19"/>
      <x:c r="J32" s="19"/>
      <x:c r="K32" s="26"/>
    </x:row>
    <x:row r="33">
      <x:c r="A33" s="19"/>
      <x:c r="B33" s="19"/>
      <x:c r="C33" s="19"/>
      <x:c r="D33" s="19"/>
      <x:c r="E33" s="19"/>
      <x:c r="F33" s="27"/>
      <x:c r="G33" s="19"/>
      <x:c r="H33" s="27"/>
      <x:c r="I33" s="19"/>
      <x:c r="J33" s="19"/>
      <x:c r="K33" s="26"/>
    </x:row>
    <x:row r="34">
      <x:c r="A34" s="19"/>
      <x:c r="B34" s="19"/>
      <x:c r="C34" s="19"/>
      <x:c r="D34" s="19"/>
      <x:c r="E34" s="19"/>
      <x:c r="F34" s="27"/>
      <x:c r="G34" s="19"/>
      <x:c r="H34" s="27"/>
      <x:c r="I34" s="19"/>
      <x:c r="J34" s="19"/>
      <x:c r="K34" s="26"/>
    </x:row>
    <x:row r="35">
      <x:c r="A35" s="19"/>
      <x:c r="B35" s="19"/>
      <x:c r="C35" s="19"/>
      <x:c r="D35" s="19"/>
      <x:c r="E35" s="19"/>
      <x:c r="F35" s="27"/>
      <x:c r="G35" s="19"/>
      <x:c r="H35" s="27"/>
      <x:c r="I35" s="19"/>
      <x:c r="J35" s="19"/>
      <x:c r="K35" s="26"/>
    </x:row>
    <x:row r="36">
      <x:c r="A36" s="19"/>
      <x:c r="B36" s="19"/>
      <x:c r="C36" s="19"/>
      <x:c r="D36" s="19"/>
      <x:c r="E36" s="19"/>
      <x:c r="F36" s="27"/>
      <x:c r="G36" s="19"/>
      <x:c r="H36" s="27"/>
      <x:c r="I36" s="19"/>
      <x:c r="J36" s="19"/>
      <x:c r="K36" s="26"/>
    </x:row>
    <x:row r="37">
      <x:c r="A37" s="19"/>
      <x:c r="B37" s="19"/>
      <x:c r="C37" s="19"/>
      <x:c r="D37" s="19"/>
      <x:c r="E37" s="19"/>
      <x:c r="F37" s="27"/>
      <x:c r="G37" s="19"/>
      <x:c r="H37" s="27"/>
      <x:c r="I37" s="19"/>
      <x:c r="J37" s="19"/>
      <x:c r="K37" s="26"/>
    </x:row>
    <x:row r="38">
      <x:c r="A38" s="19"/>
      <x:c r="B38" s="19"/>
      <x:c r="C38" s="19"/>
      <x:c r="D38" s="19"/>
      <x:c r="E38" s="19"/>
      <x:c r="F38" s="27"/>
      <x:c r="G38" s="19"/>
      <x:c r="H38" s="27"/>
      <x:c r="I38" s="19"/>
      <x:c r="J38" s="19"/>
      <x:c r="K38" s="26"/>
    </x:row>
    <x:row r="39">
      <x:c r="A39" s="19"/>
      <x:c r="B39" s="19"/>
      <x:c r="C39" s="19"/>
      <x:c r="D39" s="19"/>
      <x:c r="E39" s="19"/>
      <x:c r="F39" s="27"/>
      <x:c r="G39" s="19"/>
      <x:c r="H39" s="27"/>
      <x:c r="I39" s="19"/>
      <x:c r="J39" s="19"/>
      <x:c r="K39" s="26"/>
    </x:row>
    <x:row r="40">
      <x:c r="A40" s="19"/>
      <x:c r="B40" s="19"/>
      <x:c r="C40" s="19"/>
      <x:c r="D40" s="19"/>
      <x:c r="E40" s="19"/>
      <x:c r="F40" s="27"/>
      <x:c r="G40" s="19"/>
      <x:c r="H40" s="27"/>
      <x:c r="I40" s="19"/>
      <x:c r="J40" s="19"/>
      <x:c r="K40" s="26"/>
    </x:row>
    <x:row r="41">
      <x:c r="A41" s="19"/>
      <x:c r="B41" s="19"/>
      <x:c r="C41" s="19"/>
      <x:c r="D41" s="19"/>
      <x:c r="E41" s="19"/>
      <x:c r="F41" s="27"/>
      <x:c r="G41" s="19"/>
      <x:c r="H41" s="27"/>
      <x:c r="I41" s="19"/>
      <x:c r="J41" s="19"/>
      <x:c r="K41" s="26"/>
    </x:row>
    <x:row r="42">
      <x:c r="A42" s="19"/>
      <x:c r="B42" s="19"/>
      <x:c r="C42" s="19"/>
      <x:c r="D42" s="19"/>
      <x:c r="E42" s="19"/>
      <x:c r="F42" s="27"/>
      <x:c r="G42" s="19"/>
      <x:c r="H42" s="27"/>
      <x:c r="I42" s="19"/>
      <x:c r="J42" s="19"/>
      <x:c r="K42" s="26"/>
    </x:row>
    <x:row r="43">
      <x:c r="A43" s="19"/>
      <x:c r="B43" s="19"/>
      <x:c r="C43" s="19"/>
      <x:c r="D43" s="19"/>
      <x:c r="E43" s="19"/>
      <x:c r="F43" s="27"/>
      <x:c r="G43" s="19"/>
      <x:c r="H43" s="27"/>
      <x:c r="I43" s="19"/>
      <x:c r="J43" s="19"/>
      <x:c r="K43" s="26"/>
    </x:row>
    <x:row r="44">
      <x:c r="A44" s="19"/>
      <x:c r="B44" s="19"/>
      <x:c r="C44" s="19"/>
      <x:c r="D44" s="19"/>
      <x:c r="E44" s="19"/>
      <x:c r="F44" s="27"/>
      <x:c r="G44" s="19"/>
      <x:c r="H44" s="27"/>
      <x:c r="I44" s="19"/>
      <x:c r="J44" s="19"/>
      <x:c r="K44" s="26"/>
    </x:row>
    <x:row r="45">
      <x:c r="A45" s="19"/>
      <x:c r="B45" s="19"/>
      <x:c r="C45" s="19"/>
      <x:c r="D45" s="19"/>
      <x:c r="E45" s="19"/>
      <x:c r="F45" s="27"/>
      <x:c r="G45" s="19"/>
      <x:c r="H45" s="27"/>
      <x:c r="I45" s="19"/>
      <x:c r="J45" s="19"/>
      <x:c r="K45" s="26"/>
    </x:row>
    <x:row r="46">
      <x:c r="A46" s="19"/>
      <x:c r="B46" s="19"/>
      <x:c r="C46" s="19"/>
      <x:c r="D46" s="19"/>
      <x:c r="E46" s="19"/>
      <x:c r="F46" s="27"/>
      <x:c r="G46" s="19"/>
      <x:c r="H46" s="27"/>
      <x:c r="I46" s="19"/>
      <x:c r="J46" s="19"/>
      <x:c r="K46" s="26"/>
    </x:row>
    <x:row r="47">
      <x:c r="A47" s="19"/>
      <x:c r="B47" s="19"/>
      <x:c r="C47" s="19"/>
      <x:c r="D47" s="19"/>
      <x:c r="E47" s="19"/>
      <x:c r="F47" s="27"/>
      <x:c r="G47" s="19"/>
      <x:c r="H47" s="27"/>
      <x:c r="I47" s="19"/>
      <x:c r="J47" s="19"/>
      <x:c r="K47" s="26"/>
    </x:row>
    <x:row r="48">
      <x:c r="A48" s="19"/>
      <x:c r="B48" s="19"/>
      <x:c r="C48" s="19"/>
      <x:c r="D48" s="19"/>
      <x:c r="E48" s="19"/>
      <x:c r="F48" s="27"/>
      <x:c r="G48" s="19"/>
      <x:c r="H48" s="27"/>
      <x:c r="I48" s="19"/>
      <x:c r="J48" s="19"/>
      <x:c r="K48" s="26"/>
    </x:row>
    <x:row r="49">
      <x:c r="A49" s="19"/>
      <x:c r="B49" s="19"/>
      <x:c r="C49" s="19"/>
      <x:c r="D49" s="19"/>
      <x:c r="E49" s="19"/>
      <x:c r="F49" s="27"/>
      <x:c r="G49" s="19"/>
      <x:c r="H49" s="27"/>
      <x:c r="I49" s="19"/>
      <x:c r="J49" s="19"/>
      <x:c r="K49" s="26"/>
    </x:row>
    <x:row r="50">
      <x:c r="A50" s="19"/>
      <x:c r="B50" s="19"/>
      <x:c r="C50" s="19"/>
      <x:c r="D50" s="19"/>
      <x:c r="E50" s="19"/>
      <x:c r="F50" s="27"/>
      <x:c r="G50" s="19"/>
      <x:c r="H50" s="27"/>
      <x:c r="I50" s="19"/>
      <x:c r="J50" s="19"/>
      <x:c r="K50" s="26"/>
    </x:row>
    <x:row r="51">
      <x:c r="A51" s="19"/>
      <x:c r="B51" s="19"/>
      <x:c r="C51" s="19"/>
      <x:c r="D51" s="19"/>
      <x:c r="E51" s="19"/>
      <x:c r="F51" s="27"/>
      <x:c r="G51" s="19"/>
      <x:c r="H51" s="27"/>
      <x:c r="I51" s="19"/>
      <x:c r="J51" s="19"/>
      <x:c r="K51" s="26"/>
    </x:row>
    <x:row r="52">
      <x:c r="A52" s="19"/>
      <x:c r="B52" s="19"/>
      <x:c r="C52" s="19"/>
      <x:c r="D52" s="19"/>
      <x:c r="E52" s="19"/>
      <x:c r="F52" s="27"/>
      <x:c r="G52" s="19"/>
      <x:c r="H52" s="27"/>
      <x:c r="I52" s="19"/>
      <x:c r="J52" s="19"/>
      <x:c r="K52" s="26"/>
    </x:row>
    <x:row r="53">
      <x:c r="A53" s="19"/>
      <x:c r="B53" s="19"/>
      <x:c r="C53" s="19"/>
      <x:c r="D53" s="19"/>
      <x:c r="E53" s="19"/>
      <x:c r="F53" s="27"/>
      <x:c r="G53" s="19"/>
      <x:c r="H53" s="27"/>
      <x:c r="I53" s="19"/>
      <x:c r="J53" s="19"/>
      <x:c r="K53" s="26"/>
    </x:row>
    <x:row r="54">
      <x:c r="A54" s="19"/>
      <x:c r="B54" s="19"/>
      <x:c r="C54" s="19"/>
      <x:c r="D54" s="19"/>
      <x:c r="E54" s="19"/>
      <x:c r="F54" s="27"/>
      <x:c r="G54" s="19"/>
      <x:c r="H54" s="27"/>
      <x:c r="I54" s="19"/>
      <x:c r="J54" s="19"/>
      <x:c r="K54" s="26"/>
    </x:row>
    <x:row r="55">
      <x:c r="A55" s="19"/>
      <x:c r="B55" s="19"/>
      <x:c r="C55" s="19"/>
      <x:c r="D55" s="19"/>
      <x:c r="E55" s="19"/>
      <x:c r="F55" s="27"/>
      <x:c r="G55" s="19"/>
      <x:c r="H55" s="27"/>
      <x:c r="I55" s="19"/>
      <x:c r="J55" s="19"/>
      <x:c r="K55" s="26"/>
    </x:row>
    <x:row r="56">
      <x:c r="A56" s="19"/>
      <x:c r="B56" s="19"/>
      <x:c r="C56" s="19"/>
      <x:c r="D56" s="19"/>
      <x:c r="E56" s="19"/>
      <x:c r="F56" s="27"/>
      <x:c r="G56" s="19"/>
      <x:c r="H56" s="27"/>
      <x:c r="I56" s="19"/>
      <x:c r="J56" s="19"/>
      <x:c r="K56" s="26"/>
    </x:row>
    <x:row r="57">
      <x:c r="A57" s="19"/>
      <x:c r="B57" s="19"/>
      <x:c r="C57" s="19"/>
      <x:c r="D57" s="19"/>
      <x:c r="E57" s="19"/>
      <x:c r="F57" s="27"/>
      <x:c r="G57" s="19"/>
      <x:c r="H57" s="27"/>
      <x:c r="I57" s="19"/>
      <x:c r="J57" s="19"/>
      <x:c r="K57" s="26"/>
    </x:row>
    <x:row r="58">
      <x:c r="A58" s="19"/>
      <x:c r="B58" s="19"/>
      <x:c r="C58" s="19"/>
      <x:c r="D58" s="19"/>
      <x:c r="E58" s="19"/>
      <x:c r="F58" s="27"/>
      <x:c r="G58" s="19"/>
      <x:c r="H58" s="27"/>
      <x:c r="I58" s="19"/>
      <x:c r="J58" s="19"/>
      <x:c r="K58" s="26"/>
    </x:row>
    <x:row r="59">
      <x:c r="A59" s="19"/>
      <x:c r="B59" s="19"/>
      <x:c r="C59" s="19"/>
      <x:c r="D59" s="19"/>
      <x:c r="E59" s="19"/>
      <x:c r="F59" s="27"/>
      <x:c r="G59" s="19"/>
      <x:c r="H59" s="27"/>
      <x:c r="I59" s="19"/>
      <x:c r="J59" s="19"/>
      <x:c r="K59" s="26"/>
    </x:row>
    <x:row r="60">
      <x:c r="A60" s="19"/>
      <x:c r="B60" s="19"/>
      <x:c r="C60" s="19"/>
      <x:c r="D60" s="19"/>
      <x:c r="E60" s="19"/>
      <x:c r="F60" s="27"/>
      <x:c r="G60" s="19"/>
      <x:c r="H60" s="27"/>
      <x:c r="I60" s="19"/>
      <x:c r="J60" s="19"/>
      <x:c r="K60" s="26"/>
    </x:row>
    <x:row r="61">
      <x:c r="A61" s="19"/>
      <x:c r="B61" s="19"/>
      <x:c r="C61" s="19"/>
      <x:c r="D61" s="19"/>
      <x:c r="E61" s="19"/>
      <x:c r="F61" s="27"/>
      <x:c r="G61" s="19"/>
      <x:c r="H61" s="27"/>
      <x:c r="I61" s="19"/>
      <x:c r="J61" s="19"/>
      <x:c r="K61" s="26"/>
    </x:row>
    <x:row r="62">
      <x:c r="A62" s="19"/>
      <x:c r="B62" s="19"/>
      <x:c r="C62" s="19"/>
      <x:c r="D62" s="19"/>
      <x:c r="E62" s="19"/>
      <x:c r="F62" s="27"/>
      <x:c r="G62" s="19"/>
      <x:c r="H62" s="27"/>
      <x:c r="I62" s="19"/>
      <x:c r="J62" s="19"/>
      <x:c r="K62" s="26"/>
    </x:row>
    <x:row r="63">
      <x:c r="A63" s="19"/>
      <x:c r="B63" s="19"/>
      <x:c r="C63" s="19"/>
      <x:c r="D63" s="19"/>
      <x:c r="E63" s="19"/>
      <x:c r="F63" s="27"/>
      <x:c r="G63" s="19"/>
      <x:c r="H63" s="27"/>
      <x:c r="I63" s="19"/>
      <x:c r="J63" s="19"/>
      <x:c r="K63" s="26"/>
    </x:row>
    <x:row r="64">
      <x:c r="A64" s="19"/>
      <x:c r="B64" s="19"/>
      <x:c r="C64" s="19"/>
      <x:c r="D64" s="19"/>
      <x:c r="E64" s="19"/>
      <x:c r="F64" s="27"/>
      <x:c r="G64" s="19"/>
      <x:c r="H64" s="27"/>
      <x:c r="I64" s="19"/>
      <x:c r="J64" s="19"/>
      <x:c r="K64" s="26"/>
    </x:row>
    <x:row r="65">
      <x:c r="A65" s="19"/>
      <x:c r="B65" s="19"/>
      <x:c r="C65" s="19"/>
      <x:c r="D65" s="19"/>
      <x:c r="E65" s="19"/>
      <x:c r="F65" s="27"/>
      <x:c r="G65" s="19"/>
      <x:c r="H65" s="27"/>
      <x:c r="I65" s="19"/>
      <x:c r="J65" s="19"/>
      <x:c r="K65" s="26"/>
    </x:row>
    <x:row r="66">
      <x:c r="A66" s="19"/>
      <x:c r="B66" s="19"/>
      <x:c r="C66" s="19"/>
      <x:c r="D66" s="19"/>
      <x:c r="E66" s="19"/>
      <x:c r="F66" s="27"/>
      <x:c r="G66" s="19"/>
      <x:c r="H66" s="27"/>
      <x:c r="I66" s="19"/>
      <x:c r="J66" s="19"/>
      <x:c r="K66" s="26"/>
    </x:row>
    <x:row r="67">
      <x:c r="A67" s="19"/>
      <x:c r="B67" s="19"/>
      <x:c r="C67" s="19"/>
      <x:c r="D67" s="19"/>
      <x:c r="E67" s="19"/>
      <x:c r="F67" s="27"/>
      <x:c r="G67" s="19"/>
      <x:c r="H67" s="27"/>
      <x:c r="I67" s="19"/>
      <x:c r="J67" s="19"/>
      <x:c r="K67" s="26"/>
    </x:row>
    <x:row r="68">
      <x:c r="A68" s="19"/>
      <x:c r="B68" s="19"/>
      <x:c r="C68" s="19"/>
      <x:c r="D68" s="19"/>
      <x:c r="E68" s="19"/>
      <x:c r="F68" s="27"/>
      <x:c r="G68" s="19"/>
      <x:c r="H68" s="27"/>
      <x:c r="I68" s="19"/>
      <x:c r="J68" s="19"/>
      <x:c r="K68" s="26"/>
    </x:row>
    <x:row r="69">
      <x:c r="A69" s="19"/>
      <x:c r="B69" s="19"/>
      <x:c r="C69" s="19"/>
      <x:c r="D69" s="19"/>
      <x:c r="E69" s="19"/>
      <x:c r="F69" s="27"/>
      <x:c r="G69" s="19"/>
      <x:c r="H69" s="27"/>
      <x:c r="I69" s="19"/>
      <x:c r="J69" s="19"/>
      <x:c r="K69" s="26"/>
    </x:row>
    <x:row r="70">
      <x:c r="A70" s="19"/>
      <x:c r="B70" s="19"/>
      <x:c r="C70" s="19"/>
      <x:c r="D70" s="19"/>
      <x:c r="E70" s="19"/>
      <x:c r="F70" s="27"/>
      <x:c r="G70" s="19"/>
      <x:c r="H70" s="27"/>
      <x:c r="I70" s="19"/>
      <x:c r="J70" s="19"/>
      <x:c r="K70" s="26"/>
    </x:row>
    <x:row r="71">
      <x:c r="A71" s="19"/>
      <x:c r="B71" s="19"/>
      <x:c r="C71" s="19"/>
      <x:c r="D71" s="19"/>
      <x:c r="E71" s="19"/>
      <x:c r="F71" s="27"/>
      <x:c r="G71" s="19"/>
      <x:c r="H71" s="27"/>
      <x:c r="I71" s="19"/>
      <x:c r="J71" s="19"/>
      <x:c r="K71" s="26"/>
    </x:row>
    <x:row r="72">
      <x:c r="A72" s="19"/>
      <x:c r="B72" s="19"/>
      <x:c r="C72" s="19"/>
      <x:c r="D72" s="19"/>
      <x:c r="E72" s="19"/>
      <x:c r="F72" s="27"/>
      <x:c r="G72" s="19"/>
      <x:c r="H72" s="27"/>
      <x:c r="I72" s="19"/>
      <x:c r="J72" s="19"/>
      <x:c r="K72" s="26"/>
    </x:row>
    <x:row r="73">
      <x:c r="A73" s="19"/>
      <x:c r="B73" s="19"/>
      <x:c r="C73" s="19"/>
      <x:c r="D73" s="19"/>
      <x:c r="E73" s="19"/>
      <x:c r="F73" s="27"/>
      <x:c r="G73" s="19"/>
      <x:c r="H73" s="27"/>
      <x:c r="I73" s="19"/>
      <x:c r="J73" s="19"/>
      <x:c r="K73" s="26"/>
    </x:row>
    <x:row r="74">
      <x:c r="A74" s="19"/>
      <x:c r="B74" s="19"/>
      <x:c r="C74" s="19"/>
      <x:c r="D74" s="19"/>
      <x:c r="E74" s="19"/>
      <x:c r="F74" s="27"/>
      <x:c r="G74" s="19"/>
      <x:c r="H74" s="27"/>
      <x:c r="I74" s="19"/>
      <x:c r="J74" s="19"/>
      <x:c r="K74" s="26"/>
    </x:row>
    <x:row r="75">
      <x:c r="A75" s="19"/>
      <x:c r="B75" s="19"/>
      <x:c r="C75" s="19"/>
      <x:c r="D75" s="19"/>
      <x:c r="E75" s="19"/>
      <x:c r="F75" s="27"/>
      <x:c r="G75" s="19"/>
      <x:c r="H75" s="27"/>
      <x:c r="I75" s="19"/>
      <x:c r="J75" s="19"/>
      <x:c r="K75" s="26"/>
    </x:row>
    <x:row r="76">
      <x:c r="A76" s="19"/>
      <x:c r="B76" s="19"/>
      <x:c r="C76" s="19"/>
      <x:c r="D76" s="19"/>
      <x:c r="E76" s="19"/>
      <x:c r="F76" s="27"/>
      <x:c r="G76" s="19"/>
      <x:c r="H76" s="27"/>
      <x:c r="I76" s="19"/>
      <x:c r="J76" s="19"/>
      <x:c r="K76" s="26"/>
    </x:row>
    <x:row r="77">
      <x:c r="A77" s="19"/>
      <x:c r="B77" s="19"/>
      <x:c r="C77" s="19"/>
      <x:c r="D77" s="19"/>
      <x:c r="E77" s="19"/>
      <x:c r="F77" s="27"/>
      <x:c r="G77" s="19"/>
      <x:c r="H77" s="27"/>
      <x:c r="I77" s="19"/>
      <x:c r="J77" s="19"/>
      <x:c r="K77" s="26"/>
    </x:row>
    <x:row r="78">
      <x:c r="A78" s="19"/>
      <x:c r="B78" s="19"/>
      <x:c r="C78" s="19"/>
      <x:c r="D78" s="19"/>
      <x:c r="E78" s="19"/>
      <x:c r="F78" s="27"/>
      <x:c r="G78" s="19"/>
      <x:c r="H78" s="27"/>
      <x:c r="I78" s="19"/>
      <x:c r="J78" s="19"/>
      <x:c r="K78" s="26"/>
    </x:row>
    <x:row r="79">
      <x:c r="A79" s="19"/>
      <x:c r="B79" s="19"/>
      <x:c r="C79" s="19"/>
      <x:c r="D79" s="19"/>
      <x:c r="E79" s="19"/>
      <x:c r="F79" s="27"/>
      <x:c r="G79" s="19"/>
      <x:c r="H79" s="27"/>
      <x:c r="I79" s="19"/>
      <x:c r="J79" s="19"/>
      <x:c r="K79" s="26"/>
    </x:row>
    <x:row r="80">
      <x:c r="A80" s="19"/>
      <x:c r="B80" s="19"/>
      <x:c r="C80" s="19"/>
      <x:c r="D80" s="19"/>
      <x:c r="E80" s="19"/>
      <x:c r="F80" s="27"/>
      <x:c r="G80" s="19"/>
      <x:c r="H80" s="27"/>
      <x:c r="I80" s="19"/>
      <x:c r="J80" s="19"/>
      <x:c r="K80" s="26"/>
    </x:row>
    <x:row r="81">
      <x:c r="A81" s="19"/>
      <x:c r="B81" s="19"/>
      <x:c r="C81" s="19"/>
      <x:c r="D81" s="19"/>
      <x:c r="E81" s="19"/>
      <x:c r="F81" s="27"/>
      <x:c r="G81" s="19"/>
      <x:c r="H81" s="27"/>
      <x:c r="I81" s="19"/>
      <x:c r="J81" s="19"/>
      <x:c r="K81" s="26"/>
    </x:row>
    <x:row r="82">
      <x:c r="A82" s="19"/>
      <x:c r="B82" s="19"/>
      <x:c r="C82" s="19"/>
      <x:c r="D82" s="19"/>
      <x:c r="E82" s="19"/>
      <x:c r="F82" s="27"/>
      <x:c r="G82" s="19"/>
      <x:c r="H82" s="27"/>
      <x:c r="I82" s="19"/>
      <x:c r="J82" s="19"/>
      <x:c r="K82" s="26"/>
    </x:row>
    <x:row r="83">
      <x:c r="A83" s="19"/>
      <x:c r="B83" s="19"/>
      <x:c r="C83" s="19"/>
      <x:c r="D83" s="19"/>
      <x:c r="E83" s="19"/>
      <x:c r="F83" s="27"/>
      <x:c r="G83" s="19"/>
      <x:c r="H83" s="27"/>
      <x:c r="I83" s="19"/>
      <x:c r="J83" s="19"/>
      <x:c r="K83" s="26"/>
    </x:row>
    <x:row r="84">
      <x:c r="A84" s="19"/>
      <x:c r="B84" s="19"/>
      <x:c r="C84" s="19"/>
      <x:c r="D84" s="19"/>
      <x:c r="E84" s="19"/>
      <x:c r="F84" s="27"/>
      <x:c r="G84" s="19"/>
      <x:c r="H84" s="27"/>
      <x:c r="I84" s="19"/>
      <x:c r="J84" s="19"/>
      <x:c r="K84" s="26"/>
    </x:row>
    <x:row r="85">
      <x:c r="A85" s="19"/>
      <x:c r="B85" s="19"/>
      <x:c r="C85" s="19"/>
      <x:c r="D85" s="19"/>
      <x:c r="E85" s="19"/>
      <x:c r="F85" s="27"/>
      <x:c r="G85" s="19"/>
      <x:c r="H85" s="27"/>
      <x:c r="I85" s="19"/>
      <x:c r="J85" s="19"/>
      <x:c r="K85" s="26"/>
    </x:row>
    <x:row r="86">
      <x:c r="A86" s="19"/>
      <x:c r="B86" s="19"/>
      <x:c r="C86" s="19"/>
      <x:c r="D86" s="19"/>
      <x:c r="E86" s="19"/>
      <x:c r="F86" s="27"/>
      <x:c r="G86" s="19"/>
      <x:c r="H86" s="27"/>
      <x:c r="I86" s="19"/>
      <x:c r="J86" s="19"/>
      <x:c r="K86" s="26"/>
    </x:row>
    <x:row r="87">
      <x:c r="A87" s="19"/>
      <x:c r="B87" s="19"/>
      <x:c r="C87" s="19"/>
      <x:c r="D87" s="19"/>
      <x:c r="E87" s="19"/>
      <x:c r="F87" s="27"/>
      <x:c r="G87" s="19"/>
      <x:c r="H87" s="27"/>
      <x:c r="I87" s="19"/>
      <x:c r="J87" s="19"/>
      <x:c r="K87" s="26"/>
    </x:row>
    <x:row r="88">
      <x:c r="A88" s="19"/>
      <x:c r="B88" s="19"/>
      <x:c r="C88" s="19"/>
      <x:c r="D88" s="19"/>
      <x:c r="E88" s="19"/>
      <x:c r="F88" s="27"/>
      <x:c r="G88" s="19"/>
      <x:c r="H88" s="27"/>
      <x:c r="I88" s="19"/>
      <x:c r="J88" s="19"/>
      <x:c r="K88" s="26"/>
    </x:row>
    <x:row r="89">
      <x:c r="A89" s="19"/>
      <x:c r="B89" s="19"/>
      <x:c r="C89" s="19"/>
      <x:c r="D89" s="19"/>
      <x:c r="E89" s="19"/>
      <x:c r="F89" s="27"/>
      <x:c r="G89" s="19"/>
      <x:c r="H89" s="27"/>
      <x:c r="I89" s="19"/>
      <x:c r="J89" s="19"/>
      <x:c r="K89" s="26"/>
    </x:row>
    <x:row r="90">
      <x:c r="A90" s="19"/>
      <x:c r="B90" s="19"/>
      <x:c r="C90" s="19"/>
      <x:c r="D90" s="19"/>
      <x:c r="E90" s="19"/>
      <x:c r="F90" s="27"/>
      <x:c r="G90" s="19"/>
      <x:c r="H90" s="27"/>
      <x:c r="I90" s="19"/>
      <x:c r="J90" s="19"/>
      <x:c r="K90" s="26"/>
    </x:row>
    <x:row r="91">
      <x:c r="A91" s="19"/>
      <x:c r="B91" s="19"/>
      <x:c r="C91" s="19"/>
      <x:c r="D91" s="19"/>
      <x:c r="E91" s="19"/>
      <x:c r="F91" s="27"/>
      <x:c r="G91" s="19"/>
      <x:c r="H91" s="27"/>
      <x:c r="I91" s="19"/>
      <x:c r="J91" s="19"/>
      <x:c r="K91" s="26"/>
    </x:row>
    <x:row r="92">
      <x:c r="A92" s="19"/>
      <x:c r="B92" s="19"/>
      <x:c r="C92" s="19"/>
      <x:c r="D92" s="19"/>
      <x:c r="E92" s="19"/>
      <x:c r="F92" s="27"/>
      <x:c r="G92" s="19"/>
      <x:c r="H92" s="27"/>
      <x:c r="I92" s="19"/>
      <x:c r="J92" s="19"/>
      <x:c r="K92" s="26"/>
    </x:row>
    <x:row r="93">
      <x:c r="A93" s="19"/>
      <x:c r="B93" s="19"/>
      <x:c r="C93" s="19"/>
      <x:c r="D93" s="19"/>
      <x:c r="E93" s="19"/>
      <x:c r="F93" s="27"/>
      <x:c r="G93" s="19"/>
      <x:c r="H93" s="27"/>
      <x:c r="I93" s="19"/>
      <x:c r="J93" s="19"/>
      <x:c r="K93" s="26"/>
    </x:row>
    <x:row r="94">
      <x:c r="A94" s="19"/>
      <x:c r="B94" s="19"/>
      <x:c r="C94" s="19"/>
      <x:c r="D94" s="19"/>
      <x:c r="E94" s="19"/>
      <x:c r="F94" s="27"/>
      <x:c r="G94" s="19"/>
      <x:c r="H94" s="27"/>
      <x:c r="I94" s="19"/>
      <x:c r="J94" s="19"/>
      <x:c r="K94" s="26"/>
    </x:row>
    <x:row r="95">
      <x:c r="A95" s="19"/>
      <x:c r="B95" s="19"/>
      <x:c r="C95" s="19"/>
      <x:c r="D95" s="19"/>
      <x:c r="E95" s="19"/>
      <x:c r="F95" s="27"/>
      <x:c r="G95" s="19"/>
      <x:c r="H95" s="27"/>
      <x:c r="I95" s="19"/>
      <x:c r="J95" s="19"/>
      <x:c r="K95" s="26"/>
    </x:row>
    <x:row r="96">
      <x:c r="A96" s="19"/>
      <x:c r="B96" s="19"/>
      <x:c r="C96" s="19"/>
      <x:c r="D96" s="19"/>
      <x:c r="E96" s="19"/>
      <x:c r="F96" s="27"/>
      <x:c r="G96" s="19"/>
      <x:c r="H96" s="27"/>
      <x:c r="I96" s="19"/>
      <x:c r="J96" s="19"/>
      <x:c r="K96" s="26"/>
    </x:row>
    <x:row r="97">
      <x:c r="A97" s="19"/>
      <x:c r="B97" s="19"/>
      <x:c r="C97" s="19"/>
      <x:c r="D97" s="19"/>
      <x:c r="E97" s="19"/>
      <x:c r="F97" s="27"/>
      <x:c r="G97" s="19"/>
      <x:c r="H97" s="27"/>
      <x:c r="I97" s="19"/>
      <x:c r="J97" s="19"/>
      <x:c r="K97" s="26"/>
    </x:row>
    <x:row r="98">
      <x:c r="A98" s="19"/>
      <x:c r="B98" s="19"/>
      <x:c r="C98" s="19"/>
      <x:c r="D98" s="19"/>
      <x:c r="E98" s="19"/>
      <x:c r="F98" s="27"/>
      <x:c r="G98" s="19"/>
      <x:c r="H98" s="27"/>
      <x:c r="I98" s="19"/>
      <x:c r="J98" s="19"/>
      <x:c r="K98" s="26"/>
    </x:row>
    <x:row r="99">
      <x:c r="A99" s="19"/>
      <x:c r="B99" s="19"/>
      <x:c r="C99" s="19"/>
      <x:c r="D99" s="19"/>
      <x:c r="E99" s="19"/>
      <x:c r="F99" s="27"/>
      <x:c r="G99" s="19"/>
      <x:c r="H99" s="27"/>
      <x:c r="I99" s="19"/>
      <x:c r="J99" s="19"/>
      <x:c r="K99" s="26"/>
    </x:row>
    <x:row r="100">
      <x:c r="A100" s="19"/>
      <x:c r="B100" s="19"/>
      <x:c r="C100" s="19"/>
      <x:c r="D100" s="19"/>
      <x:c r="E100" s="19"/>
      <x:c r="F100" s="27"/>
      <x:c r="G100" s="19"/>
      <x:c r="H100" s="27"/>
      <x:c r="I100" s="19"/>
      <x:c r="J100" s="19"/>
      <x:c r="K100" s="26"/>
    </x:row>
    <x:row r="101">
      <x:c r="A101" s="19"/>
      <x:c r="B101" s="19"/>
      <x:c r="C101" s="19"/>
      <x:c r="D101" s="19"/>
      <x:c r="E101" s="19"/>
      <x:c r="F101" s="27"/>
      <x:c r="G101" s="19"/>
      <x:c r="H101" s="27"/>
      <x:c r="I101" s="19"/>
      <x:c r="J101" s="19"/>
      <x:c r="K101" s="26"/>
    </x:row>
    <x:row r="102">
      <x:c r="A102" s="19"/>
      <x:c r="B102" s="19"/>
      <x:c r="C102" s="19"/>
      <x:c r="D102" s="19"/>
      <x:c r="E102" s="19"/>
      <x:c r="F102" s="27"/>
      <x:c r="G102" s="19"/>
      <x:c r="H102" s="27"/>
      <x:c r="I102" s="19"/>
      <x:c r="J102" s="19"/>
      <x:c r="K102" s="26"/>
    </x:row>
    <x:row r="103">
      <x:c r="A103" s="19"/>
      <x:c r="B103" s="19"/>
      <x:c r="C103" s="19"/>
      <x:c r="D103" s="19"/>
      <x:c r="E103" s="19"/>
      <x:c r="F103" s="27"/>
      <x:c r="G103" s="19"/>
      <x:c r="H103" s="27"/>
      <x:c r="I103" s="19"/>
      <x:c r="J103" s="19"/>
      <x:c r="K103" s="26"/>
    </x:row>
    <x:row r="104">
      <x:c r="A104" s="19"/>
      <x:c r="B104" s="19"/>
      <x:c r="C104" s="19"/>
      <x:c r="D104" s="19"/>
      <x:c r="E104" s="19"/>
      <x:c r="F104" s="27"/>
      <x:c r="G104" s="19"/>
      <x:c r="H104" s="27"/>
      <x:c r="I104" s="19"/>
      <x:c r="J104" s="19"/>
      <x:c r="K104" s="26"/>
    </x:row>
    <x:row r="105">
      <x:c r="A105" s="19"/>
      <x:c r="B105" s="19"/>
      <x:c r="C105" s="19"/>
      <x:c r="D105" s="19"/>
      <x:c r="E105" s="19"/>
      <x:c r="F105" s="27"/>
      <x:c r="G105" s="19"/>
      <x:c r="H105" s="27"/>
      <x:c r="I105" s="19"/>
      <x:c r="J105" s="19"/>
      <x:c r="K105" s="26"/>
    </x:row>
    <x:row r="106">
      <x:c r="A106" s="19"/>
      <x:c r="B106" s="19"/>
      <x:c r="C106" s="19"/>
      <x:c r="D106" s="19"/>
      <x:c r="E106" s="19"/>
      <x:c r="F106" s="27"/>
      <x:c r="G106" s="19"/>
      <x:c r="H106" s="27"/>
      <x:c r="I106" s="19"/>
      <x:c r="J106" s="19"/>
      <x:c r="K106" s="26"/>
    </x:row>
    <x:row r="107">
      <x:c r="A107" s="19"/>
      <x:c r="B107" s="19"/>
      <x:c r="C107" s="19"/>
      <x:c r="D107" s="19"/>
      <x:c r="E107" s="19"/>
      <x:c r="F107" s="27"/>
      <x:c r="G107" s="19"/>
      <x:c r="H107" s="27"/>
      <x:c r="I107" s="19"/>
      <x:c r="J107" s="19"/>
      <x:c r="K107" s="26"/>
    </x:row>
    <x:row r="108">
      <x:c r="A108" s="19"/>
      <x:c r="B108" s="19"/>
      <x:c r="C108" s="19"/>
      <x:c r="D108" s="19"/>
      <x:c r="E108" s="19"/>
      <x:c r="F108" s="27"/>
      <x:c r="G108" s="19"/>
      <x:c r="H108" s="27"/>
      <x:c r="I108" s="19"/>
      <x:c r="J108" s="19"/>
      <x:c r="K108" s="26"/>
    </x:row>
    <x:row r="109">
      <x:c r="A109" s="19"/>
      <x:c r="B109" s="19"/>
      <x:c r="C109" s="19"/>
      <x:c r="D109" s="19"/>
      <x:c r="E109" s="19"/>
      <x:c r="F109" s="27"/>
      <x:c r="G109" s="19"/>
      <x:c r="H109" s="27"/>
      <x:c r="I109" s="19"/>
      <x:c r="J109" s="19"/>
      <x:c r="K109" s="26"/>
    </x:row>
    <x:row r="110">
      <x:c r="A110" s="19"/>
      <x:c r="B110" s="19"/>
      <x:c r="C110" s="19"/>
      <x:c r="D110" s="19"/>
      <x:c r="E110" s="19"/>
      <x:c r="F110" s="27"/>
      <x:c r="G110" s="19"/>
      <x:c r="H110" s="27"/>
      <x:c r="I110" s="19"/>
      <x:c r="J110" s="19"/>
      <x:c r="K110" s="26"/>
    </x:row>
    <x:row r="111">
      <x:c r="A111" s="19"/>
      <x:c r="B111" s="19"/>
      <x:c r="C111" s="19"/>
      <x:c r="D111" s="19"/>
      <x:c r="E111" s="19"/>
      <x:c r="F111" s="27"/>
      <x:c r="G111" s="19"/>
      <x:c r="H111" s="27"/>
      <x:c r="I111" s="19"/>
      <x:c r="J111" s="19"/>
      <x:c r="K111" s="26"/>
    </x:row>
    <x:row r="112">
      <x:c r="A112" s="19"/>
      <x:c r="B112" s="19"/>
      <x:c r="C112" s="19"/>
      <x:c r="D112" s="19"/>
      <x:c r="E112" s="19"/>
      <x:c r="F112" s="27"/>
      <x:c r="G112" s="19"/>
      <x:c r="H112" s="27"/>
      <x:c r="I112" s="19"/>
      <x:c r="J112" s="19"/>
      <x:c r="K112" s="26"/>
    </x:row>
    <x:row r="113">
      <x:c r="A113" s="19"/>
      <x:c r="B113" s="19"/>
      <x:c r="C113" s="19"/>
      <x:c r="D113" s="19"/>
      <x:c r="E113" s="19"/>
      <x:c r="F113" s="27"/>
      <x:c r="G113" s="19"/>
      <x:c r="H113" s="27"/>
      <x:c r="I113" s="19"/>
      <x:c r="J113" s="19"/>
      <x:c r="K113" s="26"/>
    </x:row>
    <x:row r="114">
      <x:c r="A114" s="19"/>
      <x:c r="B114" s="19"/>
      <x:c r="C114" s="19"/>
      <x:c r="D114" s="19"/>
      <x:c r="E114" s="19"/>
      <x:c r="F114" s="27"/>
      <x:c r="G114" s="19"/>
      <x:c r="H114" s="27"/>
      <x:c r="I114" s="19"/>
      <x:c r="J114" s="19"/>
      <x:c r="K114" s="26"/>
    </x:row>
    <x:row r="115">
      <x:c r="A115" s="19"/>
      <x:c r="B115" s="19"/>
      <x:c r="C115" s="19"/>
      <x:c r="D115" s="19"/>
      <x:c r="E115" s="19"/>
      <x:c r="F115" s="27"/>
      <x:c r="G115" s="19"/>
      <x:c r="H115" s="27"/>
      <x:c r="I115" s="19"/>
      <x:c r="J115" s="19"/>
      <x:c r="K115" s="26"/>
    </x:row>
    <x:row r="116">
      <x:c r="A116" s="19"/>
      <x:c r="B116" s="19"/>
      <x:c r="C116" s="19"/>
      <x:c r="D116" s="19"/>
      <x:c r="E116" s="19"/>
      <x:c r="F116" s="27"/>
      <x:c r="G116" s="19"/>
      <x:c r="H116" s="27"/>
      <x:c r="I116" s="19"/>
      <x:c r="J116" s="19"/>
      <x:c r="K116" s="26"/>
    </x:row>
    <x:row r="117">
      <x:c r="A117" s="19"/>
      <x:c r="B117" s="19"/>
      <x:c r="C117" s="19"/>
      <x:c r="D117" s="19"/>
      <x:c r="E117" s="19"/>
      <x:c r="F117" s="27"/>
      <x:c r="G117" s="19"/>
      <x:c r="H117" s="27"/>
      <x:c r="I117" s="19"/>
      <x:c r="J117" s="19"/>
      <x:c r="K117" s="26"/>
    </x:row>
    <x:row r="118">
      <x:c r="A118" s="19"/>
      <x:c r="B118" s="19"/>
      <x:c r="C118" s="19"/>
      <x:c r="D118" s="19"/>
      <x:c r="E118" s="19"/>
      <x:c r="F118" s="27"/>
      <x:c r="G118" s="19"/>
      <x:c r="H118" s="27"/>
      <x:c r="I118" s="19"/>
      <x:c r="J118" s="19"/>
      <x:c r="K118" s="26"/>
    </x:row>
    <x:row r="119">
      <x:c r="A119" s="19"/>
      <x:c r="B119" s="19"/>
      <x:c r="C119" s="19"/>
      <x:c r="D119" s="19"/>
      <x:c r="E119" s="19"/>
      <x:c r="F119" s="27"/>
      <x:c r="G119" s="19"/>
      <x:c r="H119" s="27"/>
      <x:c r="I119" s="19"/>
      <x:c r="J119" s="19"/>
      <x:c r="K119" s="26"/>
    </x:row>
    <x:row r="120">
      <x:c r="A120" s="19"/>
      <x:c r="B120" s="19"/>
      <x:c r="C120" s="19"/>
      <x:c r="D120" s="19"/>
      <x:c r="E120" s="19"/>
      <x:c r="F120" s="27"/>
      <x:c r="G120" s="19"/>
      <x:c r="H120" s="27"/>
      <x:c r="I120" s="19"/>
      <x:c r="J120" s="19"/>
      <x:c r="K120" s="26"/>
    </x:row>
    <x:row r="121">
      <x:c r="A121" s="19"/>
      <x:c r="B121" s="19"/>
      <x:c r="C121" s="19"/>
      <x:c r="D121" s="19"/>
      <x:c r="E121" s="19"/>
      <x:c r="F121" s="27"/>
      <x:c r="G121" s="19"/>
      <x:c r="H121" s="27"/>
      <x:c r="I121" s="19"/>
      <x:c r="J121" s="19"/>
      <x:c r="K121" s="26"/>
    </x:row>
    <x:row r="122">
      <x:c r="A122" s="19"/>
      <x:c r="B122" s="19"/>
      <x:c r="C122" s="19"/>
      <x:c r="D122" s="19"/>
      <x:c r="E122" s="19"/>
      <x:c r="F122" s="27"/>
      <x:c r="G122" s="19"/>
      <x:c r="H122" s="27"/>
      <x:c r="I122" s="19"/>
      <x:c r="J122" s="19"/>
      <x:c r="K122" s="26"/>
    </x:row>
    <x:row r="123">
      <x:c r="A123" s="19"/>
      <x:c r="B123" s="19"/>
      <x:c r="C123" s="19"/>
      <x:c r="D123" s="19"/>
      <x:c r="E123" s="19"/>
      <x:c r="F123" s="27"/>
      <x:c r="G123" s="19"/>
      <x:c r="H123" s="27"/>
      <x:c r="I123" s="19"/>
      <x:c r="J123" s="19"/>
      <x:c r="K123" s="26"/>
    </x:row>
    <x:row r="124">
      <x:c r="A124" s="19"/>
      <x:c r="B124" s="19"/>
      <x:c r="C124" s="19"/>
      <x:c r="D124" s="19"/>
      <x:c r="E124" s="19"/>
      <x:c r="F124" s="27"/>
      <x:c r="G124" s="19"/>
      <x:c r="H124" s="27"/>
      <x:c r="I124" s="19"/>
      <x:c r="J124" s="19"/>
      <x:c r="K124" s="26"/>
    </x:row>
    <x:row r="125">
      <x:c r="A125" s="19"/>
      <x:c r="B125" s="19"/>
      <x:c r="C125" s="19"/>
      <x:c r="D125" s="19"/>
      <x:c r="E125" s="19"/>
      <x:c r="F125" s="27"/>
      <x:c r="G125" s="19"/>
      <x:c r="H125" s="27"/>
      <x:c r="I125" s="19"/>
      <x:c r="J125" s="19"/>
      <x:c r="K125" s="26"/>
    </x:row>
    <x:row r="126">
      <x:c r="A126" s="19"/>
      <x:c r="B126" s="19"/>
      <x:c r="C126" s="19"/>
      <x:c r="D126" s="19"/>
      <x:c r="E126" s="19"/>
      <x:c r="F126" s="27"/>
      <x:c r="G126" s="19"/>
      <x:c r="H126" s="27"/>
      <x:c r="I126" s="19"/>
      <x:c r="J126" s="19"/>
      <x:c r="K126" s="26"/>
    </x:row>
    <x:row r="127">
      <x:c r="A127" s="19"/>
      <x:c r="B127" s="19"/>
      <x:c r="C127" s="19"/>
      <x:c r="D127" s="19"/>
      <x:c r="E127" s="19"/>
      <x:c r="F127" s="27"/>
      <x:c r="G127" s="19"/>
      <x:c r="H127" s="27"/>
      <x:c r="I127" s="19"/>
      <x:c r="J127" s="19"/>
      <x:c r="K127" s="26"/>
    </x:row>
    <x:row r="128">
      <x:c r="A128" s="19"/>
      <x:c r="B128" s="19"/>
      <x:c r="C128" s="19"/>
      <x:c r="D128" s="19"/>
      <x:c r="E128" s="19"/>
      <x:c r="F128" s="27"/>
      <x:c r="G128" s="19"/>
      <x:c r="H128" s="27"/>
      <x:c r="I128" s="19"/>
      <x:c r="J128" s="19"/>
      <x:c r="K128" s="26"/>
    </x:row>
    <x:row r="129">
      <x:c r="A129" s="19"/>
      <x:c r="B129" s="19"/>
      <x:c r="C129" s="19"/>
      <x:c r="D129" s="19"/>
      <x:c r="E129" s="19"/>
      <x:c r="F129" s="27"/>
      <x:c r="G129" s="19"/>
      <x:c r="H129" s="27"/>
      <x:c r="I129" s="19"/>
      <x:c r="J129" s="19"/>
      <x:c r="K129" s="26"/>
    </x:row>
    <x:row r="130">
      <x:c r="A130" s="19"/>
      <x:c r="B130" s="19"/>
      <x:c r="C130" s="19"/>
      <x:c r="D130" s="19"/>
      <x:c r="E130" s="19"/>
      <x:c r="F130" s="27"/>
      <x:c r="G130" s="19"/>
      <x:c r="H130" s="27"/>
      <x:c r="I130" s="19"/>
      <x:c r="J130" s="19"/>
      <x:c r="K130" s="26"/>
    </x:row>
    <x:row r="131">
      <x:c r="A131" s="19"/>
      <x:c r="B131" s="19"/>
      <x:c r="C131" s="19"/>
      <x:c r="D131" s="19"/>
      <x:c r="E131" s="19"/>
      <x:c r="F131" s="27"/>
      <x:c r="G131" s="19"/>
      <x:c r="H131" s="27"/>
      <x:c r="I131" s="19"/>
      <x:c r="J131" s="19"/>
      <x:c r="K131" s="26"/>
    </x:row>
    <x:row r="132">
      <x:c r="A132" s="19"/>
      <x:c r="B132" s="19"/>
      <x:c r="C132" s="19"/>
      <x:c r="D132" s="19"/>
      <x:c r="E132" s="19"/>
      <x:c r="F132" s="27"/>
      <x:c r="G132" s="19"/>
      <x:c r="H132" s="27"/>
      <x:c r="I132" s="19"/>
      <x:c r="J132" s="19"/>
      <x:c r="K132" s="26"/>
    </x:row>
    <x:row r="133">
      <x:c r="A133" s="19"/>
      <x:c r="B133" s="19"/>
      <x:c r="C133" s="19"/>
      <x:c r="D133" s="19"/>
      <x:c r="E133" s="19"/>
      <x:c r="F133" s="27"/>
      <x:c r="G133" s="19"/>
      <x:c r="H133" s="27"/>
      <x:c r="I133" s="19"/>
      <x:c r="J133" s="19"/>
      <x:c r="K133" s="26"/>
    </x:row>
    <x:row r="134">
      <x:c r="A134" s="19"/>
      <x:c r="B134" s="19"/>
      <x:c r="C134" s="19"/>
      <x:c r="D134" s="19"/>
      <x:c r="E134" s="19"/>
      <x:c r="F134" s="27"/>
      <x:c r="G134" s="19"/>
      <x:c r="H134" s="27"/>
      <x:c r="I134" s="19"/>
      <x:c r="J134" s="19"/>
      <x:c r="K134" s="26"/>
    </x:row>
    <x:row r="135">
      <x:c r="A135" s="19"/>
      <x:c r="B135" s="19"/>
      <x:c r="C135" s="19"/>
      <x:c r="D135" s="19"/>
      <x:c r="E135" s="19"/>
      <x:c r="F135" s="27"/>
      <x:c r="G135" s="19"/>
      <x:c r="H135" s="27"/>
      <x:c r="I135" s="19"/>
      <x:c r="J135" s="19"/>
      <x:c r="K135" s="26"/>
    </x:row>
    <x:row r="136">
      <x:c r="A136" s="19"/>
      <x:c r="B136" s="19"/>
      <x:c r="C136" s="19"/>
      <x:c r="D136" s="19"/>
      <x:c r="E136" s="19"/>
      <x:c r="F136" s="27"/>
      <x:c r="G136" s="19"/>
      <x:c r="H136" s="27"/>
      <x:c r="I136" s="19"/>
      <x:c r="J136" s="19"/>
      <x:c r="K136" s="26"/>
    </x:row>
    <x:row r="137">
      <x:c r="A137" s="19"/>
      <x:c r="B137" s="19"/>
      <x:c r="C137" s="19"/>
      <x:c r="D137" s="19"/>
      <x:c r="E137" s="19"/>
      <x:c r="F137" s="27"/>
      <x:c r="G137" s="19"/>
      <x:c r="H137" s="27"/>
      <x:c r="I137" s="19"/>
      <x:c r="J137" s="19"/>
      <x:c r="K137" s="26"/>
    </x:row>
    <x:row r="138">
      <x:c r="A138" s="19"/>
      <x:c r="B138" s="19"/>
      <x:c r="C138" s="19"/>
      <x:c r="D138" s="19"/>
      <x:c r="E138" s="19"/>
      <x:c r="F138" s="27"/>
      <x:c r="G138" s="19"/>
      <x:c r="H138" s="27"/>
      <x:c r="I138" s="19"/>
      <x:c r="J138" s="19"/>
      <x:c r="K138" s="26"/>
    </x:row>
    <x:row r="139">
      <x:c r="A139" s="19"/>
      <x:c r="B139" s="19"/>
      <x:c r="C139" s="19"/>
      <x:c r="D139" s="19"/>
      <x:c r="E139" s="19"/>
      <x:c r="F139" s="27"/>
      <x:c r="G139" s="19"/>
      <x:c r="H139" s="27"/>
      <x:c r="I139" s="19"/>
      <x:c r="J139" s="19"/>
      <x:c r="K139" s="26"/>
    </x:row>
    <x:row r="140">
      <x:c r="A140" s="19"/>
      <x:c r="B140" s="19"/>
      <x:c r="C140" s="19"/>
      <x:c r="D140" s="19"/>
      <x:c r="E140" s="19"/>
      <x:c r="F140" s="27"/>
      <x:c r="G140" s="19"/>
      <x:c r="H140" s="27"/>
      <x:c r="I140" s="19"/>
      <x:c r="J140" s="19"/>
      <x:c r="K140" s="26"/>
    </x:row>
    <x:row r="141">
      <x:c r="A141" s="19"/>
      <x:c r="B141" s="19"/>
      <x:c r="C141" s="19"/>
      <x:c r="D141" s="19"/>
      <x:c r="E141" s="19"/>
      <x:c r="F141" s="27"/>
      <x:c r="G141" s="19"/>
      <x:c r="H141" s="27"/>
      <x:c r="I141" s="19"/>
      <x:c r="J141" s="19"/>
      <x:c r="K141" s="26"/>
    </x:row>
    <x:row r="142">
      <x:c r="A142" s="19"/>
      <x:c r="B142" s="19"/>
      <x:c r="C142" s="19"/>
      <x:c r="D142" s="19"/>
      <x:c r="E142" s="19"/>
      <x:c r="F142" s="27"/>
      <x:c r="G142" s="19"/>
      <x:c r="H142" s="27"/>
      <x:c r="I142" s="19"/>
      <x:c r="J142" s="19"/>
      <x:c r="K142" s="26"/>
    </x:row>
    <x:row r="143">
      <x:c r="A143" s="19"/>
      <x:c r="B143" s="19"/>
      <x:c r="C143" s="19"/>
      <x:c r="D143" s="19"/>
      <x:c r="E143" s="19"/>
      <x:c r="F143" s="27"/>
      <x:c r="G143" s="19"/>
      <x:c r="H143" s="27"/>
      <x:c r="I143" s="19"/>
      <x:c r="J143" s="19"/>
      <x:c r="K143" s="26"/>
    </x:row>
    <x:row r="144">
      <x:c r="A144" s="19"/>
      <x:c r="B144" s="19"/>
      <x:c r="C144" s="19"/>
      <x:c r="D144" s="19"/>
      <x:c r="E144" s="19"/>
      <x:c r="F144" s="27"/>
      <x:c r="G144" s="19"/>
      <x:c r="H144" s="27"/>
      <x:c r="I144" s="19"/>
      <x:c r="J144" s="19"/>
      <x:c r="K144" s="26"/>
    </x:row>
    <x:row r="145">
      <x:c r="A145" s="19"/>
      <x:c r="B145" s="19"/>
      <x:c r="C145" s="19"/>
      <x:c r="D145" s="19"/>
      <x:c r="E145" s="19"/>
      <x:c r="F145" s="27"/>
      <x:c r="G145" s="19"/>
      <x:c r="H145" s="27"/>
      <x:c r="I145" s="19"/>
      <x:c r="J145" s="19"/>
      <x:c r="K145" s="26"/>
    </x:row>
    <x:row r="146">
      <x:c r="A146" s="19"/>
      <x:c r="B146" s="19"/>
      <x:c r="C146" s="19"/>
      <x:c r="D146" s="19"/>
      <x:c r="E146" s="19"/>
      <x:c r="F146" s="27"/>
      <x:c r="G146" s="19"/>
      <x:c r="H146" s="27"/>
      <x:c r="I146" s="19"/>
      <x:c r="J146" s="19"/>
      <x:c r="K146" s="26"/>
    </x:row>
    <x:row r="147">
      <x:c r="A147" s="19"/>
      <x:c r="B147" s="19"/>
      <x:c r="C147" s="19"/>
      <x:c r="D147" s="19"/>
      <x:c r="E147" s="19"/>
      <x:c r="F147" s="27"/>
      <x:c r="G147" s="19"/>
      <x:c r="H147" s="27"/>
      <x:c r="I147" s="19"/>
      <x:c r="J147" s="19"/>
      <x:c r="K147" s="26"/>
    </x:row>
    <x:row r="148">
      <x:c r="A148" s="19"/>
      <x:c r="B148" s="19"/>
      <x:c r="C148" s="19"/>
      <x:c r="D148" s="19"/>
      <x:c r="E148" s="19"/>
      <x:c r="F148" s="27"/>
      <x:c r="G148" s="19"/>
      <x:c r="H148" s="27"/>
      <x:c r="I148" s="19"/>
      <x:c r="J148" s="19"/>
      <x:c r="K148" s="26"/>
    </x:row>
    <x:row r="149">
      <x:c r="A149" s="19"/>
      <x:c r="B149" s="19"/>
      <x:c r="C149" s="19"/>
      <x:c r="D149" s="19"/>
      <x:c r="E149" s="19"/>
      <x:c r="F149" s="27"/>
      <x:c r="G149" s="19"/>
      <x:c r="H149" s="27"/>
      <x:c r="I149" s="19"/>
      <x:c r="J149" s="19"/>
      <x:c r="K149" s="26"/>
    </x:row>
    <x:row r="150">
      <x:c r="A150" s="19"/>
      <x:c r="B150" s="19"/>
      <x:c r="C150" s="19"/>
      <x:c r="D150" s="19"/>
      <x:c r="E150" s="19"/>
      <x:c r="F150" s="27"/>
      <x:c r="G150" s="19"/>
      <x:c r="H150" s="27"/>
      <x:c r="I150" s="19"/>
      <x:c r="J150" s="19"/>
      <x:c r="K150" s="26"/>
    </x:row>
    <x:row r="151">
      <x:c r="A151" s="19"/>
      <x:c r="B151" s="19"/>
      <x:c r="C151" s="19"/>
      <x:c r="D151" s="19"/>
      <x:c r="E151" s="19"/>
      <x:c r="F151" s="27"/>
      <x:c r="G151" s="19"/>
      <x:c r="H151" s="27"/>
      <x:c r="I151" s="19"/>
      <x:c r="J151" s="19"/>
      <x:c r="K151" s="26"/>
    </x:row>
    <x:row r="152">
      <x:c r="A152" s="19"/>
      <x:c r="B152" s="19"/>
      <x:c r="C152" s="19"/>
      <x:c r="D152" s="19"/>
      <x:c r="E152" s="19"/>
      <x:c r="F152" s="27"/>
      <x:c r="G152" s="19"/>
      <x:c r="H152" s="27"/>
      <x:c r="I152" s="19"/>
      <x:c r="J152" s="19"/>
      <x:c r="K152" s="26"/>
    </x:row>
    <x:row r="153">
      <x:c r="A153" s="19"/>
      <x:c r="B153" s="19"/>
      <x:c r="C153" s="19"/>
      <x:c r="D153" s="19"/>
      <x:c r="E153" s="19"/>
      <x:c r="F153" s="27"/>
      <x:c r="G153" s="19"/>
      <x:c r="H153" s="27"/>
      <x:c r="I153" s="19"/>
      <x:c r="J153" s="19"/>
      <x:c r="K153" s="26"/>
    </x:row>
    <x:row r="154">
      <x:c r="A154" s="19"/>
      <x:c r="B154" s="19"/>
      <x:c r="C154" s="19"/>
      <x:c r="D154" s="19"/>
      <x:c r="E154" s="19"/>
      <x:c r="F154" s="27"/>
      <x:c r="G154" s="19"/>
      <x:c r="H154" s="27"/>
      <x:c r="I154" s="19"/>
      <x:c r="J154" s="19"/>
      <x:c r="K154" s="26"/>
    </x:row>
    <x:row r="155">
      <x:c r="A155" s="19"/>
      <x:c r="B155" s="19"/>
      <x:c r="C155" s="19"/>
      <x:c r="D155" s="19"/>
      <x:c r="E155" s="19"/>
      <x:c r="F155" s="27"/>
      <x:c r="G155" s="19"/>
      <x:c r="H155" s="27"/>
      <x:c r="I155" s="19"/>
      <x:c r="J155" s="19"/>
      <x:c r="K155" s="26"/>
    </x:row>
    <x:row r="156">
      <x:c r="A156" s="19"/>
      <x:c r="B156" s="19"/>
      <x:c r="C156" s="19"/>
      <x:c r="D156" s="19"/>
      <x:c r="E156" s="19"/>
      <x:c r="F156" s="27"/>
      <x:c r="G156" s="19"/>
      <x:c r="H156" s="27"/>
      <x:c r="I156" s="19"/>
      <x:c r="J156" s="19"/>
      <x:c r="K156" s="26"/>
    </x:row>
    <x:row r="157">
      <x:c r="A157" s="19"/>
      <x:c r="B157" s="19"/>
      <x:c r="C157" s="19"/>
      <x:c r="D157" s="19"/>
      <x:c r="E157" s="19"/>
      <x:c r="F157" s="27"/>
      <x:c r="G157" s="19"/>
      <x:c r="H157" s="27"/>
      <x:c r="I157" s="19"/>
      <x:c r="J157" s="19"/>
      <x:c r="K157" s="26"/>
    </x:row>
    <x:row r="158">
      <x:c r="A158" s="19"/>
      <x:c r="B158" s="19"/>
      <x:c r="C158" s="19"/>
      <x:c r="D158" s="19"/>
      <x:c r="E158" s="19"/>
      <x:c r="F158" s="27"/>
      <x:c r="G158" s="19"/>
      <x:c r="H158" s="27"/>
      <x:c r="I158" s="19"/>
      <x:c r="J158" s="19"/>
      <x:c r="K158" s="26"/>
    </x:row>
    <x:row r="159">
      <x:c r="A159" s="19"/>
      <x:c r="B159" s="19"/>
      <x:c r="C159" s="19"/>
      <x:c r="D159" s="19"/>
      <x:c r="E159" s="19"/>
      <x:c r="F159" s="27"/>
      <x:c r="G159" s="19"/>
      <x:c r="H159" s="27"/>
      <x:c r="I159" s="19"/>
      <x:c r="J159" s="19"/>
      <x:c r="K159" s="26"/>
    </x:row>
    <x:row r="160">
      <x:c r="A160" s="19"/>
      <x:c r="B160" s="19"/>
      <x:c r="C160" s="19"/>
      <x:c r="D160" s="19"/>
      <x:c r="E160" s="19"/>
      <x:c r="F160" s="27"/>
      <x:c r="G160" s="19"/>
      <x:c r="H160" s="27"/>
      <x:c r="I160" s="19"/>
      <x:c r="J160" s="19"/>
      <x:c r="K160" s="26"/>
    </x:row>
    <x:row r="161">
      <x:c r="A161" s="19"/>
      <x:c r="B161" s="19"/>
      <x:c r="C161" s="19"/>
      <x:c r="D161" s="19"/>
      <x:c r="E161" s="19"/>
      <x:c r="F161" s="27"/>
      <x:c r="G161" s="19"/>
      <x:c r="H161" s="27"/>
      <x:c r="I161" s="19"/>
      <x:c r="J161" s="19"/>
      <x:c r="K161" s="26"/>
    </x:row>
    <x:row r="162">
      <x:c r="A162" s="19"/>
      <x:c r="B162" s="19"/>
      <x:c r="C162" s="19"/>
      <x:c r="D162" s="19"/>
      <x:c r="E162" s="19"/>
      <x:c r="F162" s="27"/>
      <x:c r="G162" s="19"/>
      <x:c r="H162" s="27"/>
      <x:c r="I162" s="19"/>
      <x:c r="J162" s="19"/>
      <x:c r="K162" s="26"/>
    </x:row>
    <x:row r="163">
      <x:c r="A163" s="19"/>
      <x:c r="B163" s="19"/>
      <x:c r="C163" s="19"/>
      <x:c r="D163" s="19"/>
      <x:c r="E163" s="19"/>
      <x:c r="F163" s="27"/>
      <x:c r="G163" s="19"/>
      <x:c r="H163" s="27"/>
      <x:c r="I163" s="19"/>
      <x:c r="J163" s="19"/>
      <x:c r="K163" s="26"/>
    </x:row>
    <x:row r="164">
      <x:c r="A164" s="19"/>
      <x:c r="B164" s="19"/>
      <x:c r="C164" s="19"/>
      <x:c r="D164" s="19"/>
      <x:c r="E164" s="19"/>
      <x:c r="F164" s="27"/>
      <x:c r="G164" s="19"/>
      <x:c r="H164" s="27"/>
      <x:c r="I164" s="19"/>
      <x:c r="J164" s="19"/>
      <x:c r="K164" s="26"/>
    </x:row>
    <x:row r="165">
      <x:c r="A165" s="19"/>
      <x:c r="B165" s="19"/>
      <x:c r="C165" s="19"/>
      <x:c r="D165" s="19"/>
      <x:c r="E165" s="19"/>
      <x:c r="F165" s="27"/>
      <x:c r="G165" s="19"/>
      <x:c r="H165" s="27"/>
      <x:c r="I165" s="19"/>
      <x:c r="J165" s="19"/>
      <x:c r="K165" s="26"/>
    </x:row>
    <x:row r="166">
      <x:c r="A166" s="19"/>
      <x:c r="B166" s="19"/>
      <x:c r="C166" s="19"/>
      <x:c r="D166" s="19"/>
      <x:c r="E166" s="19"/>
      <x:c r="F166" s="27"/>
      <x:c r="G166" s="19"/>
      <x:c r="H166" s="27"/>
      <x:c r="I166" s="19"/>
      <x:c r="J166" s="19"/>
      <x:c r="K166" s="26"/>
    </x:row>
    <x:row r="167">
      <x:c r="A167" s="19"/>
      <x:c r="B167" s="19"/>
      <x:c r="C167" s="19"/>
      <x:c r="D167" s="19"/>
      <x:c r="E167" s="19"/>
      <x:c r="F167" s="27"/>
      <x:c r="G167" s="19"/>
      <x:c r="H167" s="27"/>
      <x:c r="I167" s="19"/>
      <x:c r="J167" s="19"/>
      <x:c r="K167" s="26"/>
    </x:row>
    <x:row r="168">
      <x:c r="A168" s="19"/>
      <x:c r="B168" s="19"/>
      <x:c r="C168" s="19"/>
      <x:c r="D168" s="19"/>
      <x:c r="E168" s="19"/>
      <x:c r="F168" s="27"/>
      <x:c r="G168" s="19"/>
      <x:c r="H168" s="27"/>
      <x:c r="I168" s="19"/>
      <x:c r="J168" s="19"/>
      <x:c r="K168" s="26"/>
    </x:row>
    <x:row r="169">
      <x:c r="A169" s="19"/>
      <x:c r="B169" s="19"/>
      <x:c r="C169" s="19"/>
      <x:c r="D169" s="19"/>
      <x:c r="E169" s="19"/>
      <x:c r="F169" s="27"/>
      <x:c r="G169" s="19"/>
      <x:c r="H169" s="27"/>
      <x:c r="I169" s="19"/>
      <x:c r="J169" s="19"/>
      <x:c r="K169" s="26"/>
    </x:row>
    <x:row r="170">
      <x:c r="A170" s="19"/>
      <x:c r="B170" s="19"/>
      <x:c r="C170" s="19"/>
      <x:c r="D170" s="19"/>
      <x:c r="E170" s="19"/>
      <x:c r="F170" s="27"/>
      <x:c r="G170" s="19"/>
      <x:c r="H170" s="27"/>
      <x:c r="I170" s="19"/>
      <x:c r="J170" s="19"/>
      <x:c r="K170" s="26"/>
    </x:row>
    <x:row r="171">
      <x:c r="A171" s="19"/>
      <x:c r="B171" s="19"/>
      <x:c r="C171" s="19"/>
      <x:c r="D171" s="19"/>
      <x:c r="E171" s="19"/>
      <x:c r="F171" s="27"/>
      <x:c r="G171" s="19"/>
      <x:c r="H171" s="27"/>
      <x:c r="I171" s="19"/>
      <x:c r="J171" s="19"/>
      <x:c r="K171" s="26"/>
    </x:row>
    <x:row r="172">
      <x:c r="A172" s="19"/>
      <x:c r="B172" s="19"/>
      <x:c r="C172" s="19"/>
      <x:c r="D172" s="19"/>
      <x:c r="E172" s="19"/>
      <x:c r="F172" s="27"/>
      <x:c r="G172" s="19"/>
      <x:c r="H172" s="27"/>
      <x:c r="I172" s="19"/>
      <x:c r="J172" s="19"/>
      <x:c r="K172" s="26"/>
    </x:row>
    <x:row r="173">
      <x:c r="A173" s="19"/>
      <x:c r="B173" s="19"/>
      <x:c r="C173" s="19"/>
      <x:c r="D173" s="19"/>
      <x:c r="E173" s="19"/>
      <x:c r="F173" s="27"/>
      <x:c r="G173" s="19"/>
      <x:c r="H173" s="27"/>
      <x:c r="I173" s="19"/>
      <x:c r="J173" s="19"/>
      <x:c r="K173" s="26"/>
    </x:row>
    <x:row r="174">
      <x:c r="A174" s="19"/>
      <x:c r="B174" s="19"/>
      <x:c r="C174" s="19"/>
      <x:c r="D174" s="19"/>
      <x:c r="E174" s="19"/>
      <x:c r="F174" s="27"/>
      <x:c r="G174" s="19"/>
      <x:c r="H174" s="27"/>
      <x:c r="I174" s="19"/>
      <x:c r="J174" s="19"/>
      <x:c r="K174" s="26"/>
    </x:row>
    <x:row r="175">
      <x:c r="A175" s="19"/>
      <x:c r="B175" s="19"/>
      <x:c r="C175" s="19"/>
      <x:c r="D175" s="19"/>
      <x:c r="E175" s="19"/>
      <x:c r="F175" s="27"/>
      <x:c r="G175" s="19"/>
      <x:c r="H175" s="27"/>
      <x:c r="I175" s="19"/>
      <x:c r="J175" s="19"/>
      <x:c r="K175" s="26"/>
    </x:row>
    <x:row r="176">
      <x:c r="A176" s="19"/>
      <x:c r="B176" s="19"/>
      <x:c r="C176" s="19"/>
      <x:c r="D176" s="19"/>
      <x:c r="E176" s="19"/>
      <x:c r="F176" s="27"/>
      <x:c r="G176" s="19"/>
      <x:c r="H176" s="27"/>
      <x:c r="I176" s="19"/>
      <x:c r="J176" s="19"/>
      <x:c r="K176" s="26"/>
    </x:row>
    <x:row r="177">
      <x:c r="A177" s="19"/>
      <x:c r="B177" s="19"/>
      <x:c r="C177" s="19"/>
      <x:c r="D177" s="19"/>
      <x:c r="E177" s="19"/>
      <x:c r="F177" s="27"/>
      <x:c r="G177" s="19"/>
      <x:c r="H177" s="27"/>
      <x:c r="I177" s="19"/>
      <x:c r="J177" s="19"/>
      <x:c r="K177" s="26"/>
    </x:row>
    <x:row r="178">
      <x:c r="A178" s="19"/>
      <x:c r="B178" s="19"/>
      <x:c r="C178" s="19"/>
      <x:c r="D178" s="19"/>
      <x:c r="E178" s="19"/>
      <x:c r="F178" s="27"/>
      <x:c r="G178" s="19"/>
      <x:c r="H178" s="27"/>
      <x:c r="I178" s="19"/>
      <x:c r="J178" s="19"/>
      <x:c r="K178" s="26"/>
    </x:row>
    <x:row r="179">
      <x:c r="A179" s="19"/>
      <x:c r="B179" s="19"/>
      <x:c r="C179" s="19"/>
      <x:c r="D179" s="19"/>
      <x:c r="E179" s="19"/>
      <x:c r="F179" s="27"/>
      <x:c r="G179" s="19"/>
      <x:c r="H179" s="27"/>
      <x:c r="I179" s="19"/>
      <x:c r="J179" s="19"/>
      <x:c r="K179" s="26"/>
    </x:row>
    <x:row r="180">
      <x:c r="A180" s="19"/>
      <x:c r="B180" s="19"/>
      <x:c r="C180" s="19"/>
      <x:c r="D180" s="19"/>
      <x:c r="E180" s="19"/>
      <x:c r="F180" s="27"/>
      <x:c r="G180" s="19"/>
      <x:c r="H180" s="27"/>
      <x:c r="I180" s="19"/>
      <x:c r="J180" s="19"/>
      <x:c r="K180" s="26"/>
    </x:row>
    <x:row r="181">
      <x:c r="A181" s="19"/>
      <x:c r="B181" s="19"/>
      <x:c r="C181" s="19"/>
      <x:c r="D181" s="19"/>
      <x:c r="E181" s="19"/>
      <x:c r="F181" s="27"/>
      <x:c r="G181" s="19"/>
      <x:c r="H181" s="27"/>
      <x:c r="I181" s="19"/>
      <x:c r="J181" s="19"/>
      <x:c r="K181" s="26"/>
    </x:row>
    <x:row r="182">
      <x:c r="A182" s="19"/>
      <x:c r="B182" s="19"/>
      <x:c r="C182" s="19"/>
      <x:c r="D182" s="19"/>
      <x:c r="E182" s="19"/>
      <x:c r="F182" s="27"/>
      <x:c r="G182" s="19"/>
      <x:c r="H182" s="27"/>
      <x:c r="I182" s="19"/>
      <x:c r="J182" s="19"/>
      <x:c r="K182" s="26"/>
    </x:row>
    <x:row r="183">
      <x:c r="A183" s="19"/>
      <x:c r="B183" s="19"/>
      <x:c r="C183" s="19"/>
      <x:c r="D183" s="19"/>
      <x:c r="E183" s="19"/>
      <x:c r="F183" s="27"/>
      <x:c r="G183" s="19"/>
      <x:c r="H183" s="27"/>
      <x:c r="I183" s="19"/>
      <x:c r="J183" s="19"/>
      <x:c r="K183" s="26"/>
    </x:row>
    <x:row r="184">
      <x:c r="A184" s="19"/>
      <x:c r="B184" s="19"/>
      <x:c r="C184" s="19"/>
      <x:c r="D184" s="19"/>
      <x:c r="E184" s="19"/>
      <x:c r="F184" s="27"/>
      <x:c r="G184" s="19"/>
      <x:c r="H184" s="27"/>
      <x:c r="I184" s="19"/>
      <x:c r="J184" s="19"/>
      <x:c r="K184" s="26"/>
    </x:row>
    <x:row r="185">
      <x:c r="A185" s="19"/>
      <x:c r="B185" s="19"/>
      <x:c r="C185" s="19"/>
      <x:c r="D185" s="19"/>
      <x:c r="E185" s="19"/>
      <x:c r="F185" s="27"/>
      <x:c r="G185" s="19"/>
      <x:c r="H185" s="27"/>
      <x:c r="I185" s="19"/>
      <x:c r="J185" s="19"/>
      <x:c r="K185" s="26"/>
    </x:row>
    <x:row r="186">
      <x:c r="A186" s="19"/>
      <x:c r="B186" s="19"/>
      <x:c r="C186" s="19"/>
      <x:c r="D186" s="19"/>
      <x:c r="E186" s="19"/>
      <x:c r="F186" s="27"/>
      <x:c r="G186" s="19"/>
      <x:c r="H186" s="27"/>
      <x:c r="I186" s="19"/>
      <x:c r="J186" s="19"/>
      <x:c r="K186" s="26"/>
    </x:row>
    <x:row r="187">
      <x:c r="A187" s="19"/>
      <x:c r="B187" s="19"/>
      <x:c r="C187" s="19"/>
      <x:c r="D187" s="19"/>
      <x:c r="E187" s="19"/>
      <x:c r="F187" s="27"/>
      <x:c r="G187" s="19"/>
      <x:c r="H187" s="27"/>
      <x:c r="I187" s="19"/>
      <x:c r="J187" s="19"/>
      <x:c r="K187" s="26"/>
    </x:row>
    <x:row r="188">
      <x:c r="A188" s="19"/>
      <x:c r="B188" s="19"/>
      <x:c r="C188" s="19"/>
      <x:c r="D188" s="19"/>
      <x:c r="E188" s="19"/>
      <x:c r="F188" s="27"/>
      <x:c r="G188" s="19"/>
      <x:c r="H188" s="27"/>
      <x:c r="I188" s="19"/>
      <x:c r="J188" s="19"/>
      <x:c r="K188" s="26"/>
    </x:row>
    <x:row r="189">
      <x:c r="A189" s="19"/>
      <x:c r="B189" s="19"/>
      <x:c r="C189" s="19"/>
      <x:c r="D189" s="19"/>
      <x:c r="E189" s="19"/>
      <x:c r="F189" s="27"/>
      <x:c r="G189" s="19"/>
      <x:c r="H189" s="27"/>
      <x:c r="I189" s="19"/>
      <x:c r="J189" s="19"/>
      <x:c r="K189" s="26"/>
    </x:row>
    <x:row r="190">
      <x:c r="A190" s="19"/>
      <x:c r="B190" s="19"/>
      <x:c r="C190" s="19"/>
      <x:c r="D190" s="19"/>
      <x:c r="E190" s="19"/>
      <x:c r="F190" s="27"/>
      <x:c r="G190" s="19"/>
      <x:c r="H190" s="27"/>
      <x:c r="I190" s="19"/>
      <x:c r="J190" s="19"/>
      <x:c r="K190" s="26"/>
    </x:row>
    <x:row r="191">
      <x:c r="A191" s="19"/>
      <x:c r="B191" s="19"/>
      <x:c r="C191" s="19"/>
      <x:c r="D191" s="19"/>
      <x:c r="E191" s="19"/>
      <x:c r="F191" s="27"/>
      <x:c r="G191" s="19"/>
      <x:c r="H191" s="27"/>
      <x:c r="I191" s="19"/>
      <x:c r="J191" s="19"/>
      <x:c r="K191" s="26"/>
    </x:row>
    <x:row r="192">
      <x:c r="A192" s="19"/>
      <x:c r="B192" s="19"/>
      <x:c r="C192" s="19"/>
      <x:c r="D192" s="19"/>
      <x:c r="E192" s="19"/>
      <x:c r="F192" s="27"/>
      <x:c r="G192" s="19"/>
      <x:c r="H192" s="27"/>
      <x:c r="I192" s="19"/>
      <x:c r="J192" s="19"/>
      <x:c r="K192" s="26"/>
    </x:row>
    <x:row r="193">
      <x:c r="A193" s="19"/>
      <x:c r="B193" s="19"/>
      <x:c r="C193" s="19"/>
      <x:c r="D193" s="19"/>
      <x:c r="E193" s="19"/>
      <x:c r="F193" s="27"/>
      <x:c r="G193" s="19"/>
      <x:c r="H193" s="27"/>
      <x:c r="I193" s="19"/>
      <x:c r="J193" s="19"/>
      <x:c r="K193" s="26"/>
    </x:row>
    <x:row r="194">
      <x:c r="A194" s="19"/>
      <x:c r="B194" s="19"/>
      <x:c r="C194" s="19"/>
      <x:c r="D194" s="19"/>
      <x:c r="E194" s="19"/>
      <x:c r="F194" s="27"/>
      <x:c r="G194" s="19"/>
      <x:c r="H194" s="27"/>
      <x:c r="I194" s="19"/>
      <x:c r="J194" s="19"/>
      <x:c r="K194" s="26"/>
    </x:row>
    <x:row r="195">
      <x:c r="A195" s="19"/>
      <x:c r="B195" s="19"/>
      <x:c r="C195" s="19"/>
      <x:c r="D195" s="19"/>
      <x:c r="E195" s="19"/>
      <x:c r="F195" s="27"/>
      <x:c r="G195" s="19"/>
      <x:c r="H195" s="27"/>
      <x:c r="I195" s="19"/>
      <x:c r="J195" s="19"/>
      <x:c r="K195" s="26"/>
    </x:row>
    <x:row r="196">
      <x:c r="A196" s="19"/>
      <x:c r="B196" s="19"/>
      <x:c r="C196" s="19"/>
      <x:c r="D196" s="19"/>
      <x:c r="E196" s="19"/>
      <x:c r="F196" s="27"/>
      <x:c r="G196" s="19"/>
      <x:c r="H196" s="27"/>
      <x:c r="I196" s="19"/>
      <x:c r="J196" s="19"/>
      <x:c r="K196" s="26"/>
    </x:row>
    <x:row r="197">
      <x:c r="A197" s="19"/>
      <x:c r="B197" s="19"/>
      <x:c r="C197" s="19"/>
      <x:c r="D197" s="19"/>
      <x:c r="E197" s="19"/>
      <x:c r="F197" s="27"/>
      <x:c r="G197" s="19"/>
      <x:c r="H197" s="27"/>
      <x:c r="I197" s="19"/>
      <x:c r="J197" s="19"/>
      <x:c r="K197" s="26"/>
    </x:row>
    <x:row r="198">
      <x:c r="A198" s="19"/>
      <x:c r="B198" s="19"/>
      <x:c r="C198" s="19"/>
      <x:c r="D198" s="19"/>
      <x:c r="E198" s="19"/>
      <x:c r="F198" s="27"/>
      <x:c r="G198" s="19"/>
      <x:c r="H198" s="27"/>
      <x:c r="I198" s="19"/>
      <x:c r="J198" s="19"/>
      <x:c r="K198" s="26"/>
    </x:row>
    <x:row r="199">
      <x:c r="A199" s="19"/>
      <x:c r="B199" s="19"/>
      <x:c r="C199" s="19"/>
      <x:c r="D199" s="19"/>
      <x:c r="E199" s="19"/>
      <x:c r="F199" s="27"/>
      <x:c r="G199" s="19"/>
      <x:c r="H199" s="27"/>
      <x:c r="I199" s="19"/>
      <x:c r="J199" s="19"/>
      <x:c r="K199" s="26"/>
    </x:row>
    <x:row r="200">
      <x:c r="A200" s="19"/>
      <x:c r="B200" s="19"/>
      <x:c r="C200" s="19"/>
      <x:c r="D200" s="19"/>
      <x:c r="E200" s="19"/>
      <x:c r="F200" s="27"/>
      <x:c r="G200" s="19"/>
      <x:c r="H200" s="27"/>
      <x:c r="I200" s="19"/>
      <x:c r="J200" s="19"/>
      <x:c r="K200" s="26"/>
    </x:row>
    <x:row r="201">
      <x:c r="A201" s="19"/>
      <x:c r="B201" s="19"/>
      <x:c r="C201" s="19"/>
      <x:c r="D201" s="19"/>
      <x:c r="E201" s="19"/>
      <x:c r="F201" s="27"/>
      <x:c r="G201" s="19"/>
      <x:c r="H201" s="27"/>
      <x:c r="I201" s="19"/>
      <x:c r="J201" s="19"/>
      <x:c r="K201" s="26"/>
    </x:row>
    <x:row r="202">
      <x:c r="A202" s="19"/>
      <x:c r="B202" s="19"/>
      <x:c r="C202" s="19"/>
      <x:c r="D202" s="19"/>
      <x:c r="E202" s="19"/>
      <x:c r="F202" s="27"/>
      <x:c r="G202" s="19"/>
      <x:c r="H202" s="27"/>
      <x:c r="I202" s="19"/>
      <x:c r="J202" s="19"/>
      <x:c r="K202" s="26"/>
    </x:row>
    <x:row r="203">
      <x:c r="A203" s="19"/>
      <x:c r="B203" s="19"/>
      <x:c r="C203" s="19"/>
      <x:c r="D203" s="19"/>
      <x:c r="E203" s="19"/>
      <x:c r="F203" s="27"/>
      <x:c r="G203" s="19"/>
      <x:c r="H203" s="27"/>
      <x:c r="I203" s="19"/>
      <x:c r="J203" s="19"/>
      <x:c r="K203" s="26"/>
    </x:row>
    <x:row r="204">
      <x:c r="A204" s="19"/>
      <x:c r="B204" s="19"/>
      <x:c r="C204" s="19"/>
      <x:c r="D204" s="19"/>
      <x:c r="E204" s="19"/>
      <x:c r="F204" s="27"/>
      <x:c r="G204" s="19"/>
      <x:c r="H204" s="27"/>
      <x:c r="I204" s="19"/>
      <x:c r="J204" s="19"/>
      <x:c r="K204" s="26"/>
    </x:row>
    <x:row r="205">
      <x:c r="A205" s="19"/>
      <x:c r="B205" s="19"/>
      <x:c r="C205" s="19"/>
      <x:c r="D205" s="19"/>
      <x:c r="E205" s="19"/>
      <x:c r="F205" s="27"/>
      <x:c r="G205" s="19"/>
      <x:c r="H205" s="27"/>
      <x:c r="I205" s="19"/>
      <x:c r="J205" s="19"/>
      <x:c r="K205" s="26"/>
    </x:row>
    <x:row r="206">
      <x:c r="A206" s="19"/>
      <x:c r="B206" s="19"/>
      <x:c r="C206" s="19"/>
      <x:c r="D206" s="19"/>
      <x:c r="E206" s="19"/>
      <x:c r="F206" s="27"/>
      <x:c r="G206" s="19"/>
      <x:c r="H206" s="27"/>
      <x:c r="I206" s="19"/>
      <x:c r="J206" s="19"/>
      <x:c r="K206" s="26"/>
    </x:row>
    <x:row r="207">
      <x:c r="A207" s="19"/>
      <x:c r="B207" s="19"/>
      <x:c r="C207" s="19"/>
      <x:c r="D207" s="19"/>
      <x:c r="E207" s="19"/>
      <x:c r="F207" s="27"/>
      <x:c r="G207" s="19"/>
      <x:c r="H207" s="27"/>
      <x:c r="I207" s="19"/>
      <x:c r="J207" s="19"/>
      <x:c r="K207" s="26"/>
    </x:row>
    <x:row r="208">
      <x:c r="A208" s="19"/>
      <x:c r="B208" s="19"/>
      <x:c r="C208" s="19"/>
      <x:c r="D208" s="19"/>
      <x:c r="E208" s="19"/>
      <x:c r="F208" s="27"/>
      <x:c r="G208" s="19"/>
      <x:c r="H208" s="27"/>
      <x:c r="I208" s="19"/>
      <x:c r="J208" s="19"/>
      <x:c r="K208" s="26"/>
    </x:row>
    <x:row r="209">
      <x:c r="A209" s="19"/>
      <x:c r="B209" s="19"/>
      <x:c r="C209" s="19"/>
      <x:c r="D209" s="19"/>
      <x:c r="E209" s="19"/>
      <x:c r="F209" s="27"/>
      <x:c r="G209" s="19"/>
      <x:c r="H209" s="27"/>
      <x:c r="I209" s="19"/>
      <x:c r="J209" s="19"/>
      <x:c r="K209" s="26"/>
    </x:row>
    <x:row r="210">
      <x:c r="A210" s="19"/>
      <x:c r="B210" s="19"/>
      <x:c r="C210" s="19"/>
      <x:c r="D210" s="19"/>
      <x:c r="E210" s="19"/>
      <x:c r="F210" s="27"/>
      <x:c r="G210" s="19"/>
      <x:c r="H210" s="27"/>
      <x:c r="I210" s="19"/>
      <x:c r="J210" s="19"/>
      <x:c r="K210" s="26"/>
    </x:row>
    <x:row r="211">
      <x:c r="A211" s="19"/>
      <x:c r="B211" s="19"/>
      <x:c r="C211" s="19"/>
      <x:c r="D211" s="19"/>
      <x:c r="E211" s="19"/>
      <x:c r="F211" s="27"/>
      <x:c r="G211" s="19"/>
      <x:c r="H211" s="27"/>
      <x:c r="I211" s="19"/>
      <x:c r="J211" s="19"/>
      <x:c r="K211" s="26"/>
    </x:row>
    <x:row r="212">
      <x:c r="A212" s="19"/>
      <x:c r="B212" s="19"/>
      <x:c r="C212" s="19"/>
      <x:c r="D212" s="19"/>
      <x:c r="E212" s="19"/>
      <x:c r="F212" s="27"/>
      <x:c r="G212" s="19"/>
      <x:c r="H212" s="27"/>
      <x:c r="I212" s="19"/>
      <x:c r="J212" s="19"/>
      <x:c r="K212" s="26"/>
    </x:row>
    <x:row r="213">
      <x:c r="A213" s="19"/>
      <x:c r="B213" s="19"/>
      <x:c r="C213" s="19"/>
      <x:c r="D213" s="19"/>
      <x:c r="E213" s="19"/>
      <x:c r="F213" s="27"/>
      <x:c r="G213" s="19"/>
      <x:c r="H213" s="27"/>
      <x:c r="I213" s="19"/>
      <x:c r="J213" s="19"/>
      <x:c r="K213" s="26"/>
    </x:row>
    <x:row r="214">
      <x:c r="A214" s="19"/>
      <x:c r="B214" s="19"/>
      <x:c r="C214" s="19"/>
      <x:c r="D214" s="19"/>
      <x:c r="E214" s="19"/>
      <x:c r="F214" s="27"/>
      <x:c r="G214" s="19"/>
      <x:c r="H214" s="27"/>
      <x:c r="I214" s="19"/>
      <x:c r="J214" s="19"/>
      <x:c r="K214" s="26"/>
    </x:row>
    <x:row r="215">
      <x:c r="A215" s="19"/>
      <x:c r="B215" s="19"/>
      <x:c r="C215" s="19"/>
      <x:c r="D215" s="19"/>
      <x:c r="E215" s="19"/>
      <x:c r="F215" s="27"/>
      <x:c r="G215" s="19"/>
      <x:c r="H215" s="27"/>
      <x:c r="I215" s="19"/>
      <x:c r="J215" s="19"/>
      <x:c r="K215" s="26"/>
    </x:row>
    <x:row r="216">
      <x:c r="A216" s="19"/>
      <x:c r="B216" s="19"/>
      <x:c r="C216" s="19"/>
      <x:c r="D216" s="19"/>
      <x:c r="E216" s="19"/>
      <x:c r="F216" s="27"/>
      <x:c r="G216" s="19"/>
      <x:c r="H216" s="27"/>
      <x:c r="I216" s="19"/>
      <x:c r="J216" s="19"/>
      <x:c r="K216" s="26"/>
    </x:row>
    <x:row r="217">
      <x:c r="A217" s="19"/>
      <x:c r="B217" s="19"/>
      <x:c r="C217" s="19"/>
      <x:c r="D217" s="19"/>
      <x:c r="E217" s="19"/>
      <x:c r="F217" s="27"/>
      <x:c r="G217" s="19"/>
      <x:c r="H217" s="27"/>
      <x:c r="I217" s="19"/>
      <x:c r="J217" s="19"/>
      <x:c r="K217" s="26"/>
    </x:row>
    <x:row r="218">
      <x:c r="A218" s="19"/>
      <x:c r="B218" s="19"/>
      <x:c r="C218" s="19"/>
      <x:c r="D218" s="19"/>
      <x:c r="E218" s="19"/>
      <x:c r="F218" s="27"/>
      <x:c r="G218" s="19"/>
      <x:c r="H218" s="27"/>
      <x:c r="I218" s="19"/>
      <x:c r="J218" s="19"/>
      <x:c r="K218" s="26"/>
    </x:row>
    <x:row r="219">
      <x:c r="A219" s="19"/>
      <x:c r="B219" s="19"/>
      <x:c r="C219" s="19"/>
      <x:c r="D219" s="19"/>
      <x:c r="E219" s="19"/>
      <x:c r="F219" s="27"/>
      <x:c r="G219" s="19"/>
      <x:c r="H219" s="27"/>
      <x:c r="I219" s="19"/>
      <x:c r="J219" s="19"/>
      <x:c r="K219" s="26"/>
    </x:row>
    <x:row r="220">
      <x:c r="A220" s="19"/>
      <x:c r="B220" s="19"/>
      <x:c r="C220" s="19"/>
      <x:c r="D220" s="19"/>
      <x:c r="E220" s="19"/>
      <x:c r="F220" s="27"/>
      <x:c r="G220" s="19"/>
      <x:c r="H220" s="27"/>
      <x:c r="I220" s="19"/>
      <x:c r="J220" s="19"/>
      <x:c r="K220" s="26"/>
    </x:row>
    <x:row r="221">
      <x:c r="A221" s="19"/>
      <x:c r="B221" s="19"/>
      <x:c r="C221" s="19"/>
      <x:c r="D221" s="19"/>
      <x:c r="E221" s="19"/>
      <x:c r="F221" s="27"/>
      <x:c r="G221" s="19"/>
      <x:c r="H221" s="27"/>
      <x:c r="I221" s="19"/>
      <x:c r="J221" s="19"/>
      <x:c r="K221" s="26"/>
    </x:row>
    <x:row r="222">
      <x:c r="A222" s="19"/>
      <x:c r="B222" s="19"/>
      <x:c r="C222" s="19"/>
      <x:c r="D222" s="19"/>
      <x:c r="E222" s="19"/>
      <x:c r="F222" s="27"/>
      <x:c r="G222" s="19"/>
      <x:c r="H222" s="27"/>
      <x:c r="I222" s="19"/>
      <x:c r="J222" s="19"/>
      <x:c r="K222" s="26"/>
    </x:row>
    <x:row r="223">
      <x:c r="A223" s="19"/>
      <x:c r="B223" s="19"/>
      <x:c r="C223" s="19"/>
      <x:c r="D223" s="19"/>
      <x:c r="E223" s="19"/>
      <x:c r="F223" s="27"/>
      <x:c r="G223" s="19"/>
      <x:c r="H223" s="27"/>
      <x:c r="I223" s="19"/>
      <x:c r="J223" s="19"/>
      <x:c r="K223" s="26"/>
    </x:row>
    <x:row r="224">
      <x:c r="A224" s="19"/>
      <x:c r="B224" s="19"/>
      <x:c r="C224" s="19"/>
      <x:c r="D224" s="19"/>
      <x:c r="E224" s="19"/>
      <x:c r="F224" s="27"/>
      <x:c r="G224" s="19"/>
      <x:c r="H224" s="27"/>
      <x:c r="I224" s="19"/>
      <x:c r="J224" s="19"/>
      <x:c r="K224" s="26"/>
    </x:row>
    <x:row r="225">
      <x:c r="A225" s="19"/>
      <x:c r="B225" s="19"/>
      <x:c r="C225" s="19"/>
      <x:c r="D225" s="19"/>
      <x:c r="E225" s="19"/>
      <x:c r="F225" s="27"/>
      <x:c r="G225" s="19"/>
      <x:c r="H225" s="27"/>
      <x:c r="I225" s="19"/>
      <x:c r="J225" s="19"/>
      <x:c r="K225" s="26"/>
    </x:row>
    <x:row r="226">
      <x:c r="A226" s="19"/>
      <x:c r="B226" s="19"/>
      <x:c r="C226" s="19"/>
      <x:c r="D226" s="19"/>
      <x:c r="E226" s="19"/>
      <x:c r="F226" s="27"/>
      <x:c r="G226" s="19"/>
      <x:c r="H226" s="27"/>
      <x:c r="I226" s="19"/>
      <x:c r="J226" s="19"/>
      <x:c r="K226" s="26"/>
    </x:row>
    <x:row r="227">
      <x:c r="A227" s="19"/>
      <x:c r="B227" s="19"/>
      <x:c r="C227" s="19"/>
      <x:c r="D227" s="19"/>
      <x:c r="E227" s="19"/>
      <x:c r="F227" s="27"/>
      <x:c r="G227" s="19"/>
      <x:c r="H227" s="27"/>
      <x:c r="I227" s="19"/>
      <x:c r="J227" s="19"/>
      <x:c r="K227" s="26"/>
    </x:row>
    <x:row r="228">
      <x:c r="A228" s="19"/>
      <x:c r="B228" s="19"/>
      <x:c r="C228" s="19"/>
      <x:c r="D228" s="19"/>
      <x:c r="E228" s="19"/>
      <x:c r="F228" s="27"/>
      <x:c r="G228" s="19"/>
      <x:c r="H228" s="27"/>
      <x:c r="I228" s="19"/>
      <x:c r="J228" s="19"/>
      <x:c r="K228" s="26"/>
    </x:row>
    <x:row r="229">
      <x:c r="A229" s="19"/>
      <x:c r="B229" s="19"/>
      <x:c r="C229" s="19"/>
      <x:c r="D229" s="19"/>
      <x:c r="E229" s="19"/>
      <x:c r="F229" s="27"/>
      <x:c r="G229" s="19"/>
      <x:c r="H229" s="27"/>
      <x:c r="I229" s="19"/>
      <x:c r="J229" s="19"/>
      <x:c r="K229" s="26"/>
    </x:row>
    <x:row r="230">
      <x:c r="A230" s="19"/>
      <x:c r="B230" s="19"/>
      <x:c r="C230" s="19"/>
      <x:c r="D230" s="19"/>
      <x:c r="E230" s="19"/>
      <x:c r="F230" s="27"/>
      <x:c r="G230" s="19"/>
      <x:c r="H230" s="27"/>
      <x:c r="I230" s="19"/>
      <x:c r="J230" s="19"/>
      <x:c r="K230" s="26"/>
    </x:row>
    <x:row r="231">
      <x:c r="A231" s="19"/>
      <x:c r="B231" s="19"/>
      <x:c r="C231" s="19"/>
      <x:c r="D231" s="19"/>
      <x:c r="E231" s="19"/>
      <x:c r="F231" s="27"/>
      <x:c r="G231" s="19"/>
      <x:c r="H231" s="27"/>
      <x:c r="I231" s="19"/>
      <x:c r="J231" s="19"/>
      <x:c r="K231" s="26"/>
    </x:row>
    <x:row r="232">
      <x:c r="A232" s="19"/>
      <x:c r="B232" s="19"/>
      <x:c r="C232" s="19"/>
      <x:c r="D232" s="19"/>
      <x:c r="E232" s="19"/>
      <x:c r="F232" s="27"/>
      <x:c r="G232" s="19"/>
      <x:c r="H232" s="27"/>
      <x:c r="I232" s="19"/>
      <x:c r="J232" s="19"/>
      <x:c r="K232" s="26"/>
    </x:row>
    <x:row r="233">
      <x:c r="A233" s="19"/>
      <x:c r="B233" s="19"/>
      <x:c r="C233" s="19"/>
      <x:c r="D233" s="19"/>
      <x:c r="E233" s="19"/>
      <x:c r="F233" s="27"/>
      <x:c r="G233" s="19"/>
      <x:c r="H233" s="27"/>
      <x:c r="I233" s="19"/>
      <x:c r="J233" s="19"/>
      <x:c r="K233" s="26"/>
    </x:row>
    <x:row r="234">
      <x:c r="A234" s="19"/>
      <x:c r="B234" s="19"/>
      <x:c r="C234" s="19"/>
      <x:c r="D234" s="19"/>
      <x:c r="E234" s="19"/>
      <x:c r="F234" s="27"/>
      <x:c r="G234" s="19"/>
      <x:c r="H234" s="27"/>
      <x:c r="I234" s="19"/>
      <x:c r="J234" s="19"/>
      <x:c r="K234" s="26"/>
    </x:row>
    <x:row r="235">
      <x:c r="A235" s="19"/>
      <x:c r="B235" s="19"/>
      <x:c r="C235" s="19"/>
      <x:c r="D235" s="19"/>
      <x:c r="E235" s="19"/>
      <x:c r="F235" s="27"/>
      <x:c r="G235" s="19"/>
      <x:c r="H235" s="27"/>
      <x:c r="I235" s="19"/>
      <x:c r="J235" s="19"/>
      <x:c r="K235" s="26"/>
    </x:row>
    <x:row r="236">
      <x:c r="A236" s="19"/>
      <x:c r="B236" s="19"/>
      <x:c r="C236" s="19"/>
      <x:c r="D236" s="19"/>
      <x:c r="E236" s="19"/>
      <x:c r="F236" s="27"/>
      <x:c r="G236" s="19"/>
      <x:c r="H236" s="27"/>
      <x:c r="I236" s="19"/>
      <x:c r="J236" s="19"/>
      <x:c r="K236" s="26"/>
    </x:row>
    <x:row r="237">
      <x:c r="A237" s="19"/>
      <x:c r="B237" s="19"/>
      <x:c r="C237" s="19"/>
      <x:c r="D237" s="19"/>
      <x:c r="E237" s="19"/>
      <x:c r="F237" s="27"/>
      <x:c r="G237" s="19"/>
      <x:c r="H237" s="27"/>
      <x:c r="I237" s="19"/>
      <x:c r="J237" s="19"/>
      <x:c r="K237" s="26"/>
    </x:row>
    <x:row r="238">
      <x:c r="A238" s="19"/>
      <x:c r="B238" s="19"/>
      <x:c r="C238" s="19"/>
      <x:c r="D238" s="19"/>
      <x:c r="E238" s="19"/>
      <x:c r="F238" s="27"/>
      <x:c r="G238" s="19"/>
      <x:c r="H238" s="27"/>
      <x:c r="I238" s="19"/>
      <x:c r="J238" s="19"/>
      <x:c r="K238" s="26"/>
    </x:row>
    <x:row r="239">
      <x:c r="A239" s="19"/>
      <x:c r="B239" s="19"/>
      <x:c r="C239" s="19"/>
      <x:c r="D239" s="19"/>
      <x:c r="E239" s="19"/>
      <x:c r="F239" s="27"/>
      <x:c r="G239" s="19"/>
      <x:c r="H239" s="27"/>
      <x:c r="I239" s="19"/>
      <x:c r="J239" s="19"/>
      <x:c r="K239" s="26"/>
    </x:row>
    <x:row r="240">
      <x:c r="A240" s="19"/>
      <x:c r="B240" s="19"/>
      <x:c r="C240" s="19"/>
      <x:c r="D240" s="19"/>
      <x:c r="E240" s="19"/>
      <x:c r="F240" s="27"/>
      <x:c r="G240" s="19"/>
      <x:c r="H240" s="27"/>
      <x:c r="I240" s="19"/>
      <x:c r="J240" s="19"/>
      <x:c r="K240" s="26"/>
    </x:row>
    <x:row r="241">
      <x:c r="A241" s="19"/>
      <x:c r="B241" s="19"/>
      <x:c r="C241" s="19"/>
      <x:c r="D241" s="19"/>
      <x:c r="E241" s="19"/>
      <x:c r="F241" s="27"/>
      <x:c r="G241" s="19"/>
      <x:c r="H241" s="27"/>
      <x:c r="I241" s="19"/>
      <x:c r="J241" s="19"/>
      <x:c r="K241" s="26"/>
    </x:row>
    <x:row r="242">
      <x:c r="A242" s="19"/>
      <x:c r="B242" s="19"/>
      <x:c r="C242" s="19"/>
      <x:c r="D242" s="19"/>
      <x:c r="E242" s="19"/>
      <x:c r="F242" s="27"/>
      <x:c r="G242" s="19"/>
      <x:c r="H242" s="27"/>
      <x:c r="I242" s="19"/>
      <x:c r="J242" s="19"/>
      <x:c r="K242" s="26"/>
    </x:row>
    <x:row r="243">
      <x:c r="A243" s="19"/>
      <x:c r="B243" s="19"/>
      <x:c r="C243" s="19"/>
      <x:c r="D243" s="19"/>
      <x:c r="E243" s="19"/>
      <x:c r="F243" s="27"/>
      <x:c r="G243" s="19"/>
      <x:c r="H243" s="27"/>
      <x:c r="I243" s="19"/>
      <x:c r="J243" s="19"/>
      <x:c r="K243" s="26"/>
    </x:row>
    <x:row r="244">
      <x:c r="A244" s="19"/>
      <x:c r="B244" s="19"/>
      <x:c r="C244" s="19"/>
      <x:c r="D244" s="19"/>
      <x:c r="E244" s="19"/>
      <x:c r="F244" s="27"/>
      <x:c r="G244" s="19"/>
      <x:c r="H244" s="27"/>
      <x:c r="I244" s="19"/>
      <x:c r="J244" s="19"/>
      <x:c r="K244" s="26"/>
    </x:row>
    <x:row r="245">
      <x:c r="A245" s="19"/>
      <x:c r="B245" s="19"/>
      <x:c r="C245" s="19"/>
      <x:c r="D245" s="19"/>
      <x:c r="E245" s="19"/>
      <x:c r="F245" s="27"/>
      <x:c r="G245" s="19"/>
      <x:c r="H245" s="27"/>
      <x:c r="I245" s="19"/>
      <x:c r="J245" s="19"/>
      <x:c r="K245" s="26"/>
    </x:row>
    <x:row r="246">
      <x:c r="A246" s="19"/>
      <x:c r="B246" s="19"/>
      <x:c r="C246" s="19"/>
      <x:c r="D246" s="19"/>
      <x:c r="E246" s="19"/>
      <x:c r="F246" s="27"/>
      <x:c r="G246" s="19"/>
      <x:c r="H246" s="27"/>
      <x:c r="I246" s="19"/>
      <x:c r="J246" s="19"/>
      <x:c r="K246" s="26"/>
    </x:row>
    <x:row r="247">
      <x:c r="A247" s="19"/>
      <x:c r="B247" s="19"/>
      <x:c r="C247" s="19"/>
      <x:c r="D247" s="19"/>
      <x:c r="E247" s="19"/>
      <x:c r="F247" s="27"/>
      <x:c r="G247" s="19"/>
      <x:c r="H247" s="27"/>
      <x:c r="I247" s="19"/>
      <x:c r="J247" s="19"/>
      <x:c r="K247" s="26"/>
    </x:row>
    <x:row r="248">
      <x:c r="A248" s="19"/>
      <x:c r="B248" s="19"/>
      <x:c r="C248" s="19"/>
      <x:c r="D248" s="19"/>
      <x:c r="E248" s="19"/>
      <x:c r="F248" s="27"/>
      <x:c r="G248" s="19"/>
      <x:c r="H248" s="27"/>
      <x:c r="I248" s="19"/>
      <x:c r="J248" s="19"/>
      <x:c r="K248" s="26"/>
    </x:row>
    <x:row r="249">
      <x:c r="A249" s="19"/>
      <x:c r="B249" s="19"/>
      <x:c r="C249" s="19"/>
      <x:c r="D249" s="19"/>
      <x:c r="E249" s="19"/>
      <x:c r="F249" s="27"/>
      <x:c r="G249" s="19"/>
      <x:c r="H249" s="27"/>
      <x:c r="I249" s="19"/>
      <x:c r="J249" s="19"/>
      <x:c r="K249" s="26"/>
    </x:row>
    <x:row r="250">
      <x:c r="A250" s="19"/>
      <x:c r="B250" s="19"/>
      <x:c r="C250" s="19"/>
      <x:c r="D250" s="19"/>
      <x:c r="E250" s="19"/>
      <x:c r="F250" s="27"/>
      <x:c r="G250" s="19"/>
      <x:c r="H250" s="27"/>
      <x:c r="I250" s="19"/>
      <x:c r="J250" s="19"/>
      <x:c r="K250" s="26"/>
    </x:row>
    <x:row r="251">
      <x:c r="A251" s="19"/>
      <x:c r="B251" s="19"/>
      <x:c r="C251" s="19"/>
      <x:c r="D251" s="19"/>
      <x:c r="E251" s="19"/>
      <x:c r="F251" s="27"/>
      <x:c r="G251" s="19"/>
      <x:c r="H251" s="27"/>
      <x:c r="I251" s="19"/>
      <x:c r="J251" s="19"/>
      <x:c r="K251" s="26"/>
    </x:row>
    <x:row r="252">
      <x:c r="A252" s="19"/>
      <x:c r="B252" s="19"/>
      <x:c r="C252" s="19"/>
      <x:c r="D252" s="19"/>
      <x:c r="E252" s="19"/>
      <x:c r="F252" s="27"/>
      <x:c r="G252" s="19"/>
      <x:c r="H252" s="27"/>
      <x:c r="I252" s="19"/>
      <x:c r="J252" s="19"/>
      <x:c r="K252" s="26"/>
    </x:row>
    <x:row r="253">
      <x:c r="A253" s="19"/>
      <x:c r="B253" s="19"/>
      <x:c r="C253" s="19"/>
      <x:c r="D253" s="19"/>
      <x:c r="E253" s="19"/>
      <x:c r="F253" s="27"/>
      <x:c r="G253" s="19"/>
      <x:c r="H253" s="27"/>
      <x:c r="I253" s="19"/>
      <x:c r="J253" s="19"/>
      <x:c r="K253" s="26"/>
    </x:row>
    <x:row r="254">
      <x:c r="A254" s="19"/>
      <x:c r="B254" s="19"/>
      <x:c r="C254" s="19"/>
      <x:c r="D254" s="19"/>
      <x:c r="E254" s="19"/>
      <x:c r="F254" s="27"/>
      <x:c r="G254" s="19"/>
      <x:c r="H254" s="27"/>
      <x:c r="I254" s="19"/>
      <x:c r="J254" s="19"/>
      <x:c r="K254" s="26"/>
    </x:row>
    <x:row r="255">
      <x:c r="A255" s="19"/>
      <x:c r="B255" s="19"/>
      <x:c r="C255" s="19"/>
      <x:c r="D255" s="19"/>
      <x:c r="E255" s="19"/>
      <x:c r="F255" s="27"/>
      <x:c r="G255" s="19"/>
      <x:c r="H255" s="27"/>
      <x:c r="I255" s="19"/>
      <x:c r="J255" s="19"/>
      <x:c r="K255" s="26"/>
    </x:row>
    <x:row r="256">
      <x:c r="A256" s="19"/>
      <x:c r="B256" s="19"/>
      <x:c r="C256" s="19"/>
      <x:c r="D256" s="19"/>
      <x:c r="E256" s="19"/>
      <x:c r="F256" s="27"/>
      <x:c r="G256" s="19"/>
      <x:c r="H256" s="27"/>
      <x:c r="I256" s="19"/>
      <x:c r="J256" s="19"/>
      <x:c r="K256" s="26"/>
    </x:row>
    <x:row r="257">
      <x:c r="A257" s="19"/>
      <x:c r="B257" s="19"/>
      <x:c r="C257" s="19"/>
      <x:c r="D257" s="19"/>
      <x:c r="E257" s="19"/>
      <x:c r="F257" s="27"/>
      <x:c r="G257" s="19"/>
      <x:c r="H257" s="27"/>
      <x:c r="I257" s="19"/>
      <x:c r="J257" s="19"/>
      <x:c r="K257" s="26"/>
    </x:row>
    <x:row r="258">
      <x:c r="A258" s="19"/>
      <x:c r="B258" s="19"/>
      <x:c r="C258" s="19"/>
      <x:c r="D258" s="19"/>
      <x:c r="E258" s="19"/>
      <x:c r="F258" s="27"/>
      <x:c r="G258" s="19"/>
      <x:c r="H258" s="27"/>
      <x:c r="I258" s="19"/>
      <x:c r="J258" s="19"/>
      <x:c r="K258" s="26"/>
    </x:row>
    <x:row r="259">
      <x:c r="A259" s="19"/>
      <x:c r="B259" s="19"/>
      <x:c r="C259" s="19"/>
      <x:c r="D259" s="19"/>
      <x:c r="E259" s="19"/>
      <x:c r="F259" s="27"/>
      <x:c r="G259" s="19"/>
      <x:c r="H259" s="27"/>
      <x:c r="I259" s="19"/>
      <x:c r="J259" s="19"/>
      <x:c r="K259" s="26"/>
    </x:row>
    <x:row r="260">
      <x:c r="A260" s="19"/>
      <x:c r="B260" s="19"/>
      <x:c r="C260" s="19"/>
      <x:c r="D260" s="19"/>
      <x:c r="E260" s="19"/>
      <x:c r="F260" s="27"/>
      <x:c r="G260" s="19"/>
      <x:c r="H260" s="27"/>
      <x:c r="I260" s="19"/>
      <x:c r="J260" s="19"/>
      <x:c r="K260" s="26"/>
    </x:row>
    <x:row r="261">
      <x:c r="A261" s="19"/>
      <x:c r="B261" s="19"/>
      <x:c r="C261" s="19"/>
      <x:c r="D261" s="19"/>
      <x:c r="E261" s="19"/>
      <x:c r="F261" s="27"/>
      <x:c r="G261" s="19"/>
      <x:c r="H261" s="27"/>
      <x:c r="I261" s="19"/>
      <x:c r="J261" s="19"/>
      <x:c r="K261" s="26"/>
    </x:row>
    <x:row r="262">
      <x:c r="A262" s="19"/>
      <x:c r="B262" s="19"/>
      <x:c r="C262" s="19"/>
      <x:c r="D262" s="19"/>
      <x:c r="E262" s="19"/>
      <x:c r="F262" s="27"/>
      <x:c r="G262" s="19"/>
      <x:c r="H262" s="27"/>
      <x:c r="I262" s="19"/>
      <x:c r="J262" s="19"/>
      <x:c r="K262" s="26"/>
    </x:row>
    <x:row r="263">
      <x:c r="A263" s="19"/>
      <x:c r="B263" s="19"/>
      <x:c r="C263" s="19"/>
      <x:c r="D263" s="19"/>
      <x:c r="E263" s="19"/>
      <x:c r="F263" s="27"/>
      <x:c r="G263" s="19"/>
      <x:c r="H263" s="27"/>
      <x:c r="I263" s="19"/>
      <x:c r="J263" s="19"/>
      <x:c r="K263" s="26"/>
    </x:row>
    <x:row r="264">
      <x:c r="A264" s="19"/>
      <x:c r="B264" s="19"/>
      <x:c r="C264" s="19"/>
      <x:c r="D264" s="19"/>
      <x:c r="E264" s="19"/>
      <x:c r="F264" s="27"/>
      <x:c r="G264" s="19"/>
      <x:c r="H264" s="27"/>
      <x:c r="I264" s="19"/>
      <x:c r="J264" s="19"/>
      <x:c r="K264" s="26"/>
    </x:row>
    <x:row r="265">
      <x:c r="A265" s="19"/>
      <x:c r="B265" s="19"/>
      <x:c r="C265" s="19"/>
      <x:c r="D265" s="19"/>
      <x:c r="E265" s="19"/>
      <x:c r="F265" s="27"/>
      <x:c r="G265" s="19"/>
      <x:c r="H265" s="27"/>
      <x:c r="I265" s="19"/>
      <x:c r="J265" s="19"/>
      <x:c r="K265" s="26"/>
    </x:row>
    <x:row r="266">
      <x:c r="A266" s="19"/>
      <x:c r="B266" s="19"/>
      <x:c r="C266" s="19"/>
      <x:c r="D266" s="19"/>
      <x:c r="E266" s="19"/>
      <x:c r="F266" s="27"/>
      <x:c r="G266" s="19"/>
      <x:c r="H266" s="27"/>
      <x:c r="I266" s="19"/>
      <x:c r="J266" s="19"/>
      <x:c r="K266" s="26"/>
    </x:row>
    <x:row r="267">
      <x:c r="A267" s="19"/>
      <x:c r="B267" s="19"/>
      <x:c r="C267" s="19"/>
      <x:c r="D267" s="19"/>
      <x:c r="E267" s="19"/>
      <x:c r="F267" s="27"/>
      <x:c r="G267" s="19"/>
      <x:c r="H267" s="27"/>
      <x:c r="I267" s="19"/>
      <x:c r="J267" s="19"/>
      <x:c r="K267" s="26"/>
    </x:row>
    <x:row r="268">
      <x:c r="A268" s="19"/>
      <x:c r="B268" s="19"/>
      <x:c r="C268" s="19"/>
      <x:c r="D268" s="19"/>
      <x:c r="E268" s="19"/>
      <x:c r="F268" s="27"/>
      <x:c r="G268" s="19"/>
      <x:c r="H268" s="27"/>
      <x:c r="I268" s="19"/>
      <x:c r="J268" s="19"/>
      <x:c r="K268" s="26"/>
    </x:row>
    <x:row r="269">
      <x:c r="A269" s="19"/>
      <x:c r="B269" s="19"/>
      <x:c r="C269" s="19"/>
      <x:c r="D269" s="19"/>
      <x:c r="E269" s="19"/>
      <x:c r="F269" s="27"/>
      <x:c r="G269" s="19"/>
      <x:c r="H269" s="27"/>
      <x:c r="I269" s="19"/>
      <x:c r="J269" s="19"/>
      <x:c r="K269" s="26"/>
    </x:row>
    <x:row r="270">
      <x:c r="A270" s="19"/>
      <x:c r="B270" s="19"/>
      <x:c r="C270" s="19"/>
      <x:c r="D270" s="19"/>
      <x:c r="E270" s="19"/>
      <x:c r="F270" s="27"/>
      <x:c r="G270" s="19"/>
      <x:c r="H270" s="27"/>
      <x:c r="I270" s="19"/>
      <x:c r="J270" s="19"/>
      <x:c r="K270" s="26"/>
    </x:row>
    <x:row r="271">
      <x:c r="A271" s="19"/>
      <x:c r="B271" s="19"/>
      <x:c r="C271" s="19"/>
      <x:c r="D271" s="19"/>
      <x:c r="E271" s="19"/>
      <x:c r="F271" s="27"/>
      <x:c r="G271" s="19"/>
      <x:c r="H271" s="27"/>
      <x:c r="I271" s="19"/>
      <x:c r="J271" s="19"/>
      <x:c r="K271" s="26"/>
    </x:row>
    <x:row r="272">
      <x:c r="A272" s="19"/>
      <x:c r="B272" s="19"/>
      <x:c r="C272" s="19"/>
      <x:c r="D272" s="19"/>
      <x:c r="E272" s="19"/>
      <x:c r="F272" s="27"/>
      <x:c r="G272" s="19"/>
      <x:c r="H272" s="27"/>
      <x:c r="I272" s="19"/>
      <x:c r="J272" s="19"/>
      <x:c r="K272" s="26"/>
    </x:row>
    <x:row r="273">
      <x:c r="A273" s="19"/>
      <x:c r="B273" s="19"/>
      <x:c r="C273" s="19"/>
      <x:c r="D273" s="19"/>
      <x:c r="E273" s="19"/>
      <x:c r="F273" s="27"/>
      <x:c r="G273" s="19"/>
      <x:c r="H273" s="27"/>
      <x:c r="I273" s="19"/>
      <x:c r="J273" s="19"/>
      <x:c r="K273" s="26"/>
    </x:row>
    <x:row r="274">
      <x:c r="A274" s="19"/>
      <x:c r="B274" s="19"/>
      <x:c r="C274" s="19"/>
      <x:c r="D274" s="19"/>
      <x:c r="E274" s="19"/>
      <x:c r="F274" s="27"/>
      <x:c r="G274" s="19"/>
      <x:c r="H274" s="27"/>
      <x:c r="I274" s="19"/>
      <x:c r="J274" s="19"/>
      <x:c r="K274" s="26"/>
    </x:row>
    <x:row r="275">
      <x:c r="A275" s="19"/>
      <x:c r="B275" s="19"/>
      <x:c r="C275" s="19"/>
      <x:c r="D275" s="19"/>
      <x:c r="E275" s="19"/>
      <x:c r="F275" s="27"/>
      <x:c r="G275" s="19"/>
      <x:c r="H275" s="27"/>
      <x:c r="I275" s="19"/>
      <x:c r="J275" s="19"/>
      <x:c r="K275" s="26"/>
    </x:row>
    <x:row r="276">
      <x:c r="A276" s="19"/>
      <x:c r="B276" s="19"/>
      <x:c r="C276" s="19"/>
      <x:c r="D276" s="19"/>
      <x:c r="E276" s="19"/>
      <x:c r="F276" s="27"/>
      <x:c r="G276" s="19"/>
      <x:c r="H276" s="27"/>
      <x:c r="I276" s="19"/>
      <x:c r="J276" s="19"/>
      <x:c r="K276" s="26"/>
    </x:row>
    <x:row r="277">
      <x:c r="A277" s="19"/>
      <x:c r="B277" s="19"/>
      <x:c r="C277" s="19"/>
      <x:c r="D277" s="19"/>
      <x:c r="E277" s="19"/>
      <x:c r="F277" s="27"/>
      <x:c r="G277" s="19"/>
      <x:c r="H277" s="27"/>
      <x:c r="I277" s="19"/>
      <x:c r="J277" s="19"/>
      <x:c r="K277" s="26"/>
    </x:row>
    <x:row r="278">
      <x:c r="A278" s="19"/>
      <x:c r="B278" s="19"/>
      <x:c r="C278" s="19"/>
      <x:c r="D278" s="19"/>
      <x:c r="E278" s="19"/>
      <x:c r="F278" s="27"/>
      <x:c r="G278" s="19"/>
      <x:c r="H278" s="27"/>
      <x:c r="I278" s="19"/>
      <x:c r="J278" s="19"/>
      <x:c r="K278" s="26"/>
    </x:row>
    <x:row r="279">
      <x:c r="A279" s="19"/>
      <x:c r="B279" s="19"/>
      <x:c r="C279" s="19"/>
      <x:c r="D279" s="19"/>
      <x:c r="E279" s="19"/>
      <x:c r="F279" s="27"/>
      <x:c r="G279" s="19"/>
      <x:c r="H279" s="27"/>
      <x:c r="I279" s="19"/>
      <x:c r="J279" s="19"/>
      <x:c r="K279" s="26"/>
    </x:row>
    <x:row r="280">
      <x:c r="A280" s="19"/>
      <x:c r="B280" s="19"/>
      <x:c r="C280" s="19"/>
      <x:c r="D280" s="19"/>
      <x:c r="E280" s="19"/>
      <x:c r="F280" s="27"/>
      <x:c r="G280" s="19"/>
      <x:c r="H280" s="27"/>
      <x:c r="I280" s="19"/>
      <x:c r="J280" s="19"/>
      <x:c r="K280" s="26"/>
    </x:row>
    <x:row r="281">
      <x:c r="A281" s="19"/>
      <x:c r="B281" s="19"/>
      <x:c r="C281" s="19"/>
      <x:c r="D281" s="19"/>
      <x:c r="E281" s="19"/>
      <x:c r="F281" s="27"/>
      <x:c r="G281" s="19"/>
      <x:c r="H281" s="27"/>
      <x:c r="I281" s="19"/>
      <x:c r="J281" s="19"/>
      <x:c r="K281" s="26"/>
    </x:row>
    <x:row r="282">
      <x:c r="A282" s="19"/>
      <x:c r="B282" s="19"/>
      <x:c r="C282" s="19"/>
      <x:c r="D282" s="19"/>
      <x:c r="E282" s="19"/>
      <x:c r="F282" s="27"/>
      <x:c r="G282" s="19"/>
      <x:c r="H282" s="27"/>
      <x:c r="I282" s="19"/>
      <x:c r="J282" s="19"/>
      <x:c r="K282" s="26"/>
    </x:row>
    <x:row r="283">
      <x:c r="A283" s="19"/>
      <x:c r="B283" s="19"/>
      <x:c r="C283" s="19"/>
      <x:c r="D283" s="19"/>
      <x:c r="E283" s="19"/>
      <x:c r="F283" s="27"/>
      <x:c r="G283" s="19"/>
      <x:c r="H283" s="27"/>
      <x:c r="I283" s="19"/>
      <x:c r="J283" s="19"/>
      <x:c r="K283" s="26"/>
    </x:row>
    <x:row r="284">
      <x:c r="A284" s="19"/>
      <x:c r="B284" s="19"/>
      <x:c r="C284" s="19"/>
      <x:c r="D284" s="19"/>
      <x:c r="E284" s="19"/>
      <x:c r="F284" s="27"/>
      <x:c r="G284" s="19"/>
      <x:c r="H284" s="27"/>
      <x:c r="I284" s="19"/>
      <x:c r="J284" s="19"/>
      <x:c r="K284" s="26"/>
    </x:row>
    <x:row r="285">
      <x:c r="A285" s="19"/>
      <x:c r="B285" s="19"/>
      <x:c r="C285" s="19"/>
      <x:c r="D285" s="19"/>
      <x:c r="E285" s="19"/>
      <x:c r="F285" s="27"/>
      <x:c r="G285" s="19"/>
      <x:c r="H285" s="27"/>
      <x:c r="I285" s="19"/>
      <x:c r="J285" s="19"/>
      <x:c r="K285" s="26"/>
    </x:row>
    <x:row r="286">
      <x:c r="A286" s="19"/>
      <x:c r="B286" s="19"/>
      <x:c r="C286" s="19"/>
      <x:c r="D286" s="19"/>
      <x:c r="E286" s="19"/>
      <x:c r="F286" s="27"/>
      <x:c r="G286" s="19"/>
      <x:c r="H286" s="27"/>
      <x:c r="I286" s="19"/>
      <x:c r="J286" s="19"/>
      <x:c r="K286" s="26"/>
    </x:row>
    <x:row r="287">
      <x:c r="A287" s="19"/>
      <x:c r="B287" s="19"/>
      <x:c r="C287" s="19"/>
      <x:c r="D287" s="19"/>
      <x:c r="E287" s="19"/>
      <x:c r="F287" s="27"/>
      <x:c r="G287" s="19"/>
      <x:c r="H287" s="27"/>
      <x:c r="I287" s="19"/>
      <x:c r="J287" s="19"/>
      <x:c r="K287" s="26"/>
    </x:row>
    <x:row r="288">
      <x:c r="A288" s="19"/>
      <x:c r="B288" s="19"/>
      <x:c r="C288" s="19"/>
      <x:c r="D288" s="19"/>
      <x:c r="E288" s="19"/>
      <x:c r="F288" s="27"/>
      <x:c r="G288" s="19"/>
      <x:c r="H288" s="27"/>
      <x:c r="I288" s="19"/>
      <x:c r="J288" s="19"/>
      <x:c r="K288" s="26"/>
    </x:row>
    <x:row r="289">
      <x:c r="A289" s="19"/>
      <x:c r="B289" s="19"/>
      <x:c r="C289" s="19"/>
      <x:c r="D289" s="19"/>
      <x:c r="E289" s="19"/>
      <x:c r="F289" s="27"/>
      <x:c r="G289" s="19"/>
      <x:c r="H289" s="27"/>
      <x:c r="I289" s="19"/>
      <x:c r="J289" s="19"/>
      <x:c r="K289" s="26"/>
    </x:row>
    <x:row r="290">
      <x:c r="A290" s="19"/>
      <x:c r="B290" s="19"/>
      <x:c r="C290" s="19"/>
      <x:c r="D290" s="19"/>
      <x:c r="E290" s="19"/>
      <x:c r="F290" s="27"/>
      <x:c r="G290" s="19"/>
      <x:c r="H290" s="27"/>
      <x:c r="I290" s="19"/>
      <x:c r="J290" s="19"/>
      <x:c r="K290" s="26"/>
    </x:row>
    <x:row r="291">
      <x:c r="A291" s="19"/>
      <x:c r="B291" s="19"/>
      <x:c r="C291" s="19"/>
      <x:c r="D291" s="19"/>
      <x:c r="E291" s="19"/>
      <x:c r="F291" s="27"/>
      <x:c r="G291" s="19"/>
      <x:c r="H291" s="27"/>
      <x:c r="I291" s="19"/>
      <x:c r="J291" s="19"/>
      <x:c r="K291" s="26"/>
    </x:row>
    <x:row r="292">
      <x:c r="A292" s="19"/>
      <x:c r="B292" s="19"/>
      <x:c r="C292" s="19"/>
      <x:c r="D292" s="19"/>
      <x:c r="E292" s="19"/>
      <x:c r="F292" s="27"/>
      <x:c r="G292" s="19"/>
      <x:c r="H292" s="27"/>
      <x:c r="I292" s="19"/>
      <x:c r="J292" s="19"/>
      <x:c r="K292" s="26"/>
    </x:row>
    <x:row r="293">
      <x:c r="A293" s="19"/>
      <x:c r="B293" s="19"/>
      <x:c r="C293" s="19"/>
      <x:c r="D293" s="19"/>
      <x:c r="E293" s="19"/>
      <x:c r="F293" s="27"/>
      <x:c r="G293" s="19"/>
      <x:c r="H293" s="27"/>
      <x:c r="I293" s="19"/>
      <x:c r="J293" s="19"/>
      <x:c r="K293" s="26"/>
    </x:row>
    <x:row r="294">
      <x:c r="A294" s="19"/>
      <x:c r="B294" s="19"/>
      <x:c r="C294" s="19"/>
      <x:c r="D294" s="19"/>
      <x:c r="E294" s="19"/>
      <x:c r="F294" s="27"/>
      <x:c r="G294" s="19"/>
      <x:c r="H294" s="27"/>
      <x:c r="I294" s="19"/>
      <x:c r="J294" s="19"/>
      <x:c r="K294" s="26"/>
    </x:row>
    <x:row r="295">
      <x:c r="A295" s="19"/>
      <x:c r="B295" s="19"/>
      <x:c r="C295" s="19"/>
      <x:c r="D295" s="19"/>
      <x:c r="E295" s="19"/>
      <x:c r="F295" s="27"/>
      <x:c r="G295" s="19"/>
      <x:c r="H295" s="27"/>
      <x:c r="I295" s="19"/>
      <x:c r="J295" s="19"/>
      <x:c r="K295" s="26"/>
    </x:row>
    <x:row r="296">
      <x:c r="A296" s="19"/>
      <x:c r="B296" s="19"/>
      <x:c r="C296" s="19"/>
      <x:c r="D296" s="19"/>
      <x:c r="E296" s="19"/>
      <x:c r="F296" s="27"/>
      <x:c r="G296" s="19"/>
      <x:c r="H296" s="27"/>
      <x:c r="I296" s="19"/>
      <x:c r="J296" s="19"/>
      <x:c r="K296" s="26"/>
    </x:row>
    <x:row r="297">
      <x:c r="A297" s="19"/>
      <x:c r="B297" s="19"/>
      <x:c r="C297" s="19"/>
      <x:c r="D297" s="19"/>
      <x:c r="E297" s="19"/>
      <x:c r="F297" s="27"/>
      <x:c r="G297" s="19"/>
      <x:c r="H297" s="27"/>
      <x:c r="I297" s="19"/>
      <x:c r="J297" s="19"/>
      <x:c r="K297" s="26"/>
    </x:row>
    <x:row r="298">
      <x:c r="A298" s="19"/>
      <x:c r="B298" s="19"/>
      <x:c r="C298" s="19"/>
      <x:c r="D298" s="19"/>
      <x:c r="E298" s="19"/>
      <x:c r="F298" s="27"/>
      <x:c r="G298" s="19"/>
      <x:c r="H298" s="27"/>
      <x:c r="I298" s="19"/>
      <x:c r="J298" s="19"/>
      <x:c r="K298" s="26"/>
    </x:row>
    <x:row r="299">
      <x:c r="A299" s="19"/>
      <x:c r="B299" s="19"/>
      <x:c r="C299" s="19"/>
      <x:c r="D299" s="19"/>
      <x:c r="E299" s="19"/>
      <x:c r="F299" s="27"/>
      <x:c r="G299" s="19"/>
      <x:c r="H299" s="27"/>
      <x:c r="I299" s="19"/>
      <x:c r="J299" s="19"/>
      <x:c r="K299" s="26"/>
    </x:row>
    <x:row r="300">
      <x:c r="A300" s="19"/>
      <x:c r="B300" s="19"/>
      <x:c r="C300" s="19"/>
      <x:c r="D300" s="19"/>
      <x:c r="E300" s="19"/>
      <x:c r="F300" s="27"/>
      <x:c r="G300" s="19"/>
      <x:c r="H300" s="27"/>
      <x:c r="I300" s="19"/>
      <x:c r="J300" s="19"/>
      <x:c r="K300" s="26"/>
    </x:row>
    <x:row r="301">
      <x:c r="A301" s="19"/>
      <x:c r="B301" s="19"/>
      <x:c r="C301" s="19"/>
      <x:c r="D301" s="19"/>
      <x:c r="E301" s="19"/>
      <x:c r="F301" s="27"/>
      <x:c r="G301" s="19"/>
      <x:c r="H301" s="27"/>
      <x:c r="I301" s="19"/>
      <x:c r="J301" s="19"/>
      <x:c r="K301" s="26"/>
    </x:row>
    <x:row r="302">
      <x:c r="A302" s="19"/>
      <x:c r="B302" s="19"/>
      <x:c r="C302" s="19"/>
      <x:c r="D302" s="19"/>
      <x:c r="E302" s="19"/>
      <x:c r="F302" s="27"/>
      <x:c r="G302" s="19"/>
      <x:c r="H302" s="27"/>
      <x:c r="I302" s="19"/>
      <x:c r="J302" s="19"/>
      <x:c r="K302" s="26"/>
    </x:row>
    <x:row r="303">
      <x:c r="A303" s="19"/>
      <x:c r="B303" s="19"/>
      <x:c r="C303" s="19"/>
      <x:c r="D303" s="19"/>
      <x:c r="E303" s="19"/>
      <x:c r="F303" s="27"/>
      <x:c r="G303" s="19"/>
      <x:c r="H303" s="27"/>
      <x:c r="I303" s="19"/>
      <x:c r="J303" s="19"/>
      <x:c r="K303" s="26"/>
    </x:row>
    <x:row r="304">
      <x:c r="A304" s="19"/>
      <x:c r="B304" s="19"/>
      <x:c r="C304" s="19"/>
      <x:c r="D304" s="19"/>
      <x:c r="E304" s="19"/>
      <x:c r="F304" s="27"/>
      <x:c r="G304" s="19"/>
      <x:c r="H304" s="27"/>
      <x:c r="I304" s="19"/>
      <x:c r="J304" s="19"/>
      <x:c r="K304" s="26"/>
    </x:row>
    <x:row r="305">
      <x:c r="A305" s="19"/>
      <x:c r="B305" s="19"/>
      <x:c r="C305" s="19"/>
      <x:c r="D305" s="19"/>
      <x:c r="E305" s="19"/>
      <x:c r="F305" s="27"/>
      <x:c r="G305" s="19"/>
      <x:c r="H305" s="27"/>
      <x:c r="I305" s="19"/>
      <x:c r="J305" s="19"/>
      <x:c r="K305" s="26"/>
    </x:row>
    <x:row r="306">
      <x:c r="A306" s="19"/>
      <x:c r="B306" s="19"/>
      <x:c r="C306" s="19"/>
      <x:c r="D306" s="19"/>
      <x:c r="E306" s="19"/>
      <x:c r="F306" s="27"/>
      <x:c r="G306" s="19"/>
      <x:c r="H306" s="27"/>
      <x:c r="I306" s="19"/>
      <x:c r="J306" s="19"/>
      <x:c r="K306" s="26"/>
    </x:row>
    <x:row r="307">
      <x:c r="A307" s="19"/>
      <x:c r="B307" s="19"/>
      <x:c r="C307" s="19"/>
      <x:c r="D307" s="19"/>
      <x:c r="E307" s="19"/>
      <x:c r="F307" s="27"/>
      <x:c r="G307" s="19"/>
      <x:c r="H307" s="27"/>
      <x:c r="I307" s="19"/>
      <x:c r="J307" s="19"/>
      <x:c r="K307" s="26"/>
    </x:row>
    <x:row r="308">
      <x:c r="A308" s="19"/>
      <x:c r="B308" s="19"/>
      <x:c r="C308" s="19"/>
      <x:c r="D308" s="19"/>
      <x:c r="E308" s="19"/>
      <x:c r="F308" s="27"/>
      <x:c r="G308" s="19"/>
      <x:c r="H308" s="27"/>
      <x:c r="I308" s="19"/>
      <x:c r="J308" s="19"/>
      <x:c r="K308" s="26"/>
    </x:row>
    <x:row r="309">
      <x:c r="A309" s="19"/>
      <x:c r="B309" s="19"/>
      <x:c r="C309" s="19"/>
      <x:c r="D309" s="19"/>
      <x:c r="E309" s="19"/>
      <x:c r="F309" s="27"/>
      <x:c r="G309" s="19"/>
      <x:c r="H309" s="27"/>
      <x:c r="I309" s="19"/>
      <x:c r="J309" s="19"/>
      <x:c r="K309" s="26"/>
    </x:row>
    <x:row r="310">
      <x:c r="A310" s="19"/>
      <x:c r="B310" s="19"/>
      <x:c r="C310" s="19"/>
      <x:c r="D310" s="19"/>
      <x:c r="E310" s="19"/>
      <x:c r="F310" s="27"/>
      <x:c r="G310" s="19"/>
      <x:c r="H310" s="27"/>
      <x:c r="I310" s="19"/>
      <x:c r="J310" s="19"/>
      <x:c r="K310" s="26"/>
    </x:row>
    <x:row r="311">
      <x:c r="A311" s="19"/>
      <x:c r="B311" s="19"/>
      <x:c r="C311" s="19"/>
      <x:c r="D311" s="19"/>
      <x:c r="E311" s="19"/>
      <x:c r="F311" s="27"/>
      <x:c r="G311" s="19"/>
      <x:c r="H311" s="27"/>
      <x:c r="I311" s="19"/>
      <x:c r="J311" s="19"/>
      <x:c r="K311" s="26"/>
    </x:row>
    <x:row r="312">
      <x:c r="A312" s="19"/>
      <x:c r="B312" s="19"/>
      <x:c r="C312" s="19"/>
      <x:c r="D312" s="19"/>
      <x:c r="E312" s="19"/>
      <x:c r="F312" s="27"/>
      <x:c r="G312" s="19"/>
      <x:c r="H312" s="27"/>
      <x:c r="I312" s="19"/>
      <x:c r="J312" s="19"/>
      <x:c r="K312" s="26"/>
    </x:row>
    <x:row r="313">
      <x:c r="A313" s="19"/>
      <x:c r="B313" s="19"/>
      <x:c r="C313" s="19"/>
      <x:c r="D313" s="19"/>
      <x:c r="E313" s="19"/>
      <x:c r="F313" s="27"/>
      <x:c r="G313" s="19"/>
      <x:c r="H313" s="27"/>
      <x:c r="I313" s="19"/>
      <x:c r="J313" s="19"/>
      <x:c r="K313" s="26"/>
    </x:row>
    <x:row r="314">
      <x:c r="A314" s="19"/>
      <x:c r="B314" s="19"/>
      <x:c r="C314" s="19"/>
      <x:c r="D314" s="19"/>
      <x:c r="E314" s="19"/>
      <x:c r="F314" s="27"/>
      <x:c r="G314" s="19"/>
      <x:c r="H314" s="27"/>
      <x:c r="I314" s="19"/>
      <x:c r="J314" s="19"/>
      <x:c r="K314" s="26"/>
    </x:row>
    <x:row r="315">
      <x:c r="A315" s="19"/>
      <x:c r="B315" s="19"/>
      <x:c r="C315" s="19"/>
      <x:c r="D315" s="19"/>
      <x:c r="E315" s="19"/>
      <x:c r="F315" s="27"/>
      <x:c r="G315" s="19"/>
      <x:c r="H315" s="27"/>
      <x:c r="I315" s="19"/>
      <x:c r="J315" s="19"/>
      <x:c r="K315" s="26"/>
    </x:row>
    <x:row r="316">
      <x:c r="A316" s="19"/>
      <x:c r="B316" s="19"/>
      <x:c r="C316" s="19"/>
      <x:c r="D316" s="19"/>
      <x:c r="E316" s="19"/>
      <x:c r="F316" s="27"/>
      <x:c r="G316" s="19"/>
      <x:c r="H316" s="27"/>
      <x:c r="I316" s="19"/>
      <x:c r="J316" s="19"/>
      <x:c r="K316" s="26"/>
    </x:row>
    <x:row r="317">
      <x:c r="A317" s="19"/>
      <x:c r="B317" s="19"/>
      <x:c r="C317" s="19"/>
      <x:c r="D317" s="19"/>
      <x:c r="E317" s="19"/>
      <x:c r="F317" s="27"/>
      <x:c r="G317" s="19"/>
      <x:c r="H317" s="27"/>
      <x:c r="I317" s="19"/>
      <x:c r="J317" s="19"/>
      <x:c r="K317" s="26"/>
    </x:row>
    <x:row r="318">
      <x:c r="A318" s="19"/>
      <x:c r="B318" s="19"/>
      <x:c r="C318" s="19"/>
      <x:c r="D318" s="19"/>
      <x:c r="E318" s="19"/>
      <x:c r="F318" s="27"/>
      <x:c r="G318" s="19"/>
      <x:c r="H318" s="27"/>
      <x:c r="I318" s="19"/>
      <x:c r="J318" s="19"/>
      <x:c r="K318" s="26"/>
    </x:row>
    <x:row r="319">
      <x:c r="A319" s="19"/>
      <x:c r="B319" s="19"/>
      <x:c r="C319" s="19"/>
      <x:c r="D319" s="19"/>
      <x:c r="E319" s="19"/>
      <x:c r="F319" s="27"/>
      <x:c r="G319" s="19"/>
      <x:c r="H319" s="27"/>
      <x:c r="I319" s="19"/>
      <x:c r="J319" s="19"/>
      <x:c r="K319" s="26"/>
    </x:row>
    <x:row r="320">
      <x:c r="A320" s="19"/>
      <x:c r="B320" s="19"/>
      <x:c r="C320" s="19"/>
      <x:c r="D320" s="19"/>
      <x:c r="E320" s="19"/>
      <x:c r="F320" s="27"/>
      <x:c r="G320" s="19"/>
      <x:c r="H320" s="27"/>
      <x:c r="I320" s="19"/>
      <x:c r="J320" s="19"/>
      <x:c r="K320" s="26"/>
    </x:row>
    <x:row r="321">
      <x:c r="A321" s="19"/>
      <x:c r="B321" s="19"/>
      <x:c r="C321" s="19"/>
      <x:c r="D321" s="19"/>
      <x:c r="E321" s="19"/>
      <x:c r="F321" s="27"/>
      <x:c r="G321" s="19"/>
      <x:c r="H321" s="27"/>
      <x:c r="I321" s="19"/>
      <x:c r="J321" s="19"/>
      <x:c r="K321" s="26"/>
    </x:row>
    <x:row r="322">
      <x:c r="A322" s="19"/>
      <x:c r="B322" s="19"/>
      <x:c r="C322" s="19"/>
      <x:c r="D322" s="19"/>
      <x:c r="E322" s="19"/>
      <x:c r="F322" s="27"/>
      <x:c r="G322" s="19"/>
      <x:c r="H322" s="27"/>
      <x:c r="I322" s="19"/>
      <x:c r="J322" s="19"/>
      <x:c r="K322" s="26"/>
    </x:row>
    <x:row r="323">
      <x:c r="A323" s="19"/>
      <x:c r="B323" s="19"/>
      <x:c r="C323" s="19"/>
      <x:c r="D323" s="19"/>
      <x:c r="E323" s="19"/>
      <x:c r="F323" s="27"/>
      <x:c r="G323" s="19"/>
      <x:c r="H323" s="27"/>
      <x:c r="I323" s="19"/>
      <x:c r="J323" s="19"/>
      <x:c r="K323" s="26"/>
    </x:row>
    <x:row r="324">
      <x:c r="A324" s="19"/>
      <x:c r="B324" s="19"/>
      <x:c r="C324" s="19"/>
      <x:c r="D324" s="19"/>
      <x:c r="E324" s="19"/>
      <x:c r="F324" s="27"/>
      <x:c r="G324" s="19"/>
      <x:c r="H324" s="27"/>
      <x:c r="I324" s="19"/>
      <x:c r="J324" s="19"/>
      <x:c r="K324" s="26"/>
    </x:row>
    <x:row r="325">
      <x:c r="A325" s="19"/>
      <x:c r="B325" s="19"/>
      <x:c r="C325" s="19"/>
      <x:c r="D325" s="19"/>
      <x:c r="E325" s="19"/>
      <x:c r="F325" s="27"/>
      <x:c r="G325" s="19"/>
      <x:c r="H325" s="27"/>
      <x:c r="I325" s="19"/>
      <x:c r="J325" s="19"/>
      <x:c r="K325" s="26"/>
    </x:row>
    <x:row r="326">
      <x:c r="A326" s="19"/>
      <x:c r="B326" s="19"/>
      <x:c r="C326" s="19"/>
      <x:c r="D326" s="19"/>
      <x:c r="E326" s="19"/>
      <x:c r="F326" s="27"/>
      <x:c r="G326" s="19"/>
      <x:c r="H326" s="27"/>
      <x:c r="I326" s="19"/>
      <x:c r="J326" s="19"/>
      <x:c r="K326" s="26"/>
    </x:row>
    <x:row r="327">
      <x:c r="A327" s="19"/>
      <x:c r="B327" s="19"/>
      <x:c r="C327" s="19"/>
      <x:c r="D327" s="19"/>
      <x:c r="E327" s="19"/>
      <x:c r="F327" s="27"/>
      <x:c r="G327" s="19"/>
      <x:c r="H327" s="27"/>
      <x:c r="I327" s="19"/>
      <x:c r="J327" s="19"/>
      <x:c r="K327" s="26"/>
    </x:row>
    <x:row r="328">
      <x:c r="A328" s="19"/>
      <x:c r="B328" s="19"/>
      <x:c r="C328" s="19"/>
      <x:c r="D328" s="19"/>
      <x:c r="E328" s="19"/>
      <x:c r="F328" s="27"/>
      <x:c r="G328" s="19"/>
      <x:c r="H328" s="27"/>
      <x:c r="I328" s="19"/>
      <x:c r="J328" s="19"/>
      <x:c r="K328" s="26"/>
    </x:row>
    <x:row r="329">
      <x:c r="A329" s="19"/>
      <x:c r="B329" s="19"/>
      <x:c r="C329" s="19"/>
      <x:c r="D329" s="19"/>
      <x:c r="E329" s="19"/>
      <x:c r="F329" s="27"/>
      <x:c r="G329" s="19"/>
      <x:c r="H329" s="27"/>
      <x:c r="I329" s="19"/>
      <x:c r="J329" s="19"/>
      <x:c r="K329" s="26"/>
    </x:row>
    <x:row r="330">
      <x:c r="A330" s="19"/>
      <x:c r="B330" s="19"/>
      <x:c r="C330" s="19"/>
      <x:c r="D330" s="19"/>
      <x:c r="E330" s="19"/>
      <x:c r="F330" s="27"/>
      <x:c r="G330" s="19"/>
      <x:c r="H330" s="27"/>
      <x:c r="I330" s="19"/>
      <x:c r="J330" s="19"/>
      <x:c r="K330" s="26"/>
    </x:row>
    <x:row r="331">
      <x:c r="A331" s="19"/>
      <x:c r="B331" s="19"/>
      <x:c r="C331" s="19"/>
      <x:c r="D331" s="19"/>
      <x:c r="E331" s="19"/>
      <x:c r="F331" s="27"/>
      <x:c r="G331" s="19"/>
      <x:c r="H331" s="27"/>
      <x:c r="I331" s="19"/>
      <x:c r="J331" s="19"/>
      <x:c r="K331" s="26"/>
    </x:row>
    <x:row r="332">
      <x:c r="A332" s="19"/>
      <x:c r="B332" s="19"/>
      <x:c r="C332" s="19"/>
      <x:c r="D332" s="19"/>
      <x:c r="E332" s="19"/>
      <x:c r="F332" s="27"/>
      <x:c r="G332" s="19"/>
      <x:c r="H332" s="27"/>
      <x:c r="I332" s="19"/>
      <x:c r="J332" s="19"/>
      <x:c r="K332" s="26"/>
    </x:row>
    <x:row r="333">
      <x:c r="A333" s="19"/>
      <x:c r="B333" s="19"/>
      <x:c r="C333" s="19"/>
      <x:c r="D333" s="19"/>
      <x:c r="E333" s="19"/>
      <x:c r="F333" s="27"/>
      <x:c r="G333" s="19"/>
      <x:c r="H333" s="27"/>
      <x:c r="I333" s="19"/>
      <x:c r="J333" s="19"/>
      <x:c r="K333" s="26"/>
    </x:row>
    <x:row r="334">
      <x:c r="A334" s="19"/>
      <x:c r="B334" s="19"/>
      <x:c r="C334" s="19"/>
      <x:c r="D334" s="19"/>
      <x:c r="E334" s="19"/>
      <x:c r="F334" s="27"/>
      <x:c r="G334" s="19"/>
      <x:c r="H334" s="27"/>
      <x:c r="I334" s="19"/>
      <x:c r="J334" s="19"/>
      <x:c r="K334" s="26"/>
    </x:row>
    <x:row r="335">
      <x:c r="A335" s="19"/>
      <x:c r="B335" s="19"/>
      <x:c r="C335" s="19"/>
      <x:c r="D335" s="19"/>
      <x:c r="E335" s="19"/>
      <x:c r="F335" s="27"/>
      <x:c r="G335" s="19"/>
      <x:c r="H335" s="27"/>
      <x:c r="I335" s="19"/>
      <x:c r="J335" s="19"/>
      <x:c r="K335" s="26"/>
    </x:row>
    <x:row r="336">
      <x:c r="A336" s="19"/>
      <x:c r="B336" s="19"/>
      <x:c r="C336" s="19"/>
      <x:c r="D336" s="19"/>
      <x:c r="E336" s="19"/>
      <x:c r="F336" s="27"/>
      <x:c r="G336" s="19"/>
      <x:c r="H336" s="27"/>
      <x:c r="I336" s="19"/>
      <x:c r="J336" s="19"/>
      <x:c r="K336" s="26"/>
    </x:row>
    <x:row r="337">
      <x:c r="A337" s="19"/>
      <x:c r="B337" s="19"/>
      <x:c r="C337" s="19"/>
      <x:c r="D337" s="19"/>
      <x:c r="E337" s="19"/>
      <x:c r="F337" s="27"/>
      <x:c r="G337" s="19"/>
      <x:c r="H337" s="27"/>
      <x:c r="I337" s="19"/>
      <x:c r="J337" s="19"/>
      <x:c r="K337" s="26"/>
    </x:row>
    <x:row r="338">
      <x:c r="A338" s="19"/>
      <x:c r="B338" s="19"/>
      <x:c r="C338" s="19"/>
      <x:c r="D338" s="19"/>
      <x:c r="E338" s="19"/>
      <x:c r="F338" s="27"/>
      <x:c r="G338" s="19"/>
      <x:c r="H338" s="27"/>
      <x:c r="I338" s="19"/>
      <x:c r="J338" s="19"/>
      <x:c r="K338" s="26"/>
    </x:row>
    <x:row r="339">
      <x:c r="A339" s="19"/>
      <x:c r="B339" s="19"/>
      <x:c r="C339" s="19"/>
      <x:c r="D339" s="19"/>
      <x:c r="E339" s="19"/>
      <x:c r="F339" s="27"/>
      <x:c r="G339" s="19"/>
      <x:c r="H339" s="27"/>
      <x:c r="I339" s="19"/>
      <x:c r="J339" s="19"/>
      <x:c r="K339" s="26"/>
    </x:row>
    <x:row r="340">
      <x:c r="A340" s="19"/>
      <x:c r="B340" s="19"/>
      <x:c r="C340" s="19"/>
      <x:c r="D340" s="19"/>
      <x:c r="E340" s="19"/>
      <x:c r="F340" s="27"/>
      <x:c r="G340" s="19"/>
      <x:c r="H340" s="27"/>
      <x:c r="I340" s="19"/>
      <x:c r="J340" s="19"/>
      <x:c r="K340" s="26"/>
    </x:row>
    <x:row r="341">
      <x:c r="A341" s="19"/>
      <x:c r="B341" s="19"/>
      <x:c r="C341" s="19"/>
      <x:c r="D341" s="19"/>
      <x:c r="E341" s="19"/>
      <x:c r="F341" s="27"/>
      <x:c r="G341" s="19"/>
      <x:c r="H341" s="27"/>
      <x:c r="I341" s="19"/>
      <x:c r="J341" s="19"/>
      <x:c r="K341" s="26"/>
    </x:row>
    <x:row r="342">
      <x:c r="A342" s="19"/>
      <x:c r="B342" s="19"/>
      <x:c r="C342" s="19"/>
      <x:c r="D342" s="19"/>
      <x:c r="E342" s="19"/>
      <x:c r="F342" s="27"/>
      <x:c r="G342" s="19"/>
      <x:c r="H342" s="27"/>
      <x:c r="I342" s="19"/>
      <x:c r="J342" s="19"/>
      <x:c r="K342" s="26"/>
    </x:row>
    <x:row r="343">
      <x:c r="A343" s="19"/>
      <x:c r="B343" s="19"/>
      <x:c r="C343" s="19"/>
      <x:c r="D343" s="19"/>
      <x:c r="E343" s="19"/>
      <x:c r="F343" s="27"/>
      <x:c r="G343" s="19"/>
      <x:c r="H343" s="27"/>
      <x:c r="I343" s="19"/>
      <x:c r="J343" s="19"/>
      <x:c r="K343" s="26"/>
    </x:row>
    <x:row r="344">
      <x:c r="A344" s="19"/>
      <x:c r="B344" s="19"/>
      <x:c r="C344" s="19"/>
      <x:c r="D344" s="19"/>
      <x:c r="E344" s="19"/>
      <x:c r="F344" s="27"/>
      <x:c r="G344" s="19"/>
      <x:c r="H344" s="27"/>
      <x:c r="I344" s="19"/>
      <x:c r="J344" s="19"/>
      <x:c r="K344" s="26"/>
    </x:row>
    <x:row r="345">
      <x:c r="A345" s="19"/>
      <x:c r="B345" s="19"/>
      <x:c r="C345" s="19"/>
      <x:c r="D345" s="19"/>
      <x:c r="E345" s="19"/>
      <x:c r="F345" s="27"/>
      <x:c r="G345" s="19"/>
      <x:c r="H345" s="27"/>
      <x:c r="I345" s="19"/>
      <x:c r="J345" s="19"/>
      <x:c r="K345" s="26"/>
    </x:row>
    <x:row r="346">
      <x:c r="A346" s="19"/>
      <x:c r="B346" s="19"/>
      <x:c r="C346" s="19"/>
      <x:c r="D346" s="19"/>
      <x:c r="E346" s="19"/>
      <x:c r="F346" s="27"/>
      <x:c r="G346" s="19"/>
      <x:c r="H346" s="27"/>
      <x:c r="I346" s="19"/>
      <x:c r="J346" s="19"/>
      <x:c r="K346" s="26"/>
    </x:row>
    <x:row r="347">
      <x:c r="A347" s="19"/>
      <x:c r="B347" s="19"/>
      <x:c r="C347" s="19"/>
      <x:c r="D347" s="19"/>
      <x:c r="E347" s="19"/>
      <x:c r="F347" s="27"/>
      <x:c r="G347" s="19"/>
      <x:c r="H347" s="27"/>
      <x:c r="I347" s="19"/>
      <x:c r="J347" s="19"/>
      <x:c r="K347" s="26"/>
    </x:row>
    <x:row r="348">
      <x:c r="A348" s="19"/>
      <x:c r="B348" s="19"/>
      <x:c r="C348" s="19"/>
      <x:c r="D348" s="19"/>
      <x:c r="E348" s="19"/>
      <x:c r="F348" s="27"/>
      <x:c r="G348" s="19"/>
      <x:c r="H348" s="27"/>
      <x:c r="I348" s="19"/>
      <x:c r="J348" s="19"/>
      <x:c r="K348" s="26"/>
    </x:row>
    <x:row r="349">
      <x:c r="A349" s="19"/>
      <x:c r="B349" s="19"/>
      <x:c r="C349" s="19"/>
      <x:c r="D349" s="19"/>
      <x:c r="E349" s="19"/>
      <x:c r="F349" s="27"/>
      <x:c r="G349" s="19"/>
      <x:c r="H349" s="27"/>
      <x:c r="I349" s="19"/>
      <x:c r="J349" s="19"/>
      <x:c r="K349" s="26"/>
    </x:row>
    <x:row r="350">
      <x:c r="A350" s="19"/>
      <x:c r="B350" s="19"/>
      <x:c r="C350" s="19"/>
      <x:c r="D350" s="19"/>
      <x:c r="E350" s="19"/>
      <x:c r="F350" s="27"/>
      <x:c r="G350" s="19"/>
      <x:c r="H350" s="27"/>
      <x:c r="I350" s="19"/>
      <x:c r="J350" s="19"/>
      <x:c r="K350" s="26"/>
    </x:row>
    <x:row r="351">
      <x:c r="A351" s="19"/>
      <x:c r="B351" s="19"/>
      <x:c r="C351" s="19"/>
      <x:c r="D351" s="19"/>
      <x:c r="E351" s="19"/>
      <x:c r="F351" s="27"/>
      <x:c r="G351" s="19"/>
      <x:c r="H351" s="27"/>
      <x:c r="I351" s="19"/>
      <x:c r="J351" s="19"/>
      <x:c r="K351" s="26"/>
    </x:row>
    <x:row r="352">
      <x:c r="A352" s="19"/>
      <x:c r="B352" s="19"/>
      <x:c r="C352" s="19"/>
      <x:c r="D352" s="19"/>
      <x:c r="E352" s="19"/>
      <x:c r="F352" s="27"/>
      <x:c r="G352" s="19"/>
      <x:c r="H352" s="27"/>
      <x:c r="I352" s="19"/>
      <x:c r="J352" s="19"/>
      <x:c r="K352" s="26"/>
    </x:row>
    <x:row r="353">
      <x:c r="A353" s="19"/>
      <x:c r="B353" s="19"/>
      <x:c r="C353" s="19"/>
      <x:c r="D353" s="19"/>
      <x:c r="E353" s="19"/>
      <x:c r="F353" s="27"/>
      <x:c r="G353" s="19"/>
      <x:c r="H353" s="27"/>
      <x:c r="I353" s="19"/>
      <x:c r="J353" s="19"/>
      <x:c r="K353" s="26"/>
    </x:row>
    <x:row r="354">
      <x:c r="A354" s="19"/>
      <x:c r="B354" s="19"/>
      <x:c r="C354" s="19"/>
      <x:c r="D354" s="19"/>
      <x:c r="E354" s="19"/>
      <x:c r="F354" s="27"/>
      <x:c r="G354" s="19"/>
      <x:c r="H354" s="27"/>
      <x:c r="I354" s="19"/>
      <x:c r="J354" s="19"/>
      <x:c r="K354" s="26"/>
    </x:row>
    <x:row r="355">
      <x:c r="A355" s="19"/>
      <x:c r="B355" s="19"/>
      <x:c r="C355" s="19"/>
      <x:c r="D355" s="19"/>
      <x:c r="E355" s="19"/>
      <x:c r="F355" s="27"/>
      <x:c r="G355" s="19"/>
      <x:c r="H355" s="27"/>
      <x:c r="I355" s="19"/>
      <x:c r="J355" s="19"/>
      <x:c r="K355" s="26"/>
    </x:row>
    <x:row r="356">
      <x:c r="A356" s="19"/>
      <x:c r="B356" s="19"/>
      <x:c r="C356" s="19"/>
      <x:c r="D356" s="19"/>
      <x:c r="E356" s="19"/>
      <x:c r="F356" s="27"/>
      <x:c r="G356" s="19"/>
      <x:c r="H356" s="27"/>
      <x:c r="I356" s="19"/>
      <x:c r="J356" s="19"/>
      <x:c r="K356" s="26"/>
    </x:row>
    <x:row r="357">
      <x:c r="A357" s="19"/>
      <x:c r="B357" s="19"/>
      <x:c r="C357" s="19"/>
      <x:c r="D357" s="19"/>
      <x:c r="E357" s="19"/>
      <x:c r="F357" s="27"/>
      <x:c r="G357" s="19"/>
      <x:c r="H357" s="27"/>
      <x:c r="I357" s="19"/>
      <x:c r="J357" s="19"/>
      <x:c r="K357" s="26"/>
    </x:row>
    <x:row r="358">
      <x:c r="A358" s="19"/>
      <x:c r="B358" s="19"/>
      <x:c r="C358" s="19"/>
      <x:c r="D358" s="19"/>
      <x:c r="E358" s="19"/>
      <x:c r="F358" s="27"/>
      <x:c r="G358" s="19"/>
      <x:c r="H358" s="27"/>
      <x:c r="I358" s="19"/>
      <x:c r="J358" s="19"/>
      <x:c r="K358" s="26"/>
    </x:row>
    <x:row r="359">
      <x:c r="A359" s="19"/>
      <x:c r="B359" s="19"/>
      <x:c r="C359" s="19"/>
      <x:c r="D359" s="19"/>
      <x:c r="E359" s="19"/>
      <x:c r="F359" s="27"/>
      <x:c r="G359" s="19"/>
      <x:c r="H359" s="27"/>
      <x:c r="I359" s="19"/>
      <x:c r="J359" s="19"/>
      <x:c r="K359" s="26"/>
    </x:row>
    <x:row r="360">
      <x:c r="A360" s="19"/>
      <x:c r="B360" s="19"/>
      <x:c r="C360" s="19"/>
      <x:c r="D360" s="19"/>
      <x:c r="E360" s="19"/>
      <x:c r="F360" s="27"/>
      <x:c r="G360" s="19"/>
      <x:c r="H360" s="27"/>
      <x:c r="I360" s="19"/>
      <x:c r="J360" s="19"/>
      <x:c r="K360" s="26"/>
    </x:row>
    <x:row r="361">
      <x:c r="A361" s="19"/>
      <x:c r="B361" s="19"/>
      <x:c r="C361" s="19"/>
      <x:c r="D361" s="19"/>
      <x:c r="E361" s="19"/>
      <x:c r="F361" s="27"/>
      <x:c r="G361" s="19"/>
      <x:c r="H361" s="27"/>
      <x:c r="I361" s="19"/>
      <x:c r="J361" s="19"/>
      <x:c r="K361" s="26"/>
    </x:row>
    <x:row r="362">
      <x:c r="A362" s="19"/>
      <x:c r="B362" s="19"/>
      <x:c r="C362" s="19"/>
      <x:c r="D362" s="19"/>
      <x:c r="E362" s="19"/>
      <x:c r="F362" s="27"/>
      <x:c r="G362" s="19"/>
      <x:c r="H362" s="27"/>
      <x:c r="I362" s="19"/>
      <x:c r="J362" s="19"/>
      <x:c r="K362" s="26"/>
    </x:row>
    <x:row r="363">
      <x:c r="A363" s="19"/>
      <x:c r="B363" s="19"/>
      <x:c r="C363" s="19"/>
      <x:c r="D363" s="19"/>
      <x:c r="E363" s="19"/>
      <x:c r="F363" s="27"/>
      <x:c r="G363" s="19"/>
      <x:c r="H363" s="27"/>
      <x:c r="I363" s="19"/>
      <x:c r="J363" s="19"/>
      <x:c r="K363" s="26"/>
    </x:row>
    <x:row r="364">
      <x:c r="A364" s="19"/>
      <x:c r="B364" s="19"/>
      <x:c r="C364" s="19"/>
      <x:c r="D364" s="19"/>
      <x:c r="E364" s="19"/>
      <x:c r="F364" s="27"/>
      <x:c r="G364" s="19"/>
      <x:c r="H364" s="27"/>
      <x:c r="I364" s="19"/>
      <x:c r="J364" s="19"/>
      <x:c r="K364" s="26"/>
    </x:row>
    <x:row r="365">
      <x:c r="A365" s="19"/>
      <x:c r="B365" s="19"/>
      <x:c r="C365" s="19"/>
      <x:c r="D365" s="19"/>
      <x:c r="E365" s="19"/>
      <x:c r="F365" s="27"/>
      <x:c r="G365" s="19"/>
      <x:c r="H365" s="27"/>
      <x:c r="I365" s="19"/>
      <x:c r="J365" s="19"/>
      <x:c r="K365" s="26"/>
    </x:row>
    <x:row r="366">
      <x:c r="A366" s="19"/>
      <x:c r="B366" s="19"/>
      <x:c r="C366" s="19"/>
      <x:c r="D366" s="19"/>
      <x:c r="E366" s="19"/>
      <x:c r="F366" s="27"/>
      <x:c r="G366" s="19"/>
      <x:c r="H366" s="27"/>
      <x:c r="I366" s="19"/>
      <x:c r="J366" s="19"/>
      <x:c r="K366" s="26"/>
    </x:row>
    <x:row r="367">
      <x:c r="A367" s="19"/>
      <x:c r="B367" s="19"/>
      <x:c r="C367" s="19"/>
      <x:c r="D367" s="19"/>
      <x:c r="E367" s="19"/>
      <x:c r="F367" s="27"/>
      <x:c r="G367" s="19"/>
      <x:c r="H367" s="27"/>
      <x:c r="I367" s="19"/>
      <x:c r="J367" s="19"/>
      <x:c r="K367" s="26"/>
    </x:row>
    <x:row r="368">
      <x:c r="A368" s="19"/>
      <x:c r="B368" s="19"/>
      <x:c r="C368" s="19"/>
      <x:c r="D368" s="19"/>
      <x:c r="E368" s="19"/>
      <x:c r="F368" s="27"/>
      <x:c r="G368" s="19"/>
      <x:c r="H368" s="27"/>
      <x:c r="I368" s="19"/>
      <x:c r="J368" s="19"/>
      <x:c r="K368" s="26"/>
    </x:row>
    <x:row r="369">
      <x:c r="A369" s="19"/>
      <x:c r="B369" s="19"/>
      <x:c r="C369" s="19"/>
      <x:c r="D369" s="19"/>
      <x:c r="E369" s="19"/>
      <x:c r="F369" s="27"/>
      <x:c r="G369" s="19"/>
      <x:c r="H369" s="27"/>
      <x:c r="I369" s="19"/>
      <x:c r="J369" s="19"/>
      <x:c r="K369" s="26"/>
    </x:row>
    <x:row r="370">
      <x:c r="A370" s="19"/>
      <x:c r="B370" s="19"/>
      <x:c r="C370" s="19"/>
      <x:c r="D370" s="19"/>
      <x:c r="E370" s="19"/>
      <x:c r="F370" s="27"/>
      <x:c r="G370" s="19"/>
      <x:c r="H370" s="27"/>
      <x:c r="I370" s="19"/>
      <x:c r="J370" s="19"/>
      <x:c r="K370" s="26"/>
    </x:row>
    <x:row r="371">
      <x:c r="A371" s="19"/>
      <x:c r="B371" s="19"/>
      <x:c r="C371" s="19"/>
      <x:c r="D371" s="19"/>
      <x:c r="E371" s="19"/>
      <x:c r="F371" s="27"/>
      <x:c r="G371" s="19"/>
      <x:c r="H371" s="27"/>
      <x:c r="I371" s="19"/>
      <x:c r="J371" s="19"/>
      <x:c r="K371" s="26"/>
    </x:row>
    <x:row r="372">
      <x:c r="A372" s="19"/>
      <x:c r="B372" s="19"/>
      <x:c r="C372" s="19"/>
      <x:c r="D372" s="19"/>
      <x:c r="E372" s="19"/>
      <x:c r="F372" s="27"/>
      <x:c r="G372" s="19"/>
      <x:c r="H372" s="27"/>
      <x:c r="I372" s="19"/>
      <x:c r="J372" s="19"/>
      <x:c r="K372" s="26"/>
    </x:row>
    <x:row r="373">
      <x:c r="A373" s="19"/>
      <x:c r="B373" s="19"/>
      <x:c r="C373" s="19"/>
      <x:c r="D373" s="19"/>
      <x:c r="E373" s="19"/>
      <x:c r="F373" s="27"/>
      <x:c r="G373" s="19"/>
      <x:c r="H373" s="27"/>
      <x:c r="I373" s="19"/>
      <x:c r="J373" s="19"/>
      <x:c r="K373" s="26"/>
    </x:row>
    <x:row r="374">
      <x:c r="A374" s="19"/>
      <x:c r="B374" s="19"/>
      <x:c r="C374" s="19"/>
      <x:c r="D374" s="19"/>
      <x:c r="E374" s="19"/>
      <x:c r="F374" s="27"/>
      <x:c r="G374" s="19"/>
      <x:c r="H374" s="27"/>
      <x:c r="I374" s="19"/>
      <x:c r="J374" s="19"/>
      <x:c r="K374" s="26"/>
    </x:row>
    <x:row r="375">
      <x:c r="A375" s="19"/>
      <x:c r="B375" s="19"/>
      <x:c r="C375" s="19"/>
      <x:c r="D375" s="19"/>
      <x:c r="E375" s="19"/>
      <x:c r="F375" s="27"/>
      <x:c r="G375" s="19"/>
      <x:c r="H375" s="27"/>
      <x:c r="I375" s="19"/>
      <x:c r="J375" s="19"/>
      <x:c r="K375" s="26"/>
    </x:row>
    <x:row r="376">
      <x:c r="A376" s="19"/>
      <x:c r="B376" s="19"/>
      <x:c r="C376" s="19"/>
      <x:c r="D376" s="19"/>
      <x:c r="E376" s="19"/>
      <x:c r="F376" s="27"/>
      <x:c r="G376" s="19"/>
      <x:c r="H376" s="27"/>
      <x:c r="I376" s="19"/>
      <x:c r="J376" s="19"/>
      <x:c r="K376" s="26"/>
    </x:row>
    <x:row r="377">
      <x:c r="A377" s="19"/>
      <x:c r="B377" s="19"/>
      <x:c r="C377" s="19"/>
      <x:c r="D377" s="19"/>
      <x:c r="E377" s="19"/>
      <x:c r="F377" s="27"/>
      <x:c r="G377" s="19"/>
      <x:c r="H377" s="27"/>
      <x:c r="I377" s="19"/>
      <x:c r="J377" s="19"/>
      <x:c r="K377" s="26"/>
    </x:row>
    <x:row r="378">
      <x:c r="A378" s="19"/>
      <x:c r="B378" s="19"/>
      <x:c r="C378" s="19"/>
      <x:c r="D378" s="19"/>
      <x:c r="E378" s="19"/>
      <x:c r="F378" s="27"/>
      <x:c r="G378" s="19"/>
      <x:c r="H378" s="27"/>
      <x:c r="I378" s="19"/>
      <x:c r="J378" s="19"/>
      <x:c r="K378" s="26"/>
    </x:row>
    <x:row r="379">
      <x:c r="A379" s="19"/>
      <x:c r="B379" s="19"/>
      <x:c r="C379" s="19"/>
      <x:c r="D379" s="19"/>
      <x:c r="E379" s="19"/>
      <x:c r="F379" s="27"/>
      <x:c r="G379" s="19"/>
      <x:c r="H379" s="27"/>
      <x:c r="I379" s="19"/>
      <x:c r="J379" s="19"/>
      <x:c r="K379" s="26"/>
    </x:row>
    <x:row r="380">
      <x:c r="A380" s="19"/>
      <x:c r="B380" s="19"/>
      <x:c r="C380" s="19"/>
      <x:c r="D380" s="19"/>
      <x:c r="E380" s="19"/>
      <x:c r="F380" s="27"/>
      <x:c r="G380" s="19"/>
      <x:c r="H380" s="27"/>
      <x:c r="I380" s="19"/>
      <x:c r="J380" s="19"/>
      <x:c r="K380" s="26"/>
    </x:row>
    <x:row r="381">
      <x:c r="A381" s="19"/>
      <x:c r="B381" s="19"/>
      <x:c r="C381" s="19"/>
      <x:c r="D381" s="19"/>
      <x:c r="E381" s="19"/>
      <x:c r="F381" s="27"/>
      <x:c r="G381" s="19"/>
      <x:c r="H381" s="27"/>
      <x:c r="I381" s="19"/>
      <x:c r="J381" s="19"/>
      <x:c r="K381" s="26"/>
    </x:row>
    <x:row r="382">
      <x:c r="A382" s="19"/>
      <x:c r="B382" s="19"/>
      <x:c r="C382" s="19"/>
      <x:c r="D382" s="19"/>
      <x:c r="E382" s="19"/>
      <x:c r="F382" s="27"/>
      <x:c r="G382" s="19"/>
      <x:c r="H382" s="27"/>
      <x:c r="I382" s="19"/>
      <x:c r="J382" s="19"/>
      <x:c r="K382" s="26"/>
    </x:row>
    <x:row r="383">
      <x:c r="A383" s="19"/>
      <x:c r="B383" s="19"/>
      <x:c r="C383" s="19"/>
      <x:c r="D383" s="19"/>
      <x:c r="E383" s="19"/>
      <x:c r="F383" s="27"/>
      <x:c r="G383" s="19"/>
      <x:c r="H383" s="27"/>
      <x:c r="I383" s="19"/>
      <x:c r="J383" s="19"/>
      <x:c r="K383" s="26"/>
    </x:row>
    <x:row r="384">
      <x:c r="A384" s="19"/>
      <x:c r="B384" s="19"/>
      <x:c r="C384" s="19"/>
      <x:c r="D384" s="19"/>
      <x:c r="E384" s="19"/>
      <x:c r="F384" s="27"/>
      <x:c r="G384" s="19"/>
      <x:c r="H384" s="27"/>
      <x:c r="I384" s="19"/>
      <x:c r="J384" s="19"/>
      <x:c r="K384" s="26"/>
    </x:row>
    <x:row r="385">
      <x:c r="A385" s="19"/>
      <x:c r="B385" s="19"/>
      <x:c r="C385" s="19"/>
      <x:c r="D385" s="19"/>
      <x:c r="E385" s="19"/>
      <x:c r="F385" s="27"/>
      <x:c r="G385" s="19"/>
      <x:c r="H385" s="27"/>
      <x:c r="I385" s="19"/>
      <x:c r="J385" s="19"/>
      <x:c r="K385" s="26"/>
    </x:row>
    <x:row r="386">
      <x:c r="A386" s="19"/>
      <x:c r="B386" s="19"/>
      <x:c r="C386" s="19"/>
      <x:c r="D386" s="19"/>
      <x:c r="E386" s="19"/>
      <x:c r="F386" s="27"/>
      <x:c r="G386" s="19"/>
      <x:c r="H386" s="27"/>
      <x:c r="I386" s="19"/>
      <x:c r="J386" s="19"/>
      <x:c r="K386" s="26"/>
    </x:row>
    <x:row r="387">
      <x:c r="A387" s="19"/>
      <x:c r="B387" s="19"/>
      <x:c r="C387" s="19"/>
      <x:c r="D387" s="19"/>
      <x:c r="E387" s="19"/>
      <x:c r="F387" s="27"/>
      <x:c r="G387" s="19"/>
      <x:c r="H387" s="27"/>
      <x:c r="I387" s="19"/>
      <x:c r="J387" s="19"/>
      <x:c r="K387" s="26"/>
    </x:row>
    <x:row r="388">
      <x:c r="A388" s="19"/>
      <x:c r="B388" s="19"/>
      <x:c r="C388" s="19"/>
      <x:c r="D388" s="19"/>
      <x:c r="E388" s="19"/>
      <x:c r="F388" s="27"/>
      <x:c r="G388" s="19"/>
      <x:c r="H388" s="27"/>
      <x:c r="I388" s="19"/>
      <x:c r="J388" s="19"/>
      <x:c r="K388" s="26"/>
    </x:row>
    <x:row r="389">
      <x:c r="A389" s="19"/>
      <x:c r="B389" s="19"/>
      <x:c r="C389" s="19"/>
      <x:c r="D389" s="19"/>
      <x:c r="E389" s="19"/>
      <x:c r="F389" s="27"/>
      <x:c r="G389" s="19"/>
      <x:c r="H389" s="27"/>
      <x:c r="I389" s="19"/>
      <x:c r="J389" s="19"/>
      <x:c r="K389" s="26"/>
    </x:row>
    <x:row r="390">
      <x:c r="A390" s="19"/>
      <x:c r="B390" s="19"/>
      <x:c r="C390" s="19"/>
      <x:c r="D390" s="19"/>
      <x:c r="E390" s="19"/>
      <x:c r="F390" s="27"/>
      <x:c r="G390" s="19"/>
      <x:c r="H390" s="27"/>
      <x:c r="I390" s="19"/>
      <x:c r="J390" s="19"/>
      <x:c r="K390" s="26"/>
    </x:row>
    <x:row r="391">
      <x:c r="A391" s="19"/>
      <x:c r="B391" s="19"/>
      <x:c r="C391" s="19"/>
      <x:c r="D391" s="19"/>
      <x:c r="E391" s="19"/>
      <x:c r="F391" s="27"/>
      <x:c r="G391" s="19"/>
      <x:c r="H391" s="27"/>
      <x:c r="I391" s="19"/>
      <x:c r="J391" s="19"/>
      <x:c r="K391" s="26"/>
    </x:row>
    <x:row r="392">
      <x:c r="A392" s="19"/>
      <x:c r="B392" s="19"/>
      <x:c r="C392" s="19"/>
      <x:c r="D392" s="19"/>
      <x:c r="E392" s="19"/>
      <x:c r="F392" s="27"/>
      <x:c r="G392" s="19"/>
      <x:c r="H392" s="27"/>
      <x:c r="I392" s="19"/>
      <x:c r="J392" s="19"/>
      <x:c r="K392" s="26"/>
    </x:row>
    <x:row r="393">
      <x:c r="A393" s="19"/>
      <x:c r="B393" s="19"/>
      <x:c r="C393" s="19"/>
      <x:c r="D393" s="19"/>
      <x:c r="E393" s="19"/>
      <x:c r="F393" s="27"/>
      <x:c r="G393" s="19"/>
      <x:c r="H393" s="27"/>
      <x:c r="I393" s="19"/>
      <x:c r="J393" s="19"/>
      <x:c r="K393" s="26"/>
    </x:row>
    <x:row r="394">
      <x:c r="A394" s="19"/>
      <x:c r="B394" s="19"/>
      <x:c r="C394" s="19"/>
      <x:c r="D394" s="19"/>
      <x:c r="E394" s="19"/>
      <x:c r="F394" s="27"/>
      <x:c r="G394" s="19"/>
      <x:c r="H394" s="27"/>
      <x:c r="I394" s="19"/>
      <x:c r="J394" s="19"/>
      <x:c r="K394" s="26"/>
    </x:row>
    <x:row r="395">
      <x:c r="A395" s="19"/>
      <x:c r="B395" s="19"/>
      <x:c r="C395" s="19"/>
      <x:c r="D395" s="19"/>
      <x:c r="E395" s="19"/>
      <x:c r="F395" s="27"/>
      <x:c r="G395" s="19"/>
      <x:c r="H395" s="27"/>
      <x:c r="I395" s="19"/>
      <x:c r="J395" s="19"/>
      <x:c r="K395" s="26"/>
    </x:row>
    <x:row r="396">
      <x:c r="A396" s="19"/>
      <x:c r="B396" s="19"/>
      <x:c r="C396" s="19"/>
      <x:c r="D396" s="19"/>
      <x:c r="E396" s="19"/>
      <x:c r="F396" s="27"/>
      <x:c r="G396" s="19"/>
      <x:c r="H396" s="27"/>
      <x:c r="I396" s="19"/>
      <x:c r="J396" s="19"/>
      <x:c r="K396" s="26"/>
    </x:row>
    <x:row r="397">
      <x:c r="A397" s="19"/>
      <x:c r="B397" s="19"/>
      <x:c r="C397" s="19"/>
      <x:c r="D397" s="19"/>
      <x:c r="E397" s="19"/>
      <x:c r="F397" s="27"/>
      <x:c r="G397" s="19"/>
      <x:c r="H397" s="27"/>
      <x:c r="I397" s="19"/>
      <x:c r="J397" s="19"/>
      <x:c r="K397" s="26"/>
    </x:row>
    <x:row r="398">
      <x:c r="A398" s="19"/>
      <x:c r="B398" s="19"/>
      <x:c r="C398" s="19"/>
      <x:c r="D398" s="19"/>
      <x:c r="E398" s="19"/>
      <x:c r="F398" s="27"/>
      <x:c r="G398" s="19"/>
      <x:c r="H398" s="27"/>
      <x:c r="I398" s="19"/>
      <x:c r="J398" s="19"/>
      <x:c r="K398" s="26"/>
    </x:row>
    <x:row r="399">
      <x:c r="A399" s="19"/>
      <x:c r="B399" s="19"/>
      <x:c r="C399" s="19"/>
      <x:c r="D399" s="19"/>
      <x:c r="E399" s="19"/>
      <x:c r="F399" s="27"/>
      <x:c r="G399" s="19"/>
      <x:c r="H399" s="27"/>
      <x:c r="I399" s="19"/>
      <x:c r="J399" s="19"/>
      <x:c r="K399" s="26"/>
    </x:row>
    <x:row r="400">
      <x:c r="A400" s="19"/>
      <x:c r="B400" s="19"/>
      <x:c r="C400" s="19"/>
      <x:c r="D400" s="19"/>
      <x:c r="E400" s="19"/>
      <x:c r="F400" s="27"/>
      <x:c r="G400" s="19"/>
      <x:c r="H400" s="27"/>
      <x:c r="I400" s="19"/>
      <x:c r="J400" s="19"/>
      <x:c r="K400" s="26"/>
    </x:row>
    <x:row r="401">
      <x:c r="A401" s="19"/>
      <x:c r="B401" s="19"/>
      <x:c r="C401" s="19"/>
      <x:c r="D401" s="19"/>
      <x:c r="E401" s="19"/>
      <x:c r="F401" s="27"/>
      <x:c r="G401" s="19"/>
      <x:c r="H401" s="27"/>
      <x:c r="I401" s="19"/>
      <x:c r="J401" s="19"/>
      <x:c r="K401" s="26"/>
    </x:row>
    <x:row r="402">
      <x:c r="A402" s="19"/>
      <x:c r="B402" s="19"/>
      <x:c r="C402" s="19"/>
      <x:c r="D402" s="19"/>
      <x:c r="E402" s="19"/>
      <x:c r="F402" s="27"/>
      <x:c r="G402" s="19"/>
      <x:c r="H402" s="27"/>
      <x:c r="I402" s="19"/>
      <x:c r="J402" s="19"/>
      <x:c r="K402" s="26"/>
    </x:row>
    <x:row r="403">
      <x:c r="A403" s="19"/>
      <x:c r="B403" s="19"/>
      <x:c r="C403" s="19"/>
      <x:c r="D403" s="19"/>
      <x:c r="E403" s="19"/>
      <x:c r="F403" s="27"/>
      <x:c r="G403" s="19"/>
      <x:c r="H403" s="27"/>
      <x:c r="I403" s="19"/>
      <x:c r="J403" s="19"/>
      <x:c r="K403" s="26"/>
    </x:row>
    <x:row r="404">
      <x:c r="A404" s="19"/>
      <x:c r="B404" s="19"/>
      <x:c r="C404" s="19"/>
      <x:c r="D404" s="19"/>
      <x:c r="E404" s="19"/>
      <x:c r="F404" s="27"/>
      <x:c r="G404" s="19"/>
      <x:c r="H404" s="27"/>
      <x:c r="I404" s="19"/>
      <x:c r="J404" s="19"/>
      <x:c r="K404" s="26"/>
    </x:row>
    <x:row r="405">
      <x:c r="A405" s="19"/>
      <x:c r="B405" s="19"/>
      <x:c r="C405" s="19"/>
      <x:c r="D405" s="19"/>
      <x:c r="E405" s="19"/>
      <x:c r="F405" s="27"/>
      <x:c r="G405" s="19"/>
      <x:c r="H405" s="27"/>
      <x:c r="I405" s="19"/>
      <x:c r="J405" s="19"/>
      <x:c r="K405" s="26"/>
    </x:row>
    <x:row r="406">
      <x:c r="A406" s="19"/>
      <x:c r="B406" s="19"/>
      <x:c r="C406" s="19"/>
      <x:c r="D406" s="19"/>
      <x:c r="E406" s="19"/>
      <x:c r="F406" s="27"/>
      <x:c r="G406" s="19"/>
      <x:c r="H406" s="27"/>
      <x:c r="I406" s="19"/>
      <x:c r="J406" s="19"/>
      <x:c r="K406" s="26"/>
    </x:row>
    <x:row r="407">
      <x:c r="A407" s="19"/>
      <x:c r="B407" s="19"/>
      <x:c r="C407" s="19"/>
      <x:c r="D407" s="19"/>
      <x:c r="E407" s="19"/>
      <x:c r="F407" s="27"/>
      <x:c r="G407" s="19"/>
      <x:c r="H407" s="27"/>
      <x:c r="I407" s="19"/>
      <x:c r="J407" s="19"/>
      <x:c r="K407" s="26"/>
    </x:row>
    <x:row r="408">
      <x:c r="A408" s="19"/>
      <x:c r="B408" s="19"/>
      <x:c r="C408" s="19"/>
      <x:c r="D408" s="19"/>
      <x:c r="E408" s="19"/>
      <x:c r="F408" s="27"/>
      <x:c r="G408" s="19"/>
      <x:c r="H408" s="27"/>
      <x:c r="I408" s="19"/>
      <x:c r="J408" s="19"/>
      <x:c r="K408" s="26"/>
    </x:row>
    <x:row r="409">
      <x:c r="A409" s="19"/>
      <x:c r="B409" s="19"/>
      <x:c r="C409" s="19"/>
      <x:c r="D409" s="19"/>
      <x:c r="E409" s="19"/>
      <x:c r="F409" s="27"/>
      <x:c r="G409" s="19"/>
      <x:c r="H409" s="27"/>
      <x:c r="I409" s="19"/>
      <x:c r="J409" s="19"/>
      <x:c r="K409" s="26"/>
    </x:row>
    <x:row r="410">
      <x:c r="A410" s="19"/>
      <x:c r="B410" s="19"/>
      <x:c r="C410" s="19"/>
      <x:c r="D410" s="19"/>
      <x:c r="E410" s="19"/>
      <x:c r="F410" s="27"/>
      <x:c r="G410" s="19"/>
      <x:c r="H410" s="27"/>
      <x:c r="I410" s="19"/>
      <x:c r="J410" s="19"/>
      <x:c r="K410" s="26"/>
    </x:row>
    <x:row r="411">
      <x:c r="A411" s="19"/>
      <x:c r="B411" s="19"/>
      <x:c r="C411" s="19"/>
      <x:c r="D411" s="19"/>
      <x:c r="E411" s="19"/>
      <x:c r="F411" s="27"/>
      <x:c r="G411" s="19"/>
      <x:c r="H411" s="27"/>
      <x:c r="I411" s="19"/>
      <x:c r="J411" s="19"/>
      <x:c r="K411" s="26"/>
    </x:row>
    <x:row r="412">
      <x:c r="A412" s="19"/>
      <x:c r="B412" s="19"/>
      <x:c r="C412" s="19"/>
      <x:c r="D412" s="19"/>
      <x:c r="E412" s="19"/>
      <x:c r="F412" s="27"/>
      <x:c r="G412" s="19"/>
      <x:c r="H412" s="27"/>
      <x:c r="I412" s="19"/>
      <x:c r="J412" s="19"/>
      <x:c r="K412" s="26"/>
    </x:row>
    <x:row r="413">
      <x:c r="A413" s="19"/>
      <x:c r="B413" s="19"/>
      <x:c r="C413" s="19"/>
      <x:c r="D413" s="19"/>
      <x:c r="E413" s="19"/>
      <x:c r="F413" s="27"/>
      <x:c r="G413" s="19"/>
      <x:c r="H413" s="27"/>
      <x:c r="I413" s="19"/>
      <x:c r="J413" s="19"/>
      <x:c r="K413" s="26"/>
    </x:row>
    <x:row r="414">
      <x:c r="A414" s="19"/>
      <x:c r="B414" s="19"/>
      <x:c r="C414" s="19"/>
      <x:c r="D414" s="19"/>
      <x:c r="E414" s="19"/>
      <x:c r="F414" s="27"/>
      <x:c r="G414" s="19"/>
      <x:c r="H414" s="27"/>
      <x:c r="I414" s="19"/>
      <x:c r="J414" s="19"/>
      <x:c r="K414" s="26"/>
    </x:row>
    <x:row r="415">
      <x:c r="A415" s="19"/>
      <x:c r="B415" s="19"/>
      <x:c r="C415" s="19"/>
      <x:c r="D415" s="19"/>
      <x:c r="E415" s="19"/>
      <x:c r="F415" s="27"/>
      <x:c r="G415" s="19"/>
      <x:c r="H415" s="27"/>
      <x:c r="I415" s="19"/>
      <x:c r="J415" s="19"/>
      <x:c r="K415" s="26"/>
    </x:row>
    <x:row r="416">
      <x:c r="A416" s="19"/>
      <x:c r="B416" s="19"/>
      <x:c r="C416" s="19"/>
      <x:c r="D416" s="19"/>
      <x:c r="E416" s="19"/>
      <x:c r="F416" s="27"/>
      <x:c r="G416" s="19"/>
      <x:c r="H416" s="27"/>
      <x:c r="I416" s="19"/>
      <x:c r="J416" s="19"/>
      <x:c r="K416" s="26"/>
    </x:row>
    <x:row r="417">
      <x:c r="A417" s="19"/>
      <x:c r="B417" s="19"/>
      <x:c r="C417" s="19"/>
      <x:c r="D417" s="19"/>
      <x:c r="E417" s="19"/>
      <x:c r="F417" s="27"/>
      <x:c r="G417" s="19"/>
      <x:c r="H417" s="27"/>
      <x:c r="I417" s="19"/>
      <x:c r="J417" s="19"/>
      <x:c r="K417" s="26"/>
    </x:row>
    <x:row r="418">
      <x:c r="A418" s="19"/>
      <x:c r="B418" s="19"/>
      <x:c r="C418" s="19"/>
      <x:c r="D418" s="19"/>
      <x:c r="E418" s="19"/>
      <x:c r="F418" s="27"/>
      <x:c r="G418" s="19"/>
      <x:c r="H418" s="27"/>
      <x:c r="I418" s="19"/>
      <x:c r="J418" s="19"/>
      <x:c r="K418" s="26"/>
    </x:row>
    <x:row r="419">
      <x:c r="A419" s="19"/>
      <x:c r="B419" s="19"/>
      <x:c r="C419" s="19"/>
      <x:c r="D419" s="19"/>
      <x:c r="E419" s="19"/>
      <x:c r="F419" s="27"/>
      <x:c r="G419" s="19"/>
      <x:c r="H419" s="27"/>
      <x:c r="I419" s="19"/>
      <x:c r="J419" s="19"/>
      <x:c r="K419" s="26"/>
    </x:row>
    <x:row r="420">
      <x:c r="A420" s="19"/>
      <x:c r="B420" s="19"/>
      <x:c r="C420" s="19"/>
      <x:c r="D420" s="19"/>
      <x:c r="E420" s="19"/>
      <x:c r="F420" s="27"/>
      <x:c r="G420" s="19"/>
      <x:c r="H420" s="27"/>
      <x:c r="I420" s="19"/>
      <x:c r="J420" s="19"/>
      <x:c r="K420" s="26"/>
    </x:row>
    <x:row r="421">
      <x:c r="A421" s="19"/>
      <x:c r="B421" s="19"/>
      <x:c r="C421" s="19"/>
      <x:c r="D421" s="19"/>
      <x:c r="E421" s="19"/>
      <x:c r="F421" s="27"/>
      <x:c r="G421" s="19"/>
      <x:c r="H421" s="27"/>
      <x:c r="I421" s="19"/>
      <x:c r="J421" s="19"/>
      <x:c r="K421" s="26"/>
    </x:row>
    <x:row r="422">
      <x:c r="A422" s="19"/>
      <x:c r="B422" s="19"/>
      <x:c r="C422" s="19"/>
      <x:c r="D422" s="19"/>
      <x:c r="E422" s="19"/>
      <x:c r="F422" s="27"/>
      <x:c r="G422" s="19"/>
      <x:c r="H422" s="27"/>
      <x:c r="I422" s="19"/>
      <x:c r="J422" s="19"/>
      <x:c r="K422" s="26"/>
    </x:row>
    <x:row r="423">
      <x:c r="A423" s="19"/>
      <x:c r="B423" s="19"/>
      <x:c r="C423" s="19"/>
      <x:c r="D423" s="19"/>
      <x:c r="E423" s="19"/>
      <x:c r="F423" s="27"/>
      <x:c r="G423" s="19"/>
      <x:c r="H423" s="27"/>
      <x:c r="I423" s="19"/>
      <x:c r="J423" s="19"/>
      <x:c r="K423" s="26"/>
    </x:row>
    <x:row r="424">
      <x:c r="A424" s="19"/>
      <x:c r="B424" s="19"/>
      <x:c r="C424" s="19"/>
      <x:c r="D424" s="19"/>
      <x:c r="E424" s="19"/>
      <x:c r="F424" s="27"/>
      <x:c r="G424" s="19"/>
      <x:c r="H424" s="27"/>
      <x:c r="I424" s="19"/>
      <x:c r="J424" s="19"/>
      <x:c r="K424" s="26"/>
    </x:row>
    <x:row r="425">
      <x:c r="A425" s="19"/>
      <x:c r="B425" s="19"/>
      <x:c r="C425" s="19"/>
      <x:c r="D425" s="19"/>
      <x:c r="E425" s="19"/>
      <x:c r="F425" s="27"/>
      <x:c r="G425" s="19"/>
      <x:c r="H425" s="27"/>
      <x:c r="I425" s="19"/>
      <x:c r="J425" s="19"/>
      <x:c r="K425" s="26"/>
    </x:row>
    <x:row r="426">
      <x:c r="A426" s="19"/>
      <x:c r="B426" s="19"/>
      <x:c r="C426" s="19"/>
      <x:c r="D426" s="19"/>
      <x:c r="E426" s="19"/>
      <x:c r="F426" s="27"/>
      <x:c r="G426" s="19"/>
      <x:c r="H426" s="27"/>
      <x:c r="I426" s="19"/>
      <x:c r="J426" s="19"/>
      <x:c r="K426" s="26"/>
    </x:row>
    <x:row r="427">
      <x:c r="A427" s="19"/>
      <x:c r="B427" s="19"/>
      <x:c r="C427" s="19"/>
      <x:c r="D427" s="19"/>
      <x:c r="E427" s="19"/>
      <x:c r="F427" s="27"/>
      <x:c r="G427" s="19"/>
      <x:c r="H427" s="27"/>
      <x:c r="I427" s="19"/>
      <x:c r="J427" s="19"/>
      <x:c r="K427" s="26"/>
    </x:row>
    <x:row r="428">
      <x:c r="A428" s="19"/>
      <x:c r="B428" s="19"/>
      <x:c r="C428" s="19"/>
      <x:c r="D428" s="19"/>
      <x:c r="E428" s="19"/>
      <x:c r="F428" s="27"/>
      <x:c r="G428" s="19"/>
      <x:c r="H428" s="27"/>
      <x:c r="I428" s="19"/>
      <x:c r="J428" s="19"/>
      <x:c r="K428" s="26"/>
    </x:row>
    <x:row r="429">
      <x:c r="A429" s="19"/>
      <x:c r="B429" s="19"/>
      <x:c r="C429" s="19"/>
      <x:c r="D429" s="19"/>
      <x:c r="E429" s="19"/>
      <x:c r="F429" s="27"/>
      <x:c r="G429" s="19"/>
      <x:c r="H429" s="27"/>
      <x:c r="I429" s="19"/>
      <x:c r="J429" s="19"/>
      <x:c r="K429" s="26"/>
    </x:row>
    <x:row r="430">
      <x:c r="A430" s="19"/>
      <x:c r="B430" s="19"/>
      <x:c r="C430" s="19"/>
      <x:c r="D430" s="19"/>
      <x:c r="E430" s="19"/>
      <x:c r="F430" s="27"/>
      <x:c r="G430" s="19"/>
      <x:c r="H430" s="27"/>
      <x:c r="I430" s="19"/>
      <x:c r="J430" s="19"/>
      <x:c r="K430" s="26"/>
    </x:row>
    <x:row r="431">
      <x:c r="A431" s="19"/>
      <x:c r="B431" s="19"/>
      <x:c r="C431" s="19"/>
      <x:c r="D431" s="19"/>
      <x:c r="E431" s="19"/>
      <x:c r="F431" s="27"/>
      <x:c r="G431" s="19"/>
      <x:c r="H431" s="27"/>
      <x:c r="I431" s="19"/>
      <x:c r="J431" s="19"/>
      <x:c r="K431" s="26"/>
    </x:row>
    <x:row r="432">
      <x:c r="A432" s="19"/>
      <x:c r="B432" s="19"/>
      <x:c r="C432" s="19"/>
      <x:c r="D432" s="19"/>
      <x:c r="E432" s="19"/>
      <x:c r="F432" s="27"/>
      <x:c r="G432" s="19"/>
      <x:c r="H432" s="27"/>
      <x:c r="I432" s="19"/>
      <x:c r="J432" s="19"/>
      <x:c r="K432" s="26"/>
    </x:row>
    <x:row r="433">
      <x:c r="A433" s="19"/>
      <x:c r="B433" s="19"/>
      <x:c r="C433" s="19"/>
      <x:c r="D433" s="19"/>
      <x:c r="E433" s="19"/>
      <x:c r="F433" s="27"/>
      <x:c r="G433" s="19"/>
      <x:c r="H433" s="27"/>
      <x:c r="I433" s="19"/>
      <x:c r="J433" s="19"/>
      <x:c r="K433" s="26"/>
    </x:row>
    <x:row r="434">
      <x:c r="A434" s="19"/>
      <x:c r="B434" s="19"/>
      <x:c r="C434" s="19"/>
      <x:c r="D434" s="19"/>
      <x:c r="E434" s="19"/>
      <x:c r="F434" s="27"/>
      <x:c r="G434" s="19"/>
      <x:c r="H434" s="27"/>
      <x:c r="I434" s="19"/>
      <x:c r="J434" s="19"/>
      <x:c r="K434" s="26"/>
    </x:row>
    <x:row r="435">
      <x:c r="A435" s="19"/>
      <x:c r="B435" s="19"/>
      <x:c r="C435" s="19"/>
      <x:c r="D435" s="19"/>
      <x:c r="E435" s="19"/>
      <x:c r="F435" s="27"/>
      <x:c r="G435" s="19"/>
      <x:c r="H435" s="27"/>
      <x:c r="I435" s="19"/>
      <x:c r="J435" s="19"/>
      <x:c r="K435" s="26"/>
    </x:row>
    <x:row r="436">
      <x:c r="A436" s="19"/>
      <x:c r="B436" s="19"/>
      <x:c r="C436" s="19"/>
      <x:c r="D436" s="19"/>
      <x:c r="E436" s="19"/>
      <x:c r="F436" s="27"/>
      <x:c r="G436" s="19"/>
      <x:c r="H436" s="27"/>
      <x:c r="I436" s="19"/>
      <x:c r="J436" s="19"/>
      <x:c r="K436" s="26"/>
    </x:row>
    <x:row r="437">
      <x:c r="A437" s="19"/>
      <x:c r="B437" s="19"/>
      <x:c r="C437" s="19"/>
      <x:c r="D437" s="19"/>
      <x:c r="E437" s="19"/>
      <x:c r="F437" s="27"/>
      <x:c r="G437" s="19"/>
      <x:c r="H437" s="27"/>
      <x:c r="I437" s="19"/>
      <x:c r="J437" s="19"/>
      <x:c r="K437" s="26"/>
    </x:row>
    <x:row r="438">
      <x:c r="A438" s="19"/>
      <x:c r="B438" s="19"/>
      <x:c r="C438" s="19"/>
      <x:c r="D438" s="19"/>
      <x:c r="E438" s="19"/>
      <x:c r="F438" s="27"/>
      <x:c r="G438" s="19"/>
      <x:c r="H438" s="27"/>
      <x:c r="I438" s="19"/>
      <x:c r="J438" s="19"/>
      <x:c r="K438" s="26"/>
    </x:row>
    <x:row r="439">
      <x:c r="A439" s="19"/>
      <x:c r="B439" s="19"/>
      <x:c r="C439" s="19"/>
      <x:c r="D439" s="19"/>
      <x:c r="E439" s="19"/>
      <x:c r="F439" s="27"/>
      <x:c r="G439" s="19"/>
      <x:c r="H439" s="27"/>
      <x:c r="I439" s="19"/>
      <x:c r="J439" s="19"/>
      <x:c r="K439" s="26"/>
    </x:row>
    <x:row r="440">
      <x:c r="A440" s="19"/>
      <x:c r="B440" s="19"/>
      <x:c r="C440" s="19"/>
      <x:c r="D440" s="19"/>
      <x:c r="E440" s="19"/>
      <x:c r="F440" s="27"/>
      <x:c r="G440" s="19"/>
      <x:c r="H440" s="27"/>
      <x:c r="I440" s="19"/>
      <x:c r="J440" s="19"/>
      <x:c r="K440" s="26"/>
    </x:row>
    <x:row r="441">
      <x:c r="A441" s="19"/>
      <x:c r="B441" s="19"/>
      <x:c r="C441" s="19"/>
      <x:c r="D441" s="19"/>
      <x:c r="E441" s="19"/>
      <x:c r="F441" s="27"/>
      <x:c r="G441" s="19"/>
      <x:c r="H441" s="27"/>
      <x:c r="I441" s="19"/>
      <x:c r="J441" s="19"/>
      <x:c r="K441" s="26"/>
    </x:row>
    <x:row r="442">
      <x:c r="A442" s="19"/>
      <x:c r="B442" s="19"/>
      <x:c r="C442" s="19"/>
      <x:c r="D442" s="19"/>
      <x:c r="E442" s="19"/>
      <x:c r="F442" s="27"/>
      <x:c r="G442" s="19"/>
      <x:c r="H442" s="27"/>
      <x:c r="I442" s="19"/>
      <x:c r="J442" s="19"/>
      <x:c r="K442" s="26"/>
    </x:row>
    <x:row r="443">
      <x:c r="A443" s="19"/>
      <x:c r="B443" s="19"/>
      <x:c r="C443" s="19"/>
      <x:c r="D443" s="19"/>
      <x:c r="E443" s="19"/>
      <x:c r="F443" s="27"/>
      <x:c r="G443" s="19"/>
      <x:c r="H443" s="27"/>
      <x:c r="I443" s="19"/>
      <x:c r="J443" s="19"/>
      <x:c r="K443" s="26"/>
    </x:row>
    <x:row r="444">
      <x:c r="A444" s="19"/>
      <x:c r="B444" s="19"/>
      <x:c r="C444" s="19"/>
      <x:c r="D444" s="19"/>
      <x:c r="E444" s="19"/>
      <x:c r="F444" s="27"/>
      <x:c r="G444" s="19"/>
      <x:c r="H444" s="27"/>
      <x:c r="I444" s="19"/>
      <x:c r="J444" s="19"/>
      <x:c r="K444" s="26"/>
    </x:row>
    <x:row r="445">
      <x:c r="A445" s="19"/>
      <x:c r="B445" s="19"/>
      <x:c r="C445" s="19"/>
      <x:c r="D445" s="19"/>
      <x:c r="E445" s="19"/>
      <x:c r="F445" s="27"/>
      <x:c r="G445" s="19"/>
      <x:c r="H445" s="27"/>
      <x:c r="I445" s="19"/>
      <x:c r="J445" s="19"/>
      <x:c r="K445" s="26"/>
    </x:row>
    <x:row r="446">
      <x:c r="A446" s="19"/>
      <x:c r="B446" s="19"/>
      <x:c r="C446" s="19"/>
      <x:c r="D446" s="19"/>
      <x:c r="E446" s="19"/>
      <x:c r="F446" s="27"/>
      <x:c r="G446" s="19"/>
      <x:c r="H446" s="27"/>
      <x:c r="I446" s="19"/>
      <x:c r="J446" s="19"/>
      <x:c r="K446" s="26"/>
    </x:row>
    <x:row r="447">
      <x:c r="A447" s="19"/>
      <x:c r="B447" s="19"/>
      <x:c r="C447" s="19"/>
      <x:c r="D447" s="19"/>
      <x:c r="E447" s="19"/>
      <x:c r="F447" s="27"/>
      <x:c r="G447" s="19"/>
      <x:c r="H447" s="27"/>
      <x:c r="I447" s="19"/>
      <x:c r="J447" s="19"/>
      <x:c r="K447" s="26"/>
    </x:row>
    <x:row r="448">
      <x:c r="A448" s="19"/>
      <x:c r="B448" s="19"/>
      <x:c r="C448" s="19"/>
      <x:c r="D448" s="19"/>
      <x:c r="E448" s="19"/>
      <x:c r="F448" s="27"/>
      <x:c r="G448" s="19"/>
      <x:c r="H448" s="27"/>
      <x:c r="I448" s="19"/>
      <x:c r="J448" s="19"/>
      <x:c r="K448" s="26"/>
    </x:row>
    <x:row r="449">
      <x:c r="A449" s="19"/>
      <x:c r="B449" s="19"/>
      <x:c r="C449" s="19"/>
      <x:c r="D449" s="19"/>
      <x:c r="E449" s="19"/>
      <x:c r="F449" s="27"/>
      <x:c r="G449" s="19"/>
      <x:c r="H449" s="27"/>
      <x:c r="I449" s="19"/>
      <x:c r="J449" s="19"/>
      <x:c r="K449" s="26"/>
    </x:row>
    <x:row r="450">
      <x:c r="A450" s="19"/>
      <x:c r="B450" s="19"/>
      <x:c r="C450" s="19"/>
      <x:c r="D450" s="19"/>
      <x:c r="E450" s="19"/>
      <x:c r="F450" s="27"/>
      <x:c r="G450" s="19"/>
      <x:c r="H450" s="27"/>
      <x:c r="I450" s="19"/>
      <x:c r="J450" s="19"/>
      <x:c r="K450" s="26"/>
    </x:row>
    <x:row r="451">
      <x:c r="A451" s="19"/>
      <x:c r="B451" s="19"/>
      <x:c r="C451" s="19"/>
      <x:c r="D451" s="19"/>
      <x:c r="E451" s="19"/>
      <x:c r="F451" s="27"/>
      <x:c r="G451" s="19"/>
      <x:c r="H451" s="27"/>
      <x:c r="I451" s="19"/>
      <x:c r="J451" s="19"/>
      <x:c r="K451" s="26"/>
    </x:row>
    <x:row r="452">
      <x:c r="A452" s="19"/>
      <x:c r="B452" s="19"/>
      <x:c r="C452" s="19"/>
      <x:c r="D452" s="19"/>
      <x:c r="E452" s="19"/>
      <x:c r="F452" s="27"/>
      <x:c r="G452" s="19"/>
      <x:c r="H452" s="27"/>
      <x:c r="I452" s="19"/>
      <x:c r="J452" s="19"/>
      <x:c r="K452" s="26"/>
    </x:row>
    <x:row r="453">
      <x:c r="A453" s="19"/>
      <x:c r="B453" s="19"/>
      <x:c r="C453" s="19"/>
      <x:c r="D453" s="19"/>
      <x:c r="E453" s="19"/>
      <x:c r="F453" s="27"/>
      <x:c r="G453" s="19"/>
      <x:c r="H453" s="27"/>
      <x:c r="I453" s="19"/>
      <x:c r="J453" s="19"/>
      <x:c r="K453" s="26"/>
    </x:row>
    <x:row r="454">
      <x:c r="A454" s="19"/>
      <x:c r="B454" s="19"/>
      <x:c r="C454" s="19"/>
      <x:c r="D454" s="19"/>
      <x:c r="E454" s="19"/>
      <x:c r="F454" s="27"/>
      <x:c r="G454" s="19"/>
      <x:c r="H454" s="27"/>
      <x:c r="I454" s="19"/>
      <x:c r="J454" s="19"/>
      <x:c r="K454" s="26"/>
    </x:row>
    <x:row r="455">
      <x:c r="A455" s="19"/>
      <x:c r="B455" s="19"/>
      <x:c r="C455" s="19"/>
      <x:c r="D455" s="19"/>
      <x:c r="E455" s="19"/>
      <x:c r="F455" s="27"/>
      <x:c r="G455" s="19"/>
      <x:c r="H455" s="27"/>
      <x:c r="I455" s="19"/>
      <x:c r="J455" s="19"/>
      <x:c r="K455" s="26"/>
    </x:row>
    <x:row r="456">
      <x:c r="A456" s="19"/>
      <x:c r="B456" s="19"/>
      <x:c r="C456" s="19"/>
      <x:c r="D456" s="19"/>
      <x:c r="E456" s="19"/>
      <x:c r="F456" s="27"/>
      <x:c r="G456" s="19"/>
      <x:c r="H456" s="27"/>
      <x:c r="I456" s="19"/>
      <x:c r="J456" s="19"/>
      <x:c r="K456" s="26"/>
    </x:row>
    <x:row r="457">
      <x:c r="A457" s="19"/>
      <x:c r="B457" s="19"/>
      <x:c r="C457" s="19"/>
      <x:c r="D457" s="19"/>
      <x:c r="E457" s="19"/>
      <x:c r="F457" s="27"/>
      <x:c r="G457" s="19"/>
      <x:c r="H457" s="27"/>
      <x:c r="I457" s="19"/>
      <x:c r="J457" s="19"/>
      <x:c r="K457" s="26"/>
    </x:row>
    <x:row r="458">
      <x:c r="A458" s="19"/>
      <x:c r="B458" s="19"/>
      <x:c r="C458" s="19"/>
      <x:c r="D458" s="19"/>
      <x:c r="E458" s="19"/>
      <x:c r="F458" s="27"/>
      <x:c r="G458" s="19"/>
      <x:c r="H458" s="27"/>
      <x:c r="I458" s="19"/>
      <x:c r="J458" s="19"/>
      <x:c r="K458" s="26"/>
    </x:row>
    <x:row r="459">
      <x:c r="A459" s="19"/>
      <x:c r="B459" s="19"/>
      <x:c r="C459" s="19"/>
      <x:c r="D459" s="19"/>
      <x:c r="E459" s="19"/>
      <x:c r="F459" s="27"/>
      <x:c r="G459" s="19"/>
      <x:c r="H459" s="27"/>
      <x:c r="I459" s="19"/>
      <x:c r="J459" s="19"/>
      <x:c r="K459" s="26"/>
    </x:row>
    <x:row r="460">
      <x:c r="A460" s="19"/>
      <x:c r="B460" s="19"/>
      <x:c r="C460" s="19"/>
      <x:c r="D460" s="19"/>
      <x:c r="E460" s="19"/>
      <x:c r="F460" s="27"/>
      <x:c r="G460" s="19"/>
      <x:c r="H460" s="27"/>
      <x:c r="I460" s="19"/>
      <x:c r="J460" s="19"/>
      <x:c r="K460" s="26"/>
    </x:row>
    <x:row r="461">
      <x:c r="A461" s="19"/>
      <x:c r="B461" s="19"/>
      <x:c r="C461" s="19"/>
      <x:c r="D461" s="19"/>
      <x:c r="E461" s="19"/>
      <x:c r="F461" s="27"/>
      <x:c r="G461" s="19"/>
      <x:c r="H461" s="27"/>
      <x:c r="I461" s="19"/>
      <x:c r="J461" s="19"/>
      <x:c r="K461" s="26"/>
    </x:row>
    <x:row r="462">
      <x:c r="A462" s="19"/>
      <x:c r="B462" s="19"/>
      <x:c r="C462" s="19"/>
      <x:c r="D462" s="19"/>
      <x:c r="E462" s="19"/>
      <x:c r="F462" s="27"/>
      <x:c r="G462" s="19"/>
      <x:c r="H462" s="27"/>
      <x:c r="I462" s="19"/>
      <x:c r="J462" s="19"/>
      <x:c r="K462" s="26"/>
    </x:row>
    <x:row r="463">
      <x:c r="A463" s="19"/>
      <x:c r="B463" s="19"/>
      <x:c r="C463" s="19"/>
      <x:c r="D463" s="19"/>
      <x:c r="E463" s="19"/>
      <x:c r="F463" s="27"/>
      <x:c r="G463" s="19"/>
      <x:c r="H463" s="27"/>
      <x:c r="I463" s="19"/>
      <x:c r="J463" s="19"/>
      <x:c r="K463" s="26"/>
    </x:row>
    <x:row r="464">
      <x:c r="A464" s="19"/>
      <x:c r="B464" s="19"/>
      <x:c r="C464" s="19"/>
      <x:c r="D464" s="19"/>
      <x:c r="E464" s="19"/>
      <x:c r="F464" s="27"/>
      <x:c r="G464" s="19"/>
      <x:c r="H464" s="27"/>
      <x:c r="I464" s="19"/>
      <x:c r="J464" s="19"/>
      <x:c r="K464" s="26"/>
    </x:row>
    <x:row r="465">
      <x:c r="A465" s="19"/>
      <x:c r="B465" s="19"/>
      <x:c r="C465" s="19"/>
      <x:c r="D465" s="19"/>
      <x:c r="E465" s="19"/>
      <x:c r="F465" s="27"/>
      <x:c r="G465" s="19"/>
      <x:c r="H465" s="27"/>
      <x:c r="I465" s="19"/>
      <x:c r="J465" s="19"/>
      <x:c r="K465" s="26"/>
    </x:row>
    <x:row r="466">
      <x:c r="A466" s="19"/>
      <x:c r="B466" s="19"/>
      <x:c r="C466" s="19"/>
      <x:c r="D466" s="19"/>
      <x:c r="E466" s="19"/>
      <x:c r="F466" s="27"/>
      <x:c r="G466" s="19"/>
      <x:c r="H466" s="27"/>
      <x:c r="I466" s="19"/>
      <x:c r="J466" s="19"/>
      <x:c r="K466" s="26"/>
    </x:row>
    <x:row r="467">
      <x:c r="A467" s="19"/>
      <x:c r="B467" s="19"/>
      <x:c r="C467" s="19"/>
      <x:c r="D467" s="19"/>
      <x:c r="E467" s="19"/>
      <x:c r="F467" s="27"/>
      <x:c r="G467" s="19"/>
      <x:c r="H467" s="27"/>
      <x:c r="I467" s="19"/>
      <x:c r="J467" s="19"/>
      <x:c r="K467" s="26"/>
    </x:row>
    <x:row r="468">
      <x:c r="A468" s="19"/>
      <x:c r="B468" s="19"/>
      <x:c r="C468" s="19"/>
      <x:c r="D468" s="19"/>
      <x:c r="E468" s="19"/>
      <x:c r="F468" s="27"/>
      <x:c r="G468" s="19"/>
      <x:c r="H468" s="27"/>
      <x:c r="I468" s="19"/>
      <x:c r="J468" s="19"/>
      <x:c r="K468" s="26"/>
    </x:row>
    <x:row r="469">
      <x:c r="A469" s="19"/>
      <x:c r="B469" s="19"/>
      <x:c r="C469" s="19"/>
      <x:c r="D469" s="19"/>
      <x:c r="E469" s="19"/>
      <x:c r="F469" s="27"/>
      <x:c r="G469" s="19"/>
      <x:c r="H469" s="27"/>
      <x:c r="I469" s="19"/>
      <x:c r="J469" s="19"/>
      <x:c r="K469" s="26"/>
    </x:row>
    <x:row r="470">
      <x:c r="A470" s="19"/>
      <x:c r="B470" s="19"/>
      <x:c r="C470" s="19"/>
      <x:c r="D470" s="19"/>
      <x:c r="E470" s="19"/>
      <x:c r="F470" s="27"/>
      <x:c r="G470" s="19"/>
      <x:c r="H470" s="27"/>
      <x:c r="I470" s="19"/>
      <x:c r="J470" s="19"/>
      <x:c r="K470" s="26"/>
    </x:row>
    <x:row r="471">
      <x:c r="A471" s="19"/>
      <x:c r="B471" s="19"/>
      <x:c r="C471" s="19"/>
      <x:c r="D471" s="19"/>
      <x:c r="E471" s="19"/>
      <x:c r="F471" s="27"/>
      <x:c r="G471" s="19"/>
      <x:c r="H471" s="27"/>
      <x:c r="I471" s="19"/>
      <x:c r="J471" s="19"/>
      <x:c r="K471" s="26"/>
    </x:row>
    <x:row r="472">
      <x:c r="A472" s="19"/>
      <x:c r="B472" s="19"/>
      <x:c r="C472" s="19"/>
      <x:c r="D472" s="19"/>
      <x:c r="E472" s="19"/>
      <x:c r="F472" s="27"/>
      <x:c r="G472" s="19"/>
      <x:c r="H472" s="27"/>
      <x:c r="I472" s="19"/>
      <x:c r="J472" s="19"/>
      <x:c r="K472" s="26"/>
    </x:row>
    <x:row r="473">
      <x:c r="A473" s="19"/>
      <x:c r="B473" s="19"/>
      <x:c r="C473" s="19"/>
      <x:c r="D473" s="19"/>
      <x:c r="E473" s="19"/>
      <x:c r="F473" s="27"/>
      <x:c r="G473" s="19"/>
      <x:c r="H473" s="27"/>
      <x:c r="I473" s="19"/>
      <x:c r="J473" s="19"/>
      <x:c r="K473" s="26"/>
    </x:row>
    <x:row r="474">
      <x:c r="A474" s="19"/>
      <x:c r="B474" s="19"/>
      <x:c r="C474" s="19"/>
      <x:c r="D474" s="19"/>
      <x:c r="E474" s="19"/>
      <x:c r="F474" s="27"/>
      <x:c r="G474" s="19"/>
      <x:c r="H474" s="27"/>
      <x:c r="I474" s="19"/>
      <x:c r="J474" s="19"/>
      <x:c r="K474" s="26"/>
    </x:row>
    <x:row r="475">
      <x:c r="A475" s="19"/>
      <x:c r="B475" s="19"/>
      <x:c r="C475" s="19"/>
      <x:c r="D475" s="19"/>
      <x:c r="E475" s="19"/>
      <x:c r="F475" s="27"/>
      <x:c r="G475" s="19"/>
      <x:c r="H475" s="27"/>
      <x:c r="I475" s="19"/>
      <x:c r="J475" s="19"/>
      <x:c r="K475" s="26"/>
    </x:row>
    <x:row r="476">
      <x:c r="A476" s="19"/>
      <x:c r="B476" s="19"/>
      <x:c r="C476" s="19"/>
      <x:c r="D476" s="19"/>
      <x:c r="E476" s="19"/>
      <x:c r="F476" s="27"/>
      <x:c r="G476" s="19"/>
      <x:c r="H476" s="27"/>
      <x:c r="I476" s="19"/>
      <x:c r="J476" s="19"/>
      <x:c r="K476" s="26"/>
    </x:row>
    <x:row r="477">
      <x:c r="A477" s="19"/>
      <x:c r="B477" s="19"/>
      <x:c r="C477" s="19"/>
      <x:c r="D477" s="19"/>
      <x:c r="E477" s="19"/>
      <x:c r="F477" s="27"/>
      <x:c r="G477" s="19"/>
      <x:c r="H477" s="27"/>
      <x:c r="I477" s="19"/>
      <x:c r="J477" s="19"/>
      <x:c r="K477" s="26"/>
    </x:row>
    <x:row r="478">
      <x:c r="A478" s="19"/>
      <x:c r="B478" s="19"/>
      <x:c r="C478" s="19"/>
      <x:c r="D478" s="19"/>
      <x:c r="E478" s="19"/>
      <x:c r="F478" s="27"/>
      <x:c r="G478" s="19"/>
      <x:c r="H478" s="27"/>
      <x:c r="I478" s="19"/>
      <x:c r="J478" s="19"/>
      <x:c r="K478" s="26"/>
    </x:row>
    <x:row r="479">
      <x:c r="A479" s="19"/>
      <x:c r="B479" s="19"/>
      <x:c r="C479" s="19"/>
      <x:c r="D479" s="19"/>
      <x:c r="E479" s="19"/>
      <x:c r="F479" s="27"/>
      <x:c r="G479" s="19"/>
      <x:c r="H479" s="27"/>
      <x:c r="I479" s="19"/>
      <x:c r="J479" s="19"/>
      <x:c r="K479" s="26"/>
    </x:row>
    <x:row r="480">
      <x:c r="A480" s="19"/>
      <x:c r="B480" s="19"/>
      <x:c r="C480" s="19"/>
      <x:c r="D480" s="19"/>
      <x:c r="E480" s="19"/>
      <x:c r="F480" s="27"/>
      <x:c r="G480" s="19"/>
      <x:c r="H480" s="27"/>
      <x:c r="I480" s="19"/>
      <x:c r="J480" s="19"/>
      <x:c r="K480" s="26"/>
    </x:row>
    <x:row r="481">
      <x:c r="A481" s="19"/>
      <x:c r="B481" s="19"/>
      <x:c r="C481" s="19"/>
      <x:c r="D481" s="19"/>
      <x:c r="E481" s="19"/>
      <x:c r="F481" s="27"/>
      <x:c r="G481" s="19"/>
      <x:c r="H481" s="27"/>
      <x:c r="I481" s="19"/>
      <x:c r="J481" s="19"/>
      <x:c r="K481" s="26"/>
    </x:row>
    <x:row r="482">
      <x:c r="A482" s="19"/>
      <x:c r="B482" s="19"/>
      <x:c r="C482" s="19"/>
      <x:c r="D482" s="19"/>
      <x:c r="E482" s="19"/>
      <x:c r="F482" s="27"/>
      <x:c r="G482" s="19"/>
      <x:c r="H482" s="27"/>
      <x:c r="I482" s="19"/>
      <x:c r="J482" s="19"/>
      <x:c r="K482" s="26"/>
    </x:row>
    <x:row r="483">
      <x:c r="A483" s="19"/>
      <x:c r="B483" s="19"/>
      <x:c r="C483" s="19"/>
      <x:c r="D483" s="19"/>
      <x:c r="E483" s="19"/>
      <x:c r="F483" s="27"/>
      <x:c r="G483" s="19"/>
      <x:c r="H483" s="27"/>
      <x:c r="I483" s="19"/>
      <x:c r="J483" s="19"/>
      <x:c r="K483" s="26"/>
    </x:row>
    <x:row r="484">
      <x:c r="A484" s="19"/>
      <x:c r="B484" s="19"/>
      <x:c r="C484" s="19"/>
      <x:c r="D484" s="19"/>
      <x:c r="E484" s="19"/>
      <x:c r="F484" s="27"/>
      <x:c r="G484" s="19"/>
      <x:c r="H484" s="27"/>
      <x:c r="I484" s="19"/>
      <x:c r="J484" s="19"/>
      <x:c r="K484" s="26"/>
    </x:row>
    <x:row r="485">
      <x:c r="A485" s="19"/>
      <x:c r="B485" s="19"/>
      <x:c r="C485" s="19"/>
      <x:c r="D485" s="19"/>
      <x:c r="E485" s="19"/>
      <x:c r="F485" s="27"/>
      <x:c r="G485" s="19"/>
      <x:c r="H485" s="27"/>
      <x:c r="I485" s="19"/>
      <x:c r="J485" s="19"/>
      <x:c r="K485" s="26"/>
    </x:row>
    <x:row r="486">
      <x:c r="A486" s="19"/>
      <x:c r="B486" s="19"/>
      <x:c r="C486" s="19"/>
      <x:c r="D486" s="19"/>
      <x:c r="E486" s="19"/>
      <x:c r="F486" s="27"/>
      <x:c r="G486" s="19"/>
      <x:c r="H486" s="27"/>
      <x:c r="I486" s="19"/>
      <x:c r="J486" s="19"/>
      <x:c r="K486" s="26"/>
    </x:row>
    <x:row r="487">
      <x:c r="A487" s="19"/>
      <x:c r="B487" s="19"/>
      <x:c r="C487" s="19"/>
      <x:c r="D487" s="19"/>
      <x:c r="E487" s="19"/>
      <x:c r="F487" s="27"/>
      <x:c r="G487" s="19"/>
      <x:c r="H487" s="27"/>
      <x:c r="I487" s="19"/>
      <x:c r="J487" s="19"/>
      <x:c r="K487" s="26"/>
    </x:row>
    <x:row r="488">
      <x:c r="A488" s="19"/>
      <x:c r="B488" s="19"/>
      <x:c r="C488" s="19"/>
      <x:c r="D488" s="19"/>
      <x:c r="E488" s="19"/>
      <x:c r="F488" s="27"/>
      <x:c r="G488" s="19"/>
      <x:c r="H488" s="27"/>
      <x:c r="I488" s="19"/>
      <x:c r="J488" s="19"/>
      <x:c r="K488" s="26"/>
    </x:row>
    <x:row r="489">
      <x:c r="A489" s="19"/>
      <x:c r="B489" s="19"/>
      <x:c r="C489" s="19"/>
      <x:c r="D489" s="19"/>
      <x:c r="E489" s="19"/>
      <x:c r="F489" s="27"/>
      <x:c r="G489" s="19"/>
      <x:c r="H489" s="27"/>
      <x:c r="I489" s="19"/>
      <x:c r="J489" s="19"/>
      <x:c r="K489" s="26"/>
    </x:row>
    <x:row r="490">
      <x:c r="A490" s="19"/>
      <x:c r="B490" s="19"/>
      <x:c r="C490" s="19"/>
      <x:c r="D490" s="19"/>
      <x:c r="E490" s="19"/>
      <x:c r="F490" s="27"/>
      <x:c r="G490" s="19"/>
      <x:c r="H490" s="27"/>
      <x:c r="I490" s="19"/>
      <x:c r="J490" s="19"/>
      <x:c r="K490" s="26"/>
    </x:row>
    <x:row r="491">
      <x:c r="A491" s="19"/>
      <x:c r="B491" s="19"/>
      <x:c r="C491" s="19"/>
      <x:c r="D491" s="19"/>
      <x:c r="E491" s="19"/>
      <x:c r="F491" s="27"/>
      <x:c r="G491" s="19"/>
      <x:c r="H491" s="27"/>
      <x:c r="I491" s="19"/>
      <x:c r="J491" s="19"/>
      <x:c r="K491" s="26"/>
    </x:row>
    <x:row r="492">
      <x:c r="A492" s="19"/>
      <x:c r="B492" s="19"/>
      <x:c r="C492" s="19"/>
      <x:c r="D492" s="19"/>
      <x:c r="E492" s="19"/>
      <x:c r="F492" s="27"/>
      <x:c r="G492" s="19"/>
      <x:c r="H492" s="27"/>
      <x:c r="I492" s="19"/>
      <x:c r="J492" s="19"/>
      <x:c r="K492" s="26"/>
    </x:row>
    <x:row r="493">
      <x:c r="A493" s="19"/>
      <x:c r="B493" s="19"/>
      <x:c r="C493" s="19"/>
      <x:c r="D493" s="19"/>
      <x:c r="E493" s="19"/>
      <x:c r="F493" s="27"/>
      <x:c r="G493" s="19"/>
      <x:c r="H493" s="27"/>
      <x:c r="I493" s="19"/>
      <x:c r="J493" s="19"/>
      <x:c r="K493" s="26"/>
    </x:row>
    <x:row r="494">
      <x:c r="A494" s="19"/>
      <x:c r="B494" s="19"/>
      <x:c r="C494" s="19"/>
      <x:c r="D494" s="19"/>
      <x:c r="E494" s="19"/>
      <x:c r="F494" s="27"/>
      <x:c r="G494" s="19"/>
      <x:c r="H494" s="27"/>
      <x:c r="I494" s="19"/>
      <x:c r="J494" s="19"/>
      <x:c r="K494" s="26"/>
    </x:row>
    <x:row r="495">
      <x:c r="A495" s="19"/>
      <x:c r="B495" s="19"/>
      <x:c r="C495" s="19"/>
      <x:c r="D495" s="19"/>
      <x:c r="E495" s="19"/>
      <x:c r="F495" s="27"/>
      <x:c r="G495" s="19"/>
      <x:c r="H495" s="27"/>
      <x:c r="I495" s="19"/>
      <x:c r="J495" s="19"/>
      <x:c r="K495" s="26"/>
    </x:row>
    <x:row r="496">
      <x:c r="A496" s="19"/>
      <x:c r="B496" s="19"/>
      <x:c r="C496" s="19"/>
      <x:c r="D496" s="19"/>
      <x:c r="E496" s="19"/>
      <x:c r="F496" s="27"/>
      <x:c r="G496" s="19"/>
      <x:c r="H496" s="27"/>
      <x:c r="I496" s="19"/>
      <x:c r="J496" s="19"/>
      <x:c r="K496" s="26"/>
    </x:row>
    <x:row r="497">
      <x:c r="A497" s="19"/>
      <x:c r="B497" s="19"/>
      <x:c r="C497" s="19"/>
      <x:c r="D497" s="19"/>
      <x:c r="E497" s="19"/>
      <x:c r="F497" s="27"/>
      <x:c r="G497" s="19"/>
      <x:c r="H497" s="27"/>
      <x:c r="I497" s="19"/>
      <x:c r="J497" s="19"/>
      <x:c r="K497" s="26"/>
    </x:row>
    <x:row r="498">
      <x:c r="A498" s="19"/>
      <x:c r="B498" s="19"/>
      <x:c r="C498" s="19"/>
      <x:c r="D498" s="19"/>
      <x:c r="E498" s="19"/>
      <x:c r="F498" s="27"/>
      <x:c r="G498" s="19"/>
      <x:c r="H498" s="27"/>
      <x:c r="I498" s="19"/>
      <x:c r="J498" s="19"/>
      <x:c r="K498" s="26"/>
    </x:row>
    <x:row r="499">
      <x:c r="A499" s="19"/>
      <x:c r="B499" s="19"/>
      <x:c r="C499" s="19"/>
      <x:c r="D499" s="19"/>
      <x:c r="E499" s="19"/>
      <x:c r="F499" s="27"/>
      <x:c r="G499" s="19"/>
      <x:c r="H499" s="27"/>
      <x:c r="I499" s="19"/>
      <x:c r="J499" s="19"/>
      <x:c r="K499" s="26"/>
    </x:row>
    <x:row r="500">
      <x:c r="A500" s="19"/>
      <x:c r="B500" s="19"/>
      <x:c r="C500" s="19"/>
      <x:c r="D500" s="19"/>
      <x:c r="E500" s="19"/>
      <x:c r="F500" s="27"/>
      <x:c r="G500" s="19"/>
      <x:c r="H500" s="27"/>
      <x:c r="I500" s="19"/>
      <x:c r="J500" s="19"/>
      <x:c r="K500" s="26"/>
    </x:row>
  </x:sheetData>
  <x:conditionalFormatting sqref="B2:B500">
    <x:cfRule type="expression" dxfId="216" priority="1">
      <x:formula>AND($A2&lt;&gt;"",B2="")</x:formula>
    </x:cfRule>
  </x:conditionalFormatting>
  <x:conditionalFormatting sqref="I2:I500">
    <x:cfRule type="expression" dxfId="217" priority="2">
      <x:formula>AND($A2&lt;&gt;"",I2="")</x:formula>
    </x:cfRule>
  </x:conditionalFormatting>
  <x:conditionalFormatting sqref="K2:K500">
    <x:cfRule type="expression" dxfId="218" priority="3">
      <x:formula>AND($A2&lt;&gt;"",K2="")</x:formula>
    </x:cfRule>
  </x:conditionalFormatting>
  <x:dataValidations count="1">
    <x:dataValidation type="list" sqref="I2:I500">
      <x:formula1>"active,paused,blocked"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53f0c78de84571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19" hidden="0" customWidth="1"/>
    <x:col min="7" max="7" width="15" hidden="0" customWidth="1"/>
    <x:col min="8" max="8" width="14" hidden="0" customWidth="1"/>
    <x:col min="9" max="9" width="28" hidden="0" customWidth="1"/>
    <x:col min="10" max="10" width="19" hidden="0" customWidth="1"/>
  </x:cols>
  <x:sheetData>
    <x:row r="1" ht="46" customHeight="1">
      <x:c r="A1" s="12" t="str">
        <x:v>شناسه پیشنهاد خرید *
(supplier_quote_id)</x:v>
      </x:c>
      <x:c r="B1" s="13" t="str">
        <x:v>تأمین‌کننده *
(supplier_id)</x:v>
      </x:c>
      <x:c r="C1" s="13" t="str">
        <x:v>فرصت فروش
(opportunity_id)</x:v>
      </x:c>
      <x:c r="D1" s="13" t="str">
        <x:v>محصول *
(product_id)</x:v>
      </x:c>
      <x:c r="E1" s="13" t="str">
        <x:v>مقدار *
(qty)</x:v>
      </x:c>
      <x:c r="F1" s="13" t="str">
        <x:v>قیمت واحد (ریال) *
(price)</x:v>
      </x:c>
      <x:c r="G1" s="13" t="str">
        <x:v>اعتبار تا
(valid_until)</x:v>
      </x:c>
      <x:c r="H1" s="13" t="str">
        <x:v>وضعیت *
(status)</x:v>
      </x:c>
      <x:c r="I1" s="13" t="str">
        <x:v>توضیحات
(notes)</x:v>
      </x:c>
      <x:c r="J1" s="14" t="str">
        <x:v>زمان ایجاد *
(created_at)</x:v>
      </x:c>
    </x:row>
    <x:row r="2">
      <x:c r="A2" s="28" t="str">
        <x:v>sq_001</x:v>
      </x:c>
      <x:c r="B2" s="29" t="str">
        <x:v>sup_001</x:v>
      </x:c>
      <x:c r="C2" s="29" t="str">
        <x:v>opp_001</x:v>
      </x:c>
      <x:c r="D2" s="29" t="str">
        <x:v>prd_001</x:v>
      </x:c>
      <x:c r="E2" s="63" t="n">
        <x:v>20</x:v>
      </x:c>
      <x:c r="F2" s="32" t="n">
        <x:v>20500000</x:v>
      </x:c>
      <x:c r="G2" s="31" t="n">
        <x:v>46219</x:v>
      </x:c>
      <x:c r="H2" s="29" t="str">
        <x:v>selected</x:v>
      </x:c>
      <x:c r="I2" s="29" t="str">
        <x:v>تحویل ۳ روزه</x:v>
      </x:c>
      <x:c r="J2" s="83" t="n">
        <x:v>46212.3125</x:v>
      </x:c>
    </x:row>
    <x:row r="3">
      <x:c r="A3" s="46" t="str">
        <x:v>sq_002</x:v>
      </x:c>
      <x:c r="B3" s="47" t="str">
        <x:v>sup_002</x:v>
      </x:c>
      <x:c r="C3" s="47" t="str">
        <x:v>opp_001</x:v>
      </x:c>
      <x:c r="D3" s="47" t="str">
        <x:v>prd_001</x:v>
      </x:c>
      <x:c r="E3" s="65" t="n">
        <x:v>20</x:v>
      </x:c>
      <x:c r="F3" s="50" t="n">
        <x:v>21500000</x:v>
      </x:c>
      <x:c r="G3" s="49" t="n">
        <x:v>46217</x:v>
      </x:c>
      <x:c r="H3" s="47" t="str">
        <x:v>received</x:v>
      </x:c>
      <x:c r="I3" s="47" t="str">
        <x:v>تحویل ۲ روزه</x:v>
      </x:c>
      <x:c r="J3" s="85" t="n">
        <x:v>46212.333333333336</x:v>
      </x:c>
    </x:row>
    <x:row r="4">
      <x:c r="A4" s="19"/>
      <x:c r="B4" s="19"/>
      <x:c r="C4" s="19"/>
      <x:c r="D4" s="19"/>
      <x:c r="E4" s="62"/>
      <x:c r="F4" s="25"/>
      <x:c r="G4" s="24"/>
      <x:c r="H4" s="19"/>
      <x:c r="I4" s="19"/>
      <x:c r="J4" s="26"/>
    </x:row>
    <x:row r="5">
      <x:c r="A5" s="19"/>
      <x:c r="B5" s="19"/>
      <x:c r="C5" s="19"/>
      <x:c r="D5" s="19"/>
      <x:c r="E5" s="62"/>
      <x:c r="F5" s="25"/>
      <x:c r="G5" s="24"/>
      <x:c r="H5" s="19"/>
      <x:c r="I5" s="19"/>
      <x:c r="J5" s="26"/>
    </x:row>
    <x:row r="6">
      <x:c r="A6" s="19"/>
      <x:c r="B6" s="19"/>
      <x:c r="C6" s="19"/>
      <x:c r="D6" s="19"/>
      <x:c r="E6" s="62"/>
      <x:c r="F6" s="25"/>
      <x:c r="G6" s="24"/>
      <x:c r="H6" s="19"/>
      <x:c r="I6" s="19"/>
      <x:c r="J6" s="26"/>
    </x:row>
    <x:row r="7">
      <x:c r="A7" s="19"/>
      <x:c r="B7" s="19"/>
      <x:c r="C7" s="19"/>
      <x:c r="D7" s="19"/>
      <x:c r="E7" s="62"/>
      <x:c r="F7" s="25"/>
      <x:c r="G7" s="24"/>
      <x:c r="H7" s="19"/>
      <x:c r="I7" s="19"/>
      <x:c r="J7" s="26"/>
    </x:row>
    <x:row r="8">
      <x:c r="A8" s="19"/>
      <x:c r="B8" s="19"/>
      <x:c r="C8" s="19"/>
      <x:c r="D8" s="19"/>
      <x:c r="E8" s="62"/>
      <x:c r="F8" s="25"/>
      <x:c r="G8" s="24"/>
      <x:c r="H8" s="19"/>
      <x:c r="I8" s="19"/>
      <x:c r="J8" s="26"/>
    </x:row>
    <x:row r="9">
      <x:c r="A9" s="19"/>
      <x:c r="B9" s="19"/>
      <x:c r="C9" s="19"/>
      <x:c r="D9" s="19"/>
      <x:c r="E9" s="62"/>
      <x:c r="F9" s="25"/>
      <x:c r="G9" s="24"/>
      <x:c r="H9" s="19"/>
      <x:c r="I9" s="19"/>
      <x:c r="J9" s="26"/>
    </x:row>
    <x:row r="10">
      <x:c r="A10" s="19"/>
      <x:c r="B10" s="19"/>
      <x:c r="C10" s="19"/>
      <x:c r="D10" s="19"/>
      <x:c r="E10" s="62"/>
      <x:c r="F10" s="25"/>
      <x:c r="G10" s="24"/>
      <x:c r="H10" s="19"/>
      <x:c r="I10" s="19"/>
      <x:c r="J10" s="26"/>
    </x:row>
    <x:row r="11">
      <x:c r="A11" s="19"/>
      <x:c r="B11" s="19"/>
      <x:c r="C11" s="19"/>
      <x:c r="D11" s="19"/>
      <x:c r="E11" s="62"/>
      <x:c r="F11" s="25"/>
      <x:c r="G11" s="24"/>
      <x:c r="H11" s="19"/>
      <x:c r="I11" s="19"/>
      <x:c r="J11" s="26"/>
    </x:row>
    <x:row r="12">
      <x:c r="A12" s="19"/>
      <x:c r="B12" s="19"/>
      <x:c r="C12" s="19"/>
      <x:c r="D12" s="19"/>
      <x:c r="E12" s="62"/>
      <x:c r="F12" s="25"/>
      <x:c r="G12" s="24"/>
      <x:c r="H12" s="19"/>
      <x:c r="I12" s="19"/>
      <x:c r="J12" s="26"/>
    </x:row>
    <x:row r="13">
      <x:c r="A13" s="19"/>
      <x:c r="B13" s="19"/>
      <x:c r="C13" s="19"/>
      <x:c r="D13" s="19"/>
      <x:c r="E13" s="62"/>
      <x:c r="F13" s="25"/>
      <x:c r="G13" s="24"/>
      <x:c r="H13" s="19"/>
      <x:c r="I13" s="19"/>
      <x:c r="J13" s="26"/>
    </x:row>
    <x:row r="14">
      <x:c r="A14" s="19"/>
      <x:c r="B14" s="19"/>
      <x:c r="C14" s="19"/>
      <x:c r="D14" s="19"/>
      <x:c r="E14" s="62"/>
      <x:c r="F14" s="25"/>
      <x:c r="G14" s="24"/>
      <x:c r="H14" s="19"/>
      <x:c r="I14" s="19"/>
      <x:c r="J14" s="26"/>
    </x:row>
    <x:row r="15">
      <x:c r="A15" s="19"/>
      <x:c r="B15" s="19"/>
      <x:c r="C15" s="19"/>
      <x:c r="D15" s="19"/>
      <x:c r="E15" s="62"/>
      <x:c r="F15" s="25"/>
      <x:c r="G15" s="24"/>
      <x:c r="H15" s="19"/>
      <x:c r="I15" s="19"/>
      <x:c r="J15" s="26"/>
    </x:row>
    <x:row r="16">
      <x:c r="A16" s="19"/>
      <x:c r="B16" s="19"/>
      <x:c r="C16" s="19"/>
      <x:c r="D16" s="19"/>
      <x:c r="E16" s="62"/>
      <x:c r="F16" s="25"/>
      <x:c r="G16" s="24"/>
      <x:c r="H16" s="19"/>
      <x:c r="I16" s="19"/>
      <x:c r="J16" s="26"/>
    </x:row>
    <x:row r="17">
      <x:c r="A17" s="19"/>
      <x:c r="B17" s="19"/>
      <x:c r="C17" s="19"/>
      <x:c r="D17" s="19"/>
      <x:c r="E17" s="62"/>
      <x:c r="F17" s="25"/>
      <x:c r="G17" s="24"/>
      <x:c r="H17" s="19"/>
      <x:c r="I17" s="19"/>
      <x:c r="J17" s="26"/>
    </x:row>
    <x:row r="18">
      <x:c r="A18" s="19"/>
      <x:c r="B18" s="19"/>
      <x:c r="C18" s="19"/>
      <x:c r="D18" s="19"/>
      <x:c r="E18" s="62"/>
      <x:c r="F18" s="25"/>
      <x:c r="G18" s="24"/>
      <x:c r="H18" s="19"/>
      <x:c r="I18" s="19"/>
      <x:c r="J18" s="26"/>
    </x:row>
    <x:row r="19">
      <x:c r="A19" s="19"/>
      <x:c r="B19" s="19"/>
      <x:c r="C19" s="19"/>
      <x:c r="D19" s="19"/>
      <x:c r="E19" s="62"/>
      <x:c r="F19" s="25"/>
      <x:c r="G19" s="24"/>
      <x:c r="H19" s="19"/>
      <x:c r="I19" s="19"/>
      <x:c r="J19" s="26"/>
    </x:row>
    <x:row r="20">
      <x:c r="A20" s="19"/>
      <x:c r="B20" s="19"/>
      <x:c r="C20" s="19"/>
      <x:c r="D20" s="19"/>
      <x:c r="E20" s="62"/>
      <x:c r="F20" s="25"/>
      <x:c r="G20" s="24"/>
      <x:c r="H20" s="19"/>
      <x:c r="I20" s="19"/>
      <x:c r="J20" s="26"/>
    </x:row>
    <x:row r="21">
      <x:c r="A21" s="19"/>
      <x:c r="B21" s="19"/>
      <x:c r="C21" s="19"/>
      <x:c r="D21" s="19"/>
      <x:c r="E21" s="62"/>
      <x:c r="F21" s="25"/>
      <x:c r="G21" s="24"/>
      <x:c r="H21" s="19"/>
      <x:c r="I21" s="19"/>
      <x:c r="J21" s="26"/>
    </x:row>
    <x:row r="22">
      <x:c r="A22" s="19"/>
      <x:c r="B22" s="19"/>
      <x:c r="C22" s="19"/>
      <x:c r="D22" s="19"/>
      <x:c r="E22" s="62"/>
      <x:c r="F22" s="25"/>
      <x:c r="G22" s="24"/>
      <x:c r="H22" s="19"/>
      <x:c r="I22" s="19"/>
      <x:c r="J22" s="26"/>
    </x:row>
    <x:row r="23">
      <x:c r="A23" s="19"/>
      <x:c r="B23" s="19"/>
      <x:c r="C23" s="19"/>
      <x:c r="D23" s="19"/>
      <x:c r="E23" s="62"/>
      <x:c r="F23" s="25"/>
      <x:c r="G23" s="24"/>
      <x:c r="H23" s="19"/>
      <x:c r="I23" s="19"/>
      <x:c r="J23" s="26"/>
    </x:row>
    <x:row r="24">
      <x:c r="A24" s="19"/>
      <x:c r="B24" s="19"/>
      <x:c r="C24" s="19"/>
      <x:c r="D24" s="19"/>
      <x:c r="E24" s="62"/>
      <x:c r="F24" s="25"/>
      <x:c r="G24" s="24"/>
      <x:c r="H24" s="19"/>
      <x:c r="I24" s="19"/>
      <x:c r="J24" s="26"/>
    </x:row>
    <x:row r="25">
      <x:c r="A25" s="19"/>
      <x:c r="B25" s="19"/>
      <x:c r="C25" s="19"/>
      <x:c r="D25" s="19"/>
      <x:c r="E25" s="62"/>
      <x:c r="F25" s="25"/>
      <x:c r="G25" s="24"/>
      <x:c r="H25" s="19"/>
      <x:c r="I25" s="19"/>
      <x:c r="J25" s="26"/>
    </x:row>
    <x:row r="26">
      <x:c r="A26" s="19"/>
      <x:c r="B26" s="19"/>
      <x:c r="C26" s="19"/>
      <x:c r="D26" s="19"/>
      <x:c r="E26" s="62"/>
      <x:c r="F26" s="25"/>
      <x:c r="G26" s="24"/>
      <x:c r="H26" s="19"/>
      <x:c r="I26" s="19"/>
      <x:c r="J26" s="26"/>
    </x:row>
    <x:row r="27">
      <x:c r="A27" s="19"/>
      <x:c r="B27" s="19"/>
      <x:c r="C27" s="19"/>
      <x:c r="D27" s="19"/>
      <x:c r="E27" s="62"/>
      <x:c r="F27" s="25"/>
      <x:c r="G27" s="24"/>
      <x:c r="H27" s="19"/>
      <x:c r="I27" s="19"/>
      <x:c r="J27" s="26"/>
    </x:row>
    <x:row r="28">
      <x:c r="A28" s="19"/>
      <x:c r="B28" s="19"/>
      <x:c r="C28" s="19"/>
      <x:c r="D28" s="19"/>
      <x:c r="E28" s="62"/>
      <x:c r="F28" s="25"/>
      <x:c r="G28" s="24"/>
      <x:c r="H28" s="19"/>
      <x:c r="I28" s="19"/>
      <x:c r="J28" s="26"/>
    </x:row>
    <x:row r="29">
      <x:c r="A29" s="19"/>
      <x:c r="B29" s="19"/>
      <x:c r="C29" s="19"/>
      <x:c r="D29" s="19"/>
      <x:c r="E29" s="62"/>
      <x:c r="F29" s="25"/>
      <x:c r="G29" s="24"/>
      <x:c r="H29" s="19"/>
      <x:c r="I29" s="19"/>
      <x:c r="J29" s="26"/>
    </x:row>
    <x:row r="30">
      <x:c r="A30" s="19"/>
      <x:c r="B30" s="19"/>
      <x:c r="C30" s="19"/>
      <x:c r="D30" s="19"/>
      <x:c r="E30" s="62"/>
      <x:c r="F30" s="25"/>
      <x:c r="G30" s="24"/>
      <x:c r="H30" s="19"/>
      <x:c r="I30" s="19"/>
      <x:c r="J30" s="26"/>
    </x:row>
    <x:row r="31">
      <x:c r="A31" s="19"/>
      <x:c r="B31" s="19"/>
      <x:c r="C31" s="19"/>
      <x:c r="D31" s="19"/>
      <x:c r="E31" s="62"/>
      <x:c r="F31" s="25"/>
      <x:c r="G31" s="24"/>
      <x:c r="H31" s="19"/>
      <x:c r="I31" s="19"/>
      <x:c r="J31" s="26"/>
    </x:row>
    <x:row r="32">
      <x:c r="A32" s="19"/>
      <x:c r="B32" s="19"/>
      <x:c r="C32" s="19"/>
      <x:c r="D32" s="19"/>
      <x:c r="E32" s="62"/>
      <x:c r="F32" s="25"/>
      <x:c r="G32" s="24"/>
      <x:c r="H32" s="19"/>
      <x:c r="I32" s="19"/>
      <x:c r="J32" s="26"/>
    </x:row>
    <x:row r="33">
      <x:c r="A33" s="19"/>
      <x:c r="B33" s="19"/>
      <x:c r="C33" s="19"/>
      <x:c r="D33" s="19"/>
      <x:c r="E33" s="62"/>
      <x:c r="F33" s="25"/>
      <x:c r="G33" s="24"/>
      <x:c r="H33" s="19"/>
      <x:c r="I33" s="19"/>
      <x:c r="J33" s="26"/>
    </x:row>
    <x:row r="34">
      <x:c r="A34" s="19"/>
      <x:c r="B34" s="19"/>
      <x:c r="C34" s="19"/>
      <x:c r="D34" s="19"/>
      <x:c r="E34" s="62"/>
      <x:c r="F34" s="25"/>
      <x:c r="G34" s="24"/>
      <x:c r="H34" s="19"/>
      <x:c r="I34" s="19"/>
      <x:c r="J34" s="26"/>
    </x:row>
    <x:row r="35">
      <x:c r="A35" s="19"/>
      <x:c r="B35" s="19"/>
      <x:c r="C35" s="19"/>
      <x:c r="D35" s="19"/>
      <x:c r="E35" s="62"/>
      <x:c r="F35" s="25"/>
      <x:c r="G35" s="24"/>
      <x:c r="H35" s="19"/>
      <x:c r="I35" s="19"/>
      <x:c r="J35" s="26"/>
    </x:row>
    <x:row r="36">
      <x:c r="A36" s="19"/>
      <x:c r="B36" s="19"/>
      <x:c r="C36" s="19"/>
      <x:c r="D36" s="19"/>
      <x:c r="E36" s="62"/>
      <x:c r="F36" s="25"/>
      <x:c r="G36" s="24"/>
      <x:c r="H36" s="19"/>
      <x:c r="I36" s="19"/>
      <x:c r="J36" s="26"/>
    </x:row>
    <x:row r="37">
      <x:c r="A37" s="19"/>
      <x:c r="B37" s="19"/>
      <x:c r="C37" s="19"/>
      <x:c r="D37" s="19"/>
      <x:c r="E37" s="62"/>
      <x:c r="F37" s="25"/>
      <x:c r="G37" s="24"/>
      <x:c r="H37" s="19"/>
      <x:c r="I37" s="19"/>
      <x:c r="J37" s="26"/>
    </x:row>
    <x:row r="38">
      <x:c r="A38" s="19"/>
      <x:c r="B38" s="19"/>
      <x:c r="C38" s="19"/>
      <x:c r="D38" s="19"/>
      <x:c r="E38" s="62"/>
      <x:c r="F38" s="25"/>
      <x:c r="G38" s="24"/>
      <x:c r="H38" s="19"/>
      <x:c r="I38" s="19"/>
      <x:c r="J38" s="26"/>
    </x:row>
    <x:row r="39">
      <x:c r="A39" s="19"/>
      <x:c r="B39" s="19"/>
      <x:c r="C39" s="19"/>
      <x:c r="D39" s="19"/>
      <x:c r="E39" s="62"/>
      <x:c r="F39" s="25"/>
      <x:c r="G39" s="24"/>
      <x:c r="H39" s="19"/>
      <x:c r="I39" s="19"/>
      <x:c r="J39" s="26"/>
    </x:row>
    <x:row r="40">
      <x:c r="A40" s="19"/>
      <x:c r="B40" s="19"/>
      <x:c r="C40" s="19"/>
      <x:c r="D40" s="19"/>
      <x:c r="E40" s="62"/>
      <x:c r="F40" s="25"/>
      <x:c r="G40" s="24"/>
      <x:c r="H40" s="19"/>
      <x:c r="I40" s="19"/>
      <x:c r="J40" s="26"/>
    </x:row>
    <x:row r="41">
      <x:c r="A41" s="19"/>
      <x:c r="B41" s="19"/>
      <x:c r="C41" s="19"/>
      <x:c r="D41" s="19"/>
      <x:c r="E41" s="62"/>
      <x:c r="F41" s="25"/>
      <x:c r="G41" s="24"/>
      <x:c r="H41" s="19"/>
      <x:c r="I41" s="19"/>
      <x:c r="J41" s="26"/>
    </x:row>
    <x:row r="42">
      <x:c r="A42" s="19"/>
      <x:c r="B42" s="19"/>
      <x:c r="C42" s="19"/>
      <x:c r="D42" s="19"/>
      <x:c r="E42" s="62"/>
      <x:c r="F42" s="25"/>
      <x:c r="G42" s="24"/>
      <x:c r="H42" s="19"/>
      <x:c r="I42" s="19"/>
      <x:c r="J42" s="26"/>
    </x:row>
    <x:row r="43">
      <x:c r="A43" s="19"/>
      <x:c r="B43" s="19"/>
      <x:c r="C43" s="19"/>
      <x:c r="D43" s="19"/>
      <x:c r="E43" s="62"/>
      <x:c r="F43" s="25"/>
      <x:c r="G43" s="24"/>
      <x:c r="H43" s="19"/>
      <x:c r="I43" s="19"/>
      <x:c r="J43" s="26"/>
    </x:row>
    <x:row r="44">
      <x:c r="A44" s="19"/>
      <x:c r="B44" s="19"/>
      <x:c r="C44" s="19"/>
      <x:c r="D44" s="19"/>
      <x:c r="E44" s="62"/>
      <x:c r="F44" s="25"/>
      <x:c r="G44" s="24"/>
      <x:c r="H44" s="19"/>
      <x:c r="I44" s="19"/>
      <x:c r="J44" s="26"/>
    </x:row>
    <x:row r="45">
      <x:c r="A45" s="19"/>
      <x:c r="B45" s="19"/>
      <x:c r="C45" s="19"/>
      <x:c r="D45" s="19"/>
      <x:c r="E45" s="62"/>
      <x:c r="F45" s="25"/>
      <x:c r="G45" s="24"/>
      <x:c r="H45" s="19"/>
      <x:c r="I45" s="19"/>
      <x:c r="J45" s="26"/>
    </x:row>
    <x:row r="46">
      <x:c r="A46" s="19"/>
      <x:c r="B46" s="19"/>
      <x:c r="C46" s="19"/>
      <x:c r="D46" s="19"/>
      <x:c r="E46" s="62"/>
      <x:c r="F46" s="25"/>
      <x:c r="G46" s="24"/>
      <x:c r="H46" s="19"/>
      <x:c r="I46" s="19"/>
      <x:c r="J46" s="26"/>
    </x:row>
    <x:row r="47">
      <x:c r="A47" s="19"/>
      <x:c r="B47" s="19"/>
      <x:c r="C47" s="19"/>
      <x:c r="D47" s="19"/>
      <x:c r="E47" s="62"/>
      <x:c r="F47" s="25"/>
      <x:c r="G47" s="24"/>
      <x:c r="H47" s="19"/>
      <x:c r="I47" s="19"/>
      <x:c r="J47" s="26"/>
    </x:row>
    <x:row r="48">
      <x:c r="A48" s="19"/>
      <x:c r="B48" s="19"/>
      <x:c r="C48" s="19"/>
      <x:c r="D48" s="19"/>
      <x:c r="E48" s="62"/>
      <x:c r="F48" s="25"/>
      <x:c r="G48" s="24"/>
      <x:c r="H48" s="19"/>
      <x:c r="I48" s="19"/>
      <x:c r="J48" s="26"/>
    </x:row>
    <x:row r="49">
      <x:c r="A49" s="19"/>
      <x:c r="B49" s="19"/>
      <x:c r="C49" s="19"/>
      <x:c r="D49" s="19"/>
      <x:c r="E49" s="62"/>
      <x:c r="F49" s="25"/>
      <x:c r="G49" s="24"/>
      <x:c r="H49" s="19"/>
      <x:c r="I49" s="19"/>
      <x:c r="J49" s="26"/>
    </x:row>
    <x:row r="50">
      <x:c r="A50" s="19"/>
      <x:c r="B50" s="19"/>
      <x:c r="C50" s="19"/>
      <x:c r="D50" s="19"/>
      <x:c r="E50" s="62"/>
      <x:c r="F50" s="25"/>
      <x:c r="G50" s="24"/>
      <x:c r="H50" s="19"/>
      <x:c r="I50" s="19"/>
      <x:c r="J50" s="26"/>
    </x:row>
    <x:row r="51">
      <x:c r="A51" s="19"/>
      <x:c r="B51" s="19"/>
      <x:c r="C51" s="19"/>
      <x:c r="D51" s="19"/>
      <x:c r="E51" s="62"/>
      <x:c r="F51" s="25"/>
      <x:c r="G51" s="24"/>
      <x:c r="H51" s="19"/>
      <x:c r="I51" s="19"/>
      <x:c r="J51" s="26"/>
    </x:row>
    <x:row r="52">
      <x:c r="A52" s="19"/>
      <x:c r="B52" s="19"/>
      <x:c r="C52" s="19"/>
      <x:c r="D52" s="19"/>
      <x:c r="E52" s="62"/>
      <x:c r="F52" s="25"/>
      <x:c r="G52" s="24"/>
      <x:c r="H52" s="19"/>
      <x:c r="I52" s="19"/>
      <x:c r="J52" s="26"/>
    </x:row>
    <x:row r="53">
      <x:c r="A53" s="19"/>
      <x:c r="B53" s="19"/>
      <x:c r="C53" s="19"/>
      <x:c r="D53" s="19"/>
      <x:c r="E53" s="62"/>
      <x:c r="F53" s="25"/>
      <x:c r="G53" s="24"/>
      <x:c r="H53" s="19"/>
      <x:c r="I53" s="19"/>
      <x:c r="J53" s="26"/>
    </x:row>
    <x:row r="54">
      <x:c r="A54" s="19"/>
      <x:c r="B54" s="19"/>
      <x:c r="C54" s="19"/>
      <x:c r="D54" s="19"/>
      <x:c r="E54" s="62"/>
      <x:c r="F54" s="25"/>
      <x:c r="G54" s="24"/>
      <x:c r="H54" s="19"/>
      <x:c r="I54" s="19"/>
      <x:c r="J54" s="26"/>
    </x:row>
    <x:row r="55">
      <x:c r="A55" s="19"/>
      <x:c r="B55" s="19"/>
      <x:c r="C55" s="19"/>
      <x:c r="D55" s="19"/>
      <x:c r="E55" s="62"/>
      <x:c r="F55" s="25"/>
      <x:c r="G55" s="24"/>
      <x:c r="H55" s="19"/>
      <x:c r="I55" s="19"/>
      <x:c r="J55" s="26"/>
    </x:row>
    <x:row r="56">
      <x:c r="A56" s="19"/>
      <x:c r="B56" s="19"/>
      <x:c r="C56" s="19"/>
      <x:c r="D56" s="19"/>
      <x:c r="E56" s="62"/>
      <x:c r="F56" s="25"/>
      <x:c r="G56" s="24"/>
      <x:c r="H56" s="19"/>
      <x:c r="I56" s="19"/>
      <x:c r="J56" s="26"/>
    </x:row>
    <x:row r="57">
      <x:c r="A57" s="19"/>
      <x:c r="B57" s="19"/>
      <x:c r="C57" s="19"/>
      <x:c r="D57" s="19"/>
      <x:c r="E57" s="62"/>
      <x:c r="F57" s="25"/>
      <x:c r="G57" s="24"/>
      <x:c r="H57" s="19"/>
      <x:c r="I57" s="19"/>
      <x:c r="J57" s="26"/>
    </x:row>
    <x:row r="58">
      <x:c r="A58" s="19"/>
      <x:c r="B58" s="19"/>
      <x:c r="C58" s="19"/>
      <x:c r="D58" s="19"/>
      <x:c r="E58" s="62"/>
      <x:c r="F58" s="25"/>
      <x:c r="G58" s="24"/>
      <x:c r="H58" s="19"/>
      <x:c r="I58" s="19"/>
      <x:c r="J58" s="26"/>
    </x:row>
    <x:row r="59">
      <x:c r="A59" s="19"/>
      <x:c r="B59" s="19"/>
      <x:c r="C59" s="19"/>
      <x:c r="D59" s="19"/>
      <x:c r="E59" s="62"/>
      <x:c r="F59" s="25"/>
      <x:c r="G59" s="24"/>
      <x:c r="H59" s="19"/>
      <x:c r="I59" s="19"/>
      <x:c r="J59" s="26"/>
    </x:row>
    <x:row r="60">
      <x:c r="A60" s="19"/>
      <x:c r="B60" s="19"/>
      <x:c r="C60" s="19"/>
      <x:c r="D60" s="19"/>
      <x:c r="E60" s="62"/>
      <x:c r="F60" s="25"/>
      <x:c r="G60" s="24"/>
      <x:c r="H60" s="19"/>
      <x:c r="I60" s="19"/>
      <x:c r="J60" s="26"/>
    </x:row>
    <x:row r="61">
      <x:c r="A61" s="19"/>
      <x:c r="B61" s="19"/>
      <x:c r="C61" s="19"/>
      <x:c r="D61" s="19"/>
      <x:c r="E61" s="62"/>
      <x:c r="F61" s="25"/>
      <x:c r="G61" s="24"/>
      <x:c r="H61" s="19"/>
      <x:c r="I61" s="19"/>
      <x:c r="J61" s="26"/>
    </x:row>
    <x:row r="62">
      <x:c r="A62" s="19"/>
      <x:c r="B62" s="19"/>
      <x:c r="C62" s="19"/>
      <x:c r="D62" s="19"/>
      <x:c r="E62" s="62"/>
      <x:c r="F62" s="25"/>
      <x:c r="G62" s="24"/>
      <x:c r="H62" s="19"/>
      <x:c r="I62" s="19"/>
      <x:c r="J62" s="26"/>
    </x:row>
    <x:row r="63">
      <x:c r="A63" s="19"/>
      <x:c r="B63" s="19"/>
      <x:c r="C63" s="19"/>
      <x:c r="D63" s="19"/>
      <x:c r="E63" s="62"/>
      <x:c r="F63" s="25"/>
      <x:c r="G63" s="24"/>
      <x:c r="H63" s="19"/>
      <x:c r="I63" s="19"/>
      <x:c r="J63" s="26"/>
    </x:row>
    <x:row r="64">
      <x:c r="A64" s="19"/>
      <x:c r="B64" s="19"/>
      <x:c r="C64" s="19"/>
      <x:c r="D64" s="19"/>
      <x:c r="E64" s="62"/>
      <x:c r="F64" s="25"/>
      <x:c r="G64" s="24"/>
      <x:c r="H64" s="19"/>
      <x:c r="I64" s="19"/>
      <x:c r="J64" s="26"/>
    </x:row>
    <x:row r="65">
      <x:c r="A65" s="19"/>
      <x:c r="B65" s="19"/>
      <x:c r="C65" s="19"/>
      <x:c r="D65" s="19"/>
      <x:c r="E65" s="62"/>
      <x:c r="F65" s="25"/>
      <x:c r="G65" s="24"/>
      <x:c r="H65" s="19"/>
      <x:c r="I65" s="19"/>
      <x:c r="J65" s="26"/>
    </x:row>
    <x:row r="66">
      <x:c r="A66" s="19"/>
      <x:c r="B66" s="19"/>
      <x:c r="C66" s="19"/>
      <x:c r="D66" s="19"/>
      <x:c r="E66" s="62"/>
      <x:c r="F66" s="25"/>
      <x:c r="G66" s="24"/>
      <x:c r="H66" s="19"/>
      <x:c r="I66" s="19"/>
      <x:c r="J66" s="26"/>
    </x:row>
    <x:row r="67">
      <x:c r="A67" s="19"/>
      <x:c r="B67" s="19"/>
      <x:c r="C67" s="19"/>
      <x:c r="D67" s="19"/>
      <x:c r="E67" s="62"/>
      <x:c r="F67" s="25"/>
      <x:c r="G67" s="24"/>
      <x:c r="H67" s="19"/>
      <x:c r="I67" s="19"/>
      <x:c r="J67" s="26"/>
    </x:row>
    <x:row r="68">
      <x:c r="A68" s="19"/>
      <x:c r="B68" s="19"/>
      <x:c r="C68" s="19"/>
      <x:c r="D68" s="19"/>
      <x:c r="E68" s="62"/>
      <x:c r="F68" s="25"/>
      <x:c r="G68" s="24"/>
      <x:c r="H68" s="19"/>
      <x:c r="I68" s="19"/>
      <x:c r="J68" s="26"/>
    </x:row>
    <x:row r="69">
      <x:c r="A69" s="19"/>
      <x:c r="B69" s="19"/>
      <x:c r="C69" s="19"/>
      <x:c r="D69" s="19"/>
      <x:c r="E69" s="62"/>
      <x:c r="F69" s="25"/>
      <x:c r="G69" s="24"/>
      <x:c r="H69" s="19"/>
      <x:c r="I69" s="19"/>
      <x:c r="J69" s="26"/>
    </x:row>
    <x:row r="70">
      <x:c r="A70" s="19"/>
      <x:c r="B70" s="19"/>
      <x:c r="C70" s="19"/>
      <x:c r="D70" s="19"/>
      <x:c r="E70" s="62"/>
      <x:c r="F70" s="25"/>
      <x:c r="G70" s="24"/>
      <x:c r="H70" s="19"/>
      <x:c r="I70" s="19"/>
      <x:c r="J70" s="26"/>
    </x:row>
    <x:row r="71">
      <x:c r="A71" s="19"/>
      <x:c r="B71" s="19"/>
      <x:c r="C71" s="19"/>
      <x:c r="D71" s="19"/>
      <x:c r="E71" s="62"/>
      <x:c r="F71" s="25"/>
      <x:c r="G71" s="24"/>
      <x:c r="H71" s="19"/>
      <x:c r="I71" s="19"/>
      <x:c r="J71" s="26"/>
    </x:row>
    <x:row r="72">
      <x:c r="A72" s="19"/>
      <x:c r="B72" s="19"/>
      <x:c r="C72" s="19"/>
      <x:c r="D72" s="19"/>
      <x:c r="E72" s="62"/>
      <x:c r="F72" s="25"/>
      <x:c r="G72" s="24"/>
      <x:c r="H72" s="19"/>
      <x:c r="I72" s="19"/>
      <x:c r="J72" s="26"/>
    </x:row>
    <x:row r="73">
      <x:c r="A73" s="19"/>
      <x:c r="B73" s="19"/>
      <x:c r="C73" s="19"/>
      <x:c r="D73" s="19"/>
      <x:c r="E73" s="62"/>
      <x:c r="F73" s="25"/>
      <x:c r="G73" s="24"/>
      <x:c r="H73" s="19"/>
      <x:c r="I73" s="19"/>
      <x:c r="J73" s="26"/>
    </x:row>
    <x:row r="74">
      <x:c r="A74" s="19"/>
      <x:c r="B74" s="19"/>
      <x:c r="C74" s="19"/>
      <x:c r="D74" s="19"/>
      <x:c r="E74" s="62"/>
      <x:c r="F74" s="25"/>
      <x:c r="G74" s="24"/>
      <x:c r="H74" s="19"/>
      <x:c r="I74" s="19"/>
      <x:c r="J74" s="26"/>
    </x:row>
    <x:row r="75">
      <x:c r="A75" s="19"/>
      <x:c r="B75" s="19"/>
      <x:c r="C75" s="19"/>
      <x:c r="D75" s="19"/>
      <x:c r="E75" s="62"/>
      <x:c r="F75" s="25"/>
      <x:c r="G75" s="24"/>
      <x:c r="H75" s="19"/>
      <x:c r="I75" s="19"/>
      <x:c r="J75" s="26"/>
    </x:row>
    <x:row r="76">
      <x:c r="A76" s="19"/>
      <x:c r="B76" s="19"/>
      <x:c r="C76" s="19"/>
      <x:c r="D76" s="19"/>
      <x:c r="E76" s="62"/>
      <x:c r="F76" s="25"/>
      <x:c r="G76" s="24"/>
      <x:c r="H76" s="19"/>
      <x:c r="I76" s="19"/>
      <x:c r="J76" s="26"/>
    </x:row>
    <x:row r="77">
      <x:c r="A77" s="19"/>
      <x:c r="B77" s="19"/>
      <x:c r="C77" s="19"/>
      <x:c r="D77" s="19"/>
      <x:c r="E77" s="62"/>
      <x:c r="F77" s="25"/>
      <x:c r="G77" s="24"/>
      <x:c r="H77" s="19"/>
      <x:c r="I77" s="19"/>
      <x:c r="J77" s="26"/>
    </x:row>
    <x:row r="78">
      <x:c r="A78" s="19"/>
      <x:c r="B78" s="19"/>
      <x:c r="C78" s="19"/>
      <x:c r="D78" s="19"/>
      <x:c r="E78" s="62"/>
      <x:c r="F78" s="25"/>
      <x:c r="G78" s="24"/>
      <x:c r="H78" s="19"/>
      <x:c r="I78" s="19"/>
      <x:c r="J78" s="26"/>
    </x:row>
    <x:row r="79">
      <x:c r="A79" s="19"/>
      <x:c r="B79" s="19"/>
      <x:c r="C79" s="19"/>
      <x:c r="D79" s="19"/>
      <x:c r="E79" s="62"/>
      <x:c r="F79" s="25"/>
      <x:c r="G79" s="24"/>
      <x:c r="H79" s="19"/>
      <x:c r="I79" s="19"/>
      <x:c r="J79" s="26"/>
    </x:row>
    <x:row r="80">
      <x:c r="A80" s="19"/>
      <x:c r="B80" s="19"/>
      <x:c r="C80" s="19"/>
      <x:c r="D80" s="19"/>
      <x:c r="E80" s="62"/>
      <x:c r="F80" s="25"/>
      <x:c r="G80" s="24"/>
      <x:c r="H80" s="19"/>
      <x:c r="I80" s="19"/>
      <x:c r="J80" s="26"/>
    </x:row>
    <x:row r="81">
      <x:c r="A81" s="19"/>
      <x:c r="B81" s="19"/>
      <x:c r="C81" s="19"/>
      <x:c r="D81" s="19"/>
      <x:c r="E81" s="62"/>
      <x:c r="F81" s="25"/>
      <x:c r="G81" s="24"/>
      <x:c r="H81" s="19"/>
      <x:c r="I81" s="19"/>
      <x:c r="J81" s="26"/>
    </x:row>
    <x:row r="82">
      <x:c r="A82" s="19"/>
      <x:c r="B82" s="19"/>
      <x:c r="C82" s="19"/>
      <x:c r="D82" s="19"/>
      <x:c r="E82" s="62"/>
      <x:c r="F82" s="25"/>
      <x:c r="G82" s="24"/>
      <x:c r="H82" s="19"/>
      <x:c r="I82" s="19"/>
      <x:c r="J82" s="26"/>
    </x:row>
    <x:row r="83">
      <x:c r="A83" s="19"/>
      <x:c r="B83" s="19"/>
      <x:c r="C83" s="19"/>
      <x:c r="D83" s="19"/>
      <x:c r="E83" s="62"/>
      <x:c r="F83" s="25"/>
      <x:c r="G83" s="24"/>
      <x:c r="H83" s="19"/>
      <x:c r="I83" s="19"/>
      <x:c r="J83" s="26"/>
    </x:row>
    <x:row r="84">
      <x:c r="A84" s="19"/>
      <x:c r="B84" s="19"/>
      <x:c r="C84" s="19"/>
      <x:c r="D84" s="19"/>
      <x:c r="E84" s="62"/>
      <x:c r="F84" s="25"/>
      <x:c r="G84" s="24"/>
      <x:c r="H84" s="19"/>
      <x:c r="I84" s="19"/>
      <x:c r="J84" s="26"/>
    </x:row>
    <x:row r="85">
      <x:c r="A85" s="19"/>
      <x:c r="B85" s="19"/>
      <x:c r="C85" s="19"/>
      <x:c r="D85" s="19"/>
      <x:c r="E85" s="62"/>
      <x:c r="F85" s="25"/>
      <x:c r="G85" s="24"/>
      <x:c r="H85" s="19"/>
      <x:c r="I85" s="19"/>
      <x:c r="J85" s="26"/>
    </x:row>
    <x:row r="86">
      <x:c r="A86" s="19"/>
      <x:c r="B86" s="19"/>
      <x:c r="C86" s="19"/>
      <x:c r="D86" s="19"/>
      <x:c r="E86" s="62"/>
      <x:c r="F86" s="25"/>
      <x:c r="G86" s="24"/>
      <x:c r="H86" s="19"/>
      <x:c r="I86" s="19"/>
      <x:c r="J86" s="26"/>
    </x:row>
    <x:row r="87">
      <x:c r="A87" s="19"/>
      <x:c r="B87" s="19"/>
      <x:c r="C87" s="19"/>
      <x:c r="D87" s="19"/>
      <x:c r="E87" s="62"/>
      <x:c r="F87" s="25"/>
      <x:c r="G87" s="24"/>
      <x:c r="H87" s="19"/>
      <x:c r="I87" s="19"/>
      <x:c r="J87" s="26"/>
    </x:row>
    <x:row r="88">
      <x:c r="A88" s="19"/>
      <x:c r="B88" s="19"/>
      <x:c r="C88" s="19"/>
      <x:c r="D88" s="19"/>
      <x:c r="E88" s="62"/>
      <x:c r="F88" s="25"/>
      <x:c r="G88" s="24"/>
      <x:c r="H88" s="19"/>
      <x:c r="I88" s="19"/>
      <x:c r="J88" s="26"/>
    </x:row>
    <x:row r="89">
      <x:c r="A89" s="19"/>
      <x:c r="B89" s="19"/>
      <x:c r="C89" s="19"/>
      <x:c r="D89" s="19"/>
      <x:c r="E89" s="62"/>
      <x:c r="F89" s="25"/>
      <x:c r="G89" s="24"/>
      <x:c r="H89" s="19"/>
      <x:c r="I89" s="19"/>
      <x:c r="J89" s="26"/>
    </x:row>
    <x:row r="90">
      <x:c r="A90" s="19"/>
      <x:c r="B90" s="19"/>
      <x:c r="C90" s="19"/>
      <x:c r="D90" s="19"/>
      <x:c r="E90" s="62"/>
      <x:c r="F90" s="25"/>
      <x:c r="G90" s="24"/>
      <x:c r="H90" s="19"/>
      <x:c r="I90" s="19"/>
      <x:c r="J90" s="26"/>
    </x:row>
    <x:row r="91">
      <x:c r="A91" s="19"/>
      <x:c r="B91" s="19"/>
      <x:c r="C91" s="19"/>
      <x:c r="D91" s="19"/>
      <x:c r="E91" s="62"/>
      <x:c r="F91" s="25"/>
      <x:c r="G91" s="24"/>
      <x:c r="H91" s="19"/>
      <x:c r="I91" s="19"/>
      <x:c r="J91" s="26"/>
    </x:row>
    <x:row r="92">
      <x:c r="A92" s="19"/>
      <x:c r="B92" s="19"/>
      <x:c r="C92" s="19"/>
      <x:c r="D92" s="19"/>
      <x:c r="E92" s="62"/>
      <x:c r="F92" s="25"/>
      <x:c r="G92" s="24"/>
      <x:c r="H92" s="19"/>
      <x:c r="I92" s="19"/>
      <x:c r="J92" s="26"/>
    </x:row>
    <x:row r="93">
      <x:c r="A93" s="19"/>
      <x:c r="B93" s="19"/>
      <x:c r="C93" s="19"/>
      <x:c r="D93" s="19"/>
      <x:c r="E93" s="62"/>
      <x:c r="F93" s="25"/>
      <x:c r="G93" s="24"/>
      <x:c r="H93" s="19"/>
      <x:c r="I93" s="19"/>
      <x:c r="J93" s="26"/>
    </x:row>
    <x:row r="94">
      <x:c r="A94" s="19"/>
      <x:c r="B94" s="19"/>
      <x:c r="C94" s="19"/>
      <x:c r="D94" s="19"/>
      <x:c r="E94" s="62"/>
      <x:c r="F94" s="25"/>
      <x:c r="G94" s="24"/>
      <x:c r="H94" s="19"/>
      <x:c r="I94" s="19"/>
      <x:c r="J94" s="26"/>
    </x:row>
    <x:row r="95">
      <x:c r="A95" s="19"/>
      <x:c r="B95" s="19"/>
      <x:c r="C95" s="19"/>
      <x:c r="D95" s="19"/>
      <x:c r="E95" s="62"/>
      <x:c r="F95" s="25"/>
      <x:c r="G95" s="24"/>
      <x:c r="H95" s="19"/>
      <x:c r="I95" s="19"/>
      <x:c r="J95" s="26"/>
    </x:row>
    <x:row r="96">
      <x:c r="A96" s="19"/>
      <x:c r="B96" s="19"/>
      <x:c r="C96" s="19"/>
      <x:c r="D96" s="19"/>
      <x:c r="E96" s="62"/>
      <x:c r="F96" s="25"/>
      <x:c r="G96" s="24"/>
      <x:c r="H96" s="19"/>
      <x:c r="I96" s="19"/>
      <x:c r="J96" s="26"/>
    </x:row>
    <x:row r="97">
      <x:c r="A97" s="19"/>
      <x:c r="B97" s="19"/>
      <x:c r="C97" s="19"/>
      <x:c r="D97" s="19"/>
      <x:c r="E97" s="62"/>
      <x:c r="F97" s="25"/>
      <x:c r="G97" s="24"/>
      <x:c r="H97" s="19"/>
      <x:c r="I97" s="19"/>
      <x:c r="J97" s="26"/>
    </x:row>
    <x:row r="98">
      <x:c r="A98" s="19"/>
      <x:c r="B98" s="19"/>
      <x:c r="C98" s="19"/>
      <x:c r="D98" s="19"/>
      <x:c r="E98" s="62"/>
      <x:c r="F98" s="25"/>
      <x:c r="G98" s="24"/>
      <x:c r="H98" s="19"/>
      <x:c r="I98" s="19"/>
      <x:c r="J98" s="26"/>
    </x:row>
    <x:row r="99">
      <x:c r="A99" s="19"/>
      <x:c r="B99" s="19"/>
      <x:c r="C99" s="19"/>
      <x:c r="D99" s="19"/>
      <x:c r="E99" s="62"/>
      <x:c r="F99" s="25"/>
      <x:c r="G99" s="24"/>
      <x:c r="H99" s="19"/>
      <x:c r="I99" s="19"/>
      <x:c r="J99" s="26"/>
    </x:row>
    <x:row r="100">
      <x:c r="A100" s="19"/>
      <x:c r="B100" s="19"/>
      <x:c r="C100" s="19"/>
      <x:c r="D100" s="19"/>
      <x:c r="E100" s="62"/>
      <x:c r="F100" s="25"/>
      <x:c r="G100" s="24"/>
      <x:c r="H100" s="19"/>
      <x:c r="I100" s="19"/>
      <x:c r="J100" s="26"/>
    </x:row>
    <x:row r="101">
      <x:c r="A101" s="19"/>
      <x:c r="B101" s="19"/>
      <x:c r="C101" s="19"/>
      <x:c r="D101" s="19"/>
      <x:c r="E101" s="62"/>
      <x:c r="F101" s="25"/>
      <x:c r="G101" s="24"/>
      <x:c r="H101" s="19"/>
      <x:c r="I101" s="19"/>
      <x:c r="J101" s="26"/>
    </x:row>
    <x:row r="102">
      <x:c r="A102" s="19"/>
      <x:c r="B102" s="19"/>
      <x:c r="C102" s="19"/>
      <x:c r="D102" s="19"/>
      <x:c r="E102" s="62"/>
      <x:c r="F102" s="25"/>
      <x:c r="G102" s="24"/>
      <x:c r="H102" s="19"/>
      <x:c r="I102" s="19"/>
      <x:c r="J102" s="26"/>
    </x:row>
    <x:row r="103">
      <x:c r="A103" s="19"/>
      <x:c r="B103" s="19"/>
      <x:c r="C103" s="19"/>
      <x:c r="D103" s="19"/>
      <x:c r="E103" s="62"/>
      <x:c r="F103" s="25"/>
      <x:c r="G103" s="24"/>
      <x:c r="H103" s="19"/>
      <x:c r="I103" s="19"/>
      <x:c r="J103" s="26"/>
    </x:row>
    <x:row r="104">
      <x:c r="A104" s="19"/>
      <x:c r="B104" s="19"/>
      <x:c r="C104" s="19"/>
      <x:c r="D104" s="19"/>
      <x:c r="E104" s="62"/>
      <x:c r="F104" s="25"/>
      <x:c r="G104" s="24"/>
      <x:c r="H104" s="19"/>
      <x:c r="I104" s="19"/>
      <x:c r="J104" s="26"/>
    </x:row>
    <x:row r="105">
      <x:c r="A105" s="19"/>
      <x:c r="B105" s="19"/>
      <x:c r="C105" s="19"/>
      <x:c r="D105" s="19"/>
      <x:c r="E105" s="62"/>
      <x:c r="F105" s="25"/>
      <x:c r="G105" s="24"/>
      <x:c r="H105" s="19"/>
      <x:c r="I105" s="19"/>
      <x:c r="J105" s="26"/>
    </x:row>
    <x:row r="106">
      <x:c r="A106" s="19"/>
      <x:c r="B106" s="19"/>
      <x:c r="C106" s="19"/>
      <x:c r="D106" s="19"/>
      <x:c r="E106" s="62"/>
      <x:c r="F106" s="25"/>
      <x:c r="G106" s="24"/>
      <x:c r="H106" s="19"/>
      <x:c r="I106" s="19"/>
      <x:c r="J106" s="26"/>
    </x:row>
    <x:row r="107">
      <x:c r="A107" s="19"/>
      <x:c r="B107" s="19"/>
      <x:c r="C107" s="19"/>
      <x:c r="D107" s="19"/>
      <x:c r="E107" s="62"/>
      <x:c r="F107" s="25"/>
      <x:c r="G107" s="24"/>
      <x:c r="H107" s="19"/>
      <x:c r="I107" s="19"/>
      <x:c r="J107" s="26"/>
    </x:row>
    <x:row r="108">
      <x:c r="A108" s="19"/>
      <x:c r="B108" s="19"/>
      <x:c r="C108" s="19"/>
      <x:c r="D108" s="19"/>
      <x:c r="E108" s="62"/>
      <x:c r="F108" s="25"/>
      <x:c r="G108" s="24"/>
      <x:c r="H108" s="19"/>
      <x:c r="I108" s="19"/>
      <x:c r="J108" s="26"/>
    </x:row>
    <x:row r="109">
      <x:c r="A109" s="19"/>
      <x:c r="B109" s="19"/>
      <x:c r="C109" s="19"/>
      <x:c r="D109" s="19"/>
      <x:c r="E109" s="62"/>
      <x:c r="F109" s="25"/>
      <x:c r="G109" s="24"/>
      <x:c r="H109" s="19"/>
      <x:c r="I109" s="19"/>
      <x:c r="J109" s="26"/>
    </x:row>
    <x:row r="110">
      <x:c r="A110" s="19"/>
      <x:c r="B110" s="19"/>
      <x:c r="C110" s="19"/>
      <x:c r="D110" s="19"/>
      <x:c r="E110" s="62"/>
      <x:c r="F110" s="25"/>
      <x:c r="G110" s="24"/>
      <x:c r="H110" s="19"/>
      <x:c r="I110" s="19"/>
      <x:c r="J110" s="26"/>
    </x:row>
    <x:row r="111">
      <x:c r="A111" s="19"/>
      <x:c r="B111" s="19"/>
      <x:c r="C111" s="19"/>
      <x:c r="D111" s="19"/>
      <x:c r="E111" s="62"/>
      <x:c r="F111" s="25"/>
      <x:c r="G111" s="24"/>
      <x:c r="H111" s="19"/>
      <x:c r="I111" s="19"/>
      <x:c r="J111" s="26"/>
    </x:row>
    <x:row r="112">
      <x:c r="A112" s="19"/>
      <x:c r="B112" s="19"/>
      <x:c r="C112" s="19"/>
      <x:c r="D112" s="19"/>
      <x:c r="E112" s="62"/>
      <x:c r="F112" s="25"/>
      <x:c r="G112" s="24"/>
      <x:c r="H112" s="19"/>
      <x:c r="I112" s="19"/>
      <x:c r="J112" s="26"/>
    </x:row>
    <x:row r="113">
      <x:c r="A113" s="19"/>
      <x:c r="B113" s="19"/>
      <x:c r="C113" s="19"/>
      <x:c r="D113" s="19"/>
      <x:c r="E113" s="62"/>
      <x:c r="F113" s="25"/>
      <x:c r="G113" s="24"/>
      <x:c r="H113" s="19"/>
      <x:c r="I113" s="19"/>
      <x:c r="J113" s="26"/>
    </x:row>
    <x:row r="114">
      <x:c r="A114" s="19"/>
      <x:c r="B114" s="19"/>
      <x:c r="C114" s="19"/>
      <x:c r="D114" s="19"/>
      <x:c r="E114" s="62"/>
      <x:c r="F114" s="25"/>
      <x:c r="G114" s="24"/>
      <x:c r="H114" s="19"/>
      <x:c r="I114" s="19"/>
      <x:c r="J114" s="26"/>
    </x:row>
    <x:row r="115">
      <x:c r="A115" s="19"/>
      <x:c r="B115" s="19"/>
      <x:c r="C115" s="19"/>
      <x:c r="D115" s="19"/>
      <x:c r="E115" s="62"/>
      <x:c r="F115" s="25"/>
      <x:c r="G115" s="24"/>
      <x:c r="H115" s="19"/>
      <x:c r="I115" s="19"/>
      <x:c r="J115" s="26"/>
    </x:row>
    <x:row r="116">
      <x:c r="A116" s="19"/>
      <x:c r="B116" s="19"/>
      <x:c r="C116" s="19"/>
      <x:c r="D116" s="19"/>
      <x:c r="E116" s="62"/>
      <x:c r="F116" s="25"/>
      <x:c r="G116" s="24"/>
      <x:c r="H116" s="19"/>
      <x:c r="I116" s="19"/>
      <x:c r="J116" s="26"/>
    </x:row>
    <x:row r="117">
      <x:c r="A117" s="19"/>
      <x:c r="B117" s="19"/>
      <x:c r="C117" s="19"/>
      <x:c r="D117" s="19"/>
      <x:c r="E117" s="62"/>
      <x:c r="F117" s="25"/>
      <x:c r="G117" s="24"/>
      <x:c r="H117" s="19"/>
      <x:c r="I117" s="19"/>
      <x:c r="J117" s="26"/>
    </x:row>
    <x:row r="118">
      <x:c r="A118" s="19"/>
      <x:c r="B118" s="19"/>
      <x:c r="C118" s="19"/>
      <x:c r="D118" s="19"/>
      <x:c r="E118" s="62"/>
      <x:c r="F118" s="25"/>
      <x:c r="G118" s="24"/>
      <x:c r="H118" s="19"/>
      <x:c r="I118" s="19"/>
      <x:c r="J118" s="26"/>
    </x:row>
    <x:row r="119">
      <x:c r="A119" s="19"/>
      <x:c r="B119" s="19"/>
      <x:c r="C119" s="19"/>
      <x:c r="D119" s="19"/>
      <x:c r="E119" s="62"/>
      <x:c r="F119" s="25"/>
      <x:c r="G119" s="24"/>
      <x:c r="H119" s="19"/>
      <x:c r="I119" s="19"/>
      <x:c r="J119" s="26"/>
    </x:row>
    <x:row r="120">
      <x:c r="A120" s="19"/>
      <x:c r="B120" s="19"/>
      <x:c r="C120" s="19"/>
      <x:c r="D120" s="19"/>
      <x:c r="E120" s="62"/>
      <x:c r="F120" s="25"/>
      <x:c r="G120" s="24"/>
      <x:c r="H120" s="19"/>
      <x:c r="I120" s="19"/>
      <x:c r="J120" s="26"/>
    </x:row>
    <x:row r="121">
      <x:c r="A121" s="19"/>
      <x:c r="B121" s="19"/>
      <x:c r="C121" s="19"/>
      <x:c r="D121" s="19"/>
      <x:c r="E121" s="62"/>
      <x:c r="F121" s="25"/>
      <x:c r="G121" s="24"/>
      <x:c r="H121" s="19"/>
      <x:c r="I121" s="19"/>
      <x:c r="J121" s="26"/>
    </x:row>
    <x:row r="122">
      <x:c r="A122" s="19"/>
      <x:c r="B122" s="19"/>
      <x:c r="C122" s="19"/>
      <x:c r="D122" s="19"/>
      <x:c r="E122" s="62"/>
      <x:c r="F122" s="25"/>
      <x:c r="G122" s="24"/>
      <x:c r="H122" s="19"/>
      <x:c r="I122" s="19"/>
      <x:c r="J122" s="26"/>
    </x:row>
    <x:row r="123">
      <x:c r="A123" s="19"/>
      <x:c r="B123" s="19"/>
      <x:c r="C123" s="19"/>
      <x:c r="D123" s="19"/>
      <x:c r="E123" s="62"/>
      <x:c r="F123" s="25"/>
      <x:c r="G123" s="24"/>
      <x:c r="H123" s="19"/>
      <x:c r="I123" s="19"/>
      <x:c r="J123" s="26"/>
    </x:row>
    <x:row r="124">
      <x:c r="A124" s="19"/>
      <x:c r="B124" s="19"/>
      <x:c r="C124" s="19"/>
      <x:c r="D124" s="19"/>
      <x:c r="E124" s="62"/>
      <x:c r="F124" s="25"/>
      <x:c r="G124" s="24"/>
      <x:c r="H124" s="19"/>
      <x:c r="I124" s="19"/>
      <x:c r="J124" s="26"/>
    </x:row>
    <x:row r="125">
      <x:c r="A125" s="19"/>
      <x:c r="B125" s="19"/>
      <x:c r="C125" s="19"/>
      <x:c r="D125" s="19"/>
      <x:c r="E125" s="62"/>
      <x:c r="F125" s="25"/>
      <x:c r="G125" s="24"/>
      <x:c r="H125" s="19"/>
      <x:c r="I125" s="19"/>
      <x:c r="J125" s="26"/>
    </x:row>
    <x:row r="126">
      <x:c r="A126" s="19"/>
      <x:c r="B126" s="19"/>
      <x:c r="C126" s="19"/>
      <x:c r="D126" s="19"/>
      <x:c r="E126" s="62"/>
      <x:c r="F126" s="25"/>
      <x:c r="G126" s="24"/>
      <x:c r="H126" s="19"/>
      <x:c r="I126" s="19"/>
      <x:c r="J126" s="26"/>
    </x:row>
    <x:row r="127">
      <x:c r="A127" s="19"/>
      <x:c r="B127" s="19"/>
      <x:c r="C127" s="19"/>
      <x:c r="D127" s="19"/>
      <x:c r="E127" s="62"/>
      <x:c r="F127" s="25"/>
      <x:c r="G127" s="24"/>
      <x:c r="H127" s="19"/>
      <x:c r="I127" s="19"/>
      <x:c r="J127" s="26"/>
    </x:row>
    <x:row r="128">
      <x:c r="A128" s="19"/>
      <x:c r="B128" s="19"/>
      <x:c r="C128" s="19"/>
      <x:c r="D128" s="19"/>
      <x:c r="E128" s="62"/>
      <x:c r="F128" s="25"/>
      <x:c r="G128" s="24"/>
      <x:c r="H128" s="19"/>
      <x:c r="I128" s="19"/>
      <x:c r="J128" s="26"/>
    </x:row>
    <x:row r="129">
      <x:c r="A129" s="19"/>
      <x:c r="B129" s="19"/>
      <x:c r="C129" s="19"/>
      <x:c r="D129" s="19"/>
      <x:c r="E129" s="62"/>
      <x:c r="F129" s="25"/>
      <x:c r="G129" s="24"/>
      <x:c r="H129" s="19"/>
      <x:c r="I129" s="19"/>
      <x:c r="J129" s="26"/>
    </x:row>
    <x:row r="130">
      <x:c r="A130" s="19"/>
      <x:c r="B130" s="19"/>
      <x:c r="C130" s="19"/>
      <x:c r="D130" s="19"/>
      <x:c r="E130" s="62"/>
      <x:c r="F130" s="25"/>
      <x:c r="G130" s="24"/>
      <x:c r="H130" s="19"/>
      <x:c r="I130" s="19"/>
      <x:c r="J130" s="26"/>
    </x:row>
    <x:row r="131">
      <x:c r="A131" s="19"/>
      <x:c r="B131" s="19"/>
      <x:c r="C131" s="19"/>
      <x:c r="D131" s="19"/>
      <x:c r="E131" s="62"/>
      <x:c r="F131" s="25"/>
      <x:c r="G131" s="24"/>
      <x:c r="H131" s="19"/>
      <x:c r="I131" s="19"/>
      <x:c r="J131" s="26"/>
    </x:row>
    <x:row r="132">
      <x:c r="A132" s="19"/>
      <x:c r="B132" s="19"/>
      <x:c r="C132" s="19"/>
      <x:c r="D132" s="19"/>
      <x:c r="E132" s="62"/>
      <x:c r="F132" s="25"/>
      <x:c r="G132" s="24"/>
      <x:c r="H132" s="19"/>
      <x:c r="I132" s="19"/>
      <x:c r="J132" s="26"/>
    </x:row>
    <x:row r="133">
      <x:c r="A133" s="19"/>
      <x:c r="B133" s="19"/>
      <x:c r="C133" s="19"/>
      <x:c r="D133" s="19"/>
      <x:c r="E133" s="62"/>
      <x:c r="F133" s="25"/>
      <x:c r="G133" s="24"/>
      <x:c r="H133" s="19"/>
      <x:c r="I133" s="19"/>
      <x:c r="J133" s="26"/>
    </x:row>
    <x:row r="134">
      <x:c r="A134" s="19"/>
      <x:c r="B134" s="19"/>
      <x:c r="C134" s="19"/>
      <x:c r="D134" s="19"/>
      <x:c r="E134" s="62"/>
      <x:c r="F134" s="25"/>
      <x:c r="G134" s="24"/>
      <x:c r="H134" s="19"/>
      <x:c r="I134" s="19"/>
      <x:c r="J134" s="26"/>
    </x:row>
    <x:row r="135">
      <x:c r="A135" s="19"/>
      <x:c r="B135" s="19"/>
      <x:c r="C135" s="19"/>
      <x:c r="D135" s="19"/>
      <x:c r="E135" s="62"/>
      <x:c r="F135" s="25"/>
      <x:c r="G135" s="24"/>
      <x:c r="H135" s="19"/>
      <x:c r="I135" s="19"/>
      <x:c r="J135" s="26"/>
    </x:row>
    <x:row r="136">
      <x:c r="A136" s="19"/>
      <x:c r="B136" s="19"/>
      <x:c r="C136" s="19"/>
      <x:c r="D136" s="19"/>
      <x:c r="E136" s="62"/>
      <x:c r="F136" s="25"/>
      <x:c r="G136" s="24"/>
      <x:c r="H136" s="19"/>
      <x:c r="I136" s="19"/>
      <x:c r="J136" s="26"/>
    </x:row>
    <x:row r="137">
      <x:c r="A137" s="19"/>
      <x:c r="B137" s="19"/>
      <x:c r="C137" s="19"/>
      <x:c r="D137" s="19"/>
      <x:c r="E137" s="62"/>
      <x:c r="F137" s="25"/>
      <x:c r="G137" s="24"/>
      <x:c r="H137" s="19"/>
      <x:c r="I137" s="19"/>
      <x:c r="J137" s="26"/>
    </x:row>
    <x:row r="138">
      <x:c r="A138" s="19"/>
      <x:c r="B138" s="19"/>
      <x:c r="C138" s="19"/>
      <x:c r="D138" s="19"/>
      <x:c r="E138" s="62"/>
      <x:c r="F138" s="25"/>
      <x:c r="G138" s="24"/>
      <x:c r="H138" s="19"/>
      <x:c r="I138" s="19"/>
      <x:c r="J138" s="26"/>
    </x:row>
    <x:row r="139">
      <x:c r="A139" s="19"/>
      <x:c r="B139" s="19"/>
      <x:c r="C139" s="19"/>
      <x:c r="D139" s="19"/>
      <x:c r="E139" s="62"/>
      <x:c r="F139" s="25"/>
      <x:c r="G139" s="24"/>
      <x:c r="H139" s="19"/>
      <x:c r="I139" s="19"/>
      <x:c r="J139" s="26"/>
    </x:row>
    <x:row r="140">
      <x:c r="A140" s="19"/>
      <x:c r="B140" s="19"/>
      <x:c r="C140" s="19"/>
      <x:c r="D140" s="19"/>
      <x:c r="E140" s="62"/>
      <x:c r="F140" s="25"/>
      <x:c r="G140" s="24"/>
      <x:c r="H140" s="19"/>
      <x:c r="I140" s="19"/>
      <x:c r="J140" s="26"/>
    </x:row>
    <x:row r="141">
      <x:c r="A141" s="19"/>
      <x:c r="B141" s="19"/>
      <x:c r="C141" s="19"/>
      <x:c r="D141" s="19"/>
      <x:c r="E141" s="62"/>
      <x:c r="F141" s="25"/>
      <x:c r="G141" s="24"/>
      <x:c r="H141" s="19"/>
      <x:c r="I141" s="19"/>
      <x:c r="J141" s="26"/>
    </x:row>
    <x:row r="142">
      <x:c r="A142" s="19"/>
      <x:c r="B142" s="19"/>
      <x:c r="C142" s="19"/>
      <x:c r="D142" s="19"/>
      <x:c r="E142" s="62"/>
      <x:c r="F142" s="25"/>
      <x:c r="G142" s="24"/>
      <x:c r="H142" s="19"/>
      <x:c r="I142" s="19"/>
      <x:c r="J142" s="26"/>
    </x:row>
    <x:row r="143">
      <x:c r="A143" s="19"/>
      <x:c r="B143" s="19"/>
      <x:c r="C143" s="19"/>
      <x:c r="D143" s="19"/>
      <x:c r="E143" s="62"/>
      <x:c r="F143" s="25"/>
      <x:c r="G143" s="24"/>
      <x:c r="H143" s="19"/>
      <x:c r="I143" s="19"/>
      <x:c r="J143" s="26"/>
    </x:row>
    <x:row r="144">
      <x:c r="A144" s="19"/>
      <x:c r="B144" s="19"/>
      <x:c r="C144" s="19"/>
      <x:c r="D144" s="19"/>
      <x:c r="E144" s="62"/>
      <x:c r="F144" s="25"/>
      <x:c r="G144" s="24"/>
      <x:c r="H144" s="19"/>
      <x:c r="I144" s="19"/>
      <x:c r="J144" s="26"/>
    </x:row>
    <x:row r="145">
      <x:c r="A145" s="19"/>
      <x:c r="B145" s="19"/>
      <x:c r="C145" s="19"/>
      <x:c r="D145" s="19"/>
      <x:c r="E145" s="62"/>
      <x:c r="F145" s="25"/>
      <x:c r="G145" s="24"/>
      <x:c r="H145" s="19"/>
      <x:c r="I145" s="19"/>
      <x:c r="J145" s="26"/>
    </x:row>
    <x:row r="146">
      <x:c r="A146" s="19"/>
      <x:c r="B146" s="19"/>
      <x:c r="C146" s="19"/>
      <x:c r="D146" s="19"/>
      <x:c r="E146" s="62"/>
      <x:c r="F146" s="25"/>
      <x:c r="G146" s="24"/>
      <x:c r="H146" s="19"/>
      <x:c r="I146" s="19"/>
      <x:c r="J146" s="26"/>
    </x:row>
    <x:row r="147">
      <x:c r="A147" s="19"/>
      <x:c r="B147" s="19"/>
      <x:c r="C147" s="19"/>
      <x:c r="D147" s="19"/>
      <x:c r="E147" s="62"/>
      <x:c r="F147" s="25"/>
      <x:c r="G147" s="24"/>
      <x:c r="H147" s="19"/>
      <x:c r="I147" s="19"/>
      <x:c r="J147" s="26"/>
    </x:row>
    <x:row r="148">
      <x:c r="A148" s="19"/>
      <x:c r="B148" s="19"/>
      <x:c r="C148" s="19"/>
      <x:c r="D148" s="19"/>
      <x:c r="E148" s="62"/>
      <x:c r="F148" s="25"/>
      <x:c r="G148" s="24"/>
      <x:c r="H148" s="19"/>
      <x:c r="I148" s="19"/>
      <x:c r="J148" s="26"/>
    </x:row>
    <x:row r="149">
      <x:c r="A149" s="19"/>
      <x:c r="B149" s="19"/>
      <x:c r="C149" s="19"/>
      <x:c r="D149" s="19"/>
      <x:c r="E149" s="62"/>
      <x:c r="F149" s="25"/>
      <x:c r="G149" s="24"/>
      <x:c r="H149" s="19"/>
      <x:c r="I149" s="19"/>
      <x:c r="J149" s="26"/>
    </x:row>
    <x:row r="150">
      <x:c r="A150" s="19"/>
      <x:c r="B150" s="19"/>
      <x:c r="C150" s="19"/>
      <x:c r="D150" s="19"/>
      <x:c r="E150" s="62"/>
      <x:c r="F150" s="25"/>
      <x:c r="G150" s="24"/>
      <x:c r="H150" s="19"/>
      <x:c r="I150" s="19"/>
      <x:c r="J150" s="26"/>
    </x:row>
    <x:row r="151">
      <x:c r="A151" s="19"/>
      <x:c r="B151" s="19"/>
      <x:c r="C151" s="19"/>
      <x:c r="D151" s="19"/>
      <x:c r="E151" s="62"/>
      <x:c r="F151" s="25"/>
      <x:c r="G151" s="24"/>
      <x:c r="H151" s="19"/>
      <x:c r="I151" s="19"/>
      <x:c r="J151" s="26"/>
    </x:row>
    <x:row r="152">
      <x:c r="A152" s="19"/>
      <x:c r="B152" s="19"/>
      <x:c r="C152" s="19"/>
      <x:c r="D152" s="19"/>
      <x:c r="E152" s="62"/>
      <x:c r="F152" s="25"/>
      <x:c r="G152" s="24"/>
      <x:c r="H152" s="19"/>
      <x:c r="I152" s="19"/>
      <x:c r="J152" s="26"/>
    </x:row>
    <x:row r="153">
      <x:c r="A153" s="19"/>
      <x:c r="B153" s="19"/>
      <x:c r="C153" s="19"/>
      <x:c r="D153" s="19"/>
      <x:c r="E153" s="62"/>
      <x:c r="F153" s="25"/>
      <x:c r="G153" s="24"/>
      <x:c r="H153" s="19"/>
      <x:c r="I153" s="19"/>
      <x:c r="J153" s="26"/>
    </x:row>
    <x:row r="154">
      <x:c r="A154" s="19"/>
      <x:c r="B154" s="19"/>
      <x:c r="C154" s="19"/>
      <x:c r="D154" s="19"/>
      <x:c r="E154" s="62"/>
      <x:c r="F154" s="25"/>
      <x:c r="G154" s="24"/>
      <x:c r="H154" s="19"/>
      <x:c r="I154" s="19"/>
      <x:c r="J154" s="26"/>
    </x:row>
    <x:row r="155">
      <x:c r="A155" s="19"/>
      <x:c r="B155" s="19"/>
      <x:c r="C155" s="19"/>
      <x:c r="D155" s="19"/>
      <x:c r="E155" s="62"/>
      <x:c r="F155" s="25"/>
      <x:c r="G155" s="24"/>
      <x:c r="H155" s="19"/>
      <x:c r="I155" s="19"/>
      <x:c r="J155" s="26"/>
    </x:row>
    <x:row r="156">
      <x:c r="A156" s="19"/>
      <x:c r="B156" s="19"/>
      <x:c r="C156" s="19"/>
      <x:c r="D156" s="19"/>
      <x:c r="E156" s="62"/>
      <x:c r="F156" s="25"/>
      <x:c r="G156" s="24"/>
      <x:c r="H156" s="19"/>
      <x:c r="I156" s="19"/>
      <x:c r="J156" s="26"/>
    </x:row>
    <x:row r="157">
      <x:c r="A157" s="19"/>
      <x:c r="B157" s="19"/>
      <x:c r="C157" s="19"/>
      <x:c r="D157" s="19"/>
      <x:c r="E157" s="62"/>
      <x:c r="F157" s="25"/>
      <x:c r="G157" s="24"/>
      <x:c r="H157" s="19"/>
      <x:c r="I157" s="19"/>
      <x:c r="J157" s="26"/>
    </x:row>
    <x:row r="158">
      <x:c r="A158" s="19"/>
      <x:c r="B158" s="19"/>
      <x:c r="C158" s="19"/>
      <x:c r="D158" s="19"/>
      <x:c r="E158" s="62"/>
      <x:c r="F158" s="25"/>
      <x:c r="G158" s="24"/>
      <x:c r="H158" s="19"/>
      <x:c r="I158" s="19"/>
      <x:c r="J158" s="26"/>
    </x:row>
    <x:row r="159">
      <x:c r="A159" s="19"/>
      <x:c r="B159" s="19"/>
      <x:c r="C159" s="19"/>
      <x:c r="D159" s="19"/>
      <x:c r="E159" s="62"/>
      <x:c r="F159" s="25"/>
      <x:c r="G159" s="24"/>
      <x:c r="H159" s="19"/>
      <x:c r="I159" s="19"/>
      <x:c r="J159" s="26"/>
    </x:row>
    <x:row r="160">
      <x:c r="A160" s="19"/>
      <x:c r="B160" s="19"/>
      <x:c r="C160" s="19"/>
      <x:c r="D160" s="19"/>
      <x:c r="E160" s="62"/>
      <x:c r="F160" s="25"/>
      <x:c r="G160" s="24"/>
      <x:c r="H160" s="19"/>
      <x:c r="I160" s="19"/>
      <x:c r="J160" s="26"/>
    </x:row>
    <x:row r="161">
      <x:c r="A161" s="19"/>
      <x:c r="B161" s="19"/>
      <x:c r="C161" s="19"/>
      <x:c r="D161" s="19"/>
      <x:c r="E161" s="62"/>
      <x:c r="F161" s="25"/>
      <x:c r="G161" s="24"/>
      <x:c r="H161" s="19"/>
      <x:c r="I161" s="19"/>
      <x:c r="J161" s="26"/>
    </x:row>
    <x:row r="162">
      <x:c r="A162" s="19"/>
      <x:c r="B162" s="19"/>
      <x:c r="C162" s="19"/>
      <x:c r="D162" s="19"/>
      <x:c r="E162" s="62"/>
      <x:c r="F162" s="25"/>
      <x:c r="G162" s="24"/>
      <x:c r="H162" s="19"/>
      <x:c r="I162" s="19"/>
      <x:c r="J162" s="26"/>
    </x:row>
    <x:row r="163">
      <x:c r="A163" s="19"/>
      <x:c r="B163" s="19"/>
      <x:c r="C163" s="19"/>
      <x:c r="D163" s="19"/>
      <x:c r="E163" s="62"/>
      <x:c r="F163" s="25"/>
      <x:c r="G163" s="24"/>
      <x:c r="H163" s="19"/>
      <x:c r="I163" s="19"/>
      <x:c r="J163" s="26"/>
    </x:row>
    <x:row r="164">
      <x:c r="A164" s="19"/>
      <x:c r="B164" s="19"/>
      <x:c r="C164" s="19"/>
      <x:c r="D164" s="19"/>
      <x:c r="E164" s="62"/>
      <x:c r="F164" s="25"/>
      <x:c r="G164" s="24"/>
      <x:c r="H164" s="19"/>
      <x:c r="I164" s="19"/>
      <x:c r="J164" s="26"/>
    </x:row>
    <x:row r="165">
      <x:c r="A165" s="19"/>
      <x:c r="B165" s="19"/>
      <x:c r="C165" s="19"/>
      <x:c r="D165" s="19"/>
      <x:c r="E165" s="62"/>
      <x:c r="F165" s="25"/>
      <x:c r="G165" s="24"/>
      <x:c r="H165" s="19"/>
      <x:c r="I165" s="19"/>
      <x:c r="J165" s="26"/>
    </x:row>
    <x:row r="166">
      <x:c r="A166" s="19"/>
      <x:c r="B166" s="19"/>
      <x:c r="C166" s="19"/>
      <x:c r="D166" s="19"/>
      <x:c r="E166" s="62"/>
      <x:c r="F166" s="25"/>
      <x:c r="G166" s="24"/>
      <x:c r="H166" s="19"/>
      <x:c r="I166" s="19"/>
      <x:c r="J166" s="26"/>
    </x:row>
    <x:row r="167">
      <x:c r="A167" s="19"/>
      <x:c r="B167" s="19"/>
      <x:c r="C167" s="19"/>
      <x:c r="D167" s="19"/>
      <x:c r="E167" s="62"/>
      <x:c r="F167" s="25"/>
      <x:c r="G167" s="24"/>
      <x:c r="H167" s="19"/>
      <x:c r="I167" s="19"/>
      <x:c r="J167" s="26"/>
    </x:row>
    <x:row r="168">
      <x:c r="A168" s="19"/>
      <x:c r="B168" s="19"/>
      <x:c r="C168" s="19"/>
      <x:c r="D168" s="19"/>
      <x:c r="E168" s="62"/>
      <x:c r="F168" s="25"/>
      <x:c r="G168" s="24"/>
      <x:c r="H168" s="19"/>
      <x:c r="I168" s="19"/>
      <x:c r="J168" s="26"/>
    </x:row>
    <x:row r="169">
      <x:c r="A169" s="19"/>
      <x:c r="B169" s="19"/>
      <x:c r="C169" s="19"/>
      <x:c r="D169" s="19"/>
      <x:c r="E169" s="62"/>
      <x:c r="F169" s="25"/>
      <x:c r="G169" s="24"/>
      <x:c r="H169" s="19"/>
      <x:c r="I169" s="19"/>
      <x:c r="J169" s="26"/>
    </x:row>
    <x:row r="170">
      <x:c r="A170" s="19"/>
      <x:c r="B170" s="19"/>
      <x:c r="C170" s="19"/>
      <x:c r="D170" s="19"/>
      <x:c r="E170" s="62"/>
      <x:c r="F170" s="25"/>
      <x:c r="G170" s="24"/>
      <x:c r="H170" s="19"/>
      <x:c r="I170" s="19"/>
      <x:c r="J170" s="26"/>
    </x:row>
    <x:row r="171">
      <x:c r="A171" s="19"/>
      <x:c r="B171" s="19"/>
      <x:c r="C171" s="19"/>
      <x:c r="D171" s="19"/>
      <x:c r="E171" s="62"/>
      <x:c r="F171" s="25"/>
      <x:c r="G171" s="24"/>
      <x:c r="H171" s="19"/>
      <x:c r="I171" s="19"/>
      <x:c r="J171" s="26"/>
    </x:row>
    <x:row r="172">
      <x:c r="A172" s="19"/>
      <x:c r="B172" s="19"/>
      <x:c r="C172" s="19"/>
      <x:c r="D172" s="19"/>
      <x:c r="E172" s="62"/>
      <x:c r="F172" s="25"/>
      <x:c r="G172" s="24"/>
      <x:c r="H172" s="19"/>
      <x:c r="I172" s="19"/>
      <x:c r="J172" s="26"/>
    </x:row>
    <x:row r="173">
      <x:c r="A173" s="19"/>
      <x:c r="B173" s="19"/>
      <x:c r="C173" s="19"/>
      <x:c r="D173" s="19"/>
      <x:c r="E173" s="62"/>
      <x:c r="F173" s="25"/>
      <x:c r="G173" s="24"/>
      <x:c r="H173" s="19"/>
      <x:c r="I173" s="19"/>
      <x:c r="J173" s="26"/>
    </x:row>
    <x:row r="174">
      <x:c r="A174" s="19"/>
      <x:c r="B174" s="19"/>
      <x:c r="C174" s="19"/>
      <x:c r="D174" s="19"/>
      <x:c r="E174" s="62"/>
      <x:c r="F174" s="25"/>
      <x:c r="G174" s="24"/>
      <x:c r="H174" s="19"/>
      <x:c r="I174" s="19"/>
      <x:c r="J174" s="26"/>
    </x:row>
    <x:row r="175">
      <x:c r="A175" s="19"/>
      <x:c r="B175" s="19"/>
      <x:c r="C175" s="19"/>
      <x:c r="D175" s="19"/>
      <x:c r="E175" s="62"/>
      <x:c r="F175" s="25"/>
      <x:c r="G175" s="24"/>
      <x:c r="H175" s="19"/>
      <x:c r="I175" s="19"/>
      <x:c r="J175" s="26"/>
    </x:row>
    <x:row r="176">
      <x:c r="A176" s="19"/>
      <x:c r="B176" s="19"/>
      <x:c r="C176" s="19"/>
      <x:c r="D176" s="19"/>
      <x:c r="E176" s="62"/>
      <x:c r="F176" s="25"/>
      <x:c r="G176" s="24"/>
      <x:c r="H176" s="19"/>
      <x:c r="I176" s="19"/>
      <x:c r="J176" s="26"/>
    </x:row>
    <x:row r="177">
      <x:c r="A177" s="19"/>
      <x:c r="B177" s="19"/>
      <x:c r="C177" s="19"/>
      <x:c r="D177" s="19"/>
      <x:c r="E177" s="62"/>
      <x:c r="F177" s="25"/>
      <x:c r="G177" s="24"/>
      <x:c r="H177" s="19"/>
      <x:c r="I177" s="19"/>
      <x:c r="J177" s="26"/>
    </x:row>
    <x:row r="178">
      <x:c r="A178" s="19"/>
      <x:c r="B178" s="19"/>
      <x:c r="C178" s="19"/>
      <x:c r="D178" s="19"/>
      <x:c r="E178" s="62"/>
      <x:c r="F178" s="25"/>
      <x:c r="G178" s="24"/>
      <x:c r="H178" s="19"/>
      <x:c r="I178" s="19"/>
      <x:c r="J178" s="26"/>
    </x:row>
    <x:row r="179">
      <x:c r="A179" s="19"/>
      <x:c r="B179" s="19"/>
      <x:c r="C179" s="19"/>
      <x:c r="D179" s="19"/>
      <x:c r="E179" s="62"/>
      <x:c r="F179" s="25"/>
      <x:c r="G179" s="24"/>
      <x:c r="H179" s="19"/>
      <x:c r="I179" s="19"/>
      <x:c r="J179" s="26"/>
    </x:row>
    <x:row r="180">
      <x:c r="A180" s="19"/>
      <x:c r="B180" s="19"/>
      <x:c r="C180" s="19"/>
      <x:c r="D180" s="19"/>
      <x:c r="E180" s="62"/>
      <x:c r="F180" s="25"/>
      <x:c r="G180" s="24"/>
      <x:c r="H180" s="19"/>
      <x:c r="I180" s="19"/>
      <x:c r="J180" s="26"/>
    </x:row>
    <x:row r="181">
      <x:c r="A181" s="19"/>
      <x:c r="B181" s="19"/>
      <x:c r="C181" s="19"/>
      <x:c r="D181" s="19"/>
      <x:c r="E181" s="62"/>
      <x:c r="F181" s="25"/>
      <x:c r="G181" s="24"/>
      <x:c r="H181" s="19"/>
      <x:c r="I181" s="19"/>
      <x:c r="J181" s="26"/>
    </x:row>
    <x:row r="182">
      <x:c r="A182" s="19"/>
      <x:c r="B182" s="19"/>
      <x:c r="C182" s="19"/>
      <x:c r="D182" s="19"/>
      <x:c r="E182" s="62"/>
      <x:c r="F182" s="25"/>
      <x:c r="G182" s="24"/>
      <x:c r="H182" s="19"/>
      <x:c r="I182" s="19"/>
      <x:c r="J182" s="26"/>
    </x:row>
    <x:row r="183">
      <x:c r="A183" s="19"/>
      <x:c r="B183" s="19"/>
      <x:c r="C183" s="19"/>
      <x:c r="D183" s="19"/>
      <x:c r="E183" s="62"/>
      <x:c r="F183" s="25"/>
      <x:c r="G183" s="24"/>
      <x:c r="H183" s="19"/>
      <x:c r="I183" s="19"/>
      <x:c r="J183" s="26"/>
    </x:row>
    <x:row r="184">
      <x:c r="A184" s="19"/>
      <x:c r="B184" s="19"/>
      <x:c r="C184" s="19"/>
      <x:c r="D184" s="19"/>
      <x:c r="E184" s="62"/>
      <x:c r="F184" s="25"/>
      <x:c r="G184" s="24"/>
      <x:c r="H184" s="19"/>
      <x:c r="I184" s="19"/>
      <x:c r="J184" s="26"/>
    </x:row>
    <x:row r="185">
      <x:c r="A185" s="19"/>
      <x:c r="B185" s="19"/>
      <x:c r="C185" s="19"/>
      <x:c r="D185" s="19"/>
      <x:c r="E185" s="62"/>
      <x:c r="F185" s="25"/>
      <x:c r="G185" s="24"/>
      <x:c r="H185" s="19"/>
      <x:c r="I185" s="19"/>
      <x:c r="J185" s="26"/>
    </x:row>
    <x:row r="186">
      <x:c r="A186" s="19"/>
      <x:c r="B186" s="19"/>
      <x:c r="C186" s="19"/>
      <x:c r="D186" s="19"/>
      <x:c r="E186" s="62"/>
      <x:c r="F186" s="25"/>
      <x:c r="G186" s="24"/>
      <x:c r="H186" s="19"/>
      <x:c r="I186" s="19"/>
      <x:c r="J186" s="26"/>
    </x:row>
    <x:row r="187">
      <x:c r="A187" s="19"/>
      <x:c r="B187" s="19"/>
      <x:c r="C187" s="19"/>
      <x:c r="D187" s="19"/>
      <x:c r="E187" s="62"/>
      <x:c r="F187" s="25"/>
      <x:c r="G187" s="24"/>
      <x:c r="H187" s="19"/>
      <x:c r="I187" s="19"/>
      <x:c r="J187" s="26"/>
    </x:row>
    <x:row r="188">
      <x:c r="A188" s="19"/>
      <x:c r="B188" s="19"/>
      <x:c r="C188" s="19"/>
      <x:c r="D188" s="19"/>
      <x:c r="E188" s="62"/>
      <x:c r="F188" s="25"/>
      <x:c r="G188" s="24"/>
      <x:c r="H188" s="19"/>
      <x:c r="I188" s="19"/>
      <x:c r="J188" s="26"/>
    </x:row>
    <x:row r="189">
      <x:c r="A189" s="19"/>
      <x:c r="B189" s="19"/>
      <x:c r="C189" s="19"/>
      <x:c r="D189" s="19"/>
      <x:c r="E189" s="62"/>
      <x:c r="F189" s="25"/>
      <x:c r="G189" s="24"/>
      <x:c r="H189" s="19"/>
      <x:c r="I189" s="19"/>
      <x:c r="J189" s="26"/>
    </x:row>
    <x:row r="190">
      <x:c r="A190" s="19"/>
      <x:c r="B190" s="19"/>
      <x:c r="C190" s="19"/>
      <x:c r="D190" s="19"/>
      <x:c r="E190" s="62"/>
      <x:c r="F190" s="25"/>
      <x:c r="G190" s="24"/>
      <x:c r="H190" s="19"/>
      <x:c r="I190" s="19"/>
      <x:c r="J190" s="26"/>
    </x:row>
    <x:row r="191">
      <x:c r="A191" s="19"/>
      <x:c r="B191" s="19"/>
      <x:c r="C191" s="19"/>
      <x:c r="D191" s="19"/>
      <x:c r="E191" s="62"/>
      <x:c r="F191" s="25"/>
      <x:c r="G191" s="24"/>
      <x:c r="H191" s="19"/>
      <x:c r="I191" s="19"/>
      <x:c r="J191" s="26"/>
    </x:row>
    <x:row r="192">
      <x:c r="A192" s="19"/>
      <x:c r="B192" s="19"/>
      <x:c r="C192" s="19"/>
      <x:c r="D192" s="19"/>
      <x:c r="E192" s="62"/>
      <x:c r="F192" s="25"/>
      <x:c r="G192" s="24"/>
      <x:c r="H192" s="19"/>
      <x:c r="I192" s="19"/>
      <x:c r="J192" s="26"/>
    </x:row>
    <x:row r="193">
      <x:c r="A193" s="19"/>
      <x:c r="B193" s="19"/>
      <x:c r="C193" s="19"/>
      <x:c r="D193" s="19"/>
      <x:c r="E193" s="62"/>
      <x:c r="F193" s="25"/>
      <x:c r="G193" s="24"/>
      <x:c r="H193" s="19"/>
      <x:c r="I193" s="19"/>
      <x:c r="J193" s="26"/>
    </x:row>
    <x:row r="194">
      <x:c r="A194" s="19"/>
      <x:c r="B194" s="19"/>
      <x:c r="C194" s="19"/>
      <x:c r="D194" s="19"/>
      <x:c r="E194" s="62"/>
      <x:c r="F194" s="25"/>
      <x:c r="G194" s="24"/>
      <x:c r="H194" s="19"/>
      <x:c r="I194" s="19"/>
      <x:c r="J194" s="26"/>
    </x:row>
    <x:row r="195">
      <x:c r="A195" s="19"/>
      <x:c r="B195" s="19"/>
      <x:c r="C195" s="19"/>
      <x:c r="D195" s="19"/>
      <x:c r="E195" s="62"/>
      <x:c r="F195" s="25"/>
      <x:c r="G195" s="24"/>
      <x:c r="H195" s="19"/>
      <x:c r="I195" s="19"/>
      <x:c r="J195" s="26"/>
    </x:row>
    <x:row r="196">
      <x:c r="A196" s="19"/>
      <x:c r="B196" s="19"/>
      <x:c r="C196" s="19"/>
      <x:c r="D196" s="19"/>
      <x:c r="E196" s="62"/>
      <x:c r="F196" s="25"/>
      <x:c r="G196" s="24"/>
      <x:c r="H196" s="19"/>
      <x:c r="I196" s="19"/>
      <x:c r="J196" s="26"/>
    </x:row>
    <x:row r="197">
      <x:c r="A197" s="19"/>
      <x:c r="B197" s="19"/>
      <x:c r="C197" s="19"/>
      <x:c r="D197" s="19"/>
      <x:c r="E197" s="62"/>
      <x:c r="F197" s="25"/>
      <x:c r="G197" s="24"/>
      <x:c r="H197" s="19"/>
      <x:c r="I197" s="19"/>
      <x:c r="J197" s="26"/>
    </x:row>
    <x:row r="198">
      <x:c r="A198" s="19"/>
      <x:c r="B198" s="19"/>
      <x:c r="C198" s="19"/>
      <x:c r="D198" s="19"/>
      <x:c r="E198" s="62"/>
      <x:c r="F198" s="25"/>
      <x:c r="G198" s="24"/>
      <x:c r="H198" s="19"/>
      <x:c r="I198" s="19"/>
      <x:c r="J198" s="26"/>
    </x:row>
    <x:row r="199">
      <x:c r="A199" s="19"/>
      <x:c r="B199" s="19"/>
      <x:c r="C199" s="19"/>
      <x:c r="D199" s="19"/>
      <x:c r="E199" s="62"/>
      <x:c r="F199" s="25"/>
      <x:c r="G199" s="24"/>
      <x:c r="H199" s="19"/>
      <x:c r="I199" s="19"/>
      <x:c r="J199" s="26"/>
    </x:row>
    <x:row r="200">
      <x:c r="A200" s="19"/>
      <x:c r="B200" s="19"/>
      <x:c r="C200" s="19"/>
      <x:c r="D200" s="19"/>
      <x:c r="E200" s="62"/>
      <x:c r="F200" s="25"/>
      <x:c r="G200" s="24"/>
      <x:c r="H200" s="19"/>
      <x:c r="I200" s="19"/>
      <x:c r="J200" s="26"/>
    </x:row>
    <x:row r="201">
      <x:c r="A201" s="19"/>
      <x:c r="B201" s="19"/>
      <x:c r="C201" s="19"/>
      <x:c r="D201" s="19"/>
      <x:c r="E201" s="62"/>
      <x:c r="F201" s="25"/>
      <x:c r="G201" s="24"/>
      <x:c r="H201" s="19"/>
      <x:c r="I201" s="19"/>
      <x:c r="J201" s="26"/>
    </x:row>
    <x:row r="202">
      <x:c r="A202" s="19"/>
      <x:c r="B202" s="19"/>
      <x:c r="C202" s="19"/>
      <x:c r="D202" s="19"/>
      <x:c r="E202" s="62"/>
      <x:c r="F202" s="25"/>
      <x:c r="G202" s="24"/>
      <x:c r="H202" s="19"/>
      <x:c r="I202" s="19"/>
      <x:c r="J202" s="26"/>
    </x:row>
    <x:row r="203">
      <x:c r="A203" s="19"/>
      <x:c r="B203" s="19"/>
      <x:c r="C203" s="19"/>
      <x:c r="D203" s="19"/>
      <x:c r="E203" s="62"/>
      <x:c r="F203" s="25"/>
      <x:c r="G203" s="24"/>
      <x:c r="H203" s="19"/>
      <x:c r="I203" s="19"/>
      <x:c r="J203" s="26"/>
    </x:row>
    <x:row r="204">
      <x:c r="A204" s="19"/>
      <x:c r="B204" s="19"/>
      <x:c r="C204" s="19"/>
      <x:c r="D204" s="19"/>
      <x:c r="E204" s="62"/>
      <x:c r="F204" s="25"/>
      <x:c r="G204" s="24"/>
      <x:c r="H204" s="19"/>
      <x:c r="I204" s="19"/>
      <x:c r="J204" s="26"/>
    </x:row>
    <x:row r="205">
      <x:c r="A205" s="19"/>
      <x:c r="B205" s="19"/>
      <x:c r="C205" s="19"/>
      <x:c r="D205" s="19"/>
      <x:c r="E205" s="62"/>
      <x:c r="F205" s="25"/>
      <x:c r="G205" s="24"/>
      <x:c r="H205" s="19"/>
      <x:c r="I205" s="19"/>
      <x:c r="J205" s="26"/>
    </x:row>
    <x:row r="206">
      <x:c r="A206" s="19"/>
      <x:c r="B206" s="19"/>
      <x:c r="C206" s="19"/>
      <x:c r="D206" s="19"/>
      <x:c r="E206" s="62"/>
      <x:c r="F206" s="25"/>
      <x:c r="G206" s="24"/>
      <x:c r="H206" s="19"/>
      <x:c r="I206" s="19"/>
      <x:c r="J206" s="26"/>
    </x:row>
    <x:row r="207">
      <x:c r="A207" s="19"/>
      <x:c r="B207" s="19"/>
      <x:c r="C207" s="19"/>
      <x:c r="D207" s="19"/>
      <x:c r="E207" s="62"/>
      <x:c r="F207" s="25"/>
      <x:c r="G207" s="24"/>
      <x:c r="H207" s="19"/>
      <x:c r="I207" s="19"/>
      <x:c r="J207" s="26"/>
    </x:row>
    <x:row r="208">
      <x:c r="A208" s="19"/>
      <x:c r="B208" s="19"/>
      <x:c r="C208" s="19"/>
      <x:c r="D208" s="19"/>
      <x:c r="E208" s="62"/>
      <x:c r="F208" s="25"/>
      <x:c r="G208" s="24"/>
      <x:c r="H208" s="19"/>
      <x:c r="I208" s="19"/>
      <x:c r="J208" s="26"/>
    </x:row>
    <x:row r="209">
      <x:c r="A209" s="19"/>
      <x:c r="B209" s="19"/>
      <x:c r="C209" s="19"/>
      <x:c r="D209" s="19"/>
      <x:c r="E209" s="62"/>
      <x:c r="F209" s="25"/>
      <x:c r="G209" s="24"/>
      <x:c r="H209" s="19"/>
      <x:c r="I209" s="19"/>
      <x:c r="J209" s="26"/>
    </x:row>
    <x:row r="210">
      <x:c r="A210" s="19"/>
      <x:c r="B210" s="19"/>
      <x:c r="C210" s="19"/>
      <x:c r="D210" s="19"/>
      <x:c r="E210" s="62"/>
      <x:c r="F210" s="25"/>
      <x:c r="G210" s="24"/>
      <x:c r="H210" s="19"/>
      <x:c r="I210" s="19"/>
      <x:c r="J210" s="26"/>
    </x:row>
    <x:row r="211">
      <x:c r="A211" s="19"/>
      <x:c r="B211" s="19"/>
      <x:c r="C211" s="19"/>
      <x:c r="D211" s="19"/>
      <x:c r="E211" s="62"/>
      <x:c r="F211" s="25"/>
      <x:c r="G211" s="24"/>
      <x:c r="H211" s="19"/>
      <x:c r="I211" s="19"/>
      <x:c r="J211" s="26"/>
    </x:row>
    <x:row r="212">
      <x:c r="A212" s="19"/>
      <x:c r="B212" s="19"/>
      <x:c r="C212" s="19"/>
      <x:c r="D212" s="19"/>
      <x:c r="E212" s="62"/>
      <x:c r="F212" s="25"/>
      <x:c r="G212" s="24"/>
      <x:c r="H212" s="19"/>
      <x:c r="I212" s="19"/>
      <x:c r="J212" s="26"/>
    </x:row>
    <x:row r="213">
      <x:c r="A213" s="19"/>
      <x:c r="B213" s="19"/>
      <x:c r="C213" s="19"/>
      <x:c r="D213" s="19"/>
      <x:c r="E213" s="62"/>
      <x:c r="F213" s="25"/>
      <x:c r="G213" s="24"/>
      <x:c r="H213" s="19"/>
      <x:c r="I213" s="19"/>
      <x:c r="J213" s="26"/>
    </x:row>
    <x:row r="214">
      <x:c r="A214" s="19"/>
      <x:c r="B214" s="19"/>
      <x:c r="C214" s="19"/>
      <x:c r="D214" s="19"/>
      <x:c r="E214" s="62"/>
      <x:c r="F214" s="25"/>
      <x:c r="G214" s="24"/>
      <x:c r="H214" s="19"/>
      <x:c r="I214" s="19"/>
      <x:c r="J214" s="26"/>
    </x:row>
    <x:row r="215">
      <x:c r="A215" s="19"/>
      <x:c r="B215" s="19"/>
      <x:c r="C215" s="19"/>
      <x:c r="D215" s="19"/>
      <x:c r="E215" s="62"/>
      <x:c r="F215" s="25"/>
      <x:c r="G215" s="24"/>
      <x:c r="H215" s="19"/>
      <x:c r="I215" s="19"/>
      <x:c r="J215" s="26"/>
    </x:row>
    <x:row r="216">
      <x:c r="A216" s="19"/>
      <x:c r="B216" s="19"/>
      <x:c r="C216" s="19"/>
      <x:c r="D216" s="19"/>
      <x:c r="E216" s="62"/>
      <x:c r="F216" s="25"/>
      <x:c r="G216" s="24"/>
      <x:c r="H216" s="19"/>
      <x:c r="I216" s="19"/>
      <x:c r="J216" s="26"/>
    </x:row>
    <x:row r="217">
      <x:c r="A217" s="19"/>
      <x:c r="B217" s="19"/>
      <x:c r="C217" s="19"/>
      <x:c r="D217" s="19"/>
      <x:c r="E217" s="62"/>
      <x:c r="F217" s="25"/>
      <x:c r="G217" s="24"/>
      <x:c r="H217" s="19"/>
      <x:c r="I217" s="19"/>
      <x:c r="J217" s="26"/>
    </x:row>
    <x:row r="218">
      <x:c r="A218" s="19"/>
      <x:c r="B218" s="19"/>
      <x:c r="C218" s="19"/>
      <x:c r="D218" s="19"/>
      <x:c r="E218" s="62"/>
      <x:c r="F218" s="25"/>
      <x:c r="G218" s="24"/>
      <x:c r="H218" s="19"/>
      <x:c r="I218" s="19"/>
      <x:c r="J218" s="26"/>
    </x:row>
    <x:row r="219">
      <x:c r="A219" s="19"/>
      <x:c r="B219" s="19"/>
      <x:c r="C219" s="19"/>
      <x:c r="D219" s="19"/>
      <x:c r="E219" s="62"/>
      <x:c r="F219" s="25"/>
      <x:c r="G219" s="24"/>
      <x:c r="H219" s="19"/>
      <x:c r="I219" s="19"/>
      <x:c r="J219" s="26"/>
    </x:row>
    <x:row r="220">
      <x:c r="A220" s="19"/>
      <x:c r="B220" s="19"/>
      <x:c r="C220" s="19"/>
      <x:c r="D220" s="19"/>
      <x:c r="E220" s="62"/>
      <x:c r="F220" s="25"/>
      <x:c r="G220" s="24"/>
      <x:c r="H220" s="19"/>
      <x:c r="I220" s="19"/>
      <x:c r="J220" s="26"/>
    </x:row>
    <x:row r="221">
      <x:c r="A221" s="19"/>
      <x:c r="B221" s="19"/>
      <x:c r="C221" s="19"/>
      <x:c r="D221" s="19"/>
      <x:c r="E221" s="62"/>
      <x:c r="F221" s="25"/>
      <x:c r="G221" s="24"/>
      <x:c r="H221" s="19"/>
      <x:c r="I221" s="19"/>
      <x:c r="J221" s="26"/>
    </x:row>
    <x:row r="222">
      <x:c r="A222" s="19"/>
      <x:c r="B222" s="19"/>
      <x:c r="C222" s="19"/>
      <x:c r="D222" s="19"/>
      <x:c r="E222" s="62"/>
      <x:c r="F222" s="25"/>
      <x:c r="G222" s="24"/>
      <x:c r="H222" s="19"/>
      <x:c r="I222" s="19"/>
      <x:c r="J222" s="26"/>
    </x:row>
    <x:row r="223">
      <x:c r="A223" s="19"/>
      <x:c r="B223" s="19"/>
      <x:c r="C223" s="19"/>
      <x:c r="D223" s="19"/>
      <x:c r="E223" s="62"/>
      <x:c r="F223" s="25"/>
      <x:c r="G223" s="24"/>
      <x:c r="H223" s="19"/>
      <x:c r="I223" s="19"/>
      <x:c r="J223" s="26"/>
    </x:row>
    <x:row r="224">
      <x:c r="A224" s="19"/>
      <x:c r="B224" s="19"/>
      <x:c r="C224" s="19"/>
      <x:c r="D224" s="19"/>
      <x:c r="E224" s="62"/>
      <x:c r="F224" s="25"/>
      <x:c r="G224" s="24"/>
      <x:c r="H224" s="19"/>
      <x:c r="I224" s="19"/>
      <x:c r="J224" s="26"/>
    </x:row>
    <x:row r="225">
      <x:c r="A225" s="19"/>
      <x:c r="B225" s="19"/>
      <x:c r="C225" s="19"/>
      <x:c r="D225" s="19"/>
      <x:c r="E225" s="62"/>
      <x:c r="F225" s="25"/>
      <x:c r="G225" s="24"/>
      <x:c r="H225" s="19"/>
      <x:c r="I225" s="19"/>
      <x:c r="J225" s="26"/>
    </x:row>
    <x:row r="226">
      <x:c r="A226" s="19"/>
      <x:c r="B226" s="19"/>
      <x:c r="C226" s="19"/>
      <x:c r="D226" s="19"/>
      <x:c r="E226" s="62"/>
      <x:c r="F226" s="25"/>
      <x:c r="G226" s="24"/>
      <x:c r="H226" s="19"/>
      <x:c r="I226" s="19"/>
      <x:c r="J226" s="26"/>
    </x:row>
    <x:row r="227">
      <x:c r="A227" s="19"/>
      <x:c r="B227" s="19"/>
      <x:c r="C227" s="19"/>
      <x:c r="D227" s="19"/>
      <x:c r="E227" s="62"/>
      <x:c r="F227" s="25"/>
      <x:c r="G227" s="24"/>
      <x:c r="H227" s="19"/>
      <x:c r="I227" s="19"/>
      <x:c r="J227" s="26"/>
    </x:row>
    <x:row r="228">
      <x:c r="A228" s="19"/>
      <x:c r="B228" s="19"/>
      <x:c r="C228" s="19"/>
      <x:c r="D228" s="19"/>
      <x:c r="E228" s="62"/>
      <x:c r="F228" s="25"/>
      <x:c r="G228" s="24"/>
      <x:c r="H228" s="19"/>
      <x:c r="I228" s="19"/>
      <x:c r="J228" s="26"/>
    </x:row>
    <x:row r="229">
      <x:c r="A229" s="19"/>
      <x:c r="B229" s="19"/>
      <x:c r="C229" s="19"/>
      <x:c r="D229" s="19"/>
      <x:c r="E229" s="62"/>
      <x:c r="F229" s="25"/>
      <x:c r="G229" s="24"/>
      <x:c r="H229" s="19"/>
      <x:c r="I229" s="19"/>
      <x:c r="J229" s="26"/>
    </x:row>
    <x:row r="230">
      <x:c r="A230" s="19"/>
      <x:c r="B230" s="19"/>
      <x:c r="C230" s="19"/>
      <x:c r="D230" s="19"/>
      <x:c r="E230" s="62"/>
      <x:c r="F230" s="25"/>
      <x:c r="G230" s="24"/>
      <x:c r="H230" s="19"/>
      <x:c r="I230" s="19"/>
      <x:c r="J230" s="26"/>
    </x:row>
    <x:row r="231">
      <x:c r="A231" s="19"/>
      <x:c r="B231" s="19"/>
      <x:c r="C231" s="19"/>
      <x:c r="D231" s="19"/>
      <x:c r="E231" s="62"/>
      <x:c r="F231" s="25"/>
      <x:c r="G231" s="24"/>
      <x:c r="H231" s="19"/>
      <x:c r="I231" s="19"/>
      <x:c r="J231" s="26"/>
    </x:row>
    <x:row r="232">
      <x:c r="A232" s="19"/>
      <x:c r="B232" s="19"/>
      <x:c r="C232" s="19"/>
      <x:c r="D232" s="19"/>
      <x:c r="E232" s="62"/>
      <x:c r="F232" s="25"/>
      <x:c r="G232" s="24"/>
      <x:c r="H232" s="19"/>
      <x:c r="I232" s="19"/>
      <x:c r="J232" s="26"/>
    </x:row>
    <x:row r="233">
      <x:c r="A233" s="19"/>
      <x:c r="B233" s="19"/>
      <x:c r="C233" s="19"/>
      <x:c r="D233" s="19"/>
      <x:c r="E233" s="62"/>
      <x:c r="F233" s="25"/>
      <x:c r="G233" s="24"/>
      <x:c r="H233" s="19"/>
      <x:c r="I233" s="19"/>
      <x:c r="J233" s="26"/>
    </x:row>
    <x:row r="234">
      <x:c r="A234" s="19"/>
      <x:c r="B234" s="19"/>
      <x:c r="C234" s="19"/>
      <x:c r="D234" s="19"/>
      <x:c r="E234" s="62"/>
      <x:c r="F234" s="25"/>
      <x:c r="G234" s="24"/>
      <x:c r="H234" s="19"/>
      <x:c r="I234" s="19"/>
      <x:c r="J234" s="26"/>
    </x:row>
    <x:row r="235">
      <x:c r="A235" s="19"/>
      <x:c r="B235" s="19"/>
      <x:c r="C235" s="19"/>
      <x:c r="D235" s="19"/>
      <x:c r="E235" s="62"/>
      <x:c r="F235" s="25"/>
      <x:c r="G235" s="24"/>
      <x:c r="H235" s="19"/>
      <x:c r="I235" s="19"/>
      <x:c r="J235" s="26"/>
    </x:row>
    <x:row r="236">
      <x:c r="A236" s="19"/>
      <x:c r="B236" s="19"/>
      <x:c r="C236" s="19"/>
      <x:c r="D236" s="19"/>
      <x:c r="E236" s="62"/>
      <x:c r="F236" s="25"/>
      <x:c r="G236" s="24"/>
      <x:c r="H236" s="19"/>
      <x:c r="I236" s="19"/>
      <x:c r="J236" s="26"/>
    </x:row>
    <x:row r="237">
      <x:c r="A237" s="19"/>
      <x:c r="B237" s="19"/>
      <x:c r="C237" s="19"/>
      <x:c r="D237" s="19"/>
      <x:c r="E237" s="62"/>
      <x:c r="F237" s="25"/>
      <x:c r="G237" s="24"/>
      <x:c r="H237" s="19"/>
      <x:c r="I237" s="19"/>
      <x:c r="J237" s="26"/>
    </x:row>
    <x:row r="238">
      <x:c r="A238" s="19"/>
      <x:c r="B238" s="19"/>
      <x:c r="C238" s="19"/>
      <x:c r="D238" s="19"/>
      <x:c r="E238" s="62"/>
      <x:c r="F238" s="25"/>
      <x:c r="G238" s="24"/>
      <x:c r="H238" s="19"/>
      <x:c r="I238" s="19"/>
      <x:c r="J238" s="26"/>
    </x:row>
    <x:row r="239">
      <x:c r="A239" s="19"/>
      <x:c r="B239" s="19"/>
      <x:c r="C239" s="19"/>
      <x:c r="D239" s="19"/>
      <x:c r="E239" s="62"/>
      <x:c r="F239" s="25"/>
      <x:c r="G239" s="24"/>
      <x:c r="H239" s="19"/>
      <x:c r="I239" s="19"/>
      <x:c r="J239" s="26"/>
    </x:row>
    <x:row r="240">
      <x:c r="A240" s="19"/>
      <x:c r="B240" s="19"/>
      <x:c r="C240" s="19"/>
      <x:c r="D240" s="19"/>
      <x:c r="E240" s="62"/>
      <x:c r="F240" s="25"/>
      <x:c r="G240" s="24"/>
      <x:c r="H240" s="19"/>
      <x:c r="I240" s="19"/>
      <x:c r="J240" s="26"/>
    </x:row>
    <x:row r="241">
      <x:c r="A241" s="19"/>
      <x:c r="B241" s="19"/>
      <x:c r="C241" s="19"/>
      <x:c r="D241" s="19"/>
      <x:c r="E241" s="62"/>
      <x:c r="F241" s="25"/>
      <x:c r="G241" s="24"/>
      <x:c r="H241" s="19"/>
      <x:c r="I241" s="19"/>
      <x:c r="J241" s="26"/>
    </x:row>
    <x:row r="242">
      <x:c r="A242" s="19"/>
      <x:c r="B242" s="19"/>
      <x:c r="C242" s="19"/>
      <x:c r="D242" s="19"/>
      <x:c r="E242" s="62"/>
      <x:c r="F242" s="25"/>
      <x:c r="G242" s="24"/>
      <x:c r="H242" s="19"/>
      <x:c r="I242" s="19"/>
      <x:c r="J242" s="26"/>
    </x:row>
    <x:row r="243">
      <x:c r="A243" s="19"/>
      <x:c r="B243" s="19"/>
      <x:c r="C243" s="19"/>
      <x:c r="D243" s="19"/>
      <x:c r="E243" s="62"/>
      <x:c r="F243" s="25"/>
      <x:c r="G243" s="24"/>
      <x:c r="H243" s="19"/>
      <x:c r="I243" s="19"/>
      <x:c r="J243" s="26"/>
    </x:row>
    <x:row r="244">
      <x:c r="A244" s="19"/>
      <x:c r="B244" s="19"/>
      <x:c r="C244" s="19"/>
      <x:c r="D244" s="19"/>
      <x:c r="E244" s="62"/>
      <x:c r="F244" s="25"/>
      <x:c r="G244" s="24"/>
      <x:c r="H244" s="19"/>
      <x:c r="I244" s="19"/>
      <x:c r="J244" s="26"/>
    </x:row>
    <x:row r="245">
      <x:c r="A245" s="19"/>
      <x:c r="B245" s="19"/>
      <x:c r="C245" s="19"/>
      <x:c r="D245" s="19"/>
      <x:c r="E245" s="62"/>
      <x:c r="F245" s="25"/>
      <x:c r="G245" s="24"/>
      <x:c r="H245" s="19"/>
      <x:c r="I245" s="19"/>
      <x:c r="J245" s="26"/>
    </x:row>
    <x:row r="246">
      <x:c r="A246" s="19"/>
      <x:c r="B246" s="19"/>
      <x:c r="C246" s="19"/>
      <x:c r="D246" s="19"/>
      <x:c r="E246" s="62"/>
      <x:c r="F246" s="25"/>
      <x:c r="G246" s="24"/>
      <x:c r="H246" s="19"/>
      <x:c r="I246" s="19"/>
      <x:c r="J246" s="26"/>
    </x:row>
    <x:row r="247">
      <x:c r="A247" s="19"/>
      <x:c r="B247" s="19"/>
      <x:c r="C247" s="19"/>
      <x:c r="D247" s="19"/>
      <x:c r="E247" s="62"/>
      <x:c r="F247" s="25"/>
      <x:c r="G247" s="24"/>
      <x:c r="H247" s="19"/>
      <x:c r="I247" s="19"/>
      <x:c r="J247" s="26"/>
    </x:row>
    <x:row r="248">
      <x:c r="A248" s="19"/>
      <x:c r="B248" s="19"/>
      <x:c r="C248" s="19"/>
      <x:c r="D248" s="19"/>
      <x:c r="E248" s="62"/>
      <x:c r="F248" s="25"/>
      <x:c r="G248" s="24"/>
      <x:c r="H248" s="19"/>
      <x:c r="I248" s="19"/>
      <x:c r="J248" s="26"/>
    </x:row>
    <x:row r="249">
      <x:c r="A249" s="19"/>
      <x:c r="B249" s="19"/>
      <x:c r="C249" s="19"/>
      <x:c r="D249" s="19"/>
      <x:c r="E249" s="62"/>
      <x:c r="F249" s="25"/>
      <x:c r="G249" s="24"/>
      <x:c r="H249" s="19"/>
      <x:c r="I249" s="19"/>
      <x:c r="J249" s="26"/>
    </x:row>
    <x:row r="250">
      <x:c r="A250" s="19"/>
      <x:c r="B250" s="19"/>
      <x:c r="C250" s="19"/>
      <x:c r="D250" s="19"/>
      <x:c r="E250" s="62"/>
      <x:c r="F250" s="25"/>
      <x:c r="G250" s="24"/>
      <x:c r="H250" s="19"/>
      <x:c r="I250" s="19"/>
      <x:c r="J250" s="26"/>
    </x:row>
    <x:row r="251">
      <x:c r="A251" s="19"/>
      <x:c r="B251" s="19"/>
      <x:c r="C251" s="19"/>
      <x:c r="D251" s="19"/>
      <x:c r="E251" s="62"/>
      <x:c r="F251" s="25"/>
      <x:c r="G251" s="24"/>
      <x:c r="H251" s="19"/>
      <x:c r="I251" s="19"/>
      <x:c r="J251" s="26"/>
    </x:row>
    <x:row r="252">
      <x:c r="A252" s="19"/>
      <x:c r="B252" s="19"/>
      <x:c r="C252" s="19"/>
      <x:c r="D252" s="19"/>
      <x:c r="E252" s="62"/>
      <x:c r="F252" s="25"/>
      <x:c r="G252" s="24"/>
      <x:c r="H252" s="19"/>
      <x:c r="I252" s="19"/>
      <x:c r="J252" s="26"/>
    </x:row>
    <x:row r="253">
      <x:c r="A253" s="19"/>
      <x:c r="B253" s="19"/>
      <x:c r="C253" s="19"/>
      <x:c r="D253" s="19"/>
      <x:c r="E253" s="62"/>
      <x:c r="F253" s="25"/>
      <x:c r="G253" s="24"/>
      <x:c r="H253" s="19"/>
      <x:c r="I253" s="19"/>
      <x:c r="J253" s="26"/>
    </x:row>
    <x:row r="254">
      <x:c r="A254" s="19"/>
      <x:c r="B254" s="19"/>
      <x:c r="C254" s="19"/>
      <x:c r="D254" s="19"/>
      <x:c r="E254" s="62"/>
      <x:c r="F254" s="25"/>
      <x:c r="G254" s="24"/>
      <x:c r="H254" s="19"/>
      <x:c r="I254" s="19"/>
      <x:c r="J254" s="26"/>
    </x:row>
    <x:row r="255">
      <x:c r="A255" s="19"/>
      <x:c r="B255" s="19"/>
      <x:c r="C255" s="19"/>
      <x:c r="D255" s="19"/>
      <x:c r="E255" s="62"/>
      <x:c r="F255" s="25"/>
      <x:c r="G255" s="24"/>
      <x:c r="H255" s="19"/>
      <x:c r="I255" s="19"/>
      <x:c r="J255" s="26"/>
    </x:row>
    <x:row r="256">
      <x:c r="A256" s="19"/>
      <x:c r="B256" s="19"/>
      <x:c r="C256" s="19"/>
      <x:c r="D256" s="19"/>
      <x:c r="E256" s="62"/>
      <x:c r="F256" s="25"/>
      <x:c r="G256" s="24"/>
      <x:c r="H256" s="19"/>
      <x:c r="I256" s="19"/>
      <x:c r="J256" s="26"/>
    </x:row>
    <x:row r="257">
      <x:c r="A257" s="19"/>
      <x:c r="B257" s="19"/>
      <x:c r="C257" s="19"/>
      <x:c r="D257" s="19"/>
      <x:c r="E257" s="62"/>
      <x:c r="F257" s="25"/>
      <x:c r="G257" s="24"/>
      <x:c r="H257" s="19"/>
      <x:c r="I257" s="19"/>
      <x:c r="J257" s="26"/>
    </x:row>
    <x:row r="258">
      <x:c r="A258" s="19"/>
      <x:c r="B258" s="19"/>
      <x:c r="C258" s="19"/>
      <x:c r="D258" s="19"/>
      <x:c r="E258" s="62"/>
      <x:c r="F258" s="25"/>
      <x:c r="G258" s="24"/>
      <x:c r="H258" s="19"/>
      <x:c r="I258" s="19"/>
      <x:c r="J258" s="26"/>
    </x:row>
    <x:row r="259">
      <x:c r="A259" s="19"/>
      <x:c r="B259" s="19"/>
      <x:c r="C259" s="19"/>
      <x:c r="D259" s="19"/>
      <x:c r="E259" s="62"/>
      <x:c r="F259" s="25"/>
      <x:c r="G259" s="24"/>
      <x:c r="H259" s="19"/>
      <x:c r="I259" s="19"/>
      <x:c r="J259" s="26"/>
    </x:row>
    <x:row r="260">
      <x:c r="A260" s="19"/>
      <x:c r="B260" s="19"/>
      <x:c r="C260" s="19"/>
      <x:c r="D260" s="19"/>
      <x:c r="E260" s="62"/>
      <x:c r="F260" s="25"/>
      <x:c r="G260" s="24"/>
      <x:c r="H260" s="19"/>
      <x:c r="I260" s="19"/>
      <x:c r="J260" s="26"/>
    </x:row>
    <x:row r="261">
      <x:c r="A261" s="19"/>
      <x:c r="B261" s="19"/>
      <x:c r="C261" s="19"/>
      <x:c r="D261" s="19"/>
      <x:c r="E261" s="62"/>
      <x:c r="F261" s="25"/>
      <x:c r="G261" s="24"/>
      <x:c r="H261" s="19"/>
      <x:c r="I261" s="19"/>
      <x:c r="J261" s="26"/>
    </x:row>
    <x:row r="262">
      <x:c r="A262" s="19"/>
      <x:c r="B262" s="19"/>
      <x:c r="C262" s="19"/>
      <x:c r="D262" s="19"/>
      <x:c r="E262" s="62"/>
      <x:c r="F262" s="25"/>
      <x:c r="G262" s="24"/>
      <x:c r="H262" s="19"/>
      <x:c r="I262" s="19"/>
      <x:c r="J262" s="26"/>
    </x:row>
    <x:row r="263">
      <x:c r="A263" s="19"/>
      <x:c r="B263" s="19"/>
      <x:c r="C263" s="19"/>
      <x:c r="D263" s="19"/>
      <x:c r="E263" s="62"/>
      <x:c r="F263" s="25"/>
      <x:c r="G263" s="24"/>
      <x:c r="H263" s="19"/>
      <x:c r="I263" s="19"/>
      <x:c r="J263" s="26"/>
    </x:row>
    <x:row r="264">
      <x:c r="A264" s="19"/>
      <x:c r="B264" s="19"/>
      <x:c r="C264" s="19"/>
      <x:c r="D264" s="19"/>
      <x:c r="E264" s="62"/>
      <x:c r="F264" s="25"/>
      <x:c r="G264" s="24"/>
      <x:c r="H264" s="19"/>
      <x:c r="I264" s="19"/>
      <x:c r="J264" s="26"/>
    </x:row>
    <x:row r="265">
      <x:c r="A265" s="19"/>
      <x:c r="B265" s="19"/>
      <x:c r="C265" s="19"/>
      <x:c r="D265" s="19"/>
      <x:c r="E265" s="62"/>
      <x:c r="F265" s="25"/>
      <x:c r="G265" s="24"/>
      <x:c r="H265" s="19"/>
      <x:c r="I265" s="19"/>
      <x:c r="J265" s="26"/>
    </x:row>
    <x:row r="266">
      <x:c r="A266" s="19"/>
      <x:c r="B266" s="19"/>
      <x:c r="C266" s="19"/>
      <x:c r="D266" s="19"/>
      <x:c r="E266" s="62"/>
      <x:c r="F266" s="25"/>
      <x:c r="G266" s="24"/>
      <x:c r="H266" s="19"/>
      <x:c r="I266" s="19"/>
      <x:c r="J266" s="26"/>
    </x:row>
    <x:row r="267">
      <x:c r="A267" s="19"/>
      <x:c r="B267" s="19"/>
      <x:c r="C267" s="19"/>
      <x:c r="D267" s="19"/>
      <x:c r="E267" s="62"/>
      <x:c r="F267" s="25"/>
      <x:c r="G267" s="24"/>
      <x:c r="H267" s="19"/>
      <x:c r="I267" s="19"/>
      <x:c r="J267" s="26"/>
    </x:row>
    <x:row r="268">
      <x:c r="A268" s="19"/>
      <x:c r="B268" s="19"/>
      <x:c r="C268" s="19"/>
      <x:c r="D268" s="19"/>
      <x:c r="E268" s="62"/>
      <x:c r="F268" s="25"/>
      <x:c r="G268" s="24"/>
      <x:c r="H268" s="19"/>
      <x:c r="I268" s="19"/>
      <x:c r="J268" s="26"/>
    </x:row>
    <x:row r="269">
      <x:c r="A269" s="19"/>
      <x:c r="B269" s="19"/>
      <x:c r="C269" s="19"/>
      <x:c r="D269" s="19"/>
      <x:c r="E269" s="62"/>
      <x:c r="F269" s="25"/>
      <x:c r="G269" s="24"/>
      <x:c r="H269" s="19"/>
      <x:c r="I269" s="19"/>
      <x:c r="J269" s="26"/>
    </x:row>
    <x:row r="270">
      <x:c r="A270" s="19"/>
      <x:c r="B270" s="19"/>
      <x:c r="C270" s="19"/>
      <x:c r="D270" s="19"/>
      <x:c r="E270" s="62"/>
      <x:c r="F270" s="25"/>
      <x:c r="G270" s="24"/>
      <x:c r="H270" s="19"/>
      <x:c r="I270" s="19"/>
      <x:c r="J270" s="26"/>
    </x:row>
    <x:row r="271">
      <x:c r="A271" s="19"/>
      <x:c r="B271" s="19"/>
      <x:c r="C271" s="19"/>
      <x:c r="D271" s="19"/>
      <x:c r="E271" s="62"/>
      <x:c r="F271" s="25"/>
      <x:c r="G271" s="24"/>
      <x:c r="H271" s="19"/>
      <x:c r="I271" s="19"/>
      <x:c r="J271" s="26"/>
    </x:row>
    <x:row r="272">
      <x:c r="A272" s="19"/>
      <x:c r="B272" s="19"/>
      <x:c r="C272" s="19"/>
      <x:c r="D272" s="19"/>
      <x:c r="E272" s="62"/>
      <x:c r="F272" s="25"/>
      <x:c r="G272" s="24"/>
      <x:c r="H272" s="19"/>
      <x:c r="I272" s="19"/>
      <x:c r="J272" s="26"/>
    </x:row>
    <x:row r="273">
      <x:c r="A273" s="19"/>
      <x:c r="B273" s="19"/>
      <x:c r="C273" s="19"/>
      <x:c r="D273" s="19"/>
      <x:c r="E273" s="62"/>
      <x:c r="F273" s="25"/>
      <x:c r="G273" s="24"/>
      <x:c r="H273" s="19"/>
      <x:c r="I273" s="19"/>
      <x:c r="J273" s="26"/>
    </x:row>
    <x:row r="274">
      <x:c r="A274" s="19"/>
      <x:c r="B274" s="19"/>
      <x:c r="C274" s="19"/>
      <x:c r="D274" s="19"/>
      <x:c r="E274" s="62"/>
      <x:c r="F274" s="25"/>
      <x:c r="G274" s="24"/>
      <x:c r="H274" s="19"/>
      <x:c r="I274" s="19"/>
      <x:c r="J274" s="26"/>
    </x:row>
    <x:row r="275">
      <x:c r="A275" s="19"/>
      <x:c r="B275" s="19"/>
      <x:c r="C275" s="19"/>
      <x:c r="D275" s="19"/>
      <x:c r="E275" s="62"/>
      <x:c r="F275" s="25"/>
      <x:c r="G275" s="24"/>
      <x:c r="H275" s="19"/>
      <x:c r="I275" s="19"/>
      <x:c r="J275" s="26"/>
    </x:row>
    <x:row r="276">
      <x:c r="A276" s="19"/>
      <x:c r="B276" s="19"/>
      <x:c r="C276" s="19"/>
      <x:c r="D276" s="19"/>
      <x:c r="E276" s="62"/>
      <x:c r="F276" s="25"/>
      <x:c r="G276" s="24"/>
      <x:c r="H276" s="19"/>
      <x:c r="I276" s="19"/>
      <x:c r="J276" s="26"/>
    </x:row>
    <x:row r="277">
      <x:c r="A277" s="19"/>
      <x:c r="B277" s="19"/>
      <x:c r="C277" s="19"/>
      <x:c r="D277" s="19"/>
      <x:c r="E277" s="62"/>
      <x:c r="F277" s="25"/>
      <x:c r="G277" s="24"/>
      <x:c r="H277" s="19"/>
      <x:c r="I277" s="19"/>
      <x:c r="J277" s="26"/>
    </x:row>
    <x:row r="278">
      <x:c r="A278" s="19"/>
      <x:c r="B278" s="19"/>
      <x:c r="C278" s="19"/>
      <x:c r="D278" s="19"/>
      <x:c r="E278" s="62"/>
      <x:c r="F278" s="25"/>
      <x:c r="G278" s="24"/>
      <x:c r="H278" s="19"/>
      <x:c r="I278" s="19"/>
      <x:c r="J278" s="26"/>
    </x:row>
    <x:row r="279">
      <x:c r="A279" s="19"/>
      <x:c r="B279" s="19"/>
      <x:c r="C279" s="19"/>
      <x:c r="D279" s="19"/>
      <x:c r="E279" s="62"/>
      <x:c r="F279" s="25"/>
      <x:c r="G279" s="24"/>
      <x:c r="H279" s="19"/>
      <x:c r="I279" s="19"/>
      <x:c r="J279" s="26"/>
    </x:row>
    <x:row r="280">
      <x:c r="A280" s="19"/>
      <x:c r="B280" s="19"/>
      <x:c r="C280" s="19"/>
      <x:c r="D280" s="19"/>
      <x:c r="E280" s="62"/>
      <x:c r="F280" s="25"/>
      <x:c r="G280" s="24"/>
      <x:c r="H280" s="19"/>
      <x:c r="I280" s="19"/>
      <x:c r="J280" s="26"/>
    </x:row>
    <x:row r="281">
      <x:c r="A281" s="19"/>
      <x:c r="B281" s="19"/>
      <x:c r="C281" s="19"/>
      <x:c r="D281" s="19"/>
      <x:c r="E281" s="62"/>
      <x:c r="F281" s="25"/>
      <x:c r="G281" s="24"/>
      <x:c r="H281" s="19"/>
      <x:c r="I281" s="19"/>
      <x:c r="J281" s="26"/>
    </x:row>
    <x:row r="282">
      <x:c r="A282" s="19"/>
      <x:c r="B282" s="19"/>
      <x:c r="C282" s="19"/>
      <x:c r="D282" s="19"/>
      <x:c r="E282" s="62"/>
      <x:c r="F282" s="25"/>
      <x:c r="G282" s="24"/>
      <x:c r="H282" s="19"/>
      <x:c r="I282" s="19"/>
      <x:c r="J282" s="26"/>
    </x:row>
    <x:row r="283">
      <x:c r="A283" s="19"/>
      <x:c r="B283" s="19"/>
      <x:c r="C283" s="19"/>
      <x:c r="D283" s="19"/>
      <x:c r="E283" s="62"/>
      <x:c r="F283" s="25"/>
      <x:c r="G283" s="24"/>
      <x:c r="H283" s="19"/>
      <x:c r="I283" s="19"/>
      <x:c r="J283" s="26"/>
    </x:row>
    <x:row r="284">
      <x:c r="A284" s="19"/>
      <x:c r="B284" s="19"/>
      <x:c r="C284" s="19"/>
      <x:c r="D284" s="19"/>
      <x:c r="E284" s="62"/>
      <x:c r="F284" s="25"/>
      <x:c r="G284" s="24"/>
      <x:c r="H284" s="19"/>
      <x:c r="I284" s="19"/>
      <x:c r="J284" s="26"/>
    </x:row>
    <x:row r="285">
      <x:c r="A285" s="19"/>
      <x:c r="B285" s="19"/>
      <x:c r="C285" s="19"/>
      <x:c r="D285" s="19"/>
      <x:c r="E285" s="62"/>
      <x:c r="F285" s="25"/>
      <x:c r="G285" s="24"/>
      <x:c r="H285" s="19"/>
      <x:c r="I285" s="19"/>
      <x:c r="J285" s="26"/>
    </x:row>
    <x:row r="286">
      <x:c r="A286" s="19"/>
      <x:c r="B286" s="19"/>
      <x:c r="C286" s="19"/>
      <x:c r="D286" s="19"/>
      <x:c r="E286" s="62"/>
      <x:c r="F286" s="25"/>
      <x:c r="G286" s="24"/>
      <x:c r="H286" s="19"/>
      <x:c r="I286" s="19"/>
      <x:c r="J286" s="26"/>
    </x:row>
    <x:row r="287">
      <x:c r="A287" s="19"/>
      <x:c r="B287" s="19"/>
      <x:c r="C287" s="19"/>
      <x:c r="D287" s="19"/>
      <x:c r="E287" s="62"/>
      <x:c r="F287" s="25"/>
      <x:c r="G287" s="24"/>
      <x:c r="H287" s="19"/>
      <x:c r="I287" s="19"/>
      <x:c r="J287" s="26"/>
    </x:row>
    <x:row r="288">
      <x:c r="A288" s="19"/>
      <x:c r="B288" s="19"/>
      <x:c r="C288" s="19"/>
      <x:c r="D288" s="19"/>
      <x:c r="E288" s="62"/>
      <x:c r="F288" s="25"/>
      <x:c r="G288" s="24"/>
      <x:c r="H288" s="19"/>
      <x:c r="I288" s="19"/>
      <x:c r="J288" s="26"/>
    </x:row>
    <x:row r="289">
      <x:c r="A289" s="19"/>
      <x:c r="B289" s="19"/>
      <x:c r="C289" s="19"/>
      <x:c r="D289" s="19"/>
      <x:c r="E289" s="62"/>
      <x:c r="F289" s="25"/>
      <x:c r="G289" s="24"/>
      <x:c r="H289" s="19"/>
      <x:c r="I289" s="19"/>
      <x:c r="J289" s="26"/>
    </x:row>
    <x:row r="290">
      <x:c r="A290" s="19"/>
      <x:c r="B290" s="19"/>
      <x:c r="C290" s="19"/>
      <x:c r="D290" s="19"/>
      <x:c r="E290" s="62"/>
      <x:c r="F290" s="25"/>
      <x:c r="G290" s="24"/>
      <x:c r="H290" s="19"/>
      <x:c r="I290" s="19"/>
      <x:c r="J290" s="26"/>
    </x:row>
    <x:row r="291">
      <x:c r="A291" s="19"/>
      <x:c r="B291" s="19"/>
      <x:c r="C291" s="19"/>
      <x:c r="D291" s="19"/>
      <x:c r="E291" s="62"/>
      <x:c r="F291" s="25"/>
      <x:c r="G291" s="24"/>
      <x:c r="H291" s="19"/>
      <x:c r="I291" s="19"/>
      <x:c r="J291" s="26"/>
    </x:row>
    <x:row r="292">
      <x:c r="A292" s="19"/>
      <x:c r="B292" s="19"/>
      <x:c r="C292" s="19"/>
      <x:c r="D292" s="19"/>
      <x:c r="E292" s="62"/>
      <x:c r="F292" s="25"/>
      <x:c r="G292" s="24"/>
      <x:c r="H292" s="19"/>
      <x:c r="I292" s="19"/>
      <x:c r="J292" s="26"/>
    </x:row>
    <x:row r="293">
      <x:c r="A293" s="19"/>
      <x:c r="B293" s="19"/>
      <x:c r="C293" s="19"/>
      <x:c r="D293" s="19"/>
      <x:c r="E293" s="62"/>
      <x:c r="F293" s="25"/>
      <x:c r="G293" s="24"/>
      <x:c r="H293" s="19"/>
      <x:c r="I293" s="19"/>
      <x:c r="J293" s="26"/>
    </x:row>
    <x:row r="294">
      <x:c r="A294" s="19"/>
      <x:c r="B294" s="19"/>
      <x:c r="C294" s="19"/>
      <x:c r="D294" s="19"/>
      <x:c r="E294" s="62"/>
      <x:c r="F294" s="25"/>
      <x:c r="G294" s="24"/>
      <x:c r="H294" s="19"/>
      <x:c r="I294" s="19"/>
      <x:c r="J294" s="26"/>
    </x:row>
    <x:row r="295">
      <x:c r="A295" s="19"/>
      <x:c r="B295" s="19"/>
      <x:c r="C295" s="19"/>
      <x:c r="D295" s="19"/>
      <x:c r="E295" s="62"/>
      <x:c r="F295" s="25"/>
      <x:c r="G295" s="24"/>
      <x:c r="H295" s="19"/>
      <x:c r="I295" s="19"/>
      <x:c r="J295" s="26"/>
    </x:row>
    <x:row r="296">
      <x:c r="A296" s="19"/>
      <x:c r="B296" s="19"/>
      <x:c r="C296" s="19"/>
      <x:c r="D296" s="19"/>
      <x:c r="E296" s="62"/>
      <x:c r="F296" s="25"/>
      <x:c r="G296" s="24"/>
      <x:c r="H296" s="19"/>
      <x:c r="I296" s="19"/>
      <x:c r="J296" s="26"/>
    </x:row>
    <x:row r="297">
      <x:c r="A297" s="19"/>
      <x:c r="B297" s="19"/>
      <x:c r="C297" s="19"/>
      <x:c r="D297" s="19"/>
      <x:c r="E297" s="62"/>
      <x:c r="F297" s="25"/>
      <x:c r="G297" s="24"/>
      <x:c r="H297" s="19"/>
      <x:c r="I297" s="19"/>
      <x:c r="J297" s="26"/>
    </x:row>
    <x:row r="298">
      <x:c r="A298" s="19"/>
      <x:c r="B298" s="19"/>
      <x:c r="C298" s="19"/>
      <x:c r="D298" s="19"/>
      <x:c r="E298" s="62"/>
      <x:c r="F298" s="25"/>
      <x:c r="G298" s="24"/>
      <x:c r="H298" s="19"/>
      <x:c r="I298" s="19"/>
      <x:c r="J298" s="26"/>
    </x:row>
    <x:row r="299">
      <x:c r="A299" s="19"/>
      <x:c r="B299" s="19"/>
      <x:c r="C299" s="19"/>
      <x:c r="D299" s="19"/>
      <x:c r="E299" s="62"/>
      <x:c r="F299" s="25"/>
      <x:c r="G299" s="24"/>
      <x:c r="H299" s="19"/>
      <x:c r="I299" s="19"/>
      <x:c r="J299" s="26"/>
    </x:row>
    <x:row r="300">
      <x:c r="A300" s="19"/>
      <x:c r="B300" s="19"/>
      <x:c r="C300" s="19"/>
      <x:c r="D300" s="19"/>
      <x:c r="E300" s="62"/>
      <x:c r="F300" s="25"/>
      <x:c r="G300" s="24"/>
      <x:c r="H300" s="19"/>
      <x:c r="I300" s="19"/>
      <x:c r="J300" s="26"/>
    </x:row>
    <x:row r="301">
      <x:c r="A301" s="19"/>
      <x:c r="B301" s="19"/>
      <x:c r="C301" s="19"/>
      <x:c r="D301" s="19"/>
      <x:c r="E301" s="62"/>
      <x:c r="F301" s="25"/>
      <x:c r="G301" s="24"/>
      <x:c r="H301" s="19"/>
      <x:c r="I301" s="19"/>
      <x:c r="J301" s="26"/>
    </x:row>
    <x:row r="302">
      <x:c r="A302" s="19"/>
      <x:c r="B302" s="19"/>
      <x:c r="C302" s="19"/>
      <x:c r="D302" s="19"/>
      <x:c r="E302" s="62"/>
      <x:c r="F302" s="25"/>
      <x:c r="G302" s="24"/>
      <x:c r="H302" s="19"/>
      <x:c r="I302" s="19"/>
      <x:c r="J302" s="26"/>
    </x:row>
    <x:row r="303">
      <x:c r="A303" s="19"/>
      <x:c r="B303" s="19"/>
      <x:c r="C303" s="19"/>
      <x:c r="D303" s="19"/>
      <x:c r="E303" s="62"/>
      <x:c r="F303" s="25"/>
      <x:c r="G303" s="24"/>
      <x:c r="H303" s="19"/>
      <x:c r="I303" s="19"/>
      <x:c r="J303" s="26"/>
    </x:row>
    <x:row r="304">
      <x:c r="A304" s="19"/>
      <x:c r="B304" s="19"/>
      <x:c r="C304" s="19"/>
      <x:c r="D304" s="19"/>
      <x:c r="E304" s="62"/>
      <x:c r="F304" s="25"/>
      <x:c r="G304" s="24"/>
      <x:c r="H304" s="19"/>
      <x:c r="I304" s="19"/>
      <x:c r="J304" s="26"/>
    </x:row>
    <x:row r="305">
      <x:c r="A305" s="19"/>
      <x:c r="B305" s="19"/>
      <x:c r="C305" s="19"/>
      <x:c r="D305" s="19"/>
      <x:c r="E305" s="62"/>
      <x:c r="F305" s="25"/>
      <x:c r="G305" s="24"/>
      <x:c r="H305" s="19"/>
      <x:c r="I305" s="19"/>
      <x:c r="J305" s="26"/>
    </x:row>
    <x:row r="306">
      <x:c r="A306" s="19"/>
      <x:c r="B306" s="19"/>
      <x:c r="C306" s="19"/>
      <x:c r="D306" s="19"/>
      <x:c r="E306" s="62"/>
      <x:c r="F306" s="25"/>
      <x:c r="G306" s="24"/>
      <x:c r="H306" s="19"/>
      <x:c r="I306" s="19"/>
      <x:c r="J306" s="26"/>
    </x:row>
    <x:row r="307">
      <x:c r="A307" s="19"/>
      <x:c r="B307" s="19"/>
      <x:c r="C307" s="19"/>
      <x:c r="D307" s="19"/>
      <x:c r="E307" s="62"/>
      <x:c r="F307" s="25"/>
      <x:c r="G307" s="24"/>
      <x:c r="H307" s="19"/>
      <x:c r="I307" s="19"/>
      <x:c r="J307" s="26"/>
    </x:row>
    <x:row r="308">
      <x:c r="A308" s="19"/>
      <x:c r="B308" s="19"/>
      <x:c r="C308" s="19"/>
      <x:c r="D308" s="19"/>
      <x:c r="E308" s="62"/>
      <x:c r="F308" s="25"/>
      <x:c r="G308" s="24"/>
      <x:c r="H308" s="19"/>
      <x:c r="I308" s="19"/>
      <x:c r="J308" s="26"/>
    </x:row>
    <x:row r="309">
      <x:c r="A309" s="19"/>
      <x:c r="B309" s="19"/>
      <x:c r="C309" s="19"/>
      <x:c r="D309" s="19"/>
      <x:c r="E309" s="62"/>
      <x:c r="F309" s="25"/>
      <x:c r="G309" s="24"/>
      <x:c r="H309" s="19"/>
      <x:c r="I309" s="19"/>
      <x:c r="J309" s="26"/>
    </x:row>
    <x:row r="310">
      <x:c r="A310" s="19"/>
      <x:c r="B310" s="19"/>
      <x:c r="C310" s="19"/>
      <x:c r="D310" s="19"/>
      <x:c r="E310" s="62"/>
      <x:c r="F310" s="25"/>
      <x:c r="G310" s="24"/>
      <x:c r="H310" s="19"/>
      <x:c r="I310" s="19"/>
      <x:c r="J310" s="26"/>
    </x:row>
    <x:row r="311">
      <x:c r="A311" s="19"/>
      <x:c r="B311" s="19"/>
      <x:c r="C311" s="19"/>
      <x:c r="D311" s="19"/>
      <x:c r="E311" s="62"/>
      <x:c r="F311" s="25"/>
      <x:c r="G311" s="24"/>
      <x:c r="H311" s="19"/>
      <x:c r="I311" s="19"/>
      <x:c r="J311" s="26"/>
    </x:row>
    <x:row r="312">
      <x:c r="A312" s="19"/>
      <x:c r="B312" s="19"/>
      <x:c r="C312" s="19"/>
      <x:c r="D312" s="19"/>
      <x:c r="E312" s="62"/>
      <x:c r="F312" s="25"/>
      <x:c r="G312" s="24"/>
      <x:c r="H312" s="19"/>
      <x:c r="I312" s="19"/>
      <x:c r="J312" s="26"/>
    </x:row>
    <x:row r="313">
      <x:c r="A313" s="19"/>
      <x:c r="B313" s="19"/>
      <x:c r="C313" s="19"/>
      <x:c r="D313" s="19"/>
      <x:c r="E313" s="62"/>
      <x:c r="F313" s="25"/>
      <x:c r="G313" s="24"/>
      <x:c r="H313" s="19"/>
      <x:c r="I313" s="19"/>
      <x:c r="J313" s="26"/>
    </x:row>
    <x:row r="314">
      <x:c r="A314" s="19"/>
      <x:c r="B314" s="19"/>
      <x:c r="C314" s="19"/>
      <x:c r="D314" s="19"/>
      <x:c r="E314" s="62"/>
      <x:c r="F314" s="25"/>
      <x:c r="G314" s="24"/>
      <x:c r="H314" s="19"/>
      <x:c r="I314" s="19"/>
      <x:c r="J314" s="26"/>
    </x:row>
    <x:row r="315">
      <x:c r="A315" s="19"/>
      <x:c r="B315" s="19"/>
      <x:c r="C315" s="19"/>
      <x:c r="D315" s="19"/>
      <x:c r="E315" s="62"/>
      <x:c r="F315" s="25"/>
      <x:c r="G315" s="24"/>
      <x:c r="H315" s="19"/>
      <x:c r="I315" s="19"/>
      <x:c r="J315" s="26"/>
    </x:row>
    <x:row r="316">
      <x:c r="A316" s="19"/>
      <x:c r="B316" s="19"/>
      <x:c r="C316" s="19"/>
      <x:c r="D316" s="19"/>
      <x:c r="E316" s="62"/>
      <x:c r="F316" s="25"/>
      <x:c r="G316" s="24"/>
      <x:c r="H316" s="19"/>
      <x:c r="I316" s="19"/>
      <x:c r="J316" s="26"/>
    </x:row>
    <x:row r="317">
      <x:c r="A317" s="19"/>
      <x:c r="B317" s="19"/>
      <x:c r="C317" s="19"/>
      <x:c r="D317" s="19"/>
      <x:c r="E317" s="62"/>
      <x:c r="F317" s="25"/>
      <x:c r="G317" s="24"/>
      <x:c r="H317" s="19"/>
      <x:c r="I317" s="19"/>
      <x:c r="J317" s="26"/>
    </x:row>
    <x:row r="318">
      <x:c r="A318" s="19"/>
      <x:c r="B318" s="19"/>
      <x:c r="C318" s="19"/>
      <x:c r="D318" s="19"/>
      <x:c r="E318" s="62"/>
      <x:c r="F318" s="25"/>
      <x:c r="G318" s="24"/>
      <x:c r="H318" s="19"/>
      <x:c r="I318" s="19"/>
      <x:c r="J318" s="26"/>
    </x:row>
    <x:row r="319">
      <x:c r="A319" s="19"/>
      <x:c r="B319" s="19"/>
      <x:c r="C319" s="19"/>
      <x:c r="D319" s="19"/>
      <x:c r="E319" s="62"/>
      <x:c r="F319" s="25"/>
      <x:c r="G319" s="24"/>
      <x:c r="H319" s="19"/>
      <x:c r="I319" s="19"/>
      <x:c r="J319" s="26"/>
    </x:row>
    <x:row r="320">
      <x:c r="A320" s="19"/>
      <x:c r="B320" s="19"/>
      <x:c r="C320" s="19"/>
      <x:c r="D320" s="19"/>
      <x:c r="E320" s="62"/>
      <x:c r="F320" s="25"/>
      <x:c r="G320" s="24"/>
      <x:c r="H320" s="19"/>
      <x:c r="I320" s="19"/>
      <x:c r="J320" s="26"/>
    </x:row>
    <x:row r="321">
      <x:c r="A321" s="19"/>
      <x:c r="B321" s="19"/>
      <x:c r="C321" s="19"/>
      <x:c r="D321" s="19"/>
      <x:c r="E321" s="62"/>
      <x:c r="F321" s="25"/>
      <x:c r="G321" s="24"/>
      <x:c r="H321" s="19"/>
      <x:c r="I321" s="19"/>
      <x:c r="J321" s="26"/>
    </x:row>
    <x:row r="322">
      <x:c r="A322" s="19"/>
      <x:c r="B322" s="19"/>
      <x:c r="C322" s="19"/>
      <x:c r="D322" s="19"/>
      <x:c r="E322" s="62"/>
      <x:c r="F322" s="25"/>
      <x:c r="G322" s="24"/>
      <x:c r="H322" s="19"/>
      <x:c r="I322" s="19"/>
      <x:c r="J322" s="26"/>
    </x:row>
    <x:row r="323">
      <x:c r="A323" s="19"/>
      <x:c r="B323" s="19"/>
      <x:c r="C323" s="19"/>
      <x:c r="D323" s="19"/>
      <x:c r="E323" s="62"/>
      <x:c r="F323" s="25"/>
      <x:c r="G323" s="24"/>
      <x:c r="H323" s="19"/>
      <x:c r="I323" s="19"/>
      <x:c r="J323" s="26"/>
    </x:row>
    <x:row r="324">
      <x:c r="A324" s="19"/>
      <x:c r="B324" s="19"/>
      <x:c r="C324" s="19"/>
      <x:c r="D324" s="19"/>
      <x:c r="E324" s="62"/>
      <x:c r="F324" s="25"/>
      <x:c r="G324" s="24"/>
      <x:c r="H324" s="19"/>
      <x:c r="I324" s="19"/>
      <x:c r="J324" s="26"/>
    </x:row>
    <x:row r="325">
      <x:c r="A325" s="19"/>
      <x:c r="B325" s="19"/>
      <x:c r="C325" s="19"/>
      <x:c r="D325" s="19"/>
      <x:c r="E325" s="62"/>
      <x:c r="F325" s="25"/>
      <x:c r="G325" s="24"/>
      <x:c r="H325" s="19"/>
      <x:c r="I325" s="19"/>
      <x:c r="J325" s="26"/>
    </x:row>
    <x:row r="326">
      <x:c r="A326" s="19"/>
      <x:c r="B326" s="19"/>
      <x:c r="C326" s="19"/>
      <x:c r="D326" s="19"/>
      <x:c r="E326" s="62"/>
      <x:c r="F326" s="25"/>
      <x:c r="G326" s="24"/>
      <x:c r="H326" s="19"/>
      <x:c r="I326" s="19"/>
      <x:c r="J326" s="26"/>
    </x:row>
    <x:row r="327">
      <x:c r="A327" s="19"/>
      <x:c r="B327" s="19"/>
      <x:c r="C327" s="19"/>
      <x:c r="D327" s="19"/>
      <x:c r="E327" s="62"/>
      <x:c r="F327" s="25"/>
      <x:c r="G327" s="24"/>
      <x:c r="H327" s="19"/>
      <x:c r="I327" s="19"/>
      <x:c r="J327" s="26"/>
    </x:row>
    <x:row r="328">
      <x:c r="A328" s="19"/>
      <x:c r="B328" s="19"/>
      <x:c r="C328" s="19"/>
      <x:c r="D328" s="19"/>
      <x:c r="E328" s="62"/>
      <x:c r="F328" s="25"/>
      <x:c r="G328" s="24"/>
      <x:c r="H328" s="19"/>
      <x:c r="I328" s="19"/>
      <x:c r="J328" s="26"/>
    </x:row>
    <x:row r="329">
      <x:c r="A329" s="19"/>
      <x:c r="B329" s="19"/>
      <x:c r="C329" s="19"/>
      <x:c r="D329" s="19"/>
      <x:c r="E329" s="62"/>
      <x:c r="F329" s="25"/>
      <x:c r="G329" s="24"/>
      <x:c r="H329" s="19"/>
      <x:c r="I329" s="19"/>
      <x:c r="J329" s="26"/>
    </x:row>
    <x:row r="330">
      <x:c r="A330" s="19"/>
      <x:c r="B330" s="19"/>
      <x:c r="C330" s="19"/>
      <x:c r="D330" s="19"/>
      <x:c r="E330" s="62"/>
      <x:c r="F330" s="25"/>
      <x:c r="G330" s="24"/>
      <x:c r="H330" s="19"/>
      <x:c r="I330" s="19"/>
      <x:c r="J330" s="26"/>
    </x:row>
    <x:row r="331">
      <x:c r="A331" s="19"/>
      <x:c r="B331" s="19"/>
      <x:c r="C331" s="19"/>
      <x:c r="D331" s="19"/>
      <x:c r="E331" s="62"/>
      <x:c r="F331" s="25"/>
      <x:c r="G331" s="24"/>
      <x:c r="H331" s="19"/>
      <x:c r="I331" s="19"/>
      <x:c r="J331" s="26"/>
    </x:row>
    <x:row r="332">
      <x:c r="A332" s="19"/>
      <x:c r="B332" s="19"/>
      <x:c r="C332" s="19"/>
      <x:c r="D332" s="19"/>
      <x:c r="E332" s="62"/>
      <x:c r="F332" s="25"/>
      <x:c r="G332" s="24"/>
      <x:c r="H332" s="19"/>
      <x:c r="I332" s="19"/>
      <x:c r="J332" s="26"/>
    </x:row>
    <x:row r="333">
      <x:c r="A333" s="19"/>
      <x:c r="B333" s="19"/>
      <x:c r="C333" s="19"/>
      <x:c r="D333" s="19"/>
      <x:c r="E333" s="62"/>
      <x:c r="F333" s="25"/>
      <x:c r="G333" s="24"/>
      <x:c r="H333" s="19"/>
      <x:c r="I333" s="19"/>
      <x:c r="J333" s="26"/>
    </x:row>
    <x:row r="334">
      <x:c r="A334" s="19"/>
      <x:c r="B334" s="19"/>
      <x:c r="C334" s="19"/>
      <x:c r="D334" s="19"/>
      <x:c r="E334" s="62"/>
      <x:c r="F334" s="25"/>
      <x:c r="G334" s="24"/>
      <x:c r="H334" s="19"/>
      <x:c r="I334" s="19"/>
      <x:c r="J334" s="26"/>
    </x:row>
    <x:row r="335">
      <x:c r="A335" s="19"/>
      <x:c r="B335" s="19"/>
      <x:c r="C335" s="19"/>
      <x:c r="D335" s="19"/>
      <x:c r="E335" s="62"/>
      <x:c r="F335" s="25"/>
      <x:c r="G335" s="24"/>
      <x:c r="H335" s="19"/>
      <x:c r="I335" s="19"/>
      <x:c r="J335" s="26"/>
    </x:row>
    <x:row r="336">
      <x:c r="A336" s="19"/>
      <x:c r="B336" s="19"/>
      <x:c r="C336" s="19"/>
      <x:c r="D336" s="19"/>
      <x:c r="E336" s="62"/>
      <x:c r="F336" s="25"/>
      <x:c r="G336" s="24"/>
      <x:c r="H336" s="19"/>
      <x:c r="I336" s="19"/>
      <x:c r="J336" s="26"/>
    </x:row>
    <x:row r="337">
      <x:c r="A337" s="19"/>
      <x:c r="B337" s="19"/>
      <x:c r="C337" s="19"/>
      <x:c r="D337" s="19"/>
      <x:c r="E337" s="62"/>
      <x:c r="F337" s="25"/>
      <x:c r="G337" s="24"/>
      <x:c r="H337" s="19"/>
      <x:c r="I337" s="19"/>
      <x:c r="J337" s="26"/>
    </x:row>
    <x:row r="338">
      <x:c r="A338" s="19"/>
      <x:c r="B338" s="19"/>
      <x:c r="C338" s="19"/>
      <x:c r="D338" s="19"/>
      <x:c r="E338" s="62"/>
      <x:c r="F338" s="25"/>
      <x:c r="G338" s="24"/>
      <x:c r="H338" s="19"/>
      <x:c r="I338" s="19"/>
      <x:c r="J338" s="26"/>
    </x:row>
    <x:row r="339">
      <x:c r="A339" s="19"/>
      <x:c r="B339" s="19"/>
      <x:c r="C339" s="19"/>
      <x:c r="D339" s="19"/>
      <x:c r="E339" s="62"/>
      <x:c r="F339" s="25"/>
      <x:c r="G339" s="24"/>
      <x:c r="H339" s="19"/>
      <x:c r="I339" s="19"/>
      <x:c r="J339" s="26"/>
    </x:row>
    <x:row r="340">
      <x:c r="A340" s="19"/>
      <x:c r="B340" s="19"/>
      <x:c r="C340" s="19"/>
      <x:c r="D340" s="19"/>
      <x:c r="E340" s="62"/>
      <x:c r="F340" s="25"/>
      <x:c r="G340" s="24"/>
      <x:c r="H340" s="19"/>
      <x:c r="I340" s="19"/>
      <x:c r="J340" s="26"/>
    </x:row>
    <x:row r="341">
      <x:c r="A341" s="19"/>
      <x:c r="B341" s="19"/>
      <x:c r="C341" s="19"/>
      <x:c r="D341" s="19"/>
      <x:c r="E341" s="62"/>
      <x:c r="F341" s="25"/>
      <x:c r="G341" s="24"/>
      <x:c r="H341" s="19"/>
      <x:c r="I341" s="19"/>
      <x:c r="J341" s="26"/>
    </x:row>
    <x:row r="342">
      <x:c r="A342" s="19"/>
      <x:c r="B342" s="19"/>
      <x:c r="C342" s="19"/>
      <x:c r="D342" s="19"/>
      <x:c r="E342" s="62"/>
      <x:c r="F342" s="25"/>
      <x:c r="G342" s="24"/>
      <x:c r="H342" s="19"/>
      <x:c r="I342" s="19"/>
      <x:c r="J342" s="26"/>
    </x:row>
    <x:row r="343">
      <x:c r="A343" s="19"/>
      <x:c r="B343" s="19"/>
      <x:c r="C343" s="19"/>
      <x:c r="D343" s="19"/>
      <x:c r="E343" s="62"/>
      <x:c r="F343" s="25"/>
      <x:c r="G343" s="24"/>
      <x:c r="H343" s="19"/>
      <x:c r="I343" s="19"/>
      <x:c r="J343" s="26"/>
    </x:row>
    <x:row r="344">
      <x:c r="A344" s="19"/>
      <x:c r="B344" s="19"/>
      <x:c r="C344" s="19"/>
      <x:c r="D344" s="19"/>
      <x:c r="E344" s="62"/>
      <x:c r="F344" s="25"/>
      <x:c r="G344" s="24"/>
      <x:c r="H344" s="19"/>
      <x:c r="I344" s="19"/>
      <x:c r="J344" s="26"/>
    </x:row>
    <x:row r="345">
      <x:c r="A345" s="19"/>
      <x:c r="B345" s="19"/>
      <x:c r="C345" s="19"/>
      <x:c r="D345" s="19"/>
      <x:c r="E345" s="62"/>
      <x:c r="F345" s="25"/>
      <x:c r="G345" s="24"/>
      <x:c r="H345" s="19"/>
      <x:c r="I345" s="19"/>
      <x:c r="J345" s="26"/>
    </x:row>
    <x:row r="346">
      <x:c r="A346" s="19"/>
      <x:c r="B346" s="19"/>
      <x:c r="C346" s="19"/>
      <x:c r="D346" s="19"/>
      <x:c r="E346" s="62"/>
      <x:c r="F346" s="25"/>
      <x:c r="G346" s="24"/>
      <x:c r="H346" s="19"/>
      <x:c r="I346" s="19"/>
      <x:c r="J346" s="26"/>
    </x:row>
    <x:row r="347">
      <x:c r="A347" s="19"/>
      <x:c r="B347" s="19"/>
      <x:c r="C347" s="19"/>
      <x:c r="D347" s="19"/>
      <x:c r="E347" s="62"/>
      <x:c r="F347" s="25"/>
      <x:c r="G347" s="24"/>
      <x:c r="H347" s="19"/>
      <x:c r="I347" s="19"/>
      <x:c r="J347" s="26"/>
    </x:row>
    <x:row r="348">
      <x:c r="A348" s="19"/>
      <x:c r="B348" s="19"/>
      <x:c r="C348" s="19"/>
      <x:c r="D348" s="19"/>
      <x:c r="E348" s="62"/>
      <x:c r="F348" s="25"/>
      <x:c r="G348" s="24"/>
      <x:c r="H348" s="19"/>
      <x:c r="I348" s="19"/>
      <x:c r="J348" s="26"/>
    </x:row>
    <x:row r="349">
      <x:c r="A349" s="19"/>
      <x:c r="B349" s="19"/>
      <x:c r="C349" s="19"/>
      <x:c r="D349" s="19"/>
      <x:c r="E349" s="62"/>
      <x:c r="F349" s="25"/>
      <x:c r="G349" s="24"/>
      <x:c r="H349" s="19"/>
      <x:c r="I349" s="19"/>
      <x:c r="J349" s="26"/>
    </x:row>
    <x:row r="350">
      <x:c r="A350" s="19"/>
      <x:c r="B350" s="19"/>
      <x:c r="C350" s="19"/>
      <x:c r="D350" s="19"/>
      <x:c r="E350" s="62"/>
      <x:c r="F350" s="25"/>
      <x:c r="G350" s="24"/>
      <x:c r="H350" s="19"/>
      <x:c r="I350" s="19"/>
      <x:c r="J350" s="26"/>
    </x:row>
    <x:row r="351">
      <x:c r="A351" s="19"/>
      <x:c r="B351" s="19"/>
      <x:c r="C351" s="19"/>
      <x:c r="D351" s="19"/>
      <x:c r="E351" s="62"/>
      <x:c r="F351" s="25"/>
      <x:c r="G351" s="24"/>
      <x:c r="H351" s="19"/>
      <x:c r="I351" s="19"/>
      <x:c r="J351" s="26"/>
    </x:row>
    <x:row r="352">
      <x:c r="A352" s="19"/>
      <x:c r="B352" s="19"/>
      <x:c r="C352" s="19"/>
      <x:c r="D352" s="19"/>
      <x:c r="E352" s="62"/>
      <x:c r="F352" s="25"/>
      <x:c r="G352" s="24"/>
      <x:c r="H352" s="19"/>
      <x:c r="I352" s="19"/>
      <x:c r="J352" s="26"/>
    </x:row>
    <x:row r="353">
      <x:c r="A353" s="19"/>
      <x:c r="B353" s="19"/>
      <x:c r="C353" s="19"/>
      <x:c r="D353" s="19"/>
      <x:c r="E353" s="62"/>
      <x:c r="F353" s="25"/>
      <x:c r="G353" s="24"/>
      <x:c r="H353" s="19"/>
      <x:c r="I353" s="19"/>
      <x:c r="J353" s="26"/>
    </x:row>
    <x:row r="354">
      <x:c r="A354" s="19"/>
      <x:c r="B354" s="19"/>
      <x:c r="C354" s="19"/>
      <x:c r="D354" s="19"/>
      <x:c r="E354" s="62"/>
      <x:c r="F354" s="25"/>
      <x:c r="G354" s="24"/>
      <x:c r="H354" s="19"/>
      <x:c r="I354" s="19"/>
      <x:c r="J354" s="26"/>
    </x:row>
    <x:row r="355">
      <x:c r="A355" s="19"/>
      <x:c r="B355" s="19"/>
      <x:c r="C355" s="19"/>
      <x:c r="D355" s="19"/>
      <x:c r="E355" s="62"/>
      <x:c r="F355" s="25"/>
      <x:c r="G355" s="24"/>
      <x:c r="H355" s="19"/>
      <x:c r="I355" s="19"/>
      <x:c r="J355" s="26"/>
    </x:row>
    <x:row r="356">
      <x:c r="A356" s="19"/>
      <x:c r="B356" s="19"/>
      <x:c r="C356" s="19"/>
      <x:c r="D356" s="19"/>
      <x:c r="E356" s="62"/>
      <x:c r="F356" s="25"/>
      <x:c r="G356" s="24"/>
      <x:c r="H356" s="19"/>
      <x:c r="I356" s="19"/>
      <x:c r="J356" s="26"/>
    </x:row>
    <x:row r="357">
      <x:c r="A357" s="19"/>
      <x:c r="B357" s="19"/>
      <x:c r="C357" s="19"/>
      <x:c r="D357" s="19"/>
      <x:c r="E357" s="62"/>
      <x:c r="F357" s="25"/>
      <x:c r="G357" s="24"/>
      <x:c r="H357" s="19"/>
      <x:c r="I357" s="19"/>
      <x:c r="J357" s="26"/>
    </x:row>
    <x:row r="358">
      <x:c r="A358" s="19"/>
      <x:c r="B358" s="19"/>
      <x:c r="C358" s="19"/>
      <x:c r="D358" s="19"/>
      <x:c r="E358" s="62"/>
      <x:c r="F358" s="25"/>
      <x:c r="G358" s="24"/>
      <x:c r="H358" s="19"/>
      <x:c r="I358" s="19"/>
      <x:c r="J358" s="26"/>
    </x:row>
    <x:row r="359">
      <x:c r="A359" s="19"/>
      <x:c r="B359" s="19"/>
      <x:c r="C359" s="19"/>
      <x:c r="D359" s="19"/>
      <x:c r="E359" s="62"/>
      <x:c r="F359" s="25"/>
      <x:c r="G359" s="24"/>
      <x:c r="H359" s="19"/>
      <x:c r="I359" s="19"/>
      <x:c r="J359" s="26"/>
    </x:row>
    <x:row r="360">
      <x:c r="A360" s="19"/>
      <x:c r="B360" s="19"/>
      <x:c r="C360" s="19"/>
      <x:c r="D360" s="19"/>
      <x:c r="E360" s="62"/>
      <x:c r="F360" s="25"/>
      <x:c r="G360" s="24"/>
      <x:c r="H360" s="19"/>
      <x:c r="I360" s="19"/>
      <x:c r="J360" s="26"/>
    </x:row>
    <x:row r="361">
      <x:c r="A361" s="19"/>
      <x:c r="B361" s="19"/>
      <x:c r="C361" s="19"/>
      <x:c r="D361" s="19"/>
      <x:c r="E361" s="62"/>
      <x:c r="F361" s="25"/>
      <x:c r="G361" s="24"/>
      <x:c r="H361" s="19"/>
      <x:c r="I361" s="19"/>
      <x:c r="J361" s="26"/>
    </x:row>
    <x:row r="362">
      <x:c r="A362" s="19"/>
      <x:c r="B362" s="19"/>
      <x:c r="C362" s="19"/>
      <x:c r="D362" s="19"/>
      <x:c r="E362" s="62"/>
      <x:c r="F362" s="25"/>
      <x:c r="G362" s="24"/>
      <x:c r="H362" s="19"/>
      <x:c r="I362" s="19"/>
      <x:c r="J362" s="26"/>
    </x:row>
    <x:row r="363">
      <x:c r="A363" s="19"/>
      <x:c r="B363" s="19"/>
      <x:c r="C363" s="19"/>
      <x:c r="D363" s="19"/>
      <x:c r="E363" s="62"/>
      <x:c r="F363" s="25"/>
      <x:c r="G363" s="24"/>
      <x:c r="H363" s="19"/>
      <x:c r="I363" s="19"/>
      <x:c r="J363" s="26"/>
    </x:row>
    <x:row r="364">
      <x:c r="A364" s="19"/>
      <x:c r="B364" s="19"/>
      <x:c r="C364" s="19"/>
      <x:c r="D364" s="19"/>
      <x:c r="E364" s="62"/>
      <x:c r="F364" s="25"/>
      <x:c r="G364" s="24"/>
      <x:c r="H364" s="19"/>
      <x:c r="I364" s="19"/>
      <x:c r="J364" s="26"/>
    </x:row>
    <x:row r="365">
      <x:c r="A365" s="19"/>
      <x:c r="B365" s="19"/>
      <x:c r="C365" s="19"/>
      <x:c r="D365" s="19"/>
      <x:c r="E365" s="62"/>
      <x:c r="F365" s="25"/>
      <x:c r="G365" s="24"/>
      <x:c r="H365" s="19"/>
      <x:c r="I365" s="19"/>
      <x:c r="J365" s="26"/>
    </x:row>
    <x:row r="366">
      <x:c r="A366" s="19"/>
      <x:c r="B366" s="19"/>
      <x:c r="C366" s="19"/>
      <x:c r="D366" s="19"/>
      <x:c r="E366" s="62"/>
      <x:c r="F366" s="25"/>
      <x:c r="G366" s="24"/>
      <x:c r="H366" s="19"/>
      <x:c r="I366" s="19"/>
      <x:c r="J366" s="26"/>
    </x:row>
    <x:row r="367">
      <x:c r="A367" s="19"/>
      <x:c r="B367" s="19"/>
      <x:c r="C367" s="19"/>
      <x:c r="D367" s="19"/>
      <x:c r="E367" s="62"/>
      <x:c r="F367" s="25"/>
      <x:c r="G367" s="24"/>
      <x:c r="H367" s="19"/>
      <x:c r="I367" s="19"/>
      <x:c r="J367" s="26"/>
    </x:row>
    <x:row r="368">
      <x:c r="A368" s="19"/>
      <x:c r="B368" s="19"/>
      <x:c r="C368" s="19"/>
      <x:c r="D368" s="19"/>
      <x:c r="E368" s="62"/>
      <x:c r="F368" s="25"/>
      <x:c r="G368" s="24"/>
      <x:c r="H368" s="19"/>
      <x:c r="I368" s="19"/>
      <x:c r="J368" s="26"/>
    </x:row>
    <x:row r="369">
      <x:c r="A369" s="19"/>
      <x:c r="B369" s="19"/>
      <x:c r="C369" s="19"/>
      <x:c r="D369" s="19"/>
      <x:c r="E369" s="62"/>
      <x:c r="F369" s="25"/>
      <x:c r="G369" s="24"/>
      <x:c r="H369" s="19"/>
      <x:c r="I369" s="19"/>
      <x:c r="J369" s="26"/>
    </x:row>
    <x:row r="370">
      <x:c r="A370" s="19"/>
      <x:c r="B370" s="19"/>
      <x:c r="C370" s="19"/>
      <x:c r="D370" s="19"/>
      <x:c r="E370" s="62"/>
      <x:c r="F370" s="25"/>
      <x:c r="G370" s="24"/>
      <x:c r="H370" s="19"/>
      <x:c r="I370" s="19"/>
      <x:c r="J370" s="26"/>
    </x:row>
    <x:row r="371">
      <x:c r="A371" s="19"/>
      <x:c r="B371" s="19"/>
      <x:c r="C371" s="19"/>
      <x:c r="D371" s="19"/>
      <x:c r="E371" s="62"/>
      <x:c r="F371" s="25"/>
      <x:c r="G371" s="24"/>
      <x:c r="H371" s="19"/>
      <x:c r="I371" s="19"/>
      <x:c r="J371" s="26"/>
    </x:row>
    <x:row r="372">
      <x:c r="A372" s="19"/>
      <x:c r="B372" s="19"/>
      <x:c r="C372" s="19"/>
      <x:c r="D372" s="19"/>
      <x:c r="E372" s="62"/>
      <x:c r="F372" s="25"/>
      <x:c r="G372" s="24"/>
      <x:c r="H372" s="19"/>
      <x:c r="I372" s="19"/>
      <x:c r="J372" s="26"/>
    </x:row>
    <x:row r="373">
      <x:c r="A373" s="19"/>
      <x:c r="B373" s="19"/>
      <x:c r="C373" s="19"/>
      <x:c r="D373" s="19"/>
      <x:c r="E373" s="62"/>
      <x:c r="F373" s="25"/>
      <x:c r="G373" s="24"/>
      <x:c r="H373" s="19"/>
      <x:c r="I373" s="19"/>
      <x:c r="J373" s="26"/>
    </x:row>
    <x:row r="374">
      <x:c r="A374" s="19"/>
      <x:c r="B374" s="19"/>
      <x:c r="C374" s="19"/>
      <x:c r="D374" s="19"/>
      <x:c r="E374" s="62"/>
      <x:c r="F374" s="25"/>
      <x:c r="G374" s="24"/>
      <x:c r="H374" s="19"/>
      <x:c r="I374" s="19"/>
      <x:c r="J374" s="26"/>
    </x:row>
    <x:row r="375">
      <x:c r="A375" s="19"/>
      <x:c r="B375" s="19"/>
      <x:c r="C375" s="19"/>
      <x:c r="D375" s="19"/>
      <x:c r="E375" s="62"/>
      <x:c r="F375" s="25"/>
      <x:c r="G375" s="24"/>
      <x:c r="H375" s="19"/>
      <x:c r="I375" s="19"/>
      <x:c r="J375" s="26"/>
    </x:row>
    <x:row r="376">
      <x:c r="A376" s="19"/>
      <x:c r="B376" s="19"/>
      <x:c r="C376" s="19"/>
      <x:c r="D376" s="19"/>
      <x:c r="E376" s="62"/>
      <x:c r="F376" s="25"/>
      <x:c r="G376" s="24"/>
      <x:c r="H376" s="19"/>
      <x:c r="I376" s="19"/>
      <x:c r="J376" s="26"/>
    </x:row>
    <x:row r="377">
      <x:c r="A377" s="19"/>
      <x:c r="B377" s="19"/>
      <x:c r="C377" s="19"/>
      <x:c r="D377" s="19"/>
      <x:c r="E377" s="62"/>
      <x:c r="F377" s="25"/>
      <x:c r="G377" s="24"/>
      <x:c r="H377" s="19"/>
      <x:c r="I377" s="19"/>
      <x:c r="J377" s="26"/>
    </x:row>
    <x:row r="378">
      <x:c r="A378" s="19"/>
      <x:c r="B378" s="19"/>
      <x:c r="C378" s="19"/>
      <x:c r="D378" s="19"/>
      <x:c r="E378" s="62"/>
      <x:c r="F378" s="25"/>
      <x:c r="G378" s="24"/>
      <x:c r="H378" s="19"/>
      <x:c r="I378" s="19"/>
      <x:c r="J378" s="26"/>
    </x:row>
    <x:row r="379">
      <x:c r="A379" s="19"/>
      <x:c r="B379" s="19"/>
      <x:c r="C379" s="19"/>
      <x:c r="D379" s="19"/>
      <x:c r="E379" s="62"/>
      <x:c r="F379" s="25"/>
      <x:c r="G379" s="24"/>
      <x:c r="H379" s="19"/>
      <x:c r="I379" s="19"/>
      <x:c r="J379" s="26"/>
    </x:row>
    <x:row r="380">
      <x:c r="A380" s="19"/>
      <x:c r="B380" s="19"/>
      <x:c r="C380" s="19"/>
      <x:c r="D380" s="19"/>
      <x:c r="E380" s="62"/>
      <x:c r="F380" s="25"/>
      <x:c r="G380" s="24"/>
      <x:c r="H380" s="19"/>
      <x:c r="I380" s="19"/>
      <x:c r="J380" s="26"/>
    </x:row>
    <x:row r="381">
      <x:c r="A381" s="19"/>
      <x:c r="B381" s="19"/>
      <x:c r="C381" s="19"/>
      <x:c r="D381" s="19"/>
      <x:c r="E381" s="62"/>
      <x:c r="F381" s="25"/>
      <x:c r="G381" s="24"/>
      <x:c r="H381" s="19"/>
      <x:c r="I381" s="19"/>
      <x:c r="J381" s="26"/>
    </x:row>
    <x:row r="382">
      <x:c r="A382" s="19"/>
      <x:c r="B382" s="19"/>
      <x:c r="C382" s="19"/>
      <x:c r="D382" s="19"/>
      <x:c r="E382" s="62"/>
      <x:c r="F382" s="25"/>
      <x:c r="G382" s="24"/>
      <x:c r="H382" s="19"/>
      <x:c r="I382" s="19"/>
      <x:c r="J382" s="26"/>
    </x:row>
    <x:row r="383">
      <x:c r="A383" s="19"/>
      <x:c r="B383" s="19"/>
      <x:c r="C383" s="19"/>
      <x:c r="D383" s="19"/>
      <x:c r="E383" s="62"/>
      <x:c r="F383" s="25"/>
      <x:c r="G383" s="24"/>
      <x:c r="H383" s="19"/>
      <x:c r="I383" s="19"/>
      <x:c r="J383" s="26"/>
    </x:row>
    <x:row r="384">
      <x:c r="A384" s="19"/>
      <x:c r="B384" s="19"/>
      <x:c r="C384" s="19"/>
      <x:c r="D384" s="19"/>
      <x:c r="E384" s="62"/>
      <x:c r="F384" s="25"/>
      <x:c r="G384" s="24"/>
      <x:c r="H384" s="19"/>
      <x:c r="I384" s="19"/>
      <x:c r="J384" s="26"/>
    </x:row>
    <x:row r="385">
      <x:c r="A385" s="19"/>
      <x:c r="B385" s="19"/>
      <x:c r="C385" s="19"/>
      <x:c r="D385" s="19"/>
      <x:c r="E385" s="62"/>
      <x:c r="F385" s="25"/>
      <x:c r="G385" s="24"/>
      <x:c r="H385" s="19"/>
      <x:c r="I385" s="19"/>
      <x:c r="J385" s="26"/>
    </x:row>
    <x:row r="386">
      <x:c r="A386" s="19"/>
      <x:c r="B386" s="19"/>
      <x:c r="C386" s="19"/>
      <x:c r="D386" s="19"/>
      <x:c r="E386" s="62"/>
      <x:c r="F386" s="25"/>
      <x:c r="G386" s="24"/>
      <x:c r="H386" s="19"/>
      <x:c r="I386" s="19"/>
      <x:c r="J386" s="26"/>
    </x:row>
    <x:row r="387">
      <x:c r="A387" s="19"/>
      <x:c r="B387" s="19"/>
      <x:c r="C387" s="19"/>
      <x:c r="D387" s="19"/>
      <x:c r="E387" s="62"/>
      <x:c r="F387" s="25"/>
      <x:c r="G387" s="24"/>
      <x:c r="H387" s="19"/>
      <x:c r="I387" s="19"/>
      <x:c r="J387" s="26"/>
    </x:row>
    <x:row r="388">
      <x:c r="A388" s="19"/>
      <x:c r="B388" s="19"/>
      <x:c r="C388" s="19"/>
      <x:c r="D388" s="19"/>
      <x:c r="E388" s="62"/>
      <x:c r="F388" s="25"/>
      <x:c r="G388" s="24"/>
      <x:c r="H388" s="19"/>
      <x:c r="I388" s="19"/>
      <x:c r="J388" s="26"/>
    </x:row>
    <x:row r="389">
      <x:c r="A389" s="19"/>
      <x:c r="B389" s="19"/>
      <x:c r="C389" s="19"/>
      <x:c r="D389" s="19"/>
      <x:c r="E389" s="62"/>
      <x:c r="F389" s="25"/>
      <x:c r="G389" s="24"/>
      <x:c r="H389" s="19"/>
      <x:c r="I389" s="19"/>
      <x:c r="J389" s="26"/>
    </x:row>
    <x:row r="390">
      <x:c r="A390" s="19"/>
      <x:c r="B390" s="19"/>
      <x:c r="C390" s="19"/>
      <x:c r="D390" s="19"/>
      <x:c r="E390" s="62"/>
      <x:c r="F390" s="25"/>
      <x:c r="G390" s="24"/>
      <x:c r="H390" s="19"/>
      <x:c r="I390" s="19"/>
      <x:c r="J390" s="26"/>
    </x:row>
    <x:row r="391">
      <x:c r="A391" s="19"/>
      <x:c r="B391" s="19"/>
      <x:c r="C391" s="19"/>
      <x:c r="D391" s="19"/>
      <x:c r="E391" s="62"/>
      <x:c r="F391" s="25"/>
      <x:c r="G391" s="24"/>
      <x:c r="H391" s="19"/>
      <x:c r="I391" s="19"/>
      <x:c r="J391" s="26"/>
    </x:row>
    <x:row r="392">
      <x:c r="A392" s="19"/>
      <x:c r="B392" s="19"/>
      <x:c r="C392" s="19"/>
      <x:c r="D392" s="19"/>
      <x:c r="E392" s="62"/>
      <x:c r="F392" s="25"/>
      <x:c r="G392" s="24"/>
      <x:c r="H392" s="19"/>
      <x:c r="I392" s="19"/>
      <x:c r="J392" s="26"/>
    </x:row>
    <x:row r="393">
      <x:c r="A393" s="19"/>
      <x:c r="B393" s="19"/>
      <x:c r="C393" s="19"/>
      <x:c r="D393" s="19"/>
      <x:c r="E393" s="62"/>
      <x:c r="F393" s="25"/>
      <x:c r="G393" s="24"/>
      <x:c r="H393" s="19"/>
      <x:c r="I393" s="19"/>
      <x:c r="J393" s="26"/>
    </x:row>
    <x:row r="394">
      <x:c r="A394" s="19"/>
      <x:c r="B394" s="19"/>
      <x:c r="C394" s="19"/>
      <x:c r="D394" s="19"/>
      <x:c r="E394" s="62"/>
      <x:c r="F394" s="25"/>
      <x:c r="G394" s="24"/>
      <x:c r="H394" s="19"/>
      <x:c r="I394" s="19"/>
      <x:c r="J394" s="26"/>
    </x:row>
    <x:row r="395">
      <x:c r="A395" s="19"/>
      <x:c r="B395" s="19"/>
      <x:c r="C395" s="19"/>
      <x:c r="D395" s="19"/>
      <x:c r="E395" s="62"/>
      <x:c r="F395" s="25"/>
      <x:c r="G395" s="24"/>
      <x:c r="H395" s="19"/>
      <x:c r="I395" s="19"/>
      <x:c r="J395" s="26"/>
    </x:row>
    <x:row r="396">
      <x:c r="A396" s="19"/>
      <x:c r="B396" s="19"/>
      <x:c r="C396" s="19"/>
      <x:c r="D396" s="19"/>
      <x:c r="E396" s="62"/>
      <x:c r="F396" s="25"/>
      <x:c r="G396" s="24"/>
      <x:c r="H396" s="19"/>
      <x:c r="I396" s="19"/>
      <x:c r="J396" s="26"/>
    </x:row>
    <x:row r="397">
      <x:c r="A397" s="19"/>
      <x:c r="B397" s="19"/>
      <x:c r="C397" s="19"/>
      <x:c r="D397" s="19"/>
      <x:c r="E397" s="62"/>
      <x:c r="F397" s="25"/>
      <x:c r="G397" s="24"/>
      <x:c r="H397" s="19"/>
      <x:c r="I397" s="19"/>
      <x:c r="J397" s="26"/>
    </x:row>
    <x:row r="398">
      <x:c r="A398" s="19"/>
      <x:c r="B398" s="19"/>
      <x:c r="C398" s="19"/>
      <x:c r="D398" s="19"/>
      <x:c r="E398" s="62"/>
      <x:c r="F398" s="25"/>
      <x:c r="G398" s="24"/>
      <x:c r="H398" s="19"/>
      <x:c r="I398" s="19"/>
      <x:c r="J398" s="26"/>
    </x:row>
    <x:row r="399">
      <x:c r="A399" s="19"/>
      <x:c r="B399" s="19"/>
      <x:c r="C399" s="19"/>
      <x:c r="D399" s="19"/>
      <x:c r="E399" s="62"/>
      <x:c r="F399" s="25"/>
      <x:c r="G399" s="24"/>
      <x:c r="H399" s="19"/>
      <x:c r="I399" s="19"/>
      <x:c r="J399" s="26"/>
    </x:row>
    <x:row r="400">
      <x:c r="A400" s="19"/>
      <x:c r="B400" s="19"/>
      <x:c r="C400" s="19"/>
      <x:c r="D400" s="19"/>
      <x:c r="E400" s="62"/>
      <x:c r="F400" s="25"/>
      <x:c r="G400" s="24"/>
      <x:c r="H400" s="19"/>
      <x:c r="I400" s="19"/>
      <x:c r="J400" s="26"/>
    </x:row>
    <x:row r="401">
      <x:c r="A401" s="19"/>
      <x:c r="B401" s="19"/>
      <x:c r="C401" s="19"/>
      <x:c r="D401" s="19"/>
      <x:c r="E401" s="62"/>
      <x:c r="F401" s="25"/>
      <x:c r="G401" s="24"/>
      <x:c r="H401" s="19"/>
      <x:c r="I401" s="19"/>
      <x:c r="J401" s="26"/>
    </x:row>
    <x:row r="402">
      <x:c r="A402" s="19"/>
      <x:c r="B402" s="19"/>
      <x:c r="C402" s="19"/>
      <x:c r="D402" s="19"/>
      <x:c r="E402" s="62"/>
      <x:c r="F402" s="25"/>
      <x:c r="G402" s="24"/>
      <x:c r="H402" s="19"/>
      <x:c r="I402" s="19"/>
      <x:c r="J402" s="26"/>
    </x:row>
    <x:row r="403">
      <x:c r="A403" s="19"/>
      <x:c r="B403" s="19"/>
      <x:c r="C403" s="19"/>
      <x:c r="D403" s="19"/>
      <x:c r="E403" s="62"/>
      <x:c r="F403" s="25"/>
      <x:c r="G403" s="24"/>
      <x:c r="H403" s="19"/>
      <x:c r="I403" s="19"/>
      <x:c r="J403" s="26"/>
    </x:row>
    <x:row r="404">
      <x:c r="A404" s="19"/>
      <x:c r="B404" s="19"/>
      <x:c r="C404" s="19"/>
      <x:c r="D404" s="19"/>
      <x:c r="E404" s="62"/>
      <x:c r="F404" s="25"/>
      <x:c r="G404" s="24"/>
      <x:c r="H404" s="19"/>
      <x:c r="I404" s="19"/>
      <x:c r="J404" s="26"/>
    </x:row>
    <x:row r="405">
      <x:c r="A405" s="19"/>
      <x:c r="B405" s="19"/>
      <x:c r="C405" s="19"/>
      <x:c r="D405" s="19"/>
      <x:c r="E405" s="62"/>
      <x:c r="F405" s="25"/>
      <x:c r="G405" s="24"/>
      <x:c r="H405" s="19"/>
      <x:c r="I405" s="19"/>
      <x:c r="J405" s="26"/>
    </x:row>
    <x:row r="406">
      <x:c r="A406" s="19"/>
      <x:c r="B406" s="19"/>
      <x:c r="C406" s="19"/>
      <x:c r="D406" s="19"/>
      <x:c r="E406" s="62"/>
      <x:c r="F406" s="25"/>
      <x:c r="G406" s="24"/>
      <x:c r="H406" s="19"/>
      <x:c r="I406" s="19"/>
      <x:c r="J406" s="26"/>
    </x:row>
    <x:row r="407">
      <x:c r="A407" s="19"/>
      <x:c r="B407" s="19"/>
      <x:c r="C407" s="19"/>
      <x:c r="D407" s="19"/>
      <x:c r="E407" s="62"/>
      <x:c r="F407" s="25"/>
      <x:c r="G407" s="24"/>
      <x:c r="H407" s="19"/>
      <x:c r="I407" s="19"/>
      <x:c r="J407" s="26"/>
    </x:row>
    <x:row r="408">
      <x:c r="A408" s="19"/>
      <x:c r="B408" s="19"/>
      <x:c r="C408" s="19"/>
      <x:c r="D408" s="19"/>
      <x:c r="E408" s="62"/>
      <x:c r="F408" s="25"/>
      <x:c r="G408" s="24"/>
      <x:c r="H408" s="19"/>
      <x:c r="I408" s="19"/>
      <x:c r="J408" s="26"/>
    </x:row>
    <x:row r="409">
      <x:c r="A409" s="19"/>
      <x:c r="B409" s="19"/>
      <x:c r="C409" s="19"/>
      <x:c r="D409" s="19"/>
      <x:c r="E409" s="62"/>
      <x:c r="F409" s="25"/>
      <x:c r="G409" s="24"/>
      <x:c r="H409" s="19"/>
      <x:c r="I409" s="19"/>
      <x:c r="J409" s="26"/>
    </x:row>
    <x:row r="410">
      <x:c r="A410" s="19"/>
      <x:c r="B410" s="19"/>
      <x:c r="C410" s="19"/>
      <x:c r="D410" s="19"/>
      <x:c r="E410" s="62"/>
      <x:c r="F410" s="25"/>
      <x:c r="G410" s="24"/>
      <x:c r="H410" s="19"/>
      <x:c r="I410" s="19"/>
      <x:c r="J410" s="26"/>
    </x:row>
    <x:row r="411">
      <x:c r="A411" s="19"/>
      <x:c r="B411" s="19"/>
      <x:c r="C411" s="19"/>
      <x:c r="D411" s="19"/>
      <x:c r="E411" s="62"/>
      <x:c r="F411" s="25"/>
      <x:c r="G411" s="24"/>
      <x:c r="H411" s="19"/>
      <x:c r="I411" s="19"/>
      <x:c r="J411" s="26"/>
    </x:row>
    <x:row r="412">
      <x:c r="A412" s="19"/>
      <x:c r="B412" s="19"/>
      <x:c r="C412" s="19"/>
      <x:c r="D412" s="19"/>
      <x:c r="E412" s="62"/>
      <x:c r="F412" s="25"/>
      <x:c r="G412" s="24"/>
      <x:c r="H412" s="19"/>
      <x:c r="I412" s="19"/>
      <x:c r="J412" s="26"/>
    </x:row>
    <x:row r="413">
      <x:c r="A413" s="19"/>
      <x:c r="B413" s="19"/>
      <x:c r="C413" s="19"/>
      <x:c r="D413" s="19"/>
      <x:c r="E413" s="62"/>
      <x:c r="F413" s="25"/>
      <x:c r="G413" s="24"/>
      <x:c r="H413" s="19"/>
      <x:c r="I413" s="19"/>
      <x:c r="J413" s="26"/>
    </x:row>
    <x:row r="414">
      <x:c r="A414" s="19"/>
      <x:c r="B414" s="19"/>
      <x:c r="C414" s="19"/>
      <x:c r="D414" s="19"/>
      <x:c r="E414" s="62"/>
      <x:c r="F414" s="25"/>
      <x:c r="G414" s="24"/>
      <x:c r="H414" s="19"/>
      <x:c r="I414" s="19"/>
      <x:c r="J414" s="26"/>
    </x:row>
    <x:row r="415">
      <x:c r="A415" s="19"/>
      <x:c r="B415" s="19"/>
      <x:c r="C415" s="19"/>
      <x:c r="D415" s="19"/>
      <x:c r="E415" s="62"/>
      <x:c r="F415" s="25"/>
      <x:c r="G415" s="24"/>
      <x:c r="H415" s="19"/>
      <x:c r="I415" s="19"/>
      <x:c r="J415" s="26"/>
    </x:row>
    <x:row r="416">
      <x:c r="A416" s="19"/>
      <x:c r="B416" s="19"/>
      <x:c r="C416" s="19"/>
      <x:c r="D416" s="19"/>
      <x:c r="E416" s="62"/>
      <x:c r="F416" s="25"/>
      <x:c r="G416" s="24"/>
      <x:c r="H416" s="19"/>
      <x:c r="I416" s="19"/>
      <x:c r="J416" s="26"/>
    </x:row>
    <x:row r="417">
      <x:c r="A417" s="19"/>
      <x:c r="B417" s="19"/>
      <x:c r="C417" s="19"/>
      <x:c r="D417" s="19"/>
      <x:c r="E417" s="62"/>
      <x:c r="F417" s="25"/>
      <x:c r="G417" s="24"/>
      <x:c r="H417" s="19"/>
      <x:c r="I417" s="19"/>
      <x:c r="J417" s="26"/>
    </x:row>
    <x:row r="418">
      <x:c r="A418" s="19"/>
      <x:c r="B418" s="19"/>
      <x:c r="C418" s="19"/>
      <x:c r="D418" s="19"/>
      <x:c r="E418" s="62"/>
      <x:c r="F418" s="25"/>
      <x:c r="G418" s="24"/>
      <x:c r="H418" s="19"/>
      <x:c r="I418" s="19"/>
      <x:c r="J418" s="26"/>
    </x:row>
    <x:row r="419">
      <x:c r="A419" s="19"/>
      <x:c r="B419" s="19"/>
      <x:c r="C419" s="19"/>
      <x:c r="D419" s="19"/>
      <x:c r="E419" s="62"/>
      <x:c r="F419" s="25"/>
      <x:c r="G419" s="24"/>
      <x:c r="H419" s="19"/>
      <x:c r="I419" s="19"/>
      <x:c r="J419" s="26"/>
    </x:row>
    <x:row r="420">
      <x:c r="A420" s="19"/>
      <x:c r="B420" s="19"/>
      <x:c r="C420" s="19"/>
      <x:c r="D420" s="19"/>
      <x:c r="E420" s="62"/>
      <x:c r="F420" s="25"/>
      <x:c r="G420" s="24"/>
      <x:c r="H420" s="19"/>
      <x:c r="I420" s="19"/>
      <x:c r="J420" s="26"/>
    </x:row>
    <x:row r="421">
      <x:c r="A421" s="19"/>
      <x:c r="B421" s="19"/>
      <x:c r="C421" s="19"/>
      <x:c r="D421" s="19"/>
      <x:c r="E421" s="62"/>
      <x:c r="F421" s="25"/>
      <x:c r="G421" s="24"/>
      <x:c r="H421" s="19"/>
      <x:c r="I421" s="19"/>
      <x:c r="J421" s="26"/>
    </x:row>
    <x:row r="422">
      <x:c r="A422" s="19"/>
      <x:c r="B422" s="19"/>
      <x:c r="C422" s="19"/>
      <x:c r="D422" s="19"/>
      <x:c r="E422" s="62"/>
      <x:c r="F422" s="25"/>
      <x:c r="G422" s="24"/>
      <x:c r="H422" s="19"/>
      <x:c r="I422" s="19"/>
      <x:c r="J422" s="26"/>
    </x:row>
    <x:row r="423">
      <x:c r="A423" s="19"/>
      <x:c r="B423" s="19"/>
      <x:c r="C423" s="19"/>
      <x:c r="D423" s="19"/>
      <x:c r="E423" s="62"/>
      <x:c r="F423" s="25"/>
      <x:c r="G423" s="24"/>
      <x:c r="H423" s="19"/>
      <x:c r="I423" s="19"/>
      <x:c r="J423" s="26"/>
    </x:row>
    <x:row r="424">
      <x:c r="A424" s="19"/>
      <x:c r="B424" s="19"/>
      <x:c r="C424" s="19"/>
      <x:c r="D424" s="19"/>
      <x:c r="E424" s="62"/>
      <x:c r="F424" s="25"/>
      <x:c r="G424" s="24"/>
      <x:c r="H424" s="19"/>
      <x:c r="I424" s="19"/>
      <x:c r="J424" s="26"/>
    </x:row>
    <x:row r="425">
      <x:c r="A425" s="19"/>
      <x:c r="B425" s="19"/>
      <x:c r="C425" s="19"/>
      <x:c r="D425" s="19"/>
      <x:c r="E425" s="62"/>
      <x:c r="F425" s="25"/>
      <x:c r="G425" s="24"/>
      <x:c r="H425" s="19"/>
      <x:c r="I425" s="19"/>
      <x:c r="J425" s="26"/>
    </x:row>
    <x:row r="426">
      <x:c r="A426" s="19"/>
      <x:c r="B426" s="19"/>
      <x:c r="C426" s="19"/>
      <x:c r="D426" s="19"/>
      <x:c r="E426" s="62"/>
      <x:c r="F426" s="25"/>
      <x:c r="G426" s="24"/>
      <x:c r="H426" s="19"/>
      <x:c r="I426" s="19"/>
      <x:c r="J426" s="26"/>
    </x:row>
    <x:row r="427">
      <x:c r="A427" s="19"/>
      <x:c r="B427" s="19"/>
      <x:c r="C427" s="19"/>
      <x:c r="D427" s="19"/>
      <x:c r="E427" s="62"/>
      <x:c r="F427" s="25"/>
      <x:c r="G427" s="24"/>
      <x:c r="H427" s="19"/>
      <x:c r="I427" s="19"/>
      <x:c r="J427" s="26"/>
    </x:row>
    <x:row r="428">
      <x:c r="A428" s="19"/>
      <x:c r="B428" s="19"/>
      <x:c r="C428" s="19"/>
      <x:c r="D428" s="19"/>
      <x:c r="E428" s="62"/>
      <x:c r="F428" s="25"/>
      <x:c r="G428" s="24"/>
      <x:c r="H428" s="19"/>
      <x:c r="I428" s="19"/>
      <x:c r="J428" s="26"/>
    </x:row>
    <x:row r="429">
      <x:c r="A429" s="19"/>
      <x:c r="B429" s="19"/>
      <x:c r="C429" s="19"/>
      <x:c r="D429" s="19"/>
      <x:c r="E429" s="62"/>
      <x:c r="F429" s="25"/>
      <x:c r="G429" s="24"/>
      <x:c r="H429" s="19"/>
      <x:c r="I429" s="19"/>
      <x:c r="J429" s="26"/>
    </x:row>
    <x:row r="430">
      <x:c r="A430" s="19"/>
      <x:c r="B430" s="19"/>
      <x:c r="C430" s="19"/>
      <x:c r="D430" s="19"/>
      <x:c r="E430" s="62"/>
      <x:c r="F430" s="25"/>
      <x:c r="G430" s="24"/>
      <x:c r="H430" s="19"/>
      <x:c r="I430" s="19"/>
      <x:c r="J430" s="26"/>
    </x:row>
    <x:row r="431">
      <x:c r="A431" s="19"/>
      <x:c r="B431" s="19"/>
      <x:c r="C431" s="19"/>
      <x:c r="D431" s="19"/>
      <x:c r="E431" s="62"/>
      <x:c r="F431" s="25"/>
      <x:c r="G431" s="24"/>
      <x:c r="H431" s="19"/>
      <x:c r="I431" s="19"/>
      <x:c r="J431" s="26"/>
    </x:row>
    <x:row r="432">
      <x:c r="A432" s="19"/>
      <x:c r="B432" s="19"/>
      <x:c r="C432" s="19"/>
      <x:c r="D432" s="19"/>
      <x:c r="E432" s="62"/>
      <x:c r="F432" s="25"/>
      <x:c r="G432" s="24"/>
      <x:c r="H432" s="19"/>
      <x:c r="I432" s="19"/>
      <x:c r="J432" s="26"/>
    </x:row>
    <x:row r="433">
      <x:c r="A433" s="19"/>
      <x:c r="B433" s="19"/>
      <x:c r="C433" s="19"/>
      <x:c r="D433" s="19"/>
      <x:c r="E433" s="62"/>
      <x:c r="F433" s="25"/>
      <x:c r="G433" s="24"/>
      <x:c r="H433" s="19"/>
      <x:c r="I433" s="19"/>
      <x:c r="J433" s="26"/>
    </x:row>
    <x:row r="434">
      <x:c r="A434" s="19"/>
      <x:c r="B434" s="19"/>
      <x:c r="C434" s="19"/>
      <x:c r="D434" s="19"/>
      <x:c r="E434" s="62"/>
      <x:c r="F434" s="25"/>
      <x:c r="G434" s="24"/>
      <x:c r="H434" s="19"/>
      <x:c r="I434" s="19"/>
      <x:c r="J434" s="26"/>
    </x:row>
    <x:row r="435">
      <x:c r="A435" s="19"/>
      <x:c r="B435" s="19"/>
      <x:c r="C435" s="19"/>
      <x:c r="D435" s="19"/>
      <x:c r="E435" s="62"/>
      <x:c r="F435" s="25"/>
      <x:c r="G435" s="24"/>
      <x:c r="H435" s="19"/>
      <x:c r="I435" s="19"/>
      <x:c r="J435" s="26"/>
    </x:row>
    <x:row r="436">
      <x:c r="A436" s="19"/>
      <x:c r="B436" s="19"/>
      <x:c r="C436" s="19"/>
      <x:c r="D436" s="19"/>
      <x:c r="E436" s="62"/>
      <x:c r="F436" s="25"/>
      <x:c r="G436" s="24"/>
      <x:c r="H436" s="19"/>
      <x:c r="I436" s="19"/>
      <x:c r="J436" s="26"/>
    </x:row>
    <x:row r="437">
      <x:c r="A437" s="19"/>
      <x:c r="B437" s="19"/>
      <x:c r="C437" s="19"/>
      <x:c r="D437" s="19"/>
      <x:c r="E437" s="62"/>
      <x:c r="F437" s="25"/>
      <x:c r="G437" s="24"/>
      <x:c r="H437" s="19"/>
      <x:c r="I437" s="19"/>
      <x:c r="J437" s="26"/>
    </x:row>
    <x:row r="438">
      <x:c r="A438" s="19"/>
      <x:c r="B438" s="19"/>
      <x:c r="C438" s="19"/>
      <x:c r="D438" s="19"/>
      <x:c r="E438" s="62"/>
      <x:c r="F438" s="25"/>
      <x:c r="G438" s="24"/>
      <x:c r="H438" s="19"/>
      <x:c r="I438" s="19"/>
      <x:c r="J438" s="26"/>
    </x:row>
    <x:row r="439">
      <x:c r="A439" s="19"/>
      <x:c r="B439" s="19"/>
      <x:c r="C439" s="19"/>
      <x:c r="D439" s="19"/>
      <x:c r="E439" s="62"/>
      <x:c r="F439" s="25"/>
      <x:c r="G439" s="24"/>
      <x:c r="H439" s="19"/>
      <x:c r="I439" s="19"/>
      <x:c r="J439" s="26"/>
    </x:row>
    <x:row r="440">
      <x:c r="A440" s="19"/>
      <x:c r="B440" s="19"/>
      <x:c r="C440" s="19"/>
      <x:c r="D440" s="19"/>
      <x:c r="E440" s="62"/>
      <x:c r="F440" s="25"/>
      <x:c r="G440" s="24"/>
      <x:c r="H440" s="19"/>
      <x:c r="I440" s="19"/>
      <x:c r="J440" s="26"/>
    </x:row>
    <x:row r="441">
      <x:c r="A441" s="19"/>
      <x:c r="B441" s="19"/>
      <x:c r="C441" s="19"/>
      <x:c r="D441" s="19"/>
      <x:c r="E441" s="62"/>
      <x:c r="F441" s="25"/>
      <x:c r="G441" s="24"/>
      <x:c r="H441" s="19"/>
      <x:c r="I441" s="19"/>
      <x:c r="J441" s="26"/>
    </x:row>
    <x:row r="442">
      <x:c r="A442" s="19"/>
      <x:c r="B442" s="19"/>
      <x:c r="C442" s="19"/>
      <x:c r="D442" s="19"/>
      <x:c r="E442" s="62"/>
      <x:c r="F442" s="25"/>
      <x:c r="G442" s="24"/>
      <x:c r="H442" s="19"/>
      <x:c r="I442" s="19"/>
      <x:c r="J442" s="26"/>
    </x:row>
    <x:row r="443">
      <x:c r="A443" s="19"/>
      <x:c r="B443" s="19"/>
      <x:c r="C443" s="19"/>
      <x:c r="D443" s="19"/>
      <x:c r="E443" s="62"/>
      <x:c r="F443" s="25"/>
      <x:c r="G443" s="24"/>
      <x:c r="H443" s="19"/>
      <x:c r="I443" s="19"/>
      <x:c r="J443" s="26"/>
    </x:row>
    <x:row r="444">
      <x:c r="A444" s="19"/>
      <x:c r="B444" s="19"/>
      <x:c r="C444" s="19"/>
      <x:c r="D444" s="19"/>
      <x:c r="E444" s="62"/>
      <x:c r="F444" s="25"/>
      <x:c r="G444" s="24"/>
      <x:c r="H444" s="19"/>
      <x:c r="I444" s="19"/>
      <x:c r="J444" s="26"/>
    </x:row>
    <x:row r="445">
      <x:c r="A445" s="19"/>
      <x:c r="B445" s="19"/>
      <x:c r="C445" s="19"/>
      <x:c r="D445" s="19"/>
      <x:c r="E445" s="62"/>
      <x:c r="F445" s="25"/>
      <x:c r="G445" s="24"/>
      <x:c r="H445" s="19"/>
      <x:c r="I445" s="19"/>
      <x:c r="J445" s="26"/>
    </x:row>
    <x:row r="446">
      <x:c r="A446" s="19"/>
      <x:c r="B446" s="19"/>
      <x:c r="C446" s="19"/>
      <x:c r="D446" s="19"/>
      <x:c r="E446" s="62"/>
      <x:c r="F446" s="25"/>
      <x:c r="G446" s="24"/>
      <x:c r="H446" s="19"/>
      <x:c r="I446" s="19"/>
      <x:c r="J446" s="26"/>
    </x:row>
    <x:row r="447">
      <x:c r="A447" s="19"/>
      <x:c r="B447" s="19"/>
      <x:c r="C447" s="19"/>
      <x:c r="D447" s="19"/>
      <x:c r="E447" s="62"/>
      <x:c r="F447" s="25"/>
      <x:c r="G447" s="24"/>
      <x:c r="H447" s="19"/>
      <x:c r="I447" s="19"/>
      <x:c r="J447" s="26"/>
    </x:row>
    <x:row r="448">
      <x:c r="A448" s="19"/>
      <x:c r="B448" s="19"/>
      <x:c r="C448" s="19"/>
      <x:c r="D448" s="19"/>
      <x:c r="E448" s="62"/>
      <x:c r="F448" s="25"/>
      <x:c r="G448" s="24"/>
      <x:c r="H448" s="19"/>
      <x:c r="I448" s="19"/>
      <x:c r="J448" s="26"/>
    </x:row>
    <x:row r="449">
      <x:c r="A449" s="19"/>
      <x:c r="B449" s="19"/>
      <x:c r="C449" s="19"/>
      <x:c r="D449" s="19"/>
      <x:c r="E449" s="62"/>
      <x:c r="F449" s="25"/>
      <x:c r="G449" s="24"/>
      <x:c r="H449" s="19"/>
      <x:c r="I449" s="19"/>
      <x:c r="J449" s="26"/>
    </x:row>
    <x:row r="450">
      <x:c r="A450" s="19"/>
      <x:c r="B450" s="19"/>
      <x:c r="C450" s="19"/>
      <x:c r="D450" s="19"/>
      <x:c r="E450" s="62"/>
      <x:c r="F450" s="25"/>
      <x:c r="G450" s="24"/>
      <x:c r="H450" s="19"/>
      <x:c r="I450" s="19"/>
      <x:c r="J450" s="26"/>
    </x:row>
    <x:row r="451">
      <x:c r="A451" s="19"/>
      <x:c r="B451" s="19"/>
      <x:c r="C451" s="19"/>
      <x:c r="D451" s="19"/>
      <x:c r="E451" s="62"/>
      <x:c r="F451" s="25"/>
      <x:c r="G451" s="24"/>
      <x:c r="H451" s="19"/>
      <x:c r="I451" s="19"/>
      <x:c r="J451" s="26"/>
    </x:row>
    <x:row r="452">
      <x:c r="A452" s="19"/>
      <x:c r="B452" s="19"/>
      <x:c r="C452" s="19"/>
      <x:c r="D452" s="19"/>
      <x:c r="E452" s="62"/>
      <x:c r="F452" s="25"/>
      <x:c r="G452" s="24"/>
      <x:c r="H452" s="19"/>
      <x:c r="I452" s="19"/>
      <x:c r="J452" s="26"/>
    </x:row>
    <x:row r="453">
      <x:c r="A453" s="19"/>
      <x:c r="B453" s="19"/>
      <x:c r="C453" s="19"/>
      <x:c r="D453" s="19"/>
      <x:c r="E453" s="62"/>
      <x:c r="F453" s="25"/>
      <x:c r="G453" s="24"/>
      <x:c r="H453" s="19"/>
      <x:c r="I453" s="19"/>
      <x:c r="J453" s="26"/>
    </x:row>
    <x:row r="454">
      <x:c r="A454" s="19"/>
      <x:c r="B454" s="19"/>
      <x:c r="C454" s="19"/>
      <x:c r="D454" s="19"/>
      <x:c r="E454" s="62"/>
      <x:c r="F454" s="25"/>
      <x:c r="G454" s="24"/>
      <x:c r="H454" s="19"/>
      <x:c r="I454" s="19"/>
      <x:c r="J454" s="26"/>
    </x:row>
    <x:row r="455">
      <x:c r="A455" s="19"/>
      <x:c r="B455" s="19"/>
      <x:c r="C455" s="19"/>
      <x:c r="D455" s="19"/>
      <x:c r="E455" s="62"/>
      <x:c r="F455" s="25"/>
      <x:c r="G455" s="24"/>
      <x:c r="H455" s="19"/>
      <x:c r="I455" s="19"/>
      <x:c r="J455" s="26"/>
    </x:row>
    <x:row r="456">
      <x:c r="A456" s="19"/>
      <x:c r="B456" s="19"/>
      <x:c r="C456" s="19"/>
      <x:c r="D456" s="19"/>
      <x:c r="E456" s="62"/>
      <x:c r="F456" s="25"/>
      <x:c r="G456" s="24"/>
      <x:c r="H456" s="19"/>
      <x:c r="I456" s="19"/>
      <x:c r="J456" s="26"/>
    </x:row>
    <x:row r="457">
      <x:c r="A457" s="19"/>
      <x:c r="B457" s="19"/>
      <x:c r="C457" s="19"/>
      <x:c r="D457" s="19"/>
      <x:c r="E457" s="62"/>
      <x:c r="F457" s="25"/>
      <x:c r="G457" s="24"/>
      <x:c r="H457" s="19"/>
      <x:c r="I457" s="19"/>
      <x:c r="J457" s="26"/>
    </x:row>
    <x:row r="458">
      <x:c r="A458" s="19"/>
      <x:c r="B458" s="19"/>
      <x:c r="C458" s="19"/>
      <x:c r="D458" s="19"/>
      <x:c r="E458" s="62"/>
      <x:c r="F458" s="25"/>
      <x:c r="G458" s="24"/>
      <x:c r="H458" s="19"/>
      <x:c r="I458" s="19"/>
      <x:c r="J458" s="26"/>
    </x:row>
    <x:row r="459">
      <x:c r="A459" s="19"/>
      <x:c r="B459" s="19"/>
      <x:c r="C459" s="19"/>
      <x:c r="D459" s="19"/>
      <x:c r="E459" s="62"/>
      <x:c r="F459" s="25"/>
      <x:c r="G459" s="24"/>
      <x:c r="H459" s="19"/>
      <x:c r="I459" s="19"/>
      <x:c r="J459" s="26"/>
    </x:row>
    <x:row r="460">
      <x:c r="A460" s="19"/>
      <x:c r="B460" s="19"/>
      <x:c r="C460" s="19"/>
      <x:c r="D460" s="19"/>
      <x:c r="E460" s="62"/>
      <x:c r="F460" s="25"/>
      <x:c r="G460" s="24"/>
      <x:c r="H460" s="19"/>
      <x:c r="I460" s="19"/>
      <x:c r="J460" s="26"/>
    </x:row>
    <x:row r="461">
      <x:c r="A461" s="19"/>
      <x:c r="B461" s="19"/>
      <x:c r="C461" s="19"/>
      <x:c r="D461" s="19"/>
      <x:c r="E461" s="62"/>
      <x:c r="F461" s="25"/>
      <x:c r="G461" s="24"/>
      <x:c r="H461" s="19"/>
      <x:c r="I461" s="19"/>
      <x:c r="J461" s="26"/>
    </x:row>
    <x:row r="462">
      <x:c r="A462" s="19"/>
      <x:c r="B462" s="19"/>
      <x:c r="C462" s="19"/>
      <x:c r="D462" s="19"/>
      <x:c r="E462" s="62"/>
      <x:c r="F462" s="25"/>
      <x:c r="G462" s="24"/>
      <x:c r="H462" s="19"/>
      <x:c r="I462" s="19"/>
      <x:c r="J462" s="26"/>
    </x:row>
    <x:row r="463">
      <x:c r="A463" s="19"/>
      <x:c r="B463" s="19"/>
      <x:c r="C463" s="19"/>
      <x:c r="D463" s="19"/>
      <x:c r="E463" s="62"/>
      <x:c r="F463" s="25"/>
      <x:c r="G463" s="24"/>
      <x:c r="H463" s="19"/>
      <x:c r="I463" s="19"/>
      <x:c r="J463" s="26"/>
    </x:row>
    <x:row r="464">
      <x:c r="A464" s="19"/>
      <x:c r="B464" s="19"/>
      <x:c r="C464" s="19"/>
      <x:c r="D464" s="19"/>
      <x:c r="E464" s="62"/>
      <x:c r="F464" s="25"/>
      <x:c r="G464" s="24"/>
      <x:c r="H464" s="19"/>
      <x:c r="I464" s="19"/>
      <x:c r="J464" s="26"/>
    </x:row>
    <x:row r="465">
      <x:c r="A465" s="19"/>
      <x:c r="B465" s="19"/>
      <x:c r="C465" s="19"/>
      <x:c r="D465" s="19"/>
      <x:c r="E465" s="62"/>
      <x:c r="F465" s="25"/>
      <x:c r="G465" s="24"/>
      <x:c r="H465" s="19"/>
      <x:c r="I465" s="19"/>
      <x:c r="J465" s="26"/>
    </x:row>
    <x:row r="466">
      <x:c r="A466" s="19"/>
      <x:c r="B466" s="19"/>
      <x:c r="C466" s="19"/>
      <x:c r="D466" s="19"/>
      <x:c r="E466" s="62"/>
      <x:c r="F466" s="25"/>
      <x:c r="G466" s="24"/>
      <x:c r="H466" s="19"/>
      <x:c r="I466" s="19"/>
      <x:c r="J466" s="26"/>
    </x:row>
    <x:row r="467">
      <x:c r="A467" s="19"/>
      <x:c r="B467" s="19"/>
      <x:c r="C467" s="19"/>
      <x:c r="D467" s="19"/>
      <x:c r="E467" s="62"/>
      <x:c r="F467" s="25"/>
      <x:c r="G467" s="24"/>
      <x:c r="H467" s="19"/>
      <x:c r="I467" s="19"/>
      <x:c r="J467" s="26"/>
    </x:row>
    <x:row r="468">
      <x:c r="A468" s="19"/>
      <x:c r="B468" s="19"/>
      <x:c r="C468" s="19"/>
      <x:c r="D468" s="19"/>
      <x:c r="E468" s="62"/>
      <x:c r="F468" s="25"/>
      <x:c r="G468" s="24"/>
      <x:c r="H468" s="19"/>
      <x:c r="I468" s="19"/>
      <x:c r="J468" s="26"/>
    </x:row>
    <x:row r="469">
      <x:c r="A469" s="19"/>
      <x:c r="B469" s="19"/>
      <x:c r="C469" s="19"/>
      <x:c r="D469" s="19"/>
      <x:c r="E469" s="62"/>
      <x:c r="F469" s="25"/>
      <x:c r="G469" s="24"/>
      <x:c r="H469" s="19"/>
      <x:c r="I469" s="19"/>
      <x:c r="J469" s="26"/>
    </x:row>
    <x:row r="470">
      <x:c r="A470" s="19"/>
      <x:c r="B470" s="19"/>
      <x:c r="C470" s="19"/>
      <x:c r="D470" s="19"/>
      <x:c r="E470" s="62"/>
      <x:c r="F470" s="25"/>
      <x:c r="G470" s="24"/>
      <x:c r="H470" s="19"/>
      <x:c r="I470" s="19"/>
      <x:c r="J470" s="26"/>
    </x:row>
    <x:row r="471">
      <x:c r="A471" s="19"/>
      <x:c r="B471" s="19"/>
      <x:c r="C471" s="19"/>
      <x:c r="D471" s="19"/>
      <x:c r="E471" s="62"/>
      <x:c r="F471" s="25"/>
      <x:c r="G471" s="24"/>
      <x:c r="H471" s="19"/>
      <x:c r="I471" s="19"/>
      <x:c r="J471" s="26"/>
    </x:row>
    <x:row r="472">
      <x:c r="A472" s="19"/>
      <x:c r="B472" s="19"/>
      <x:c r="C472" s="19"/>
      <x:c r="D472" s="19"/>
      <x:c r="E472" s="62"/>
      <x:c r="F472" s="25"/>
      <x:c r="G472" s="24"/>
      <x:c r="H472" s="19"/>
      <x:c r="I472" s="19"/>
      <x:c r="J472" s="26"/>
    </x:row>
    <x:row r="473">
      <x:c r="A473" s="19"/>
      <x:c r="B473" s="19"/>
      <x:c r="C473" s="19"/>
      <x:c r="D473" s="19"/>
      <x:c r="E473" s="62"/>
      <x:c r="F473" s="25"/>
      <x:c r="G473" s="24"/>
      <x:c r="H473" s="19"/>
      <x:c r="I473" s="19"/>
      <x:c r="J473" s="26"/>
    </x:row>
    <x:row r="474">
      <x:c r="A474" s="19"/>
      <x:c r="B474" s="19"/>
      <x:c r="C474" s="19"/>
      <x:c r="D474" s="19"/>
      <x:c r="E474" s="62"/>
      <x:c r="F474" s="25"/>
      <x:c r="G474" s="24"/>
      <x:c r="H474" s="19"/>
      <x:c r="I474" s="19"/>
      <x:c r="J474" s="26"/>
    </x:row>
    <x:row r="475">
      <x:c r="A475" s="19"/>
      <x:c r="B475" s="19"/>
      <x:c r="C475" s="19"/>
      <x:c r="D475" s="19"/>
      <x:c r="E475" s="62"/>
      <x:c r="F475" s="25"/>
      <x:c r="G475" s="24"/>
      <x:c r="H475" s="19"/>
      <x:c r="I475" s="19"/>
      <x:c r="J475" s="26"/>
    </x:row>
    <x:row r="476">
      <x:c r="A476" s="19"/>
      <x:c r="B476" s="19"/>
      <x:c r="C476" s="19"/>
      <x:c r="D476" s="19"/>
      <x:c r="E476" s="62"/>
      <x:c r="F476" s="25"/>
      <x:c r="G476" s="24"/>
      <x:c r="H476" s="19"/>
      <x:c r="I476" s="19"/>
      <x:c r="J476" s="26"/>
    </x:row>
    <x:row r="477">
      <x:c r="A477" s="19"/>
      <x:c r="B477" s="19"/>
      <x:c r="C477" s="19"/>
      <x:c r="D477" s="19"/>
      <x:c r="E477" s="62"/>
      <x:c r="F477" s="25"/>
      <x:c r="G477" s="24"/>
      <x:c r="H477" s="19"/>
      <x:c r="I477" s="19"/>
      <x:c r="J477" s="26"/>
    </x:row>
    <x:row r="478">
      <x:c r="A478" s="19"/>
      <x:c r="B478" s="19"/>
      <x:c r="C478" s="19"/>
      <x:c r="D478" s="19"/>
      <x:c r="E478" s="62"/>
      <x:c r="F478" s="25"/>
      <x:c r="G478" s="24"/>
      <x:c r="H478" s="19"/>
      <x:c r="I478" s="19"/>
      <x:c r="J478" s="26"/>
    </x:row>
    <x:row r="479">
      <x:c r="A479" s="19"/>
      <x:c r="B479" s="19"/>
      <x:c r="C479" s="19"/>
      <x:c r="D479" s="19"/>
      <x:c r="E479" s="62"/>
      <x:c r="F479" s="25"/>
      <x:c r="G479" s="24"/>
      <x:c r="H479" s="19"/>
      <x:c r="I479" s="19"/>
      <x:c r="J479" s="26"/>
    </x:row>
    <x:row r="480">
      <x:c r="A480" s="19"/>
      <x:c r="B480" s="19"/>
      <x:c r="C480" s="19"/>
      <x:c r="D480" s="19"/>
      <x:c r="E480" s="62"/>
      <x:c r="F480" s="25"/>
      <x:c r="G480" s="24"/>
      <x:c r="H480" s="19"/>
      <x:c r="I480" s="19"/>
      <x:c r="J480" s="26"/>
    </x:row>
    <x:row r="481">
      <x:c r="A481" s="19"/>
      <x:c r="B481" s="19"/>
      <x:c r="C481" s="19"/>
      <x:c r="D481" s="19"/>
      <x:c r="E481" s="62"/>
      <x:c r="F481" s="25"/>
      <x:c r="G481" s="24"/>
      <x:c r="H481" s="19"/>
      <x:c r="I481" s="19"/>
      <x:c r="J481" s="26"/>
    </x:row>
    <x:row r="482">
      <x:c r="A482" s="19"/>
      <x:c r="B482" s="19"/>
      <x:c r="C482" s="19"/>
      <x:c r="D482" s="19"/>
      <x:c r="E482" s="62"/>
      <x:c r="F482" s="25"/>
      <x:c r="G482" s="24"/>
      <x:c r="H482" s="19"/>
      <x:c r="I482" s="19"/>
      <x:c r="J482" s="26"/>
    </x:row>
    <x:row r="483">
      <x:c r="A483" s="19"/>
      <x:c r="B483" s="19"/>
      <x:c r="C483" s="19"/>
      <x:c r="D483" s="19"/>
      <x:c r="E483" s="62"/>
      <x:c r="F483" s="25"/>
      <x:c r="G483" s="24"/>
      <x:c r="H483" s="19"/>
      <x:c r="I483" s="19"/>
      <x:c r="J483" s="26"/>
    </x:row>
    <x:row r="484">
      <x:c r="A484" s="19"/>
      <x:c r="B484" s="19"/>
      <x:c r="C484" s="19"/>
      <x:c r="D484" s="19"/>
      <x:c r="E484" s="62"/>
      <x:c r="F484" s="25"/>
      <x:c r="G484" s="24"/>
      <x:c r="H484" s="19"/>
      <x:c r="I484" s="19"/>
      <x:c r="J484" s="26"/>
    </x:row>
    <x:row r="485">
      <x:c r="A485" s="19"/>
      <x:c r="B485" s="19"/>
      <x:c r="C485" s="19"/>
      <x:c r="D485" s="19"/>
      <x:c r="E485" s="62"/>
      <x:c r="F485" s="25"/>
      <x:c r="G485" s="24"/>
      <x:c r="H485" s="19"/>
      <x:c r="I485" s="19"/>
      <x:c r="J485" s="26"/>
    </x:row>
    <x:row r="486">
      <x:c r="A486" s="19"/>
      <x:c r="B486" s="19"/>
      <x:c r="C486" s="19"/>
      <x:c r="D486" s="19"/>
      <x:c r="E486" s="62"/>
      <x:c r="F486" s="25"/>
      <x:c r="G486" s="24"/>
      <x:c r="H486" s="19"/>
      <x:c r="I486" s="19"/>
      <x:c r="J486" s="26"/>
    </x:row>
    <x:row r="487">
      <x:c r="A487" s="19"/>
      <x:c r="B487" s="19"/>
      <x:c r="C487" s="19"/>
      <x:c r="D487" s="19"/>
      <x:c r="E487" s="62"/>
      <x:c r="F487" s="25"/>
      <x:c r="G487" s="24"/>
      <x:c r="H487" s="19"/>
      <x:c r="I487" s="19"/>
      <x:c r="J487" s="26"/>
    </x:row>
    <x:row r="488">
      <x:c r="A488" s="19"/>
      <x:c r="B488" s="19"/>
      <x:c r="C488" s="19"/>
      <x:c r="D488" s="19"/>
      <x:c r="E488" s="62"/>
      <x:c r="F488" s="25"/>
      <x:c r="G488" s="24"/>
      <x:c r="H488" s="19"/>
      <x:c r="I488" s="19"/>
      <x:c r="J488" s="26"/>
    </x:row>
    <x:row r="489">
      <x:c r="A489" s="19"/>
      <x:c r="B489" s="19"/>
      <x:c r="C489" s="19"/>
      <x:c r="D489" s="19"/>
      <x:c r="E489" s="62"/>
      <x:c r="F489" s="25"/>
      <x:c r="G489" s="24"/>
      <x:c r="H489" s="19"/>
      <x:c r="I489" s="19"/>
      <x:c r="J489" s="26"/>
    </x:row>
    <x:row r="490">
      <x:c r="A490" s="19"/>
      <x:c r="B490" s="19"/>
      <x:c r="C490" s="19"/>
      <x:c r="D490" s="19"/>
      <x:c r="E490" s="62"/>
      <x:c r="F490" s="25"/>
      <x:c r="G490" s="24"/>
      <x:c r="H490" s="19"/>
      <x:c r="I490" s="19"/>
      <x:c r="J490" s="26"/>
    </x:row>
    <x:row r="491">
      <x:c r="A491" s="19"/>
      <x:c r="B491" s="19"/>
      <x:c r="C491" s="19"/>
      <x:c r="D491" s="19"/>
      <x:c r="E491" s="62"/>
      <x:c r="F491" s="25"/>
      <x:c r="G491" s="24"/>
      <x:c r="H491" s="19"/>
      <x:c r="I491" s="19"/>
      <x:c r="J491" s="26"/>
    </x:row>
    <x:row r="492">
      <x:c r="A492" s="19"/>
      <x:c r="B492" s="19"/>
      <x:c r="C492" s="19"/>
      <x:c r="D492" s="19"/>
      <x:c r="E492" s="62"/>
      <x:c r="F492" s="25"/>
      <x:c r="G492" s="24"/>
      <x:c r="H492" s="19"/>
      <x:c r="I492" s="19"/>
      <x:c r="J492" s="26"/>
    </x:row>
    <x:row r="493">
      <x:c r="A493" s="19"/>
      <x:c r="B493" s="19"/>
      <x:c r="C493" s="19"/>
      <x:c r="D493" s="19"/>
      <x:c r="E493" s="62"/>
      <x:c r="F493" s="25"/>
      <x:c r="G493" s="24"/>
      <x:c r="H493" s="19"/>
      <x:c r="I493" s="19"/>
      <x:c r="J493" s="26"/>
    </x:row>
    <x:row r="494">
      <x:c r="A494" s="19"/>
      <x:c r="B494" s="19"/>
      <x:c r="C494" s="19"/>
      <x:c r="D494" s="19"/>
      <x:c r="E494" s="62"/>
      <x:c r="F494" s="25"/>
      <x:c r="G494" s="24"/>
      <x:c r="H494" s="19"/>
      <x:c r="I494" s="19"/>
      <x:c r="J494" s="26"/>
    </x:row>
    <x:row r="495">
      <x:c r="A495" s="19"/>
      <x:c r="B495" s="19"/>
      <x:c r="C495" s="19"/>
      <x:c r="D495" s="19"/>
      <x:c r="E495" s="62"/>
      <x:c r="F495" s="25"/>
      <x:c r="G495" s="24"/>
      <x:c r="H495" s="19"/>
      <x:c r="I495" s="19"/>
      <x:c r="J495" s="26"/>
    </x:row>
    <x:row r="496">
      <x:c r="A496" s="19"/>
      <x:c r="B496" s="19"/>
      <x:c r="C496" s="19"/>
      <x:c r="D496" s="19"/>
      <x:c r="E496" s="62"/>
      <x:c r="F496" s="25"/>
      <x:c r="G496" s="24"/>
      <x:c r="H496" s="19"/>
      <x:c r="I496" s="19"/>
      <x:c r="J496" s="26"/>
    </x:row>
    <x:row r="497">
      <x:c r="A497" s="19"/>
      <x:c r="B497" s="19"/>
      <x:c r="C497" s="19"/>
      <x:c r="D497" s="19"/>
      <x:c r="E497" s="62"/>
      <x:c r="F497" s="25"/>
      <x:c r="G497" s="24"/>
      <x:c r="H497" s="19"/>
      <x:c r="I497" s="19"/>
      <x:c r="J497" s="26"/>
    </x:row>
    <x:row r="498">
      <x:c r="A498" s="19"/>
      <x:c r="B498" s="19"/>
      <x:c r="C498" s="19"/>
      <x:c r="D498" s="19"/>
      <x:c r="E498" s="62"/>
      <x:c r="F498" s="25"/>
      <x:c r="G498" s="24"/>
      <x:c r="H498" s="19"/>
      <x:c r="I498" s="19"/>
      <x:c r="J498" s="26"/>
    </x:row>
    <x:row r="499">
      <x:c r="A499" s="19"/>
      <x:c r="B499" s="19"/>
      <x:c r="C499" s="19"/>
      <x:c r="D499" s="19"/>
      <x:c r="E499" s="62"/>
      <x:c r="F499" s="25"/>
      <x:c r="G499" s="24"/>
      <x:c r="H499" s="19"/>
      <x:c r="I499" s="19"/>
      <x:c r="J499" s="26"/>
    </x:row>
    <x:row r="500">
      <x:c r="A500" s="19"/>
      <x:c r="B500" s="19"/>
      <x:c r="C500" s="19"/>
      <x:c r="D500" s="19"/>
      <x:c r="E500" s="62"/>
      <x:c r="F500" s="25"/>
      <x:c r="G500" s="24"/>
      <x:c r="H500" s="19"/>
      <x:c r="I500" s="19"/>
      <x:c r="J500" s="26"/>
    </x:row>
  </x:sheetData>
  <x:conditionalFormatting sqref="B2:B500">
    <x:cfRule type="expression" dxfId="219" priority="1">
      <x:formula>AND($A2&lt;&gt;"",B2="")</x:formula>
    </x:cfRule>
  </x:conditionalFormatting>
  <x:conditionalFormatting sqref="D2:D500">
    <x:cfRule type="expression" dxfId="220" priority="2">
      <x:formula>AND($A2&lt;&gt;"",D2="")</x:formula>
    </x:cfRule>
  </x:conditionalFormatting>
  <x:conditionalFormatting sqref="E2:E500">
    <x:cfRule type="expression" dxfId="221" priority="3">
      <x:formula>AND($A2&lt;&gt;"",E2="")</x:formula>
    </x:cfRule>
  </x:conditionalFormatting>
  <x:conditionalFormatting sqref="F2:F500">
    <x:cfRule type="expression" dxfId="222" priority="4">
      <x:formula>AND($A2&lt;&gt;"",F2="")</x:formula>
    </x:cfRule>
  </x:conditionalFormatting>
  <x:conditionalFormatting sqref="H2:H500">
    <x:cfRule type="expression" dxfId="223" priority="5">
      <x:formula>AND($A2&lt;&gt;"",H2="")</x:formula>
    </x:cfRule>
  </x:conditionalFormatting>
  <x:conditionalFormatting sqref="J2:J500">
    <x:cfRule type="expression" dxfId="224" priority="6">
      <x:formula>AND($A2&lt;&gt;"",J2="")</x:formula>
    </x:cfRule>
  </x:conditionalFormatting>
  <x:dataValidations count="1">
    <x:dataValidation type="list" sqref="H2:H500">
      <x:formula1>"requested,received,selected,rejected,expired"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065d56262843d2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0" hidden="0" customWidth="1"/>
    <x:col min="5" max="5" width="19" hidden="0" customWidth="1"/>
    <x:col min="6" max="6" width="19" hidden="0" customWidth="1"/>
    <x:col min="7" max="7" width="16" hidden="0" customWidth="1"/>
    <x:col min="8" max="8" width="18" hidden="0" customWidth="1"/>
    <x:col min="9" max="9" width="28" hidden="0" customWidth="1"/>
  </x:cols>
  <x:sheetData>
    <x:row r="1" ht="46" customHeight="1">
      <x:c r="A1" s="12" t="str">
        <x:v>شناسه ارسال *
(shipment_id)</x:v>
      </x:c>
      <x:c r="B1" s="13" t="str">
        <x:v>سفارش *
(order_id)</x:v>
      </x:c>
      <x:c r="C1" s="13" t="str">
        <x:v>حمل‌کننده
(carrier)</x:v>
      </x:c>
      <x:c r="D1" s="13" t="str">
        <x:v>کد رهگیری
(tracking_code)</x:v>
      </x:c>
      <x:c r="E1" s="13" t="str">
        <x:v>زمان ارسال
(shipped_at)</x:v>
      </x:c>
      <x:c r="F1" s="13" t="str">
        <x:v>زمان تحویل
(delivered_at)</x:v>
      </x:c>
      <x:c r="G1" s="13" t="str">
        <x:v>وضعیت *
(status)</x:v>
      </x:c>
      <x:c r="H1" s="13" t="str">
        <x:v>هزینه حمل (ریال)
(shipping_cost)</x:v>
      </x:c>
      <x:c r="I1" s="14" t="str">
        <x:v>توضیحات
(notes)</x:v>
      </x:c>
    </x:row>
    <x:row r="2">
      <x:c r="A2" s="28" t="str">
        <x:v>shp_001</x:v>
      </x:c>
      <x:c r="B2" s="29" t="str">
        <x:v>ord_001</x:v>
      </x:c>
      <x:c r="C2" s="29" t="str">
        <x:v>باربری نمونه</x:v>
      </x:c>
      <x:c r="D2" s="29" t="str">
        <x:v>TRK-001</x:v>
      </x:c>
      <x:c r="E2" s="33" t="n">
        <x:v>46195.5625</x:v>
      </x:c>
      <x:c r="F2" s="33" t="n">
        <x:v>46196.333333333336</x:v>
      </x:c>
      <x:c r="G2" s="29" t="str">
        <x:v>delivered</x:v>
      </x:c>
      <x:c r="H2" s="32" t="n">
        <x:v>0</x:v>
      </x:c>
      <x:c r="I2" s="36" t="str">
        <x:v>تحویل سالم</x:v>
      </x:c>
    </x:row>
    <x:row r="3">
      <x:c r="A3" s="46" t="str">
        <x:v>shp_002</x:v>
      </x:c>
      <x:c r="B3" s="47" t="str">
        <x:v>ord_002</x:v>
      </x:c>
      <x:c r="C3" s="47" t="str">
        <x:v>پیک شرکتی</x:v>
      </x:c>
      <x:c r="D3" s="47" t="str"/>
      <x:c r="E3" s="51"/>
      <x:c r="F3" s="51"/>
      <x:c r="G3" s="47" t="str">
        <x:v>pending</x:v>
      </x:c>
      <x:c r="H3" s="50" t="n">
        <x:v>5000000</x:v>
      </x:c>
      <x:c r="I3" s="54" t="str">
        <x:v>در انتظار آماده‌سازی</x:v>
      </x:c>
    </x:row>
    <x:row r="4">
      <x:c r="A4" s="19"/>
      <x:c r="B4" s="19"/>
      <x:c r="C4" s="19"/>
      <x:c r="D4" s="19"/>
      <x:c r="E4" s="26"/>
      <x:c r="F4" s="26"/>
      <x:c r="G4" s="19"/>
      <x:c r="H4" s="25"/>
      <x:c r="I4" s="19"/>
    </x:row>
    <x:row r="5">
      <x:c r="A5" s="19"/>
      <x:c r="B5" s="19"/>
      <x:c r="C5" s="19"/>
      <x:c r="D5" s="19"/>
      <x:c r="E5" s="26"/>
      <x:c r="F5" s="26"/>
      <x:c r="G5" s="19"/>
      <x:c r="H5" s="25"/>
      <x:c r="I5" s="19"/>
    </x:row>
    <x:row r="6">
      <x:c r="A6" s="19"/>
      <x:c r="B6" s="19"/>
      <x:c r="C6" s="19"/>
      <x:c r="D6" s="19"/>
      <x:c r="E6" s="26"/>
      <x:c r="F6" s="26"/>
      <x:c r="G6" s="19"/>
      <x:c r="H6" s="25"/>
      <x:c r="I6" s="19"/>
    </x:row>
    <x:row r="7">
      <x:c r="A7" s="19"/>
      <x:c r="B7" s="19"/>
      <x:c r="C7" s="19"/>
      <x:c r="D7" s="19"/>
      <x:c r="E7" s="26"/>
      <x:c r="F7" s="26"/>
      <x:c r="G7" s="19"/>
      <x:c r="H7" s="25"/>
      <x:c r="I7" s="19"/>
    </x:row>
    <x:row r="8">
      <x:c r="A8" s="19"/>
      <x:c r="B8" s="19"/>
      <x:c r="C8" s="19"/>
      <x:c r="D8" s="19"/>
      <x:c r="E8" s="26"/>
      <x:c r="F8" s="26"/>
      <x:c r="G8" s="19"/>
      <x:c r="H8" s="25"/>
      <x:c r="I8" s="19"/>
    </x:row>
    <x:row r="9">
      <x:c r="A9" s="19"/>
      <x:c r="B9" s="19"/>
      <x:c r="C9" s="19"/>
      <x:c r="D9" s="19"/>
      <x:c r="E9" s="26"/>
      <x:c r="F9" s="26"/>
      <x:c r="G9" s="19"/>
      <x:c r="H9" s="25"/>
      <x:c r="I9" s="19"/>
    </x:row>
    <x:row r="10">
      <x:c r="A10" s="19"/>
      <x:c r="B10" s="19"/>
      <x:c r="C10" s="19"/>
      <x:c r="D10" s="19"/>
      <x:c r="E10" s="26"/>
      <x:c r="F10" s="26"/>
      <x:c r="G10" s="19"/>
      <x:c r="H10" s="25"/>
      <x:c r="I10" s="19"/>
    </x:row>
    <x:row r="11">
      <x:c r="A11" s="19"/>
      <x:c r="B11" s="19"/>
      <x:c r="C11" s="19"/>
      <x:c r="D11" s="19"/>
      <x:c r="E11" s="26"/>
      <x:c r="F11" s="26"/>
      <x:c r="G11" s="19"/>
      <x:c r="H11" s="25"/>
      <x:c r="I11" s="19"/>
    </x:row>
    <x:row r="12">
      <x:c r="A12" s="19"/>
      <x:c r="B12" s="19"/>
      <x:c r="C12" s="19"/>
      <x:c r="D12" s="19"/>
      <x:c r="E12" s="26"/>
      <x:c r="F12" s="26"/>
      <x:c r="G12" s="19"/>
      <x:c r="H12" s="25"/>
      <x:c r="I12" s="19"/>
    </x:row>
    <x:row r="13">
      <x:c r="A13" s="19"/>
      <x:c r="B13" s="19"/>
      <x:c r="C13" s="19"/>
      <x:c r="D13" s="19"/>
      <x:c r="E13" s="26"/>
      <x:c r="F13" s="26"/>
      <x:c r="G13" s="19"/>
      <x:c r="H13" s="25"/>
      <x:c r="I13" s="19"/>
    </x:row>
    <x:row r="14">
      <x:c r="A14" s="19"/>
      <x:c r="B14" s="19"/>
      <x:c r="C14" s="19"/>
      <x:c r="D14" s="19"/>
      <x:c r="E14" s="26"/>
      <x:c r="F14" s="26"/>
      <x:c r="G14" s="19"/>
      <x:c r="H14" s="25"/>
      <x:c r="I14" s="19"/>
    </x:row>
    <x:row r="15">
      <x:c r="A15" s="19"/>
      <x:c r="B15" s="19"/>
      <x:c r="C15" s="19"/>
      <x:c r="D15" s="19"/>
      <x:c r="E15" s="26"/>
      <x:c r="F15" s="26"/>
      <x:c r="G15" s="19"/>
      <x:c r="H15" s="25"/>
      <x:c r="I15" s="19"/>
    </x:row>
    <x:row r="16">
      <x:c r="A16" s="19"/>
      <x:c r="B16" s="19"/>
      <x:c r="C16" s="19"/>
      <x:c r="D16" s="19"/>
      <x:c r="E16" s="26"/>
      <x:c r="F16" s="26"/>
      <x:c r="G16" s="19"/>
      <x:c r="H16" s="25"/>
      <x:c r="I16" s="19"/>
    </x:row>
    <x:row r="17">
      <x:c r="A17" s="19"/>
      <x:c r="B17" s="19"/>
      <x:c r="C17" s="19"/>
      <x:c r="D17" s="19"/>
      <x:c r="E17" s="26"/>
      <x:c r="F17" s="26"/>
      <x:c r="G17" s="19"/>
      <x:c r="H17" s="25"/>
      <x:c r="I17" s="19"/>
    </x:row>
    <x:row r="18">
      <x:c r="A18" s="19"/>
      <x:c r="B18" s="19"/>
      <x:c r="C18" s="19"/>
      <x:c r="D18" s="19"/>
      <x:c r="E18" s="26"/>
      <x:c r="F18" s="26"/>
      <x:c r="G18" s="19"/>
      <x:c r="H18" s="25"/>
      <x:c r="I18" s="19"/>
    </x:row>
    <x:row r="19">
      <x:c r="A19" s="19"/>
      <x:c r="B19" s="19"/>
      <x:c r="C19" s="19"/>
      <x:c r="D19" s="19"/>
      <x:c r="E19" s="26"/>
      <x:c r="F19" s="26"/>
      <x:c r="G19" s="19"/>
      <x:c r="H19" s="25"/>
      <x:c r="I19" s="19"/>
    </x:row>
    <x:row r="20">
      <x:c r="A20" s="19"/>
      <x:c r="B20" s="19"/>
      <x:c r="C20" s="19"/>
      <x:c r="D20" s="19"/>
      <x:c r="E20" s="26"/>
      <x:c r="F20" s="26"/>
      <x:c r="G20" s="19"/>
      <x:c r="H20" s="25"/>
      <x:c r="I20" s="19"/>
    </x:row>
    <x:row r="21">
      <x:c r="A21" s="19"/>
      <x:c r="B21" s="19"/>
      <x:c r="C21" s="19"/>
      <x:c r="D21" s="19"/>
      <x:c r="E21" s="26"/>
      <x:c r="F21" s="26"/>
      <x:c r="G21" s="19"/>
      <x:c r="H21" s="25"/>
      <x:c r="I21" s="19"/>
    </x:row>
    <x:row r="22">
      <x:c r="A22" s="19"/>
      <x:c r="B22" s="19"/>
      <x:c r="C22" s="19"/>
      <x:c r="D22" s="19"/>
      <x:c r="E22" s="26"/>
      <x:c r="F22" s="26"/>
      <x:c r="G22" s="19"/>
      <x:c r="H22" s="25"/>
      <x:c r="I22" s="19"/>
    </x:row>
    <x:row r="23">
      <x:c r="A23" s="19"/>
      <x:c r="B23" s="19"/>
      <x:c r="C23" s="19"/>
      <x:c r="D23" s="19"/>
      <x:c r="E23" s="26"/>
      <x:c r="F23" s="26"/>
      <x:c r="G23" s="19"/>
      <x:c r="H23" s="25"/>
      <x:c r="I23" s="19"/>
    </x:row>
    <x:row r="24">
      <x:c r="A24" s="19"/>
      <x:c r="B24" s="19"/>
      <x:c r="C24" s="19"/>
      <x:c r="D24" s="19"/>
      <x:c r="E24" s="26"/>
      <x:c r="F24" s="26"/>
      <x:c r="G24" s="19"/>
      <x:c r="H24" s="25"/>
      <x:c r="I24" s="19"/>
    </x:row>
    <x:row r="25">
      <x:c r="A25" s="19"/>
      <x:c r="B25" s="19"/>
      <x:c r="C25" s="19"/>
      <x:c r="D25" s="19"/>
      <x:c r="E25" s="26"/>
      <x:c r="F25" s="26"/>
      <x:c r="G25" s="19"/>
      <x:c r="H25" s="25"/>
      <x:c r="I25" s="19"/>
    </x:row>
    <x:row r="26">
      <x:c r="A26" s="19"/>
      <x:c r="B26" s="19"/>
      <x:c r="C26" s="19"/>
      <x:c r="D26" s="19"/>
      <x:c r="E26" s="26"/>
      <x:c r="F26" s="26"/>
      <x:c r="G26" s="19"/>
      <x:c r="H26" s="25"/>
      <x:c r="I26" s="19"/>
    </x:row>
    <x:row r="27">
      <x:c r="A27" s="19"/>
      <x:c r="B27" s="19"/>
      <x:c r="C27" s="19"/>
      <x:c r="D27" s="19"/>
      <x:c r="E27" s="26"/>
      <x:c r="F27" s="26"/>
      <x:c r="G27" s="19"/>
      <x:c r="H27" s="25"/>
      <x:c r="I27" s="19"/>
    </x:row>
    <x:row r="28">
      <x:c r="A28" s="19"/>
      <x:c r="B28" s="19"/>
      <x:c r="C28" s="19"/>
      <x:c r="D28" s="19"/>
      <x:c r="E28" s="26"/>
      <x:c r="F28" s="26"/>
      <x:c r="G28" s="19"/>
      <x:c r="H28" s="25"/>
      <x:c r="I28" s="19"/>
    </x:row>
    <x:row r="29">
      <x:c r="A29" s="19"/>
      <x:c r="B29" s="19"/>
      <x:c r="C29" s="19"/>
      <x:c r="D29" s="19"/>
      <x:c r="E29" s="26"/>
      <x:c r="F29" s="26"/>
      <x:c r="G29" s="19"/>
      <x:c r="H29" s="25"/>
      <x:c r="I29" s="19"/>
    </x:row>
    <x:row r="30">
      <x:c r="A30" s="19"/>
      <x:c r="B30" s="19"/>
      <x:c r="C30" s="19"/>
      <x:c r="D30" s="19"/>
      <x:c r="E30" s="26"/>
      <x:c r="F30" s="26"/>
      <x:c r="G30" s="19"/>
      <x:c r="H30" s="25"/>
      <x:c r="I30" s="19"/>
    </x:row>
    <x:row r="31">
      <x:c r="A31" s="19"/>
      <x:c r="B31" s="19"/>
      <x:c r="C31" s="19"/>
      <x:c r="D31" s="19"/>
      <x:c r="E31" s="26"/>
      <x:c r="F31" s="26"/>
      <x:c r="G31" s="19"/>
      <x:c r="H31" s="25"/>
      <x:c r="I31" s="19"/>
    </x:row>
    <x:row r="32">
      <x:c r="A32" s="19"/>
      <x:c r="B32" s="19"/>
      <x:c r="C32" s="19"/>
      <x:c r="D32" s="19"/>
      <x:c r="E32" s="26"/>
      <x:c r="F32" s="26"/>
      <x:c r="G32" s="19"/>
      <x:c r="H32" s="25"/>
      <x:c r="I32" s="19"/>
    </x:row>
    <x:row r="33">
      <x:c r="A33" s="19"/>
      <x:c r="B33" s="19"/>
      <x:c r="C33" s="19"/>
      <x:c r="D33" s="19"/>
      <x:c r="E33" s="26"/>
      <x:c r="F33" s="26"/>
      <x:c r="G33" s="19"/>
      <x:c r="H33" s="25"/>
      <x:c r="I33" s="19"/>
    </x:row>
    <x:row r="34">
      <x:c r="A34" s="19"/>
      <x:c r="B34" s="19"/>
      <x:c r="C34" s="19"/>
      <x:c r="D34" s="19"/>
      <x:c r="E34" s="26"/>
      <x:c r="F34" s="26"/>
      <x:c r="G34" s="19"/>
      <x:c r="H34" s="25"/>
      <x:c r="I34" s="19"/>
    </x:row>
    <x:row r="35">
      <x:c r="A35" s="19"/>
      <x:c r="B35" s="19"/>
      <x:c r="C35" s="19"/>
      <x:c r="D35" s="19"/>
      <x:c r="E35" s="26"/>
      <x:c r="F35" s="26"/>
      <x:c r="G35" s="19"/>
      <x:c r="H35" s="25"/>
      <x:c r="I35" s="19"/>
    </x:row>
    <x:row r="36">
      <x:c r="A36" s="19"/>
      <x:c r="B36" s="19"/>
      <x:c r="C36" s="19"/>
      <x:c r="D36" s="19"/>
      <x:c r="E36" s="26"/>
      <x:c r="F36" s="26"/>
      <x:c r="G36" s="19"/>
      <x:c r="H36" s="25"/>
      <x:c r="I36" s="19"/>
    </x:row>
    <x:row r="37">
      <x:c r="A37" s="19"/>
      <x:c r="B37" s="19"/>
      <x:c r="C37" s="19"/>
      <x:c r="D37" s="19"/>
      <x:c r="E37" s="26"/>
      <x:c r="F37" s="26"/>
      <x:c r="G37" s="19"/>
      <x:c r="H37" s="25"/>
      <x:c r="I37" s="19"/>
    </x:row>
    <x:row r="38">
      <x:c r="A38" s="19"/>
      <x:c r="B38" s="19"/>
      <x:c r="C38" s="19"/>
      <x:c r="D38" s="19"/>
      <x:c r="E38" s="26"/>
      <x:c r="F38" s="26"/>
      <x:c r="G38" s="19"/>
      <x:c r="H38" s="25"/>
      <x:c r="I38" s="19"/>
    </x:row>
    <x:row r="39">
      <x:c r="A39" s="19"/>
      <x:c r="B39" s="19"/>
      <x:c r="C39" s="19"/>
      <x:c r="D39" s="19"/>
      <x:c r="E39" s="26"/>
      <x:c r="F39" s="26"/>
      <x:c r="G39" s="19"/>
      <x:c r="H39" s="25"/>
      <x:c r="I39" s="19"/>
    </x:row>
    <x:row r="40">
      <x:c r="A40" s="19"/>
      <x:c r="B40" s="19"/>
      <x:c r="C40" s="19"/>
      <x:c r="D40" s="19"/>
      <x:c r="E40" s="26"/>
      <x:c r="F40" s="26"/>
      <x:c r="G40" s="19"/>
      <x:c r="H40" s="25"/>
      <x:c r="I40" s="19"/>
    </x:row>
    <x:row r="41">
      <x:c r="A41" s="19"/>
      <x:c r="B41" s="19"/>
      <x:c r="C41" s="19"/>
      <x:c r="D41" s="19"/>
      <x:c r="E41" s="26"/>
      <x:c r="F41" s="26"/>
      <x:c r="G41" s="19"/>
      <x:c r="H41" s="25"/>
      <x:c r="I41" s="19"/>
    </x:row>
    <x:row r="42">
      <x:c r="A42" s="19"/>
      <x:c r="B42" s="19"/>
      <x:c r="C42" s="19"/>
      <x:c r="D42" s="19"/>
      <x:c r="E42" s="26"/>
      <x:c r="F42" s="26"/>
      <x:c r="G42" s="19"/>
      <x:c r="H42" s="25"/>
      <x:c r="I42" s="19"/>
    </x:row>
    <x:row r="43">
      <x:c r="A43" s="19"/>
      <x:c r="B43" s="19"/>
      <x:c r="C43" s="19"/>
      <x:c r="D43" s="19"/>
      <x:c r="E43" s="26"/>
      <x:c r="F43" s="26"/>
      <x:c r="G43" s="19"/>
      <x:c r="H43" s="25"/>
      <x:c r="I43" s="19"/>
    </x:row>
    <x:row r="44">
      <x:c r="A44" s="19"/>
      <x:c r="B44" s="19"/>
      <x:c r="C44" s="19"/>
      <x:c r="D44" s="19"/>
      <x:c r="E44" s="26"/>
      <x:c r="F44" s="26"/>
      <x:c r="G44" s="19"/>
      <x:c r="H44" s="25"/>
      <x:c r="I44" s="19"/>
    </x:row>
    <x:row r="45">
      <x:c r="A45" s="19"/>
      <x:c r="B45" s="19"/>
      <x:c r="C45" s="19"/>
      <x:c r="D45" s="19"/>
      <x:c r="E45" s="26"/>
      <x:c r="F45" s="26"/>
      <x:c r="G45" s="19"/>
      <x:c r="H45" s="25"/>
      <x:c r="I45" s="19"/>
    </x:row>
    <x:row r="46">
      <x:c r="A46" s="19"/>
      <x:c r="B46" s="19"/>
      <x:c r="C46" s="19"/>
      <x:c r="D46" s="19"/>
      <x:c r="E46" s="26"/>
      <x:c r="F46" s="26"/>
      <x:c r="G46" s="19"/>
      <x:c r="H46" s="25"/>
      <x:c r="I46" s="19"/>
    </x:row>
    <x:row r="47">
      <x:c r="A47" s="19"/>
      <x:c r="B47" s="19"/>
      <x:c r="C47" s="19"/>
      <x:c r="D47" s="19"/>
      <x:c r="E47" s="26"/>
      <x:c r="F47" s="26"/>
      <x:c r="G47" s="19"/>
      <x:c r="H47" s="25"/>
      <x:c r="I47" s="19"/>
    </x:row>
    <x:row r="48">
      <x:c r="A48" s="19"/>
      <x:c r="B48" s="19"/>
      <x:c r="C48" s="19"/>
      <x:c r="D48" s="19"/>
      <x:c r="E48" s="26"/>
      <x:c r="F48" s="26"/>
      <x:c r="G48" s="19"/>
      <x:c r="H48" s="25"/>
      <x:c r="I48" s="19"/>
    </x:row>
    <x:row r="49">
      <x:c r="A49" s="19"/>
      <x:c r="B49" s="19"/>
      <x:c r="C49" s="19"/>
      <x:c r="D49" s="19"/>
      <x:c r="E49" s="26"/>
      <x:c r="F49" s="26"/>
      <x:c r="G49" s="19"/>
      <x:c r="H49" s="25"/>
      <x:c r="I49" s="19"/>
    </x:row>
    <x:row r="50">
      <x:c r="A50" s="19"/>
      <x:c r="B50" s="19"/>
      <x:c r="C50" s="19"/>
      <x:c r="D50" s="19"/>
      <x:c r="E50" s="26"/>
      <x:c r="F50" s="26"/>
      <x:c r="G50" s="19"/>
      <x:c r="H50" s="25"/>
      <x:c r="I50" s="19"/>
    </x:row>
    <x:row r="51">
      <x:c r="A51" s="19"/>
      <x:c r="B51" s="19"/>
      <x:c r="C51" s="19"/>
      <x:c r="D51" s="19"/>
      <x:c r="E51" s="26"/>
      <x:c r="F51" s="26"/>
      <x:c r="G51" s="19"/>
      <x:c r="H51" s="25"/>
      <x:c r="I51" s="19"/>
    </x:row>
    <x:row r="52">
      <x:c r="A52" s="19"/>
      <x:c r="B52" s="19"/>
      <x:c r="C52" s="19"/>
      <x:c r="D52" s="19"/>
      <x:c r="E52" s="26"/>
      <x:c r="F52" s="26"/>
      <x:c r="G52" s="19"/>
      <x:c r="H52" s="25"/>
      <x:c r="I52" s="19"/>
    </x:row>
    <x:row r="53">
      <x:c r="A53" s="19"/>
      <x:c r="B53" s="19"/>
      <x:c r="C53" s="19"/>
      <x:c r="D53" s="19"/>
      <x:c r="E53" s="26"/>
      <x:c r="F53" s="26"/>
      <x:c r="G53" s="19"/>
      <x:c r="H53" s="25"/>
      <x:c r="I53" s="19"/>
    </x:row>
    <x:row r="54">
      <x:c r="A54" s="19"/>
      <x:c r="B54" s="19"/>
      <x:c r="C54" s="19"/>
      <x:c r="D54" s="19"/>
      <x:c r="E54" s="26"/>
      <x:c r="F54" s="26"/>
      <x:c r="G54" s="19"/>
      <x:c r="H54" s="25"/>
      <x:c r="I54" s="19"/>
    </x:row>
    <x:row r="55">
      <x:c r="A55" s="19"/>
      <x:c r="B55" s="19"/>
      <x:c r="C55" s="19"/>
      <x:c r="D55" s="19"/>
      <x:c r="E55" s="26"/>
      <x:c r="F55" s="26"/>
      <x:c r="G55" s="19"/>
      <x:c r="H55" s="25"/>
      <x:c r="I55" s="19"/>
    </x:row>
    <x:row r="56">
      <x:c r="A56" s="19"/>
      <x:c r="B56" s="19"/>
      <x:c r="C56" s="19"/>
      <x:c r="D56" s="19"/>
      <x:c r="E56" s="26"/>
      <x:c r="F56" s="26"/>
      <x:c r="G56" s="19"/>
      <x:c r="H56" s="25"/>
      <x:c r="I56" s="19"/>
    </x:row>
    <x:row r="57">
      <x:c r="A57" s="19"/>
      <x:c r="B57" s="19"/>
      <x:c r="C57" s="19"/>
      <x:c r="D57" s="19"/>
      <x:c r="E57" s="26"/>
      <x:c r="F57" s="26"/>
      <x:c r="G57" s="19"/>
      <x:c r="H57" s="25"/>
      <x:c r="I57" s="19"/>
    </x:row>
    <x:row r="58">
      <x:c r="A58" s="19"/>
      <x:c r="B58" s="19"/>
      <x:c r="C58" s="19"/>
      <x:c r="D58" s="19"/>
      <x:c r="E58" s="26"/>
      <x:c r="F58" s="26"/>
      <x:c r="G58" s="19"/>
      <x:c r="H58" s="25"/>
      <x:c r="I58" s="19"/>
    </x:row>
    <x:row r="59">
      <x:c r="A59" s="19"/>
      <x:c r="B59" s="19"/>
      <x:c r="C59" s="19"/>
      <x:c r="D59" s="19"/>
      <x:c r="E59" s="26"/>
      <x:c r="F59" s="26"/>
      <x:c r="G59" s="19"/>
      <x:c r="H59" s="25"/>
      <x:c r="I59" s="19"/>
    </x:row>
    <x:row r="60">
      <x:c r="A60" s="19"/>
      <x:c r="B60" s="19"/>
      <x:c r="C60" s="19"/>
      <x:c r="D60" s="19"/>
      <x:c r="E60" s="26"/>
      <x:c r="F60" s="26"/>
      <x:c r="G60" s="19"/>
      <x:c r="H60" s="25"/>
      <x:c r="I60" s="19"/>
    </x:row>
    <x:row r="61">
      <x:c r="A61" s="19"/>
      <x:c r="B61" s="19"/>
      <x:c r="C61" s="19"/>
      <x:c r="D61" s="19"/>
      <x:c r="E61" s="26"/>
      <x:c r="F61" s="26"/>
      <x:c r="G61" s="19"/>
      <x:c r="H61" s="25"/>
      <x:c r="I61" s="19"/>
    </x:row>
    <x:row r="62">
      <x:c r="A62" s="19"/>
      <x:c r="B62" s="19"/>
      <x:c r="C62" s="19"/>
      <x:c r="D62" s="19"/>
      <x:c r="E62" s="26"/>
      <x:c r="F62" s="26"/>
      <x:c r="G62" s="19"/>
      <x:c r="H62" s="25"/>
      <x:c r="I62" s="19"/>
    </x:row>
    <x:row r="63">
      <x:c r="A63" s="19"/>
      <x:c r="B63" s="19"/>
      <x:c r="C63" s="19"/>
      <x:c r="D63" s="19"/>
      <x:c r="E63" s="26"/>
      <x:c r="F63" s="26"/>
      <x:c r="G63" s="19"/>
      <x:c r="H63" s="25"/>
      <x:c r="I63" s="19"/>
    </x:row>
    <x:row r="64">
      <x:c r="A64" s="19"/>
      <x:c r="B64" s="19"/>
      <x:c r="C64" s="19"/>
      <x:c r="D64" s="19"/>
      <x:c r="E64" s="26"/>
      <x:c r="F64" s="26"/>
      <x:c r="G64" s="19"/>
      <x:c r="H64" s="25"/>
      <x:c r="I64" s="19"/>
    </x:row>
    <x:row r="65">
      <x:c r="A65" s="19"/>
      <x:c r="B65" s="19"/>
      <x:c r="C65" s="19"/>
      <x:c r="D65" s="19"/>
      <x:c r="E65" s="26"/>
      <x:c r="F65" s="26"/>
      <x:c r="G65" s="19"/>
      <x:c r="H65" s="25"/>
      <x:c r="I65" s="19"/>
    </x:row>
    <x:row r="66">
      <x:c r="A66" s="19"/>
      <x:c r="B66" s="19"/>
      <x:c r="C66" s="19"/>
      <x:c r="D66" s="19"/>
      <x:c r="E66" s="26"/>
      <x:c r="F66" s="26"/>
      <x:c r="G66" s="19"/>
      <x:c r="H66" s="25"/>
      <x:c r="I66" s="19"/>
    </x:row>
    <x:row r="67">
      <x:c r="A67" s="19"/>
      <x:c r="B67" s="19"/>
      <x:c r="C67" s="19"/>
      <x:c r="D67" s="19"/>
      <x:c r="E67" s="26"/>
      <x:c r="F67" s="26"/>
      <x:c r="G67" s="19"/>
      <x:c r="H67" s="25"/>
      <x:c r="I67" s="19"/>
    </x:row>
    <x:row r="68">
      <x:c r="A68" s="19"/>
      <x:c r="B68" s="19"/>
      <x:c r="C68" s="19"/>
      <x:c r="D68" s="19"/>
      <x:c r="E68" s="26"/>
      <x:c r="F68" s="26"/>
      <x:c r="G68" s="19"/>
      <x:c r="H68" s="25"/>
      <x:c r="I68" s="19"/>
    </x:row>
    <x:row r="69">
      <x:c r="A69" s="19"/>
      <x:c r="B69" s="19"/>
      <x:c r="C69" s="19"/>
      <x:c r="D69" s="19"/>
      <x:c r="E69" s="26"/>
      <x:c r="F69" s="26"/>
      <x:c r="G69" s="19"/>
      <x:c r="H69" s="25"/>
      <x:c r="I69" s="19"/>
    </x:row>
    <x:row r="70">
      <x:c r="A70" s="19"/>
      <x:c r="B70" s="19"/>
      <x:c r="C70" s="19"/>
      <x:c r="D70" s="19"/>
      <x:c r="E70" s="26"/>
      <x:c r="F70" s="26"/>
      <x:c r="G70" s="19"/>
      <x:c r="H70" s="25"/>
      <x:c r="I70" s="19"/>
    </x:row>
    <x:row r="71">
      <x:c r="A71" s="19"/>
      <x:c r="B71" s="19"/>
      <x:c r="C71" s="19"/>
      <x:c r="D71" s="19"/>
      <x:c r="E71" s="26"/>
      <x:c r="F71" s="26"/>
      <x:c r="G71" s="19"/>
      <x:c r="H71" s="25"/>
      <x:c r="I71" s="19"/>
    </x:row>
    <x:row r="72">
      <x:c r="A72" s="19"/>
      <x:c r="B72" s="19"/>
      <x:c r="C72" s="19"/>
      <x:c r="D72" s="19"/>
      <x:c r="E72" s="26"/>
      <x:c r="F72" s="26"/>
      <x:c r="G72" s="19"/>
      <x:c r="H72" s="25"/>
      <x:c r="I72" s="19"/>
    </x:row>
    <x:row r="73">
      <x:c r="A73" s="19"/>
      <x:c r="B73" s="19"/>
      <x:c r="C73" s="19"/>
      <x:c r="D73" s="19"/>
      <x:c r="E73" s="26"/>
      <x:c r="F73" s="26"/>
      <x:c r="G73" s="19"/>
      <x:c r="H73" s="25"/>
      <x:c r="I73" s="19"/>
    </x:row>
    <x:row r="74">
      <x:c r="A74" s="19"/>
      <x:c r="B74" s="19"/>
      <x:c r="C74" s="19"/>
      <x:c r="D74" s="19"/>
      <x:c r="E74" s="26"/>
      <x:c r="F74" s="26"/>
      <x:c r="G74" s="19"/>
      <x:c r="H74" s="25"/>
      <x:c r="I74" s="19"/>
    </x:row>
    <x:row r="75">
      <x:c r="A75" s="19"/>
      <x:c r="B75" s="19"/>
      <x:c r="C75" s="19"/>
      <x:c r="D75" s="19"/>
      <x:c r="E75" s="26"/>
      <x:c r="F75" s="26"/>
      <x:c r="G75" s="19"/>
      <x:c r="H75" s="25"/>
      <x:c r="I75" s="19"/>
    </x:row>
    <x:row r="76">
      <x:c r="A76" s="19"/>
      <x:c r="B76" s="19"/>
      <x:c r="C76" s="19"/>
      <x:c r="D76" s="19"/>
      <x:c r="E76" s="26"/>
      <x:c r="F76" s="26"/>
      <x:c r="G76" s="19"/>
      <x:c r="H76" s="25"/>
      <x:c r="I76" s="19"/>
    </x:row>
    <x:row r="77">
      <x:c r="A77" s="19"/>
      <x:c r="B77" s="19"/>
      <x:c r="C77" s="19"/>
      <x:c r="D77" s="19"/>
      <x:c r="E77" s="26"/>
      <x:c r="F77" s="26"/>
      <x:c r="G77" s="19"/>
      <x:c r="H77" s="25"/>
      <x:c r="I77" s="19"/>
    </x:row>
    <x:row r="78">
      <x:c r="A78" s="19"/>
      <x:c r="B78" s="19"/>
      <x:c r="C78" s="19"/>
      <x:c r="D78" s="19"/>
      <x:c r="E78" s="26"/>
      <x:c r="F78" s="26"/>
      <x:c r="G78" s="19"/>
      <x:c r="H78" s="25"/>
      <x:c r="I78" s="19"/>
    </x:row>
    <x:row r="79">
      <x:c r="A79" s="19"/>
      <x:c r="B79" s="19"/>
      <x:c r="C79" s="19"/>
      <x:c r="D79" s="19"/>
      <x:c r="E79" s="26"/>
      <x:c r="F79" s="26"/>
      <x:c r="G79" s="19"/>
      <x:c r="H79" s="25"/>
      <x:c r="I79" s="19"/>
    </x:row>
    <x:row r="80">
      <x:c r="A80" s="19"/>
      <x:c r="B80" s="19"/>
      <x:c r="C80" s="19"/>
      <x:c r="D80" s="19"/>
      <x:c r="E80" s="26"/>
      <x:c r="F80" s="26"/>
      <x:c r="G80" s="19"/>
      <x:c r="H80" s="25"/>
      <x:c r="I80" s="19"/>
    </x:row>
    <x:row r="81">
      <x:c r="A81" s="19"/>
      <x:c r="B81" s="19"/>
      <x:c r="C81" s="19"/>
      <x:c r="D81" s="19"/>
      <x:c r="E81" s="26"/>
      <x:c r="F81" s="26"/>
      <x:c r="G81" s="19"/>
      <x:c r="H81" s="25"/>
      <x:c r="I81" s="19"/>
    </x:row>
    <x:row r="82">
      <x:c r="A82" s="19"/>
      <x:c r="B82" s="19"/>
      <x:c r="C82" s="19"/>
      <x:c r="D82" s="19"/>
      <x:c r="E82" s="26"/>
      <x:c r="F82" s="26"/>
      <x:c r="G82" s="19"/>
      <x:c r="H82" s="25"/>
      <x:c r="I82" s="19"/>
    </x:row>
    <x:row r="83">
      <x:c r="A83" s="19"/>
      <x:c r="B83" s="19"/>
      <x:c r="C83" s="19"/>
      <x:c r="D83" s="19"/>
      <x:c r="E83" s="26"/>
      <x:c r="F83" s="26"/>
      <x:c r="G83" s="19"/>
      <x:c r="H83" s="25"/>
      <x:c r="I83" s="19"/>
    </x:row>
    <x:row r="84">
      <x:c r="A84" s="19"/>
      <x:c r="B84" s="19"/>
      <x:c r="C84" s="19"/>
      <x:c r="D84" s="19"/>
      <x:c r="E84" s="26"/>
      <x:c r="F84" s="26"/>
      <x:c r="G84" s="19"/>
      <x:c r="H84" s="25"/>
      <x:c r="I84" s="19"/>
    </x:row>
    <x:row r="85">
      <x:c r="A85" s="19"/>
      <x:c r="B85" s="19"/>
      <x:c r="C85" s="19"/>
      <x:c r="D85" s="19"/>
      <x:c r="E85" s="26"/>
      <x:c r="F85" s="26"/>
      <x:c r="G85" s="19"/>
      <x:c r="H85" s="25"/>
      <x:c r="I85" s="19"/>
    </x:row>
    <x:row r="86">
      <x:c r="A86" s="19"/>
      <x:c r="B86" s="19"/>
      <x:c r="C86" s="19"/>
      <x:c r="D86" s="19"/>
      <x:c r="E86" s="26"/>
      <x:c r="F86" s="26"/>
      <x:c r="G86" s="19"/>
      <x:c r="H86" s="25"/>
      <x:c r="I86" s="19"/>
    </x:row>
    <x:row r="87">
      <x:c r="A87" s="19"/>
      <x:c r="B87" s="19"/>
      <x:c r="C87" s="19"/>
      <x:c r="D87" s="19"/>
      <x:c r="E87" s="26"/>
      <x:c r="F87" s="26"/>
      <x:c r="G87" s="19"/>
      <x:c r="H87" s="25"/>
      <x:c r="I87" s="19"/>
    </x:row>
    <x:row r="88">
      <x:c r="A88" s="19"/>
      <x:c r="B88" s="19"/>
      <x:c r="C88" s="19"/>
      <x:c r="D88" s="19"/>
      <x:c r="E88" s="26"/>
      <x:c r="F88" s="26"/>
      <x:c r="G88" s="19"/>
      <x:c r="H88" s="25"/>
      <x:c r="I88" s="19"/>
    </x:row>
    <x:row r="89">
      <x:c r="A89" s="19"/>
      <x:c r="B89" s="19"/>
      <x:c r="C89" s="19"/>
      <x:c r="D89" s="19"/>
      <x:c r="E89" s="26"/>
      <x:c r="F89" s="26"/>
      <x:c r="G89" s="19"/>
      <x:c r="H89" s="25"/>
      <x:c r="I89" s="19"/>
    </x:row>
    <x:row r="90">
      <x:c r="A90" s="19"/>
      <x:c r="B90" s="19"/>
      <x:c r="C90" s="19"/>
      <x:c r="D90" s="19"/>
      <x:c r="E90" s="26"/>
      <x:c r="F90" s="26"/>
      <x:c r="G90" s="19"/>
      <x:c r="H90" s="25"/>
      <x:c r="I90" s="19"/>
    </x:row>
    <x:row r="91">
      <x:c r="A91" s="19"/>
      <x:c r="B91" s="19"/>
      <x:c r="C91" s="19"/>
      <x:c r="D91" s="19"/>
      <x:c r="E91" s="26"/>
      <x:c r="F91" s="26"/>
      <x:c r="G91" s="19"/>
      <x:c r="H91" s="25"/>
      <x:c r="I91" s="19"/>
    </x:row>
    <x:row r="92">
      <x:c r="A92" s="19"/>
      <x:c r="B92" s="19"/>
      <x:c r="C92" s="19"/>
      <x:c r="D92" s="19"/>
      <x:c r="E92" s="26"/>
      <x:c r="F92" s="26"/>
      <x:c r="G92" s="19"/>
      <x:c r="H92" s="25"/>
      <x:c r="I92" s="19"/>
    </x:row>
    <x:row r="93">
      <x:c r="A93" s="19"/>
      <x:c r="B93" s="19"/>
      <x:c r="C93" s="19"/>
      <x:c r="D93" s="19"/>
      <x:c r="E93" s="26"/>
      <x:c r="F93" s="26"/>
      <x:c r="G93" s="19"/>
      <x:c r="H93" s="25"/>
      <x:c r="I93" s="19"/>
    </x:row>
    <x:row r="94">
      <x:c r="A94" s="19"/>
      <x:c r="B94" s="19"/>
      <x:c r="C94" s="19"/>
      <x:c r="D94" s="19"/>
      <x:c r="E94" s="26"/>
      <x:c r="F94" s="26"/>
      <x:c r="G94" s="19"/>
      <x:c r="H94" s="25"/>
      <x:c r="I94" s="19"/>
    </x:row>
    <x:row r="95">
      <x:c r="A95" s="19"/>
      <x:c r="B95" s="19"/>
      <x:c r="C95" s="19"/>
      <x:c r="D95" s="19"/>
      <x:c r="E95" s="26"/>
      <x:c r="F95" s="26"/>
      <x:c r="G95" s="19"/>
      <x:c r="H95" s="25"/>
      <x:c r="I95" s="19"/>
    </x:row>
    <x:row r="96">
      <x:c r="A96" s="19"/>
      <x:c r="B96" s="19"/>
      <x:c r="C96" s="19"/>
      <x:c r="D96" s="19"/>
      <x:c r="E96" s="26"/>
      <x:c r="F96" s="26"/>
      <x:c r="G96" s="19"/>
      <x:c r="H96" s="25"/>
      <x:c r="I96" s="19"/>
    </x:row>
    <x:row r="97">
      <x:c r="A97" s="19"/>
      <x:c r="B97" s="19"/>
      <x:c r="C97" s="19"/>
      <x:c r="D97" s="19"/>
      <x:c r="E97" s="26"/>
      <x:c r="F97" s="26"/>
      <x:c r="G97" s="19"/>
      <x:c r="H97" s="25"/>
      <x:c r="I97" s="19"/>
    </x:row>
    <x:row r="98">
      <x:c r="A98" s="19"/>
      <x:c r="B98" s="19"/>
      <x:c r="C98" s="19"/>
      <x:c r="D98" s="19"/>
      <x:c r="E98" s="26"/>
      <x:c r="F98" s="26"/>
      <x:c r="G98" s="19"/>
      <x:c r="H98" s="25"/>
      <x:c r="I98" s="19"/>
    </x:row>
    <x:row r="99">
      <x:c r="A99" s="19"/>
      <x:c r="B99" s="19"/>
      <x:c r="C99" s="19"/>
      <x:c r="D99" s="19"/>
      <x:c r="E99" s="26"/>
      <x:c r="F99" s="26"/>
      <x:c r="G99" s="19"/>
      <x:c r="H99" s="25"/>
      <x:c r="I99" s="19"/>
    </x:row>
    <x:row r="100">
      <x:c r="A100" s="19"/>
      <x:c r="B100" s="19"/>
      <x:c r="C100" s="19"/>
      <x:c r="D100" s="19"/>
      <x:c r="E100" s="26"/>
      <x:c r="F100" s="26"/>
      <x:c r="G100" s="19"/>
      <x:c r="H100" s="25"/>
      <x:c r="I100" s="19"/>
    </x:row>
    <x:row r="101">
      <x:c r="A101" s="19"/>
      <x:c r="B101" s="19"/>
      <x:c r="C101" s="19"/>
      <x:c r="D101" s="19"/>
      <x:c r="E101" s="26"/>
      <x:c r="F101" s="26"/>
      <x:c r="G101" s="19"/>
      <x:c r="H101" s="25"/>
      <x:c r="I101" s="19"/>
    </x:row>
    <x:row r="102">
      <x:c r="A102" s="19"/>
      <x:c r="B102" s="19"/>
      <x:c r="C102" s="19"/>
      <x:c r="D102" s="19"/>
      <x:c r="E102" s="26"/>
      <x:c r="F102" s="26"/>
      <x:c r="G102" s="19"/>
      <x:c r="H102" s="25"/>
      <x:c r="I102" s="19"/>
    </x:row>
    <x:row r="103">
      <x:c r="A103" s="19"/>
      <x:c r="B103" s="19"/>
      <x:c r="C103" s="19"/>
      <x:c r="D103" s="19"/>
      <x:c r="E103" s="26"/>
      <x:c r="F103" s="26"/>
      <x:c r="G103" s="19"/>
      <x:c r="H103" s="25"/>
      <x:c r="I103" s="19"/>
    </x:row>
    <x:row r="104">
      <x:c r="A104" s="19"/>
      <x:c r="B104" s="19"/>
      <x:c r="C104" s="19"/>
      <x:c r="D104" s="19"/>
      <x:c r="E104" s="26"/>
      <x:c r="F104" s="26"/>
      <x:c r="G104" s="19"/>
      <x:c r="H104" s="25"/>
      <x:c r="I104" s="19"/>
    </x:row>
    <x:row r="105">
      <x:c r="A105" s="19"/>
      <x:c r="B105" s="19"/>
      <x:c r="C105" s="19"/>
      <x:c r="D105" s="19"/>
      <x:c r="E105" s="26"/>
      <x:c r="F105" s="26"/>
      <x:c r="G105" s="19"/>
      <x:c r="H105" s="25"/>
      <x:c r="I105" s="19"/>
    </x:row>
    <x:row r="106">
      <x:c r="A106" s="19"/>
      <x:c r="B106" s="19"/>
      <x:c r="C106" s="19"/>
      <x:c r="D106" s="19"/>
      <x:c r="E106" s="26"/>
      <x:c r="F106" s="26"/>
      <x:c r="G106" s="19"/>
      <x:c r="H106" s="25"/>
      <x:c r="I106" s="19"/>
    </x:row>
    <x:row r="107">
      <x:c r="A107" s="19"/>
      <x:c r="B107" s="19"/>
      <x:c r="C107" s="19"/>
      <x:c r="D107" s="19"/>
      <x:c r="E107" s="26"/>
      <x:c r="F107" s="26"/>
      <x:c r="G107" s="19"/>
      <x:c r="H107" s="25"/>
      <x:c r="I107" s="19"/>
    </x:row>
    <x:row r="108">
      <x:c r="A108" s="19"/>
      <x:c r="B108" s="19"/>
      <x:c r="C108" s="19"/>
      <x:c r="D108" s="19"/>
      <x:c r="E108" s="26"/>
      <x:c r="F108" s="26"/>
      <x:c r="G108" s="19"/>
      <x:c r="H108" s="25"/>
      <x:c r="I108" s="19"/>
    </x:row>
    <x:row r="109">
      <x:c r="A109" s="19"/>
      <x:c r="B109" s="19"/>
      <x:c r="C109" s="19"/>
      <x:c r="D109" s="19"/>
      <x:c r="E109" s="26"/>
      <x:c r="F109" s="26"/>
      <x:c r="G109" s="19"/>
      <x:c r="H109" s="25"/>
      <x:c r="I109" s="19"/>
    </x:row>
    <x:row r="110">
      <x:c r="A110" s="19"/>
      <x:c r="B110" s="19"/>
      <x:c r="C110" s="19"/>
      <x:c r="D110" s="19"/>
      <x:c r="E110" s="26"/>
      <x:c r="F110" s="26"/>
      <x:c r="G110" s="19"/>
      <x:c r="H110" s="25"/>
      <x:c r="I110" s="19"/>
    </x:row>
    <x:row r="111">
      <x:c r="A111" s="19"/>
      <x:c r="B111" s="19"/>
      <x:c r="C111" s="19"/>
      <x:c r="D111" s="19"/>
      <x:c r="E111" s="26"/>
      <x:c r="F111" s="26"/>
      <x:c r="G111" s="19"/>
      <x:c r="H111" s="25"/>
      <x:c r="I111" s="19"/>
    </x:row>
    <x:row r="112">
      <x:c r="A112" s="19"/>
      <x:c r="B112" s="19"/>
      <x:c r="C112" s="19"/>
      <x:c r="D112" s="19"/>
      <x:c r="E112" s="26"/>
      <x:c r="F112" s="26"/>
      <x:c r="G112" s="19"/>
      <x:c r="H112" s="25"/>
      <x:c r="I112" s="19"/>
    </x:row>
    <x:row r="113">
      <x:c r="A113" s="19"/>
      <x:c r="B113" s="19"/>
      <x:c r="C113" s="19"/>
      <x:c r="D113" s="19"/>
      <x:c r="E113" s="26"/>
      <x:c r="F113" s="26"/>
      <x:c r="G113" s="19"/>
      <x:c r="H113" s="25"/>
      <x:c r="I113" s="19"/>
    </x:row>
    <x:row r="114">
      <x:c r="A114" s="19"/>
      <x:c r="B114" s="19"/>
      <x:c r="C114" s="19"/>
      <x:c r="D114" s="19"/>
      <x:c r="E114" s="26"/>
      <x:c r="F114" s="26"/>
      <x:c r="G114" s="19"/>
      <x:c r="H114" s="25"/>
      <x:c r="I114" s="19"/>
    </x:row>
    <x:row r="115">
      <x:c r="A115" s="19"/>
      <x:c r="B115" s="19"/>
      <x:c r="C115" s="19"/>
      <x:c r="D115" s="19"/>
      <x:c r="E115" s="26"/>
      <x:c r="F115" s="26"/>
      <x:c r="G115" s="19"/>
      <x:c r="H115" s="25"/>
      <x:c r="I115" s="19"/>
    </x:row>
    <x:row r="116">
      <x:c r="A116" s="19"/>
      <x:c r="B116" s="19"/>
      <x:c r="C116" s="19"/>
      <x:c r="D116" s="19"/>
      <x:c r="E116" s="26"/>
      <x:c r="F116" s="26"/>
      <x:c r="G116" s="19"/>
      <x:c r="H116" s="25"/>
      <x:c r="I116" s="19"/>
    </x:row>
    <x:row r="117">
      <x:c r="A117" s="19"/>
      <x:c r="B117" s="19"/>
      <x:c r="C117" s="19"/>
      <x:c r="D117" s="19"/>
      <x:c r="E117" s="26"/>
      <x:c r="F117" s="26"/>
      <x:c r="G117" s="19"/>
      <x:c r="H117" s="25"/>
      <x:c r="I117" s="19"/>
    </x:row>
    <x:row r="118">
      <x:c r="A118" s="19"/>
      <x:c r="B118" s="19"/>
      <x:c r="C118" s="19"/>
      <x:c r="D118" s="19"/>
      <x:c r="E118" s="26"/>
      <x:c r="F118" s="26"/>
      <x:c r="G118" s="19"/>
      <x:c r="H118" s="25"/>
      <x:c r="I118" s="19"/>
    </x:row>
    <x:row r="119">
      <x:c r="A119" s="19"/>
      <x:c r="B119" s="19"/>
      <x:c r="C119" s="19"/>
      <x:c r="D119" s="19"/>
      <x:c r="E119" s="26"/>
      <x:c r="F119" s="26"/>
      <x:c r="G119" s="19"/>
      <x:c r="H119" s="25"/>
      <x:c r="I119" s="19"/>
    </x:row>
    <x:row r="120">
      <x:c r="A120" s="19"/>
      <x:c r="B120" s="19"/>
      <x:c r="C120" s="19"/>
      <x:c r="D120" s="19"/>
      <x:c r="E120" s="26"/>
      <x:c r="F120" s="26"/>
      <x:c r="G120" s="19"/>
      <x:c r="H120" s="25"/>
      <x:c r="I120" s="19"/>
    </x:row>
    <x:row r="121">
      <x:c r="A121" s="19"/>
      <x:c r="B121" s="19"/>
      <x:c r="C121" s="19"/>
      <x:c r="D121" s="19"/>
      <x:c r="E121" s="26"/>
      <x:c r="F121" s="26"/>
      <x:c r="G121" s="19"/>
      <x:c r="H121" s="25"/>
      <x:c r="I121" s="19"/>
    </x:row>
    <x:row r="122">
      <x:c r="A122" s="19"/>
      <x:c r="B122" s="19"/>
      <x:c r="C122" s="19"/>
      <x:c r="D122" s="19"/>
      <x:c r="E122" s="26"/>
      <x:c r="F122" s="26"/>
      <x:c r="G122" s="19"/>
      <x:c r="H122" s="25"/>
      <x:c r="I122" s="19"/>
    </x:row>
    <x:row r="123">
      <x:c r="A123" s="19"/>
      <x:c r="B123" s="19"/>
      <x:c r="C123" s="19"/>
      <x:c r="D123" s="19"/>
      <x:c r="E123" s="26"/>
      <x:c r="F123" s="26"/>
      <x:c r="G123" s="19"/>
      <x:c r="H123" s="25"/>
      <x:c r="I123" s="19"/>
    </x:row>
    <x:row r="124">
      <x:c r="A124" s="19"/>
      <x:c r="B124" s="19"/>
      <x:c r="C124" s="19"/>
      <x:c r="D124" s="19"/>
      <x:c r="E124" s="26"/>
      <x:c r="F124" s="26"/>
      <x:c r="G124" s="19"/>
      <x:c r="H124" s="25"/>
      <x:c r="I124" s="19"/>
    </x:row>
    <x:row r="125">
      <x:c r="A125" s="19"/>
      <x:c r="B125" s="19"/>
      <x:c r="C125" s="19"/>
      <x:c r="D125" s="19"/>
      <x:c r="E125" s="26"/>
      <x:c r="F125" s="26"/>
      <x:c r="G125" s="19"/>
      <x:c r="H125" s="25"/>
      <x:c r="I125" s="19"/>
    </x:row>
    <x:row r="126">
      <x:c r="A126" s="19"/>
      <x:c r="B126" s="19"/>
      <x:c r="C126" s="19"/>
      <x:c r="D126" s="19"/>
      <x:c r="E126" s="26"/>
      <x:c r="F126" s="26"/>
      <x:c r="G126" s="19"/>
      <x:c r="H126" s="25"/>
      <x:c r="I126" s="19"/>
    </x:row>
    <x:row r="127">
      <x:c r="A127" s="19"/>
      <x:c r="B127" s="19"/>
      <x:c r="C127" s="19"/>
      <x:c r="D127" s="19"/>
      <x:c r="E127" s="26"/>
      <x:c r="F127" s="26"/>
      <x:c r="G127" s="19"/>
      <x:c r="H127" s="25"/>
      <x:c r="I127" s="19"/>
    </x:row>
    <x:row r="128">
      <x:c r="A128" s="19"/>
      <x:c r="B128" s="19"/>
      <x:c r="C128" s="19"/>
      <x:c r="D128" s="19"/>
      <x:c r="E128" s="26"/>
      <x:c r="F128" s="26"/>
      <x:c r="G128" s="19"/>
      <x:c r="H128" s="25"/>
      <x:c r="I128" s="19"/>
    </x:row>
    <x:row r="129">
      <x:c r="A129" s="19"/>
      <x:c r="B129" s="19"/>
      <x:c r="C129" s="19"/>
      <x:c r="D129" s="19"/>
      <x:c r="E129" s="26"/>
      <x:c r="F129" s="26"/>
      <x:c r="G129" s="19"/>
      <x:c r="H129" s="25"/>
      <x:c r="I129" s="19"/>
    </x:row>
    <x:row r="130">
      <x:c r="A130" s="19"/>
      <x:c r="B130" s="19"/>
      <x:c r="C130" s="19"/>
      <x:c r="D130" s="19"/>
      <x:c r="E130" s="26"/>
      <x:c r="F130" s="26"/>
      <x:c r="G130" s="19"/>
      <x:c r="H130" s="25"/>
      <x:c r="I130" s="19"/>
    </x:row>
    <x:row r="131">
      <x:c r="A131" s="19"/>
      <x:c r="B131" s="19"/>
      <x:c r="C131" s="19"/>
      <x:c r="D131" s="19"/>
      <x:c r="E131" s="26"/>
      <x:c r="F131" s="26"/>
      <x:c r="G131" s="19"/>
      <x:c r="H131" s="25"/>
      <x:c r="I131" s="19"/>
    </x:row>
    <x:row r="132">
      <x:c r="A132" s="19"/>
      <x:c r="B132" s="19"/>
      <x:c r="C132" s="19"/>
      <x:c r="D132" s="19"/>
      <x:c r="E132" s="26"/>
      <x:c r="F132" s="26"/>
      <x:c r="G132" s="19"/>
      <x:c r="H132" s="25"/>
      <x:c r="I132" s="19"/>
    </x:row>
    <x:row r="133">
      <x:c r="A133" s="19"/>
      <x:c r="B133" s="19"/>
      <x:c r="C133" s="19"/>
      <x:c r="D133" s="19"/>
      <x:c r="E133" s="26"/>
      <x:c r="F133" s="26"/>
      <x:c r="G133" s="19"/>
      <x:c r="H133" s="25"/>
      <x:c r="I133" s="19"/>
    </x:row>
    <x:row r="134">
      <x:c r="A134" s="19"/>
      <x:c r="B134" s="19"/>
      <x:c r="C134" s="19"/>
      <x:c r="D134" s="19"/>
      <x:c r="E134" s="26"/>
      <x:c r="F134" s="26"/>
      <x:c r="G134" s="19"/>
      <x:c r="H134" s="25"/>
      <x:c r="I134" s="19"/>
    </x:row>
    <x:row r="135">
      <x:c r="A135" s="19"/>
      <x:c r="B135" s="19"/>
      <x:c r="C135" s="19"/>
      <x:c r="D135" s="19"/>
      <x:c r="E135" s="26"/>
      <x:c r="F135" s="26"/>
      <x:c r="G135" s="19"/>
      <x:c r="H135" s="25"/>
      <x:c r="I135" s="19"/>
    </x:row>
    <x:row r="136">
      <x:c r="A136" s="19"/>
      <x:c r="B136" s="19"/>
      <x:c r="C136" s="19"/>
      <x:c r="D136" s="19"/>
      <x:c r="E136" s="26"/>
      <x:c r="F136" s="26"/>
      <x:c r="G136" s="19"/>
      <x:c r="H136" s="25"/>
      <x:c r="I136" s="19"/>
    </x:row>
    <x:row r="137">
      <x:c r="A137" s="19"/>
      <x:c r="B137" s="19"/>
      <x:c r="C137" s="19"/>
      <x:c r="D137" s="19"/>
      <x:c r="E137" s="26"/>
      <x:c r="F137" s="26"/>
      <x:c r="G137" s="19"/>
      <x:c r="H137" s="25"/>
      <x:c r="I137" s="19"/>
    </x:row>
    <x:row r="138">
      <x:c r="A138" s="19"/>
      <x:c r="B138" s="19"/>
      <x:c r="C138" s="19"/>
      <x:c r="D138" s="19"/>
      <x:c r="E138" s="26"/>
      <x:c r="F138" s="26"/>
      <x:c r="G138" s="19"/>
      <x:c r="H138" s="25"/>
      <x:c r="I138" s="19"/>
    </x:row>
    <x:row r="139">
      <x:c r="A139" s="19"/>
      <x:c r="B139" s="19"/>
      <x:c r="C139" s="19"/>
      <x:c r="D139" s="19"/>
      <x:c r="E139" s="26"/>
      <x:c r="F139" s="26"/>
      <x:c r="G139" s="19"/>
      <x:c r="H139" s="25"/>
      <x:c r="I139" s="19"/>
    </x:row>
    <x:row r="140">
      <x:c r="A140" s="19"/>
      <x:c r="B140" s="19"/>
      <x:c r="C140" s="19"/>
      <x:c r="D140" s="19"/>
      <x:c r="E140" s="26"/>
      <x:c r="F140" s="26"/>
      <x:c r="G140" s="19"/>
      <x:c r="H140" s="25"/>
      <x:c r="I140" s="19"/>
    </x:row>
    <x:row r="141">
      <x:c r="A141" s="19"/>
      <x:c r="B141" s="19"/>
      <x:c r="C141" s="19"/>
      <x:c r="D141" s="19"/>
      <x:c r="E141" s="26"/>
      <x:c r="F141" s="26"/>
      <x:c r="G141" s="19"/>
      <x:c r="H141" s="25"/>
      <x:c r="I141" s="19"/>
    </x:row>
    <x:row r="142">
      <x:c r="A142" s="19"/>
      <x:c r="B142" s="19"/>
      <x:c r="C142" s="19"/>
      <x:c r="D142" s="19"/>
      <x:c r="E142" s="26"/>
      <x:c r="F142" s="26"/>
      <x:c r="G142" s="19"/>
      <x:c r="H142" s="25"/>
      <x:c r="I142" s="19"/>
    </x:row>
    <x:row r="143">
      <x:c r="A143" s="19"/>
      <x:c r="B143" s="19"/>
      <x:c r="C143" s="19"/>
      <x:c r="D143" s="19"/>
      <x:c r="E143" s="26"/>
      <x:c r="F143" s="26"/>
      <x:c r="G143" s="19"/>
      <x:c r="H143" s="25"/>
      <x:c r="I143" s="19"/>
    </x:row>
    <x:row r="144">
      <x:c r="A144" s="19"/>
      <x:c r="B144" s="19"/>
      <x:c r="C144" s="19"/>
      <x:c r="D144" s="19"/>
      <x:c r="E144" s="26"/>
      <x:c r="F144" s="26"/>
      <x:c r="G144" s="19"/>
      <x:c r="H144" s="25"/>
      <x:c r="I144" s="19"/>
    </x:row>
    <x:row r="145">
      <x:c r="A145" s="19"/>
      <x:c r="B145" s="19"/>
      <x:c r="C145" s="19"/>
      <x:c r="D145" s="19"/>
      <x:c r="E145" s="26"/>
      <x:c r="F145" s="26"/>
      <x:c r="G145" s="19"/>
      <x:c r="H145" s="25"/>
      <x:c r="I145" s="19"/>
    </x:row>
    <x:row r="146">
      <x:c r="A146" s="19"/>
      <x:c r="B146" s="19"/>
      <x:c r="C146" s="19"/>
      <x:c r="D146" s="19"/>
      <x:c r="E146" s="26"/>
      <x:c r="F146" s="26"/>
      <x:c r="G146" s="19"/>
      <x:c r="H146" s="25"/>
      <x:c r="I146" s="19"/>
    </x:row>
    <x:row r="147">
      <x:c r="A147" s="19"/>
      <x:c r="B147" s="19"/>
      <x:c r="C147" s="19"/>
      <x:c r="D147" s="19"/>
      <x:c r="E147" s="26"/>
      <x:c r="F147" s="26"/>
      <x:c r="G147" s="19"/>
      <x:c r="H147" s="25"/>
      <x:c r="I147" s="19"/>
    </x:row>
    <x:row r="148">
      <x:c r="A148" s="19"/>
      <x:c r="B148" s="19"/>
      <x:c r="C148" s="19"/>
      <x:c r="D148" s="19"/>
      <x:c r="E148" s="26"/>
      <x:c r="F148" s="26"/>
      <x:c r="G148" s="19"/>
      <x:c r="H148" s="25"/>
      <x:c r="I148" s="19"/>
    </x:row>
    <x:row r="149">
      <x:c r="A149" s="19"/>
      <x:c r="B149" s="19"/>
      <x:c r="C149" s="19"/>
      <x:c r="D149" s="19"/>
      <x:c r="E149" s="26"/>
      <x:c r="F149" s="26"/>
      <x:c r="G149" s="19"/>
      <x:c r="H149" s="25"/>
      <x:c r="I149" s="19"/>
    </x:row>
    <x:row r="150">
      <x:c r="A150" s="19"/>
      <x:c r="B150" s="19"/>
      <x:c r="C150" s="19"/>
      <x:c r="D150" s="19"/>
      <x:c r="E150" s="26"/>
      <x:c r="F150" s="26"/>
      <x:c r="G150" s="19"/>
      <x:c r="H150" s="25"/>
      <x:c r="I150" s="19"/>
    </x:row>
    <x:row r="151">
      <x:c r="A151" s="19"/>
      <x:c r="B151" s="19"/>
      <x:c r="C151" s="19"/>
      <x:c r="D151" s="19"/>
      <x:c r="E151" s="26"/>
      <x:c r="F151" s="26"/>
      <x:c r="G151" s="19"/>
      <x:c r="H151" s="25"/>
      <x:c r="I151" s="19"/>
    </x:row>
    <x:row r="152">
      <x:c r="A152" s="19"/>
      <x:c r="B152" s="19"/>
      <x:c r="C152" s="19"/>
      <x:c r="D152" s="19"/>
      <x:c r="E152" s="26"/>
      <x:c r="F152" s="26"/>
      <x:c r="G152" s="19"/>
      <x:c r="H152" s="25"/>
      <x:c r="I152" s="19"/>
    </x:row>
    <x:row r="153">
      <x:c r="A153" s="19"/>
      <x:c r="B153" s="19"/>
      <x:c r="C153" s="19"/>
      <x:c r="D153" s="19"/>
      <x:c r="E153" s="26"/>
      <x:c r="F153" s="26"/>
      <x:c r="G153" s="19"/>
      <x:c r="H153" s="25"/>
      <x:c r="I153" s="19"/>
    </x:row>
    <x:row r="154">
      <x:c r="A154" s="19"/>
      <x:c r="B154" s="19"/>
      <x:c r="C154" s="19"/>
      <x:c r="D154" s="19"/>
      <x:c r="E154" s="26"/>
      <x:c r="F154" s="26"/>
      <x:c r="G154" s="19"/>
      <x:c r="H154" s="25"/>
      <x:c r="I154" s="19"/>
    </x:row>
    <x:row r="155">
      <x:c r="A155" s="19"/>
      <x:c r="B155" s="19"/>
      <x:c r="C155" s="19"/>
      <x:c r="D155" s="19"/>
      <x:c r="E155" s="26"/>
      <x:c r="F155" s="26"/>
      <x:c r="G155" s="19"/>
      <x:c r="H155" s="25"/>
      <x:c r="I155" s="19"/>
    </x:row>
    <x:row r="156">
      <x:c r="A156" s="19"/>
      <x:c r="B156" s="19"/>
      <x:c r="C156" s="19"/>
      <x:c r="D156" s="19"/>
      <x:c r="E156" s="26"/>
      <x:c r="F156" s="26"/>
      <x:c r="G156" s="19"/>
      <x:c r="H156" s="25"/>
      <x:c r="I156" s="19"/>
    </x:row>
    <x:row r="157">
      <x:c r="A157" s="19"/>
      <x:c r="B157" s="19"/>
      <x:c r="C157" s="19"/>
      <x:c r="D157" s="19"/>
      <x:c r="E157" s="26"/>
      <x:c r="F157" s="26"/>
      <x:c r="G157" s="19"/>
      <x:c r="H157" s="25"/>
      <x:c r="I157" s="19"/>
    </x:row>
    <x:row r="158">
      <x:c r="A158" s="19"/>
      <x:c r="B158" s="19"/>
      <x:c r="C158" s="19"/>
      <x:c r="D158" s="19"/>
      <x:c r="E158" s="26"/>
      <x:c r="F158" s="26"/>
      <x:c r="G158" s="19"/>
      <x:c r="H158" s="25"/>
      <x:c r="I158" s="19"/>
    </x:row>
    <x:row r="159">
      <x:c r="A159" s="19"/>
      <x:c r="B159" s="19"/>
      <x:c r="C159" s="19"/>
      <x:c r="D159" s="19"/>
      <x:c r="E159" s="26"/>
      <x:c r="F159" s="26"/>
      <x:c r="G159" s="19"/>
      <x:c r="H159" s="25"/>
      <x:c r="I159" s="19"/>
    </x:row>
    <x:row r="160">
      <x:c r="A160" s="19"/>
      <x:c r="B160" s="19"/>
      <x:c r="C160" s="19"/>
      <x:c r="D160" s="19"/>
      <x:c r="E160" s="26"/>
      <x:c r="F160" s="26"/>
      <x:c r="G160" s="19"/>
      <x:c r="H160" s="25"/>
      <x:c r="I160" s="19"/>
    </x:row>
    <x:row r="161">
      <x:c r="A161" s="19"/>
      <x:c r="B161" s="19"/>
      <x:c r="C161" s="19"/>
      <x:c r="D161" s="19"/>
      <x:c r="E161" s="26"/>
      <x:c r="F161" s="26"/>
      <x:c r="G161" s="19"/>
      <x:c r="H161" s="25"/>
      <x:c r="I161" s="19"/>
    </x:row>
    <x:row r="162">
      <x:c r="A162" s="19"/>
      <x:c r="B162" s="19"/>
      <x:c r="C162" s="19"/>
      <x:c r="D162" s="19"/>
      <x:c r="E162" s="26"/>
      <x:c r="F162" s="26"/>
      <x:c r="G162" s="19"/>
      <x:c r="H162" s="25"/>
      <x:c r="I162" s="19"/>
    </x:row>
    <x:row r="163">
      <x:c r="A163" s="19"/>
      <x:c r="B163" s="19"/>
      <x:c r="C163" s="19"/>
      <x:c r="D163" s="19"/>
      <x:c r="E163" s="26"/>
      <x:c r="F163" s="26"/>
      <x:c r="G163" s="19"/>
      <x:c r="H163" s="25"/>
      <x:c r="I163" s="19"/>
    </x:row>
    <x:row r="164">
      <x:c r="A164" s="19"/>
      <x:c r="B164" s="19"/>
      <x:c r="C164" s="19"/>
      <x:c r="D164" s="19"/>
      <x:c r="E164" s="26"/>
      <x:c r="F164" s="26"/>
      <x:c r="G164" s="19"/>
      <x:c r="H164" s="25"/>
      <x:c r="I164" s="19"/>
    </x:row>
    <x:row r="165">
      <x:c r="A165" s="19"/>
      <x:c r="B165" s="19"/>
      <x:c r="C165" s="19"/>
      <x:c r="D165" s="19"/>
      <x:c r="E165" s="26"/>
      <x:c r="F165" s="26"/>
      <x:c r="G165" s="19"/>
      <x:c r="H165" s="25"/>
      <x:c r="I165" s="19"/>
    </x:row>
    <x:row r="166">
      <x:c r="A166" s="19"/>
      <x:c r="B166" s="19"/>
      <x:c r="C166" s="19"/>
      <x:c r="D166" s="19"/>
      <x:c r="E166" s="26"/>
      <x:c r="F166" s="26"/>
      <x:c r="G166" s="19"/>
      <x:c r="H166" s="25"/>
      <x:c r="I166" s="19"/>
    </x:row>
    <x:row r="167">
      <x:c r="A167" s="19"/>
      <x:c r="B167" s="19"/>
      <x:c r="C167" s="19"/>
      <x:c r="D167" s="19"/>
      <x:c r="E167" s="26"/>
      <x:c r="F167" s="26"/>
      <x:c r="G167" s="19"/>
      <x:c r="H167" s="25"/>
      <x:c r="I167" s="19"/>
    </x:row>
    <x:row r="168">
      <x:c r="A168" s="19"/>
      <x:c r="B168" s="19"/>
      <x:c r="C168" s="19"/>
      <x:c r="D168" s="19"/>
      <x:c r="E168" s="26"/>
      <x:c r="F168" s="26"/>
      <x:c r="G168" s="19"/>
      <x:c r="H168" s="25"/>
      <x:c r="I168" s="19"/>
    </x:row>
    <x:row r="169">
      <x:c r="A169" s="19"/>
      <x:c r="B169" s="19"/>
      <x:c r="C169" s="19"/>
      <x:c r="D169" s="19"/>
      <x:c r="E169" s="26"/>
      <x:c r="F169" s="26"/>
      <x:c r="G169" s="19"/>
      <x:c r="H169" s="25"/>
      <x:c r="I169" s="19"/>
    </x:row>
    <x:row r="170">
      <x:c r="A170" s="19"/>
      <x:c r="B170" s="19"/>
      <x:c r="C170" s="19"/>
      <x:c r="D170" s="19"/>
      <x:c r="E170" s="26"/>
      <x:c r="F170" s="26"/>
      <x:c r="G170" s="19"/>
      <x:c r="H170" s="25"/>
      <x:c r="I170" s="19"/>
    </x:row>
    <x:row r="171">
      <x:c r="A171" s="19"/>
      <x:c r="B171" s="19"/>
      <x:c r="C171" s="19"/>
      <x:c r="D171" s="19"/>
      <x:c r="E171" s="26"/>
      <x:c r="F171" s="26"/>
      <x:c r="G171" s="19"/>
      <x:c r="H171" s="25"/>
      <x:c r="I171" s="19"/>
    </x:row>
    <x:row r="172">
      <x:c r="A172" s="19"/>
      <x:c r="B172" s="19"/>
      <x:c r="C172" s="19"/>
      <x:c r="D172" s="19"/>
      <x:c r="E172" s="26"/>
      <x:c r="F172" s="26"/>
      <x:c r="G172" s="19"/>
      <x:c r="H172" s="25"/>
      <x:c r="I172" s="19"/>
    </x:row>
    <x:row r="173">
      <x:c r="A173" s="19"/>
      <x:c r="B173" s="19"/>
      <x:c r="C173" s="19"/>
      <x:c r="D173" s="19"/>
      <x:c r="E173" s="26"/>
      <x:c r="F173" s="26"/>
      <x:c r="G173" s="19"/>
      <x:c r="H173" s="25"/>
      <x:c r="I173" s="19"/>
    </x:row>
    <x:row r="174">
      <x:c r="A174" s="19"/>
      <x:c r="B174" s="19"/>
      <x:c r="C174" s="19"/>
      <x:c r="D174" s="19"/>
      <x:c r="E174" s="26"/>
      <x:c r="F174" s="26"/>
      <x:c r="G174" s="19"/>
      <x:c r="H174" s="25"/>
      <x:c r="I174" s="19"/>
    </x:row>
    <x:row r="175">
      <x:c r="A175" s="19"/>
      <x:c r="B175" s="19"/>
      <x:c r="C175" s="19"/>
      <x:c r="D175" s="19"/>
      <x:c r="E175" s="26"/>
      <x:c r="F175" s="26"/>
      <x:c r="G175" s="19"/>
      <x:c r="H175" s="25"/>
      <x:c r="I175" s="19"/>
    </x:row>
    <x:row r="176">
      <x:c r="A176" s="19"/>
      <x:c r="B176" s="19"/>
      <x:c r="C176" s="19"/>
      <x:c r="D176" s="19"/>
      <x:c r="E176" s="26"/>
      <x:c r="F176" s="26"/>
      <x:c r="G176" s="19"/>
      <x:c r="H176" s="25"/>
      <x:c r="I176" s="19"/>
    </x:row>
    <x:row r="177">
      <x:c r="A177" s="19"/>
      <x:c r="B177" s="19"/>
      <x:c r="C177" s="19"/>
      <x:c r="D177" s="19"/>
      <x:c r="E177" s="26"/>
      <x:c r="F177" s="26"/>
      <x:c r="G177" s="19"/>
      <x:c r="H177" s="25"/>
      <x:c r="I177" s="19"/>
    </x:row>
    <x:row r="178">
      <x:c r="A178" s="19"/>
      <x:c r="B178" s="19"/>
      <x:c r="C178" s="19"/>
      <x:c r="D178" s="19"/>
      <x:c r="E178" s="26"/>
      <x:c r="F178" s="26"/>
      <x:c r="G178" s="19"/>
      <x:c r="H178" s="25"/>
      <x:c r="I178" s="19"/>
    </x:row>
    <x:row r="179">
      <x:c r="A179" s="19"/>
      <x:c r="B179" s="19"/>
      <x:c r="C179" s="19"/>
      <x:c r="D179" s="19"/>
      <x:c r="E179" s="26"/>
      <x:c r="F179" s="26"/>
      <x:c r="G179" s="19"/>
      <x:c r="H179" s="25"/>
      <x:c r="I179" s="19"/>
    </x:row>
    <x:row r="180">
      <x:c r="A180" s="19"/>
      <x:c r="B180" s="19"/>
      <x:c r="C180" s="19"/>
      <x:c r="D180" s="19"/>
      <x:c r="E180" s="26"/>
      <x:c r="F180" s="26"/>
      <x:c r="G180" s="19"/>
      <x:c r="H180" s="25"/>
      <x:c r="I180" s="19"/>
    </x:row>
    <x:row r="181">
      <x:c r="A181" s="19"/>
      <x:c r="B181" s="19"/>
      <x:c r="C181" s="19"/>
      <x:c r="D181" s="19"/>
      <x:c r="E181" s="26"/>
      <x:c r="F181" s="26"/>
      <x:c r="G181" s="19"/>
      <x:c r="H181" s="25"/>
      <x:c r="I181" s="19"/>
    </x:row>
    <x:row r="182">
      <x:c r="A182" s="19"/>
      <x:c r="B182" s="19"/>
      <x:c r="C182" s="19"/>
      <x:c r="D182" s="19"/>
      <x:c r="E182" s="26"/>
      <x:c r="F182" s="26"/>
      <x:c r="G182" s="19"/>
      <x:c r="H182" s="25"/>
      <x:c r="I182" s="19"/>
    </x:row>
    <x:row r="183">
      <x:c r="A183" s="19"/>
      <x:c r="B183" s="19"/>
      <x:c r="C183" s="19"/>
      <x:c r="D183" s="19"/>
      <x:c r="E183" s="26"/>
      <x:c r="F183" s="26"/>
      <x:c r="G183" s="19"/>
      <x:c r="H183" s="25"/>
      <x:c r="I183" s="19"/>
    </x:row>
    <x:row r="184">
      <x:c r="A184" s="19"/>
      <x:c r="B184" s="19"/>
      <x:c r="C184" s="19"/>
      <x:c r="D184" s="19"/>
      <x:c r="E184" s="26"/>
      <x:c r="F184" s="26"/>
      <x:c r="G184" s="19"/>
      <x:c r="H184" s="25"/>
      <x:c r="I184" s="19"/>
    </x:row>
    <x:row r="185">
      <x:c r="A185" s="19"/>
      <x:c r="B185" s="19"/>
      <x:c r="C185" s="19"/>
      <x:c r="D185" s="19"/>
      <x:c r="E185" s="26"/>
      <x:c r="F185" s="26"/>
      <x:c r="G185" s="19"/>
      <x:c r="H185" s="25"/>
      <x:c r="I185" s="19"/>
    </x:row>
    <x:row r="186">
      <x:c r="A186" s="19"/>
      <x:c r="B186" s="19"/>
      <x:c r="C186" s="19"/>
      <x:c r="D186" s="19"/>
      <x:c r="E186" s="26"/>
      <x:c r="F186" s="26"/>
      <x:c r="G186" s="19"/>
      <x:c r="H186" s="25"/>
      <x:c r="I186" s="19"/>
    </x:row>
    <x:row r="187">
      <x:c r="A187" s="19"/>
      <x:c r="B187" s="19"/>
      <x:c r="C187" s="19"/>
      <x:c r="D187" s="19"/>
      <x:c r="E187" s="26"/>
      <x:c r="F187" s="26"/>
      <x:c r="G187" s="19"/>
      <x:c r="H187" s="25"/>
      <x:c r="I187" s="19"/>
    </x:row>
    <x:row r="188">
      <x:c r="A188" s="19"/>
      <x:c r="B188" s="19"/>
      <x:c r="C188" s="19"/>
      <x:c r="D188" s="19"/>
      <x:c r="E188" s="26"/>
      <x:c r="F188" s="26"/>
      <x:c r="G188" s="19"/>
      <x:c r="H188" s="25"/>
      <x:c r="I188" s="19"/>
    </x:row>
    <x:row r="189">
      <x:c r="A189" s="19"/>
      <x:c r="B189" s="19"/>
      <x:c r="C189" s="19"/>
      <x:c r="D189" s="19"/>
      <x:c r="E189" s="26"/>
      <x:c r="F189" s="26"/>
      <x:c r="G189" s="19"/>
      <x:c r="H189" s="25"/>
      <x:c r="I189" s="19"/>
    </x:row>
    <x:row r="190">
      <x:c r="A190" s="19"/>
      <x:c r="B190" s="19"/>
      <x:c r="C190" s="19"/>
      <x:c r="D190" s="19"/>
      <x:c r="E190" s="26"/>
      <x:c r="F190" s="26"/>
      <x:c r="G190" s="19"/>
      <x:c r="H190" s="25"/>
      <x:c r="I190" s="19"/>
    </x:row>
    <x:row r="191">
      <x:c r="A191" s="19"/>
      <x:c r="B191" s="19"/>
      <x:c r="C191" s="19"/>
      <x:c r="D191" s="19"/>
      <x:c r="E191" s="26"/>
      <x:c r="F191" s="26"/>
      <x:c r="G191" s="19"/>
      <x:c r="H191" s="25"/>
      <x:c r="I191" s="19"/>
    </x:row>
    <x:row r="192">
      <x:c r="A192" s="19"/>
      <x:c r="B192" s="19"/>
      <x:c r="C192" s="19"/>
      <x:c r="D192" s="19"/>
      <x:c r="E192" s="26"/>
      <x:c r="F192" s="26"/>
      <x:c r="G192" s="19"/>
      <x:c r="H192" s="25"/>
      <x:c r="I192" s="19"/>
    </x:row>
    <x:row r="193">
      <x:c r="A193" s="19"/>
      <x:c r="B193" s="19"/>
      <x:c r="C193" s="19"/>
      <x:c r="D193" s="19"/>
      <x:c r="E193" s="26"/>
      <x:c r="F193" s="26"/>
      <x:c r="G193" s="19"/>
      <x:c r="H193" s="25"/>
      <x:c r="I193" s="19"/>
    </x:row>
    <x:row r="194">
      <x:c r="A194" s="19"/>
      <x:c r="B194" s="19"/>
      <x:c r="C194" s="19"/>
      <x:c r="D194" s="19"/>
      <x:c r="E194" s="26"/>
      <x:c r="F194" s="26"/>
      <x:c r="G194" s="19"/>
      <x:c r="H194" s="25"/>
      <x:c r="I194" s="19"/>
    </x:row>
    <x:row r="195">
      <x:c r="A195" s="19"/>
      <x:c r="B195" s="19"/>
      <x:c r="C195" s="19"/>
      <x:c r="D195" s="19"/>
      <x:c r="E195" s="26"/>
      <x:c r="F195" s="26"/>
      <x:c r="G195" s="19"/>
      <x:c r="H195" s="25"/>
      <x:c r="I195" s="19"/>
    </x:row>
    <x:row r="196">
      <x:c r="A196" s="19"/>
      <x:c r="B196" s="19"/>
      <x:c r="C196" s="19"/>
      <x:c r="D196" s="19"/>
      <x:c r="E196" s="26"/>
      <x:c r="F196" s="26"/>
      <x:c r="G196" s="19"/>
      <x:c r="H196" s="25"/>
      <x:c r="I196" s="19"/>
    </x:row>
    <x:row r="197">
      <x:c r="A197" s="19"/>
      <x:c r="B197" s="19"/>
      <x:c r="C197" s="19"/>
      <x:c r="D197" s="19"/>
      <x:c r="E197" s="26"/>
      <x:c r="F197" s="26"/>
      <x:c r="G197" s="19"/>
      <x:c r="H197" s="25"/>
      <x:c r="I197" s="19"/>
    </x:row>
    <x:row r="198">
      <x:c r="A198" s="19"/>
      <x:c r="B198" s="19"/>
      <x:c r="C198" s="19"/>
      <x:c r="D198" s="19"/>
      <x:c r="E198" s="26"/>
      <x:c r="F198" s="26"/>
      <x:c r="G198" s="19"/>
      <x:c r="H198" s="25"/>
      <x:c r="I198" s="19"/>
    </x:row>
    <x:row r="199">
      <x:c r="A199" s="19"/>
      <x:c r="B199" s="19"/>
      <x:c r="C199" s="19"/>
      <x:c r="D199" s="19"/>
      <x:c r="E199" s="26"/>
      <x:c r="F199" s="26"/>
      <x:c r="G199" s="19"/>
      <x:c r="H199" s="25"/>
      <x:c r="I199" s="19"/>
    </x:row>
    <x:row r="200">
      <x:c r="A200" s="19"/>
      <x:c r="B200" s="19"/>
      <x:c r="C200" s="19"/>
      <x:c r="D200" s="19"/>
      <x:c r="E200" s="26"/>
      <x:c r="F200" s="26"/>
      <x:c r="G200" s="19"/>
      <x:c r="H200" s="25"/>
      <x:c r="I200" s="19"/>
    </x:row>
    <x:row r="201">
      <x:c r="A201" s="19"/>
      <x:c r="B201" s="19"/>
      <x:c r="C201" s="19"/>
      <x:c r="D201" s="19"/>
      <x:c r="E201" s="26"/>
      <x:c r="F201" s="26"/>
      <x:c r="G201" s="19"/>
      <x:c r="H201" s="25"/>
      <x:c r="I201" s="19"/>
    </x:row>
    <x:row r="202">
      <x:c r="A202" s="19"/>
      <x:c r="B202" s="19"/>
      <x:c r="C202" s="19"/>
      <x:c r="D202" s="19"/>
      <x:c r="E202" s="26"/>
      <x:c r="F202" s="26"/>
      <x:c r="G202" s="19"/>
      <x:c r="H202" s="25"/>
      <x:c r="I202" s="19"/>
    </x:row>
    <x:row r="203">
      <x:c r="A203" s="19"/>
      <x:c r="B203" s="19"/>
      <x:c r="C203" s="19"/>
      <x:c r="D203" s="19"/>
      <x:c r="E203" s="26"/>
      <x:c r="F203" s="26"/>
      <x:c r="G203" s="19"/>
      <x:c r="H203" s="25"/>
      <x:c r="I203" s="19"/>
    </x:row>
    <x:row r="204">
      <x:c r="A204" s="19"/>
      <x:c r="B204" s="19"/>
      <x:c r="C204" s="19"/>
      <x:c r="D204" s="19"/>
      <x:c r="E204" s="26"/>
      <x:c r="F204" s="26"/>
      <x:c r="G204" s="19"/>
      <x:c r="H204" s="25"/>
      <x:c r="I204" s="19"/>
    </x:row>
    <x:row r="205">
      <x:c r="A205" s="19"/>
      <x:c r="B205" s="19"/>
      <x:c r="C205" s="19"/>
      <x:c r="D205" s="19"/>
      <x:c r="E205" s="26"/>
      <x:c r="F205" s="26"/>
      <x:c r="G205" s="19"/>
      <x:c r="H205" s="25"/>
      <x:c r="I205" s="19"/>
    </x:row>
    <x:row r="206">
      <x:c r="A206" s="19"/>
      <x:c r="B206" s="19"/>
      <x:c r="C206" s="19"/>
      <x:c r="D206" s="19"/>
      <x:c r="E206" s="26"/>
      <x:c r="F206" s="26"/>
      <x:c r="G206" s="19"/>
      <x:c r="H206" s="25"/>
      <x:c r="I206" s="19"/>
    </x:row>
    <x:row r="207">
      <x:c r="A207" s="19"/>
      <x:c r="B207" s="19"/>
      <x:c r="C207" s="19"/>
      <x:c r="D207" s="19"/>
      <x:c r="E207" s="26"/>
      <x:c r="F207" s="26"/>
      <x:c r="G207" s="19"/>
      <x:c r="H207" s="25"/>
      <x:c r="I207" s="19"/>
    </x:row>
    <x:row r="208">
      <x:c r="A208" s="19"/>
      <x:c r="B208" s="19"/>
      <x:c r="C208" s="19"/>
      <x:c r="D208" s="19"/>
      <x:c r="E208" s="26"/>
      <x:c r="F208" s="26"/>
      <x:c r="G208" s="19"/>
      <x:c r="H208" s="25"/>
      <x:c r="I208" s="19"/>
    </x:row>
    <x:row r="209">
      <x:c r="A209" s="19"/>
      <x:c r="B209" s="19"/>
      <x:c r="C209" s="19"/>
      <x:c r="D209" s="19"/>
      <x:c r="E209" s="26"/>
      <x:c r="F209" s="26"/>
      <x:c r="G209" s="19"/>
      <x:c r="H209" s="25"/>
      <x:c r="I209" s="19"/>
    </x:row>
    <x:row r="210">
      <x:c r="A210" s="19"/>
      <x:c r="B210" s="19"/>
      <x:c r="C210" s="19"/>
      <x:c r="D210" s="19"/>
      <x:c r="E210" s="26"/>
      <x:c r="F210" s="26"/>
      <x:c r="G210" s="19"/>
      <x:c r="H210" s="25"/>
      <x:c r="I210" s="19"/>
    </x:row>
    <x:row r="211">
      <x:c r="A211" s="19"/>
      <x:c r="B211" s="19"/>
      <x:c r="C211" s="19"/>
      <x:c r="D211" s="19"/>
      <x:c r="E211" s="26"/>
      <x:c r="F211" s="26"/>
      <x:c r="G211" s="19"/>
      <x:c r="H211" s="25"/>
      <x:c r="I211" s="19"/>
    </x:row>
    <x:row r="212">
      <x:c r="A212" s="19"/>
      <x:c r="B212" s="19"/>
      <x:c r="C212" s="19"/>
      <x:c r="D212" s="19"/>
      <x:c r="E212" s="26"/>
      <x:c r="F212" s="26"/>
      <x:c r="G212" s="19"/>
      <x:c r="H212" s="25"/>
      <x:c r="I212" s="19"/>
    </x:row>
    <x:row r="213">
      <x:c r="A213" s="19"/>
      <x:c r="B213" s="19"/>
      <x:c r="C213" s="19"/>
      <x:c r="D213" s="19"/>
      <x:c r="E213" s="26"/>
      <x:c r="F213" s="26"/>
      <x:c r="G213" s="19"/>
      <x:c r="H213" s="25"/>
      <x:c r="I213" s="19"/>
    </x:row>
    <x:row r="214">
      <x:c r="A214" s="19"/>
      <x:c r="B214" s="19"/>
      <x:c r="C214" s="19"/>
      <x:c r="D214" s="19"/>
      <x:c r="E214" s="26"/>
      <x:c r="F214" s="26"/>
      <x:c r="G214" s="19"/>
      <x:c r="H214" s="25"/>
      <x:c r="I214" s="19"/>
    </x:row>
    <x:row r="215">
      <x:c r="A215" s="19"/>
      <x:c r="B215" s="19"/>
      <x:c r="C215" s="19"/>
      <x:c r="D215" s="19"/>
      <x:c r="E215" s="26"/>
      <x:c r="F215" s="26"/>
      <x:c r="G215" s="19"/>
      <x:c r="H215" s="25"/>
      <x:c r="I215" s="19"/>
    </x:row>
    <x:row r="216">
      <x:c r="A216" s="19"/>
      <x:c r="B216" s="19"/>
      <x:c r="C216" s="19"/>
      <x:c r="D216" s="19"/>
      <x:c r="E216" s="26"/>
      <x:c r="F216" s="26"/>
      <x:c r="G216" s="19"/>
      <x:c r="H216" s="25"/>
      <x:c r="I216" s="19"/>
    </x:row>
    <x:row r="217">
      <x:c r="A217" s="19"/>
      <x:c r="B217" s="19"/>
      <x:c r="C217" s="19"/>
      <x:c r="D217" s="19"/>
      <x:c r="E217" s="26"/>
      <x:c r="F217" s="26"/>
      <x:c r="G217" s="19"/>
      <x:c r="H217" s="25"/>
      <x:c r="I217" s="19"/>
    </x:row>
    <x:row r="218">
      <x:c r="A218" s="19"/>
      <x:c r="B218" s="19"/>
      <x:c r="C218" s="19"/>
      <x:c r="D218" s="19"/>
      <x:c r="E218" s="26"/>
      <x:c r="F218" s="26"/>
      <x:c r="G218" s="19"/>
      <x:c r="H218" s="25"/>
      <x:c r="I218" s="19"/>
    </x:row>
    <x:row r="219">
      <x:c r="A219" s="19"/>
      <x:c r="B219" s="19"/>
      <x:c r="C219" s="19"/>
      <x:c r="D219" s="19"/>
      <x:c r="E219" s="26"/>
      <x:c r="F219" s="26"/>
      <x:c r="G219" s="19"/>
      <x:c r="H219" s="25"/>
      <x:c r="I219" s="19"/>
    </x:row>
    <x:row r="220">
      <x:c r="A220" s="19"/>
      <x:c r="B220" s="19"/>
      <x:c r="C220" s="19"/>
      <x:c r="D220" s="19"/>
      <x:c r="E220" s="26"/>
      <x:c r="F220" s="26"/>
      <x:c r="G220" s="19"/>
      <x:c r="H220" s="25"/>
      <x:c r="I220" s="19"/>
    </x:row>
    <x:row r="221">
      <x:c r="A221" s="19"/>
      <x:c r="B221" s="19"/>
      <x:c r="C221" s="19"/>
      <x:c r="D221" s="19"/>
      <x:c r="E221" s="26"/>
      <x:c r="F221" s="26"/>
      <x:c r="G221" s="19"/>
      <x:c r="H221" s="25"/>
      <x:c r="I221" s="19"/>
    </x:row>
    <x:row r="222">
      <x:c r="A222" s="19"/>
      <x:c r="B222" s="19"/>
      <x:c r="C222" s="19"/>
      <x:c r="D222" s="19"/>
      <x:c r="E222" s="26"/>
      <x:c r="F222" s="26"/>
      <x:c r="G222" s="19"/>
      <x:c r="H222" s="25"/>
      <x:c r="I222" s="19"/>
    </x:row>
    <x:row r="223">
      <x:c r="A223" s="19"/>
      <x:c r="B223" s="19"/>
      <x:c r="C223" s="19"/>
      <x:c r="D223" s="19"/>
      <x:c r="E223" s="26"/>
      <x:c r="F223" s="26"/>
      <x:c r="G223" s="19"/>
      <x:c r="H223" s="25"/>
      <x:c r="I223" s="19"/>
    </x:row>
    <x:row r="224">
      <x:c r="A224" s="19"/>
      <x:c r="B224" s="19"/>
      <x:c r="C224" s="19"/>
      <x:c r="D224" s="19"/>
      <x:c r="E224" s="26"/>
      <x:c r="F224" s="26"/>
      <x:c r="G224" s="19"/>
      <x:c r="H224" s="25"/>
      <x:c r="I224" s="19"/>
    </x:row>
    <x:row r="225">
      <x:c r="A225" s="19"/>
      <x:c r="B225" s="19"/>
      <x:c r="C225" s="19"/>
      <x:c r="D225" s="19"/>
      <x:c r="E225" s="26"/>
      <x:c r="F225" s="26"/>
      <x:c r="G225" s="19"/>
      <x:c r="H225" s="25"/>
      <x:c r="I225" s="19"/>
    </x:row>
    <x:row r="226">
      <x:c r="A226" s="19"/>
      <x:c r="B226" s="19"/>
      <x:c r="C226" s="19"/>
      <x:c r="D226" s="19"/>
      <x:c r="E226" s="26"/>
      <x:c r="F226" s="26"/>
      <x:c r="G226" s="19"/>
      <x:c r="H226" s="25"/>
      <x:c r="I226" s="19"/>
    </x:row>
    <x:row r="227">
      <x:c r="A227" s="19"/>
      <x:c r="B227" s="19"/>
      <x:c r="C227" s="19"/>
      <x:c r="D227" s="19"/>
      <x:c r="E227" s="26"/>
      <x:c r="F227" s="26"/>
      <x:c r="G227" s="19"/>
      <x:c r="H227" s="25"/>
      <x:c r="I227" s="19"/>
    </x:row>
    <x:row r="228">
      <x:c r="A228" s="19"/>
      <x:c r="B228" s="19"/>
      <x:c r="C228" s="19"/>
      <x:c r="D228" s="19"/>
      <x:c r="E228" s="26"/>
      <x:c r="F228" s="26"/>
      <x:c r="G228" s="19"/>
      <x:c r="H228" s="25"/>
      <x:c r="I228" s="19"/>
    </x:row>
    <x:row r="229">
      <x:c r="A229" s="19"/>
      <x:c r="B229" s="19"/>
      <x:c r="C229" s="19"/>
      <x:c r="D229" s="19"/>
      <x:c r="E229" s="26"/>
      <x:c r="F229" s="26"/>
      <x:c r="G229" s="19"/>
      <x:c r="H229" s="25"/>
      <x:c r="I229" s="19"/>
    </x:row>
    <x:row r="230">
      <x:c r="A230" s="19"/>
      <x:c r="B230" s="19"/>
      <x:c r="C230" s="19"/>
      <x:c r="D230" s="19"/>
      <x:c r="E230" s="26"/>
      <x:c r="F230" s="26"/>
      <x:c r="G230" s="19"/>
      <x:c r="H230" s="25"/>
      <x:c r="I230" s="19"/>
    </x:row>
    <x:row r="231">
      <x:c r="A231" s="19"/>
      <x:c r="B231" s="19"/>
      <x:c r="C231" s="19"/>
      <x:c r="D231" s="19"/>
      <x:c r="E231" s="26"/>
      <x:c r="F231" s="26"/>
      <x:c r="G231" s="19"/>
      <x:c r="H231" s="25"/>
      <x:c r="I231" s="19"/>
    </x:row>
    <x:row r="232">
      <x:c r="A232" s="19"/>
      <x:c r="B232" s="19"/>
      <x:c r="C232" s="19"/>
      <x:c r="D232" s="19"/>
      <x:c r="E232" s="26"/>
      <x:c r="F232" s="26"/>
      <x:c r="G232" s="19"/>
      <x:c r="H232" s="25"/>
      <x:c r="I232" s="19"/>
    </x:row>
    <x:row r="233">
      <x:c r="A233" s="19"/>
      <x:c r="B233" s="19"/>
      <x:c r="C233" s="19"/>
      <x:c r="D233" s="19"/>
      <x:c r="E233" s="26"/>
      <x:c r="F233" s="26"/>
      <x:c r="G233" s="19"/>
      <x:c r="H233" s="25"/>
      <x:c r="I233" s="19"/>
    </x:row>
    <x:row r="234">
      <x:c r="A234" s="19"/>
      <x:c r="B234" s="19"/>
      <x:c r="C234" s="19"/>
      <x:c r="D234" s="19"/>
      <x:c r="E234" s="26"/>
      <x:c r="F234" s="26"/>
      <x:c r="G234" s="19"/>
      <x:c r="H234" s="25"/>
      <x:c r="I234" s="19"/>
    </x:row>
    <x:row r="235">
      <x:c r="A235" s="19"/>
      <x:c r="B235" s="19"/>
      <x:c r="C235" s="19"/>
      <x:c r="D235" s="19"/>
      <x:c r="E235" s="26"/>
      <x:c r="F235" s="26"/>
      <x:c r="G235" s="19"/>
      <x:c r="H235" s="25"/>
      <x:c r="I235" s="19"/>
    </x:row>
    <x:row r="236">
      <x:c r="A236" s="19"/>
      <x:c r="B236" s="19"/>
      <x:c r="C236" s="19"/>
      <x:c r="D236" s="19"/>
      <x:c r="E236" s="26"/>
      <x:c r="F236" s="26"/>
      <x:c r="G236" s="19"/>
      <x:c r="H236" s="25"/>
      <x:c r="I236" s="19"/>
    </x:row>
    <x:row r="237">
      <x:c r="A237" s="19"/>
      <x:c r="B237" s="19"/>
      <x:c r="C237" s="19"/>
      <x:c r="D237" s="19"/>
      <x:c r="E237" s="26"/>
      <x:c r="F237" s="26"/>
      <x:c r="G237" s="19"/>
      <x:c r="H237" s="25"/>
      <x:c r="I237" s="19"/>
    </x:row>
    <x:row r="238">
      <x:c r="A238" s="19"/>
      <x:c r="B238" s="19"/>
      <x:c r="C238" s="19"/>
      <x:c r="D238" s="19"/>
      <x:c r="E238" s="26"/>
      <x:c r="F238" s="26"/>
      <x:c r="G238" s="19"/>
      <x:c r="H238" s="25"/>
      <x:c r="I238" s="19"/>
    </x:row>
    <x:row r="239">
      <x:c r="A239" s="19"/>
      <x:c r="B239" s="19"/>
      <x:c r="C239" s="19"/>
      <x:c r="D239" s="19"/>
      <x:c r="E239" s="26"/>
      <x:c r="F239" s="26"/>
      <x:c r="G239" s="19"/>
      <x:c r="H239" s="25"/>
      <x:c r="I239" s="19"/>
    </x:row>
    <x:row r="240">
      <x:c r="A240" s="19"/>
      <x:c r="B240" s="19"/>
      <x:c r="C240" s="19"/>
      <x:c r="D240" s="19"/>
      <x:c r="E240" s="26"/>
      <x:c r="F240" s="26"/>
      <x:c r="G240" s="19"/>
      <x:c r="H240" s="25"/>
      <x:c r="I240" s="19"/>
    </x:row>
    <x:row r="241">
      <x:c r="A241" s="19"/>
      <x:c r="B241" s="19"/>
      <x:c r="C241" s="19"/>
      <x:c r="D241" s="19"/>
      <x:c r="E241" s="26"/>
      <x:c r="F241" s="26"/>
      <x:c r="G241" s="19"/>
      <x:c r="H241" s="25"/>
      <x:c r="I241" s="19"/>
    </x:row>
    <x:row r="242">
      <x:c r="A242" s="19"/>
      <x:c r="B242" s="19"/>
      <x:c r="C242" s="19"/>
      <x:c r="D242" s="19"/>
      <x:c r="E242" s="26"/>
      <x:c r="F242" s="26"/>
      <x:c r="G242" s="19"/>
      <x:c r="H242" s="25"/>
      <x:c r="I242" s="19"/>
    </x:row>
    <x:row r="243">
      <x:c r="A243" s="19"/>
      <x:c r="B243" s="19"/>
      <x:c r="C243" s="19"/>
      <x:c r="D243" s="19"/>
      <x:c r="E243" s="26"/>
      <x:c r="F243" s="26"/>
      <x:c r="G243" s="19"/>
      <x:c r="H243" s="25"/>
      <x:c r="I243" s="19"/>
    </x:row>
    <x:row r="244">
      <x:c r="A244" s="19"/>
      <x:c r="B244" s="19"/>
      <x:c r="C244" s="19"/>
      <x:c r="D244" s="19"/>
      <x:c r="E244" s="26"/>
      <x:c r="F244" s="26"/>
      <x:c r="G244" s="19"/>
      <x:c r="H244" s="25"/>
      <x:c r="I244" s="19"/>
    </x:row>
    <x:row r="245">
      <x:c r="A245" s="19"/>
      <x:c r="B245" s="19"/>
      <x:c r="C245" s="19"/>
      <x:c r="D245" s="19"/>
      <x:c r="E245" s="26"/>
      <x:c r="F245" s="26"/>
      <x:c r="G245" s="19"/>
      <x:c r="H245" s="25"/>
      <x:c r="I245" s="19"/>
    </x:row>
    <x:row r="246">
      <x:c r="A246" s="19"/>
      <x:c r="B246" s="19"/>
      <x:c r="C246" s="19"/>
      <x:c r="D246" s="19"/>
      <x:c r="E246" s="26"/>
      <x:c r="F246" s="26"/>
      <x:c r="G246" s="19"/>
      <x:c r="H246" s="25"/>
      <x:c r="I246" s="19"/>
    </x:row>
    <x:row r="247">
      <x:c r="A247" s="19"/>
      <x:c r="B247" s="19"/>
      <x:c r="C247" s="19"/>
      <x:c r="D247" s="19"/>
      <x:c r="E247" s="26"/>
      <x:c r="F247" s="26"/>
      <x:c r="G247" s="19"/>
      <x:c r="H247" s="25"/>
      <x:c r="I247" s="19"/>
    </x:row>
    <x:row r="248">
      <x:c r="A248" s="19"/>
      <x:c r="B248" s="19"/>
      <x:c r="C248" s="19"/>
      <x:c r="D248" s="19"/>
      <x:c r="E248" s="26"/>
      <x:c r="F248" s="26"/>
      <x:c r="G248" s="19"/>
      <x:c r="H248" s="25"/>
      <x:c r="I248" s="19"/>
    </x:row>
    <x:row r="249">
      <x:c r="A249" s="19"/>
      <x:c r="B249" s="19"/>
      <x:c r="C249" s="19"/>
      <x:c r="D249" s="19"/>
      <x:c r="E249" s="26"/>
      <x:c r="F249" s="26"/>
      <x:c r="G249" s="19"/>
      <x:c r="H249" s="25"/>
      <x:c r="I249" s="19"/>
    </x:row>
    <x:row r="250">
      <x:c r="A250" s="19"/>
      <x:c r="B250" s="19"/>
      <x:c r="C250" s="19"/>
      <x:c r="D250" s="19"/>
      <x:c r="E250" s="26"/>
      <x:c r="F250" s="26"/>
      <x:c r="G250" s="19"/>
      <x:c r="H250" s="25"/>
      <x:c r="I250" s="19"/>
    </x:row>
    <x:row r="251">
      <x:c r="A251" s="19"/>
      <x:c r="B251" s="19"/>
      <x:c r="C251" s="19"/>
      <x:c r="D251" s="19"/>
      <x:c r="E251" s="26"/>
      <x:c r="F251" s="26"/>
      <x:c r="G251" s="19"/>
      <x:c r="H251" s="25"/>
      <x:c r="I251" s="19"/>
    </x:row>
    <x:row r="252">
      <x:c r="A252" s="19"/>
      <x:c r="B252" s="19"/>
      <x:c r="C252" s="19"/>
      <x:c r="D252" s="19"/>
      <x:c r="E252" s="26"/>
      <x:c r="F252" s="26"/>
      <x:c r="G252" s="19"/>
      <x:c r="H252" s="25"/>
      <x:c r="I252" s="19"/>
    </x:row>
    <x:row r="253">
      <x:c r="A253" s="19"/>
      <x:c r="B253" s="19"/>
      <x:c r="C253" s="19"/>
      <x:c r="D253" s="19"/>
      <x:c r="E253" s="26"/>
      <x:c r="F253" s="26"/>
      <x:c r="G253" s="19"/>
      <x:c r="H253" s="25"/>
      <x:c r="I253" s="19"/>
    </x:row>
    <x:row r="254">
      <x:c r="A254" s="19"/>
      <x:c r="B254" s="19"/>
      <x:c r="C254" s="19"/>
      <x:c r="D254" s="19"/>
      <x:c r="E254" s="26"/>
      <x:c r="F254" s="26"/>
      <x:c r="G254" s="19"/>
      <x:c r="H254" s="25"/>
      <x:c r="I254" s="19"/>
    </x:row>
    <x:row r="255">
      <x:c r="A255" s="19"/>
      <x:c r="B255" s="19"/>
      <x:c r="C255" s="19"/>
      <x:c r="D255" s="19"/>
      <x:c r="E255" s="26"/>
      <x:c r="F255" s="26"/>
      <x:c r="G255" s="19"/>
      <x:c r="H255" s="25"/>
      <x:c r="I255" s="19"/>
    </x:row>
    <x:row r="256">
      <x:c r="A256" s="19"/>
      <x:c r="B256" s="19"/>
      <x:c r="C256" s="19"/>
      <x:c r="D256" s="19"/>
      <x:c r="E256" s="26"/>
      <x:c r="F256" s="26"/>
      <x:c r="G256" s="19"/>
      <x:c r="H256" s="25"/>
      <x:c r="I256" s="19"/>
    </x:row>
    <x:row r="257">
      <x:c r="A257" s="19"/>
      <x:c r="B257" s="19"/>
      <x:c r="C257" s="19"/>
      <x:c r="D257" s="19"/>
      <x:c r="E257" s="26"/>
      <x:c r="F257" s="26"/>
      <x:c r="G257" s="19"/>
      <x:c r="H257" s="25"/>
      <x:c r="I257" s="19"/>
    </x:row>
    <x:row r="258">
      <x:c r="A258" s="19"/>
      <x:c r="B258" s="19"/>
      <x:c r="C258" s="19"/>
      <x:c r="D258" s="19"/>
      <x:c r="E258" s="26"/>
      <x:c r="F258" s="26"/>
      <x:c r="G258" s="19"/>
      <x:c r="H258" s="25"/>
      <x:c r="I258" s="19"/>
    </x:row>
    <x:row r="259">
      <x:c r="A259" s="19"/>
      <x:c r="B259" s="19"/>
      <x:c r="C259" s="19"/>
      <x:c r="D259" s="19"/>
      <x:c r="E259" s="26"/>
      <x:c r="F259" s="26"/>
      <x:c r="G259" s="19"/>
      <x:c r="H259" s="25"/>
      <x:c r="I259" s="19"/>
    </x:row>
    <x:row r="260">
      <x:c r="A260" s="19"/>
      <x:c r="B260" s="19"/>
      <x:c r="C260" s="19"/>
      <x:c r="D260" s="19"/>
      <x:c r="E260" s="26"/>
      <x:c r="F260" s="26"/>
      <x:c r="G260" s="19"/>
      <x:c r="H260" s="25"/>
      <x:c r="I260" s="19"/>
    </x:row>
    <x:row r="261">
      <x:c r="A261" s="19"/>
      <x:c r="B261" s="19"/>
      <x:c r="C261" s="19"/>
      <x:c r="D261" s="19"/>
      <x:c r="E261" s="26"/>
      <x:c r="F261" s="26"/>
      <x:c r="G261" s="19"/>
      <x:c r="H261" s="25"/>
      <x:c r="I261" s="19"/>
    </x:row>
    <x:row r="262">
      <x:c r="A262" s="19"/>
      <x:c r="B262" s="19"/>
      <x:c r="C262" s="19"/>
      <x:c r="D262" s="19"/>
      <x:c r="E262" s="26"/>
      <x:c r="F262" s="26"/>
      <x:c r="G262" s="19"/>
      <x:c r="H262" s="25"/>
      <x:c r="I262" s="19"/>
    </x:row>
    <x:row r="263">
      <x:c r="A263" s="19"/>
      <x:c r="B263" s="19"/>
      <x:c r="C263" s="19"/>
      <x:c r="D263" s="19"/>
      <x:c r="E263" s="26"/>
      <x:c r="F263" s="26"/>
      <x:c r="G263" s="19"/>
      <x:c r="H263" s="25"/>
      <x:c r="I263" s="19"/>
    </x:row>
    <x:row r="264">
      <x:c r="A264" s="19"/>
      <x:c r="B264" s="19"/>
      <x:c r="C264" s="19"/>
      <x:c r="D264" s="19"/>
      <x:c r="E264" s="26"/>
      <x:c r="F264" s="26"/>
      <x:c r="G264" s="19"/>
      <x:c r="H264" s="25"/>
      <x:c r="I264" s="19"/>
    </x:row>
    <x:row r="265">
      <x:c r="A265" s="19"/>
      <x:c r="B265" s="19"/>
      <x:c r="C265" s="19"/>
      <x:c r="D265" s="19"/>
      <x:c r="E265" s="26"/>
      <x:c r="F265" s="26"/>
      <x:c r="G265" s="19"/>
      <x:c r="H265" s="25"/>
      <x:c r="I265" s="19"/>
    </x:row>
    <x:row r="266">
      <x:c r="A266" s="19"/>
      <x:c r="B266" s="19"/>
      <x:c r="C266" s="19"/>
      <x:c r="D266" s="19"/>
      <x:c r="E266" s="26"/>
      <x:c r="F266" s="26"/>
      <x:c r="G266" s="19"/>
      <x:c r="H266" s="25"/>
      <x:c r="I266" s="19"/>
    </x:row>
    <x:row r="267">
      <x:c r="A267" s="19"/>
      <x:c r="B267" s="19"/>
      <x:c r="C267" s="19"/>
      <x:c r="D267" s="19"/>
      <x:c r="E267" s="26"/>
      <x:c r="F267" s="26"/>
      <x:c r="G267" s="19"/>
      <x:c r="H267" s="25"/>
      <x:c r="I267" s="19"/>
    </x:row>
    <x:row r="268">
      <x:c r="A268" s="19"/>
      <x:c r="B268" s="19"/>
      <x:c r="C268" s="19"/>
      <x:c r="D268" s="19"/>
      <x:c r="E268" s="26"/>
      <x:c r="F268" s="26"/>
      <x:c r="G268" s="19"/>
      <x:c r="H268" s="25"/>
      <x:c r="I268" s="19"/>
    </x:row>
    <x:row r="269">
      <x:c r="A269" s="19"/>
      <x:c r="B269" s="19"/>
      <x:c r="C269" s="19"/>
      <x:c r="D269" s="19"/>
      <x:c r="E269" s="26"/>
      <x:c r="F269" s="26"/>
      <x:c r="G269" s="19"/>
      <x:c r="H269" s="25"/>
      <x:c r="I269" s="19"/>
    </x:row>
    <x:row r="270">
      <x:c r="A270" s="19"/>
      <x:c r="B270" s="19"/>
      <x:c r="C270" s="19"/>
      <x:c r="D270" s="19"/>
      <x:c r="E270" s="26"/>
      <x:c r="F270" s="26"/>
      <x:c r="G270" s="19"/>
      <x:c r="H270" s="25"/>
      <x:c r="I270" s="19"/>
    </x:row>
    <x:row r="271">
      <x:c r="A271" s="19"/>
      <x:c r="B271" s="19"/>
      <x:c r="C271" s="19"/>
      <x:c r="D271" s="19"/>
      <x:c r="E271" s="26"/>
      <x:c r="F271" s="26"/>
      <x:c r="G271" s="19"/>
      <x:c r="H271" s="25"/>
      <x:c r="I271" s="19"/>
    </x:row>
    <x:row r="272">
      <x:c r="A272" s="19"/>
      <x:c r="B272" s="19"/>
      <x:c r="C272" s="19"/>
      <x:c r="D272" s="19"/>
      <x:c r="E272" s="26"/>
      <x:c r="F272" s="26"/>
      <x:c r="G272" s="19"/>
      <x:c r="H272" s="25"/>
      <x:c r="I272" s="19"/>
    </x:row>
    <x:row r="273">
      <x:c r="A273" s="19"/>
      <x:c r="B273" s="19"/>
      <x:c r="C273" s="19"/>
      <x:c r="D273" s="19"/>
      <x:c r="E273" s="26"/>
      <x:c r="F273" s="26"/>
      <x:c r="G273" s="19"/>
      <x:c r="H273" s="25"/>
      <x:c r="I273" s="19"/>
    </x:row>
    <x:row r="274">
      <x:c r="A274" s="19"/>
      <x:c r="B274" s="19"/>
      <x:c r="C274" s="19"/>
      <x:c r="D274" s="19"/>
      <x:c r="E274" s="26"/>
      <x:c r="F274" s="26"/>
      <x:c r="G274" s="19"/>
      <x:c r="H274" s="25"/>
      <x:c r="I274" s="19"/>
    </x:row>
    <x:row r="275">
      <x:c r="A275" s="19"/>
      <x:c r="B275" s="19"/>
      <x:c r="C275" s="19"/>
      <x:c r="D275" s="19"/>
      <x:c r="E275" s="26"/>
      <x:c r="F275" s="26"/>
      <x:c r="G275" s="19"/>
      <x:c r="H275" s="25"/>
      <x:c r="I275" s="19"/>
    </x:row>
    <x:row r="276">
      <x:c r="A276" s="19"/>
      <x:c r="B276" s="19"/>
      <x:c r="C276" s="19"/>
      <x:c r="D276" s="19"/>
      <x:c r="E276" s="26"/>
      <x:c r="F276" s="26"/>
      <x:c r="G276" s="19"/>
      <x:c r="H276" s="25"/>
      <x:c r="I276" s="19"/>
    </x:row>
    <x:row r="277">
      <x:c r="A277" s="19"/>
      <x:c r="B277" s="19"/>
      <x:c r="C277" s="19"/>
      <x:c r="D277" s="19"/>
      <x:c r="E277" s="26"/>
      <x:c r="F277" s="26"/>
      <x:c r="G277" s="19"/>
      <x:c r="H277" s="25"/>
      <x:c r="I277" s="19"/>
    </x:row>
    <x:row r="278">
      <x:c r="A278" s="19"/>
      <x:c r="B278" s="19"/>
      <x:c r="C278" s="19"/>
      <x:c r="D278" s="19"/>
      <x:c r="E278" s="26"/>
      <x:c r="F278" s="26"/>
      <x:c r="G278" s="19"/>
      <x:c r="H278" s="25"/>
      <x:c r="I278" s="19"/>
    </x:row>
    <x:row r="279">
      <x:c r="A279" s="19"/>
      <x:c r="B279" s="19"/>
      <x:c r="C279" s="19"/>
      <x:c r="D279" s="19"/>
      <x:c r="E279" s="26"/>
      <x:c r="F279" s="26"/>
      <x:c r="G279" s="19"/>
      <x:c r="H279" s="25"/>
      <x:c r="I279" s="19"/>
    </x:row>
    <x:row r="280">
      <x:c r="A280" s="19"/>
      <x:c r="B280" s="19"/>
      <x:c r="C280" s="19"/>
      <x:c r="D280" s="19"/>
      <x:c r="E280" s="26"/>
      <x:c r="F280" s="26"/>
      <x:c r="G280" s="19"/>
      <x:c r="H280" s="25"/>
      <x:c r="I280" s="19"/>
    </x:row>
    <x:row r="281">
      <x:c r="A281" s="19"/>
      <x:c r="B281" s="19"/>
      <x:c r="C281" s="19"/>
      <x:c r="D281" s="19"/>
      <x:c r="E281" s="26"/>
      <x:c r="F281" s="26"/>
      <x:c r="G281" s="19"/>
      <x:c r="H281" s="25"/>
      <x:c r="I281" s="19"/>
    </x:row>
    <x:row r="282">
      <x:c r="A282" s="19"/>
      <x:c r="B282" s="19"/>
      <x:c r="C282" s="19"/>
      <x:c r="D282" s="19"/>
      <x:c r="E282" s="26"/>
      <x:c r="F282" s="26"/>
      <x:c r="G282" s="19"/>
      <x:c r="H282" s="25"/>
      <x:c r="I282" s="19"/>
    </x:row>
    <x:row r="283">
      <x:c r="A283" s="19"/>
      <x:c r="B283" s="19"/>
      <x:c r="C283" s="19"/>
      <x:c r="D283" s="19"/>
      <x:c r="E283" s="26"/>
      <x:c r="F283" s="26"/>
      <x:c r="G283" s="19"/>
      <x:c r="H283" s="25"/>
      <x:c r="I283" s="19"/>
    </x:row>
    <x:row r="284">
      <x:c r="A284" s="19"/>
      <x:c r="B284" s="19"/>
      <x:c r="C284" s="19"/>
      <x:c r="D284" s="19"/>
      <x:c r="E284" s="26"/>
      <x:c r="F284" s="26"/>
      <x:c r="G284" s="19"/>
      <x:c r="H284" s="25"/>
      <x:c r="I284" s="19"/>
    </x:row>
    <x:row r="285">
      <x:c r="A285" s="19"/>
      <x:c r="B285" s="19"/>
      <x:c r="C285" s="19"/>
      <x:c r="D285" s="19"/>
      <x:c r="E285" s="26"/>
      <x:c r="F285" s="26"/>
      <x:c r="G285" s="19"/>
      <x:c r="H285" s="25"/>
      <x:c r="I285" s="19"/>
    </x:row>
    <x:row r="286">
      <x:c r="A286" s="19"/>
      <x:c r="B286" s="19"/>
      <x:c r="C286" s="19"/>
      <x:c r="D286" s="19"/>
      <x:c r="E286" s="26"/>
      <x:c r="F286" s="26"/>
      <x:c r="G286" s="19"/>
      <x:c r="H286" s="25"/>
      <x:c r="I286" s="19"/>
    </x:row>
    <x:row r="287">
      <x:c r="A287" s="19"/>
      <x:c r="B287" s="19"/>
      <x:c r="C287" s="19"/>
      <x:c r="D287" s="19"/>
      <x:c r="E287" s="26"/>
      <x:c r="F287" s="26"/>
      <x:c r="G287" s="19"/>
      <x:c r="H287" s="25"/>
      <x:c r="I287" s="19"/>
    </x:row>
    <x:row r="288">
      <x:c r="A288" s="19"/>
      <x:c r="B288" s="19"/>
      <x:c r="C288" s="19"/>
      <x:c r="D288" s="19"/>
      <x:c r="E288" s="26"/>
      <x:c r="F288" s="26"/>
      <x:c r="G288" s="19"/>
      <x:c r="H288" s="25"/>
      <x:c r="I288" s="19"/>
    </x:row>
    <x:row r="289">
      <x:c r="A289" s="19"/>
      <x:c r="B289" s="19"/>
      <x:c r="C289" s="19"/>
      <x:c r="D289" s="19"/>
      <x:c r="E289" s="26"/>
      <x:c r="F289" s="26"/>
      <x:c r="G289" s="19"/>
      <x:c r="H289" s="25"/>
      <x:c r="I289" s="19"/>
    </x:row>
    <x:row r="290">
      <x:c r="A290" s="19"/>
      <x:c r="B290" s="19"/>
      <x:c r="C290" s="19"/>
      <x:c r="D290" s="19"/>
      <x:c r="E290" s="26"/>
      <x:c r="F290" s="26"/>
      <x:c r="G290" s="19"/>
      <x:c r="H290" s="25"/>
      <x:c r="I290" s="19"/>
    </x:row>
    <x:row r="291">
      <x:c r="A291" s="19"/>
      <x:c r="B291" s="19"/>
      <x:c r="C291" s="19"/>
      <x:c r="D291" s="19"/>
      <x:c r="E291" s="26"/>
      <x:c r="F291" s="26"/>
      <x:c r="G291" s="19"/>
      <x:c r="H291" s="25"/>
      <x:c r="I291" s="19"/>
    </x:row>
    <x:row r="292">
      <x:c r="A292" s="19"/>
      <x:c r="B292" s="19"/>
      <x:c r="C292" s="19"/>
      <x:c r="D292" s="19"/>
      <x:c r="E292" s="26"/>
      <x:c r="F292" s="26"/>
      <x:c r="G292" s="19"/>
      <x:c r="H292" s="25"/>
      <x:c r="I292" s="19"/>
    </x:row>
    <x:row r="293">
      <x:c r="A293" s="19"/>
      <x:c r="B293" s="19"/>
      <x:c r="C293" s="19"/>
      <x:c r="D293" s="19"/>
      <x:c r="E293" s="26"/>
      <x:c r="F293" s="26"/>
      <x:c r="G293" s="19"/>
      <x:c r="H293" s="25"/>
      <x:c r="I293" s="19"/>
    </x:row>
    <x:row r="294">
      <x:c r="A294" s="19"/>
      <x:c r="B294" s="19"/>
      <x:c r="C294" s="19"/>
      <x:c r="D294" s="19"/>
      <x:c r="E294" s="26"/>
      <x:c r="F294" s="26"/>
      <x:c r="G294" s="19"/>
      <x:c r="H294" s="25"/>
      <x:c r="I294" s="19"/>
    </x:row>
    <x:row r="295">
      <x:c r="A295" s="19"/>
      <x:c r="B295" s="19"/>
      <x:c r="C295" s="19"/>
      <x:c r="D295" s="19"/>
      <x:c r="E295" s="26"/>
      <x:c r="F295" s="26"/>
      <x:c r="G295" s="19"/>
      <x:c r="H295" s="25"/>
      <x:c r="I295" s="19"/>
    </x:row>
    <x:row r="296">
      <x:c r="A296" s="19"/>
      <x:c r="B296" s="19"/>
      <x:c r="C296" s="19"/>
      <x:c r="D296" s="19"/>
      <x:c r="E296" s="26"/>
      <x:c r="F296" s="26"/>
      <x:c r="G296" s="19"/>
      <x:c r="H296" s="25"/>
      <x:c r="I296" s="19"/>
    </x:row>
    <x:row r="297">
      <x:c r="A297" s="19"/>
      <x:c r="B297" s="19"/>
      <x:c r="C297" s="19"/>
      <x:c r="D297" s="19"/>
      <x:c r="E297" s="26"/>
      <x:c r="F297" s="26"/>
      <x:c r="G297" s="19"/>
      <x:c r="H297" s="25"/>
      <x:c r="I297" s="19"/>
    </x:row>
    <x:row r="298">
      <x:c r="A298" s="19"/>
      <x:c r="B298" s="19"/>
      <x:c r="C298" s="19"/>
      <x:c r="D298" s="19"/>
      <x:c r="E298" s="26"/>
      <x:c r="F298" s="26"/>
      <x:c r="G298" s="19"/>
      <x:c r="H298" s="25"/>
      <x:c r="I298" s="19"/>
    </x:row>
    <x:row r="299">
      <x:c r="A299" s="19"/>
      <x:c r="B299" s="19"/>
      <x:c r="C299" s="19"/>
      <x:c r="D299" s="19"/>
      <x:c r="E299" s="26"/>
      <x:c r="F299" s="26"/>
      <x:c r="G299" s="19"/>
      <x:c r="H299" s="25"/>
      <x:c r="I299" s="19"/>
    </x:row>
    <x:row r="300">
      <x:c r="A300" s="19"/>
      <x:c r="B300" s="19"/>
      <x:c r="C300" s="19"/>
      <x:c r="D300" s="19"/>
      <x:c r="E300" s="26"/>
      <x:c r="F300" s="26"/>
      <x:c r="G300" s="19"/>
      <x:c r="H300" s="25"/>
      <x:c r="I300" s="19"/>
    </x:row>
    <x:row r="301">
      <x:c r="A301" s="19"/>
      <x:c r="B301" s="19"/>
      <x:c r="C301" s="19"/>
      <x:c r="D301" s="19"/>
      <x:c r="E301" s="26"/>
      <x:c r="F301" s="26"/>
      <x:c r="G301" s="19"/>
      <x:c r="H301" s="25"/>
      <x:c r="I301" s="19"/>
    </x:row>
    <x:row r="302">
      <x:c r="A302" s="19"/>
      <x:c r="B302" s="19"/>
      <x:c r="C302" s="19"/>
      <x:c r="D302" s="19"/>
      <x:c r="E302" s="26"/>
      <x:c r="F302" s="26"/>
      <x:c r="G302" s="19"/>
      <x:c r="H302" s="25"/>
      <x:c r="I302" s="19"/>
    </x:row>
    <x:row r="303">
      <x:c r="A303" s="19"/>
      <x:c r="B303" s="19"/>
      <x:c r="C303" s="19"/>
      <x:c r="D303" s="19"/>
      <x:c r="E303" s="26"/>
      <x:c r="F303" s="26"/>
      <x:c r="G303" s="19"/>
      <x:c r="H303" s="25"/>
      <x:c r="I303" s="19"/>
    </x:row>
    <x:row r="304">
      <x:c r="A304" s="19"/>
      <x:c r="B304" s="19"/>
      <x:c r="C304" s="19"/>
      <x:c r="D304" s="19"/>
      <x:c r="E304" s="26"/>
      <x:c r="F304" s="26"/>
      <x:c r="G304" s="19"/>
      <x:c r="H304" s="25"/>
      <x:c r="I304" s="19"/>
    </x:row>
    <x:row r="305">
      <x:c r="A305" s="19"/>
      <x:c r="B305" s="19"/>
      <x:c r="C305" s="19"/>
      <x:c r="D305" s="19"/>
      <x:c r="E305" s="26"/>
      <x:c r="F305" s="26"/>
      <x:c r="G305" s="19"/>
      <x:c r="H305" s="25"/>
      <x:c r="I305" s="19"/>
    </x:row>
    <x:row r="306">
      <x:c r="A306" s="19"/>
      <x:c r="B306" s="19"/>
      <x:c r="C306" s="19"/>
      <x:c r="D306" s="19"/>
      <x:c r="E306" s="26"/>
      <x:c r="F306" s="26"/>
      <x:c r="G306" s="19"/>
      <x:c r="H306" s="25"/>
      <x:c r="I306" s="19"/>
    </x:row>
    <x:row r="307">
      <x:c r="A307" s="19"/>
      <x:c r="B307" s="19"/>
      <x:c r="C307" s="19"/>
      <x:c r="D307" s="19"/>
      <x:c r="E307" s="26"/>
      <x:c r="F307" s="26"/>
      <x:c r="G307" s="19"/>
      <x:c r="H307" s="25"/>
      <x:c r="I307" s="19"/>
    </x:row>
    <x:row r="308">
      <x:c r="A308" s="19"/>
      <x:c r="B308" s="19"/>
      <x:c r="C308" s="19"/>
      <x:c r="D308" s="19"/>
      <x:c r="E308" s="26"/>
      <x:c r="F308" s="26"/>
      <x:c r="G308" s="19"/>
      <x:c r="H308" s="25"/>
      <x:c r="I308" s="19"/>
    </x:row>
    <x:row r="309">
      <x:c r="A309" s="19"/>
      <x:c r="B309" s="19"/>
      <x:c r="C309" s="19"/>
      <x:c r="D309" s="19"/>
      <x:c r="E309" s="26"/>
      <x:c r="F309" s="26"/>
      <x:c r="G309" s="19"/>
      <x:c r="H309" s="25"/>
      <x:c r="I309" s="19"/>
    </x:row>
    <x:row r="310">
      <x:c r="A310" s="19"/>
      <x:c r="B310" s="19"/>
      <x:c r="C310" s="19"/>
      <x:c r="D310" s="19"/>
      <x:c r="E310" s="26"/>
      <x:c r="F310" s="26"/>
      <x:c r="G310" s="19"/>
      <x:c r="H310" s="25"/>
      <x:c r="I310" s="19"/>
    </x:row>
    <x:row r="311">
      <x:c r="A311" s="19"/>
      <x:c r="B311" s="19"/>
      <x:c r="C311" s="19"/>
      <x:c r="D311" s="19"/>
      <x:c r="E311" s="26"/>
      <x:c r="F311" s="26"/>
      <x:c r="G311" s="19"/>
      <x:c r="H311" s="25"/>
      <x:c r="I311" s="19"/>
    </x:row>
    <x:row r="312">
      <x:c r="A312" s="19"/>
      <x:c r="B312" s="19"/>
      <x:c r="C312" s="19"/>
      <x:c r="D312" s="19"/>
      <x:c r="E312" s="26"/>
      <x:c r="F312" s="26"/>
      <x:c r="G312" s="19"/>
      <x:c r="H312" s="25"/>
      <x:c r="I312" s="19"/>
    </x:row>
    <x:row r="313">
      <x:c r="A313" s="19"/>
      <x:c r="B313" s="19"/>
      <x:c r="C313" s="19"/>
      <x:c r="D313" s="19"/>
      <x:c r="E313" s="26"/>
      <x:c r="F313" s="26"/>
      <x:c r="G313" s="19"/>
      <x:c r="H313" s="25"/>
      <x:c r="I313" s="19"/>
    </x:row>
    <x:row r="314">
      <x:c r="A314" s="19"/>
      <x:c r="B314" s="19"/>
      <x:c r="C314" s="19"/>
      <x:c r="D314" s="19"/>
      <x:c r="E314" s="26"/>
      <x:c r="F314" s="26"/>
      <x:c r="G314" s="19"/>
      <x:c r="H314" s="25"/>
      <x:c r="I314" s="19"/>
    </x:row>
    <x:row r="315">
      <x:c r="A315" s="19"/>
      <x:c r="B315" s="19"/>
      <x:c r="C315" s="19"/>
      <x:c r="D315" s="19"/>
      <x:c r="E315" s="26"/>
      <x:c r="F315" s="26"/>
      <x:c r="G315" s="19"/>
      <x:c r="H315" s="25"/>
      <x:c r="I315" s="19"/>
    </x:row>
    <x:row r="316">
      <x:c r="A316" s="19"/>
      <x:c r="B316" s="19"/>
      <x:c r="C316" s="19"/>
      <x:c r="D316" s="19"/>
      <x:c r="E316" s="26"/>
      <x:c r="F316" s="26"/>
      <x:c r="G316" s="19"/>
      <x:c r="H316" s="25"/>
      <x:c r="I316" s="19"/>
    </x:row>
    <x:row r="317">
      <x:c r="A317" s="19"/>
      <x:c r="B317" s="19"/>
      <x:c r="C317" s="19"/>
      <x:c r="D317" s="19"/>
      <x:c r="E317" s="26"/>
      <x:c r="F317" s="26"/>
      <x:c r="G317" s="19"/>
      <x:c r="H317" s="25"/>
      <x:c r="I317" s="19"/>
    </x:row>
    <x:row r="318">
      <x:c r="A318" s="19"/>
      <x:c r="B318" s="19"/>
      <x:c r="C318" s="19"/>
      <x:c r="D318" s="19"/>
      <x:c r="E318" s="26"/>
      <x:c r="F318" s="26"/>
      <x:c r="G318" s="19"/>
      <x:c r="H318" s="25"/>
      <x:c r="I318" s="19"/>
    </x:row>
    <x:row r="319">
      <x:c r="A319" s="19"/>
      <x:c r="B319" s="19"/>
      <x:c r="C319" s="19"/>
      <x:c r="D319" s="19"/>
      <x:c r="E319" s="26"/>
      <x:c r="F319" s="26"/>
      <x:c r="G319" s="19"/>
      <x:c r="H319" s="25"/>
      <x:c r="I319" s="19"/>
    </x:row>
    <x:row r="320">
      <x:c r="A320" s="19"/>
      <x:c r="B320" s="19"/>
      <x:c r="C320" s="19"/>
      <x:c r="D320" s="19"/>
      <x:c r="E320" s="26"/>
      <x:c r="F320" s="26"/>
      <x:c r="G320" s="19"/>
      <x:c r="H320" s="25"/>
      <x:c r="I320" s="19"/>
    </x:row>
    <x:row r="321">
      <x:c r="A321" s="19"/>
      <x:c r="B321" s="19"/>
      <x:c r="C321" s="19"/>
      <x:c r="D321" s="19"/>
      <x:c r="E321" s="26"/>
      <x:c r="F321" s="26"/>
      <x:c r="G321" s="19"/>
      <x:c r="H321" s="25"/>
      <x:c r="I321" s="19"/>
    </x:row>
    <x:row r="322">
      <x:c r="A322" s="19"/>
      <x:c r="B322" s="19"/>
      <x:c r="C322" s="19"/>
      <x:c r="D322" s="19"/>
      <x:c r="E322" s="26"/>
      <x:c r="F322" s="26"/>
      <x:c r="G322" s="19"/>
      <x:c r="H322" s="25"/>
      <x:c r="I322" s="19"/>
    </x:row>
    <x:row r="323">
      <x:c r="A323" s="19"/>
      <x:c r="B323" s="19"/>
      <x:c r="C323" s="19"/>
      <x:c r="D323" s="19"/>
      <x:c r="E323" s="26"/>
      <x:c r="F323" s="26"/>
      <x:c r="G323" s="19"/>
      <x:c r="H323" s="25"/>
      <x:c r="I323" s="19"/>
    </x:row>
    <x:row r="324">
      <x:c r="A324" s="19"/>
      <x:c r="B324" s="19"/>
      <x:c r="C324" s="19"/>
      <x:c r="D324" s="19"/>
      <x:c r="E324" s="26"/>
      <x:c r="F324" s="26"/>
      <x:c r="G324" s="19"/>
      <x:c r="H324" s="25"/>
      <x:c r="I324" s="19"/>
    </x:row>
    <x:row r="325">
      <x:c r="A325" s="19"/>
      <x:c r="B325" s="19"/>
      <x:c r="C325" s="19"/>
      <x:c r="D325" s="19"/>
      <x:c r="E325" s="26"/>
      <x:c r="F325" s="26"/>
      <x:c r="G325" s="19"/>
      <x:c r="H325" s="25"/>
      <x:c r="I325" s="19"/>
    </x:row>
    <x:row r="326">
      <x:c r="A326" s="19"/>
      <x:c r="B326" s="19"/>
      <x:c r="C326" s="19"/>
      <x:c r="D326" s="19"/>
      <x:c r="E326" s="26"/>
      <x:c r="F326" s="26"/>
      <x:c r="G326" s="19"/>
      <x:c r="H326" s="25"/>
      <x:c r="I326" s="19"/>
    </x:row>
    <x:row r="327">
      <x:c r="A327" s="19"/>
      <x:c r="B327" s="19"/>
      <x:c r="C327" s="19"/>
      <x:c r="D327" s="19"/>
      <x:c r="E327" s="26"/>
      <x:c r="F327" s="26"/>
      <x:c r="G327" s="19"/>
      <x:c r="H327" s="25"/>
      <x:c r="I327" s="19"/>
    </x:row>
    <x:row r="328">
      <x:c r="A328" s="19"/>
      <x:c r="B328" s="19"/>
      <x:c r="C328" s="19"/>
      <x:c r="D328" s="19"/>
      <x:c r="E328" s="26"/>
      <x:c r="F328" s="26"/>
      <x:c r="G328" s="19"/>
      <x:c r="H328" s="25"/>
      <x:c r="I328" s="19"/>
    </x:row>
    <x:row r="329">
      <x:c r="A329" s="19"/>
      <x:c r="B329" s="19"/>
      <x:c r="C329" s="19"/>
      <x:c r="D329" s="19"/>
      <x:c r="E329" s="26"/>
      <x:c r="F329" s="26"/>
      <x:c r="G329" s="19"/>
      <x:c r="H329" s="25"/>
      <x:c r="I329" s="19"/>
    </x:row>
    <x:row r="330">
      <x:c r="A330" s="19"/>
      <x:c r="B330" s="19"/>
      <x:c r="C330" s="19"/>
      <x:c r="D330" s="19"/>
      <x:c r="E330" s="26"/>
      <x:c r="F330" s="26"/>
      <x:c r="G330" s="19"/>
      <x:c r="H330" s="25"/>
      <x:c r="I330" s="19"/>
    </x:row>
    <x:row r="331">
      <x:c r="A331" s="19"/>
      <x:c r="B331" s="19"/>
      <x:c r="C331" s="19"/>
      <x:c r="D331" s="19"/>
      <x:c r="E331" s="26"/>
      <x:c r="F331" s="26"/>
      <x:c r="G331" s="19"/>
      <x:c r="H331" s="25"/>
      <x:c r="I331" s="19"/>
    </x:row>
    <x:row r="332">
      <x:c r="A332" s="19"/>
      <x:c r="B332" s="19"/>
      <x:c r="C332" s="19"/>
      <x:c r="D332" s="19"/>
      <x:c r="E332" s="26"/>
      <x:c r="F332" s="26"/>
      <x:c r="G332" s="19"/>
      <x:c r="H332" s="25"/>
      <x:c r="I332" s="19"/>
    </x:row>
    <x:row r="333">
      <x:c r="A333" s="19"/>
      <x:c r="B333" s="19"/>
      <x:c r="C333" s="19"/>
      <x:c r="D333" s="19"/>
      <x:c r="E333" s="26"/>
      <x:c r="F333" s="26"/>
      <x:c r="G333" s="19"/>
      <x:c r="H333" s="25"/>
      <x:c r="I333" s="19"/>
    </x:row>
    <x:row r="334">
      <x:c r="A334" s="19"/>
      <x:c r="B334" s="19"/>
      <x:c r="C334" s="19"/>
      <x:c r="D334" s="19"/>
      <x:c r="E334" s="26"/>
      <x:c r="F334" s="26"/>
      <x:c r="G334" s="19"/>
      <x:c r="H334" s="25"/>
      <x:c r="I334" s="19"/>
    </x:row>
    <x:row r="335">
      <x:c r="A335" s="19"/>
      <x:c r="B335" s="19"/>
      <x:c r="C335" s="19"/>
      <x:c r="D335" s="19"/>
      <x:c r="E335" s="26"/>
      <x:c r="F335" s="26"/>
      <x:c r="G335" s="19"/>
      <x:c r="H335" s="25"/>
      <x:c r="I335" s="19"/>
    </x:row>
    <x:row r="336">
      <x:c r="A336" s="19"/>
      <x:c r="B336" s="19"/>
      <x:c r="C336" s="19"/>
      <x:c r="D336" s="19"/>
      <x:c r="E336" s="26"/>
      <x:c r="F336" s="26"/>
      <x:c r="G336" s="19"/>
      <x:c r="H336" s="25"/>
      <x:c r="I336" s="19"/>
    </x:row>
    <x:row r="337">
      <x:c r="A337" s="19"/>
      <x:c r="B337" s="19"/>
      <x:c r="C337" s="19"/>
      <x:c r="D337" s="19"/>
      <x:c r="E337" s="26"/>
      <x:c r="F337" s="26"/>
      <x:c r="G337" s="19"/>
      <x:c r="H337" s="25"/>
      <x:c r="I337" s="19"/>
    </x:row>
    <x:row r="338">
      <x:c r="A338" s="19"/>
      <x:c r="B338" s="19"/>
      <x:c r="C338" s="19"/>
      <x:c r="D338" s="19"/>
      <x:c r="E338" s="26"/>
      <x:c r="F338" s="26"/>
      <x:c r="G338" s="19"/>
      <x:c r="H338" s="25"/>
      <x:c r="I338" s="19"/>
    </x:row>
    <x:row r="339">
      <x:c r="A339" s="19"/>
      <x:c r="B339" s="19"/>
      <x:c r="C339" s="19"/>
      <x:c r="D339" s="19"/>
      <x:c r="E339" s="26"/>
      <x:c r="F339" s="26"/>
      <x:c r="G339" s="19"/>
      <x:c r="H339" s="25"/>
      <x:c r="I339" s="19"/>
    </x:row>
    <x:row r="340">
      <x:c r="A340" s="19"/>
      <x:c r="B340" s="19"/>
      <x:c r="C340" s="19"/>
      <x:c r="D340" s="19"/>
      <x:c r="E340" s="26"/>
      <x:c r="F340" s="26"/>
      <x:c r="G340" s="19"/>
      <x:c r="H340" s="25"/>
      <x:c r="I340" s="19"/>
    </x:row>
    <x:row r="341">
      <x:c r="A341" s="19"/>
      <x:c r="B341" s="19"/>
      <x:c r="C341" s="19"/>
      <x:c r="D341" s="19"/>
      <x:c r="E341" s="26"/>
      <x:c r="F341" s="26"/>
      <x:c r="G341" s="19"/>
      <x:c r="H341" s="25"/>
      <x:c r="I341" s="19"/>
    </x:row>
    <x:row r="342">
      <x:c r="A342" s="19"/>
      <x:c r="B342" s="19"/>
      <x:c r="C342" s="19"/>
      <x:c r="D342" s="19"/>
      <x:c r="E342" s="26"/>
      <x:c r="F342" s="26"/>
      <x:c r="G342" s="19"/>
      <x:c r="H342" s="25"/>
      <x:c r="I342" s="19"/>
    </x:row>
    <x:row r="343">
      <x:c r="A343" s="19"/>
      <x:c r="B343" s="19"/>
      <x:c r="C343" s="19"/>
      <x:c r="D343" s="19"/>
      <x:c r="E343" s="26"/>
      <x:c r="F343" s="26"/>
      <x:c r="G343" s="19"/>
      <x:c r="H343" s="25"/>
      <x:c r="I343" s="19"/>
    </x:row>
    <x:row r="344">
      <x:c r="A344" s="19"/>
      <x:c r="B344" s="19"/>
      <x:c r="C344" s="19"/>
      <x:c r="D344" s="19"/>
      <x:c r="E344" s="26"/>
      <x:c r="F344" s="26"/>
      <x:c r="G344" s="19"/>
      <x:c r="H344" s="25"/>
      <x:c r="I344" s="19"/>
    </x:row>
    <x:row r="345">
      <x:c r="A345" s="19"/>
      <x:c r="B345" s="19"/>
      <x:c r="C345" s="19"/>
      <x:c r="D345" s="19"/>
      <x:c r="E345" s="26"/>
      <x:c r="F345" s="26"/>
      <x:c r="G345" s="19"/>
      <x:c r="H345" s="25"/>
      <x:c r="I345" s="19"/>
    </x:row>
    <x:row r="346">
      <x:c r="A346" s="19"/>
      <x:c r="B346" s="19"/>
      <x:c r="C346" s="19"/>
      <x:c r="D346" s="19"/>
      <x:c r="E346" s="26"/>
      <x:c r="F346" s="26"/>
      <x:c r="G346" s="19"/>
      <x:c r="H346" s="25"/>
      <x:c r="I346" s="19"/>
    </x:row>
    <x:row r="347">
      <x:c r="A347" s="19"/>
      <x:c r="B347" s="19"/>
      <x:c r="C347" s="19"/>
      <x:c r="D347" s="19"/>
      <x:c r="E347" s="26"/>
      <x:c r="F347" s="26"/>
      <x:c r="G347" s="19"/>
      <x:c r="H347" s="25"/>
      <x:c r="I347" s="19"/>
    </x:row>
    <x:row r="348">
      <x:c r="A348" s="19"/>
      <x:c r="B348" s="19"/>
      <x:c r="C348" s="19"/>
      <x:c r="D348" s="19"/>
      <x:c r="E348" s="26"/>
      <x:c r="F348" s="26"/>
      <x:c r="G348" s="19"/>
      <x:c r="H348" s="25"/>
      <x:c r="I348" s="19"/>
    </x:row>
    <x:row r="349">
      <x:c r="A349" s="19"/>
      <x:c r="B349" s="19"/>
      <x:c r="C349" s="19"/>
      <x:c r="D349" s="19"/>
      <x:c r="E349" s="26"/>
      <x:c r="F349" s="26"/>
      <x:c r="G349" s="19"/>
      <x:c r="H349" s="25"/>
      <x:c r="I349" s="19"/>
    </x:row>
    <x:row r="350">
      <x:c r="A350" s="19"/>
      <x:c r="B350" s="19"/>
      <x:c r="C350" s="19"/>
      <x:c r="D350" s="19"/>
      <x:c r="E350" s="26"/>
      <x:c r="F350" s="26"/>
      <x:c r="G350" s="19"/>
      <x:c r="H350" s="25"/>
      <x:c r="I350" s="19"/>
    </x:row>
    <x:row r="351">
      <x:c r="A351" s="19"/>
      <x:c r="B351" s="19"/>
      <x:c r="C351" s="19"/>
      <x:c r="D351" s="19"/>
      <x:c r="E351" s="26"/>
      <x:c r="F351" s="26"/>
      <x:c r="G351" s="19"/>
      <x:c r="H351" s="25"/>
      <x:c r="I351" s="19"/>
    </x:row>
    <x:row r="352">
      <x:c r="A352" s="19"/>
      <x:c r="B352" s="19"/>
      <x:c r="C352" s="19"/>
      <x:c r="D352" s="19"/>
      <x:c r="E352" s="26"/>
      <x:c r="F352" s="26"/>
      <x:c r="G352" s="19"/>
      <x:c r="H352" s="25"/>
      <x:c r="I352" s="19"/>
    </x:row>
    <x:row r="353">
      <x:c r="A353" s="19"/>
      <x:c r="B353" s="19"/>
      <x:c r="C353" s="19"/>
      <x:c r="D353" s="19"/>
      <x:c r="E353" s="26"/>
      <x:c r="F353" s="26"/>
      <x:c r="G353" s="19"/>
      <x:c r="H353" s="25"/>
      <x:c r="I353" s="19"/>
    </x:row>
    <x:row r="354">
      <x:c r="A354" s="19"/>
      <x:c r="B354" s="19"/>
      <x:c r="C354" s="19"/>
      <x:c r="D354" s="19"/>
      <x:c r="E354" s="26"/>
      <x:c r="F354" s="26"/>
      <x:c r="G354" s="19"/>
      <x:c r="H354" s="25"/>
      <x:c r="I354" s="19"/>
    </x:row>
    <x:row r="355">
      <x:c r="A355" s="19"/>
      <x:c r="B355" s="19"/>
      <x:c r="C355" s="19"/>
      <x:c r="D355" s="19"/>
      <x:c r="E355" s="26"/>
      <x:c r="F355" s="26"/>
      <x:c r="G355" s="19"/>
      <x:c r="H355" s="25"/>
      <x:c r="I355" s="19"/>
    </x:row>
    <x:row r="356">
      <x:c r="A356" s="19"/>
      <x:c r="B356" s="19"/>
      <x:c r="C356" s="19"/>
      <x:c r="D356" s="19"/>
      <x:c r="E356" s="26"/>
      <x:c r="F356" s="26"/>
      <x:c r="G356" s="19"/>
      <x:c r="H356" s="25"/>
      <x:c r="I356" s="19"/>
    </x:row>
    <x:row r="357">
      <x:c r="A357" s="19"/>
      <x:c r="B357" s="19"/>
      <x:c r="C357" s="19"/>
      <x:c r="D357" s="19"/>
      <x:c r="E357" s="26"/>
      <x:c r="F357" s="26"/>
      <x:c r="G357" s="19"/>
      <x:c r="H357" s="25"/>
      <x:c r="I357" s="19"/>
    </x:row>
    <x:row r="358">
      <x:c r="A358" s="19"/>
      <x:c r="B358" s="19"/>
      <x:c r="C358" s="19"/>
      <x:c r="D358" s="19"/>
      <x:c r="E358" s="26"/>
      <x:c r="F358" s="26"/>
      <x:c r="G358" s="19"/>
      <x:c r="H358" s="25"/>
      <x:c r="I358" s="19"/>
    </x:row>
    <x:row r="359">
      <x:c r="A359" s="19"/>
      <x:c r="B359" s="19"/>
      <x:c r="C359" s="19"/>
      <x:c r="D359" s="19"/>
      <x:c r="E359" s="26"/>
      <x:c r="F359" s="26"/>
      <x:c r="G359" s="19"/>
      <x:c r="H359" s="25"/>
      <x:c r="I359" s="19"/>
    </x:row>
    <x:row r="360">
      <x:c r="A360" s="19"/>
      <x:c r="B360" s="19"/>
      <x:c r="C360" s="19"/>
      <x:c r="D360" s="19"/>
      <x:c r="E360" s="26"/>
      <x:c r="F360" s="26"/>
      <x:c r="G360" s="19"/>
      <x:c r="H360" s="25"/>
      <x:c r="I360" s="19"/>
    </x:row>
    <x:row r="361">
      <x:c r="A361" s="19"/>
      <x:c r="B361" s="19"/>
      <x:c r="C361" s="19"/>
      <x:c r="D361" s="19"/>
      <x:c r="E361" s="26"/>
      <x:c r="F361" s="26"/>
      <x:c r="G361" s="19"/>
      <x:c r="H361" s="25"/>
      <x:c r="I361" s="19"/>
    </x:row>
    <x:row r="362">
      <x:c r="A362" s="19"/>
      <x:c r="B362" s="19"/>
      <x:c r="C362" s="19"/>
      <x:c r="D362" s="19"/>
      <x:c r="E362" s="26"/>
      <x:c r="F362" s="26"/>
      <x:c r="G362" s="19"/>
      <x:c r="H362" s="25"/>
      <x:c r="I362" s="19"/>
    </x:row>
    <x:row r="363">
      <x:c r="A363" s="19"/>
      <x:c r="B363" s="19"/>
      <x:c r="C363" s="19"/>
      <x:c r="D363" s="19"/>
      <x:c r="E363" s="26"/>
      <x:c r="F363" s="26"/>
      <x:c r="G363" s="19"/>
      <x:c r="H363" s="25"/>
      <x:c r="I363" s="19"/>
    </x:row>
    <x:row r="364">
      <x:c r="A364" s="19"/>
      <x:c r="B364" s="19"/>
      <x:c r="C364" s="19"/>
      <x:c r="D364" s="19"/>
      <x:c r="E364" s="26"/>
      <x:c r="F364" s="26"/>
      <x:c r="G364" s="19"/>
      <x:c r="H364" s="25"/>
      <x:c r="I364" s="19"/>
    </x:row>
    <x:row r="365">
      <x:c r="A365" s="19"/>
      <x:c r="B365" s="19"/>
      <x:c r="C365" s="19"/>
      <x:c r="D365" s="19"/>
      <x:c r="E365" s="26"/>
      <x:c r="F365" s="26"/>
      <x:c r="G365" s="19"/>
      <x:c r="H365" s="25"/>
      <x:c r="I365" s="19"/>
    </x:row>
    <x:row r="366">
      <x:c r="A366" s="19"/>
      <x:c r="B366" s="19"/>
      <x:c r="C366" s="19"/>
      <x:c r="D366" s="19"/>
      <x:c r="E366" s="26"/>
      <x:c r="F366" s="26"/>
      <x:c r="G366" s="19"/>
      <x:c r="H366" s="25"/>
      <x:c r="I366" s="19"/>
    </x:row>
    <x:row r="367">
      <x:c r="A367" s="19"/>
      <x:c r="B367" s="19"/>
      <x:c r="C367" s="19"/>
      <x:c r="D367" s="19"/>
      <x:c r="E367" s="26"/>
      <x:c r="F367" s="26"/>
      <x:c r="G367" s="19"/>
      <x:c r="H367" s="25"/>
      <x:c r="I367" s="19"/>
    </x:row>
    <x:row r="368">
      <x:c r="A368" s="19"/>
      <x:c r="B368" s="19"/>
      <x:c r="C368" s="19"/>
      <x:c r="D368" s="19"/>
      <x:c r="E368" s="26"/>
      <x:c r="F368" s="26"/>
      <x:c r="G368" s="19"/>
      <x:c r="H368" s="25"/>
      <x:c r="I368" s="19"/>
    </x:row>
    <x:row r="369">
      <x:c r="A369" s="19"/>
      <x:c r="B369" s="19"/>
      <x:c r="C369" s="19"/>
      <x:c r="D369" s="19"/>
      <x:c r="E369" s="26"/>
      <x:c r="F369" s="26"/>
      <x:c r="G369" s="19"/>
      <x:c r="H369" s="25"/>
      <x:c r="I369" s="19"/>
    </x:row>
    <x:row r="370">
      <x:c r="A370" s="19"/>
      <x:c r="B370" s="19"/>
      <x:c r="C370" s="19"/>
      <x:c r="D370" s="19"/>
      <x:c r="E370" s="26"/>
      <x:c r="F370" s="26"/>
      <x:c r="G370" s="19"/>
      <x:c r="H370" s="25"/>
      <x:c r="I370" s="19"/>
    </x:row>
    <x:row r="371">
      <x:c r="A371" s="19"/>
      <x:c r="B371" s="19"/>
      <x:c r="C371" s="19"/>
      <x:c r="D371" s="19"/>
      <x:c r="E371" s="26"/>
      <x:c r="F371" s="26"/>
      <x:c r="G371" s="19"/>
      <x:c r="H371" s="25"/>
      <x:c r="I371" s="19"/>
    </x:row>
    <x:row r="372">
      <x:c r="A372" s="19"/>
      <x:c r="B372" s="19"/>
      <x:c r="C372" s="19"/>
      <x:c r="D372" s="19"/>
      <x:c r="E372" s="26"/>
      <x:c r="F372" s="26"/>
      <x:c r="G372" s="19"/>
      <x:c r="H372" s="25"/>
      <x:c r="I372" s="19"/>
    </x:row>
    <x:row r="373">
      <x:c r="A373" s="19"/>
      <x:c r="B373" s="19"/>
      <x:c r="C373" s="19"/>
      <x:c r="D373" s="19"/>
      <x:c r="E373" s="26"/>
      <x:c r="F373" s="26"/>
      <x:c r="G373" s="19"/>
      <x:c r="H373" s="25"/>
      <x:c r="I373" s="19"/>
    </x:row>
    <x:row r="374">
      <x:c r="A374" s="19"/>
      <x:c r="B374" s="19"/>
      <x:c r="C374" s="19"/>
      <x:c r="D374" s="19"/>
      <x:c r="E374" s="26"/>
      <x:c r="F374" s="26"/>
      <x:c r="G374" s="19"/>
      <x:c r="H374" s="25"/>
      <x:c r="I374" s="19"/>
    </x:row>
    <x:row r="375">
      <x:c r="A375" s="19"/>
      <x:c r="B375" s="19"/>
      <x:c r="C375" s="19"/>
      <x:c r="D375" s="19"/>
      <x:c r="E375" s="26"/>
      <x:c r="F375" s="26"/>
      <x:c r="G375" s="19"/>
      <x:c r="H375" s="25"/>
      <x:c r="I375" s="19"/>
    </x:row>
    <x:row r="376">
      <x:c r="A376" s="19"/>
      <x:c r="B376" s="19"/>
      <x:c r="C376" s="19"/>
      <x:c r="D376" s="19"/>
      <x:c r="E376" s="26"/>
      <x:c r="F376" s="26"/>
      <x:c r="G376" s="19"/>
      <x:c r="H376" s="25"/>
      <x:c r="I376" s="19"/>
    </x:row>
    <x:row r="377">
      <x:c r="A377" s="19"/>
      <x:c r="B377" s="19"/>
      <x:c r="C377" s="19"/>
      <x:c r="D377" s="19"/>
      <x:c r="E377" s="26"/>
      <x:c r="F377" s="26"/>
      <x:c r="G377" s="19"/>
      <x:c r="H377" s="25"/>
      <x:c r="I377" s="19"/>
    </x:row>
    <x:row r="378">
      <x:c r="A378" s="19"/>
      <x:c r="B378" s="19"/>
      <x:c r="C378" s="19"/>
      <x:c r="D378" s="19"/>
      <x:c r="E378" s="26"/>
      <x:c r="F378" s="26"/>
      <x:c r="G378" s="19"/>
      <x:c r="H378" s="25"/>
      <x:c r="I378" s="19"/>
    </x:row>
    <x:row r="379">
      <x:c r="A379" s="19"/>
      <x:c r="B379" s="19"/>
      <x:c r="C379" s="19"/>
      <x:c r="D379" s="19"/>
      <x:c r="E379" s="26"/>
      <x:c r="F379" s="26"/>
      <x:c r="G379" s="19"/>
      <x:c r="H379" s="25"/>
      <x:c r="I379" s="19"/>
    </x:row>
    <x:row r="380">
      <x:c r="A380" s="19"/>
      <x:c r="B380" s="19"/>
      <x:c r="C380" s="19"/>
      <x:c r="D380" s="19"/>
      <x:c r="E380" s="26"/>
      <x:c r="F380" s="26"/>
      <x:c r="G380" s="19"/>
      <x:c r="H380" s="25"/>
      <x:c r="I380" s="19"/>
    </x:row>
    <x:row r="381">
      <x:c r="A381" s="19"/>
      <x:c r="B381" s="19"/>
      <x:c r="C381" s="19"/>
      <x:c r="D381" s="19"/>
      <x:c r="E381" s="26"/>
      <x:c r="F381" s="26"/>
      <x:c r="G381" s="19"/>
      <x:c r="H381" s="25"/>
      <x:c r="I381" s="19"/>
    </x:row>
    <x:row r="382">
      <x:c r="A382" s="19"/>
      <x:c r="B382" s="19"/>
      <x:c r="C382" s="19"/>
      <x:c r="D382" s="19"/>
      <x:c r="E382" s="26"/>
      <x:c r="F382" s="26"/>
      <x:c r="G382" s="19"/>
      <x:c r="H382" s="25"/>
      <x:c r="I382" s="19"/>
    </x:row>
    <x:row r="383">
      <x:c r="A383" s="19"/>
      <x:c r="B383" s="19"/>
      <x:c r="C383" s="19"/>
      <x:c r="D383" s="19"/>
      <x:c r="E383" s="26"/>
      <x:c r="F383" s="26"/>
      <x:c r="G383" s="19"/>
      <x:c r="H383" s="25"/>
      <x:c r="I383" s="19"/>
    </x:row>
    <x:row r="384">
      <x:c r="A384" s="19"/>
      <x:c r="B384" s="19"/>
      <x:c r="C384" s="19"/>
      <x:c r="D384" s="19"/>
      <x:c r="E384" s="26"/>
      <x:c r="F384" s="26"/>
      <x:c r="G384" s="19"/>
      <x:c r="H384" s="25"/>
      <x:c r="I384" s="19"/>
    </x:row>
    <x:row r="385">
      <x:c r="A385" s="19"/>
      <x:c r="B385" s="19"/>
      <x:c r="C385" s="19"/>
      <x:c r="D385" s="19"/>
      <x:c r="E385" s="26"/>
      <x:c r="F385" s="26"/>
      <x:c r="G385" s="19"/>
      <x:c r="H385" s="25"/>
      <x:c r="I385" s="19"/>
    </x:row>
    <x:row r="386">
      <x:c r="A386" s="19"/>
      <x:c r="B386" s="19"/>
      <x:c r="C386" s="19"/>
      <x:c r="D386" s="19"/>
      <x:c r="E386" s="26"/>
      <x:c r="F386" s="26"/>
      <x:c r="G386" s="19"/>
      <x:c r="H386" s="25"/>
      <x:c r="I386" s="19"/>
    </x:row>
    <x:row r="387">
      <x:c r="A387" s="19"/>
      <x:c r="B387" s="19"/>
      <x:c r="C387" s="19"/>
      <x:c r="D387" s="19"/>
      <x:c r="E387" s="26"/>
      <x:c r="F387" s="26"/>
      <x:c r="G387" s="19"/>
      <x:c r="H387" s="25"/>
      <x:c r="I387" s="19"/>
    </x:row>
    <x:row r="388">
      <x:c r="A388" s="19"/>
      <x:c r="B388" s="19"/>
      <x:c r="C388" s="19"/>
      <x:c r="D388" s="19"/>
      <x:c r="E388" s="26"/>
      <x:c r="F388" s="26"/>
      <x:c r="G388" s="19"/>
      <x:c r="H388" s="25"/>
      <x:c r="I388" s="19"/>
    </x:row>
    <x:row r="389">
      <x:c r="A389" s="19"/>
      <x:c r="B389" s="19"/>
      <x:c r="C389" s="19"/>
      <x:c r="D389" s="19"/>
      <x:c r="E389" s="26"/>
      <x:c r="F389" s="26"/>
      <x:c r="G389" s="19"/>
      <x:c r="H389" s="25"/>
      <x:c r="I389" s="19"/>
    </x:row>
    <x:row r="390">
      <x:c r="A390" s="19"/>
      <x:c r="B390" s="19"/>
      <x:c r="C390" s="19"/>
      <x:c r="D390" s="19"/>
      <x:c r="E390" s="26"/>
      <x:c r="F390" s="26"/>
      <x:c r="G390" s="19"/>
      <x:c r="H390" s="25"/>
      <x:c r="I390" s="19"/>
    </x:row>
    <x:row r="391">
      <x:c r="A391" s="19"/>
      <x:c r="B391" s="19"/>
      <x:c r="C391" s="19"/>
      <x:c r="D391" s="19"/>
      <x:c r="E391" s="26"/>
      <x:c r="F391" s="26"/>
      <x:c r="G391" s="19"/>
      <x:c r="H391" s="25"/>
      <x:c r="I391" s="19"/>
    </x:row>
    <x:row r="392">
      <x:c r="A392" s="19"/>
      <x:c r="B392" s="19"/>
      <x:c r="C392" s="19"/>
      <x:c r="D392" s="19"/>
      <x:c r="E392" s="26"/>
      <x:c r="F392" s="26"/>
      <x:c r="G392" s="19"/>
      <x:c r="H392" s="25"/>
      <x:c r="I392" s="19"/>
    </x:row>
    <x:row r="393">
      <x:c r="A393" s="19"/>
      <x:c r="B393" s="19"/>
      <x:c r="C393" s="19"/>
      <x:c r="D393" s="19"/>
      <x:c r="E393" s="26"/>
      <x:c r="F393" s="26"/>
      <x:c r="G393" s="19"/>
      <x:c r="H393" s="25"/>
      <x:c r="I393" s="19"/>
    </x:row>
    <x:row r="394">
      <x:c r="A394" s="19"/>
      <x:c r="B394" s="19"/>
      <x:c r="C394" s="19"/>
      <x:c r="D394" s="19"/>
      <x:c r="E394" s="26"/>
      <x:c r="F394" s="26"/>
      <x:c r="G394" s="19"/>
      <x:c r="H394" s="25"/>
      <x:c r="I394" s="19"/>
    </x:row>
    <x:row r="395">
      <x:c r="A395" s="19"/>
      <x:c r="B395" s="19"/>
      <x:c r="C395" s="19"/>
      <x:c r="D395" s="19"/>
      <x:c r="E395" s="26"/>
      <x:c r="F395" s="26"/>
      <x:c r="G395" s="19"/>
      <x:c r="H395" s="25"/>
      <x:c r="I395" s="19"/>
    </x:row>
    <x:row r="396">
      <x:c r="A396" s="19"/>
      <x:c r="B396" s="19"/>
      <x:c r="C396" s="19"/>
      <x:c r="D396" s="19"/>
      <x:c r="E396" s="26"/>
      <x:c r="F396" s="26"/>
      <x:c r="G396" s="19"/>
      <x:c r="H396" s="25"/>
      <x:c r="I396" s="19"/>
    </x:row>
    <x:row r="397">
      <x:c r="A397" s="19"/>
      <x:c r="B397" s="19"/>
      <x:c r="C397" s="19"/>
      <x:c r="D397" s="19"/>
      <x:c r="E397" s="26"/>
      <x:c r="F397" s="26"/>
      <x:c r="G397" s="19"/>
      <x:c r="H397" s="25"/>
      <x:c r="I397" s="19"/>
    </x:row>
    <x:row r="398">
      <x:c r="A398" s="19"/>
      <x:c r="B398" s="19"/>
      <x:c r="C398" s="19"/>
      <x:c r="D398" s="19"/>
      <x:c r="E398" s="26"/>
      <x:c r="F398" s="26"/>
      <x:c r="G398" s="19"/>
      <x:c r="H398" s="25"/>
      <x:c r="I398" s="19"/>
    </x:row>
    <x:row r="399">
      <x:c r="A399" s="19"/>
      <x:c r="B399" s="19"/>
      <x:c r="C399" s="19"/>
      <x:c r="D399" s="19"/>
      <x:c r="E399" s="26"/>
      <x:c r="F399" s="26"/>
      <x:c r="G399" s="19"/>
      <x:c r="H399" s="25"/>
      <x:c r="I399" s="19"/>
    </x:row>
    <x:row r="400">
      <x:c r="A400" s="19"/>
      <x:c r="B400" s="19"/>
      <x:c r="C400" s="19"/>
      <x:c r="D400" s="19"/>
      <x:c r="E400" s="26"/>
      <x:c r="F400" s="26"/>
      <x:c r="G400" s="19"/>
      <x:c r="H400" s="25"/>
      <x:c r="I400" s="19"/>
    </x:row>
    <x:row r="401">
      <x:c r="A401" s="19"/>
      <x:c r="B401" s="19"/>
      <x:c r="C401" s="19"/>
      <x:c r="D401" s="19"/>
      <x:c r="E401" s="26"/>
      <x:c r="F401" s="26"/>
      <x:c r="G401" s="19"/>
      <x:c r="H401" s="25"/>
      <x:c r="I401" s="19"/>
    </x:row>
    <x:row r="402">
      <x:c r="A402" s="19"/>
      <x:c r="B402" s="19"/>
      <x:c r="C402" s="19"/>
      <x:c r="D402" s="19"/>
      <x:c r="E402" s="26"/>
      <x:c r="F402" s="26"/>
      <x:c r="G402" s="19"/>
      <x:c r="H402" s="25"/>
      <x:c r="I402" s="19"/>
    </x:row>
    <x:row r="403">
      <x:c r="A403" s="19"/>
      <x:c r="B403" s="19"/>
      <x:c r="C403" s="19"/>
      <x:c r="D403" s="19"/>
      <x:c r="E403" s="26"/>
      <x:c r="F403" s="26"/>
      <x:c r="G403" s="19"/>
      <x:c r="H403" s="25"/>
      <x:c r="I403" s="19"/>
    </x:row>
    <x:row r="404">
      <x:c r="A404" s="19"/>
      <x:c r="B404" s="19"/>
      <x:c r="C404" s="19"/>
      <x:c r="D404" s="19"/>
      <x:c r="E404" s="26"/>
      <x:c r="F404" s="26"/>
      <x:c r="G404" s="19"/>
      <x:c r="H404" s="25"/>
      <x:c r="I404" s="19"/>
    </x:row>
    <x:row r="405">
      <x:c r="A405" s="19"/>
      <x:c r="B405" s="19"/>
      <x:c r="C405" s="19"/>
      <x:c r="D405" s="19"/>
      <x:c r="E405" s="26"/>
      <x:c r="F405" s="26"/>
      <x:c r="G405" s="19"/>
      <x:c r="H405" s="25"/>
      <x:c r="I405" s="19"/>
    </x:row>
    <x:row r="406">
      <x:c r="A406" s="19"/>
      <x:c r="B406" s="19"/>
      <x:c r="C406" s="19"/>
      <x:c r="D406" s="19"/>
      <x:c r="E406" s="26"/>
      <x:c r="F406" s="26"/>
      <x:c r="G406" s="19"/>
      <x:c r="H406" s="25"/>
      <x:c r="I406" s="19"/>
    </x:row>
    <x:row r="407">
      <x:c r="A407" s="19"/>
      <x:c r="B407" s="19"/>
      <x:c r="C407" s="19"/>
      <x:c r="D407" s="19"/>
      <x:c r="E407" s="26"/>
      <x:c r="F407" s="26"/>
      <x:c r="G407" s="19"/>
      <x:c r="H407" s="25"/>
      <x:c r="I407" s="19"/>
    </x:row>
    <x:row r="408">
      <x:c r="A408" s="19"/>
      <x:c r="B408" s="19"/>
      <x:c r="C408" s="19"/>
      <x:c r="D408" s="19"/>
      <x:c r="E408" s="26"/>
      <x:c r="F408" s="26"/>
      <x:c r="G408" s="19"/>
      <x:c r="H408" s="25"/>
      <x:c r="I408" s="19"/>
    </x:row>
    <x:row r="409">
      <x:c r="A409" s="19"/>
      <x:c r="B409" s="19"/>
      <x:c r="C409" s="19"/>
      <x:c r="D409" s="19"/>
      <x:c r="E409" s="26"/>
      <x:c r="F409" s="26"/>
      <x:c r="G409" s="19"/>
      <x:c r="H409" s="25"/>
      <x:c r="I409" s="19"/>
    </x:row>
    <x:row r="410">
      <x:c r="A410" s="19"/>
      <x:c r="B410" s="19"/>
      <x:c r="C410" s="19"/>
      <x:c r="D410" s="19"/>
      <x:c r="E410" s="26"/>
      <x:c r="F410" s="26"/>
      <x:c r="G410" s="19"/>
      <x:c r="H410" s="25"/>
      <x:c r="I410" s="19"/>
    </x:row>
    <x:row r="411">
      <x:c r="A411" s="19"/>
      <x:c r="B411" s="19"/>
      <x:c r="C411" s="19"/>
      <x:c r="D411" s="19"/>
      <x:c r="E411" s="26"/>
      <x:c r="F411" s="26"/>
      <x:c r="G411" s="19"/>
      <x:c r="H411" s="25"/>
      <x:c r="I411" s="19"/>
    </x:row>
    <x:row r="412">
      <x:c r="A412" s="19"/>
      <x:c r="B412" s="19"/>
      <x:c r="C412" s="19"/>
      <x:c r="D412" s="19"/>
      <x:c r="E412" s="26"/>
      <x:c r="F412" s="26"/>
      <x:c r="G412" s="19"/>
      <x:c r="H412" s="25"/>
      <x:c r="I412" s="19"/>
    </x:row>
    <x:row r="413">
      <x:c r="A413" s="19"/>
      <x:c r="B413" s="19"/>
      <x:c r="C413" s="19"/>
      <x:c r="D413" s="19"/>
      <x:c r="E413" s="26"/>
      <x:c r="F413" s="26"/>
      <x:c r="G413" s="19"/>
      <x:c r="H413" s="25"/>
      <x:c r="I413" s="19"/>
    </x:row>
    <x:row r="414">
      <x:c r="A414" s="19"/>
      <x:c r="B414" s="19"/>
      <x:c r="C414" s="19"/>
      <x:c r="D414" s="19"/>
      <x:c r="E414" s="26"/>
      <x:c r="F414" s="26"/>
      <x:c r="G414" s="19"/>
      <x:c r="H414" s="25"/>
      <x:c r="I414" s="19"/>
    </x:row>
    <x:row r="415">
      <x:c r="A415" s="19"/>
      <x:c r="B415" s="19"/>
      <x:c r="C415" s="19"/>
      <x:c r="D415" s="19"/>
      <x:c r="E415" s="26"/>
      <x:c r="F415" s="26"/>
      <x:c r="G415" s="19"/>
      <x:c r="H415" s="25"/>
      <x:c r="I415" s="19"/>
    </x:row>
    <x:row r="416">
      <x:c r="A416" s="19"/>
      <x:c r="B416" s="19"/>
      <x:c r="C416" s="19"/>
      <x:c r="D416" s="19"/>
      <x:c r="E416" s="26"/>
      <x:c r="F416" s="26"/>
      <x:c r="G416" s="19"/>
      <x:c r="H416" s="25"/>
      <x:c r="I416" s="19"/>
    </x:row>
    <x:row r="417">
      <x:c r="A417" s="19"/>
      <x:c r="B417" s="19"/>
      <x:c r="C417" s="19"/>
      <x:c r="D417" s="19"/>
      <x:c r="E417" s="26"/>
      <x:c r="F417" s="26"/>
      <x:c r="G417" s="19"/>
      <x:c r="H417" s="25"/>
      <x:c r="I417" s="19"/>
    </x:row>
    <x:row r="418">
      <x:c r="A418" s="19"/>
      <x:c r="B418" s="19"/>
      <x:c r="C418" s="19"/>
      <x:c r="D418" s="19"/>
      <x:c r="E418" s="26"/>
      <x:c r="F418" s="26"/>
      <x:c r="G418" s="19"/>
      <x:c r="H418" s="25"/>
      <x:c r="I418" s="19"/>
    </x:row>
    <x:row r="419">
      <x:c r="A419" s="19"/>
      <x:c r="B419" s="19"/>
      <x:c r="C419" s="19"/>
      <x:c r="D419" s="19"/>
      <x:c r="E419" s="26"/>
      <x:c r="F419" s="26"/>
      <x:c r="G419" s="19"/>
      <x:c r="H419" s="25"/>
      <x:c r="I419" s="19"/>
    </x:row>
    <x:row r="420">
      <x:c r="A420" s="19"/>
      <x:c r="B420" s="19"/>
      <x:c r="C420" s="19"/>
      <x:c r="D420" s="19"/>
      <x:c r="E420" s="26"/>
      <x:c r="F420" s="26"/>
      <x:c r="G420" s="19"/>
      <x:c r="H420" s="25"/>
      <x:c r="I420" s="19"/>
    </x:row>
    <x:row r="421">
      <x:c r="A421" s="19"/>
      <x:c r="B421" s="19"/>
      <x:c r="C421" s="19"/>
      <x:c r="D421" s="19"/>
      <x:c r="E421" s="26"/>
      <x:c r="F421" s="26"/>
      <x:c r="G421" s="19"/>
      <x:c r="H421" s="25"/>
      <x:c r="I421" s="19"/>
    </x:row>
    <x:row r="422">
      <x:c r="A422" s="19"/>
      <x:c r="B422" s="19"/>
      <x:c r="C422" s="19"/>
      <x:c r="D422" s="19"/>
      <x:c r="E422" s="26"/>
      <x:c r="F422" s="26"/>
      <x:c r="G422" s="19"/>
      <x:c r="H422" s="25"/>
      <x:c r="I422" s="19"/>
    </x:row>
    <x:row r="423">
      <x:c r="A423" s="19"/>
      <x:c r="B423" s="19"/>
      <x:c r="C423" s="19"/>
      <x:c r="D423" s="19"/>
      <x:c r="E423" s="26"/>
      <x:c r="F423" s="26"/>
      <x:c r="G423" s="19"/>
      <x:c r="H423" s="25"/>
      <x:c r="I423" s="19"/>
    </x:row>
    <x:row r="424">
      <x:c r="A424" s="19"/>
      <x:c r="B424" s="19"/>
      <x:c r="C424" s="19"/>
      <x:c r="D424" s="19"/>
      <x:c r="E424" s="26"/>
      <x:c r="F424" s="26"/>
      <x:c r="G424" s="19"/>
      <x:c r="H424" s="25"/>
      <x:c r="I424" s="19"/>
    </x:row>
    <x:row r="425">
      <x:c r="A425" s="19"/>
      <x:c r="B425" s="19"/>
      <x:c r="C425" s="19"/>
      <x:c r="D425" s="19"/>
      <x:c r="E425" s="26"/>
      <x:c r="F425" s="26"/>
      <x:c r="G425" s="19"/>
      <x:c r="H425" s="25"/>
      <x:c r="I425" s="19"/>
    </x:row>
    <x:row r="426">
      <x:c r="A426" s="19"/>
      <x:c r="B426" s="19"/>
      <x:c r="C426" s="19"/>
      <x:c r="D426" s="19"/>
      <x:c r="E426" s="26"/>
      <x:c r="F426" s="26"/>
      <x:c r="G426" s="19"/>
      <x:c r="H426" s="25"/>
      <x:c r="I426" s="19"/>
    </x:row>
    <x:row r="427">
      <x:c r="A427" s="19"/>
      <x:c r="B427" s="19"/>
      <x:c r="C427" s="19"/>
      <x:c r="D427" s="19"/>
      <x:c r="E427" s="26"/>
      <x:c r="F427" s="26"/>
      <x:c r="G427" s="19"/>
      <x:c r="H427" s="25"/>
      <x:c r="I427" s="19"/>
    </x:row>
    <x:row r="428">
      <x:c r="A428" s="19"/>
      <x:c r="B428" s="19"/>
      <x:c r="C428" s="19"/>
      <x:c r="D428" s="19"/>
      <x:c r="E428" s="26"/>
      <x:c r="F428" s="26"/>
      <x:c r="G428" s="19"/>
      <x:c r="H428" s="25"/>
      <x:c r="I428" s="19"/>
    </x:row>
    <x:row r="429">
      <x:c r="A429" s="19"/>
      <x:c r="B429" s="19"/>
      <x:c r="C429" s="19"/>
      <x:c r="D429" s="19"/>
      <x:c r="E429" s="26"/>
      <x:c r="F429" s="26"/>
      <x:c r="G429" s="19"/>
      <x:c r="H429" s="25"/>
      <x:c r="I429" s="19"/>
    </x:row>
    <x:row r="430">
      <x:c r="A430" s="19"/>
      <x:c r="B430" s="19"/>
      <x:c r="C430" s="19"/>
      <x:c r="D430" s="19"/>
      <x:c r="E430" s="26"/>
      <x:c r="F430" s="26"/>
      <x:c r="G430" s="19"/>
      <x:c r="H430" s="25"/>
      <x:c r="I430" s="19"/>
    </x:row>
    <x:row r="431">
      <x:c r="A431" s="19"/>
      <x:c r="B431" s="19"/>
      <x:c r="C431" s="19"/>
      <x:c r="D431" s="19"/>
      <x:c r="E431" s="26"/>
      <x:c r="F431" s="26"/>
      <x:c r="G431" s="19"/>
      <x:c r="H431" s="25"/>
      <x:c r="I431" s="19"/>
    </x:row>
    <x:row r="432">
      <x:c r="A432" s="19"/>
      <x:c r="B432" s="19"/>
      <x:c r="C432" s="19"/>
      <x:c r="D432" s="19"/>
      <x:c r="E432" s="26"/>
      <x:c r="F432" s="26"/>
      <x:c r="G432" s="19"/>
      <x:c r="H432" s="25"/>
      <x:c r="I432" s="19"/>
    </x:row>
    <x:row r="433">
      <x:c r="A433" s="19"/>
      <x:c r="B433" s="19"/>
      <x:c r="C433" s="19"/>
      <x:c r="D433" s="19"/>
      <x:c r="E433" s="26"/>
      <x:c r="F433" s="26"/>
      <x:c r="G433" s="19"/>
      <x:c r="H433" s="25"/>
      <x:c r="I433" s="19"/>
    </x:row>
    <x:row r="434">
      <x:c r="A434" s="19"/>
      <x:c r="B434" s="19"/>
      <x:c r="C434" s="19"/>
      <x:c r="D434" s="19"/>
      <x:c r="E434" s="26"/>
      <x:c r="F434" s="26"/>
      <x:c r="G434" s="19"/>
      <x:c r="H434" s="25"/>
      <x:c r="I434" s="19"/>
    </x:row>
    <x:row r="435">
      <x:c r="A435" s="19"/>
      <x:c r="B435" s="19"/>
      <x:c r="C435" s="19"/>
      <x:c r="D435" s="19"/>
      <x:c r="E435" s="26"/>
      <x:c r="F435" s="26"/>
      <x:c r="G435" s="19"/>
      <x:c r="H435" s="25"/>
      <x:c r="I435" s="19"/>
    </x:row>
    <x:row r="436">
      <x:c r="A436" s="19"/>
      <x:c r="B436" s="19"/>
      <x:c r="C436" s="19"/>
      <x:c r="D436" s="19"/>
      <x:c r="E436" s="26"/>
      <x:c r="F436" s="26"/>
      <x:c r="G436" s="19"/>
      <x:c r="H436" s="25"/>
      <x:c r="I436" s="19"/>
    </x:row>
    <x:row r="437">
      <x:c r="A437" s="19"/>
      <x:c r="B437" s="19"/>
      <x:c r="C437" s="19"/>
      <x:c r="D437" s="19"/>
      <x:c r="E437" s="26"/>
      <x:c r="F437" s="26"/>
      <x:c r="G437" s="19"/>
      <x:c r="H437" s="25"/>
      <x:c r="I437" s="19"/>
    </x:row>
    <x:row r="438">
      <x:c r="A438" s="19"/>
      <x:c r="B438" s="19"/>
      <x:c r="C438" s="19"/>
      <x:c r="D438" s="19"/>
      <x:c r="E438" s="26"/>
      <x:c r="F438" s="26"/>
      <x:c r="G438" s="19"/>
      <x:c r="H438" s="25"/>
      <x:c r="I438" s="19"/>
    </x:row>
    <x:row r="439">
      <x:c r="A439" s="19"/>
      <x:c r="B439" s="19"/>
      <x:c r="C439" s="19"/>
      <x:c r="D439" s="19"/>
      <x:c r="E439" s="26"/>
      <x:c r="F439" s="26"/>
      <x:c r="G439" s="19"/>
      <x:c r="H439" s="25"/>
      <x:c r="I439" s="19"/>
    </x:row>
    <x:row r="440">
      <x:c r="A440" s="19"/>
      <x:c r="B440" s="19"/>
      <x:c r="C440" s="19"/>
      <x:c r="D440" s="19"/>
      <x:c r="E440" s="26"/>
      <x:c r="F440" s="26"/>
      <x:c r="G440" s="19"/>
      <x:c r="H440" s="25"/>
      <x:c r="I440" s="19"/>
    </x:row>
    <x:row r="441">
      <x:c r="A441" s="19"/>
      <x:c r="B441" s="19"/>
      <x:c r="C441" s="19"/>
      <x:c r="D441" s="19"/>
      <x:c r="E441" s="26"/>
      <x:c r="F441" s="26"/>
      <x:c r="G441" s="19"/>
      <x:c r="H441" s="25"/>
      <x:c r="I441" s="19"/>
    </x:row>
    <x:row r="442">
      <x:c r="A442" s="19"/>
      <x:c r="B442" s="19"/>
      <x:c r="C442" s="19"/>
      <x:c r="D442" s="19"/>
      <x:c r="E442" s="26"/>
      <x:c r="F442" s="26"/>
      <x:c r="G442" s="19"/>
      <x:c r="H442" s="25"/>
      <x:c r="I442" s="19"/>
    </x:row>
    <x:row r="443">
      <x:c r="A443" s="19"/>
      <x:c r="B443" s="19"/>
      <x:c r="C443" s="19"/>
      <x:c r="D443" s="19"/>
      <x:c r="E443" s="26"/>
      <x:c r="F443" s="26"/>
      <x:c r="G443" s="19"/>
      <x:c r="H443" s="25"/>
      <x:c r="I443" s="19"/>
    </x:row>
    <x:row r="444">
      <x:c r="A444" s="19"/>
      <x:c r="B444" s="19"/>
      <x:c r="C444" s="19"/>
      <x:c r="D444" s="19"/>
      <x:c r="E444" s="26"/>
      <x:c r="F444" s="26"/>
      <x:c r="G444" s="19"/>
      <x:c r="H444" s="25"/>
      <x:c r="I444" s="19"/>
    </x:row>
    <x:row r="445">
      <x:c r="A445" s="19"/>
      <x:c r="B445" s="19"/>
      <x:c r="C445" s="19"/>
      <x:c r="D445" s="19"/>
      <x:c r="E445" s="26"/>
      <x:c r="F445" s="26"/>
      <x:c r="G445" s="19"/>
      <x:c r="H445" s="25"/>
      <x:c r="I445" s="19"/>
    </x:row>
    <x:row r="446">
      <x:c r="A446" s="19"/>
      <x:c r="B446" s="19"/>
      <x:c r="C446" s="19"/>
      <x:c r="D446" s="19"/>
      <x:c r="E446" s="26"/>
      <x:c r="F446" s="26"/>
      <x:c r="G446" s="19"/>
      <x:c r="H446" s="25"/>
      <x:c r="I446" s="19"/>
    </x:row>
    <x:row r="447">
      <x:c r="A447" s="19"/>
      <x:c r="B447" s="19"/>
      <x:c r="C447" s="19"/>
      <x:c r="D447" s="19"/>
      <x:c r="E447" s="26"/>
      <x:c r="F447" s="26"/>
      <x:c r="G447" s="19"/>
      <x:c r="H447" s="25"/>
      <x:c r="I447" s="19"/>
    </x:row>
    <x:row r="448">
      <x:c r="A448" s="19"/>
      <x:c r="B448" s="19"/>
      <x:c r="C448" s="19"/>
      <x:c r="D448" s="19"/>
      <x:c r="E448" s="26"/>
      <x:c r="F448" s="26"/>
      <x:c r="G448" s="19"/>
      <x:c r="H448" s="25"/>
      <x:c r="I448" s="19"/>
    </x:row>
    <x:row r="449">
      <x:c r="A449" s="19"/>
      <x:c r="B449" s="19"/>
      <x:c r="C449" s="19"/>
      <x:c r="D449" s="19"/>
      <x:c r="E449" s="26"/>
      <x:c r="F449" s="26"/>
      <x:c r="G449" s="19"/>
      <x:c r="H449" s="25"/>
      <x:c r="I449" s="19"/>
    </x:row>
    <x:row r="450">
      <x:c r="A450" s="19"/>
      <x:c r="B450" s="19"/>
      <x:c r="C450" s="19"/>
      <x:c r="D450" s="19"/>
      <x:c r="E450" s="26"/>
      <x:c r="F450" s="26"/>
      <x:c r="G450" s="19"/>
      <x:c r="H450" s="25"/>
      <x:c r="I450" s="19"/>
    </x:row>
    <x:row r="451">
      <x:c r="A451" s="19"/>
      <x:c r="B451" s="19"/>
      <x:c r="C451" s="19"/>
      <x:c r="D451" s="19"/>
      <x:c r="E451" s="26"/>
      <x:c r="F451" s="26"/>
      <x:c r="G451" s="19"/>
      <x:c r="H451" s="25"/>
      <x:c r="I451" s="19"/>
    </x:row>
    <x:row r="452">
      <x:c r="A452" s="19"/>
      <x:c r="B452" s="19"/>
      <x:c r="C452" s="19"/>
      <x:c r="D452" s="19"/>
      <x:c r="E452" s="26"/>
      <x:c r="F452" s="26"/>
      <x:c r="G452" s="19"/>
      <x:c r="H452" s="25"/>
      <x:c r="I452" s="19"/>
    </x:row>
    <x:row r="453">
      <x:c r="A453" s="19"/>
      <x:c r="B453" s="19"/>
      <x:c r="C453" s="19"/>
      <x:c r="D453" s="19"/>
      <x:c r="E453" s="26"/>
      <x:c r="F453" s="26"/>
      <x:c r="G453" s="19"/>
      <x:c r="H453" s="25"/>
      <x:c r="I453" s="19"/>
    </x:row>
    <x:row r="454">
      <x:c r="A454" s="19"/>
      <x:c r="B454" s="19"/>
      <x:c r="C454" s="19"/>
      <x:c r="D454" s="19"/>
      <x:c r="E454" s="26"/>
      <x:c r="F454" s="26"/>
      <x:c r="G454" s="19"/>
      <x:c r="H454" s="25"/>
      <x:c r="I454" s="19"/>
    </x:row>
    <x:row r="455">
      <x:c r="A455" s="19"/>
      <x:c r="B455" s="19"/>
      <x:c r="C455" s="19"/>
      <x:c r="D455" s="19"/>
      <x:c r="E455" s="26"/>
      <x:c r="F455" s="26"/>
      <x:c r="G455" s="19"/>
      <x:c r="H455" s="25"/>
      <x:c r="I455" s="19"/>
    </x:row>
    <x:row r="456">
      <x:c r="A456" s="19"/>
      <x:c r="B456" s="19"/>
      <x:c r="C456" s="19"/>
      <x:c r="D456" s="19"/>
      <x:c r="E456" s="26"/>
      <x:c r="F456" s="26"/>
      <x:c r="G456" s="19"/>
      <x:c r="H456" s="25"/>
      <x:c r="I456" s="19"/>
    </x:row>
    <x:row r="457">
      <x:c r="A457" s="19"/>
      <x:c r="B457" s="19"/>
      <x:c r="C457" s="19"/>
      <x:c r="D457" s="19"/>
      <x:c r="E457" s="26"/>
      <x:c r="F457" s="26"/>
      <x:c r="G457" s="19"/>
      <x:c r="H457" s="25"/>
      <x:c r="I457" s="19"/>
    </x:row>
    <x:row r="458">
      <x:c r="A458" s="19"/>
      <x:c r="B458" s="19"/>
      <x:c r="C458" s="19"/>
      <x:c r="D458" s="19"/>
      <x:c r="E458" s="26"/>
      <x:c r="F458" s="26"/>
      <x:c r="G458" s="19"/>
      <x:c r="H458" s="25"/>
      <x:c r="I458" s="19"/>
    </x:row>
    <x:row r="459">
      <x:c r="A459" s="19"/>
      <x:c r="B459" s="19"/>
      <x:c r="C459" s="19"/>
      <x:c r="D459" s="19"/>
      <x:c r="E459" s="26"/>
      <x:c r="F459" s="26"/>
      <x:c r="G459" s="19"/>
      <x:c r="H459" s="25"/>
      <x:c r="I459" s="19"/>
    </x:row>
    <x:row r="460">
      <x:c r="A460" s="19"/>
      <x:c r="B460" s="19"/>
      <x:c r="C460" s="19"/>
      <x:c r="D460" s="19"/>
      <x:c r="E460" s="26"/>
      <x:c r="F460" s="26"/>
      <x:c r="G460" s="19"/>
      <x:c r="H460" s="25"/>
      <x:c r="I460" s="19"/>
    </x:row>
    <x:row r="461">
      <x:c r="A461" s="19"/>
      <x:c r="B461" s="19"/>
      <x:c r="C461" s="19"/>
      <x:c r="D461" s="19"/>
      <x:c r="E461" s="26"/>
      <x:c r="F461" s="26"/>
      <x:c r="G461" s="19"/>
      <x:c r="H461" s="25"/>
      <x:c r="I461" s="19"/>
    </x:row>
    <x:row r="462">
      <x:c r="A462" s="19"/>
      <x:c r="B462" s="19"/>
      <x:c r="C462" s="19"/>
      <x:c r="D462" s="19"/>
      <x:c r="E462" s="26"/>
      <x:c r="F462" s="26"/>
      <x:c r="G462" s="19"/>
      <x:c r="H462" s="25"/>
      <x:c r="I462" s="19"/>
    </x:row>
    <x:row r="463">
      <x:c r="A463" s="19"/>
      <x:c r="B463" s="19"/>
      <x:c r="C463" s="19"/>
      <x:c r="D463" s="19"/>
      <x:c r="E463" s="26"/>
      <x:c r="F463" s="26"/>
      <x:c r="G463" s="19"/>
      <x:c r="H463" s="25"/>
      <x:c r="I463" s="19"/>
    </x:row>
    <x:row r="464">
      <x:c r="A464" s="19"/>
      <x:c r="B464" s="19"/>
      <x:c r="C464" s="19"/>
      <x:c r="D464" s="19"/>
      <x:c r="E464" s="26"/>
      <x:c r="F464" s="26"/>
      <x:c r="G464" s="19"/>
      <x:c r="H464" s="25"/>
      <x:c r="I464" s="19"/>
    </x:row>
    <x:row r="465">
      <x:c r="A465" s="19"/>
      <x:c r="B465" s="19"/>
      <x:c r="C465" s="19"/>
      <x:c r="D465" s="19"/>
      <x:c r="E465" s="26"/>
      <x:c r="F465" s="26"/>
      <x:c r="G465" s="19"/>
      <x:c r="H465" s="25"/>
      <x:c r="I465" s="19"/>
    </x:row>
    <x:row r="466">
      <x:c r="A466" s="19"/>
      <x:c r="B466" s="19"/>
      <x:c r="C466" s="19"/>
      <x:c r="D466" s="19"/>
      <x:c r="E466" s="26"/>
      <x:c r="F466" s="26"/>
      <x:c r="G466" s="19"/>
      <x:c r="H466" s="25"/>
      <x:c r="I466" s="19"/>
    </x:row>
    <x:row r="467">
      <x:c r="A467" s="19"/>
      <x:c r="B467" s="19"/>
      <x:c r="C467" s="19"/>
      <x:c r="D467" s="19"/>
      <x:c r="E467" s="26"/>
      <x:c r="F467" s="26"/>
      <x:c r="G467" s="19"/>
      <x:c r="H467" s="25"/>
      <x:c r="I467" s="19"/>
    </x:row>
    <x:row r="468">
      <x:c r="A468" s="19"/>
      <x:c r="B468" s="19"/>
      <x:c r="C468" s="19"/>
      <x:c r="D468" s="19"/>
      <x:c r="E468" s="26"/>
      <x:c r="F468" s="26"/>
      <x:c r="G468" s="19"/>
      <x:c r="H468" s="25"/>
      <x:c r="I468" s="19"/>
    </x:row>
    <x:row r="469">
      <x:c r="A469" s="19"/>
      <x:c r="B469" s="19"/>
      <x:c r="C469" s="19"/>
      <x:c r="D469" s="19"/>
      <x:c r="E469" s="26"/>
      <x:c r="F469" s="26"/>
      <x:c r="G469" s="19"/>
      <x:c r="H469" s="25"/>
      <x:c r="I469" s="19"/>
    </x:row>
    <x:row r="470">
      <x:c r="A470" s="19"/>
      <x:c r="B470" s="19"/>
      <x:c r="C470" s="19"/>
      <x:c r="D470" s="19"/>
      <x:c r="E470" s="26"/>
      <x:c r="F470" s="26"/>
      <x:c r="G470" s="19"/>
      <x:c r="H470" s="25"/>
      <x:c r="I470" s="19"/>
    </x:row>
    <x:row r="471">
      <x:c r="A471" s="19"/>
      <x:c r="B471" s="19"/>
      <x:c r="C471" s="19"/>
      <x:c r="D471" s="19"/>
      <x:c r="E471" s="26"/>
      <x:c r="F471" s="26"/>
      <x:c r="G471" s="19"/>
      <x:c r="H471" s="25"/>
      <x:c r="I471" s="19"/>
    </x:row>
    <x:row r="472">
      <x:c r="A472" s="19"/>
      <x:c r="B472" s="19"/>
      <x:c r="C472" s="19"/>
      <x:c r="D472" s="19"/>
      <x:c r="E472" s="26"/>
      <x:c r="F472" s="26"/>
      <x:c r="G472" s="19"/>
      <x:c r="H472" s="25"/>
      <x:c r="I472" s="19"/>
    </x:row>
    <x:row r="473">
      <x:c r="A473" s="19"/>
      <x:c r="B473" s="19"/>
      <x:c r="C473" s="19"/>
      <x:c r="D473" s="19"/>
      <x:c r="E473" s="26"/>
      <x:c r="F473" s="26"/>
      <x:c r="G473" s="19"/>
      <x:c r="H473" s="25"/>
      <x:c r="I473" s="19"/>
    </x:row>
    <x:row r="474">
      <x:c r="A474" s="19"/>
      <x:c r="B474" s="19"/>
      <x:c r="C474" s="19"/>
      <x:c r="D474" s="19"/>
      <x:c r="E474" s="26"/>
      <x:c r="F474" s="26"/>
      <x:c r="G474" s="19"/>
      <x:c r="H474" s="25"/>
      <x:c r="I474" s="19"/>
    </x:row>
    <x:row r="475">
      <x:c r="A475" s="19"/>
      <x:c r="B475" s="19"/>
      <x:c r="C475" s="19"/>
      <x:c r="D475" s="19"/>
      <x:c r="E475" s="26"/>
      <x:c r="F475" s="26"/>
      <x:c r="G475" s="19"/>
      <x:c r="H475" s="25"/>
      <x:c r="I475" s="19"/>
    </x:row>
    <x:row r="476">
      <x:c r="A476" s="19"/>
      <x:c r="B476" s="19"/>
      <x:c r="C476" s="19"/>
      <x:c r="D476" s="19"/>
      <x:c r="E476" s="26"/>
      <x:c r="F476" s="26"/>
      <x:c r="G476" s="19"/>
      <x:c r="H476" s="25"/>
      <x:c r="I476" s="19"/>
    </x:row>
    <x:row r="477">
      <x:c r="A477" s="19"/>
      <x:c r="B477" s="19"/>
      <x:c r="C477" s="19"/>
      <x:c r="D477" s="19"/>
      <x:c r="E477" s="26"/>
      <x:c r="F477" s="26"/>
      <x:c r="G477" s="19"/>
      <x:c r="H477" s="25"/>
      <x:c r="I477" s="19"/>
    </x:row>
    <x:row r="478">
      <x:c r="A478" s="19"/>
      <x:c r="B478" s="19"/>
      <x:c r="C478" s="19"/>
      <x:c r="D478" s="19"/>
      <x:c r="E478" s="26"/>
      <x:c r="F478" s="26"/>
      <x:c r="G478" s="19"/>
      <x:c r="H478" s="25"/>
      <x:c r="I478" s="19"/>
    </x:row>
    <x:row r="479">
      <x:c r="A479" s="19"/>
      <x:c r="B479" s="19"/>
      <x:c r="C479" s="19"/>
      <x:c r="D479" s="19"/>
      <x:c r="E479" s="26"/>
      <x:c r="F479" s="26"/>
      <x:c r="G479" s="19"/>
      <x:c r="H479" s="25"/>
      <x:c r="I479" s="19"/>
    </x:row>
    <x:row r="480">
      <x:c r="A480" s="19"/>
      <x:c r="B480" s="19"/>
      <x:c r="C480" s="19"/>
      <x:c r="D480" s="19"/>
      <x:c r="E480" s="26"/>
      <x:c r="F480" s="26"/>
      <x:c r="G480" s="19"/>
      <x:c r="H480" s="25"/>
      <x:c r="I480" s="19"/>
    </x:row>
    <x:row r="481">
      <x:c r="A481" s="19"/>
      <x:c r="B481" s="19"/>
      <x:c r="C481" s="19"/>
      <x:c r="D481" s="19"/>
      <x:c r="E481" s="26"/>
      <x:c r="F481" s="26"/>
      <x:c r="G481" s="19"/>
      <x:c r="H481" s="25"/>
      <x:c r="I481" s="19"/>
    </x:row>
    <x:row r="482">
      <x:c r="A482" s="19"/>
      <x:c r="B482" s="19"/>
      <x:c r="C482" s="19"/>
      <x:c r="D482" s="19"/>
      <x:c r="E482" s="26"/>
      <x:c r="F482" s="26"/>
      <x:c r="G482" s="19"/>
      <x:c r="H482" s="25"/>
      <x:c r="I482" s="19"/>
    </x:row>
    <x:row r="483">
      <x:c r="A483" s="19"/>
      <x:c r="B483" s="19"/>
      <x:c r="C483" s="19"/>
      <x:c r="D483" s="19"/>
      <x:c r="E483" s="26"/>
      <x:c r="F483" s="26"/>
      <x:c r="G483" s="19"/>
      <x:c r="H483" s="25"/>
      <x:c r="I483" s="19"/>
    </x:row>
    <x:row r="484">
      <x:c r="A484" s="19"/>
      <x:c r="B484" s="19"/>
      <x:c r="C484" s="19"/>
      <x:c r="D484" s="19"/>
      <x:c r="E484" s="26"/>
      <x:c r="F484" s="26"/>
      <x:c r="G484" s="19"/>
      <x:c r="H484" s="25"/>
      <x:c r="I484" s="19"/>
    </x:row>
    <x:row r="485">
      <x:c r="A485" s="19"/>
      <x:c r="B485" s="19"/>
      <x:c r="C485" s="19"/>
      <x:c r="D485" s="19"/>
      <x:c r="E485" s="26"/>
      <x:c r="F485" s="26"/>
      <x:c r="G485" s="19"/>
      <x:c r="H485" s="25"/>
      <x:c r="I485" s="19"/>
    </x:row>
    <x:row r="486">
      <x:c r="A486" s="19"/>
      <x:c r="B486" s="19"/>
      <x:c r="C486" s="19"/>
      <x:c r="D486" s="19"/>
      <x:c r="E486" s="26"/>
      <x:c r="F486" s="26"/>
      <x:c r="G486" s="19"/>
      <x:c r="H486" s="25"/>
      <x:c r="I486" s="19"/>
    </x:row>
    <x:row r="487">
      <x:c r="A487" s="19"/>
      <x:c r="B487" s="19"/>
      <x:c r="C487" s="19"/>
      <x:c r="D487" s="19"/>
      <x:c r="E487" s="26"/>
      <x:c r="F487" s="26"/>
      <x:c r="G487" s="19"/>
      <x:c r="H487" s="25"/>
      <x:c r="I487" s="19"/>
    </x:row>
    <x:row r="488">
      <x:c r="A488" s="19"/>
      <x:c r="B488" s="19"/>
      <x:c r="C488" s="19"/>
      <x:c r="D488" s="19"/>
      <x:c r="E488" s="26"/>
      <x:c r="F488" s="26"/>
      <x:c r="G488" s="19"/>
      <x:c r="H488" s="25"/>
      <x:c r="I488" s="19"/>
    </x:row>
    <x:row r="489">
      <x:c r="A489" s="19"/>
      <x:c r="B489" s="19"/>
      <x:c r="C489" s="19"/>
      <x:c r="D489" s="19"/>
      <x:c r="E489" s="26"/>
      <x:c r="F489" s="26"/>
      <x:c r="G489" s="19"/>
      <x:c r="H489" s="25"/>
      <x:c r="I489" s="19"/>
    </x:row>
    <x:row r="490">
      <x:c r="A490" s="19"/>
      <x:c r="B490" s="19"/>
      <x:c r="C490" s="19"/>
      <x:c r="D490" s="19"/>
      <x:c r="E490" s="26"/>
      <x:c r="F490" s="26"/>
      <x:c r="G490" s="19"/>
      <x:c r="H490" s="25"/>
      <x:c r="I490" s="19"/>
    </x:row>
    <x:row r="491">
      <x:c r="A491" s="19"/>
      <x:c r="B491" s="19"/>
      <x:c r="C491" s="19"/>
      <x:c r="D491" s="19"/>
      <x:c r="E491" s="26"/>
      <x:c r="F491" s="26"/>
      <x:c r="G491" s="19"/>
      <x:c r="H491" s="25"/>
      <x:c r="I491" s="19"/>
    </x:row>
    <x:row r="492">
      <x:c r="A492" s="19"/>
      <x:c r="B492" s="19"/>
      <x:c r="C492" s="19"/>
      <x:c r="D492" s="19"/>
      <x:c r="E492" s="26"/>
      <x:c r="F492" s="26"/>
      <x:c r="G492" s="19"/>
      <x:c r="H492" s="25"/>
      <x:c r="I492" s="19"/>
    </x:row>
    <x:row r="493">
      <x:c r="A493" s="19"/>
      <x:c r="B493" s="19"/>
      <x:c r="C493" s="19"/>
      <x:c r="D493" s="19"/>
      <x:c r="E493" s="26"/>
      <x:c r="F493" s="26"/>
      <x:c r="G493" s="19"/>
      <x:c r="H493" s="25"/>
      <x:c r="I493" s="19"/>
    </x:row>
    <x:row r="494">
      <x:c r="A494" s="19"/>
      <x:c r="B494" s="19"/>
      <x:c r="C494" s="19"/>
      <x:c r="D494" s="19"/>
      <x:c r="E494" s="26"/>
      <x:c r="F494" s="26"/>
      <x:c r="G494" s="19"/>
      <x:c r="H494" s="25"/>
      <x:c r="I494" s="19"/>
    </x:row>
    <x:row r="495">
      <x:c r="A495" s="19"/>
      <x:c r="B495" s="19"/>
      <x:c r="C495" s="19"/>
      <x:c r="D495" s="19"/>
      <x:c r="E495" s="26"/>
      <x:c r="F495" s="26"/>
      <x:c r="G495" s="19"/>
      <x:c r="H495" s="25"/>
      <x:c r="I495" s="19"/>
    </x:row>
    <x:row r="496">
      <x:c r="A496" s="19"/>
      <x:c r="B496" s="19"/>
      <x:c r="C496" s="19"/>
      <x:c r="D496" s="19"/>
      <x:c r="E496" s="26"/>
      <x:c r="F496" s="26"/>
      <x:c r="G496" s="19"/>
      <x:c r="H496" s="25"/>
      <x:c r="I496" s="19"/>
    </x:row>
    <x:row r="497">
      <x:c r="A497" s="19"/>
      <x:c r="B497" s="19"/>
      <x:c r="C497" s="19"/>
      <x:c r="D497" s="19"/>
      <x:c r="E497" s="26"/>
      <x:c r="F497" s="26"/>
      <x:c r="G497" s="19"/>
      <x:c r="H497" s="25"/>
      <x:c r="I497" s="19"/>
    </x:row>
    <x:row r="498">
      <x:c r="A498" s="19"/>
      <x:c r="B498" s="19"/>
      <x:c r="C498" s="19"/>
      <x:c r="D498" s="19"/>
      <x:c r="E498" s="26"/>
      <x:c r="F498" s="26"/>
      <x:c r="G498" s="19"/>
      <x:c r="H498" s="25"/>
      <x:c r="I498" s="19"/>
    </x:row>
    <x:row r="499">
      <x:c r="A499" s="19"/>
      <x:c r="B499" s="19"/>
      <x:c r="C499" s="19"/>
      <x:c r="D499" s="19"/>
      <x:c r="E499" s="26"/>
      <x:c r="F499" s="26"/>
      <x:c r="G499" s="19"/>
      <x:c r="H499" s="25"/>
      <x:c r="I499" s="19"/>
    </x:row>
    <x:row r="500">
      <x:c r="A500" s="19"/>
      <x:c r="B500" s="19"/>
      <x:c r="C500" s="19"/>
      <x:c r="D500" s="19"/>
      <x:c r="E500" s="26"/>
      <x:c r="F500" s="26"/>
      <x:c r="G500" s="19"/>
      <x:c r="H500" s="25"/>
      <x:c r="I500" s="19"/>
    </x:row>
  </x:sheetData>
  <x:conditionalFormatting sqref="B2:B500">
    <x:cfRule type="expression" dxfId="225" priority="1">
      <x:formula>AND($A2&lt;&gt;"",B2="")</x:formula>
    </x:cfRule>
  </x:conditionalFormatting>
  <x:conditionalFormatting sqref="G2:G500">
    <x:cfRule type="expression" dxfId="226" priority="2">
      <x:formula>AND($A2&lt;&gt;"",G2="")</x:formula>
    </x:cfRule>
  </x:conditionalFormatting>
  <x:dataValidations count="1">
    <x:dataValidation type="list" sqref="G2:G500">
      <x:formula1>"pending,ready,shipped,delivered,returned,cancelled"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e8678a6863473c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6" hidden="0" customWidth="1"/>
    <x:col min="4" max="4" width="10" hidden="0" customWidth="1"/>
    <x:col min="5" max="5" width="10" hidden="0" customWidth="1"/>
  </x:cols>
  <x:sheetData>
    <x:row r="1" ht="46" customHeight="1">
      <x:c r="A1" s="12" t="str">
        <x:v>کد دلیل *
(reason_code)</x:v>
      </x:c>
      <x:c r="B1" s="13" t="str">
        <x:v>عنوان فارسی *
(label_fa)</x:v>
      </x:c>
      <x:c r="C1" s="13" t="str">
        <x:v>گروه *
(category)</x:v>
      </x:c>
      <x:c r="D1" s="13" t="str">
        <x:v>فعال *
(active)</x:v>
      </x:c>
      <x:c r="E1" s="14" t="str">
        <x:v>ترتیب *
(sort_order)</x:v>
      </x:c>
    </x:row>
    <x:row r="2">
      <x:c r="A2" s="28" t="str">
        <x:v>price_high</x:v>
      </x:c>
      <x:c r="B2" s="29" t="str">
        <x:v>قیمت بالاتر از انتظار</x:v>
      </x:c>
      <x:c r="C2" s="29" t="str">
        <x:v>price</x:v>
      </x:c>
      <x:c r="D2" s="66" t="b">
        <x:v>1</x:v>
      </x:c>
      <x:c r="E2" s="75" t="n">
        <x:v>1</x:v>
      </x:c>
    </x:row>
    <x:row r="3">
      <x:c r="A3" s="37" t="str">
        <x:v>competitor</x:v>
      </x:c>
      <x:c r="B3" s="38" t="str">
        <x:v>انتخاب رقیب</x:v>
      </x:c>
      <x:c r="C3" s="38" t="str">
        <x:v>competitor</x:v>
      </x:c>
      <x:c r="D3" s="67" t="b">
        <x:v>1</x:v>
      </x:c>
      <x:c r="E3" s="82" t="n">
        <x:v>2</x:v>
      </x:c>
    </x:row>
    <x:row r="4">
      <x:c r="A4" s="37" t="str">
        <x:v>no_response</x:v>
      </x:c>
      <x:c r="B4" s="38" t="str">
        <x:v>عدم پاسخ مشتری</x:v>
      </x:c>
      <x:c r="C4" s="38" t="str">
        <x:v>no_response</x:v>
      </x:c>
      <x:c r="D4" s="67" t="b">
        <x:v>1</x:v>
      </x:c>
      <x:c r="E4" s="82" t="n">
        <x:v>3</x:v>
      </x:c>
    </x:row>
    <x:row r="5">
      <x:c r="A5" s="37" t="str">
        <x:v>timing</x:v>
      </x:c>
      <x:c r="B5" s="38" t="str">
        <x:v>زمان خرید مناسب نبود</x:v>
      </x:c>
      <x:c r="C5" s="38" t="str">
        <x:v>timing</x:v>
      </x:c>
      <x:c r="D5" s="67" t="b">
        <x:v>1</x:v>
      </x:c>
      <x:c r="E5" s="82" t="n">
        <x:v>4</x:v>
      </x:c>
    </x:row>
    <x:row r="6">
      <x:c r="A6" s="37" t="str">
        <x:v>product_mismatch</x:v>
      </x:c>
      <x:c r="B6" s="38" t="str">
        <x:v>عدم تطابق محصول</x:v>
      </x:c>
      <x:c r="C6" s="38" t="str">
        <x:v>product</x:v>
      </x:c>
      <x:c r="D6" s="67" t="b">
        <x:v>1</x:v>
      </x:c>
      <x:c r="E6" s="82" t="n">
        <x:v>5</x:v>
      </x:c>
    </x:row>
    <x:row r="7">
      <x:c r="A7" s="37" t="str">
        <x:v>trust</x:v>
      </x:c>
      <x:c r="B7" s="38" t="str">
        <x:v>اعتماد ناکافی</x:v>
      </x:c>
      <x:c r="C7" s="38" t="str">
        <x:v>trust</x:v>
      </x:c>
      <x:c r="D7" s="67" t="b">
        <x:v>1</x:v>
      </x:c>
      <x:c r="E7" s="82" t="n">
        <x:v>6</x:v>
      </x:c>
    </x:row>
    <x:row r="8">
      <x:c r="A8" s="46" t="str">
        <x:v>other</x:v>
      </x:c>
      <x:c r="B8" s="47" t="str">
        <x:v>سایر</x:v>
      </x:c>
      <x:c r="C8" s="47" t="str">
        <x:v>other</x:v>
      </x:c>
      <x:c r="D8" s="68" t="b">
        <x:v>1</x:v>
      </x:c>
      <x:c r="E8" s="77" t="n">
        <x:v>99</x:v>
      </x:c>
    </x:row>
    <x:row r="9">
      <x:c r="A9" s="19"/>
      <x:c r="B9" s="19"/>
      <x:c r="C9" s="19"/>
      <x:c r="D9" s="19"/>
      <x:c r="E9" s="27"/>
    </x:row>
    <x:row r="10">
      <x:c r="A10" s="19"/>
      <x:c r="B10" s="19"/>
      <x:c r="C10" s="19"/>
      <x:c r="D10" s="19"/>
      <x:c r="E10" s="27"/>
    </x:row>
    <x:row r="11">
      <x:c r="A11" s="19"/>
      <x:c r="B11" s="19"/>
      <x:c r="C11" s="19"/>
      <x:c r="D11" s="19"/>
      <x:c r="E11" s="27"/>
    </x:row>
    <x:row r="12">
      <x:c r="A12" s="19"/>
      <x:c r="B12" s="19"/>
      <x:c r="C12" s="19"/>
      <x:c r="D12" s="19"/>
      <x:c r="E12" s="27"/>
    </x:row>
    <x:row r="13">
      <x:c r="A13" s="19"/>
      <x:c r="B13" s="19"/>
      <x:c r="C13" s="19"/>
      <x:c r="D13" s="19"/>
      <x:c r="E13" s="27"/>
    </x:row>
    <x:row r="14">
      <x:c r="A14" s="19"/>
      <x:c r="B14" s="19"/>
      <x:c r="C14" s="19"/>
      <x:c r="D14" s="19"/>
      <x:c r="E14" s="27"/>
    </x:row>
    <x:row r="15">
      <x:c r="A15" s="19"/>
      <x:c r="B15" s="19"/>
      <x:c r="C15" s="19"/>
      <x:c r="D15" s="19"/>
      <x:c r="E15" s="27"/>
    </x:row>
    <x:row r="16">
      <x:c r="A16" s="19"/>
      <x:c r="B16" s="19"/>
      <x:c r="C16" s="19"/>
      <x:c r="D16" s="19"/>
      <x:c r="E16" s="27"/>
    </x:row>
    <x:row r="17">
      <x:c r="A17" s="19"/>
      <x:c r="B17" s="19"/>
      <x:c r="C17" s="19"/>
      <x:c r="D17" s="19"/>
      <x:c r="E17" s="27"/>
    </x:row>
    <x:row r="18">
      <x:c r="A18" s="19"/>
      <x:c r="B18" s="19"/>
      <x:c r="C18" s="19"/>
      <x:c r="D18" s="19"/>
      <x:c r="E18" s="27"/>
    </x:row>
    <x:row r="19">
      <x:c r="A19" s="19"/>
      <x:c r="B19" s="19"/>
      <x:c r="C19" s="19"/>
      <x:c r="D19" s="19"/>
      <x:c r="E19" s="27"/>
    </x:row>
    <x:row r="20">
      <x:c r="A20" s="19"/>
      <x:c r="B20" s="19"/>
      <x:c r="C20" s="19"/>
      <x:c r="D20" s="19"/>
      <x:c r="E20" s="27"/>
    </x:row>
    <x:row r="21">
      <x:c r="A21" s="19"/>
      <x:c r="B21" s="19"/>
      <x:c r="C21" s="19"/>
      <x:c r="D21" s="19"/>
      <x:c r="E21" s="27"/>
    </x:row>
    <x:row r="22">
      <x:c r="A22" s="19"/>
      <x:c r="B22" s="19"/>
      <x:c r="C22" s="19"/>
      <x:c r="D22" s="19"/>
      <x:c r="E22" s="27"/>
    </x:row>
    <x:row r="23">
      <x:c r="A23" s="19"/>
      <x:c r="B23" s="19"/>
      <x:c r="C23" s="19"/>
      <x:c r="D23" s="19"/>
      <x:c r="E23" s="27"/>
    </x:row>
    <x:row r="24">
      <x:c r="A24" s="19"/>
      <x:c r="B24" s="19"/>
      <x:c r="C24" s="19"/>
      <x:c r="D24" s="19"/>
      <x:c r="E24" s="27"/>
    </x:row>
    <x:row r="25">
      <x:c r="A25" s="19"/>
      <x:c r="B25" s="19"/>
      <x:c r="C25" s="19"/>
      <x:c r="D25" s="19"/>
      <x:c r="E25" s="27"/>
    </x:row>
    <x:row r="26">
      <x:c r="A26" s="19"/>
      <x:c r="B26" s="19"/>
      <x:c r="C26" s="19"/>
      <x:c r="D26" s="19"/>
      <x:c r="E26" s="27"/>
    </x:row>
    <x:row r="27">
      <x:c r="A27" s="19"/>
      <x:c r="B27" s="19"/>
      <x:c r="C27" s="19"/>
      <x:c r="D27" s="19"/>
      <x:c r="E27" s="27"/>
    </x:row>
    <x:row r="28">
      <x:c r="A28" s="19"/>
      <x:c r="B28" s="19"/>
      <x:c r="C28" s="19"/>
      <x:c r="D28" s="19"/>
      <x:c r="E28" s="27"/>
    </x:row>
    <x:row r="29">
      <x:c r="A29" s="19"/>
      <x:c r="B29" s="19"/>
      <x:c r="C29" s="19"/>
      <x:c r="D29" s="19"/>
      <x:c r="E29" s="27"/>
    </x:row>
    <x:row r="30">
      <x:c r="A30" s="19"/>
      <x:c r="B30" s="19"/>
      <x:c r="C30" s="19"/>
      <x:c r="D30" s="19"/>
      <x:c r="E30" s="27"/>
    </x:row>
    <x:row r="31">
      <x:c r="A31" s="19"/>
      <x:c r="B31" s="19"/>
      <x:c r="C31" s="19"/>
      <x:c r="D31" s="19"/>
      <x:c r="E31" s="27"/>
    </x:row>
    <x:row r="32">
      <x:c r="A32" s="19"/>
      <x:c r="B32" s="19"/>
      <x:c r="C32" s="19"/>
      <x:c r="D32" s="19"/>
      <x:c r="E32" s="27"/>
    </x:row>
    <x:row r="33">
      <x:c r="A33" s="19"/>
      <x:c r="B33" s="19"/>
      <x:c r="C33" s="19"/>
      <x:c r="D33" s="19"/>
      <x:c r="E33" s="27"/>
    </x:row>
    <x:row r="34">
      <x:c r="A34" s="19"/>
      <x:c r="B34" s="19"/>
      <x:c r="C34" s="19"/>
      <x:c r="D34" s="19"/>
      <x:c r="E34" s="27"/>
    </x:row>
    <x:row r="35">
      <x:c r="A35" s="19"/>
      <x:c r="B35" s="19"/>
      <x:c r="C35" s="19"/>
      <x:c r="D35" s="19"/>
      <x:c r="E35" s="27"/>
    </x:row>
    <x:row r="36">
      <x:c r="A36" s="19"/>
      <x:c r="B36" s="19"/>
      <x:c r="C36" s="19"/>
      <x:c r="D36" s="19"/>
      <x:c r="E36" s="27"/>
    </x:row>
    <x:row r="37">
      <x:c r="A37" s="19"/>
      <x:c r="B37" s="19"/>
      <x:c r="C37" s="19"/>
      <x:c r="D37" s="19"/>
      <x:c r="E37" s="27"/>
    </x:row>
    <x:row r="38">
      <x:c r="A38" s="19"/>
      <x:c r="B38" s="19"/>
      <x:c r="C38" s="19"/>
      <x:c r="D38" s="19"/>
      <x:c r="E38" s="27"/>
    </x:row>
    <x:row r="39">
      <x:c r="A39" s="19"/>
      <x:c r="B39" s="19"/>
      <x:c r="C39" s="19"/>
      <x:c r="D39" s="19"/>
      <x:c r="E39" s="27"/>
    </x:row>
    <x:row r="40">
      <x:c r="A40" s="19"/>
      <x:c r="B40" s="19"/>
      <x:c r="C40" s="19"/>
      <x:c r="D40" s="19"/>
      <x:c r="E40" s="27"/>
    </x:row>
    <x:row r="41">
      <x:c r="A41" s="19"/>
      <x:c r="B41" s="19"/>
      <x:c r="C41" s="19"/>
      <x:c r="D41" s="19"/>
      <x:c r="E41" s="27"/>
    </x:row>
    <x:row r="42">
      <x:c r="A42" s="19"/>
      <x:c r="B42" s="19"/>
      <x:c r="C42" s="19"/>
      <x:c r="D42" s="19"/>
      <x:c r="E42" s="27"/>
    </x:row>
    <x:row r="43">
      <x:c r="A43" s="19"/>
      <x:c r="B43" s="19"/>
      <x:c r="C43" s="19"/>
      <x:c r="D43" s="19"/>
      <x:c r="E43" s="27"/>
    </x:row>
    <x:row r="44">
      <x:c r="A44" s="19"/>
      <x:c r="B44" s="19"/>
      <x:c r="C44" s="19"/>
      <x:c r="D44" s="19"/>
      <x:c r="E44" s="27"/>
    </x:row>
    <x:row r="45">
      <x:c r="A45" s="19"/>
      <x:c r="B45" s="19"/>
      <x:c r="C45" s="19"/>
      <x:c r="D45" s="19"/>
      <x:c r="E45" s="27"/>
    </x:row>
    <x:row r="46">
      <x:c r="A46" s="19"/>
      <x:c r="B46" s="19"/>
      <x:c r="C46" s="19"/>
      <x:c r="D46" s="19"/>
      <x:c r="E46" s="27"/>
    </x:row>
    <x:row r="47">
      <x:c r="A47" s="19"/>
      <x:c r="B47" s="19"/>
      <x:c r="C47" s="19"/>
      <x:c r="D47" s="19"/>
      <x:c r="E47" s="27"/>
    </x:row>
    <x:row r="48">
      <x:c r="A48" s="19"/>
      <x:c r="B48" s="19"/>
      <x:c r="C48" s="19"/>
      <x:c r="D48" s="19"/>
      <x:c r="E48" s="27"/>
    </x:row>
    <x:row r="49">
      <x:c r="A49" s="19"/>
      <x:c r="B49" s="19"/>
      <x:c r="C49" s="19"/>
      <x:c r="D49" s="19"/>
      <x:c r="E49" s="27"/>
    </x:row>
    <x:row r="50">
      <x:c r="A50" s="19"/>
      <x:c r="B50" s="19"/>
      <x:c r="C50" s="19"/>
      <x:c r="D50" s="19"/>
      <x:c r="E50" s="27"/>
    </x:row>
    <x:row r="51">
      <x:c r="A51" s="19"/>
      <x:c r="B51" s="19"/>
      <x:c r="C51" s="19"/>
      <x:c r="D51" s="19"/>
      <x:c r="E51" s="27"/>
    </x:row>
    <x:row r="52">
      <x:c r="A52" s="19"/>
      <x:c r="B52" s="19"/>
      <x:c r="C52" s="19"/>
      <x:c r="D52" s="19"/>
      <x:c r="E52" s="27"/>
    </x:row>
    <x:row r="53">
      <x:c r="A53" s="19"/>
      <x:c r="B53" s="19"/>
      <x:c r="C53" s="19"/>
      <x:c r="D53" s="19"/>
      <x:c r="E53" s="27"/>
    </x:row>
    <x:row r="54">
      <x:c r="A54" s="19"/>
      <x:c r="B54" s="19"/>
      <x:c r="C54" s="19"/>
      <x:c r="D54" s="19"/>
      <x:c r="E54" s="27"/>
    </x:row>
    <x:row r="55">
      <x:c r="A55" s="19"/>
      <x:c r="B55" s="19"/>
      <x:c r="C55" s="19"/>
      <x:c r="D55" s="19"/>
      <x:c r="E55" s="27"/>
    </x:row>
    <x:row r="56">
      <x:c r="A56" s="19"/>
      <x:c r="B56" s="19"/>
      <x:c r="C56" s="19"/>
      <x:c r="D56" s="19"/>
      <x:c r="E56" s="27"/>
    </x:row>
    <x:row r="57">
      <x:c r="A57" s="19"/>
      <x:c r="B57" s="19"/>
      <x:c r="C57" s="19"/>
      <x:c r="D57" s="19"/>
      <x:c r="E57" s="27"/>
    </x:row>
    <x:row r="58">
      <x:c r="A58" s="19"/>
      <x:c r="B58" s="19"/>
      <x:c r="C58" s="19"/>
      <x:c r="D58" s="19"/>
      <x:c r="E58" s="27"/>
    </x:row>
    <x:row r="59">
      <x:c r="A59" s="19"/>
      <x:c r="B59" s="19"/>
      <x:c r="C59" s="19"/>
      <x:c r="D59" s="19"/>
      <x:c r="E59" s="27"/>
    </x:row>
    <x:row r="60">
      <x:c r="A60" s="19"/>
      <x:c r="B60" s="19"/>
      <x:c r="C60" s="19"/>
      <x:c r="D60" s="19"/>
      <x:c r="E60" s="27"/>
    </x:row>
    <x:row r="61">
      <x:c r="A61" s="19"/>
      <x:c r="B61" s="19"/>
      <x:c r="C61" s="19"/>
      <x:c r="D61" s="19"/>
      <x:c r="E61" s="27"/>
    </x:row>
    <x:row r="62">
      <x:c r="A62" s="19"/>
      <x:c r="B62" s="19"/>
      <x:c r="C62" s="19"/>
      <x:c r="D62" s="19"/>
      <x:c r="E62" s="27"/>
    </x:row>
    <x:row r="63">
      <x:c r="A63" s="19"/>
      <x:c r="B63" s="19"/>
      <x:c r="C63" s="19"/>
      <x:c r="D63" s="19"/>
      <x:c r="E63" s="27"/>
    </x:row>
    <x:row r="64">
      <x:c r="A64" s="19"/>
      <x:c r="B64" s="19"/>
      <x:c r="C64" s="19"/>
      <x:c r="D64" s="19"/>
      <x:c r="E64" s="27"/>
    </x:row>
    <x:row r="65">
      <x:c r="A65" s="19"/>
      <x:c r="B65" s="19"/>
      <x:c r="C65" s="19"/>
      <x:c r="D65" s="19"/>
      <x:c r="E65" s="27"/>
    </x:row>
    <x:row r="66">
      <x:c r="A66" s="19"/>
      <x:c r="B66" s="19"/>
      <x:c r="C66" s="19"/>
      <x:c r="D66" s="19"/>
      <x:c r="E66" s="27"/>
    </x:row>
    <x:row r="67">
      <x:c r="A67" s="19"/>
      <x:c r="B67" s="19"/>
      <x:c r="C67" s="19"/>
      <x:c r="D67" s="19"/>
      <x:c r="E67" s="27"/>
    </x:row>
    <x:row r="68">
      <x:c r="A68" s="19"/>
      <x:c r="B68" s="19"/>
      <x:c r="C68" s="19"/>
      <x:c r="D68" s="19"/>
      <x:c r="E68" s="27"/>
    </x:row>
    <x:row r="69">
      <x:c r="A69" s="19"/>
      <x:c r="B69" s="19"/>
      <x:c r="C69" s="19"/>
      <x:c r="D69" s="19"/>
      <x:c r="E69" s="27"/>
    </x:row>
    <x:row r="70">
      <x:c r="A70" s="19"/>
      <x:c r="B70" s="19"/>
      <x:c r="C70" s="19"/>
      <x:c r="D70" s="19"/>
      <x:c r="E70" s="27"/>
    </x:row>
    <x:row r="71">
      <x:c r="A71" s="19"/>
      <x:c r="B71" s="19"/>
      <x:c r="C71" s="19"/>
      <x:c r="D71" s="19"/>
      <x:c r="E71" s="27"/>
    </x:row>
    <x:row r="72">
      <x:c r="A72" s="19"/>
      <x:c r="B72" s="19"/>
      <x:c r="C72" s="19"/>
      <x:c r="D72" s="19"/>
      <x:c r="E72" s="27"/>
    </x:row>
    <x:row r="73">
      <x:c r="A73" s="19"/>
      <x:c r="B73" s="19"/>
      <x:c r="C73" s="19"/>
      <x:c r="D73" s="19"/>
      <x:c r="E73" s="27"/>
    </x:row>
    <x:row r="74">
      <x:c r="A74" s="19"/>
      <x:c r="B74" s="19"/>
      <x:c r="C74" s="19"/>
      <x:c r="D74" s="19"/>
      <x:c r="E74" s="27"/>
    </x:row>
    <x:row r="75">
      <x:c r="A75" s="19"/>
      <x:c r="B75" s="19"/>
      <x:c r="C75" s="19"/>
      <x:c r="D75" s="19"/>
      <x:c r="E75" s="27"/>
    </x:row>
    <x:row r="76">
      <x:c r="A76" s="19"/>
      <x:c r="B76" s="19"/>
      <x:c r="C76" s="19"/>
      <x:c r="D76" s="19"/>
      <x:c r="E76" s="27"/>
    </x:row>
    <x:row r="77">
      <x:c r="A77" s="19"/>
      <x:c r="B77" s="19"/>
      <x:c r="C77" s="19"/>
      <x:c r="D77" s="19"/>
      <x:c r="E77" s="27"/>
    </x:row>
    <x:row r="78">
      <x:c r="A78" s="19"/>
      <x:c r="B78" s="19"/>
      <x:c r="C78" s="19"/>
      <x:c r="D78" s="19"/>
      <x:c r="E78" s="27"/>
    </x:row>
    <x:row r="79">
      <x:c r="A79" s="19"/>
      <x:c r="B79" s="19"/>
      <x:c r="C79" s="19"/>
      <x:c r="D79" s="19"/>
      <x:c r="E79" s="27"/>
    </x:row>
    <x:row r="80">
      <x:c r="A80" s="19"/>
      <x:c r="B80" s="19"/>
      <x:c r="C80" s="19"/>
      <x:c r="D80" s="19"/>
      <x:c r="E80" s="27"/>
    </x:row>
    <x:row r="81">
      <x:c r="A81" s="19"/>
      <x:c r="B81" s="19"/>
      <x:c r="C81" s="19"/>
      <x:c r="D81" s="19"/>
      <x:c r="E81" s="27"/>
    </x:row>
    <x:row r="82">
      <x:c r="A82" s="19"/>
      <x:c r="B82" s="19"/>
      <x:c r="C82" s="19"/>
      <x:c r="D82" s="19"/>
      <x:c r="E82" s="27"/>
    </x:row>
    <x:row r="83">
      <x:c r="A83" s="19"/>
      <x:c r="B83" s="19"/>
      <x:c r="C83" s="19"/>
      <x:c r="D83" s="19"/>
      <x:c r="E83" s="27"/>
    </x:row>
    <x:row r="84">
      <x:c r="A84" s="19"/>
      <x:c r="B84" s="19"/>
      <x:c r="C84" s="19"/>
      <x:c r="D84" s="19"/>
      <x:c r="E84" s="27"/>
    </x:row>
    <x:row r="85">
      <x:c r="A85" s="19"/>
      <x:c r="B85" s="19"/>
      <x:c r="C85" s="19"/>
      <x:c r="D85" s="19"/>
      <x:c r="E85" s="27"/>
    </x:row>
    <x:row r="86">
      <x:c r="A86" s="19"/>
      <x:c r="B86" s="19"/>
      <x:c r="C86" s="19"/>
      <x:c r="D86" s="19"/>
      <x:c r="E86" s="27"/>
    </x:row>
    <x:row r="87">
      <x:c r="A87" s="19"/>
      <x:c r="B87" s="19"/>
      <x:c r="C87" s="19"/>
      <x:c r="D87" s="19"/>
      <x:c r="E87" s="27"/>
    </x:row>
    <x:row r="88">
      <x:c r="A88" s="19"/>
      <x:c r="B88" s="19"/>
      <x:c r="C88" s="19"/>
      <x:c r="D88" s="19"/>
      <x:c r="E88" s="27"/>
    </x:row>
    <x:row r="89">
      <x:c r="A89" s="19"/>
      <x:c r="B89" s="19"/>
      <x:c r="C89" s="19"/>
      <x:c r="D89" s="19"/>
      <x:c r="E89" s="27"/>
    </x:row>
    <x:row r="90">
      <x:c r="A90" s="19"/>
      <x:c r="B90" s="19"/>
      <x:c r="C90" s="19"/>
      <x:c r="D90" s="19"/>
      <x:c r="E90" s="27"/>
    </x:row>
    <x:row r="91">
      <x:c r="A91" s="19"/>
      <x:c r="B91" s="19"/>
      <x:c r="C91" s="19"/>
      <x:c r="D91" s="19"/>
      <x:c r="E91" s="27"/>
    </x:row>
    <x:row r="92">
      <x:c r="A92" s="19"/>
      <x:c r="B92" s="19"/>
      <x:c r="C92" s="19"/>
      <x:c r="D92" s="19"/>
      <x:c r="E92" s="27"/>
    </x:row>
    <x:row r="93">
      <x:c r="A93" s="19"/>
      <x:c r="B93" s="19"/>
      <x:c r="C93" s="19"/>
      <x:c r="D93" s="19"/>
      <x:c r="E93" s="27"/>
    </x:row>
    <x:row r="94">
      <x:c r="A94" s="19"/>
      <x:c r="B94" s="19"/>
      <x:c r="C94" s="19"/>
      <x:c r="D94" s="19"/>
      <x:c r="E94" s="27"/>
    </x:row>
    <x:row r="95">
      <x:c r="A95" s="19"/>
      <x:c r="B95" s="19"/>
      <x:c r="C95" s="19"/>
      <x:c r="D95" s="19"/>
      <x:c r="E95" s="27"/>
    </x:row>
    <x:row r="96">
      <x:c r="A96" s="19"/>
      <x:c r="B96" s="19"/>
      <x:c r="C96" s="19"/>
      <x:c r="D96" s="19"/>
      <x:c r="E96" s="27"/>
    </x:row>
    <x:row r="97">
      <x:c r="A97" s="19"/>
      <x:c r="B97" s="19"/>
      <x:c r="C97" s="19"/>
      <x:c r="D97" s="19"/>
      <x:c r="E97" s="27"/>
    </x:row>
    <x:row r="98">
      <x:c r="A98" s="19"/>
      <x:c r="B98" s="19"/>
      <x:c r="C98" s="19"/>
      <x:c r="D98" s="19"/>
      <x:c r="E98" s="27"/>
    </x:row>
    <x:row r="99">
      <x:c r="A99" s="19"/>
      <x:c r="B99" s="19"/>
      <x:c r="C99" s="19"/>
      <x:c r="D99" s="19"/>
      <x:c r="E99" s="27"/>
    </x:row>
    <x:row r="100">
      <x:c r="A100" s="19"/>
      <x:c r="B100" s="19"/>
      <x:c r="C100" s="19"/>
      <x:c r="D100" s="19"/>
      <x:c r="E100" s="27"/>
    </x:row>
    <x:row r="101">
      <x:c r="A101" s="19"/>
      <x:c r="B101" s="19"/>
      <x:c r="C101" s="19"/>
      <x:c r="D101" s="19"/>
      <x:c r="E101" s="27"/>
    </x:row>
    <x:row r="102">
      <x:c r="A102" s="19"/>
      <x:c r="B102" s="19"/>
      <x:c r="C102" s="19"/>
      <x:c r="D102" s="19"/>
      <x:c r="E102" s="27"/>
    </x:row>
    <x:row r="103">
      <x:c r="A103" s="19"/>
      <x:c r="B103" s="19"/>
      <x:c r="C103" s="19"/>
      <x:c r="D103" s="19"/>
      <x:c r="E103" s="27"/>
    </x:row>
    <x:row r="104">
      <x:c r="A104" s="19"/>
      <x:c r="B104" s="19"/>
      <x:c r="C104" s="19"/>
      <x:c r="D104" s="19"/>
      <x:c r="E104" s="27"/>
    </x:row>
    <x:row r="105">
      <x:c r="A105" s="19"/>
      <x:c r="B105" s="19"/>
      <x:c r="C105" s="19"/>
      <x:c r="D105" s="19"/>
      <x:c r="E105" s="27"/>
    </x:row>
    <x:row r="106">
      <x:c r="A106" s="19"/>
      <x:c r="B106" s="19"/>
      <x:c r="C106" s="19"/>
      <x:c r="D106" s="19"/>
      <x:c r="E106" s="27"/>
    </x:row>
    <x:row r="107">
      <x:c r="A107" s="19"/>
      <x:c r="B107" s="19"/>
      <x:c r="C107" s="19"/>
      <x:c r="D107" s="19"/>
      <x:c r="E107" s="27"/>
    </x:row>
    <x:row r="108">
      <x:c r="A108" s="19"/>
      <x:c r="B108" s="19"/>
      <x:c r="C108" s="19"/>
      <x:c r="D108" s="19"/>
      <x:c r="E108" s="27"/>
    </x:row>
    <x:row r="109">
      <x:c r="A109" s="19"/>
      <x:c r="B109" s="19"/>
      <x:c r="C109" s="19"/>
      <x:c r="D109" s="19"/>
      <x:c r="E109" s="27"/>
    </x:row>
    <x:row r="110">
      <x:c r="A110" s="19"/>
      <x:c r="B110" s="19"/>
      <x:c r="C110" s="19"/>
      <x:c r="D110" s="19"/>
      <x:c r="E110" s="27"/>
    </x:row>
    <x:row r="111">
      <x:c r="A111" s="19"/>
      <x:c r="B111" s="19"/>
      <x:c r="C111" s="19"/>
      <x:c r="D111" s="19"/>
      <x:c r="E111" s="27"/>
    </x:row>
    <x:row r="112">
      <x:c r="A112" s="19"/>
      <x:c r="B112" s="19"/>
      <x:c r="C112" s="19"/>
      <x:c r="D112" s="19"/>
      <x:c r="E112" s="27"/>
    </x:row>
    <x:row r="113">
      <x:c r="A113" s="19"/>
      <x:c r="B113" s="19"/>
      <x:c r="C113" s="19"/>
      <x:c r="D113" s="19"/>
      <x:c r="E113" s="27"/>
    </x:row>
    <x:row r="114">
      <x:c r="A114" s="19"/>
      <x:c r="B114" s="19"/>
      <x:c r="C114" s="19"/>
      <x:c r="D114" s="19"/>
      <x:c r="E114" s="27"/>
    </x:row>
    <x:row r="115">
      <x:c r="A115" s="19"/>
      <x:c r="B115" s="19"/>
      <x:c r="C115" s="19"/>
      <x:c r="D115" s="19"/>
      <x:c r="E115" s="27"/>
    </x:row>
    <x:row r="116">
      <x:c r="A116" s="19"/>
      <x:c r="B116" s="19"/>
      <x:c r="C116" s="19"/>
      <x:c r="D116" s="19"/>
      <x:c r="E116" s="27"/>
    </x:row>
    <x:row r="117">
      <x:c r="A117" s="19"/>
      <x:c r="B117" s="19"/>
      <x:c r="C117" s="19"/>
      <x:c r="D117" s="19"/>
      <x:c r="E117" s="27"/>
    </x:row>
    <x:row r="118">
      <x:c r="A118" s="19"/>
      <x:c r="B118" s="19"/>
      <x:c r="C118" s="19"/>
      <x:c r="D118" s="19"/>
      <x:c r="E118" s="27"/>
    </x:row>
    <x:row r="119">
      <x:c r="A119" s="19"/>
      <x:c r="B119" s="19"/>
      <x:c r="C119" s="19"/>
      <x:c r="D119" s="19"/>
      <x:c r="E119" s="27"/>
    </x:row>
    <x:row r="120">
      <x:c r="A120" s="19"/>
      <x:c r="B120" s="19"/>
      <x:c r="C120" s="19"/>
      <x:c r="D120" s="19"/>
      <x:c r="E120" s="27"/>
    </x:row>
    <x:row r="121">
      <x:c r="A121" s="19"/>
      <x:c r="B121" s="19"/>
      <x:c r="C121" s="19"/>
      <x:c r="D121" s="19"/>
      <x:c r="E121" s="27"/>
    </x:row>
    <x:row r="122">
      <x:c r="A122" s="19"/>
      <x:c r="B122" s="19"/>
      <x:c r="C122" s="19"/>
      <x:c r="D122" s="19"/>
      <x:c r="E122" s="27"/>
    </x:row>
    <x:row r="123">
      <x:c r="A123" s="19"/>
      <x:c r="B123" s="19"/>
      <x:c r="C123" s="19"/>
      <x:c r="D123" s="19"/>
      <x:c r="E123" s="27"/>
    </x:row>
    <x:row r="124">
      <x:c r="A124" s="19"/>
      <x:c r="B124" s="19"/>
      <x:c r="C124" s="19"/>
      <x:c r="D124" s="19"/>
      <x:c r="E124" s="27"/>
    </x:row>
    <x:row r="125">
      <x:c r="A125" s="19"/>
      <x:c r="B125" s="19"/>
      <x:c r="C125" s="19"/>
      <x:c r="D125" s="19"/>
      <x:c r="E125" s="27"/>
    </x:row>
    <x:row r="126">
      <x:c r="A126" s="19"/>
      <x:c r="B126" s="19"/>
      <x:c r="C126" s="19"/>
      <x:c r="D126" s="19"/>
      <x:c r="E126" s="27"/>
    </x:row>
    <x:row r="127">
      <x:c r="A127" s="19"/>
      <x:c r="B127" s="19"/>
      <x:c r="C127" s="19"/>
      <x:c r="D127" s="19"/>
      <x:c r="E127" s="27"/>
    </x:row>
    <x:row r="128">
      <x:c r="A128" s="19"/>
      <x:c r="B128" s="19"/>
      <x:c r="C128" s="19"/>
      <x:c r="D128" s="19"/>
      <x:c r="E128" s="27"/>
    </x:row>
    <x:row r="129">
      <x:c r="A129" s="19"/>
      <x:c r="B129" s="19"/>
      <x:c r="C129" s="19"/>
      <x:c r="D129" s="19"/>
      <x:c r="E129" s="27"/>
    </x:row>
    <x:row r="130">
      <x:c r="A130" s="19"/>
      <x:c r="B130" s="19"/>
      <x:c r="C130" s="19"/>
      <x:c r="D130" s="19"/>
      <x:c r="E130" s="27"/>
    </x:row>
    <x:row r="131">
      <x:c r="A131" s="19"/>
      <x:c r="B131" s="19"/>
      <x:c r="C131" s="19"/>
      <x:c r="D131" s="19"/>
      <x:c r="E131" s="27"/>
    </x:row>
    <x:row r="132">
      <x:c r="A132" s="19"/>
      <x:c r="B132" s="19"/>
      <x:c r="C132" s="19"/>
      <x:c r="D132" s="19"/>
      <x:c r="E132" s="27"/>
    </x:row>
    <x:row r="133">
      <x:c r="A133" s="19"/>
      <x:c r="B133" s="19"/>
      <x:c r="C133" s="19"/>
      <x:c r="D133" s="19"/>
      <x:c r="E133" s="27"/>
    </x:row>
    <x:row r="134">
      <x:c r="A134" s="19"/>
      <x:c r="B134" s="19"/>
      <x:c r="C134" s="19"/>
      <x:c r="D134" s="19"/>
      <x:c r="E134" s="27"/>
    </x:row>
    <x:row r="135">
      <x:c r="A135" s="19"/>
      <x:c r="B135" s="19"/>
      <x:c r="C135" s="19"/>
      <x:c r="D135" s="19"/>
      <x:c r="E135" s="27"/>
    </x:row>
    <x:row r="136">
      <x:c r="A136" s="19"/>
      <x:c r="B136" s="19"/>
      <x:c r="C136" s="19"/>
      <x:c r="D136" s="19"/>
      <x:c r="E136" s="27"/>
    </x:row>
    <x:row r="137">
      <x:c r="A137" s="19"/>
      <x:c r="B137" s="19"/>
      <x:c r="C137" s="19"/>
      <x:c r="D137" s="19"/>
      <x:c r="E137" s="27"/>
    </x:row>
    <x:row r="138">
      <x:c r="A138" s="19"/>
      <x:c r="B138" s="19"/>
      <x:c r="C138" s="19"/>
      <x:c r="D138" s="19"/>
      <x:c r="E138" s="27"/>
    </x:row>
    <x:row r="139">
      <x:c r="A139" s="19"/>
      <x:c r="B139" s="19"/>
      <x:c r="C139" s="19"/>
      <x:c r="D139" s="19"/>
      <x:c r="E139" s="27"/>
    </x:row>
    <x:row r="140">
      <x:c r="A140" s="19"/>
      <x:c r="B140" s="19"/>
      <x:c r="C140" s="19"/>
      <x:c r="D140" s="19"/>
      <x:c r="E140" s="27"/>
    </x:row>
    <x:row r="141">
      <x:c r="A141" s="19"/>
      <x:c r="B141" s="19"/>
      <x:c r="C141" s="19"/>
      <x:c r="D141" s="19"/>
      <x:c r="E141" s="27"/>
    </x:row>
    <x:row r="142">
      <x:c r="A142" s="19"/>
      <x:c r="B142" s="19"/>
      <x:c r="C142" s="19"/>
      <x:c r="D142" s="19"/>
      <x:c r="E142" s="27"/>
    </x:row>
    <x:row r="143">
      <x:c r="A143" s="19"/>
      <x:c r="B143" s="19"/>
      <x:c r="C143" s="19"/>
      <x:c r="D143" s="19"/>
      <x:c r="E143" s="27"/>
    </x:row>
    <x:row r="144">
      <x:c r="A144" s="19"/>
      <x:c r="B144" s="19"/>
      <x:c r="C144" s="19"/>
      <x:c r="D144" s="19"/>
      <x:c r="E144" s="27"/>
    </x:row>
    <x:row r="145">
      <x:c r="A145" s="19"/>
      <x:c r="B145" s="19"/>
      <x:c r="C145" s="19"/>
      <x:c r="D145" s="19"/>
      <x:c r="E145" s="27"/>
    </x:row>
    <x:row r="146">
      <x:c r="A146" s="19"/>
      <x:c r="B146" s="19"/>
      <x:c r="C146" s="19"/>
      <x:c r="D146" s="19"/>
      <x:c r="E146" s="27"/>
    </x:row>
    <x:row r="147">
      <x:c r="A147" s="19"/>
      <x:c r="B147" s="19"/>
      <x:c r="C147" s="19"/>
      <x:c r="D147" s="19"/>
      <x:c r="E147" s="27"/>
    </x:row>
    <x:row r="148">
      <x:c r="A148" s="19"/>
      <x:c r="B148" s="19"/>
      <x:c r="C148" s="19"/>
      <x:c r="D148" s="19"/>
      <x:c r="E148" s="27"/>
    </x:row>
    <x:row r="149">
      <x:c r="A149" s="19"/>
      <x:c r="B149" s="19"/>
      <x:c r="C149" s="19"/>
      <x:c r="D149" s="19"/>
      <x:c r="E149" s="27"/>
    </x:row>
    <x:row r="150">
      <x:c r="A150" s="19"/>
      <x:c r="B150" s="19"/>
      <x:c r="C150" s="19"/>
      <x:c r="D150" s="19"/>
      <x:c r="E150" s="27"/>
    </x:row>
    <x:row r="151">
      <x:c r="A151" s="19"/>
      <x:c r="B151" s="19"/>
      <x:c r="C151" s="19"/>
      <x:c r="D151" s="19"/>
      <x:c r="E151" s="27"/>
    </x:row>
    <x:row r="152">
      <x:c r="A152" s="19"/>
      <x:c r="B152" s="19"/>
      <x:c r="C152" s="19"/>
      <x:c r="D152" s="19"/>
      <x:c r="E152" s="27"/>
    </x:row>
    <x:row r="153">
      <x:c r="A153" s="19"/>
      <x:c r="B153" s="19"/>
      <x:c r="C153" s="19"/>
      <x:c r="D153" s="19"/>
      <x:c r="E153" s="27"/>
    </x:row>
    <x:row r="154">
      <x:c r="A154" s="19"/>
      <x:c r="B154" s="19"/>
      <x:c r="C154" s="19"/>
      <x:c r="D154" s="19"/>
      <x:c r="E154" s="27"/>
    </x:row>
    <x:row r="155">
      <x:c r="A155" s="19"/>
      <x:c r="B155" s="19"/>
      <x:c r="C155" s="19"/>
      <x:c r="D155" s="19"/>
      <x:c r="E155" s="27"/>
    </x:row>
    <x:row r="156">
      <x:c r="A156" s="19"/>
      <x:c r="B156" s="19"/>
      <x:c r="C156" s="19"/>
      <x:c r="D156" s="19"/>
      <x:c r="E156" s="27"/>
    </x:row>
    <x:row r="157">
      <x:c r="A157" s="19"/>
      <x:c r="B157" s="19"/>
      <x:c r="C157" s="19"/>
      <x:c r="D157" s="19"/>
      <x:c r="E157" s="27"/>
    </x:row>
    <x:row r="158">
      <x:c r="A158" s="19"/>
      <x:c r="B158" s="19"/>
      <x:c r="C158" s="19"/>
      <x:c r="D158" s="19"/>
      <x:c r="E158" s="27"/>
    </x:row>
    <x:row r="159">
      <x:c r="A159" s="19"/>
      <x:c r="B159" s="19"/>
      <x:c r="C159" s="19"/>
      <x:c r="D159" s="19"/>
      <x:c r="E159" s="27"/>
    </x:row>
    <x:row r="160">
      <x:c r="A160" s="19"/>
      <x:c r="B160" s="19"/>
      <x:c r="C160" s="19"/>
      <x:c r="D160" s="19"/>
      <x:c r="E160" s="27"/>
    </x:row>
    <x:row r="161">
      <x:c r="A161" s="19"/>
      <x:c r="B161" s="19"/>
      <x:c r="C161" s="19"/>
      <x:c r="D161" s="19"/>
      <x:c r="E161" s="27"/>
    </x:row>
    <x:row r="162">
      <x:c r="A162" s="19"/>
      <x:c r="B162" s="19"/>
      <x:c r="C162" s="19"/>
      <x:c r="D162" s="19"/>
      <x:c r="E162" s="27"/>
    </x:row>
    <x:row r="163">
      <x:c r="A163" s="19"/>
      <x:c r="B163" s="19"/>
      <x:c r="C163" s="19"/>
      <x:c r="D163" s="19"/>
      <x:c r="E163" s="27"/>
    </x:row>
    <x:row r="164">
      <x:c r="A164" s="19"/>
      <x:c r="B164" s="19"/>
      <x:c r="C164" s="19"/>
      <x:c r="D164" s="19"/>
      <x:c r="E164" s="27"/>
    </x:row>
    <x:row r="165">
      <x:c r="A165" s="19"/>
      <x:c r="B165" s="19"/>
      <x:c r="C165" s="19"/>
      <x:c r="D165" s="19"/>
      <x:c r="E165" s="27"/>
    </x:row>
    <x:row r="166">
      <x:c r="A166" s="19"/>
      <x:c r="B166" s="19"/>
      <x:c r="C166" s="19"/>
      <x:c r="D166" s="19"/>
      <x:c r="E166" s="27"/>
    </x:row>
    <x:row r="167">
      <x:c r="A167" s="19"/>
      <x:c r="B167" s="19"/>
      <x:c r="C167" s="19"/>
      <x:c r="D167" s="19"/>
      <x:c r="E167" s="27"/>
    </x:row>
    <x:row r="168">
      <x:c r="A168" s="19"/>
      <x:c r="B168" s="19"/>
      <x:c r="C168" s="19"/>
      <x:c r="D168" s="19"/>
      <x:c r="E168" s="27"/>
    </x:row>
    <x:row r="169">
      <x:c r="A169" s="19"/>
      <x:c r="B169" s="19"/>
      <x:c r="C169" s="19"/>
      <x:c r="D169" s="19"/>
      <x:c r="E169" s="27"/>
    </x:row>
    <x:row r="170">
      <x:c r="A170" s="19"/>
      <x:c r="B170" s="19"/>
      <x:c r="C170" s="19"/>
      <x:c r="D170" s="19"/>
      <x:c r="E170" s="27"/>
    </x:row>
    <x:row r="171">
      <x:c r="A171" s="19"/>
      <x:c r="B171" s="19"/>
      <x:c r="C171" s="19"/>
      <x:c r="D171" s="19"/>
      <x:c r="E171" s="27"/>
    </x:row>
    <x:row r="172">
      <x:c r="A172" s="19"/>
      <x:c r="B172" s="19"/>
      <x:c r="C172" s="19"/>
      <x:c r="D172" s="19"/>
      <x:c r="E172" s="27"/>
    </x:row>
    <x:row r="173">
      <x:c r="A173" s="19"/>
      <x:c r="B173" s="19"/>
      <x:c r="C173" s="19"/>
      <x:c r="D173" s="19"/>
      <x:c r="E173" s="27"/>
    </x:row>
    <x:row r="174">
      <x:c r="A174" s="19"/>
      <x:c r="B174" s="19"/>
      <x:c r="C174" s="19"/>
      <x:c r="D174" s="19"/>
      <x:c r="E174" s="27"/>
    </x:row>
    <x:row r="175">
      <x:c r="A175" s="19"/>
      <x:c r="B175" s="19"/>
      <x:c r="C175" s="19"/>
      <x:c r="D175" s="19"/>
      <x:c r="E175" s="27"/>
    </x:row>
    <x:row r="176">
      <x:c r="A176" s="19"/>
      <x:c r="B176" s="19"/>
      <x:c r="C176" s="19"/>
      <x:c r="D176" s="19"/>
      <x:c r="E176" s="27"/>
    </x:row>
    <x:row r="177">
      <x:c r="A177" s="19"/>
      <x:c r="B177" s="19"/>
      <x:c r="C177" s="19"/>
      <x:c r="D177" s="19"/>
      <x:c r="E177" s="27"/>
    </x:row>
    <x:row r="178">
      <x:c r="A178" s="19"/>
      <x:c r="B178" s="19"/>
      <x:c r="C178" s="19"/>
      <x:c r="D178" s="19"/>
      <x:c r="E178" s="27"/>
    </x:row>
    <x:row r="179">
      <x:c r="A179" s="19"/>
      <x:c r="B179" s="19"/>
      <x:c r="C179" s="19"/>
      <x:c r="D179" s="19"/>
      <x:c r="E179" s="27"/>
    </x:row>
    <x:row r="180">
      <x:c r="A180" s="19"/>
      <x:c r="B180" s="19"/>
      <x:c r="C180" s="19"/>
      <x:c r="D180" s="19"/>
      <x:c r="E180" s="27"/>
    </x:row>
    <x:row r="181">
      <x:c r="A181" s="19"/>
      <x:c r="B181" s="19"/>
      <x:c r="C181" s="19"/>
      <x:c r="D181" s="19"/>
      <x:c r="E181" s="27"/>
    </x:row>
    <x:row r="182">
      <x:c r="A182" s="19"/>
      <x:c r="B182" s="19"/>
      <x:c r="C182" s="19"/>
      <x:c r="D182" s="19"/>
      <x:c r="E182" s="27"/>
    </x:row>
    <x:row r="183">
      <x:c r="A183" s="19"/>
      <x:c r="B183" s="19"/>
      <x:c r="C183" s="19"/>
      <x:c r="D183" s="19"/>
      <x:c r="E183" s="27"/>
    </x:row>
    <x:row r="184">
      <x:c r="A184" s="19"/>
      <x:c r="B184" s="19"/>
      <x:c r="C184" s="19"/>
      <x:c r="D184" s="19"/>
      <x:c r="E184" s="27"/>
    </x:row>
    <x:row r="185">
      <x:c r="A185" s="19"/>
      <x:c r="B185" s="19"/>
      <x:c r="C185" s="19"/>
      <x:c r="D185" s="19"/>
      <x:c r="E185" s="27"/>
    </x:row>
    <x:row r="186">
      <x:c r="A186" s="19"/>
      <x:c r="B186" s="19"/>
      <x:c r="C186" s="19"/>
      <x:c r="D186" s="19"/>
      <x:c r="E186" s="27"/>
    </x:row>
    <x:row r="187">
      <x:c r="A187" s="19"/>
      <x:c r="B187" s="19"/>
      <x:c r="C187" s="19"/>
      <x:c r="D187" s="19"/>
      <x:c r="E187" s="27"/>
    </x:row>
    <x:row r="188">
      <x:c r="A188" s="19"/>
      <x:c r="B188" s="19"/>
      <x:c r="C188" s="19"/>
      <x:c r="D188" s="19"/>
      <x:c r="E188" s="27"/>
    </x:row>
    <x:row r="189">
      <x:c r="A189" s="19"/>
      <x:c r="B189" s="19"/>
      <x:c r="C189" s="19"/>
      <x:c r="D189" s="19"/>
      <x:c r="E189" s="27"/>
    </x:row>
    <x:row r="190">
      <x:c r="A190" s="19"/>
      <x:c r="B190" s="19"/>
      <x:c r="C190" s="19"/>
      <x:c r="D190" s="19"/>
      <x:c r="E190" s="27"/>
    </x:row>
    <x:row r="191">
      <x:c r="A191" s="19"/>
      <x:c r="B191" s="19"/>
      <x:c r="C191" s="19"/>
      <x:c r="D191" s="19"/>
      <x:c r="E191" s="27"/>
    </x:row>
    <x:row r="192">
      <x:c r="A192" s="19"/>
      <x:c r="B192" s="19"/>
      <x:c r="C192" s="19"/>
      <x:c r="D192" s="19"/>
      <x:c r="E192" s="27"/>
    </x:row>
    <x:row r="193">
      <x:c r="A193" s="19"/>
      <x:c r="B193" s="19"/>
      <x:c r="C193" s="19"/>
      <x:c r="D193" s="19"/>
      <x:c r="E193" s="27"/>
    </x:row>
    <x:row r="194">
      <x:c r="A194" s="19"/>
      <x:c r="B194" s="19"/>
      <x:c r="C194" s="19"/>
      <x:c r="D194" s="19"/>
      <x:c r="E194" s="27"/>
    </x:row>
    <x:row r="195">
      <x:c r="A195" s="19"/>
      <x:c r="B195" s="19"/>
      <x:c r="C195" s="19"/>
      <x:c r="D195" s="19"/>
      <x:c r="E195" s="27"/>
    </x:row>
    <x:row r="196">
      <x:c r="A196" s="19"/>
      <x:c r="B196" s="19"/>
      <x:c r="C196" s="19"/>
      <x:c r="D196" s="19"/>
      <x:c r="E196" s="27"/>
    </x:row>
    <x:row r="197">
      <x:c r="A197" s="19"/>
      <x:c r="B197" s="19"/>
      <x:c r="C197" s="19"/>
      <x:c r="D197" s="19"/>
      <x:c r="E197" s="27"/>
    </x:row>
    <x:row r="198">
      <x:c r="A198" s="19"/>
      <x:c r="B198" s="19"/>
      <x:c r="C198" s="19"/>
      <x:c r="D198" s="19"/>
      <x:c r="E198" s="27"/>
    </x:row>
    <x:row r="199">
      <x:c r="A199" s="19"/>
      <x:c r="B199" s="19"/>
      <x:c r="C199" s="19"/>
      <x:c r="D199" s="19"/>
      <x:c r="E199" s="27"/>
    </x:row>
    <x:row r="200">
      <x:c r="A200" s="19"/>
      <x:c r="B200" s="19"/>
      <x:c r="C200" s="19"/>
      <x:c r="D200" s="19"/>
      <x:c r="E200" s="27"/>
    </x:row>
    <x:row r="201">
      <x:c r="A201" s="19"/>
      <x:c r="B201" s="19"/>
      <x:c r="C201" s="19"/>
      <x:c r="D201" s="19"/>
      <x:c r="E201" s="27"/>
    </x:row>
    <x:row r="202">
      <x:c r="A202" s="19"/>
      <x:c r="B202" s="19"/>
      <x:c r="C202" s="19"/>
      <x:c r="D202" s="19"/>
      <x:c r="E202" s="27"/>
    </x:row>
    <x:row r="203">
      <x:c r="A203" s="19"/>
      <x:c r="B203" s="19"/>
      <x:c r="C203" s="19"/>
      <x:c r="D203" s="19"/>
      <x:c r="E203" s="27"/>
    </x:row>
    <x:row r="204">
      <x:c r="A204" s="19"/>
      <x:c r="B204" s="19"/>
      <x:c r="C204" s="19"/>
      <x:c r="D204" s="19"/>
      <x:c r="E204" s="27"/>
    </x:row>
    <x:row r="205">
      <x:c r="A205" s="19"/>
      <x:c r="B205" s="19"/>
      <x:c r="C205" s="19"/>
      <x:c r="D205" s="19"/>
      <x:c r="E205" s="27"/>
    </x:row>
    <x:row r="206">
      <x:c r="A206" s="19"/>
      <x:c r="B206" s="19"/>
      <x:c r="C206" s="19"/>
      <x:c r="D206" s="19"/>
      <x:c r="E206" s="27"/>
    </x:row>
    <x:row r="207">
      <x:c r="A207" s="19"/>
      <x:c r="B207" s="19"/>
      <x:c r="C207" s="19"/>
      <x:c r="D207" s="19"/>
      <x:c r="E207" s="27"/>
    </x:row>
    <x:row r="208">
      <x:c r="A208" s="19"/>
      <x:c r="B208" s="19"/>
      <x:c r="C208" s="19"/>
      <x:c r="D208" s="19"/>
      <x:c r="E208" s="27"/>
    </x:row>
    <x:row r="209">
      <x:c r="A209" s="19"/>
      <x:c r="B209" s="19"/>
      <x:c r="C209" s="19"/>
      <x:c r="D209" s="19"/>
      <x:c r="E209" s="27"/>
    </x:row>
    <x:row r="210">
      <x:c r="A210" s="19"/>
      <x:c r="B210" s="19"/>
      <x:c r="C210" s="19"/>
      <x:c r="D210" s="19"/>
      <x:c r="E210" s="27"/>
    </x:row>
    <x:row r="211">
      <x:c r="A211" s="19"/>
      <x:c r="B211" s="19"/>
      <x:c r="C211" s="19"/>
      <x:c r="D211" s="19"/>
      <x:c r="E211" s="27"/>
    </x:row>
    <x:row r="212">
      <x:c r="A212" s="19"/>
      <x:c r="B212" s="19"/>
      <x:c r="C212" s="19"/>
      <x:c r="D212" s="19"/>
      <x:c r="E212" s="27"/>
    </x:row>
    <x:row r="213">
      <x:c r="A213" s="19"/>
      <x:c r="B213" s="19"/>
      <x:c r="C213" s="19"/>
      <x:c r="D213" s="19"/>
      <x:c r="E213" s="27"/>
    </x:row>
    <x:row r="214">
      <x:c r="A214" s="19"/>
      <x:c r="B214" s="19"/>
      <x:c r="C214" s="19"/>
      <x:c r="D214" s="19"/>
      <x:c r="E214" s="27"/>
    </x:row>
    <x:row r="215">
      <x:c r="A215" s="19"/>
      <x:c r="B215" s="19"/>
      <x:c r="C215" s="19"/>
      <x:c r="D215" s="19"/>
      <x:c r="E215" s="27"/>
    </x:row>
    <x:row r="216">
      <x:c r="A216" s="19"/>
      <x:c r="B216" s="19"/>
      <x:c r="C216" s="19"/>
      <x:c r="D216" s="19"/>
      <x:c r="E216" s="27"/>
    </x:row>
    <x:row r="217">
      <x:c r="A217" s="19"/>
      <x:c r="B217" s="19"/>
      <x:c r="C217" s="19"/>
      <x:c r="D217" s="19"/>
      <x:c r="E217" s="27"/>
    </x:row>
    <x:row r="218">
      <x:c r="A218" s="19"/>
      <x:c r="B218" s="19"/>
      <x:c r="C218" s="19"/>
      <x:c r="D218" s="19"/>
      <x:c r="E218" s="27"/>
    </x:row>
    <x:row r="219">
      <x:c r="A219" s="19"/>
      <x:c r="B219" s="19"/>
      <x:c r="C219" s="19"/>
      <x:c r="D219" s="19"/>
      <x:c r="E219" s="27"/>
    </x:row>
    <x:row r="220">
      <x:c r="A220" s="19"/>
      <x:c r="B220" s="19"/>
      <x:c r="C220" s="19"/>
      <x:c r="D220" s="19"/>
      <x:c r="E220" s="27"/>
    </x:row>
    <x:row r="221">
      <x:c r="A221" s="19"/>
      <x:c r="B221" s="19"/>
      <x:c r="C221" s="19"/>
      <x:c r="D221" s="19"/>
      <x:c r="E221" s="27"/>
    </x:row>
    <x:row r="222">
      <x:c r="A222" s="19"/>
      <x:c r="B222" s="19"/>
      <x:c r="C222" s="19"/>
      <x:c r="D222" s="19"/>
      <x:c r="E222" s="27"/>
    </x:row>
    <x:row r="223">
      <x:c r="A223" s="19"/>
      <x:c r="B223" s="19"/>
      <x:c r="C223" s="19"/>
      <x:c r="D223" s="19"/>
      <x:c r="E223" s="27"/>
    </x:row>
    <x:row r="224">
      <x:c r="A224" s="19"/>
      <x:c r="B224" s="19"/>
      <x:c r="C224" s="19"/>
      <x:c r="D224" s="19"/>
      <x:c r="E224" s="27"/>
    </x:row>
    <x:row r="225">
      <x:c r="A225" s="19"/>
      <x:c r="B225" s="19"/>
      <x:c r="C225" s="19"/>
      <x:c r="D225" s="19"/>
      <x:c r="E225" s="27"/>
    </x:row>
    <x:row r="226">
      <x:c r="A226" s="19"/>
      <x:c r="B226" s="19"/>
      <x:c r="C226" s="19"/>
      <x:c r="D226" s="19"/>
      <x:c r="E226" s="27"/>
    </x:row>
    <x:row r="227">
      <x:c r="A227" s="19"/>
      <x:c r="B227" s="19"/>
      <x:c r="C227" s="19"/>
      <x:c r="D227" s="19"/>
      <x:c r="E227" s="27"/>
    </x:row>
    <x:row r="228">
      <x:c r="A228" s="19"/>
      <x:c r="B228" s="19"/>
      <x:c r="C228" s="19"/>
      <x:c r="D228" s="19"/>
      <x:c r="E228" s="27"/>
    </x:row>
    <x:row r="229">
      <x:c r="A229" s="19"/>
      <x:c r="B229" s="19"/>
      <x:c r="C229" s="19"/>
      <x:c r="D229" s="19"/>
      <x:c r="E229" s="27"/>
    </x:row>
    <x:row r="230">
      <x:c r="A230" s="19"/>
      <x:c r="B230" s="19"/>
      <x:c r="C230" s="19"/>
      <x:c r="D230" s="19"/>
      <x:c r="E230" s="27"/>
    </x:row>
    <x:row r="231">
      <x:c r="A231" s="19"/>
      <x:c r="B231" s="19"/>
      <x:c r="C231" s="19"/>
      <x:c r="D231" s="19"/>
      <x:c r="E231" s="27"/>
    </x:row>
    <x:row r="232">
      <x:c r="A232" s="19"/>
      <x:c r="B232" s="19"/>
      <x:c r="C232" s="19"/>
      <x:c r="D232" s="19"/>
      <x:c r="E232" s="27"/>
    </x:row>
    <x:row r="233">
      <x:c r="A233" s="19"/>
      <x:c r="B233" s="19"/>
      <x:c r="C233" s="19"/>
      <x:c r="D233" s="19"/>
      <x:c r="E233" s="27"/>
    </x:row>
    <x:row r="234">
      <x:c r="A234" s="19"/>
      <x:c r="B234" s="19"/>
      <x:c r="C234" s="19"/>
      <x:c r="D234" s="19"/>
      <x:c r="E234" s="27"/>
    </x:row>
    <x:row r="235">
      <x:c r="A235" s="19"/>
      <x:c r="B235" s="19"/>
      <x:c r="C235" s="19"/>
      <x:c r="D235" s="19"/>
      <x:c r="E235" s="27"/>
    </x:row>
    <x:row r="236">
      <x:c r="A236" s="19"/>
      <x:c r="B236" s="19"/>
      <x:c r="C236" s="19"/>
      <x:c r="D236" s="19"/>
      <x:c r="E236" s="27"/>
    </x:row>
    <x:row r="237">
      <x:c r="A237" s="19"/>
      <x:c r="B237" s="19"/>
      <x:c r="C237" s="19"/>
      <x:c r="D237" s="19"/>
      <x:c r="E237" s="27"/>
    </x:row>
    <x:row r="238">
      <x:c r="A238" s="19"/>
      <x:c r="B238" s="19"/>
      <x:c r="C238" s="19"/>
      <x:c r="D238" s="19"/>
      <x:c r="E238" s="27"/>
    </x:row>
    <x:row r="239">
      <x:c r="A239" s="19"/>
      <x:c r="B239" s="19"/>
      <x:c r="C239" s="19"/>
      <x:c r="D239" s="19"/>
      <x:c r="E239" s="27"/>
    </x:row>
    <x:row r="240">
      <x:c r="A240" s="19"/>
      <x:c r="B240" s="19"/>
      <x:c r="C240" s="19"/>
      <x:c r="D240" s="19"/>
      <x:c r="E240" s="27"/>
    </x:row>
    <x:row r="241">
      <x:c r="A241" s="19"/>
      <x:c r="B241" s="19"/>
      <x:c r="C241" s="19"/>
      <x:c r="D241" s="19"/>
      <x:c r="E241" s="27"/>
    </x:row>
    <x:row r="242">
      <x:c r="A242" s="19"/>
      <x:c r="B242" s="19"/>
      <x:c r="C242" s="19"/>
      <x:c r="D242" s="19"/>
      <x:c r="E242" s="27"/>
    </x:row>
    <x:row r="243">
      <x:c r="A243" s="19"/>
      <x:c r="B243" s="19"/>
      <x:c r="C243" s="19"/>
      <x:c r="D243" s="19"/>
      <x:c r="E243" s="27"/>
    </x:row>
    <x:row r="244">
      <x:c r="A244" s="19"/>
      <x:c r="B244" s="19"/>
      <x:c r="C244" s="19"/>
      <x:c r="D244" s="19"/>
      <x:c r="E244" s="27"/>
    </x:row>
    <x:row r="245">
      <x:c r="A245" s="19"/>
      <x:c r="B245" s="19"/>
      <x:c r="C245" s="19"/>
      <x:c r="D245" s="19"/>
      <x:c r="E245" s="27"/>
    </x:row>
    <x:row r="246">
      <x:c r="A246" s="19"/>
      <x:c r="B246" s="19"/>
      <x:c r="C246" s="19"/>
      <x:c r="D246" s="19"/>
      <x:c r="E246" s="27"/>
    </x:row>
    <x:row r="247">
      <x:c r="A247" s="19"/>
      <x:c r="B247" s="19"/>
      <x:c r="C247" s="19"/>
      <x:c r="D247" s="19"/>
      <x:c r="E247" s="27"/>
    </x:row>
    <x:row r="248">
      <x:c r="A248" s="19"/>
      <x:c r="B248" s="19"/>
      <x:c r="C248" s="19"/>
      <x:c r="D248" s="19"/>
      <x:c r="E248" s="27"/>
    </x:row>
    <x:row r="249">
      <x:c r="A249" s="19"/>
      <x:c r="B249" s="19"/>
      <x:c r="C249" s="19"/>
      <x:c r="D249" s="19"/>
      <x:c r="E249" s="27"/>
    </x:row>
    <x:row r="250">
      <x:c r="A250" s="19"/>
      <x:c r="B250" s="19"/>
      <x:c r="C250" s="19"/>
      <x:c r="D250" s="19"/>
      <x:c r="E250" s="27"/>
    </x:row>
    <x:row r="251">
      <x:c r="A251" s="19"/>
      <x:c r="B251" s="19"/>
      <x:c r="C251" s="19"/>
      <x:c r="D251" s="19"/>
      <x:c r="E251" s="27"/>
    </x:row>
    <x:row r="252">
      <x:c r="A252" s="19"/>
      <x:c r="B252" s="19"/>
      <x:c r="C252" s="19"/>
      <x:c r="D252" s="19"/>
      <x:c r="E252" s="27"/>
    </x:row>
    <x:row r="253">
      <x:c r="A253" s="19"/>
      <x:c r="B253" s="19"/>
      <x:c r="C253" s="19"/>
      <x:c r="D253" s="19"/>
      <x:c r="E253" s="27"/>
    </x:row>
    <x:row r="254">
      <x:c r="A254" s="19"/>
      <x:c r="B254" s="19"/>
      <x:c r="C254" s="19"/>
      <x:c r="D254" s="19"/>
      <x:c r="E254" s="27"/>
    </x:row>
    <x:row r="255">
      <x:c r="A255" s="19"/>
      <x:c r="B255" s="19"/>
      <x:c r="C255" s="19"/>
      <x:c r="D255" s="19"/>
      <x:c r="E255" s="27"/>
    </x:row>
    <x:row r="256">
      <x:c r="A256" s="19"/>
      <x:c r="B256" s="19"/>
      <x:c r="C256" s="19"/>
      <x:c r="D256" s="19"/>
      <x:c r="E256" s="27"/>
    </x:row>
    <x:row r="257">
      <x:c r="A257" s="19"/>
      <x:c r="B257" s="19"/>
      <x:c r="C257" s="19"/>
      <x:c r="D257" s="19"/>
      <x:c r="E257" s="27"/>
    </x:row>
    <x:row r="258">
      <x:c r="A258" s="19"/>
      <x:c r="B258" s="19"/>
      <x:c r="C258" s="19"/>
      <x:c r="D258" s="19"/>
      <x:c r="E258" s="27"/>
    </x:row>
    <x:row r="259">
      <x:c r="A259" s="19"/>
      <x:c r="B259" s="19"/>
      <x:c r="C259" s="19"/>
      <x:c r="D259" s="19"/>
      <x:c r="E259" s="27"/>
    </x:row>
    <x:row r="260">
      <x:c r="A260" s="19"/>
      <x:c r="B260" s="19"/>
      <x:c r="C260" s="19"/>
      <x:c r="D260" s="19"/>
      <x:c r="E260" s="27"/>
    </x:row>
    <x:row r="261">
      <x:c r="A261" s="19"/>
      <x:c r="B261" s="19"/>
      <x:c r="C261" s="19"/>
      <x:c r="D261" s="19"/>
      <x:c r="E261" s="27"/>
    </x:row>
    <x:row r="262">
      <x:c r="A262" s="19"/>
      <x:c r="B262" s="19"/>
      <x:c r="C262" s="19"/>
      <x:c r="D262" s="19"/>
      <x:c r="E262" s="27"/>
    </x:row>
    <x:row r="263">
      <x:c r="A263" s="19"/>
      <x:c r="B263" s="19"/>
      <x:c r="C263" s="19"/>
      <x:c r="D263" s="19"/>
      <x:c r="E263" s="27"/>
    </x:row>
    <x:row r="264">
      <x:c r="A264" s="19"/>
      <x:c r="B264" s="19"/>
      <x:c r="C264" s="19"/>
      <x:c r="D264" s="19"/>
      <x:c r="E264" s="27"/>
    </x:row>
    <x:row r="265">
      <x:c r="A265" s="19"/>
      <x:c r="B265" s="19"/>
      <x:c r="C265" s="19"/>
      <x:c r="D265" s="19"/>
      <x:c r="E265" s="27"/>
    </x:row>
    <x:row r="266">
      <x:c r="A266" s="19"/>
      <x:c r="B266" s="19"/>
      <x:c r="C266" s="19"/>
      <x:c r="D266" s="19"/>
      <x:c r="E266" s="27"/>
    </x:row>
    <x:row r="267">
      <x:c r="A267" s="19"/>
      <x:c r="B267" s="19"/>
      <x:c r="C267" s="19"/>
      <x:c r="D267" s="19"/>
      <x:c r="E267" s="27"/>
    </x:row>
    <x:row r="268">
      <x:c r="A268" s="19"/>
      <x:c r="B268" s="19"/>
      <x:c r="C268" s="19"/>
      <x:c r="D268" s="19"/>
      <x:c r="E268" s="27"/>
    </x:row>
    <x:row r="269">
      <x:c r="A269" s="19"/>
      <x:c r="B269" s="19"/>
      <x:c r="C269" s="19"/>
      <x:c r="D269" s="19"/>
      <x:c r="E269" s="27"/>
    </x:row>
    <x:row r="270">
      <x:c r="A270" s="19"/>
      <x:c r="B270" s="19"/>
      <x:c r="C270" s="19"/>
      <x:c r="D270" s="19"/>
      <x:c r="E270" s="27"/>
    </x:row>
    <x:row r="271">
      <x:c r="A271" s="19"/>
      <x:c r="B271" s="19"/>
      <x:c r="C271" s="19"/>
      <x:c r="D271" s="19"/>
      <x:c r="E271" s="27"/>
    </x:row>
    <x:row r="272">
      <x:c r="A272" s="19"/>
      <x:c r="B272" s="19"/>
      <x:c r="C272" s="19"/>
      <x:c r="D272" s="19"/>
      <x:c r="E272" s="27"/>
    </x:row>
    <x:row r="273">
      <x:c r="A273" s="19"/>
      <x:c r="B273" s="19"/>
      <x:c r="C273" s="19"/>
      <x:c r="D273" s="19"/>
      <x:c r="E273" s="27"/>
    </x:row>
    <x:row r="274">
      <x:c r="A274" s="19"/>
      <x:c r="B274" s="19"/>
      <x:c r="C274" s="19"/>
      <x:c r="D274" s="19"/>
      <x:c r="E274" s="27"/>
    </x:row>
    <x:row r="275">
      <x:c r="A275" s="19"/>
      <x:c r="B275" s="19"/>
      <x:c r="C275" s="19"/>
      <x:c r="D275" s="19"/>
      <x:c r="E275" s="27"/>
    </x:row>
    <x:row r="276">
      <x:c r="A276" s="19"/>
      <x:c r="B276" s="19"/>
      <x:c r="C276" s="19"/>
      <x:c r="D276" s="19"/>
      <x:c r="E276" s="27"/>
    </x:row>
    <x:row r="277">
      <x:c r="A277" s="19"/>
      <x:c r="B277" s="19"/>
      <x:c r="C277" s="19"/>
      <x:c r="D277" s="19"/>
      <x:c r="E277" s="27"/>
    </x:row>
    <x:row r="278">
      <x:c r="A278" s="19"/>
      <x:c r="B278" s="19"/>
      <x:c r="C278" s="19"/>
      <x:c r="D278" s="19"/>
      <x:c r="E278" s="27"/>
    </x:row>
    <x:row r="279">
      <x:c r="A279" s="19"/>
      <x:c r="B279" s="19"/>
      <x:c r="C279" s="19"/>
      <x:c r="D279" s="19"/>
      <x:c r="E279" s="27"/>
    </x:row>
    <x:row r="280">
      <x:c r="A280" s="19"/>
      <x:c r="B280" s="19"/>
      <x:c r="C280" s="19"/>
      <x:c r="D280" s="19"/>
      <x:c r="E280" s="27"/>
    </x:row>
    <x:row r="281">
      <x:c r="A281" s="19"/>
      <x:c r="B281" s="19"/>
      <x:c r="C281" s="19"/>
      <x:c r="D281" s="19"/>
      <x:c r="E281" s="27"/>
    </x:row>
    <x:row r="282">
      <x:c r="A282" s="19"/>
      <x:c r="B282" s="19"/>
      <x:c r="C282" s="19"/>
      <x:c r="D282" s="19"/>
      <x:c r="E282" s="27"/>
    </x:row>
    <x:row r="283">
      <x:c r="A283" s="19"/>
      <x:c r="B283" s="19"/>
      <x:c r="C283" s="19"/>
      <x:c r="D283" s="19"/>
      <x:c r="E283" s="27"/>
    </x:row>
    <x:row r="284">
      <x:c r="A284" s="19"/>
      <x:c r="B284" s="19"/>
      <x:c r="C284" s="19"/>
      <x:c r="D284" s="19"/>
      <x:c r="E284" s="27"/>
    </x:row>
    <x:row r="285">
      <x:c r="A285" s="19"/>
      <x:c r="B285" s="19"/>
      <x:c r="C285" s="19"/>
      <x:c r="D285" s="19"/>
      <x:c r="E285" s="27"/>
    </x:row>
    <x:row r="286">
      <x:c r="A286" s="19"/>
      <x:c r="B286" s="19"/>
      <x:c r="C286" s="19"/>
      <x:c r="D286" s="19"/>
      <x:c r="E286" s="27"/>
    </x:row>
    <x:row r="287">
      <x:c r="A287" s="19"/>
      <x:c r="B287" s="19"/>
      <x:c r="C287" s="19"/>
      <x:c r="D287" s="19"/>
      <x:c r="E287" s="27"/>
    </x:row>
    <x:row r="288">
      <x:c r="A288" s="19"/>
      <x:c r="B288" s="19"/>
      <x:c r="C288" s="19"/>
      <x:c r="D288" s="19"/>
      <x:c r="E288" s="27"/>
    </x:row>
    <x:row r="289">
      <x:c r="A289" s="19"/>
      <x:c r="B289" s="19"/>
      <x:c r="C289" s="19"/>
      <x:c r="D289" s="19"/>
      <x:c r="E289" s="27"/>
    </x:row>
    <x:row r="290">
      <x:c r="A290" s="19"/>
      <x:c r="B290" s="19"/>
      <x:c r="C290" s="19"/>
      <x:c r="D290" s="19"/>
      <x:c r="E290" s="27"/>
    </x:row>
    <x:row r="291">
      <x:c r="A291" s="19"/>
      <x:c r="B291" s="19"/>
      <x:c r="C291" s="19"/>
      <x:c r="D291" s="19"/>
      <x:c r="E291" s="27"/>
    </x:row>
    <x:row r="292">
      <x:c r="A292" s="19"/>
      <x:c r="B292" s="19"/>
      <x:c r="C292" s="19"/>
      <x:c r="D292" s="19"/>
      <x:c r="E292" s="27"/>
    </x:row>
    <x:row r="293">
      <x:c r="A293" s="19"/>
      <x:c r="B293" s="19"/>
      <x:c r="C293" s="19"/>
      <x:c r="D293" s="19"/>
      <x:c r="E293" s="27"/>
    </x:row>
    <x:row r="294">
      <x:c r="A294" s="19"/>
      <x:c r="B294" s="19"/>
      <x:c r="C294" s="19"/>
      <x:c r="D294" s="19"/>
      <x:c r="E294" s="27"/>
    </x:row>
    <x:row r="295">
      <x:c r="A295" s="19"/>
      <x:c r="B295" s="19"/>
      <x:c r="C295" s="19"/>
      <x:c r="D295" s="19"/>
      <x:c r="E295" s="27"/>
    </x:row>
    <x:row r="296">
      <x:c r="A296" s="19"/>
      <x:c r="B296" s="19"/>
      <x:c r="C296" s="19"/>
      <x:c r="D296" s="19"/>
      <x:c r="E296" s="27"/>
    </x:row>
    <x:row r="297">
      <x:c r="A297" s="19"/>
      <x:c r="B297" s="19"/>
      <x:c r="C297" s="19"/>
      <x:c r="D297" s="19"/>
      <x:c r="E297" s="27"/>
    </x:row>
    <x:row r="298">
      <x:c r="A298" s="19"/>
      <x:c r="B298" s="19"/>
      <x:c r="C298" s="19"/>
      <x:c r="D298" s="19"/>
      <x:c r="E298" s="27"/>
    </x:row>
    <x:row r="299">
      <x:c r="A299" s="19"/>
      <x:c r="B299" s="19"/>
      <x:c r="C299" s="19"/>
      <x:c r="D299" s="19"/>
      <x:c r="E299" s="27"/>
    </x:row>
    <x:row r="300">
      <x:c r="A300" s="19"/>
      <x:c r="B300" s="19"/>
      <x:c r="C300" s="19"/>
      <x:c r="D300" s="19"/>
      <x:c r="E300" s="27"/>
    </x:row>
    <x:row r="301">
      <x:c r="A301" s="19"/>
      <x:c r="B301" s="19"/>
      <x:c r="C301" s="19"/>
      <x:c r="D301" s="19"/>
      <x:c r="E301" s="27"/>
    </x:row>
    <x:row r="302">
      <x:c r="A302" s="19"/>
      <x:c r="B302" s="19"/>
      <x:c r="C302" s="19"/>
      <x:c r="D302" s="19"/>
      <x:c r="E302" s="27"/>
    </x:row>
    <x:row r="303">
      <x:c r="A303" s="19"/>
      <x:c r="B303" s="19"/>
      <x:c r="C303" s="19"/>
      <x:c r="D303" s="19"/>
      <x:c r="E303" s="27"/>
    </x:row>
    <x:row r="304">
      <x:c r="A304" s="19"/>
      <x:c r="B304" s="19"/>
      <x:c r="C304" s="19"/>
      <x:c r="D304" s="19"/>
      <x:c r="E304" s="27"/>
    </x:row>
    <x:row r="305">
      <x:c r="A305" s="19"/>
      <x:c r="B305" s="19"/>
      <x:c r="C305" s="19"/>
      <x:c r="D305" s="19"/>
      <x:c r="E305" s="27"/>
    </x:row>
    <x:row r="306">
      <x:c r="A306" s="19"/>
      <x:c r="B306" s="19"/>
      <x:c r="C306" s="19"/>
      <x:c r="D306" s="19"/>
      <x:c r="E306" s="27"/>
    </x:row>
    <x:row r="307">
      <x:c r="A307" s="19"/>
      <x:c r="B307" s="19"/>
      <x:c r="C307" s="19"/>
      <x:c r="D307" s="19"/>
      <x:c r="E307" s="27"/>
    </x:row>
    <x:row r="308">
      <x:c r="A308" s="19"/>
      <x:c r="B308" s="19"/>
      <x:c r="C308" s="19"/>
      <x:c r="D308" s="19"/>
      <x:c r="E308" s="27"/>
    </x:row>
    <x:row r="309">
      <x:c r="A309" s="19"/>
      <x:c r="B309" s="19"/>
      <x:c r="C309" s="19"/>
      <x:c r="D309" s="19"/>
      <x:c r="E309" s="27"/>
    </x:row>
    <x:row r="310">
      <x:c r="A310" s="19"/>
      <x:c r="B310" s="19"/>
      <x:c r="C310" s="19"/>
      <x:c r="D310" s="19"/>
      <x:c r="E310" s="27"/>
    </x:row>
    <x:row r="311">
      <x:c r="A311" s="19"/>
      <x:c r="B311" s="19"/>
      <x:c r="C311" s="19"/>
      <x:c r="D311" s="19"/>
      <x:c r="E311" s="27"/>
    </x:row>
    <x:row r="312">
      <x:c r="A312" s="19"/>
      <x:c r="B312" s="19"/>
      <x:c r="C312" s="19"/>
      <x:c r="D312" s="19"/>
      <x:c r="E312" s="27"/>
    </x:row>
    <x:row r="313">
      <x:c r="A313" s="19"/>
      <x:c r="B313" s="19"/>
      <x:c r="C313" s="19"/>
      <x:c r="D313" s="19"/>
      <x:c r="E313" s="27"/>
    </x:row>
    <x:row r="314">
      <x:c r="A314" s="19"/>
      <x:c r="B314" s="19"/>
      <x:c r="C314" s="19"/>
      <x:c r="D314" s="19"/>
      <x:c r="E314" s="27"/>
    </x:row>
    <x:row r="315">
      <x:c r="A315" s="19"/>
      <x:c r="B315" s="19"/>
      <x:c r="C315" s="19"/>
      <x:c r="D315" s="19"/>
      <x:c r="E315" s="27"/>
    </x:row>
    <x:row r="316">
      <x:c r="A316" s="19"/>
      <x:c r="B316" s="19"/>
      <x:c r="C316" s="19"/>
      <x:c r="D316" s="19"/>
      <x:c r="E316" s="27"/>
    </x:row>
    <x:row r="317">
      <x:c r="A317" s="19"/>
      <x:c r="B317" s="19"/>
      <x:c r="C317" s="19"/>
      <x:c r="D317" s="19"/>
      <x:c r="E317" s="27"/>
    </x:row>
    <x:row r="318">
      <x:c r="A318" s="19"/>
      <x:c r="B318" s="19"/>
      <x:c r="C318" s="19"/>
      <x:c r="D318" s="19"/>
      <x:c r="E318" s="27"/>
    </x:row>
    <x:row r="319">
      <x:c r="A319" s="19"/>
      <x:c r="B319" s="19"/>
      <x:c r="C319" s="19"/>
      <x:c r="D319" s="19"/>
      <x:c r="E319" s="27"/>
    </x:row>
    <x:row r="320">
      <x:c r="A320" s="19"/>
      <x:c r="B320" s="19"/>
      <x:c r="C320" s="19"/>
      <x:c r="D320" s="19"/>
      <x:c r="E320" s="27"/>
    </x:row>
    <x:row r="321">
      <x:c r="A321" s="19"/>
      <x:c r="B321" s="19"/>
      <x:c r="C321" s="19"/>
      <x:c r="D321" s="19"/>
      <x:c r="E321" s="27"/>
    </x:row>
    <x:row r="322">
      <x:c r="A322" s="19"/>
      <x:c r="B322" s="19"/>
      <x:c r="C322" s="19"/>
      <x:c r="D322" s="19"/>
      <x:c r="E322" s="27"/>
    </x:row>
    <x:row r="323">
      <x:c r="A323" s="19"/>
      <x:c r="B323" s="19"/>
      <x:c r="C323" s="19"/>
      <x:c r="D323" s="19"/>
      <x:c r="E323" s="27"/>
    </x:row>
    <x:row r="324">
      <x:c r="A324" s="19"/>
      <x:c r="B324" s="19"/>
      <x:c r="C324" s="19"/>
      <x:c r="D324" s="19"/>
      <x:c r="E324" s="27"/>
    </x:row>
    <x:row r="325">
      <x:c r="A325" s="19"/>
      <x:c r="B325" s="19"/>
      <x:c r="C325" s="19"/>
      <x:c r="D325" s="19"/>
      <x:c r="E325" s="27"/>
    </x:row>
    <x:row r="326">
      <x:c r="A326" s="19"/>
      <x:c r="B326" s="19"/>
      <x:c r="C326" s="19"/>
      <x:c r="D326" s="19"/>
      <x:c r="E326" s="27"/>
    </x:row>
    <x:row r="327">
      <x:c r="A327" s="19"/>
      <x:c r="B327" s="19"/>
      <x:c r="C327" s="19"/>
      <x:c r="D327" s="19"/>
      <x:c r="E327" s="27"/>
    </x:row>
    <x:row r="328">
      <x:c r="A328" s="19"/>
      <x:c r="B328" s="19"/>
      <x:c r="C328" s="19"/>
      <x:c r="D328" s="19"/>
      <x:c r="E328" s="27"/>
    </x:row>
    <x:row r="329">
      <x:c r="A329" s="19"/>
      <x:c r="B329" s="19"/>
      <x:c r="C329" s="19"/>
      <x:c r="D329" s="19"/>
      <x:c r="E329" s="27"/>
    </x:row>
    <x:row r="330">
      <x:c r="A330" s="19"/>
      <x:c r="B330" s="19"/>
      <x:c r="C330" s="19"/>
      <x:c r="D330" s="19"/>
      <x:c r="E330" s="27"/>
    </x:row>
    <x:row r="331">
      <x:c r="A331" s="19"/>
      <x:c r="B331" s="19"/>
      <x:c r="C331" s="19"/>
      <x:c r="D331" s="19"/>
      <x:c r="E331" s="27"/>
    </x:row>
    <x:row r="332">
      <x:c r="A332" s="19"/>
      <x:c r="B332" s="19"/>
      <x:c r="C332" s="19"/>
      <x:c r="D332" s="19"/>
      <x:c r="E332" s="27"/>
    </x:row>
    <x:row r="333">
      <x:c r="A333" s="19"/>
      <x:c r="B333" s="19"/>
      <x:c r="C333" s="19"/>
      <x:c r="D333" s="19"/>
      <x:c r="E333" s="27"/>
    </x:row>
    <x:row r="334">
      <x:c r="A334" s="19"/>
      <x:c r="B334" s="19"/>
      <x:c r="C334" s="19"/>
      <x:c r="D334" s="19"/>
      <x:c r="E334" s="27"/>
    </x:row>
    <x:row r="335">
      <x:c r="A335" s="19"/>
      <x:c r="B335" s="19"/>
      <x:c r="C335" s="19"/>
      <x:c r="D335" s="19"/>
      <x:c r="E335" s="27"/>
    </x:row>
    <x:row r="336">
      <x:c r="A336" s="19"/>
      <x:c r="B336" s="19"/>
      <x:c r="C336" s="19"/>
      <x:c r="D336" s="19"/>
      <x:c r="E336" s="27"/>
    </x:row>
    <x:row r="337">
      <x:c r="A337" s="19"/>
      <x:c r="B337" s="19"/>
      <x:c r="C337" s="19"/>
      <x:c r="D337" s="19"/>
      <x:c r="E337" s="27"/>
    </x:row>
    <x:row r="338">
      <x:c r="A338" s="19"/>
      <x:c r="B338" s="19"/>
      <x:c r="C338" s="19"/>
      <x:c r="D338" s="19"/>
      <x:c r="E338" s="27"/>
    </x:row>
    <x:row r="339">
      <x:c r="A339" s="19"/>
      <x:c r="B339" s="19"/>
      <x:c r="C339" s="19"/>
      <x:c r="D339" s="19"/>
      <x:c r="E339" s="27"/>
    </x:row>
    <x:row r="340">
      <x:c r="A340" s="19"/>
      <x:c r="B340" s="19"/>
      <x:c r="C340" s="19"/>
      <x:c r="D340" s="19"/>
      <x:c r="E340" s="27"/>
    </x:row>
    <x:row r="341">
      <x:c r="A341" s="19"/>
      <x:c r="B341" s="19"/>
      <x:c r="C341" s="19"/>
      <x:c r="D341" s="19"/>
      <x:c r="E341" s="27"/>
    </x:row>
    <x:row r="342">
      <x:c r="A342" s="19"/>
      <x:c r="B342" s="19"/>
      <x:c r="C342" s="19"/>
      <x:c r="D342" s="19"/>
      <x:c r="E342" s="27"/>
    </x:row>
    <x:row r="343">
      <x:c r="A343" s="19"/>
      <x:c r="B343" s="19"/>
      <x:c r="C343" s="19"/>
      <x:c r="D343" s="19"/>
      <x:c r="E343" s="27"/>
    </x:row>
    <x:row r="344">
      <x:c r="A344" s="19"/>
      <x:c r="B344" s="19"/>
      <x:c r="C344" s="19"/>
      <x:c r="D344" s="19"/>
      <x:c r="E344" s="27"/>
    </x:row>
    <x:row r="345">
      <x:c r="A345" s="19"/>
      <x:c r="B345" s="19"/>
      <x:c r="C345" s="19"/>
      <x:c r="D345" s="19"/>
      <x:c r="E345" s="27"/>
    </x:row>
    <x:row r="346">
      <x:c r="A346" s="19"/>
      <x:c r="B346" s="19"/>
      <x:c r="C346" s="19"/>
      <x:c r="D346" s="19"/>
      <x:c r="E346" s="27"/>
    </x:row>
    <x:row r="347">
      <x:c r="A347" s="19"/>
      <x:c r="B347" s="19"/>
      <x:c r="C347" s="19"/>
      <x:c r="D347" s="19"/>
      <x:c r="E347" s="27"/>
    </x:row>
    <x:row r="348">
      <x:c r="A348" s="19"/>
      <x:c r="B348" s="19"/>
      <x:c r="C348" s="19"/>
      <x:c r="D348" s="19"/>
      <x:c r="E348" s="27"/>
    </x:row>
    <x:row r="349">
      <x:c r="A349" s="19"/>
      <x:c r="B349" s="19"/>
      <x:c r="C349" s="19"/>
      <x:c r="D349" s="19"/>
      <x:c r="E349" s="27"/>
    </x:row>
    <x:row r="350">
      <x:c r="A350" s="19"/>
      <x:c r="B350" s="19"/>
      <x:c r="C350" s="19"/>
      <x:c r="D350" s="19"/>
      <x:c r="E350" s="27"/>
    </x:row>
    <x:row r="351">
      <x:c r="A351" s="19"/>
      <x:c r="B351" s="19"/>
      <x:c r="C351" s="19"/>
      <x:c r="D351" s="19"/>
      <x:c r="E351" s="27"/>
    </x:row>
    <x:row r="352">
      <x:c r="A352" s="19"/>
      <x:c r="B352" s="19"/>
      <x:c r="C352" s="19"/>
      <x:c r="D352" s="19"/>
      <x:c r="E352" s="27"/>
    </x:row>
    <x:row r="353">
      <x:c r="A353" s="19"/>
      <x:c r="B353" s="19"/>
      <x:c r="C353" s="19"/>
      <x:c r="D353" s="19"/>
      <x:c r="E353" s="27"/>
    </x:row>
    <x:row r="354">
      <x:c r="A354" s="19"/>
      <x:c r="B354" s="19"/>
      <x:c r="C354" s="19"/>
      <x:c r="D354" s="19"/>
      <x:c r="E354" s="27"/>
    </x:row>
    <x:row r="355">
      <x:c r="A355" s="19"/>
      <x:c r="B355" s="19"/>
      <x:c r="C355" s="19"/>
      <x:c r="D355" s="19"/>
      <x:c r="E355" s="27"/>
    </x:row>
    <x:row r="356">
      <x:c r="A356" s="19"/>
      <x:c r="B356" s="19"/>
      <x:c r="C356" s="19"/>
      <x:c r="D356" s="19"/>
      <x:c r="E356" s="27"/>
    </x:row>
    <x:row r="357">
      <x:c r="A357" s="19"/>
      <x:c r="B357" s="19"/>
      <x:c r="C357" s="19"/>
      <x:c r="D357" s="19"/>
      <x:c r="E357" s="27"/>
    </x:row>
    <x:row r="358">
      <x:c r="A358" s="19"/>
      <x:c r="B358" s="19"/>
      <x:c r="C358" s="19"/>
      <x:c r="D358" s="19"/>
      <x:c r="E358" s="27"/>
    </x:row>
    <x:row r="359">
      <x:c r="A359" s="19"/>
      <x:c r="B359" s="19"/>
      <x:c r="C359" s="19"/>
      <x:c r="D359" s="19"/>
      <x:c r="E359" s="27"/>
    </x:row>
    <x:row r="360">
      <x:c r="A360" s="19"/>
      <x:c r="B360" s="19"/>
      <x:c r="C360" s="19"/>
      <x:c r="D360" s="19"/>
      <x:c r="E360" s="27"/>
    </x:row>
    <x:row r="361">
      <x:c r="A361" s="19"/>
      <x:c r="B361" s="19"/>
      <x:c r="C361" s="19"/>
      <x:c r="D361" s="19"/>
      <x:c r="E361" s="27"/>
    </x:row>
    <x:row r="362">
      <x:c r="A362" s="19"/>
      <x:c r="B362" s="19"/>
      <x:c r="C362" s="19"/>
      <x:c r="D362" s="19"/>
      <x:c r="E362" s="27"/>
    </x:row>
    <x:row r="363">
      <x:c r="A363" s="19"/>
      <x:c r="B363" s="19"/>
      <x:c r="C363" s="19"/>
      <x:c r="D363" s="19"/>
      <x:c r="E363" s="27"/>
    </x:row>
    <x:row r="364">
      <x:c r="A364" s="19"/>
      <x:c r="B364" s="19"/>
      <x:c r="C364" s="19"/>
      <x:c r="D364" s="19"/>
      <x:c r="E364" s="27"/>
    </x:row>
    <x:row r="365">
      <x:c r="A365" s="19"/>
      <x:c r="B365" s="19"/>
      <x:c r="C365" s="19"/>
      <x:c r="D365" s="19"/>
      <x:c r="E365" s="27"/>
    </x:row>
    <x:row r="366">
      <x:c r="A366" s="19"/>
      <x:c r="B366" s="19"/>
      <x:c r="C366" s="19"/>
      <x:c r="D366" s="19"/>
      <x:c r="E366" s="27"/>
    </x:row>
    <x:row r="367">
      <x:c r="A367" s="19"/>
      <x:c r="B367" s="19"/>
      <x:c r="C367" s="19"/>
      <x:c r="D367" s="19"/>
      <x:c r="E367" s="27"/>
    </x:row>
    <x:row r="368">
      <x:c r="A368" s="19"/>
      <x:c r="B368" s="19"/>
      <x:c r="C368" s="19"/>
      <x:c r="D368" s="19"/>
      <x:c r="E368" s="27"/>
    </x:row>
    <x:row r="369">
      <x:c r="A369" s="19"/>
      <x:c r="B369" s="19"/>
      <x:c r="C369" s="19"/>
      <x:c r="D369" s="19"/>
      <x:c r="E369" s="27"/>
    </x:row>
    <x:row r="370">
      <x:c r="A370" s="19"/>
      <x:c r="B370" s="19"/>
      <x:c r="C370" s="19"/>
      <x:c r="D370" s="19"/>
      <x:c r="E370" s="27"/>
    </x:row>
    <x:row r="371">
      <x:c r="A371" s="19"/>
      <x:c r="B371" s="19"/>
      <x:c r="C371" s="19"/>
      <x:c r="D371" s="19"/>
      <x:c r="E371" s="27"/>
    </x:row>
    <x:row r="372">
      <x:c r="A372" s="19"/>
      <x:c r="B372" s="19"/>
      <x:c r="C372" s="19"/>
      <x:c r="D372" s="19"/>
      <x:c r="E372" s="27"/>
    </x:row>
    <x:row r="373">
      <x:c r="A373" s="19"/>
      <x:c r="B373" s="19"/>
      <x:c r="C373" s="19"/>
      <x:c r="D373" s="19"/>
      <x:c r="E373" s="27"/>
    </x:row>
    <x:row r="374">
      <x:c r="A374" s="19"/>
      <x:c r="B374" s="19"/>
      <x:c r="C374" s="19"/>
      <x:c r="D374" s="19"/>
      <x:c r="E374" s="27"/>
    </x:row>
    <x:row r="375">
      <x:c r="A375" s="19"/>
      <x:c r="B375" s="19"/>
      <x:c r="C375" s="19"/>
      <x:c r="D375" s="19"/>
      <x:c r="E375" s="27"/>
    </x:row>
    <x:row r="376">
      <x:c r="A376" s="19"/>
      <x:c r="B376" s="19"/>
      <x:c r="C376" s="19"/>
      <x:c r="D376" s="19"/>
      <x:c r="E376" s="27"/>
    </x:row>
    <x:row r="377">
      <x:c r="A377" s="19"/>
      <x:c r="B377" s="19"/>
      <x:c r="C377" s="19"/>
      <x:c r="D377" s="19"/>
      <x:c r="E377" s="27"/>
    </x:row>
    <x:row r="378">
      <x:c r="A378" s="19"/>
      <x:c r="B378" s="19"/>
      <x:c r="C378" s="19"/>
      <x:c r="D378" s="19"/>
      <x:c r="E378" s="27"/>
    </x:row>
    <x:row r="379">
      <x:c r="A379" s="19"/>
      <x:c r="B379" s="19"/>
      <x:c r="C379" s="19"/>
      <x:c r="D379" s="19"/>
      <x:c r="E379" s="27"/>
    </x:row>
    <x:row r="380">
      <x:c r="A380" s="19"/>
      <x:c r="B380" s="19"/>
      <x:c r="C380" s="19"/>
      <x:c r="D380" s="19"/>
      <x:c r="E380" s="27"/>
    </x:row>
    <x:row r="381">
      <x:c r="A381" s="19"/>
      <x:c r="B381" s="19"/>
      <x:c r="C381" s="19"/>
      <x:c r="D381" s="19"/>
      <x:c r="E381" s="27"/>
    </x:row>
    <x:row r="382">
      <x:c r="A382" s="19"/>
      <x:c r="B382" s="19"/>
      <x:c r="C382" s="19"/>
      <x:c r="D382" s="19"/>
      <x:c r="E382" s="27"/>
    </x:row>
    <x:row r="383">
      <x:c r="A383" s="19"/>
      <x:c r="B383" s="19"/>
      <x:c r="C383" s="19"/>
      <x:c r="D383" s="19"/>
      <x:c r="E383" s="27"/>
    </x:row>
    <x:row r="384">
      <x:c r="A384" s="19"/>
      <x:c r="B384" s="19"/>
      <x:c r="C384" s="19"/>
      <x:c r="D384" s="19"/>
      <x:c r="E384" s="27"/>
    </x:row>
    <x:row r="385">
      <x:c r="A385" s="19"/>
      <x:c r="B385" s="19"/>
      <x:c r="C385" s="19"/>
      <x:c r="D385" s="19"/>
      <x:c r="E385" s="27"/>
    </x:row>
    <x:row r="386">
      <x:c r="A386" s="19"/>
      <x:c r="B386" s="19"/>
      <x:c r="C386" s="19"/>
      <x:c r="D386" s="19"/>
      <x:c r="E386" s="27"/>
    </x:row>
    <x:row r="387">
      <x:c r="A387" s="19"/>
      <x:c r="B387" s="19"/>
      <x:c r="C387" s="19"/>
      <x:c r="D387" s="19"/>
      <x:c r="E387" s="27"/>
    </x:row>
    <x:row r="388">
      <x:c r="A388" s="19"/>
      <x:c r="B388" s="19"/>
      <x:c r="C388" s="19"/>
      <x:c r="D388" s="19"/>
      <x:c r="E388" s="27"/>
    </x:row>
    <x:row r="389">
      <x:c r="A389" s="19"/>
      <x:c r="B389" s="19"/>
      <x:c r="C389" s="19"/>
      <x:c r="D389" s="19"/>
      <x:c r="E389" s="27"/>
    </x:row>
    <x:row r="390">
      <x:c r="A390" s="19"/>
      <x:c r="B390" s="19"/>
      <x:c r="C390" s="19"/>
      <x:c r="D390" s="19"/>
      <x:c r="E390" s="27"/>
    </x:row>
    <x:row r="391">
      <x:c r="A391" s="19"/>
      <x:c r="B391" s="19"/>
      <x:c r="C391" s="19"/>
      <x:c r="D391" s="19"/>
      <x:c r="E391" s="27"/>
    </x:row>
    <x:row r="392">
      <x:c r="A392" s="19"/>
      <x:c r="B392" s="19"/>
      <x:c r="C392" s="19"/>
      <x:c r="D392" s="19"/>
      <x:c r="E392" s="27"/>
    </x:row>
    <x:row r="393">
      <x:c r="A393" s="19"/>
      <x:c r="B393" s="19"/>
      <x:c r="C393" s="19"/>
      <x:c r="D393" s="19"/>
      <x:c r="E393" s="27"/>
    </x:row>
    <x:row r="394">
      <x:c r="A394" s="19"/>
      <x:c r="B394" s="19"/>
      <x:c r="C394" s="19"/>
      <x:c r="D394" s="19"/>
      <x:c r="E394" s="27"/>
    </x:row>
    <x:row r="395">
      <x:c r="A395" s="19"/>
      <x:c r="B395" s="19"/>
      <x:c r="C395" s="19"/>
      <x:c r="D395" s="19"/>
      <x:c r="E395" s="27"/>
    </x:row>
    <x:row r="396">
      <x:c r="A396" s="19"/>
      <x:c r="B396" s="19"/>
      <x:c r="C396" s="19"/>
      <x:c r="D396" s="19"/>
      <x:c r="E396" s="27"/>
    </x:row>
    <x:row r="397">
      <x:c r="A397" s="19"/>
      <x:c r="B397" s="19"/>
      <x:c r="C397" s="19"/>
      <x:c r="D397" s="19"/>
      <x:c r="E397" s="27"/>
    </x:row>
    <x:row r="398">
      <x:c r="A398" s="19"/>
      <x:c r="B398" s="19"/>
      <x:c r="C398" s="19"/>
      <x:c r="D398" s="19"/>
      <x:c r="E398" s="27"/>
    </x:row>
    <x:row r="399">
      <x:c r="A399" s="19"/>
      <x:c r="B399" s="19"/>
      <x:c r="C399" s="19"/>
      <x:c r="D399" s="19"/>
      <x:c r="E399" s="27"/>
    </x:row>
    <x:row r="400">
      <x:c r="A400" s="19"/>
      <x:c r="B400" s="19"/>
      <x:c r="C400" s="19"/>
      <x:c r="D400" s="19"/>
      <x:c r="E400" s="27"/>
    </x:row>
    <x:row r="401">
      <x:c r="A401" s="19"/>
      <x:c r="B401" s="19"/>
      <x:c r="C401" s="19"/>
      <x:c r="D401" s="19"/>
      <x:c r="E401" s="27"/>
    </x:row>
    <x:row r="402">
      <x:c r="A402" s="19"/>
      <x:c r="B402" s="19"/>
      <x:c r="C402" s="19"/>
      <x:c r="D402" s="19"/>
      <x:c r="E402" s="27"/>
    </x:row>
    <x:row r="403">
      <x:c r="A403" s="19"/>
      <x:c r="B403" s="19"/>
      <x:c r="C403" s="19"/>
      <x:c r="D403" s="19"/>
      <x:c r="E403" s="27"/>
    </x:row>
    <x:row r="404">
      <x:c r="A404" s="19"/>
      <x:c r="B404" s="19"/>
      <x:c r="C404" s="19"/>
      <x:c r="D404" s="19"/>
      <x:c r="E404" s="27"/>
    </x:row>
    <x:row r="405">
      <x:c r="A405" s="19"/>
      <x:c r="B405" s="19"/>
      <x:c r="C405" s="19"/>
      <x:c r="D405" s="19"/>
      <x:c r="E405" s="27"/>
    </x:row>
    <x:row r="406">
      <x:c r="A406" s="19"/>
      <x:c r="B406" s="19"/>
      <x:c r="C406" s="19"/>
      <x:c r="D406" s="19"/>
      <x:c r="E406" s="27"/>
    </x:row>
    <x:row r="407">
      <x:c r="A407" s="19"/>
      <x:c r="B407" s="19"/>
      <x:c r="C407" s="19"/>
      <x:c r="D407" s="19"/>
      <x:c r="E407" s="27"/>
    </x:row>
    <x:row r="408">
      <x:c r="A408" s="19"/>
      <x:c r="B408" s="19"/>
      <x:c r="C408" s="19"/>
      <x:c r="D408" s="19"/>
      <x:c r="E408" s="27"/>
    </x:row>
    <x:row r="409">
      <x:c r="A409" s="19"/>
      <x:c r="B409" s="19"/>
      <x:c r="C409" s="19"/>
      <x:c r="D409" s="19"/>
      <x:c r="E409" s="27"/>
    </x:row>
    <x:row r="410">
      <x:c r="A410" s="19"/>
      <x:c r="B410" s="19"/>
      <x:c r="C410" s="19"/>
      <x:c r="D410" s="19"/>
      <x:c r="E410" s="27"/>
    </x:row>
    <x:row r="411">
      <x:c r="A411" s="19"/>
      <x:c r="B411" s="19"/>
      <x:c r="C411" s="19"/>
      <x:c r="D411" s="19"/>
      <x:c r="E411" s="27"/>
    </x:row>
    <x:row r="412">
      <x:c r="A412" s="19"/>
      <x:c r="B412" s="19"/>
      <x:c r="C412" s="19"/>
      <x:c r="D412" s="19"/>
      <x:c r="E412" s="27"/>
    </x:row>
    <x:row r="413">
      <x:c r="A413" s="19"/>
      <x:c r="B413" s="19"/>
      <x:c r="C413" s="19"/>
      <x:c r="D413" s="19"/>
      <x:c r="E413" s="27"/>
    </x:row>
    <x:row r="414">
      <x:c r="A414" s="19"/>
      <x:c r="B414" s="19"/>
      <x:c r="C414" s="19"/>
      <x:c r="D414" s="19"/>
      <x:c r="E414" s="27"/>
    </x:row>
    <x:row r="415">
      <x:c r="A415" s="19"/>
      <x:c r="B415" s="19"/>
      <x:c r="C415" s="19"/>
      <x:c r="D415" s="19"/>
      <x:c r="E415" s="27"/>
    </x:row>
    <x:row r="416">
      <x:c r="A416" s="19"/>
      <x:c r="B416" s="19"/>
      <x:c r="C416" s="19"/>
      <x:c r="D416" s="19"/>
      <x:c r="E416" s="27"/>
    </x:row>
    <x:row r="417">
      <x:c r="A417" s="19"/>
      <x:c r="B417" s="19"/>
      <x:c r="C417" s="19"/>
      <x:c r="D417" s="19"/>
      <x:c r="E417" s="27"/>
    </x:row>
    <x:row r="418">
      <x:c r="A418" s="19"/>
      <x:c r="B418" s="19"/>
      <x:c r="C418" s="19"/>
      <x:c r="D418" s="19"/>
      <x:c r="E418" s="27"/>
    </x:row>
    <x:row r="419">
      <x:c r="A419" s="19"/>
      <x:c r="B419" s="19"/>
      <x:c r="C419" s="19"/>
      <x:c r="D419" s="19"/>
      <x:c r="E419" s="27"/>
    </x:row>
    <x:row r="420">
      <x:c r="A420" s="19"/>
      <x:c r="B420" s="19"/>
      <x:c r="C420" s="19"/>
      <x:c r="D420" s="19"/>
      <x:c r="E420" s="27"/>
    </x:row>
    <x:row r="421">
      <x:c r="A421" s="19"/>
      <x:c r="B421" s="19"/>
      <x:c r="C421" s="19"/>
      <x:c r="D421" s="19"/>
      <x:c r="E421" s="27"/>
    </x:row>
    <x:row r="422">
      <x:c r="A422" s="19"/>
      <x:c r="B422" s="19"/>
      <x:c r="C422" s="19"/>
      <x:c r="D422" s="19"/>
      <x:c r="E422" s="27"/>
    </x:row>
    <x:row r="423">
      <x:c r="A423" s="19"/>
      <x:c r="B423" s="19"/>
      <x:c r="C423" s="19"/>
      <x:c r="D423" s="19"/>
      <x:c r="E423" s="27"/>
    </x:row>
    <x:row r="424">
      <x:c r="A424" s="19"/>
      <x:c r="B424" s="19"/>
      <x:c r="C424" s="19"/>
      <x:c r="D424" s="19"/>
      <x:c r="E424" s="27"/>
    </x:row>
    <x:row r="425">
      <x:c r="A425" s="19"/>
      <x:c r="B425" s="19"/>
      <x:c r="C425" s="19"/>
      <x:c r="D425" s="19"/>
      <x:c r="E425" s="27"/>
    </x:row>
    <x:row r="426">
      <x:c r="A426" s="19"/>
      <x:c r="B426" s="19"/>
      <x:c r="C426" s="19"/>
      <x:c r="D426" s="19"/>
      <x:c r="E426" s="27"/>
    </x:row>
    <x:row r="427">
      <x:c r="A427" s="19"/>
      <x:c r="B427" s="19"/>
      <x:c r="C427" s="19"/>
      <x:c r="D427" s="19"/>
      <x:c r="E427" s="27"/>
    </x:row>
    <x:row r="428">
      <x:c r="A428" s="19"/>
      <x:c r="B428" s="19"/>
      <x:c r="C428" s="19"/>
      <x:c r="D428" s="19"/>
      <x:c r="E428" s="27"/>
    </x:row>
    <x:row r="429">
      <x:c r="A429" s="19"/>
      <x:c r="B429" s="19"/>
      <x:c r="C429" s="19"/>
      <x:c r="D429" s="19"/>
      <x:c r="E429" s="27"/>
    </x:row>
    <x:row r="430">
      <x:c r="A430" s="19"/>
      <x:c r="B430" s="19"/>
      <x:c r="C430" s="19"/>
      <x:c r="D430" s="19"/>
      <x:c r="E430" s="27"/>
    </x:row>
    <x:row r="431">
      <x:c r="A431" s="19"/>
      <x:c r="B431" s="19"/>
      <x:c r="C431" s="19"/>
      <x:c r="D431" s="19"/>
      <x:c r="E431" s="27"/>
    </x:row>
    <x:row r="432">
      <x:c r="A432" s="19"/>
      <x:c r="B432" s="19"/>
      <x:c r="C432" s="19"/>
      <x:c r="D432" s="19"/>
      <x:c r="E432" s="27"/>
    </x:row>
    <x:row r="433">
      <x:c r="A433" s="19"/>
      <x:c r="B433" s="19"/>
      <x:c r="C433" s="19"/>
      <x:c r="D433" s="19"/>
      <x:c r="E433" s="27"/>
    </x:row>
    <x:row r="434">
      <x:c r="A434" s="19"/>
      <x:c r="B434" s="19"/>
      <x:c r="C434" s="19"/>
      <x:c r="D434" s="19"/>
      <x:c r="E434" s="27"/>
    </x:row>
    <x:row r="435">
      <x:c r="A435" s="19"/>
      <x:c r="B435" s="19"/>
      <x:c r="C435" s="19"/>
      <x:c r="D435" s="19"/>
      <x:c r="E435" s="27"/>
    </x:row>
    <x:row r="436">
      <x:c r="A436" s="19"/>
      <x:c r="B436" s="19"/>
      <x:c r="C436" s="19"/>
      <x:c r="D436" s="19"/>
      <x:c r="E436" s="27"/>
    </x:row>
    <x:row r="437">
      <x:c r="A437" s="19"/>
      <x:c r="B437" s="19"/>
      <x:c r="C437" s="19"/>
      <x:c r="D437" s="19"/>
      <x:c r="E437" s="27"/>
    </x:row>
    <x:row r="438">
      <x:c r="A438" s="19"/>
      <x:c r="B438" s="19"/>
      <x:c r="C438" s="19"/>
      <x:c r="D438" s="19"/>
      <x:c r="E438" s="27"/>
    </x:row>
    <x:row r="439">
      <x:c r="A439" s="19"/>
      <x:c r="B439" s="19"/>
      <x:c r="C439" s="19"/>
      <x:c r="D439" s="19"/>
      <x:c r="E439" s="27"/>
    </x:row>
    <x:row r="440">
      <x:c r="A440" s="19"/>
      <x:c r="B440" s="19"/>
      <x:c r="C440" s="19"/>
      <x:c r="D440" s="19"/>
      <x:c r="E440" s="27"/>
    </x:row>
    <x:row r="441">
      <x:c r="A441" s="19"/>
      <x:c r="B441" s="19"/>
      <x:c r="C441" s="19"/>
      <x:c r="D441" s="19"/>
      <x:c r="E441" s="27"/>
    </x:row>
    <x:row r="442">
      <x:c r="A442" s="19"/>
      <x:c r="B442" s="19"/>
      <x:c r="C442" s="19"/>
      <x:c r="D442" s="19"/>
      <x:c r="E442" s="27"/>
    </x:row>
    <x:row r="443">
      <x:c r="A443" s="19"/>
      <x:c r="B443" s="19"/>
      <x:c r="C443" s="19"/>
      <x:c r="D443" s="19"/>
      <x:c r="E443" s="27"/>
    </x:row>
    <x:row r="444">
      <x:c r="A444" s="19"/>
      <x:c r="B444" s="19"/>
      <x:c r="C444" s="19"/>
      <x:c r="D444" s="19"/>
      <x:c r="E444" s="27"/>
    </x:row>
    <x:row r="445">
      <x:c r="A445" s="19"/>
      <x:c r="B445" s="19"/>
      <x:c r="C445" s="19"/>
      <x:c r="D445" s="19"/>
      <x:c r="E445" s="27"/>
    </x:row>
    <x:row r="446">
      <x:c r="A446" s="19"/>
      <x:c r="B446" s="19"/>
      <x:c r="C446" s="19"/>
      <x:c r="D446" s="19"/>
      <x:c r="E446" s="27"/>
    </x:row>
    <x:row r="447">
      <x:c r="A447" s="19"/>
      <x:c r="B447" s="19"/>
      <x:c r="C447" s="19"/>
      <x:c r="D447" s="19"/>
      <x:c r="E447" s="27"/>
    </x:row>
    <x:row r="448">
      <x:c r="A448" s="19"/>
      <x:c r="B448" s="19"/>
      <x:c r="C448" s="19"/>
      <x:c r="D448" s="19"/>
      <x:c r="E448" s="27"/>
    </x:row>
    <x:row r="449">
      <x:c r="A449" s="19"/>
      <x:c r="B449" s="19"/>
      <x:c r="C449" s="19"/>
      <x:c r="D449" s="19"/>
      <x:c r="E449" s="27"/>
    </x:row>
    <x:row r="450">
      <x:c r="A450" s="19"/>
      <x:c r="B450" s="19"/>
      <x:c r="C450" s="19"/>
      <x:c r="D450" s="19"/>
      <x:c r="E450" s="27"/>
    </x:row>
    <x:row r="451">
      <x:c r="A451" s="19"/>
      <x:c r="B451" s="19"/>
      <x:c r="C451" s="19"/>
      <x:c r="D451" s="19"/>
      <x:c r="E451" s="27"/>
    </x:row>
    <x:row r="452">
      <x:c r="A452" s="19"/>
      <x:c r="B452" s="19"/>
      <x:c r="C452" s="19"/>
      <x:c r="D452" s="19"/>
      <x:c r="E452" s="27"/>
    </x:row>
    <x:row r="453">
      <x:c r="A453" s="19"/>
      <x:c r="B453" s="19"/>
      <x:c r="C453" s="19"/>
      <x:c r="D453" s="19"/>
      <x:c r="E453" s="27"/>
    </x:row>
    <x:row r="454">
      <x:c r="A454" s="19"/>
      <x:c r="B454" s="19"/>
      <x:c r="C454" s="19"/>
      <x:c r="D454" s="19"/>
      <x:c r="E454" s="27"/>
    </x:row>
    <x:row r="455">
      <x:c r="A455" s="19"/>
      <x:c r="B455" s="19"/>
      <x:c r="C455" s="19"/>
      <x:c r="D455" s="19"/>
      <x:c r="E455" s="27"/>
    </x:row>
    <x:row r="456">
      <x:c r="A456" s="19"/>
      <x:c r="B456" s="19"/>
      <x:c r="C456" s="19"/>
      <x:c r="D456" s="19"/>
      <x:c r="E456" s="27"/>
    </x:row>
    <x:row r="457">
      <x:c r="A457" s="19"/>
      <x:c r="B457" s="19"/>
      <x:c r="C457" s="19"/>
      <x:c r="D457" s="19"/>
      <x:c r="E457" s="27"/>
    </x:row>
    <x:row r="458">
      <x:c r="A458" s="19"/>
      <x:c r="B458" s="19"/>
      <x:c r="C458" s="19"/>
      <x:c r="D458" s="19"/>
      <x:c r="E458" s="27"/>
    </x:row>
    <x:row r="459">
      <x:c r="A459" s="19"/>
      <x:c r="B459" s="19"/>
      <x:c r="C459" s="19"/>
      <x:c r="D459" s="19"/>
      <x:c r="E459" s="27"/>
    </x:row>
    <x:row r="460">
      <x:c r="A460" s="19"/>
      <x:c r="B460" s="19"/>
      <x:c r="C460" s="19"/>
      <x:c r="D460" s="19"/>
      <x:c r="E460" s="27"/>
    </x:row>
    <x:row r="461">
      <x:c r="A461" s="19"/>
      <x:c r="B461" s="19"/>
      <x:c r="C461" s="19"/>
      <x:c r="D461" s="19"/>
      <x:c r="E461" s="27"/>
    </x:row>
    <x:row r="462">
      <x:c r="A462" s="19"/>
      <x:c r="B462" s="19"/>
      <x:c r="C462" s="19"/>
      <x:c r="D462" s="19"/>
      <x:c r="E462" s="27"/>
    </x:row>
    <x:row r="463">
      <x:c r="A463" s="19"/>
      <x:c r="B463" s="19"/>
      <x:c r="C463" s="19"/>
      <x:c r="D463" s="19"/>
      <x:c r="E463" s="27"/>
    </x:row>
    <x:row r="464">
      <x:c r="A464" s="19"/>
      <x:c r="B464" s="19"/>
      <x:c r="C464" s="19"/>
      <x:c r="D464" s="19"/>
      <x:c r="E464" s="27"/>
    </x:row>
    <x:row r="465">
      <x:c r="A465" s="19"/>
      <x:c r="B465" s="19"/>
      <x:c r="C465" s="19"/>
      <x:c r="D465" s="19"/>
      <x:c r="E465" s="27"/>
    </x:row>
    <x:row r="466">
      <x:c r="A466" s="19"/>
      <x:c r="B466" s="19"/>
      <x:c r="C466" s="19"/>
      <x:c r="D466" s="19"/>
      <x:c r="E466" s="27"/>
    </x:row>
    <x:row r="467">
      <x:c r="A467" s="19"/>
      <x:c r="B467" s="19"/>
      <x:c r="C467" s="19"/>
      <x:c r="D467" s="19"/>
      <x:c r="E467" s="27"/>
    </x:row>
    <x:row r="468">
      <x:c r="A468" s="19"/>
      <x:c r="B468" s="19"/>
      <x:c r="C468" s="19"/>
      <x:c r="D468" s="19"/>
      <x:c r="E468" s="27"/>
    </x:row>
    <x:row r="469">
      <x:c r="A469" s="19"/>
      <x:c r="B469" s="19"/>
      <x:c r="C469" s="19"/>
      <x:c r="D469" s="19"/>
      <x:c r="E469" s="27"/>
    </x:row>
    <x:row r="470">
      <x:c r="A470" s="19"/>
      <x:c r="B470" s="19"/>
      <x:c r="C470" s="19"/>
      <x:c r="D470" s="19"/>
      <x:c r="E470" s="27"/>
    </x:row>
    <x:row r="471">
      <x:c r="A471" s="19"/>
      <x:c r="B471" s="19"/>
      <x:c r="C471" s="19"/>
      <x:c r="D471" s="19"/>
      <x:c r="E471" s="27"/>
    </x:row>
    <x:row r="472">
      <x:c r="A472" s="19"/>
      <x:c r="B472" s="19"/>
      <x:c r="C472" s="19"/>
      <x:c r="D472" s="19"/>
      <x:c r="E472" s="27"/>
    </x:row>
    <x:row r="473">
      <x:c r="A473" s="19"/>
      <x:c r="B473" s="19"/>
      <x:c r="C473" s="19"/>
      <x:c r="D473" s="19"/>
      <x:c r="E473" s="27"/>
    </x:row>
    <x:row r="474">
      <x:c r="A474" s="19"/>
      <x:c r="B474" s="19"/>
      <x:c r="C474" s="19"/>
      <x:c r="D474" s="19"/>
      <x:c r="E474" s="27"/>
    </x:row>
    <x:row r="475">
      <x:c r="A475" s="19"/>
      <x:c r="B475" s="19"/>
      <x:c r="C475" s="19"/>
      <x:c r="D475" s="19"/>
      <x:c r="E475" s="27"/>
    </x:row>
    <x:row r="476">
      <x:c r="A476" s="19"/>
      <x:c r="B476" s="19"/>
      <x:c r="C476" s="19"/>
      <x:c r="D476" s="19"/>
      <x:c r="E476" s="27"/>
    </x:row>
    <x:row r="477">
      <x:c r="A477" s="19"/>
      <x:c r="B477" s="19"/>
      <x:c r="C477" s="19"/>
      <x:c r="D477" s="19"/>
      <x:c r="E477" s="27"/>
    </x:row>
    <x:row r="478">
      <x:c r="A478" s="19"/>
      <x:c r="B478" s="19"/>
      <x:c r="C478" s="19"/>
      <x:c r="D478" s="19"/>
      <x:c r="E478" s="27"/>
    </x:row>
    <x:row r="479">
      <x:c r="A479" s="19"/>
      <x:c r="B479" s="19"/>
      <x:c r="C479" s="19"/>
      <x:c r="D479" s="19"/>
      <x:c r="E479" s="27"/>
    </x:row>
    <x:row r="480">
      <x:c r="A480" s="19"/>
      <x:c r="B480" s="19"/>
      <x:c r="C480" s="19"/>
      <x:c r="D480" s="19"/>
      <x:c r="E480" s="27"/>
    </x:row>
    <x:row r="481">
      <x:c r="A481" s="19"/>
      <x:c r="B481" s="19"/>
      <x:c r="C481" s="19"/>
      <x:c r="D481" s="19"/>
      <x:c r="E481" s="27"/>
    </x:row>
    <x:row r="482">
      <x:c r="A482" s="19"/>
      <x:c r="B482" s="19"/>
      <x:c r="C482" s="19"/>
      <x:c r="D482" s="19"/>
      <x:c r="E482" s="27"/>
    </x:row>
    <x:row r="483">
      <x:c r="A483" s="19"/>
      <x:c r="B483" s="19"/>
      <x:c r="C483" s="19"/>
      <x:c r="D483" s="19"/>
      <x:c r="E483" s="27"/>
    </x:row>
    <x:row r="484">
      <x:c r="A484" s="19"/>
      <x:c r="B484" s="19"/>
      <x:c r="C484" s="19"/>
      <x:c r="D484" s="19"/>
      <x:c r="E484" s="27"/>
    </x:row>
    <x:row r="485">
      <x:c r="A485" s="19"/>
      <x:c r="B485" s="19"/>
      <x:c r="C485" s="19"/>
      <x:c r="D485" s="19"/>
      <x:c r="E485" s="27"/>
    </x:row>
    <x:row r="486">
      <x:c r="A486" s="19"/>
      <x:c r="B486" s="19"/>
      <x:c r="C486" s="19"/>
      <x:c r="D486" s="19"/>
      <x:c r="E486" s="27"/>
    </x:row>
    <x:row r="487">
      <x:c r="A487" s="19"/>
      <x:c r="B487" s="19"/>
      <x:c r="C487" s="19"/>
      <x:c r="D487" s="19"/>
      <x:c r="E487" s="27"/>
    </x:row>
    <x:row r="488">
      <x:c r="A488" s="19"/>
      <x:c r="B488" s="19"/>
      <x:c r="C488" s="19"/>
      <x:c r="D488" s="19"/>
      <x:c r="E488" s="27"/>
    </x:row>
    <x:row r="489">
      <x:c r="A489" s="19"/>
      <x:c r="B489" s="19"/>
      <x:c r="C489" s="19"/>
      <x:c r="D489" s="19"/>
      <x:c r="E489" s="27"/>
    </x:row>
    <x:row r="490">
      <x:c r="A490" s="19"/>
      <x:c r="B490" s="19"/>
      <x:c r="C490" s="19"/>
      <x:c r="D490" s="19"/>
      <x:c r="E490" s="27"/>
    </x:row>
    <x:row r="491">
      <x:c r="A491" s="19"/>
      <x:c r="B491" s="19"/>
      <x:c r="C491" s="19"/>
      <x:c r="D491" s="19"/>
      <x:c r="E491" s="27"/>
    </x:row>
    <x:row r="492">
      <x:c r="A492" s="19"/>
      <x:c r="B492" s="19"/>
      <x:c r="C492" s="19"/>
      <x:c r="D492" s="19"/>
      <x:c r="E492" s="27"/>
    </x:row>
    <x:row r="493">
      <x:c r="A493" s="19"/>
      <x:c r="B493" s="19"/>
      <x:c r="C493" s="19"/>
      <x:c r="D493" s="19"/>
      <x:c r="E493" s="27"/>
    </x:row>
    <x:row r="494">
      <x:c r="A494" s="19"/>
      <x:c r="B494" s="19"/>
      <x:c r="C494" s="19"/>
      <x:c r="D494" s="19"/>
      <x:c r="E494" s="27"/>
    </x:row>
    <x:row r="495">
      <x:c r="A495" s="19"/>
      <x:c r="B495" s="19"/>
      <x:c r="C495" s="19"/>
      <x:c r="D495" s="19"/>
      <x:c r="E495" s="27"/>
    </x:row>
    <x:row r="496">
      <x:c r="A496" s="19"/>
      <x:c r="B496" s="19"/>
      <x:c r="C496" s="19"/>
      <x:c r="D496" s="19"/>
      <x:c r="E496" s="27"/>
    </x:row>
    <x:row r="497">
      <x:c r="A497" s="19"/>
      <x:c r="B497" s="19"/>
      <x:c r="C497" s="19"/>
      <x:c r="D497" s="19"/>
      <x:c r="E497" s="27"/>
    </x:row>
    <x:row r="498">
      <x:c r="A498" s="19"/>
      <x:c r="B498" s="19"/>
      <x:c r="C498" s="19"/>
      <x:c r="D498" s="19"/>
      <x:c r="E498" s="27"/>
    </x:row>
    <x:row r="499">
      <x:c r="A499" s="19"/>
      <x:c r="B499" s="19"/>
      <x:c r="C499" s="19"/>
      <x:c r="D499" s="19"/>
      <x:c r="E499" s="27"/>
    </x:row>
    <x:row r="500">
      <x:c r="A500" s="19"/>
      <x:c r="B500" s="19"/>
      <x:c r="C500" s="19"/>
      <x:c r="D500" s="19"/>
      <x:c r="E500" s="27"/>
    </x:row>
  </x:sheetData>
  <x:conditionalFormatting sqref="B2:B500">
    <x:cfRule type="expression" dxfId="227" priority="1">
      <x:formula>AND($A2&lt;&gt;"",B2="")</x:formula>
    </x:cfRule>
  </x:conditionalFormatting>
  <x:conditionalFormatting sqref="C2:C500">
    <x:cfRule type="expression" dxfId="228" priority="2">
      <x:formula>AND($A2&lt;&gt;"",C2="")</x:formula>
    </x:cfRule>
  </x:conditionalFormatting>
  <x:conditionalFormatting sqref="D2:D500">
    <x:cfRule type="expression" dxfId="229" priority="3">
      <x:formula>AND($A2&lt;&gt;"",D2="")</x:formula>
    </x:cfRule>
  </x:conditionalFormatting>
  <x:conditionalFormatting sqref="E2:E500">
    <x:cfRule type="expression" dxfId="230" priority="4">
      <x:formula>AND($A2&lt;&gt;"",E2="")</x:formula>
    </x:cfRule>
  </x:conditionalFormatting>
  <x:dataValidations count="2">
    <x:dataValidation type="list" sqref="C2:C500">
      <x:formula1>"price,product,timing,trust,competitor,no_response,other"</x:formula1>
    </x:dataValidation>
    <x:dataValidation type="list" sqref="D2:D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eb6652a92d478c"/>
  </x:tableParts>
</x:worksheet>
</file>